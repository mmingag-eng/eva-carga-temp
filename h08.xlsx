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Datos" sheetId="2" state="visible" r:id="rId4"/>
    <sheet name="Calculos" sheetId="3" state="visible" r:id="rId5"/>
    <sheet name="Carga_limitacion" sheetId="4" state="visible" r:id="rId6"/>
    <sheet name="Pantalla_regimen" sheetId="5" state="visible" r:id="rId7"/>
    <sheet name="Registro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<sst xmlns="http://schemas.openxmlformats.org/spreadsheetml/2006/main" count="169" uniqueCount="145">
  <si>
    <t xml:space="preserve">Práctica 8 — Parte 2: encendido transistorizado por efecto Hall (TZ-H)</t>
  </si>
  <si>
    <t xml:space="preserve">Libro de cálculo de apoyo a la guía de clase práctica — Electricidad Automotriz, ISTS</t>
  </si>
  <si>
    <t xml:space="preserve">Uso:</t>
  </si>
  <si>
    <t xml:space="preserve">1. Escriba sus medidas SOLO en las celdas de fondo amarillo y texto azul de la hoja "Datos". Los valores que traen son un ejemplo y deben reemplazarse.</t>
  </si>
  <si>
    <t xml:space="preserve">2. La hoja "Calculos" aplica las ecuaciones (1) a (12) de la guía, con el mismo número de ecuación.</t>
  </si>
  <si>
    <t xml:space="preserve">3. "Carga_limitacion" y "Pantalla_regimen" generan tablas y gráficas de doble eje que se actualizan solas.</t>
  </si>
  <si>
    <t xml:space="preserve">4. "Registro" reproduce la tabla de registro de la señal Hall de la guía.</t>
  </si>
  <si>
    <t xml:space="preserve">Convención de colores: azul con fondo amarillo = dato de entrada; negro = fórmula.</t>
  </si>
  <si>
    <t xml:space="preserve">Fuentes: Bosch (2008), Sánchez (2009), Pardiñas (2012), Minga González (s. f.), Alonso Pérez (1998).</t>
  </si>
  <si>
    <t xml:space="preserve">La inductancia de 3 mH es un valor ilustrativo; sustitúyala por la medida con un medidor LCR. U_CE se lee en el borne 1 durante el tramo de limitación.</t>
  </si>
  <si>
    <t xml:space="preserve">Dato</t>
  </si>
  <si>
    <t xml:space="preserve">Símbolo</t>
  </si>
  <si>
    <t xml:space="preserve">Valor</t>
  </si>
  <si>
    <t xml:space="preserve">Unidad</t>
  </si>
  <si>
    <t xml:space="preserve">Origen / comentario</t>
  </si>
  <si>
    <t xml:space="preserve">Tensión de batería</t>
  </si>
  <si>
    <t xml:space="preserve">U_B</t>
  </si>
  <si>
    <t xml:space="preserve">V</t>
  </si>
  <si>
    <t xml:space="preserve">Multímetro</t>
  </si>
  <si>
    <t xml:space="preserve">Resistencia del primario de la bobina</t>
  </si>
  <si>
    <t xml:space="preserve">R1</t>
  </si>
  <si>
    <t xml:space="preserve">Ω</t>
  </si>
  <si>
    <t xml:space="preserve">Bornes 15-1; &lt; 1 Ω en TZ-H (Sánchez, 2009)</t>
  </si>
  <si>
    <t xml:space="preserve">Inductancia del primario</t>
  </si>
  <si>
    <t xml:space="preserve">L1</t>
  </si>
  <si>
    <t xml:space="preserve">mH</t>
  </si>
  <si>
    <t xml:space="preserve">Valor ilustrativo; medir con LCR</t>
  </si>
  <si>
    <t xml:space="preserve">Corriente límite del módulo</t>
  </si>
  <si>
    <t xml:space="preserve">Ilim</t>
  </si>
  <si>
    <t xml:space="preserve">A</t>
  </si>
  <si>
    <t xml:space="preserve">≈ 6 A (Sánchez, 2009)</t>
  </si>
  <si>
    <t xml:space="preserve">Tensión del borne 1 durante la limitación</t>
  </si>
  <si>
    <t xml:space="preserve">UCE</t>
  </si>
  <si>
    <t xml:space="preserve">Osciloscopio, tramo horizontal</t>
  </si>
  <si>
    <t xml:space="preserve">Tiempo de cierre medido a ralentí</t>
  </si>
  <si>
    <t xml:space="preserve">tc</t>
  </si>
  <si>
    <t xml:space="preserve">ms</t>
  </si>
  <si>
    <t xml:space="preserve">Osciloscopio o dwell convertido</t>
  </si>
  <si>
    <t xml:space="preserve">Número de cilindros</t>
  </si>
  <si>
    <t xml:space="preserve">z</t>
  </si>
  <si>
    <t xml:space="preserve">—</t>
  </si>
  <si>
    <t xml:space="preserve">Anchura de la pantalla (arco exterior)</t>
  </si>
  <si>
    <t xml:space="preserve">b</t>
  </si>
  <si>
    <t xml:space="preserve">mm</t>
  </si>
  <si>
    <t xml:space="preserve">Calibrador (ejemplo)</t>
  </si>
  <si>
    <t xml:space="preserve">Diámetro exterior del tambor</t>
  </si>
  <si>
    <t xml:space="preserve">D</t>
  </si>
  <si>
    <t xml:space="preserve">Tiempo de cierre objetivo del módulo regulado</t>
  </si>
  <si>
    <t xml:space="preserve">tobj</t>
  </si>
  <si>
    <t xml:space="preserve">Para la comparación de la hoja Pantalla_regimen</t>
  </si>
  <si>
    <t xml:space="preserve">Régimen 1 (ralentí)</t>
  </si>
  <si>
    <t xml:space="preserve">n1</t>
  </si>
  <si>
    <t xml:space="preserve">r. p. m.</t>
  </si>
  <si>
    <t xml:space="preserve">Ciclo de trabajo medido a n1</t>
  </si>
  <si>
    <t xml:space="preserve">DC1</t>
  </si>
  <si>
    <t xml:space="preserve">%</t>
  </si>
  <si>
    <t xml:space="preserve">Osciloscopio</t>
  </si>
  <si>
    <t xml:space="preserve">Régimen 2</t>
  </si>
  <si>
    <t xml:space="preserve">n2</t>
  </si>
  <si>
    <t xml:space="preserve">Ciclo de trabajo medido a n2</t>
  </si>
  <si>
    <t xml:space="preserve">DC2</t>
  </si>
  <si>
    <t xml:space="preserve">Régimen 3</t>
  </si>
  <si>
    <t xml:space="preserve">n3</t>
  </si>
  <si>
    <t xml:space="preserve">Ciclo de trabajo medido a n3</t>
  </si>
  <si>
    <t xml:space="preserve">DC3</t>
  </si>
  <si>
    <t xml:space="preserve">Régimen 4</t>
  </si>
  <si>
    <t xml:space="preserve">n4</t>
  </si>
  <si>
    <t xml:space="preserve">Ciclo de trabajo medido a n4</t>
  </si>
  <si>
    <t xml:space="preserve">DC4</t>
  </si>
  <si>
    <t xml:space="preserve">Alimentación del sensor entre terminales 3 y 5</t>
  </si>
  <si>
    <t xml:space="preserve">US</t>
  </si>
  <si>
    <t xml:space="preserve">Contacto dado</t>
  </si>
  <si>
    <t xml:space="preserve">Ec.</t>
  </si>
  <si>
    <t xml:space="preserve">Magnitud</t>
  </si>
  <si>
    <t xml:space="preserve">Fórmula</t>
  </si>
  <si>
    <t xml:space="preserve">Resultado</t>
  </si>
  <si>
    <t xml:space="preserve">Referencia / interpretación</t>
  </si>
  <si>
    <t xml:space="preserve">(1)</t>
  </si>
  <si>
    <t xml:space="preserve">Corriente sin limitación</t>
  </si>
  <si>
    <t xml:space="preserve">Imáx = U_B/R1</t>
  </si>
  <si>
    <t xml:space="preserve">0,8 Ω → 15 A</t>
  </si>
  <si>
    <t xml:space="preserve">(2)</t>
  </si>
  <si>
    <t xml:space="preserve">Constante de tiempo</t>
  </si>
  <si>
    <t xml:space="preserve">τ = L1/R1</t>
  </si>
  <si>
    <t xml:space="preserve">(3)</t>
  </si>
  <si>
    <t xml:space="preserve">Tiempo hasta la limitación</t>
  </si>
  <si>
    <t xml:space="preserve">t_lim = −τ·ln(1 − Ilim/Imáx)</t>
  </si>
  <si>
    <t xml:space="preserve">≈ 1,9 ms en el ejemplo</t>
  </si>
  <si>
    <t xml:space="preserve">(4)</t>
  </si>
  <si>
    <t xml:space="preserve">Potencia en la etapa final al limitar</t>
  </si>
  <si>
    <t xml:space="preserve">P_T = UCE·Ilim</t>
  </si>
  <si>
    <t xml:space="preserve">W</t>
  </si>
  <si>
    <t xml:space="preserve">(5)</t>
  </si>
  <si>
    <t xml:space="preserve">Energía disipada por ciclo</t>
  </si>
  <si>
    <t xml:space="preserve">E_T = P_T·(tc − t_lim)</t>
  </si>
  <si>
    <t xml:space="preserve">J</t>
  </si>
  <si>
    <t xml:space="preserve">(6)</t>
  </si>
  <si>
    <t xml:space="preserve">Frecuencia de la señal Hall a n1</t>
  </si>
  <si>
    <t xml:space="preserve">f_H = n·z/120</t>
  </si>
  <si>
    <t xml:space="preserve">Hz</t>
  </si>
  <si>
    <t xml:space="preserve">(7)</t>
  </si>
  <si>
    <t xml:space="preserve">Potencia media en la etapa final a n1</t>
  </si>
  <si>
    <t xml:space="preserve">P̄_T = E_T·f_H</t>
  </si>
  <si>
    <t xml:space="preserve">Ejemplo ≈ 6,5 W</t>
  </si>
  <si>
    <t xml:space="preserve">(8)</t>
  </si>
  <si>
    <t xml:space="preserve">Ángulo de pantalla</t>
  </si>
  <si>
    <t xml:space="preserve">αp = 360·b/(π·D)</t>
  </si>
  <si>
    <t xml:space="preserve">°</t>
  </si>
  <si>
    <t xml:space="preserve">(9)</t>
  </si>
  <si>
    <t xml:space="preserve">Ciclo de trabajo geométrico</t>
  </si>
  <si>
    <t xml:space="preserve">DC_H = αp/αz·100</t>
  </si>
  <si>
    <t xml:space="preserve">Comparar con el osciloscopio</t>
  </si>
  <si>
    <t xml:space="preserve">(10)</t>
  </si>
  <si>
    <t xml:space="preserve">Intervalo entre chispas a n1</t>
  </si>
  <si>
    <t xml:space="preserve">Tz = 120/(n·z)</t>
  </si>
  <si>
    <t xml:space="preserve">(11)</t>
  </si>
  <si>
    <t xml:space="preserve">Tiempo de pantalla a n1</t>
  </si>
  <si>
    <t xml:space="preserve">tp = (αp/αz)·Tz</t>
  </si>
  <si>
    <t xml:space="preserve">(12)</t>
  </si>
  <si>
    <t xml:space="preserve">Caída en la alimentación del sensor</t>
  </si>
  <si>
    <t xml:space="preserve">ΔU_S = U_B − U_S</t>
  </si>
  <si>
    <t xml:space="preserve">1 – 3,5 V (Bosch, 2008)</t>
  </si>
  <si>
    <t xml:space="preserve">Diagnóstico de la alimentación</t>
  </si>
  <si>
    <t xml:space="preserve">t (ms)</t>
  </si>
  <si>
    <t xml:space="preserve">i sin limitación (A)</t>
  </si>
  <si>
    <t xml:space="preserve">i con limitación (A)</t>
  </si>
  <si>
    <t xml:space="preserve">P etapa final (W)</t>
  </si>
  <si>
    <t xml:space="preserve">τ (ms)</t>
  </si>
  <si>
    <t xml:space="preserve">Imáx (A)</t>
  </si>
  <si>
    <t xml:space="preserve">Ilim (A)</t>
  </si>
  <si>
    <t xml:space="preserve">UCE (V)</t>
  </si>
  <si>
    <t xml:space="preserve">n (r. p. m.)</t>
  </si>
  <si>
    <t xml:space="preserve">Tz (ms)</t>
  </si>
  <si>
    <t xml:space="preserve">tp pantalla (ms)</t>
  </si>
  <si>
    <t xml:space="preserve">tc regulado (ms)</t>
  </si>
  <si>
    <t xml:space="preserve">P̄ etapa, cierre = pantalla (W)</t>
  </si>
  <si>
    <t xml:space="preserve">P̄ etapa, cierre regulado (W)</t>
  </si>
  <si>
    <t xml:space="preserve">t_lim (ms)</t>
  </si>
  <si>
    <t xml:space="preserve">Régimen (r. p. m.)</t>
  </si>
  <si>
    <t xml:space="preserve">f_H (Hz)</t>
  </si>
  <si>
    <t xml:space="preserve">αp (°)</t>
  </si>
  <si>
    <t xml:space="preserve">DC_H calculado (%)</t>
  </si>
  <si>
    <t xml:space="preserve">DC medido (%)</t>
  </si>
  <si>
    <t xml:space="preserve">tp (ms)</t>
  </si>
  <si>
    <t xml:space="preserve">Diferencia (%)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</si>
</sst>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89142"/>
      <rgbColor rgb="FF800080"/>
      <rgbColor rgb="FF008080"/>
      <rgbColor rgb="FFC0D2A7"/>
      <rgbColor rgb="FF878787"/>
      <rgbColor rgb="FF8EAD4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C37E"/>
      <rgbColor rgb="FFFF99CC"/>
      <rgbColor rgb="FFCC99FF"/>
      <rgbColor rgb="FFC7D6B1"/>
      <rgbColor rgb="FF3366FF"/>
      <rgbColor rgb="FF33CCCC"/>
      <rgbColor rgb="FF98B855"/>
      <rgbColor rgb="FFFFCC00"/>
      <rgbColor rgb="FFFF9900"/>
      <rgbColor rgb="FFFF6600"/>
      <rgbColor rgb="FF666699"/>
      <rgbColor rgb="FF999999"/>
      <rgbColor rgb="FF003366"/>
      <rgbColor rgb="FF7E9945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Carga de la bobina con limitación: corriente (eje izq.) y potencia en la etapa final (eje der.)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"i sin limitación"</c:f>
              <c:strCache>
                <c:ptCount val="1"/>
                <c:pt idx="0">
                  <c:v>i sin limitación</c:v>
                </c:pt>
              </c:strCache>
            </c:strRef>
          </c:tx>
          <c:spPr>
            <a:solidFill>
              <a:srgbClr val="7e9945"/>
            </a:solidFill>
            <a:ln w="47520">
              <a:solidFill>
                <a:srgbClr val="7e994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Carga_limitacion!$A$2:$A$62</c:f>
              <c:numCache>
                <c:formatCode>General</c:formatCode>
                <c:ptCount val="61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</c:numCache>
            </c:numRef>
          </c:xVal>
          <c:yVal>
            <c:numRef>
              <c:f>Carga_limitacion!$B$2:$B$62</c:f>
              <c:numCache>
                <c:formatCode>0.00</c:formatCode>
                <c:ptCount val="61"/>
                <c:pt idx="0">
                  <c:v>0</c:v>
                </c:pt>
                <c:pt idx="1">
                  <c:v>0.967395224525733</c:v>
                </c:pt>
                <c:pt idx="2">
                  <c:v>1.87240021435579</c:v>
                </c:pt>
                <c:pt idx="3">
                  <c:v>2.71903870383027</c:v>
                </c:pt>
                <c:pt idx="4">
                  <c:v>3.51107492453027</c:v>
                </c:pt>
                <c:pt idx="5">
                  <c:v>4.25203034139316</c:v>
                </c:pt>
                <c:pt idx="6">
                  <c:v>4.94519930946541</c:v>
                </c:pt>
                <c:pt idx="7">
                  <c:v>5.59366372090416</c:v>
                </c:pt>
                <c:pt idx="8">
                  <c:v>6.20030670734952</c:v>
                </c:pt>
                <c:pt idx="9">
                  <c:v>6.7678254585896</c:v>
                </c:pt>
                <c:pt idx="10">
                  <c:v>7.29874321451112</c:v>
                </c:pt>
                <c:pt idx="11">
                  <c:v>7.79542048365301</c:v>
                </c:pt>
                <c:pt idx="12">
                  <c:v>8.26006553824168</c:v>
                </c:pt>
                <c:pt idx="13">
                  <c:v>8.69474423236977</c:v>
                </c:pt>
                <c:pt idx="14">
                  <c:v>9.10138918697103</c:v>
                </c:pt>
                <c:pt idx="15">
                  <c:v>9.48180838242837</c:v>
                </c:pt>
                <c:pt idx="16">
                  <c:v>9.83769319701882</c:v>
                </c:pt>
                <c:pt idx="17">
                  <c:v>10.1706259269349</c:v>
                </c:pt>
                <c:pt idx="18">
                  <c:v>10.482086821317</c:v>
                </c:pt>
                <c:pt idx="19">
                  <c:v>10.7734606635756</c:v>
                </c:pt>
                <c:pt idx="20">
                  <c:v>11.0460429282641</c:v>
                </c:pt>
                <c:pt idx="21">
                  <c:v>11.3010455408759</c:v>
                </c:pt>
                <c:pt idx="22">
                  <c:v>11.5396022661756</c:v>
                </c:pt>
                <c:pt idx="23">
                  <c:v>11.7627737490197</c:v>
                </c:pt>
                <c:pt idx="24">
                  <c:v>11.9715522300802</c:v>
                </c:pt>
                <c:pt idx="25">
                  <c:v>12.1668659574366</c:v>
                </c:pt>
                <c:pt idx="26">
                  <c:v>12.349583313651</c:v>
                </c:pt>
                <c:pt idx="27">
                  <c:v>12.5205166766762</c:v>
                </c:pt>
                <c:pt idx="28">
                  <c:v>12.6804260317612</c:v>
                </c:pt>
                <c:pt idx="29">
                  <c:v>12.8300223504151</c:v>
                </c:pt>
                <c:pt idx="30">
                  <c:v>12.9699707514508</c:v>
                </c:pt>
                <c:pt idx="31">
                  <c:v>13.1008934581637</c:v>
                </c:pt>
                <c:pt idx="32">
                  <c:v>13.2233725647929</c:v>
                </c:pt>
                <c:pt idx="33">
                  <c:v>13.337952624565</c:v>
                </c:pt>
                <c:pt idx="34">
                  <c:v>13.4451430708271</c:v>
                </c:pt>
                <c:pt idx="35">
                  <c:v>13.5454204820339</c:v>
                </c:pt>
                <c:pt idx="36">
                  <c:v>13.6392307006588</c:v>
                </c:pt>
                <c:pt idx="37">
                  <c:v>13.7269908154497</c:v>
                </c:pt>
                <c:pt idx="38">
                  <c:v>13.8090910158438</c:v>
                </c:pt>
                <c:pt idx="39">
                  <c:v>13.885896326785</c:v>
                </c:pt>
                <c:pt idx="40">
                  <c:v>13.957748231658</c:v>
                </c:pt>
                <c:pt idx="41">
                  <c:v>14.0249661905545</c:v>
                </c:pt>
                <c:pt idx="42">
                  <c:v>14.0878490606217</c:v>
                </c:pt>
                <c:pt idx="43">
                  <c:v>14.1466764248085</c:v>
                </c:pt>
                <c:pt idx="44">
                  <c:v>14.2017098349162</c:v>
                </c:pt>
                <c:pt idx="45">
                  <c:v>14.253193974482</c:v>
                </c:pt>
                <c:pt idx="46">
                  <c:v>14.3013577466643</c:v>
                </c:pt>
                <c:pt idx="47">
                  <c:v>14.3464152919662</c:v>
                </c:pt>
                <c:pt idx="48">
                  <c:v>14.3885669403245</c:v>
                </c:pt>
                <c:pt idx="49">
                  <c:v>14.4280001017943</c:v>
                </c:pt>
                <c:pt idx="50">
                  <c:v>14.4648900997912</c:v>
                </c:pt>
                <c:pt idx="51">
                  <c:v>14.4994009505951</c:v>
                </c:pt>
                <c:pt idx="52">
                  <c:v>14.5316860925815</c:v>
                </c:pt>
                <c:pt idx="53">
                  <c:v>14.5618890684226</c:v>
                </c:pt>
                <c:pt idx="54">
                  <c:v>14.5901441632906</c:v>
                </c:pt>
                <c:pt idx="55">
                  <c:v>14.6165770019024</c:v>
                </c:pt>
                <c:pt idx="56">
                  <c:v>14.6413051070579</c:v>
                </c:pt>
                <c:pt idx="57">
                  <c:v>14.6644384221575</c:v>
                </c:pt>
                <c:pt idx="58">
                  <c:v>14.6860798000201</c:v>
                </c:pt>
                <c:pt idx="59">
                  <c:v>14.7063254601763</c:v>
                </c:pt>
                <c:pt idx="60">
                  <c:v>14.725265416669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"i con limitación"</c:f>
              <c:strCache>
                <c:ptCount val="1"/>
                <c:pt idx="0">
                  <c:v>i con limitación</c:v>
                </c:pt>
              </c:strCache>
            </c:strRef>
          </c:tx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Carga_limitacion!$A$2:$A$62</c:f>
              <c:numCache>
                <c:formatCode>General</c:formatCode>
                <c:ptCount val="61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</c:numCache>
            </c:numRef>
          </c:xVal>
          <c:yVal>
            <c:numRef>
              <c:f>Carga_limitacion!$C$2:$C$62</c:f>
              <c:numCache>
                <c:formatCode>0.00</c:formatCode>
                <c:ptCount val="61"/>
                <c:pt idx="0">
                  <c:v>0</c:v>
                </c:pt>
                <c:pt idx="1">
                  <c:v>0.967395224525733</c:v>
                </c:pt>
                <c:pt idx="2">
                  <c:v>1.87240021435579</c:v>
                </c:pt>
                <c:pt idx="3">
                  <c:v>2.71903870383027</c:v>
                </c:pt>
                <c:pt idx="4">
                  <c:v>3.51107492453027</c:v>
                </c:pt>
                <c:pt idx="5">
                  <c:v>4.25203034139316</c:v>
                </c:pt>
                <c:pt idx="6">
                  <c:v>4.94519930946541</c:v>
                </c:pt>
                <c:pt idx="7">
                  <c:v>5.59366372090416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  <c:pt idx="30">
                  <c:v>6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  <c:pt idx="36">
                  <c:v>6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6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6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6</c:v>
                </c:pt>
                <c:pt idx="58">
                  <c:v>6</c:v>
                </c:pt>
                <c:pt idx="59">
                  <c:v>6</c:v>
                </c:pt>
                <c:pt idx="60">
                  <c:v>6</c:v>
                </c:pt>
              </c:numCache>
            </c:numRef>
          </c:yVal>
          <c:smooth val="1"/>
        </c:ser>
        <c:axId val="16094100"/>
        <c:axId val="15817400"/>
      </c:scatterChart>
      <c:scatterChart>
        <c:scatterStyle val="line"/>
        <c:varyColors val="0"/>
        <c:ser>
          <c:idx val="2"/>
          <c:order val="2"/>
          <c:tx>
            <c:strRef>
              <c:f>"P etapa final"</c:f>
              <c:strCache>
                <c:ptCount val="1"/>
                <c:pt idx="0">
                  <c:v>P etapa final</c:v>
                </c:pt>
              </c:strCache>
            </c:strRef>
          </c:tx>
          <c:spPr>
            <a:solidFill>
              <a:srgbClr val="c0d2a7"/>
            </a:solidFill>
            <a:ln w="47520">
              <a:solidFill>
                <a:srgbClr val="c0d2a7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Carga_limitacion!$A$2:$A$62</c:f>
              <c:numCache>
                <c:formatCode>General</c:formatCode>
                <c:ptCount val="61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</c:numCache>
            </c:numRef>
          </c:xVal>
          <c:yVal>
            <c:numRef>
              <c:f>Carga_limitacion!$D$2:$D$62</c:f>
              <c:numCache>
                <c:formatCode>0.0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</c:numCache>
            </c:numRef>
          </c:yVal>
          <c:smooth val="1"/>
        </c:ser>
        <c:axId val="1251385"/>
        <c:axId val="76567970"/>
      </c:scatterChart>
      <c:valAx>
        <c:axId val="1609410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Tiempo de cierre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817400"/>
        <c:crosses val="autoZero"/>
        <c:crossBetween val="midCat"/>
      </c:valAx>
      <c:valAx>
        <c:axId val="158174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Corriente del primario (A)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094100"/>
        <c:crosses val="autoZero"/>
        <c:crossBetween val="midCat"/>
      </c:valAx>
      <c:valAx>
        <c:axId val="1251385"/>
        <c:scaling>
          <c:orientation val="minMax"/>
        </c:scaling>
        <c:delete val="0"/>
        <c:axPos val="t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Tiempo de cierre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567970"/>
        <c:crosses val="autoZero"/>
        <c:crossBetween val="midCat"/>
      </c:valAx>
      <c:valAx>
        <c:axId val="76567970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Potencia (W)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51385"/>
        <c:crosses val="max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Tiempo de cierre (eje izq.) y calor medio en la etapa final (eje der.) frente al régimen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"tp (cierre = pantalla)"</c:f>
              <c:strCache>
                <c:ptCount val="1"/>
                <c:pt idx="0">
                  <c:v>tp (cierre = pantalla)</c:v>
                </c:pt>
              </c:strCache>
            </c:strRef>
          </c:tx>
          <c:spPr>
            <a:solidFill>
              <a:srgbClr val="789142"/>
            </a:solidFill>
            <a:ln w="47520">
              <a:solidFill>
                <a:srgbClr val="78914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Pantalla_regimen!$A$2:$A$24</c:f>
              <c:numCache>
                <c:formatCode>General</c:formatCode>
                <c:ptCount val="23"/>
                <c:pt idx="0">
                  <c:v>500</c:v>
                </c:pt>
                <c:pt idx="1">
                  <c:v>750</c:v>
                </c:pt>
                <c:pt idx="2">
                  <c:v>1000</c:v>
                </c:pt>
                <c:pt idx="3">
                  <c:v>1250</c:v>
                </c:pt>
                <c:pt idx="4">
                  <c:v>1500</c:v>
                </c:pt>
                <c:pt idx="5">
                  <c:v>1750</c:v>
                </c:pt>
                <c:pt idx="6">
                  <c:v>2000</c:v>
                </c:pt>
                <c:pt idx="7">
                  <c:v>2250</c:v>
                </c:pt>
                <c:pt idx="8">
                  <c:v>2500</c:v>
                </c:pt>
                <c:pt idx="9">
                  <c:v>2750</c:v>
                </c:pt>
                <c:pt idx="10">
                  <c:v>3000</c:v>
                </c:pt>
                <c:pt idx="11">
                  <c:v>3250</c:v>
                </c:pt>
                <c:pt idx="12">
                  <c:v>3500</c:v>
                </c:pt>
                <c:pt idx="13">
                  <c:v>3750</c:v>
                </c:pt>
                <c:pt idx="14">
                  <c:v>4000</c:v>
                </c:pt>
                <c:pt idx="15">
                  <c:v>4250</c:v>
                </c:pt>
                <c:pt idx="16">
                  <c:v>4500</c:v>
                </c:pt>
                <c:pt idx="17">
                  <c:v>4750</c:v>
                </c:pt>
                <c:pt idx="18">
                  <c:v>5000</c:v>
                </c:pt>
                <c:pt idx="19">
                  <c:v>5250</c:v>
                </c:pt>
                <c:pt idx="20">
                  <c:v>5500</c:v>
                </c:pt>
                <c:pt idx="21">
                  <c:v>5750</c:v>
                </c:pt>
                <c:pt idx="22">
                  <c:v>6000</c:v>
                </c:pt>
              </c:numCache>
            </c:numRef>
          </c:xVal>
          <c:yVal>
            <c:numRef>
              <c:f>Pantalla_regimen!$C$2:$C$24</c:f>
              <c:numCache>
                <c:formatCode>0.00</c:formatCode>
                <c:ptCount val="23"/>
                <c:pt idx="0">
                  <c:v>42.4413181578388</c:v>
                </c:pt>
                <c:pt idx="1">
                  <c:v>28.2942121052258</c:v>
                </c:pt>
                <c:pt idx="2">
                  <c:v>21.2206590789194</c:v>
                </c:pt>
                <c:pt idx="3">
                  <c:v>16.9765272631355</c:v>
                </c:pt>
                <c:pt idx="4">
                  <c:v>14.1471060526129</c:v>
                </c:pt>
                <c:pt idx="5">
                  <c:v>12.1260909022396</c:v>
                </c:pt>
                <c:pt idx="6">
                  <c:v>10.6103295394597</c:v>
                </c:pt>
                <c:pt idx="7">
                  <c:v>9.43140403507528</c:v>
                </c:pt>
                <c:pt idx="8">
                  <c:v>8.48826363156775</c:v>
                </c:pt>
                <c:pt idx="9">
                  <c:v>7.71660330142523</c:v>
                </c:pt>
                <c:pt idx="10">
                  <c:v>7.07355302630646</c:v>
                </c:pt>
                <c:pt idx="11">
                  <c:v>6.52943356274442</c:v>
                </c:pt>
                <c:pt idx="12">
                  <c:v>6.06304545111982</c:v>
                </c:pt>
                <c:pt idx="13">
                  <c:v>5.65884242104517</c:v>
                </c:pt>
                <c:pt idx="14">
                  <c:v>5.30516476972985</c:v>
                </c:pt>
                <c:pt idx="15">
                  <c:v>4.99309625386338</c:v>
                </c:pt>
                <c:pt idx="16">
                  <c:v>4.71570201753764</c:v>
                </c:pt>
                <c:pt idx="17">
                  <c:v>4.46750717450934</c:v>
                </c:pt>
                <c:pt idx="18">
                  <c:v>4.24413181578388</c:v>
                </c:pt>
                <c:pt idx="19">
                  <c:v>4.04203030074655</c:v>
                </c:pt>
                <c:pt idx="20">
                  <c:v>3.85830165071261</c:v>
                </c:pt>
                <c:pt idx="21">
                  <c:v>3.69054940502946</c:v>
                </c:pt>
                <c:pt idx="22">
                  <c:v>3.53677651315323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"tc regulado"</c:f>
              <c:strCache>
                <c:ptCount val="1"/>
                <c:pt idx="0">
                  <c:v>tc regulado</c:v>
                </c:pt>
              </c:strCache>
            </c:strRef>
          </c:tx>
          <c:spPr>
            <a:solidFill>
              <a:srgbClr val="8ead4f"/>
            </a:solidFill>
            <a:ln w="47520">
              <a:solidFill>
                <a:srgbClr val="8ead4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Pantalla_regimen!$A$2:$A$24</c:f>
              <c:numCache>
                <c:formatCode>General</c:formatCode>
                <c:ptCount val="23"/>
                <c:pt idx="0">
                  <c:v>500</c:v>
                </c:pt>
                <c:pt idx="1">
                  <c:v>750</c:v>
                </c:pt>
                <c:pt idx="2">
                  <c:v>1000</c:v>
                </c:pt>
                <c:pt idx="3">
                  <c:v>1250</c:v>
                </c:pt>
                <c:pt idx="4">
                  <c:v>1500</c:v>
                </c:pt>
                <c:pt idx="5">
                  <c:v>1750</c:v>
                </c:pt>
                <c:pt idx="6">
                  <c:v>2000</c:v>
                </c:pt>
                <c:pt idx="7">
                  <c:v>2250</c:v>
                </c:pt>
                <c:pt idx="8">
                  <c:v>2500</c:v>
                </c:pt>
                <c:pt idx="9">
                  <c:v>2750</c:v>
                </c:pt>
                <c:pt idx="10">
                  <c:v>3000</c:v>
                </c:pt>
                <c:pt idx="11">
                  <c:v>3250</c:v>
                </c:pt>
                <c:pt idx="12">
                  <c:v>3500</c:v>
                </c:pt>
                <c:pt idx="13">
                  <c:v>3750</c:v>
                </c:pt>
                <c:pt idx="14">
                  <c:v>4000</c:v>
                </c:pt>
                <c:pt idx="15">
                  <c:v>4250</c:v>
                </c:pt>
                <c:pt idx="16">
                  <c:v>4500</c:v>
                </c:pt>
                <c:pt idx="17">
                  <c:v>4750</c:v>
                </c:pt>
                <c:pt idx="18">
                  <c:v>5000</c:v>
                </c:pt>
                <c:pt idx="19">
                  <c:v>5250</c:v>
                </c:pt>
                <c:pt idx="20">
                  <c:v>5500</c:v>
                </c:pt>
                <c:pt idx="21">
                  <c:v>5750</c:v>
                </c:pt>
                <c:pt idx="22">
                  <c:v>6000</c:v>
                </c:pt>
              </c:numCache>
            </c:numRef>
          </c:xVal>
          <c:yVal>
            <c:numRef>
              <c:f>Pantalla_regimen!$D$2:$D$24</c:f>
              <c:numCache>
                <c:formatCode>0.00</c:formatCode>
                <c:ptCount val="23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</c:numCache>
            </c:numRef>
          </c:yVal>
          <c:smooth val="1"/>
        </c:ser>
        <c:axId val="31477312"/>
        <c:axId val="70117822"/>
      </c:scatterChart>
      <c:scatterChart>
        <c:scatterStyle val="line"/>
        <c:varyColors val="0"/>
        <c:ser>
          <c:idx val="2"/>
          <c:order val="2"/>
          <c:tx>
            <c:strRef>
              <c:f>"P̄ cierre = pantalla"</c:f>
              <c:strCache>
                <c:ptCount val="1"/>
                <c:pt idx="0">
                  <c:v>P̄ cierre = pantalla</c:v>
                </c:pt>
              </c:strCache>
            </c:strRef>
          </c:tx>
          <c:spPr>
            <a:solidFill>
              <a:srgbClr val="a9c37e"/>
            </a:solidFill>
            <a:ln w="47520">
              <a:solidFill>
                <a:srgbClr val="a9c37e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Pantalla_regimen!$A$2:$A$24</c:f>
              <c:numCache>
                <c:formatCode>General</c:formatCode>
                <c:ptCount val="23"/>
                <c:pt idx="0">
                  <c:v>500</c:v>
                </c:pt>
                <c:pt idx="1">
                  <c:v>750</c:v>
                </c:pt>
                <c:pt idx="2">
                  <c:v>1000</c:v>
                </c:pt>
                <c:pt idx="3">
                  <c:v>1250</c:v>
                </c:pt>
                <c:pt idx="4">
                  <c:v>1500</c:v>
                </c:pt>
                <c:pt idx="5">
                  <c:v>1750</c:v>
                </c:pt>
                <c:pt idx="6">
                  <c:v>2000</c:v>
                </c:pt>
                <c:pt idx="7">
                  <c:v>2250</c:v>
                </c:pt>
                <c:pt idx="8">
                  <c:v>2500</c:v>
                </c:pt>
                <c:pt idx="9">
                  <c:v>2750</c:v>
                </c:pt>
                <c:pt idx="10">
                  <c:v>3000</c:v>
                </c:pt>
                <c:pt idx="11">
                  <c:v>3250</c:v>
                </c:pt>
                <c:pt idx="12">
                  <c:v>3500</c:v>
                </c:pt>
                <c:pt idx="13">
                  <c:v>3750</c:v>
                </c:pt>
                <c:pt idx="14">
                  <c:v>4000</c:v>
                </c:pt>
                <c:pt idx="15">
                  <c:v>4250</c:v>
                </c:pt>
                <c:pt idx="16">
                  <c:v>4500</c:v>
                </c:pt>
                <c:pt idx="17">
                  <c:v>4750</c:v>
                </c:pt>
                <c:pt idx="18">
                  <c:v>5000</c:v>
                </c:pt>
                <c:pt idx="19">
                  <c:v>5250</c:v>
                </c:pt>
                <c:pt idx="20">
                  <c:v>5500</c:v>
                </c:pt>
                <c:pt idx="21">
                  <c:v>5750</c:v>
                </c:pt>
                <c:pt idx="22">
                  <c:v>6000</c:v>
                </c:pt>
              </c:numCache>
            </c:numRef>
          </c:xVal>
          <c:yVal>
            <c:numRef>
              <c:f>Pantalla_regimen!$E$2:$E$24</c:f>
              <c:numCache>
                <c:formatCode>0.0</c:formatCode>
                <c:ptCount val="23"/>
                <c:pt idx="0">
                  <c:v>20.2628610343581</c:v>
                </c:pt>
                <c:pt idx="1">
                  <c:v>19.7839620120775</c:v>
                </c:pt>
                <c:pt idx="2">
                  <c:v>19.3050629897969</c:v>
                </c:pt>
                <c:pt idx="3">
                  <c:v>18.8261639675163</c:v>
                </c:pt>
                <c:pt idx="4">
                  <c:v>18.3472649452357</c:v>
                </c:pt>
                <c:pt idx="5">
                  <c:v>17.8683659229551</c:v>
                </c:pt>
                <c:pt idx="6">
                  <c:v>17.3894669006745</c:v>
                </c:pt>
                <c:pt idx="7">
                  <c:v>16.9105678783938</c:v>
                </c:pt>
                <c:pt idx="8">
                  <c:v>16.4316688561132</c:v>
                </c:pt>
                <c:pt idx="9">
                  <c:v>15.9527698338326</c:v>
                </c:pt>
                <c:pt idx="10">
                  <c:v>15.473870811552</c:v>
                </c:pt>
                <c:pt idx="11">
                  <c:v>14.9949717892714</c:v>
                </c:pt>
                <c:pt idx="12">
                  <c:v>14.5160727669907</c:v>
                </c:pt>
                <c:pt idx="13">
                  <c:v>14.0371737447101</c:v>
                </c:pt>
                <c:pt idx="14">
                  <c:v>13.5582747224295</c:v>
                </c:pt>
                <c:pt idx="15">
                  <c:v>13.0793757001489</c:v>
                </c:pt>
                <c:pt idx="16">
                  <c:v>12.6004766778683</c:v>
                </c:pt>
                <c:pt idx="17">
                  <c:v>12.1215776555877</c:v>
                </c:pt>
                <c:pt idx="18">
                  <c:v>11.6426786333071</c:v>
                </c:pt>
                <c:pt idx="19">
                  <c:v>11.1637796110264</c:v>
                </c:pt>
                <c:pt idx="20">
                  <c:v>10.6848805887458</c:v>
                </c:pt>
                <c:pt idx="21">
                  <c:v>10.2059815664652</c:v>
                </c:pt>
                <c:pt idx="22">
                  <c:v>9.72708254418459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"P̄ cierre regulado"</c:f>
              <c:strCache>
                <c:ptCount val="1"/>
                <c:pt idx="0">
                  <c:v>P̄ cierre regulado</c:v>
                </c:pt>
              </c:strCache>
            </c:strRef>
          </c:tx>
          <c:spPr>
            <a:solidFill>
              <a:srgbClr val="c7d6b1"/>
            </a:solidFill>
            <a:ln w="47520">
              <a:solidFill>
                <a:srgbClr val="c7d6b1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Pantalla_regimen!$A$2:$A$24</c:f>
              <c:numCache>
                <c:formatCode>General</c:formatCode>
                <c:ptCount val="23"/>
                <c:pt idx="0">
                  <c:v>500</c:v>
                </c:pt>
                <c:pt idx="1">
                  <c:v>750</c:v>
                </c:pt>
                <c:pt idx="2">
                  <c:v>1000</c:v>
                </c:pt>
                <c:pt idx="3">
                  <c:v>1250</c:v>
                </c:pt>
                <c:pt idx="4">
                  <c:v>1500</c:v>
                </c:pt>
                <c:pt idx="5">
                  <c:v>1750</c:v>
                </c:pt>
                <c:pt idx="6">
                  <c:v>2000</c:v>
                </c:pt>
                <c:pt idx="7">
                  <c:v>2250</c:v>
                </c:pt>
                <c:pt idx="8">
                  <c:v>2500</c:v>
                </c:pt>
                <c:pt idx="9">
                  <c:v>2750</c:v>
                </c:pt>
                <c:pt idx="10">
                  <c:v>3000</c:v>
                </c:pt>
                <c:pt idx="11">
                  <c:v>3250</c:v>
                </c:pt>
                <c:pt idx="12">
                  <c:v>3500</c:v>
                </c:pt>
                <c:pt idx="13">
                  <c:v>3750</c:v>
                </c:pt>
                <c:pt idx="14">
                  <c:v>4000</c:v>
                </c:pt>
                <c:pt idx="15">
                  <c:v>4250</c:v>
                </c:pt>
                <c:pt idx="16">
                  <c:v>4500</c:v>
                </c:pt>
                <c:pt idx="17">
                  <c:v>4750</c:v>
                </c:pt>
                <c:pt idx="18">
                  <c:v>5000</c:v>
                </c:pt>
                <c:pt idx="19">
                  <c:v>5250</c:v>
                </c:pt>
                <c:pt idx="20">
                  <c:v>5500</c:v>
                </c:pt>
                <c:pt idx="21">
                  <c:v>5750</c:v>
                </c:pt>
                <c:pt idx="22">
                  <c:v>6000</c:v>
                </c:pt>
              </c:numCache>
            </c:numRef>
          </c:xVal>
          <c:yVal>
            <c:numRef>
              <c:f>Pantalla_regimen!$F$2:$F$24</c:f>
              <c:numCache>
                <c:formatCode>0.0</c:formatCode>
                <c:ptCount val="23"/>
                <c:pt idx="0">
                  <c:v>1.04220195543877</c:v>
                </c:pt>
                <c:pt idx="1">
                  <c:v>1.56330293315815</c:v>
                </c:pt>
                <c:pt idx="2">
                  <c:v>2.08440391087753</c:v>
                </c:pt>
                <c:pt idx="3">
                  <c:v>2.60550488859692</c:v>
                </c:pt>
                <c:pt idx="4">
                  <c:v>3.1266058663163</c:v>
                </c:pt>
                <c:pt idx="5">
                  <c:v>3.64770684403569</c:v>
                </c:pt>
                <c:pt idx="6">
                  <c:v>4.16880782175507</c:v>
                </c:pt>
                <c:pt idx="7">
                  <c:v>4.68990879947445</c:v>
                </c:pt>
                <c:pt idx="8">
                  <c:v>5.21100977719384</c:v>
                </c:pt>
                <c:pt idx="9">
                  <c:v>5.73211075491322</c:v>
                </c:pt>
                <c:pt idx="10">
                  <c:v>6.25321173263261</c:v>
                </c:pt>
                <c:pt idx="11">
                  <c:v>6.77431271035199</c:v>
                </c:pt>
                <c:pt idx="12">
                  <c:v>7.29541368807137</c:v>
                </c:pt>
                <c:pt idx="13">
                  <c:v>7.81651466579076</c:v>
                </c:pt>
                <c:pt idx="14">
                  <c:v>8.33761564351014</c:v>
                </c:pt>
                <c:pt idx="15">
                  <c:v>8.85871662122952</c:v>
                </c:pt>
                <c:pt idx="16">
                  <c:v>9.37981759894891</c:v>
                </c:pt>
                <c:pt idx="17">
                  <c:v>9.90091857666829</c:v>
                </c:pt>
                <c:pt idx="18">
                  <c:v>10.4220195543877</c:v>
                </c:pt>
                <c:pt idx="19">
                  <c:v>10.9431205321071</c:v>
                </c:pt>
                <c:pt idx="20">
                  <c:v>11.4642215098264</c:v>
                </c:pt>
                <c:pt idx="21">
                  <c:v>11.9853224875458</c:v>
                </c:pt>
                <c:pt idx="22">
                  <c:v>12.5064234652652</c:v>
                </c:pt>
              </c:numCache>
            </c:numRef>
          </c:yVal>
          <c:smooth val="1"/>
        </c:ser>
        <c:axId val="86543630"/>
        <c:axId val="36596492"/>
      </c:scatterChart>
      <c:valAx>
        <c:axId val="3147731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Régimen (r. p. m.)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117822"/>
        <c:crosses val="autoZero"/>
        <c:crossBetween val="midCat"/>
      </c:valAx>
      <c:valAx>
        <c:axId val="701178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477312"/>
        <c:crosses val="autoZero"/>
        <c:crossBetween val="midCat"/>
      </c:valAx>
      <c:valAx>
        <c:axId val="86543630"/>
        <c:scaling>
          <c:orientation val="minMax"/>
        </c:scaling>
        <c:delete val="0"/>
        <c:axPos val="t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Régimen (r. p. m.)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596492"/>
        <c:crosses val="autoZero"/>
        <c:crossBetween val="midCat"/>
      </c:valAx>
      <c:valAx>
        <c:axId val="36596492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Potencia media (W)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543630"/>
        <c:crosses val="max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4</xdr:row>
      <xdr:rowOff>69120</xdr:rowOff>
    </xdr:from>
    <xdr:to>
      <xdr:col>19</xdr:col>
      <xdr:colOff>78480</xdr:colOff>
      <xdr:row>27</xdr:row>
      <xdr:rowOff>7200</xdr:rowOff>
    </xdr:to>
    <xdr:graphicFrame>
      <xdr:nvGraphicFramePr>
        <xdr:cNvPr id="0" name="Chart 1"/>
        <xdr:cNvGraphicFramePr/>
      </xdr:nvGraphicFramePr>
      <xdr:xfrm>
        <a:off x="3057480" y="1143000"/>
        <a:ext cx="86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40320</xdr:rowOff>
    </xdr:from>
    <xdr:to>
      <xdr:col>21</xdr:col>
      <xdr:colOff>78840</xdr:colOff>
      <xdr:row>24</xdr:row>
      <xdr:rowOff>168840</xdr:rowOff>
    </xdr:to>
    <xdr:graphicFrame>
      <xdr:nvGraphicFramePr>
        <xdr:cNvPr id="1" name="Chart 1"/>
        <xdr:cNvGraphicFramePr/>
      </xdr:nvGraphicFramePr>
      <xdr:xfrm>
        <a:off x="8083080" y="571680"/>
        <a:ext cx="86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0"/>
    <col collapsed="false" customWidth="true" hidden="false" outlineLevel="0" max="4" min="3" style="0" width="12"/>
    <col collapsed="false" customWidth="true" hidden="false" outlineLevel="0" max="5" min="5" style="0" width="52"/>
  </cols>
  <sheetData>
    <row r="1" customFormat="false" ht="15" hidden="false" customHeight="false" outlineLevel="0" collapsed="false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</row>
    <row r="2" customFormat="false" ht="15" hidden="false" customHeight="false" outlineLevel="0" collapsed="false">
      <c r="A2" s="5" t="s">
        <v>15</v>
      </c>
      <c r="B2" s="5" t="s">
        <v>16</v>
      </c>
      <c r="C2" s="6" t="n">
        <v>12</v>
      </c>
      <c r="D2" s="5" t="s">
        <v>17</v>
      </c>
      <c r="E2" s="5" t="s">
        <v>18</v>
      </c>
    </row>
    <row r="3" customFormat="false" ht="15" hidden="false" customHeight="false" outlineLevel="0" collapsed="false">
      <c r="A3" s="5" t="s">
        <v>19</v>
      </c>
      <c r="B3" s="5" t="s">
        <v>20</v>
      </c>
      <c r="C3" s="6" t="n">
        <v>0.8</v>
      </c>
      <c r="D3" s="5" t="s">
        <v>21</v>
      </c>
      <c r="E3" s="5" t="s">
        <v>22</v>
      </c>
    </row>
    <row r="4" customFormat="false" ht="15" hidden="false" customHeight="false" outlineLevel="0" collapsed="false">
      <c r="A4" s="5" t="s">
        <v>23</v>
      </c>
      <c r="B4" s="5" t="s">
        <v>24</v>
      </c>
      <c r="C4" s="6" t="n">
        <v>3</v>
      </c>
      <c r="D4" s="5" t="s">
        <v>25</v>
      </c>
      <c r="E4" s="5" t="s">
        <v>26</v>
      </c>
    </row>
    <row r="5" customFormat="false" ht="15" hidden="false" customHeight="false" outlineLevel="0" collapsed="false">
      <c r="A5" s="5" t="s">
        <v>27</v>
      </c>
      <c r="B5" s="5" t="s">
        <v>28</v>
      </c>
      <c r="C5" s="6" t="n">
        <v>6</v>
      </c>
      <c r="D5" s="5" t="s">
        <v>29</v>
      </c>
      <c r="E5" s="5" t="s">
        <v>30</v>
      </c>
    </row>
    <row r="6" customFormat="false" ht="15" hidden="false" customHeight="false" outlineLevel="0" collapsed="false">
      <c r="A6" s="5" t="s">
        <v>31</v>
      </c>
      <c r="B6" s="5" t="s">
        <v>32</v>
      </c>
      <c r="C6" s="6" t="n">
        <v>5</v>
      </c>
      <c r="D6" s="5" t="s">
        <v>17</v>
      </c>
      <c r="E6" s="5" t="s">
        <v>33</v>
      </c>
    </row>
    <row r="7" customFormat="false" ht="15" hidden="false" customHeight="false" outlineLevel="0" collapsed="false">
      <c r="A7" s="5" t="s">
        <v>34</v>
      </c>
      <c r="B7" s="5" t="s">
        <v>35</v>
      </c>
      <c r="C7" s="6" t="n">
        <v>10</v>
      </c>
      <c r="D7" s="5" t="s">
        <v>36</v>
      </c>
      <c r="E7" s="5" t="s">
        <v>37</v>
      </c>
    </row>
    <row r="8" customFormat="false" ht="15" hidden="false" customHeight="false" outlineLevel="0" collapsed="false">
      <c r="A8" s="5" t="s">
        <v>38</v>
      </c>
      <c r="B8" s="5" t="s">
        <v>39</v>
      </c>
      <c r="C8" s="6" t="n">
        <v>4</v>
      </c>
      <c r="D8" s="5" t="s">
        <v>40</v>
      </c>
      <c r="E8" s="5"/>
    </row>
    <row r="9" customFormat="false" ht="15" hidden="false" customHeight="false" outlineLevel="0" collapsed="false">
      <c r="A9" s="5" t="s">
        <v>41</v>
      </c>
      <c r="B9" s="5" t="s">
        <v>42</v>
      </c>
      <c r="C9" s="6" t="n">
        <v>20</v>
      </c>
      <c r="D9" s="5" t="s">
        <v>43</v>
      </c>
      <c r="E9" s="5" t="s">
        <v>44</v>
      </c>
    </row>
    <row r="10" customFormat="false" ht="15" hidden="false" customHeight="false" outlineLevel="0" collapsed="false">
      <c r="A10" s="5" t="s">
        <v>45</v>
      </c>
      <c r="B10" s="5" t="s">
        <v>46</v>
      </c>
      <c r="C10" s="6" t="n">
        <v>36</v>
      </c>
      <c r="D10" s="5" t="s">
        <v>43</v>
      </c>
      <c r="E10" s="5" t="s">
        <v>44</v>
      </c>
    </row>
    <row r="11" customFormat="false" ht="15" hidden="false" customHeight="false" outlineLevel="0" collapsed="false">
      <c r="A11" s="5" t="s">
        <v>47</v>
      </c>
      <c r="B11" s="5" t="s">
        <v>48</v>
      </c>
      <c r="C11" s="6" t="n">
        <v>4</v>
      </c>
      <c r="D11" s="5" t="s">
        <v>36</v>
      </c>
      <c r="E11" s="5" t="s">
        <v>49</v>
      </c>
    </row>
    <row r="12" customFormat="false" ht="15" hidden="false" customHeight="false" outlineLevel="0" collapsed="false">
      <c r="A12" s="5" t="s">
        <v>50</v>
      </c>
      <c r="B12" s="5" t="s">
        <v>51</v>
      </c>
      <c r="C12" s="6" t="n">
        <v>800</v>
      </c>
      <c r="D12" s="5" t="s">
        <v>52</v>
      </c>
      <c r="E12" s="5"/>
    </row>
    <row r="13" customFormat="false" ht="15" hidden="false" customHeight="false" outlineLevel="0" collapsed="false">
      <c r="A13" s="5" t="s">
        <v>53</v>
      </c>
      <c r="B13" s="5" t="s">
        <v>54</v>
      </c>
      <c r="C13" s="6" t="n">
        <v>71</v>
      </c>
      <c r="D13" s="5" t="s">
        <v>55</v>
      </c>
      <c r="E13" s="5" t="s">
        <v>56</v>
      </c>
    </row>
    <row r="14" customFormat="false" ht="15" hidden="false" customHeight="false" outlineLevel="0" collapsed="false">
      <c r="A14" s="5" t="s">
        <v>57</v>
      </c>
      <c r="B14" s="5" t="s">
        <v>58</v>
      </c>
      <c r="C14" s="6" t="n">
        <v>1000</v>
      </c>
      <c r="D14" s="5" t="s">
        <v>52</v>
      </c>
      <c r="E14" s="5"/>
    </row>
    <row r="15" customFormat="false" ht="15" hidden="false" customHeight="false" outlineLevel="0" collapsed="false">
      <c r="A15" s="5" t="s">
        <v>59</v>
      </c>
      <c r="B15" s="5" t="s">
        <v>60</v>
      </c>
      <c r="C15" s="6" t="n">
        <v>71</v>
      </c>
      <c r="D15" s="5" t="s">
        <v>55</v>
      </c>
      <c r="E15" s="5"/>
    </row>
    <row r="16" customFormat="false" ht="15" hidden="false" customHeight="false" outlineLevel="0" collapsed="false">
      <c r="A16" s="5" t="s">
        <v>61</v>
      </c>
      <c r="B16" s="5" t="s">
        <v>62</v>
      </c>
      <c r="C16" s="6" t="n">
        <v>2000</v>
      </c>
      <c r="D16" s="5" t="s">
        <v>52</v>
      </c>
      <c r="E16" s="5"/>
    </row>
    <row r="17" customFormat="false" ht="15" hidden="false" customHeight="false" outlineLevel="0" collapsed="false">
      <c r="A17" s="5" t="s">
        <v>63</v>
      </c>
      <c r="B17" s="5" t="s">
        <v>64</v>
      </c>
      <c r="C17" s="6" t="n">
        <v>70</v>
      </c>
      <c r="D17" s="5" t="s">
        <v>55</v>
      </c>
      <c r="E17" s="5"/>
    </row>
    <row r="18" customFormat="false" ht="15" hidden="false" customHeight="false" outlineLevel="0" collapsed="false">
      <c r="A18" s="5" t="s">
        <v>65</v>
      </c>
      <c r="B18" s="5" t="s">
        <v>66</v>
      </c>
      <c r="C18" s="6" t="n">
        <v>3000</v>
      </c>
      <c r="D18" s="5" t="s">
        <v>52</v>
      </c>
      <c r="E18" s="5"/>
    </row>
    <row r="19" customFormat="false" ht="15" hidden="false" customHeight="false" outlineLevel="0" collapsed="false">
      <c r="A19" s="5" t="s">
        <v>67</v>
      </c>
      <c r="B19" s="5" t="s">
        <v>68</v>
      </c>
      <c r="C19" s="6" t="n">
        <v>70</v>
      </c>
      <c r="D19" s="5" t="s">
        <v>55</v>
      </c>
      <c r="E19" s="5"/>
    </row>
    <row r="20" customFormat="false" ht="15" hidden="false" customHeight="false" outlineLevel="0" collapsed="false">
      <c r="A20" s="5" t="s">
        <v>69</v>
      </c>
      <c r="B20" s="5" t="s">
        <v>70</v>
      </c>
      <c r="C20" s="6" t="n">
        <v>10.2</v>
      </c>
      <c r="D20" s="5" t="s">
        <v>17</v>
      </c>
      <c r="E20" s="5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8"/>
    <col collapsed="false" customWidth="true" hidden="false" outlineLevel="0" max="6" min="6" style="0" width="36"/>
  </cols>
  <sheetData>
    <row r="1" customFormat="false" ht="15" hidden="false" customHeight="false" outlineLevel="0" collapsed="false">
      <c r="A1" s="4" t="s">
        <v>72</v>
      </c>
      <c r="B1" s="4" t="s">
        <v>73</v>
      </c>
      <c r="C1" s="4" t="s">
        <v>74</v>
      </c>
      <c r="D1" s="4" t="s">
        <v>75</v>
      </c>
      <c r="E1" s="4" t="s">
        <v>13</v>
      </c>
      <c r="F1" s="4" t="s">
        <v>76</v>
      </c>
    </row>
    <row r="2" customFormat="false" ht="15" hidden="false" customHeight="false" outlineLevel="0" collapsed="false">
      <c r="A2" s="5" t="s">
        <v>77</v>
      </c>
      <c r="B2" s="5" t="s">
        <v>78</v>
      </c>
      <c r="C2" s="5" t="s">
        <v>79</v>
      </c>
      <c r="D2" s="7" t="n">
        <f aca="false">Datos!$C$2/Datos!$C$3</f>
        <v>15</v>
      </c>
      <c r="E2" s="5" t="s">
        <v>29</v>
      </c>
      <c r="F2" s="5" t="s">
        <v>80</v>
      </c>
    </row>
    <row r="3" customFormat="false" ht="15" hidden="false" customHeight="false" outlineLevel="0" collapsed="false">
      <c r="A3" s="5" t="s">
        <v>81</v>
      </c>
      <c r="B3" s="5" t="s">
        <v>82</v>
      </c>
      <c r="C3" s="5" t="s">
        <v>83</v>
      </c>
      <c r="D3" s="7" t="n">
        <f aca="false">Datos!$C$4/Datos!$C$3</f>
        <v>3.75</v>
      </c>
      <c r="E3" s="5" t="s">
        <v>36</v>
      </c>
      <c r="F3" s="5"/>
    </row>
    <row r="4" customFormat="false" ht="15" hidden="false" customHeight="false" outlineLevel="0" collapsed="false">
      <c r="A4" s="5" t="s">
        <v>84</v>
      </c>
      <c r="B4" s="5" t="s">
        <v>85</v>
      </c>
      <c r="C4" s="5" t="s">
        <v>86</v>
      </c>
      <c r="D4" s="7" t="n">
        <f aca="false">IF(Datos!$C$5&lt;D2,-D3*LN(1-Datos!$C$5/D2),"No limita")</f>
        <v>1.91559608912247</v>
      </c>
      <c r="E4" s="5" t="s">
        <v>36</v>
      </c>
      <c r="F4" s="5" t="s">
        <v>87</v>
      </c>
    </row>
    <row r="5" customFormat="false" ht="15" hidden="false" customHeight="false" outlineLevel="0" collapsed="false">
      <c r="A5" s="5" t="s">
        <v>88</v>
      </c>
      <c r="B5" s="5" t="s">
        <v>89</v>
      </c>
      <c r="C5" s="5" t="s">
        <v>90</v>
      </c>
      <c r="D5" s="7" t="n">
        <f aca="false">Datos!$C$6*Datos!$C$5</f>
        <v>30</v>
      </c>
      <c r="E5" s="5" t="s">
        <v>91</v>
      </c>
      <c r="F5" s="5"/>
    </row>
    <row r="6" customFormat="false" ht="15" hidden="false" customHeight="false" outlineLevel="0" collapsed="false">
      <c r="A6" s="5" t="s">
        <v>92</v>
      </c>
      <c r="B6" s="5" t="s">
        <v>93</v>
      </c>
      <c r="C6" s="5" t="s">
        <v>94</v>
      </c>
      <c r="D6" s="7" t="n">
        <f aca="false">IF(ISNUMBER(D4),D5*MAX(0,Datos!$C$7-D4)/1000,0)</f>
        <v>0.242532117326326</v>
      </c>
      <c r="E6" s="5" t="s">
        <v>95</v>
      </c>
      <c r="F6" s="5"/>
    </row>
    <row r="7" customFormat="false" ht="15" hidden="false" customHeight="false" outlineLevel="0" collapsed="false">
      <c r="A7" s="5" t="s">
        <v>96</v>
      </c>
      <c r="B7" s="5" t="s">
        <v>97</v>
      </c>
      <c r="C7" s="5" t="s">
        <v>98</v>
      </c>
      <c r="D7" s="7" t="n">
        <f aca="false">Datos!$C$12*Datos!$C$8/120</f>
        <v>26.6666666666667</v>
      </c>
      <c r="E7" s="5" t="s">
        <v>99</v>
      </c>
      <c r="F7" s="5"/>
    </row>
    <row r="8" customFormat="false" ht="15" hidden="false" customHeight="false" outlineLevel="0" collapsed="false">
      <c r="A8" s="5" t="s">
        <v>100</v>
      </c>
      <c r="B8" s="5" t="s">
        <v>101</v>
      </c>
      <c r="C8" s="5" t="s">
        <v>102</v>
      </c>
      <c r="D8" s="7" t="n">
        <f aca="false">D6*D7</f>
        <v>6.46752312870203</v>
      </c>
      <c r="E8" s="5" t="s">
        <v>91</v>
      </c>
      <c r="F8" s="5" t="s">
        <v>103</v>
      </c>
    </row>
    <row r="9" customFormat="false" ht="15" hidden="false" customHeight="false" outlineLevel="0" collapsed="false">
      <c r="A9" s="5" t="s">
        <v>104</v>
      </c>
      <c r="B9" s="5" t="s">
        <v>105</v>
      </c>
      <c r="C9" s="5" t="s">
        <v>106</v>
      </c>
      <c r="D9" s="7" t="n">
        <f aca="false">360*Datos!$C$9/(PI()*Datos!$C$10)</f>
        <v>63.6619772367581</v>
      </c>
      <c r="E9" s="5" t="s">
        <v>107</v>
      </c>
      <c r="F9" s="5"/>
    </row>
    <row r="10" customFormat="false" ht="15" hidden="false" customHeight="false" outlineLevel="0" collapsed="false">
      <c r="A10" s="5" t="s">
        <v>108</v>
      </c>
      <c r="B10" s="5" t="s">
        <v>109</v>
      </c>
      <c r="C10" s="5" t="s">
        <v>110</v>
      </c>
      <c r="D10" s="7" t="n">
        <f aca="false">D9/(360/Datos!$C$8)*100</f>
        <v>70.7355302630646</v>
      </c>
      <c r="E10" s="5" t="s">
        <v>55</v>
      </c>
      <c r="F10" s="5" t="s">
        <v>111</v>
      </c>
    </row>
    <row r="11" customFormat="false" ht="15" hidden="false" customHeight="false" outlineLevel="0" collapsed="false">
      <c r="A11" s="5" t="s">
        <v>112</v>
      </c>
      <c r="B11" s="5" t="s">
        <v>113</v>
      </c>
      <c r="C11" s="5" t="s">
        <v>114</v>
      </c>
      <c r="D11" s="7" t="n">
        <f aca="false">120000/(Datos!$C$12*Datos!$C$8)</f>
        <v>37.5</v>
      </c>
      <c r="E11" s="5" t="s">
        <v>36</v>
      </c>
      <c r="F11" s="5"/>
    </row>
    <row r="12" customFormat="false" ht="15" hidden="false" customHeight="false" outlineLevel="0" collapsed="false">
      <c r="A12" s="5" t="s">
        <v>115</v>
      </c>
      <c r="B12" s="5" t="s">
        <v>116</v>
      </c>
      <c r="C12" s="5" t="s">
        <v>117</v>
      </c>
      <c r="D12" s="7" t="n">
        <f aca="false">D10/100*D11</f>
        <v>26.5258238486492</v>
      </c>
      <c r="E12" s="5" t="s">
        <v>36</v>
      </c>
      <c r="F12" s="5"/>
    </row>
    <row r="13" customFormat="false" ht="15" hidden="false" customHeight="false" outlineLevel="0" collapsed="false">
      <c r="A13" s="5" t="s">
        <v>118</v>
      </c>
      <c r="B13" s="5" t="s">
        <v>119</v>
      </c>
      <c r="C13" s="5" t="s">
        <v>120</v>
      </c>
      <c r="D13" s="7" t="n">
        <f aca="false">Datos!$C$2-Datos!$C$20</f>
        <v>1.8</v>
      </c>
      <c r="E13" s="5" t="s">
        <v>17</v>
      </c>
      <c r="F13" s="5" t="s">
        <v>121</v>
      </c>
    </row>
    <row r="14" customFormat="false" ht="15" hidden="false" customHeight="false" outlineLevel="0" collapsed="false">
      <c r="A14" s="5" t="s">
        <v>118</v>
      </c>
      <c r="B14" s="5" t="s">
        <v>122</v>
      </c>
      <c r="C14" s="5" t="s">
        <v>40</v>
      </c>
      <c r="D14" s="7" t="str">
        <f aca="false">IF(AND(D13&gt;=1,D13&lt;=3.5),"Correcta","Revisar batería, conexiones y masa")</f>
        <v>Correcta</v>
      </c>
      <c r="E14" s="5" t="s">
        <v>40</v>
      </c>
      <c r="F14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39.55" hidden="false" customHeight="false" outlineLevel="0" collapsed="false">
      <c r="A1" s="4" t="s">
        <v>123</v>
      </c>
      <c r="B1" s="4" t="s">
        <v>124</v>
      </c>
      <c r="C1" s="4" t="s">
        <v>125</v>
      </c>
      <c r="D1" s="4" t="s">
        <v>126</v>
      </c>
      <c r="G1" s="8" t="s">
        <v>127</v>
      </c>
      <c r="H1" s="9" t="n">
        <f aca="false">Calculos!D3</f>
        <v>3.75</v>
      </c>
    </row>
    <row r="2" customFormat="false" ht="15" hidden="false" customHeight="false" outlineLevel="0" collapsed="false">
      <c r="A2" s="0" t="n">
        <v>0</v>
      </c>
      <c r="B2" s="9" t="n">
        <f aca="false">$H$2*(1-EXP(-A2/$H$1))</f>
        <v>0</v>
      </c>
      <c r="C2" s="9" t="n">
        <f aca="false">MIN($H$3,B2)</f>
        <v>0</v>
      </c>
      <c r="D2" s="10" t="n">
        <f aca="false">IF(B2&gt;=$H$3,$H$4*$H$3,0)</f>
        <v>0</v>
      </c>
      <c r="G2" s="8" t="s">
        <v>128</v>
      </c>
      <c r="H2" s="9" t="n">
        <f aca="false">Calculos!D2</f>
        <v>15</v>
      </c>
    </row>
    <row r="3" customFormat="false" ht="15" hidden="false" customHeight="false" outlineLevel="0" collapsed="false">
      <c r="A3" s="0" t="n">
        <v>0.25</v>
      </c>
      <c r="B3" s="9" t="n">
        <f aca="false">$H$2*(1-EXP(-A3/$H$1))</f>
        <v>0.967395224525733</v>
      </c>
      <c r="C3" s="9" t="n">
        <f aca="false">MIN($H$3,B3)</f>
        <v>0.967395224525733</v>
      </c>
      <c r="D3" s="10" t="n">
        <f aca="false">IF(B3&gt;=$H$3,$H$4*$H$3,0)</f>
        <v>0</v>
      </c>
      <c r="G3" s="8" t="s">
        <v>129</v>
      </c>
      <c r="H3" s="8" t="n">
        <f aca="false">Datos!$C$5</f>
        <v>6</v>
      </c>
    </row>
    <row r="4" customFormat="false" ht="15" hidden="false" customHeight="false" outlineLevel="0" collapsed="false">
      <c r="A4" s="0" t="n">
        <v>0.5</v>
      </c>
      <c r="B4" s="9" t="n">
        <f aca="false">$H$2*(1-EXP(-A4/$H$1))</f>
        <v>1.87240021435579</v>
      </c>
      <c r="C4" s="9" t="n">
        <f aca="false">MIN($H$3,B4)</f>
        <v>1.87240021435579</v>
      </c>
      <c r="D4" s="10" t="n">
        <f aca="false">IF(B4&gt;=$H$3,$H$4*$H$3,0)</f>
        <v>0</v>
      </c>
      <c r="G4" s="8" t="s">
        <v>130</v>
      </c>
      <c r="H4" s="8" t="n">
        <f aca="false">Datos!$C$6</f>
        <v>5</v>
      </c>
    </row>
    <row r="5" customFormat="false" ht="15" hidden="false" customHeight="false" outlineLevel="0" collapsed="false">
      <c r="A5" s="0" t="n">
        <v>0.75</v>
      </c>
      <c r="B5" s="9" t="n">
        <f aca="false">$H$2*(1-EXP(-A5/$H$1))</f>
        <v>2.71903870383027</v>
      </c>
      <c r="C5" s="9" t="n">
        <f aca="false">MIN($H$3,B5)</f>
        <v>2.71903870383027</v>
      </c>
      <c r="D5" s="10" t="n">
        <f aca="false">IF(B5&gt;=$H$3,$H$4*$H$3,0)</f>
        <v>0</v>
      </c>
    </row>
    <row r="6" customFormat="false" ht="15" hidden="false" customHeight="false" outlineLevel="0" collapsed="false">
      <c r="A6" s="0" t="n">
        <v>1</v>
      </c>
      <c r="B6" s="9" t="n">
        <f aca="false">$H$2*(1-EXP(-A6/$H$1))</f>
        <v>3.51107492453027</v>
      </c>
      <c r="C6" s="9" t="n">
        <f aca="false">MIN($H$3,B6)</f>
        <v>3.51107492453027</v>
      </c>
      <c r="D6" s="10" t="n">
        <f aca="false">IF(B6&gt;=$H$3,$H$4*$H$3,0)</f>
        <v>0</v>
      </c>
    </row>
    <row r="7" customFormat="false" ht="15" hidden="false" customHeight="false" outlineLevel="0" collapsed="false">
      <c r="A7" s="0" t="n">
        <v>1.25</v>
      </c>
      <c r="B7" s="9" t="n">
        <f aca="false">$H$2*(1-EXP(-A7/$H$1))</f>
        <v>4.25203034139316</v>
      </c>
      <c r="C7" s="9" t="n">
        <f aca="false">MIN($H$3,B7)</f>
        <v>4.25203034139316</v>
      </c>
      <c r="D7" s="10" t="n">
        <f aca="false">IF(B7&gt;=$H$3,$H$4*$H$3,0)</f>
        <v>0</v>
      </c>
    </row>
    <row r="8" customFormat="false" ht="15" hidden="false" customHeight="false" outlineLevel="0" collapsed="false">
      <c r="A8" s="0" t="n">
        <v>1.5</v>
      </c>
      <c r="B8" s="9" t="n">
        <f aca="false">$H$2*(1-EXP(-A8/$H$1))</f>
        <v>4.94519930946541</v>
      </c>
      <c r="C8" s="9" t="n">
        <f aca="false">MIN($H$3,B8)</f>
        <v>4.94519930946541</v>
      </c>
      <c r="D8" s="10" t="n">
        <f aca="false">IF(B8&gt;=$H$3,$H$4*$H$3,0)</f>
        <v>0</v>
      </c>
    </row>
    <row r="9" customFormat="false" ht="15" hidden="false" customHeight="false" outlineLevel="0" collapsed="false">
      <c r="A9" s="0" t="n">
        <v>1.75</v>
      </c>
      <c r="B9" s="9" t="n">
        <f aca="false">$H$2*(1-EXP(-A9/$H$1))</f>
        <v>5.59366372090416</v>
      </c>
      <c r="C9" s="9" t="n">
        <f aca="false">MIN($H$3,B9)</f>
        <v>5.59366372090416</v>
      </c>
      <c r="D9" s="10" t="n">
        <f aca="false">IF(B9&gt;=$H$3,$H$4*$H$3,0)</f>
        <v>0</v>
      </c>
    </row>
    <row r="10" customFormat="false" ht="15" hidden="false" customHeight="false" outlineLevel="0" collapsed="false">
      <c r="A10" s="0" t="n">
        <v>2</v>
      </c>
      <c r="B10" s="9" t="n">
        <f aca="false">$H$2*(1-EXP(-A10/$H$1))</f>
        <v>6.20030670734952</v>
      </c>
      <c r="C10" s="9" t="n">
        <f aca="false">MIN($H$3,B10)</f>
        <v>6</v>
      </c>
      <c r="D10" s="10" t="n">
        <f aca="false">IF(B10&gt;=$H$3,$H$4*$H$3,0)</f>
        <v>30</v>
      </c>
    </row>
    <row r="11" customFormat="false" ht="15" hidden="false" customHeight="false" outlineLevel="0" collapsed="false">
      <c r="A11" s="0" t="n">
        <v>2.25</v>
      </c>
      <c r="B11" s="9" t="n">
        <f aca="false">$H$2*(1-EXP(-A11/$H$1))</f>
        <v>6.7678254585896</v>
      </c>
      <c r="C11" s="9" t="n">
        <f aca="false">MIN($H$3,B11)</f>
        <v>6</v>
      </c>
      <c r="D11" s="10" t="n">
        <f aca="false">IF(B11&gt;=$H$3,$H$4*$H$3,0)</f>
        <v>30</v>
      </c>
    </row>
    <row r="12" customFormat="false" ht="15" hidden="false" customHeight="false" outlineLevel="0" collapsed="false">
      <c r="A12" s="0" t="n">
        <v>2.5</v>
      </c>
      <c r="B12" s="9" t="n">
        <f aca="false">$H$2*(1-EXP(-A12/$H$1))</f>
        <v>7.29874321451112</v>
      </c>
      <c r="C12" s="9" t="n">
        <f aca="false">MIN($H$3,B12)</f>
        <v>6</v>
      </c>
      <c r="D12" s="10" t="n">
        <f aca="false">IF(B12&gt;=$H$3,$H$4*$H$3,0)</f>
        <v>30</v>
      </c>
    </row>
    <row r="13" customFormat="false" ht="15" hidden="false" customHeight="false" outlineLevel="0" collapsed="false">
      <c r="A13" s="0" t="n">
        <v>2.75</v>
      </c>
      <c r="B13" s="9" t="n">
        <f aca="false">$H$2*(1-EXP(-A13/$H$1))</f>
        <v>7.79542048365301</v>
      </c>
      <c r="C13" s="9" t="n">
        <f aca="false">MIN($H$3,B13)</f>
        <v>6</v>
      </c>
      <c r="D13" s="10" t="n">
        <f aca="false">IF(B13&gt;=$H$3,$H$4*$H$3,0)</f>
        <v>30</v>
      </c>
    </row>
    <row r="14" customFormat="false" ht="15" hidden="false" customHeight="false" outlineLevel="0" collapsed="false">
      <c r="A14" s="0" t="n">
        <v>3</v>
      </c>
      <c r="B14" s="9" t="n">
        <f aca="false">$H$2*(1-EXP(-A14/$H$1))</f>
        <v>8.26006553824168</v>
      </c>
      <c r="C14" s="9" t="n">
        <f aca="false">MIN($H$3,B14)</f>
        <v>6</v>
      </c>
      <c r="D14" s="10" t="n">
        <f aca="false">IF(B14&gt;=$H$3,$H$4*$H$3,0)</f>
        <v>30</v>
      </c>
    </row>
    <row r="15" customFormat="false" ht="15" hidden="false" customHeight="false" outlineLevel="0" collapsed="false">
      <c r="A15" s="0" t="n">
        <v>3.25</v>
      </c>
      <c r="B15" s="9" t="n">
        <f aca="false">$H$2*(1-EXP(-A15/$H$1))</f>
        <v>8.69474423236977</v>
      </c>
      <c r="C15" s="9" t="n">
        <f aca="false">MIN($H$3,B15)</f>
        <v>6</v>
      </c>
      <c r="D15" s="10" t="n">
        <f aca="false">IF(B15&gt;=$H$3,$H$4*$H$3,0)</f>
        <v>30</v>
      </c>
    </row>
    <row r="16" customFormat="false" ht="15" hidden="false" customHeight="false" outlineLevel="0" collapsed="false">
      <c r="A16" s="0" t="n">
        <v>3.5</v>
      </c>
      <c r="B16" s="9" t="n">
        <f aca="false">$H$2*(1-EXP(-A16/$H$1))</f>
        <v>9.10138918697103</v>
      </c>
      <c r="C16" s="9" t="n">
        <f aca="false">MIN($H$3,B16)</f>
        <v>6</v>
      </c>
      <c r="D16" s="10" t="n">
        <f aca="false">IF(B16&gt;=$H$3,$H$4*$H$3,0)</f>
        <v>30</v>
      </c>
    </row>
    <row r="17" customFormat="false" ht="15" hidden="false" customHeight="false" outlineLevel="0" collapsed="false">
      <c r="A17" s="0" t="n">
        <v>3.75</v>
      </c>
      <c r="B17" s="9" t="n">
        <f aca="false">$H$2*(1-EXP(-A17/$H$1))</f>
        <v>9.48180838242837</v>
      </c>
      <c r="C17" s="9" t="n">
        <f aca="false">MIN($H$3,B17)</f>
        <v>6</v>
      </c>
      <c r="D17" s="10" t="n">
        <f aca="false">IF(B17&gt;=$H$3,$H$4*$H$3,0)</f>
        <v>30</v>
      </c>
    </row>
    <row r="18" customFormat="false" ht="15" hidden="false" customHeight="false" outlineLevel="0" collapsed="false">
      <c r="A18" s="0" t="n">
        <v>4</v>
      </c>
      <c r="B18" s="9" t="n">
        <f aca="false">$H$2*(1-EXP(-A18/$H$1))</f>
        <v>9.83769319701882</v>
      </c>
      <c r="C18" s="9" t="n">
        <f aca="false">MIN($H$3,B18)</f>
        <v>6</v>
      </c>
      <c r="D18" s="10" t="n">
        <f aca="false">IF(B18&gt;=$H$3,$H$4*$H$3,0)</f>
        <v>30</v>
      </c>
    </row>
    <row r="19" customFormat="false" ht="15" hidden="false" customHeight="false" outlineLevel="0" collapsed="false">
      <c r="A19" s="0" t="n">
        <v>4.25</v>
      </c>
      <c r="B19" s="9" t="n">
        <f aca="false">$H$2*(1-EXP(-A19/$H$1))</f>
        <v>10.1706259269349</v>
      </c>
      <c r="C19" s="9" t="n">
        <f aca="false">MIN($H$3,B19)</f>
        <v>6</v>
      </c>
      <c r="D19" s="10" t="n">
        <f aca="false">IF(B19&gt;=$H$3,$H$4*$H$3,0)</f>
        <v>30</v>
      </c>
    </row>
    <row r="20" customFormat="false" ht="15" hidden="false" customHeight="false" outlineLevel="0" collapsed="false">
      <c r="A20" s="0" t="n">
        <v>4.5</v>
      </c>
      <c r="B20" s="9" t="n">
        <f aca="false">$H$2*(1-EXP(-A20/$H$1))</f>
        <v>10.482086821317</v>
      </c>
      <c r="C20" s="9" t="n">
        <f aca="false">MIN($H$3,B20)</f>
        <v>6</v>
      </c>
      <c r="D20" s="10" t="n">
        <f aca="false">IF(B20&gt;=$H$3,$H$4*$H$3,0)</f>
        <v>30</v>
      </c>
    </row>
    <row r="21" customFormat="false" ht="15" hidden="false" customHeight="false" outlineLevel="0" collapsed="false">
      <c r="A21" s="0" t="n">
        <v>4.75</v>
      </c>
      <c r="B21" s="9" t="n">
        <f aca="false">$H$2*(1-EXP(-A21/$H$1))</f>
        <v>10.7734606635756</v>
      </c>
      <c r="C21" s="9" t="n">
        <f aca="false">MIN($H$3,B21)</f>
        <v>6</v>
      </c>
      <c r="D21" s="10" t="n">
        <f aca="false">IF(B21&gt;=$H$3,$H$4*$H$3,0)</f>
        <v>30</v>
      </c>
    </row>
    <row r="22" customFormat="false" ht="15" hidden="false" customHeight="false" outlineLevel="0" collapsed="false">
      <c r="A22" s="0" t="n">
        <v>5</v>
      </c>
      <c r="B22" s="9" t="n">
        <f aca="false">$H$2*(1-EXP(-A22/$H$1))</f>
        <v>11.0460429282641</v>
      </c>
      <c r="C22" s="9" t="n">
        <f aca="false">MIN($H$3,B22)</f>
        <v>6</v>
      </c>
      <c r="D22" s="10" t="n">
        <f aca="false">IF(B22&gt;=$H$3,$H$4*$H$3,0)</f>
        <v>30</v>
      </c>
    </row>
    <row r="23" customFormat="false" ht="15" hidden="false" customHeight="false" outlineLevel="0" collapsed="false">
      <c r="A23" s="0" t="n">
        <v>5.25</v>
      </c>
      <c r="B23" s="9" t="n">
        <f aca="false">$H$2*(1-EXP(-A23/$H$1))</f>
        <v>11.3010455408759</v>
      </c>
      <c r="C23" s="9" t="n">
        <f aca="false">MIN($H$3,B23)</f>
        <v>6</v>
      </c>
      <c r="D23" s="10" t="n">
        <f aca="false">IF(B23&gt;=$H$3,$H$4*$H$3,0)</f>
        <v>30</v>
      </c>
    </row>
    <row r="24" customFormat="false" ht="15" hidden="false" customHeight="false" outlineLevel="0" collapsed="false">
      <c r="A24" s="0" t="n">
        <v>5.5</v>
      </c>
      <c r="B24" s="9" t="n">
        <f aca="false">$H$2*(1-EXP(-A24/$H$1))</f>
        <v>11.5396022661756</v>
      </c>
      <c r="C24" s="9" t="n">
        <f aca="false">MIN($H$3,B24)</f>
        <v>6</v>
      </c>
      <c r="D24" s="10" t="n">
        <f aca="false">IF(B24&gt;=$H$3,$H$4*$H$3,0)</f>
        <v>30</v>
      </c>
    </row>
    <row r="25" customFormat="false" ht="15" hidden="false" customHeight="false" outlineLevel="0" collapsed="false">
      <c r="A25" s="0" t="n">
        <v>5.75</v>
      </c>
      <c r="B25" s="9" t="n">
        <f aca="false">$H$2*(1-EXP(-A25/$H$1))</f>
        <v>11.7627737490197</v>
      </c>
      <c r="C25" s="9" t="n">
        <f aca="false">MIN($H$3,B25)</f>
        <v>6</v>
      </c>
      <c r="D25" s="10" t="n">
        <f aca="false">IF(B25&gt;=$H$3,$H$4*$H$3,0)</f>
        <v>30</v>
      </c>
    </row>
    <row r="26" customFormat="false" ht="15" hidden="false" customHeight="false" outlineLevel="0" collapsed="false">
      <c r="A26" s="0" t="n">
        <v>6</v>
      </c>
      <c r="B26" s="9" t="n">
        <f aca="false">$H$2*(1-EXP(-A26/$H$1))</f>
        <v>11.9715522300802</v>
      </c>
      <c r="C26" s="9" t="n">
        <f aca="false">MIN($H$3,B26)</f>
        <v>6</v>
      </c>
      <c r="D26" s="10" t="n">
        <f aca="false">IF(B26&gt;=$H$3,$H$4*$H$3,0)</f>
        <v>30</v>
      </c>
    </row>
    <row r="27" customFormat="false" ht="15" hidden="false" customHeight="false" outlineLevel="0" collapsed="false">
      <c r="A27" s="0" t="n">
        <v>6.25</v>
      </c>
      <c r="B27" s="9" t="n">
        <f aca="false">$H$2*(1-EXP(-A27/$H$1))</f>
        <v>12.1668659574366</v>
      </c>
      <c r="C27" s="9" t="n">
        <f aca="false">MIN($H$3,B27)</f>
        <v>6</v>
      </c>
      <c r="D27" s="10" t="n">
        <f aca="false">IF(B27&gt;=$H$3,$H$4*$H$3,0)</f>
        <v>30</v>
      </c>
    </row>
    <row r="28" customFormat="false" ht="15" hidden="false" customHeight="false" outlineLevel="0" collapsed="false">
      <c r="A28" s="0" t="n">
        <v>6.5</v>
      </c>
      <c r="B28" s="9" t="n">
        <f aca="false">$H$2*(1-EXP(-A28/$H$1))</f>
        <v>12.349583313651</v>
      </c>
      <c r="C28" s="9" t="n">
        <f aca="false">MIN($H$3,B28)</f>
        <v>6</v>
      </c>
      <c r="D28" s="10" t="n">
        <f aca="false">IF(B28&gt;=$H$3,$H$4*$H$3,0)</f>
        <v>30</v>
      </c>
    </row>
    <row r="29" customFormat="false" ht="15" hidden="false" customHeight="false" outlineLevel="0" collapsed="false">
      <c r="A29" s="0" t="n">
        <v>6.75</v>
      </c>
      <c r="B29" s="9" t="n">
        <f aca="false">$H$2*(1-EXP(-A29/$H$1))</f>
        <v>12.5205166766762</v>
      </c>
      <c r="C29" s="9" t="n">
        <f aca="false">MIN($H$3,B29)</f>
        <v>6</v>
      </c>
      <c r="D29" s="10" t="n">
        <f aca="false">IF(B29&gt;=$H$3,$H$4*$H$3,0)</f>
        <v>30</v>
      </c>
    </row>
    <row r="30" customFormat="false" ht="15" hidden="false" customHeight="false" outlineLevel="0" collapsed="false">
      <c r="A30" s="0" t="n">
        <v>7</v>
      </c>
      <c r="B30" s="9" t="n">
        <f aca="false">$H$2*(1-EXP(-A30/$H$1))</f>
        <v>12.6804260317612</v>
      </c>
      <c r="C30" s="9" t="n">
        <f aca="false">MIN($H$3,B30)</f>
        <v>6</v>
      </c>
      <c r="D30" s="10" t="n">
        <f aca="false">IF(B30&gt;=$H$3,$H$4*$H$3,0)</f>
        <v>30</v>
      </c>
    </row>
    <row r="31" customFormat="false" ht="15" hidden="false" customHeight="false" outlineLevel="0" collapsed="false">
      <c r="A31" s="0" t="n">
        <v>7.25</v>
      </c>
      <c r="B31" s="9" t="n">
        <f aca="false">$H$2*(1-EXP(-A31/$H$1))</f>
        <v>12.8300223504151</v>
      </c>
      <c r="C31" s="9" t="n">
        <f aca="false">MIN($H$3,B31)</f>
        <v>6</v>
      </c>
      <c r="D31" s="10" t="n">
        <f aca="false">IF(B31&gt;=$H$3,$H$4*$H$3,0)</f>
        <v>30</v>
      </c>
    </row>
    <row r="32" customFormat="false" ht="15" hidden="false" customHeight="false" outlineLevel="0" collapsed="false">
      <c r="A32" s="0" t="n">
        <v>7.5</v>
      </c>
      <c r="B32" s="9" t="n">
        <f aca="false">$H$2*(1-EXP(-A32/$H$1))</f>
        <v>12.9699707514508</v>
      </c>
      <c r="C32" s="9" t="n">
        <f aca="false">MIN($H$3,B32)</f>
        <v>6</v>
      </c>
      <c r="D32" s="10" t="n">
        <f aca="false">IF(B32&gt;=$H$3,$H$4*$H$3,0)</f>
        <v>30</v>
      </c>
    </row>
    <row r="33" customFormat="false" ht="15" hidden="false" customHeight="false" outlineLevel="0" collapsed="false">
      <c r="A33" s="0" t="n">
        <v>7.75</v>
      </c>
      <c r="B33" s="9" t="n">
        <f aca="false">$H$2*(1-EXP(-A33/$H$1))</f>
        <v>13.1008934581637</v>
      </c>
      <c r="C33" s="9" t="n">
        <f aca="false">MIN($H$3,B33)</f>
        <v>6</v>
      </c>
      <c r="D33" s="10" t="n">
        <f aca="false">IF(B33&gt;=$H$3,$H$4*$H$3,0)</f>
        <v>30</v>
      </c>
    </row>
    <row r="34" customFormat="false" ht="15" hidden="false" customHeight="false" outlineLevel="0" collapsed="false">
      <c r="A34" s="0" t="n">
        <v>8</v>
      </c>
      <c r="B34" s="9" t="n">
        <f aca="false">$H$2*(1-EXP(-A34/$H$1))</f>
        <v>13.2233725647929</v>
      </c>
      <c r="C34" s="9" t="n">
        <f aca="false">MIN($H$3,B34)</f>
        <v>6</v>
      </c>
      <c r="D34" s="10" t="n">
        <f aca="false">IF(B34&gt;=$H$3,$H$4*$H$3,0)</f>
        <v>30</v>
      </c>
    </row>
    <row r="35" customFormat="false" ht="15" hidden="false" customHeight="false" outlineLevel="0" collapsed="false">
      <c r="A35" s="0" t="n">
        <v>8.25</v>
      </c>
      <c r="B35" s="9" t="n">
        <f aca="false">$H$2*(1-EXP(-A35/$H$1))</f>
        <v>13.337952624565</v>
      </c>
      <c r="C35" s="9" t="n">
        <f aca="false">MIN($H$3,B35)</f>
        <v>6</v>
      </c>
      <c r="D35" s="10" t="n">
        <f aca="false">IF(B35&gt;=$H$3,$H$4*$H$3,0)</f>
        <v>30</v>
      </c>
    </row>
    <row r="36" customFormat="false" ht="15" hidden="false" customHeight="false" outlineLevel="0" collapsed="false">
      <c r="A36" s="0" t="n">
        <v>8.5</v>
      </c>
      <c r="B36" s="9" t="n">
        <f aca="false">$H$2*(1-EXP(-A36/$H$1))</f>
        <v>13.4451430708271</v>
      </c>
      <c r="C36" s="9" t="n">
        <f aca="false">MIN($H$3,B36)</f>
        <v>6</v>
      </c>
      <c r="D36" s="10" t="n">
        <f aca="false">IF(B36&gt;=$H$3,$H$4*$H$3,0)</f>
        <v>30</v>
      </c>
    </row>
    <row r="37" customFormat="false" ht="15" hidden="false" customHeight="false" outlineLevel="0" collapsed="false">
      <c r="A37" s="0" t="n">
        <v>8.75</v>
      </c>
      <c r="B37" s="9" t="n">
        <f aca="false">$H$2*(1-EXP(-A37/$H$1))</f>
        <v>13.5454204820339</v>
      </c>
      <c r="C37" s="9" t="n">
        <f aca="false">MIN($H$3,B37)</f>
        <v>6</v>
      </c>
      <c r="D37" s="10" t="n">
        <f aca="false">IF(B37&gt;=$H$3,$H$4*$H$3,0)</f>
        <v>30</v>
      </c>
    </row>
    <row r="38" customFormat="false" ht="15" hidden="false" customHeight="false" outlineLevel="0" collapsed="false">
      <c r="A38" s="0" t="n">
        <v>9</v>
      </c>
      <c r="B38" s="9" t="n">
        <f aca="false">$H$2*(1-EXP(-A38/$H$1))</f>
        <v>13.6392307006588</v>
      </c>
      <c r="C38" s="9" t="n">
        <f aca="false">MIN($H$3,B38)</f>
        <v>6</v>
      </c>
      <c r="D38" s="10" t="n">
        <f aca="false">IF(B38&gt;=$H$3,$H$4*$H$3,0)</f>
        <v>30</v>
      </c>
    </row>
    <row r="39" customFormat="false" ht="15" hidden="false" customHeight="false" outlineLevel="0" collapsed="false">
      <c r="A39" s="0" t="n">
        <v>9.25</v>
      </c>
      <c r="B39" s="9" t="n">
        <f aca="false">$H$2*(1-EXP(-A39/$H$1))</f>
        <v>13.7269908154497</v>
      </c>
      <c r="C39" s="9" t="n">
        <f aca="false">MIN($H$3,B39)</f>
        <v>6</v>
      </c>
      <c r="D39" s="10" t="n">
        <f aca="false">IF(B39&gt;=$H$3,$H$4*$H$3,0)</f>
        <v>30</v>
      </c>
    </row>
    <row r="40" customFormat="false" ht="15" hidden="false" customHeight="false" outlineLevel="0" collapsed="false">
      <c r="A40" s="0" t="n">
        <v>9.5</v>
      </c>
      <c r="B40" s="9" t="n">
        <f aca="false">$H$2*(1-EXP(-A40/$H$1))</f>
        <v>13.8090910158438</v>
      </c>
      <c r="C40" s="9" t="n">
        <f aca="false">MIN($H$3,B40)</f>
        <v>6</v>
      </c>
      <c r="D40" s="10" t="n">
        <f aca="false">IF(B40&gt;=$H$3,$H$4*$H$3,0)</f>
        <v>30</v>
      </c>
    </row>
    <row r="41" customFormat="false" ht="15" hidden="false" customHeight="false" outlineLevel="0" collapsed="false">
      <c r="A41" s="0" t="n">
        <v>9.75</v>
      </c>
      <c r="B41" s="9" t="n">
        <f aca="false">$H$2*(1-EXP(-A41/$H$1))</f>
        <v>13.885896326785</v>
      </c>
      <c r="C41" s="9" t="n">
        <f aca="false">MIN($H$3,B41)</f>
        <v>6</v>
      </c>
      <c r="D41" s="10" t="n">
        <f aca="false">IF(B41&gt;=$H$3,$H$4*$H$3,0)</f>
        <v>30</v>
      </c>
    </row>
    <row r="42" customFormat="false" ht="15" hidden="false" customHeight="false" outlineLevel="0" collapsed="false">
      <c r="A42" s="0" t="n">
        <v>10</v>
      </c>
      <c r="B42" s="9" t="n">
        <f aca="false">$H$2*(1-EXP(-A42/$H$1))</f>
        <v>13.957748231658</v>
      </c>
      <c r="C42" s="9" t="n">
        <f aca="false">MIN($H$3,B42)</f>
        <v>6</v>
      </c>
      <c r="D42" s="10" t="n">
        <f aca="false">IF(B42&gt;=$H$3,$H$4*$H$3,0)</f>
        <v>30</v>
      </c>
    </row>
    <row r="43" customFormat="false" ht="15" hidden="false" customHeight="false" outlineLevel="0" collapsed="false">
      <c r="A43" s="0" t="n">
        <v>10.25</v>
      </c>
      <c r="B43" s="9" t="n">
        <f aca="false">$H$2*(1-EXP(-A43/$H$1))</f>
        <v>14.0249661905545</v>
      </c>
      <c r="C43" s="9" t="n">
        <f aca="false">MIN($H$3,B43)</f>
        <v>6</v>
      </c>
      <c r="D43" s="10" t="n">
        <f aca="false">IF(B43&gt;=$H$3,$H$4*$H$3,0)</f>
        <v>30</v>
      </c>
    </row>
    <row r="44" customFormat="false" ht="15" hidden="false" customHeight="false" outlineLevel="0" collapsed="false">
      <c r="A44" s="0" t="n">
        <v>10.5</v>
      </c>
      <c r="B44" s="9" t="n">
        <f aca="false">$H$2*(1-EXP(-A44/$H$1))</f>
        <v>14.0878490606217</v>
      </c>
      <c r="C44" s="9" t="n">
        <f aca="false">MIN($H$3,B44)</f>
        <v>6</v>
      </c>
      <c r="D44" s="10" t="n">
        <f aca="false">IF(B44&gt;=$H$3,$H$4*$H$3,0)</f>
        <v>30</v>
      </c>
    </row>
    <row r="45" customFormat="false" ht="15" hidden="false" customHeight="false" outlineLevel="0" collapsed="false">
      <c r="A45" s="0" t="n">
        <v>10.75</v>
      </c>
      <c r="B45" s="9" t="n">
        <f aca="false">$H$2*(1-EXP(-A45/$H$1))</f>
        <v>14.1466764248085</v>
      </c>
      <c r="C45" s="9" t="n">
        <f aca="false">MIN($H$3,B45)</f>
        <v>6</v>
      </c>
      <c r="D45" s="10" t="n">
        <f aca="false">IF(B45&gt;=$H$3,$H$4*$H$3,0)</f>
        <v>30</v>
      </c>
    </row>
    <row r="46" customFormat="false" ht="15" hidden="false" customHeight="false" outlineLevel="0" collapsed="false">
      <c r="A46" s="0" t="n">
        <v>11</v>
      </c>
      <c r="B46" s="9" t="n">
        <f aca="false">$H$2*(1-EXP(-A46/$H$1))</f>
        <v>14.2017098349162</v>
      </c>
      <c r="C46" s="9" t="n">
        <f aca="false">MIN($H$3,B46)</f>
        <v>6</v>
      </c>
      <c r="D46" s="10" t="n">
        <f aca="false">IF(B46&gt;=$H$3,$H$4*$H$3,0)</f>
        <v>30</v>
      </c>
    </row>
    <row r="47" customFormat="false" ht="15" hidden="false" customHeight="false" outlineLevel="0" collapsed="false">
      <c r="A47" s="0" t="n">
        <v>11.25</v>
      </c>
      <c r="B47" s="9" t="n">
        <f aca="false">$H$2*(1-EXP(-A47/$H$1))</f>
        <v>14.253193974482</v>
      </c>
      <c r="C47" s="9" t="n">
        <f aca="false">MIN($H$3,B47)</f>
        <v>6</v>
      </c>
      <c r="D47" s="10" t="n">
        <f aca="false">IF(B47&gt;=$H$3,$H$4*$H$3,0)</f>
        <v>30</v>
      </c>
    </row>
    <row r="48" customFormat="false" ht="15" hidden="false" customHeight="false" outlineLevel="0" collapsed="false">
      <c r="A48" s="0" t="n">
        <v>11.5</v>
      </c>
      <c r="B48" s="9" t="n">
        <f aca="false">$H$2*(1-EXP(-A48/$H$1))</f>
        <v>14.3013577466643</v>
      </c>
      <c r="C48" s="9" t="n">
        <f aca="false">MIN($H$3,B48)</f>
        <v>6</v>
      </c>
      <c r="D48" s="10" t="n">
        <f aca="false">IF(B48&gt;=$H$3,$H$4*$H$3,0)</f>
        <v>30</v>
      </c>
    </row>
    <row r="49" customFormat="false" ht="15" hidden="false" customHeight="false" outlineLevel="0" collapsed="false">
      <c r="A49" s="0" t="n">
        <v>11.75</v>
      </c>
      <c r="B49" s="9" t="n">
        <f aca="false">$H$2*(1-EXP(-A49/$H$1))</f>
        <v>14.3464152919662</v>
      </c>
      <c r="C49" s="9" t="n">
        <f aca="false">MIN($H$3,B49)</f>
        <v>6</v>
      </c>
      <c r="D49" s="10" t="n">
        <f aca="false">IF(B49&gt;=$H$3,$H$4*$H$3,0)</f>
        <v>30</v>
      </c>
    </row>
    <row r="50" customFormat="false" ht="15" hidden="false" customHeight="false" outlineLevel="0" collapsed="false">
      <c r="A50" s="0" t="n">
        <v>12</v>
      </c>
      <c r="B50" s="9" t="n">
        <f aca="false">$H$2*(1-EXP(-A50/$H$1))</f>
        <v>14.3885669403245</v>
      </c>
      <c r="C50" s="9" t="n">
        <f aca="false">MIN($H$3,B50)</f>
        <v>6</v>
      </c>
      <c r="D50" s="10" t="n">
        <f aca="false">IF(B50&gt;=$H$3,$H$4*$H$3,0)</f>
        <v>30</v>
      </c>
    </row>
    <row r="51" customFormat="false" ht="15" hidden="false" customHeight="false" outlineLevel="0" collapsed="false">
      <c r="A51" s="0" t="n">
        <v>12.25</v>
      </c>
      <c r="B51" s="9" t="n">
        <f aca="false">$H$2*(1-EXP(-A51/$H$1))</f>
        <v>14.4280001017943</v>
      </c>
      <c r="C51" s="9" t="n">
        <f aca="false">MIN($H$3,B51)</f>
        <v>6</v>
      </c>
      <c r="D51" s="10" t="n">
        <f aca="false">IF(B51&gt;=$H$3,$H$4*$H$3,0)</f>
        <v>30</v>
      </c>
    </row>
    <row r="52" customFormat="false" ht="15" hidden="false" customHeight="false" outlineLevel="0" collapsed="false">
      <c r="A52" s="0" t="n">
        <v>12.5</v>
      </c>
      <c r="B52" s="9" t="n">
        <f aca="false">$H$2*(1-EXP(-A52/$H$1))</f>
        <v>14.4648900997912</v>
      </c>
      <c r="C52" s="9" t="n">
        <f aca="false">MIN($H$3,B52)</f>
        <v>6</v>
      </c>
      <c r="D52" s="10" t="n">
        <f aca="false">IF(B52&gt;=$H$3,$H$4*$H$3,0)</f>
        <v>30</v>
      </c>
    </row>
    <row r="53" customFormat="false" ht="15" hidden="false" customHeight="false" outlineLevel="0" collapsed="false">
      <c r="A53" s="0" t="n">
        <v>12.75</v>
      </c>
      <c r="B53" s="9" t="n">
        <f aca="false">$H$2*(1-EXP(-A53/$H$1))</f>
        <v>14.4994009505951</v>
      </c>
      <c r="C53" s="9" t="n">
        <f aca="false">MIN($H$3,B53)</f>
        <v>6</v>
      </c>
      <c r="D53" s="10" t="n">
        <f aca="false">IF(B53&gt;=$H$3,$H$4*$H$3,0)</f>
        <v>30</v>
      </c>
    </row>
    <row r="54" customFormat="false" ht="15" hidden="false" customHeight="false" outlineLevel="0" collapsed="false">
      <c r="A54" s="0" t="n">
        <v>13</v>
      </c>
      <c r="B54" s="9" t="n">
        <f aca="false">$H$2*(1-EXP(-A54/$H$1))</f>
        <v>14.5316860925815</v>
      </c>
      <c r="C54" s="9" t="n">
        <f aca="false">MIN($H$3,B54)</f>
        <v>6</v>
      </c>
      <c r="D54" s="10" t="n">
        <f aca="false">IF(B54&gt;=$H$3,$H$4*$H$3,0)</f>
        <v>30</v>
      </c>
    </row>
    <row r="55" customFormat="false" ht="15" hidden="false" customHeight="false" outlineLevel="0" collapsed="false">
      <c r="A55" s="0" t="n">
        <v>13.25</v>
      </c>
      <c r="B55" s="9" t="n">
        <f aca="false">$H$2*(1-EXP(-A55/$H$1))</f>
        <v>14.5618890684226</v>
      </c>
      <c r="C55" s="9" t="n">
        <f aca="false">MIN($H$3,B55)</f>
        <v>6</v>
      </c>
      <c r="D55" s="10" t="n">
        <f aca="false">IF(B55&gt;=$H$3,$H$4*$H$3,0)</f>
        <v>30</v>
      </c>
    </row>
    <row r="56" customFormat="false" ht="15" hidden="false" customHeight="false" outlineLevel="0" collapsed="false">
      <c r="A56" s="0" t="n">
        <v>13.5</v>
      </c>
      <c r="B56" s="9" t="n">
        <f aca="false">$H$2*(1-EXP(-A56/$H$1))</f>
        <v>14.5901441632906</v>
      </c>
      <c r="C56" s="9" t="n">
        <f aca="false">MIN($H$3,B56)</f>
        <v>6</v>
      </c>
      <c r="D56" s="10" t="n">
        <f aca="false">IF(B56&gt;=$H$3,$H$4*$H$3,0)</f>
        <v>30</v>
      </c>
    </row>
    <row r="57" customFormat="false" ht="15" hidden="false" customHeight="false" outlineLevel="0" collapsed="false">
      <c r="A57" s="0" t="n">
        <v>13.75</v>
      </c>
      <c r="B57" s="9" t="n">
        <f aca="false">$H$2*(1-EXP(-A57/$H$1))</f>
        <v>14.6165770019024</v>
      </c>
      <c r="C57" s="9" t="n">
        <f aca="false">MIN($H$3,B57)</f>
        <v>6</v>
      </c>
      <c r="D57" s="10" t="n">
        <f aca="false">IF(B57&gt;=$H$3,$H$4*$H$3,0)</f>
        <v>30</v>
      </c>
    </row>
    <row r="58" customFormat="false" ht="15" hidden="false" customHeight="false" outlineLevel="0" collapsed="false">
      <c r="A58" s="0" t="n">
        <v>14</v>
      </c>
      <c r="B58" s="9" t="n">
        <f aca="false">$H$2*(1-EXP(-A58/$H$1))</f>
        <v>14.6413051070579</v>
      </c>
      <c r="C58" s="9" t="n">
        <f aca="false">MIN($H$3,B58)</f>
        <v>6</v>
      </c>
      <c r="D58" s="10" t="n">
        <f aca="false">IF(B58&gt;=$H$3,$H$4*$H$3,0)</f>
        <v>30</v>
      </c>
    </row>
    <row r="59" customFormat="false" ht="15" hidden="false" customHeight="false" outlineLevel="0" collapsed="false">
      <c r="A59" s="0" t="n">
        <v>14.25</v>
      </c>
      <c r="B59" s="9" t="n">
        <f aca="false">$H$2*(1-EXP(-A59/$H$1))</f>
        <v>14.6644384221575</v>
      </c>
      <c r="C59" s="9" t="n">
        <f aca="false">MIN($H$3,B59)</f>
        <v>6</v>
      </c>
      <c r="D59" s="10" t="n">
        <f aca="false">IF(B59&gt;=$H$3,$H$4*$H$3,0)</f>
        <v>30</v>
      </c>
    </row>
    <row r="60" customFormat="false" ht="15" hidden="false" customHeight="false" outlineLevel="0" collapsed="false">
      <c r="A60" s="0" t="n">
        <v>14.5</v>
      </c>
      <c r="B60" s="9" t="n">
        <f aca="false">$H$2*(1-EXP(-A60/$H$1))</f>
        <v>14.6860798000201</v>
      </c>
      <c r="C60" s="9" t="n">
        <f aca="false">MIN($H$3,B60)</f>
        <v>6</v>
      </c>
      <c r="D60" s="10" t="n">
        <f aca="false">IF(B60&gt;=$H$3,$H$4*$H$3,0)</f>
        <v>30</v>
      </c>
    </row>
    <row r="61" customFormat="false" ht="15" hidden="false" customHeight="false" outlineLevel="0" collapsed="false">
      <c r="A61" s="0" t="n">
        <v>14.75</v>
      </c>
      <c r="B61" s="9" t="n">
        <f aca="false">$H$2*(1-EXP(-A61/$H$1))</f>
        <v>14.7063254601763</v>
      </c>
      <c r="C61" s="9" t="n">
        <f aca="false">MIN($H$3,B61)</f>
        <v>6</v>
      </c>
      <c r="D61" s="10" t="n">
        <f aca="false">IF(B61&gt;=$H$3,$H$4*$H$3,0)</f>
        <v>30</v>
      </c>
    </row>
    <row r="62" customFormat="false" ht="15" hidden="false" customHeight="false" outlineLevel="0" collapsed="false">
      <c r="A62" s="0" t="n">
        <v>15</v>
      </c>
      <c r="B62" s="9" t="n">
        <f aca="false">$H$2*(1-EXP(-A62/$H$1))</f>
        <v>14.725265416669</v>
      </c>
      <c r="C62" s="9" t="n">
        <f aca="false">MIN($H$3,B62)</f>
        <v>6</v>
      </c>
      <c r="D62" s="10" t="n">
        <f aca="false">IF(B62&gt;=$H$3,$H$4*$H$3,0)</f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4" min="3" style="0" width="16"/>
    <col collapsed="false" customWidth="true" hidden="false" outlineLevel="0" max="6" min="5" style="0" width="26"/>
  </cols>
  <sheetData>
    <row r="1" customFormat="false" ht="26.85" hidden="false" customHeight="false" outlineLevel="0" collapsed="false">
      <c r="A1" s="4" t="s">
        <v>131</v>
      </c>
      <c r="B1" s="4" t="s">
        <v>132</v>
      </c>
      <c r="C1" s="4" t="s">
        <v>133</v>
      </c>
      <c r="D1" s="4" t="s">
        <v>134</v>
      </c>
      <c r="E1" s="4" t="s">
        <v>135</v>
      </c>
      <c r="F1" s="4" t="s">
        <v>136</v>
      </c>
      <c r="H1" s="8" t="s">
        <v>137</v>
      </c>
      <c r="I1" s="9" t="n">
        <f aca="false">IF(ISNUMBER(Calculos!D4),Calculos!D4,0)</f>
        <v>1.91559608912247</v>
      </c>
    </row>
    <row r="2" customFormat="false" ht="15" hidden="false" customHeight="false" outlineLevel="0" collapsed="false">
      <c r="A2" s="0" t="n">
        <v>500</v>
      </c>
      <c r="B2" s="9" t="n">
        <f aca="false">120000/(A2*Datos!$C$8)</f>
        <v>60</v>
      </c>
      <c r="C2" s="9" t="n">
        <f aca="false">Calculos!$D$10/100*B2</f>
        <v>42.4413181578388</v>
      </c>
      <c r="D2" s="9" t="n">
        <f aca="false">MIN(Datos!$C$11,0.8*B2)</f>
        <v>4</v>
      </c>
      <c r="E2" s="10" t="n">
        <f aca="false">Calculos!$D$5*MAX(0,C2-$I$1)/1000*A2*Datos!$C$8/120</f>
        <v>20.2628610343581</v>
      </c>
      <c r="F2" s="10" t="n">
        <f aca="false">Calculos!$D$5*MAX(0,D2-$I$1)/1000*A2*Datos!$C$8/120</f>
        <v>1.04220195543877</v>
      </c>
    </row>
    <row r="3" customFormat="false" ht="15" hidden="false" customHeight="false" outlineLevel="0" collapsed="false">
      <c r="A3" s="0" t="n">
        <v>750</v>
      </c>
      <c r="B3" s="9" t="n">
        <f aca="false">120000/(A3*Datos!$C$8)</f>
        <v>40</v>
      </c>
      <c r="C3" s="9" t="n">
        <f aca="false">Calculos!$D$10/100*B3</f>
        <v>28.2942121052258</v>
      </c>
      <c r="D3" s="9" t="n">
        <f aca="false">MIN(Datos!$C$11,0.8*B3)</f>
        <v>4</v>
      </c>
      <c r="E3" s="10" t="n">
        <f aca="false">Calculos!$D$5*MAX(0,C3-$I$1)/1000*A3*Datos!$C$8/120</f>
        <v>19.7839620120775</v>
      </c>
      <c r="F3" s="10" t="n">
        <f aca="false">Calculos!$D$5*MAX(0,D3-$I$1)/1000*A3*Datos!$C$8/120</f>
        <v>1.56330293315815</v>
      </c>
    </row>
    <row r="4" customFormat="false" ht="15" hidden="false" customHeight="false" outlineLevel="0" collapsed="false">
      <c r="A4" s="0" t="n">
        <v>1000</v>
      </c>
      <c r="B4" s="9" t="n">
        <f aca="false">120000/(A4*Datos!$C$8)</f>
        <v>30</v>
      </c>
      <c r="C4" s="9" t="n">
        <f aca="false">Calculos!$D$10/100*B4</f>
        <v>21.2206590789194</v>
      </c>
      <c r="D4" s="9" t="n">
        <f aca="false">MIN(Datos!$C$11,0.8*B4)</f>
        <v>4</v>
      </c>
      <c r="E4" s="10" t="n">
        <f aca="false">Calculos!$D$5*MAX(0,C4-$I$1)/1000*A4*Datos!$C$8/120</f>
        <v>19.3050629897969</v>
      </c>
      <c r="F4" s="10" t="n">
        <f aca="false">Calculos!$D$5*MAX(0,D4-$I$1)/1000*A4*Datos!$C$8/120</f>
        <v>2.08440391087753</v>
      </c>
    </row>
    <row r="5" customFormat="false" ht="15" hidden="false" customHeight="false" outlineLevel="0" collapsed="false">
      <c r="A5" s="0" t="n">
        <v>1250</v>
      </c>
      <c r="B5" s="9" t="n">
        <f aca="false">120000/(A5*Datos!$C$8)</f>
        <v>24</v>
      </c>
      <c r="C5" s="9" t="n">
        <f aca="false">Calculos!$D$10/100*B5</f>
        <v>16.9765272631355</v>
      </c>
      <c r="D5" s="9" t="n">
        <f aca="false">MIN(Datos!$C$11,0.8*B5)</f>
        <v>4</v>
      </c>
      <c r="E5" s="10" t="n">
        <f aca="false">Calculos!$D$5*MAX(0,C5-$I$1)/1000*A5*Datos!$C$8/120</f>
        <v>18.8261639675163</v>
      </c>
      <c r="F5" s="10" t="n">
        <f aca="false">Calculos!$D$5*MAX(0,D5-$I$1)/1000*A5*Datos!$C$8/120</f>
        <v>2.60550488859692</v>
      </c>
    </row>
    <row r="6" customFormat="false" ht="15" hidden="false" customHeight="false" outlineLevel="0" collapsed="false">
      <c r="A6" s="0" t="n">
        <v>1500</v>
      </c>
      <c r="B6" s="9" t="n">
        <f aca="false">120000/(A6*Datos!$C$8)</f>
        <v>20</v>
      </c>
      <c r="C6" s="9" t="n">
        <f aca="false">Calculos!$D$10/100*B6</f>
        <v>14.1471060526129</v>
      </c>
      <c r="D6" s="9" t="n">
        <f aca="false">MIN(Datos!$C$11,0.8*B6)</f>
        <v>4</v>
      </c>
      <c r="E6" s="10" t="n">
        <f aca="false">Calculos!$D$5*MAX(0,C6-$I$1)/1000*A6*Datos!$C$8/120</f>
        <v>18.3472649452357</v>
      </c>
      <c r="F6" s="10" t="n">
        <f aca="false">Calculos!$D$5*MAX(0,D6-$I$1)/1000*A6*Datos!$C$8/120</f>
        <v>3.1266058663163</v>
      </c>
    </row>
    <row r="7" customFormat="false" ht="15" hidden="false" customHeight="false" outlineLevel="0" collapsed="false">
      <c r="A7" s="0" t="n">
        <v>1750</v>
      </c>
      <c r="B7" s="9" t="n">
        <f aca="false">120000/(A7*Datos!$C$8)</f>
        <v>17.1428571428571</v>
      </c>
      <c r="C7" s="9" t="n">
        <f aca="false">Calculos!$D$10/100*B7</f>
        <v>12.1260909022396</v>
      </c>
      <c r="D7" s="9" t="n">
        <f aca="false">MIN(Datos!$C$11,0.8*B7)</f>
        <v>4</v>
      </c>
      <c r="E7" s="10" t="n">
        <f aca="false">Calculos!$D$5*MAX(0,C7-$I$1)/1000*A7*Datos!$C$8/120</f>
        <v>17.8683659229551</v>
      </c>
      <c r="F7" s="10" t="n">
        <f aca="false">Calculos!$D$5*MAX(0,D7-$I$1)/1000*A7*Datos!$C$8/120</f>
        <v>3.64770684403569</v>
      </c>
    </row>
    <row r="8" customFormat="false" ht="15" hidden="false" customHeight="false" outlineLevel="0" collapsed="false">
      <c r="A8" s="0" t="n">
        <v>2000</v>
      </c>
      <c r="B8" s="9" t="n">
        <f aca="false">120000/(A8*Datos!$C$8)</f>
        <v>15</v>
      </c>
      <c r="C8" s="9" t="n">
        <f aca="false">Calculos!$D$10/100*B8</f>
        <v>10.6103295394597</v>
      </c>
      <c r="D8" s="9" t="n">
        <f aca="false">MIN(Datos!$C$11,0.8*B8)</f>
        <v>4</v>
      </c>
      <c r="E8" s="10" t="n">
        <f aca="false">Calculos!$D$5*MAX(0,C8-$I$1)/1000*A8*Datos!$C$8/120</f>
        <v>17.3894669006745</v>
      </c>
      <c r="F8" s="10" t="n">
        <f aca="false">Calculos!$D$5*MAX(0,D8-$I$1)/1000*A8*Datos!$C$8/120</f>
        <v>4.16880782175507</v>
      </c>
    </row>
    <row r="9" customFormat="false" ht="15" hidden="false" customHeight="false" outlineLevel="0" collapsed="false">
      <c r="A9" s="0" t="n">
        <v>2250</v>
      </c>
      <c r="B9" s="9" t="n">
        <f aca="false">120000/(A9*Datos!$C$8)</f>
        <v>13.3333333333333</v>
      </c>
      <c r="C9" s="9" t="n">
        <f aca="false">Calculos!$D$10/100*B9</f>
        <v>9.43140403507528</v>
      </c>
      <c r="D9" s="9" t="n">
        <f aca="false">MIN(Datos!$C$11,0.8*B9)</f>
        <v>4</v>
      </c>
      <c r="E9" s="10" t="n">
        <f aca="false">Calculos!$D$5*MAX(0,C9-$I$1)/1000*A9*Datos!$C$8/120</f>
        <v>16.9105678783938</v>
      </c>
      <c r="F9" s="10" t="n">
        <f aca="false">Calculos!$D$5*MAX(0,D9-$I$1)/1000*A9*Datos!$C$8/120</f>
        <v>4.68990879947445</v>
      </c>
    </row>
    <row r="10" customFormat="false" ht="15" hidden="false" customHeight="false" outlineLevel="0" collapsed="false">
      <c r="A10" s="0" t="n">
        <v>2500</v>
      </c>
      <c r="B10" s="9" t="n">
        <f aca="false">120000/(A10*Datos!$C$8)</f>
        <v>12</v>
      </c>
      <c r="C10" s="9" t="n">
        <f aca="false">Calculos!$D$10/100*B10</f>
        <v>8.48826363156775</v>
      </c>
      <c r="D10" s="9" t="n">
        <f aca="false">MIN(Datos!$C$11,0.8*B10)</f>
        <v>4</v>
      </c>
      <c r="E10" s="10" t="n">
        <f aca="false">Calculos!$D$5*MAX(0,C10-$I$1)/1000*A10*Datos!$C$8/120</f>
        <v>16.4316688561132</v>
      </c>
      <c r="F10" s="10" t="n">
        <f aca="false">Calculos!$D$5*MAX(0,D10-$I$1)/1000*A10*Datos!$C$8/120</f>
        <v>5.21100977719384</v>
      </c>
    </row>
    <row r="11" customFormat="false" ht="15" hidden="false" customHeight="false" outlineLevel="0" collapsed="false">
      <c r="A11" s="0" t="n">
        <v>2750</v>
      </c>
      <c r="B11" s="9" t="n">
        <f aca="false">120000/(A11*Datos!$C$8)</f>
        <v>10.9090909090909</v>
      </c>
      <c r="C11" s="9" t="n">
        <f aca="false">Calculos!$D$10/100*B11</f>
        <v>7.71660330142523</v>
      </c>
      <c r="D11" s="9" t="n">
        <f aca="false">MIN(Datos!$C$11,0.8*B11)</f>
        <v>4</v>
      </c>
      <c r="E11" s="10" t="n">
        <f aca="false">Calculos!$D$5*MAX(0,C11-$I$1)/1000*A11*Datos!$C$8/120</f>
        <v>15.9527698338326</v>
      </c>
      <c r="F11" s="10" t="n">
        <f aca="false">Calculos!$D$5*MAX(0,D11-$I$1)/1000*A11*Datos!$C$8/120</f>
        <v>5.73211075491322</v>
      </c>
    </row>
    <row r="12" customFormat="false" ht="15" hidden="false" customHeight="false" outlineLevel="0" collapsed="false">
      <c r="A12" s="0" t="n">
        <v>3000</v>
      </c>
      <c r="B12" s="9" t="n">
        <f aca="false">120000/(A12*Datos!$C$8)</f>
        <v>10</v>
      </c>
      <c r="C12" s="9" t="n">
        <f aca="false">Calculos!$D$10/100*B12</f>
        <v>7.07355302630646</v>
      </c>
      <c r="D12" s="9" t="n">
        <f aca="false">MIN(Datos!$C$11,0.8*B12)</f>
        <v>4</v>
      </c>
      <c r="E12" s="10" t="n">
        <f aca="false">Calculos!$D$5*MAX(0,C12-$I$1)/1000*A12*Datos!$C$8/120</f>
        <v>15.473870811552</v>
      </c>
      <c r="F12" s="10" t="n">
        <f aca="false">Calculos!$D$5*MAX(0,D12-$I$1)/1000*A12*Datos!$C$8/120</f>
        <v>6.25321173263261</v>
      </c>
    </row>
    <row r="13" customFormat="false" ht="15" hidden="false" customHeight="false" outlineLevel="0" collapsed="false">
      <c r="A13" s="0" t="n">
        <v>3250</v>
      </c>
      <c r="B13" s="9" t="n">
        <f aca="false">120000/(A13*Datos!$C$8)</f>
        <v>9.23076923076923</v>
      </c>
      <c r="C13" s="9" t="n">
        <f aca="false">Calculos!$D$10/100*B13</f>
        <v>6.52943356274442</v>
      </c>
      <c r="D13" s="9" t="n">
        <f aca="false">MIN(Datos!$C$11,0.8*B13)</f>
        <v>4</v>
      </c>
      <c r="E13" s="10" t="n">
        <f aca="false">Calculos!$D$5*MAX(0,C13-$I$1)/1000*A13*Datos!$C$8/120</f>
        <v>14.9949717892714</v>
      </c>
      <c r="F13" s="10" t="n">
        <f aca="false">Calculos!$D$5*MAX(0,D13-$I$1)/1000*A13*Datos!$C$8/120</f>
        <v>6.77431271035199</v>
      </c>
    </row>
    <row r="14" customFormat="false" ht="15" hidden="false" customHeight="false" outlineLevel="0" collapsed="false">
      <c r="A14" s="0" t="n">
        <v>3500</v>
      </c>
      <c r="B14" s="9" t="n">
        <f aca="false">120000/(A14*Datos!$C$8)</f>
        <v>8.57142857142857</v>
      </c>
      <c r="C14" s="9" t="n">
        <f aca="false">Calculos!$D$10/100*B14</f>
        <v>6.06304545111982</v>
      </c>
      <c r="D14" s="9" t="n">
        <f aca="false">MIN(Datos!$C$11,0.8*B14)</f>
        <v>4</v>
      </c>
      <c r="E14" s="10" t="n">
        <f aca="false">Calculos!$D$5*MAX(0,C14-$I$1)/1000*A14*Datos!$C$8/120</f>
        <v>14.5160727669907</v>
      </c>
      <c r="F14" s="10" t="n">
        <f aca="false">Calculos!$D$5*MAX(0,D14-$I$1)/1000*A14*Datos!$C$8/120</f>
        <v>7.29541368807137</v>
      </c>
    </row>
    <row r="15" customFormat="false" ht="15" hidden="false" customHeight="false" outlineLevel="0" collapsed="false">
      <c r="A15" s="0" t="n">
        <v>3750</v>
      </c>
      <c r="B15" s="9" t="n">
        <f aca="false">120000/(A15*Datos!$C$8)</f>
        <v>8</v>
      </c>
      <c r="C15" s="9" t="n">
        <f aca="false">Calculos!$D$10/100*B15</f>
        <v>5.65884242104517</v>
      </c>
      <c r="D15" s="9" t="n">
        <f aca="false">MIN(Datos!$C$11,0.8*B15)</f>
        <v>4</v>
      </c>
      <c r="E15" s="10" t="n">
        <f aca="false">Calculos!$D$5*MAX(0,C15-$I$1)/1000*A15*Datos!$C$8/120</f>
        <v>14.0371737447101</v>
      </c>
      <c r="F15" s="10" t="n">
        <f aca="false">Calculos!$D$5*MAX(0,D15-$I$1)/1000*A15*Datos!$C$8/120</f>
        <v>7.81651466579076</v>
      </c>
    </row>
    <row r="16" customFormat="false" ht="15" hidden="false" customHeight="false" outlineLevel="0" collapsed="false">
      <c r="A16" s="0" t="n">
        <v>4000</v>
      </c>
      <c r="B16" s="9" t="n">
        <f aca="false">120000/(A16*Datos!$C$8)</f>
        <v>7.5</v>
      </c>
      <c r="C16" s="9" t="n">
        <f aca="false">Calculos!$D$10/100*B16</f>
        <v>5.30516476972985</v>
      </c>
      <c r="D16" s="9" t="n">
        <f aca="false">MIN(Datos!$C$11,0.8*B16)</f>
        <v>4</v>
      </c>
      <c r="E16" s="10" t="n">
        <f aca="false">Calculos!$D$5*MAX(0,C16-$I$1)/1000*A16*Datos!$C$8/120</f>
        <v>13.5582747224295</v>
      </c>
      <c r="F16" s="10" t="n">
        <f aca="false">Calculos!$D$5*MAX(0,D16-$I$1)/1000*A16*Datos!$C$8/120</f>
        <v>8.33761564351014</v>
      </c>
    </row>
    <row r="17" customFormat="false" ht="15" hidden="false" customHeight="false" outlineLevel="0" collapsed="false">
      <c r="A17" s="0" t="n">
        <v>4250</v>
      </c>
      <c r="B17" s="9" t="n">
        <f aca="false">120000/(A17*Datos!$C$8)</f>
        <v>7.05882352941176</v>
      </c>
      <c r="C17" s="9" t="n">
        <f aca="false">Calculos!$D$10/100*B17</f>
        <v>4.99309625386338</v>
      </c>
      <c r="D17" s="9" t="n">
        <f aca="false">MIN(Datos!$C$11,0.8*B17)</f>
        <v>4</v>
      </c>
      <c r="E17" s="10" t="n">
        <f aca="false">Calculos!$D$5*MAX(0,C17-$I$1)/1000*A17*Datos!$C$8/120</f>
        <v>13.0793757001489</v>
      </c>
      <c r="F17" s="10" t="n">
        <f aca="false">Calculos!$D$5*MAX(0,D17-$I$1)/1000*A17*Datos!$C$8/120</f>
        <v>8.85871662122952</v>
      </c>
    </row>
    <row r="18" customFormat="false" ht="15" hidden="false" customHeight="false" outlineLevel="0" collapsed="false">
      <c r="A18" s="0" t="n">
        <v>4500</v>
      </c>
      <c r="B18" s="9" t="n">
        <f aca="false">120000/(A18*Datos!$C$8)</f>
        <v>6.66666666666667</v>
      </c>
      <c r="C18" s="9" t="n">
        <f aca="false">Calculos!$D$10/100*B18</f>
        <v>4.71570201753764</v>
      </c>
      <c r="D18" s="9" t="n">
        <f aca="false">MIN(Datos!$C$11,0.8*B18)</f>
        <v>4</v>
      </c>
      <c r="E18" s="10" t="n">
        <f aca="false">Calculos!$D$5*MAX(0,C18-$I$1)/1000*A18*Datos!$C$8/120</f>
        <v>12.6004766778683</v>
      </c>
      <c r="F18" s="10" t="n">
        <f aca="false">Calculos!$D$5*MAX(0,D18-$I$1)/1000*A18*Datos!$C$8/120</f>
        <v>9.37981759894891</v>
      </c>
    </row>
    <row r="19" customFormat="false" ht="15" hidden="false" customHeight="false" outlineLevel="0" collapsed="false">
      <c r="A19" s="0" t="n">
        <v>4750</v>
      </c>
      <c r="B19" s="9" t="n">
        <f aca="false">120000/(A19*Datos!$C$8)</f>
        <v>6.31578947368421</v>
      </c>
      <c r="C19" s="9" t="n">
        <f aca="false">Calculos!$D$10/100*B19</f>
        <v>4.46750717450934</v>
      </c>
      <c r="D19" s="9" t="n">
        <f aca="false">MIN(Datos!$C$11,0.8*B19)</f>
        <v>4</v>
      </c>
      <c r="E19" s="10" t="n">
        <f aca="false">Calculos!$D$5*MAX(0,C19-$I$1)/1000*A19*Datos!$C$8/120</f>
        <v>12.1215776555877</v>
      </c>
      <c r="F19" s="10" t="n">
        <f aca="false">Calculos!$D$5*MAX(0,D19-$I$1)/1000*A19*Datos!$C$8/120</f>
        <v>9.90091857666829</v>
      </c>
    </row>
    <row r="20" customFormat="false" ht="15" hidden="false" customHeight="false" outlineLevel="0" collapsed="false">
      <c r="A20" s="0" t="n">
        <v>5000</v>
      </c>
      <c r="B20" s="9" t="n">
        <f aca="false">120000/(A20*Datos!$C$8)</f>
        <v>6</v>
      </c>
      <c r="C20" s="9" t="n">
        <f aca="false">Calculos!$D$10/100*B20</f>
        <v>4.24413181578388</v>
      </c>
      <c r="D20" s="9" t="n">
        <f aca="false">MIN(Datos!$C$11,0.8*B20)</f>
        <v>4</v>
      </c>
      <c r="E20" s="10" t="n">
        <f aca="false">Calculos!$D$5*MAX(0,C20-$I$1)/1000*A20*Datos!$C$8/120</f>
        <v>11.6426786333071</v>
      </c>
      <c r="F20" s="10" t="n">
        <f aca="false">Calculos!$D$5*MAX(0,D20-$I$1)/1000*A20*Datos!$C$8/120</f>
        <v>10.4220195543877</v>
      </c>
    </row>
    <row r="21" customFormat="false" ht="15" hidden="false" customHeight="false" outlineLevel="0" collapsed="false">
      <c r="A21" s="0" t="n">
        <v>5250</v>
      </c>
      <c r="B21" s="9" t="n">
        <f aca="false">120000/(A21*Datos!$C$8)</f>
        <v>5.71428571428571</v>
      </c>
      <c r="C21" s="9" t="n">
        <f aca="false">Calculos!$D$10/100*B21</f>
        <v>4.04203030074655</v>
      </c>
      <c r="D21" s="9" t="n">
        <f aca="false">MIN(Datos!$C$11,0.8*B21)</f>
        <v>4</v>
      </c>
      <c r="E21" s="10" t="n">
        <f aca="false">Calculos!$D$5*MAX(0,C21-$I$1)/1000*A21*Datos!$C$8/120</f>
        <v>11.1637796110264</v>
      </c>
      <c r="F21" s="10" t="n">
        <f aca="false">Calculos!$D$5*MAX(0,D21-$I$1)/1000*A21*Datos!$C$8/120</f>
        <v>10.9431205321071</v>
      </c>
    </row>
    <row r="22" customFormat="false" ht="15" hidden="false" customHeight="false" outlineLevel="0" collapsed="false">
      <c r="A22" s="0" t="n">
        <v>5500</v>
      </c>
      <c r="B22" s="9" t="n">
        <f aca="false">120000/(A22*Datos!$C$8)</f>
        <v>5.45454545454545</v>
      </c>
      <c r="C22" s="9" t="n">
        <f aca="false">Calculos!$D$10/100*B22</f>
        <v>3.85830165071261</v>
      </c>
      <c r="D22" s="9" t="n">
        <f aca="false">MIN(Datos!$C$11,0.8*B22)</f>
        <v>4</v>
      </c>
      <c r="E22" s="10" t="n">
        <f aca="false">Calculos!$D$5*MAX(0,C22-$I$1)/1000*A22*Datos!$C$8/120</f>
        <v>10.6848805887458</v>
      </c>
      <c r="F22" s="10" t="n">
        <f aca="false">Calculos!$D$5*MAX(0,D22-$I$1)/1000*A22*Datos!$C$8/120</f>
        <v>11.4642215098264</v>
      </c>
    </row>
    <row r="23" customFormat="false" ht="15" hidden="false" customHeight="false" outlineLevel="0" collapsed="false">
      <c r="A23" s="0" t="n">
        <v>5750</v>
      </c>
      <c r="B23" s="9" t="n">
        <f aca="false">120000/(A23*Datos!$C$8)</f>
        <v>5.21739130434783</v>
      </c>
      <c r="C23" s="9" t="n">
        <f aca="false">Calculos!$D$10/100*B23</f>
        <v>3.69054940502946</v>
      </c>
      <c r="D23" s="9" t="n">
        <f aca="false">MIN(Datos!$C$11,0.8*B23)</f>
        <v>4</v>
      </c>
      <c r="E23" s="10" t="n">
        <f aca="false">Calculos!$D$5*MAX(0,C23-$I$1)/1000*A23*Datos!$C$8/120</f>
        <v>10.2059815664652</v>
      </c>
      <c r="F23" s="10" t="n">
        <f aca="false">Calculos!$D$5*MAX(0,D23-$I$1)/1000*A23*Datos!$C$8/120</f>
        <v>11.9853224875458</v>
      </c>
    </row>
    <row r="24" customFormat="false" ht="15" hidden="false" customHeight="false" outlineLevel="0" collapsed="false">
      <c r="A24" s="0" t="n">
        <v>6000</v>
      </c>
      <c r="B24" s="9" t="n">
        <f aca="false">120000/(A24*Datos!$C$8)</f>
        <v>5</v>
      </c>
      <c r="C24" s="9" t="n">
        <f aca="false">Calculos!$D$10/100*B24</f>
        <v>3.53677651315323</v>
      </c>
      <c r="D24" s="9" t="n">
        <f aca="false">MIN(Datos!$C$11,0.8*B24)</f>
        <v>4</v>
      </c>
      <c r="E24" s="10" t="n">
        <f aca="false">Calculos!$D$5*MAX(0,C24-$I$1)/1000*A24*Datos!$C$8/120</f>
        <v>9.72708254418459</v>
      </c>
      <c r="F24" s="10" t="n">
        <f aca="false">Calculos!$D$5*MAX(0,D24-$I$1)/1000*A24*Datos!$C$8/120</f>
        <v>12.5064234652652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6"/>
  </cols>
  <sheetData>
    <row r="1" customFormat="false" ht="26.85" hidden="false" customHeight="false" outlineLevel="0" collapsed="false">
      <c r="A1" s="4" t="s">
        <v>138</v>
      </c>
      <c r="B1" s="4" t="s">
        <v>132</v>
      </c>
      <c r="C1" s="4" t="s">
        <v>139</v>
      </c>
      <c r="D1" s="4" t="s">
        <v>140</v>
      </c>
      <c r="E1" s="4" t="s">
        <v>141</v>
      </c>
      <c r="F1" s="4" t="s">
        <v>142</v>
      </c>
      <c r="G1" s="4" t="s">
        <v>143</v>
      </c>
      <c r="H1" s="4" t="s">
        <v>144</v>
      </c>
    </row>
    <row r="2" customFormat="false" ht="15" hidden="false" customHeight="false" outlineLevel="0" collapsed="false">
      <c r="A2" s="5" t="n">
        <f aca="false">Datos!$C$12</f>
        <v>800</v>
      </c>
      <c r="B2" s="7" t="n">
        <f aca="false">120000/(A2*Datos!$C$8)</f>
        <v>37.5</v>
      </c>
      <c r="C2" s="11" t="n">
        <f aca="false">A2*Datos!$C$8/120</f>
        <v>26.6666666666667</v>
      </c>
      <c r="D2" s="11" t="n">
        <f aca="false">Calculos!$D$9</f>
        <v>63.6619772367581</v>
      </c>
      <c r="E2" s="11" t="n">
        <f aca="false">Calculos!$D$10</f>
        <v>70.7355302630646</v>
      </c>
      <c r="F2" s="11" t="n">
        <f aca="false">Datos!$C$13</f>
        <v>71</v>
      </c>
      <c r="G2" s="7" t="n">
        <f aca="false">E2/100*B2</f>
        <v>26.5258238486492</v>
      </c>
      <c r="H2" s="11" t="n">
        <f aca="false">F2-E2</f>
        <v>0.264469736935411</v>
      </c>
    </row>
    <row r="3" customFormat="false" ht="15" hidden="false" customHeight="false" outlineLevel="0" collapsed="false">
      <c r="A3" s="5" t="n">
        <f aca="false">Datos!$C$14</f>
        <v>1000</v>
      </c>
      <c r="B3" s="7" t="n">
        <f aca="false">120000/(A3*Datos!$C$8)</f>
        <v>30</v>
      </c>
      <c r="C3" s="11" t="n">
        <f aca="false">A3*Datos!$C$8/120</f>
        <v>33.3333333333333</v>
      </c>
      <c r="D3" s="11" t="n">
        <f aca="false">Calculos!$D$9</f>
        <v>63.6619772367581</v>
      </c>
      <c r="E3" s="11" t="n">
        <f aca="false">Calculos!$D$10</f>
        <v>70.7355302630646</v>
      </c>
      <c r="F3" s="11" t="n">
        <f aca="false">Datos!$C$15</f>
        <v>71</v>
      </c>
      <c r="G3" s="7" t="n">
        <f aca="false">E3/100*B3</f>
        <v>21.2206590789194</v>
      </c>
      <c r="H3" s="11" t="n">
        <f aca="false">F3-E3</f>
        <v>0.264469736935411</v>
      </c>
    </row>
    <row r="4" customFormat="false" ht="15" hidden="false" customHeight="false" outlineLevel="0" collapsed="false">
      <c r="A4" s="5" t="n">
        <f aca="false">Datos!$C$16</f>
        <v>2000</v>
      </c>
      <c r="B4" s="7" t="n">
        <f aca="false">120000/(A4*Datos!$C$8)</f>
        <v>15</v>
      </c>
      <c r="C4" s="11" t="n">
        <f aca="false">A4*Datos!$C$8/120</f>
        <v>66.6666666666667</v>
      </c>
      <c r="D4" s="11" t="n">
        <f aca="false">Calculos!$D$9</f>
        <v>63.6619772367581</v>
      </c>
      <c r="E4" s="11" t="n">
        <f aca="false">Calculos!$D$10</f>
        <v>70.7355302630646</v>
      </c>
      <c r="F4" s="11" t="n">
        <f aca="false">Datos!$C$17</f>
        <v>70</v>
      </c>
      <c r="G4" s="7" t="n">
        <f aca="false">E4/100*B4</f>
        <v>10.6103295394597</v>
      </c>
      <c r="H4" s="11" t="n">
        <f aca="false">F4-E4</f>
        <v>-0.73553026306459</v>
      </c>
    </row>
    <row r="5" customFormat="false" ht="15" hidden="false" customHeight="false" outlineLevel="0" collapsed="false">
      <c r="A5" s="5" t="n">
        <f aca="false">Datos!$C$18</f>
        <v>3000</v>
      </c>
      <c r="B5" s="7" t="n">
        <f aca="false">120000/(A5*Datos!$C$8)</f>
        <v>10</v>
      </c>
      <c r="C5" s="11" t="n">
        <f aca="false">A5*Datos!$C$8/120</f>
        <v>100</v>
      </c>
      <c r="D5" s="11" t="n">
        <f aca="false">Calculos!$D$9</f>
        <v>63.6619772367581</v>
      </c>
      <c r="E5" s="11" t="n">
        <f aca="false">Calculos!$D$10</f>
        <v>70.7355302630646</v>
      </c>
      <c r="F5" s="11" t="n">
        <f aca="false">Datos!$C$19</f>
        <v>70</v>
      </c>
      <c r="G5" s="7" t="n">
        <f aca="false">E5/100*B5</f>
        <v>7.07355302630646</v>
      </c>
      <c r="H5" s="11" t="n">
        <f aca="false">F5-E5</f>
        <v>-0.73553026306459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2026-09-21T17:42:36Z</dcterms:created>
  <dc:creator>openpyxl</dc:creator>
  <dc:description/>
  <dc:language>en-US</dc:language>
  <cp:lastModifiedBy/>
  <dcterms:modified xsi:type="dcterms:W3CDTF">2026-09-21T17:42:38Z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