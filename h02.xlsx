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eño (Parte 2)" sheetId="1" state="visible" r:id="rId3"/>
    <sheet name="Calibración (Parte 4)" sheetId="2" state="visible" r:id="rId4"/>
    <sheet name="Carga y rendimiento (Parte 4)" sheetId="3" state="visible" r:id="rId5"/>
    <sheet name="Carga de batería (Parte 5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<sst xmlns="http://schemas.openxmlformats.org/spreadsheetml/2006/main" count="122" uniqueCount="97">
  <si>
    <t xml:space="preserve">Práctica 21, Partes 2 a 5 — Fuentes de laboratorio DPS5005 (A) y SK120X (B)</t>
  </si>
  <si>
    <t xml:space="preserve">Celdas amarillas con texto azul = datos (se pueden cambiar). El resto son fórmulas. Ecuaciones según la guía de la Parte 2.</t>
  </si>
  <si>
    <t xml:space="preserve">Dato</t>
  </si>
  <si>
    <t xml:space="preserve">Fuente A</t>
  </si>
  <si>
    <t xml:space="preserve">Fuente B</t>
  </si>
  <si>
    <t xml:space="preserve">Comentario</t>
  </si>
  <si>
    <t xml:space="preserve">Tensión de la fuente conmutada (V)</t>
  </si>
  <si>
    <t xml:space="preserve">Placa</t>
  </si>
  <si>
    <t xml:space="preserve">Corriente nominal de la fuente conmutada (A)</t>
  </si>
  <si>
    <t xml:space="preserve">Tensión máxima de entrada del módulo (V)</t>
  </si>
  <si>
    <t xml:space="preserve">DPS5005: 55 V; SK120X: 36 V</t>
  </si>
  <si>
    <t xml:space="preserve">Tensión máxima de salida del módulo (V)</t>
  </si>
  <si>
    <t xml:space="preserve">Hoja de datos</t>
  </si>
  <si>
    <t xml:space="preserve">Corriente máxima del módulo (A)</t>
  </si>
  <si>
    <t xml:space="preserve">Potencia máxima del módulo (W)</t>
  </si>
  <si>
    <t xml:space="preserve">Relación mínima Vin/Vout (solo reductor)</t>
  </si>
  <si>
    <t xml:space="preserve">DPS5005: 1,1; SK120X: 0 (reduce y eleva)</t>
  </si>
  <si>
    <t xml:space="preserve">Rendimiento supuesto del módulo</t>
  </si>
  <si>
    <t xml:space="preserve">Rendimiento de la fuente conmutada</t>
  </si>
  <si>
    <t xml:space="preserve">Factor de potencia de la fuente conmutada</t>
  </si>
  <si>
    <t xml:space="preserve">Sin corrección: 0,5–0,6</t>
  </si>
  <si>
    <t xml:space="preserve">Tensión de red (V)</t>
  </si>
  <si>
    <t xml:space="preserve">Tensión de salida de diseño (V)</t>
  </si>
  <si>
    <t xml:space="preserve">Corriente de salida de diseño (A)</t>
  </si>
  <si>
    <t xml:space="preserve">B limitada por 120 W a 36 V</t>
  </si>
  <si>
    <t xml:space="preserve">Tensión para el ciclo de trabajo (V)</t>
  </si>
  <si>
    <t xml:space="preserve">Carga de baterías</t>
  </si>
  <si>
    <t xml:space="preserve">Longitud de un cable de prueba (m)</t>
  </si>
  <si>
    <t xml:space="preserve">Sección del cable de prueba (mm²)</t>
  </si>
  <si>
    <t xml:space="preserve">Resistividad del cobre (Ω·mm²/m)</t>
  </si>
  <si>
    <t xml:space="preserve">Resultado</t>
  </si>
  <si>
    <t xml:space="preserve">Ec.</t>
  </si>
  <si>
    <t xml:space="preserve">Comprobación A</t>
  </si>
  <si>
    <t xml:space="preserve">Comprobación B</t>
  </si>
  <si>
    <t xml:space="preserve">Tensión máxima de salida (V)</t>
  </si>
  <si>
    <t xml:space="preserve">(2)</t>
  </si>
  <si>
    <t xml:space="preserve">Ciclo de trabajo para la tensión de 14,4 V</t>
  </si>
  <si>
    <t xml:space="preserve">(1)/(3)</t>
  </si>
  <si>
    <t xml:space="preserve">Potencia de salida de diseño (W)</t>
  </si>
  <si>
    <t xml:space="preserve">(4)</t>
  </si>
  <si>
    <t xml:space="preserve">Potencia de entrada del módulo (W)</t>
  </si>
  <si>
    <t xml:space="preserve">(5)</t>
  </si>
  <si>
    <t xml:space="preserve">Corriente pedida a la fuente conmutada (A)</t>
  </si>
  <si>
    <t xml:space="preserve">(6)</t>
  </si>
  <si>
    <t xml:space="preserve">Calor en el módulo (W)</t>
  </si>
  <si>
    <t xml:space="preserve">(7)</t>
  </si>
  <si>
    <t xml:space="preserve">Corriente de red (A)</t>
  </si>
  <si>
    <t xml:space="preserve">(8)</t>
  </si>
  <si>
    <t xml:space="preserve">Fusible lento mínimo (1,25 × I red) (A)</t>
  </si>
  <si>
    <t xml:space="preserve">—</t>
  </si>
  <si>
    <t xml:space="preserve">Caída en los cables de prueba (V)</t>
  </si>
  <si>
    <t xml:space="preserve">(9)</t>
  </si>
  <si>
    <t xml:space="preserve">Comprobación de la tensión de entrada</t>
  </si>
  <si>
    <t xml:space="preserve">Calibración de tensión y corriente (Tablas 2 y 3 de la Parte 4)</t>
  </si>
  <si>
    <t xml:space="preserve">Criterio de aceptación: error &lt; 1 % en tensión (≥ 5 V) y &lt; 2 % en corriente (≥ 0,5 A).</t>
  </si>
  <si>
    <t xml:space="preserve">V programada (V)</t>
  </si>
  <si>
    <t xml:space="preserve">Pantalla A</t>
  </si>
  <si>
    <t xml:space="preserve">Multímetro A</t>
  </si>
  <si>
    <t xml:space="preserve">Error A (%)</t>
  </si>
  <si>
    <t xml:space="preserve">¿Cumple A?</t>
  </si>
  <si>
    <t xml:space="preserve">Pantalla B</t>
  </si>
  <si>
    <t xml:space="preserve">Multímetro B</t>
  </si>
  <si>
    <t xml:space="preserve">Error B (%)</t>
  </si>
  <si>
    <t xml:space="preserve">¿Cumple B?</t>
  </si>
  <si>
    <t xml:space="preserve">I programada (A)</t>
  </si>
  <si>
    <t xml:space="preserve">Patrón A</t>
  </si>
  <si>
    <t xml:space="preserve">Patrón B</t>
  </si>
  <si>
    <t xml:space="preserve">Ejemplo de llenado: pantalla 14,40 V y multímetro 14,32 V → error 0,56 % → cumple.</t>
  </si>
  <si>
    <t xml:space="preserve">Regulación de carga y rendimiento global a 14,4 V (Tabla 5 de la Parte 4)</t>
  </si>
  <si>
    <t xml:space="preserve">Fuente</t>
  </si>
  <si>
    <t xml:space="preserve">Carga</t>
  </si>
  <si>
    <t xml:space="preserve">V bornes fuente (V)</t>
  </si>
  <si>
    <t xml:space="preserve">V en la carga (V)</t>
  </si>
  <si>
    <t xml:space="preserve">I (A)</t>
  </si>
  <si>
    <t xml:space="preserve">P red (W)</t>
  </si>
  <si>
    <t xml:space="preserve">P salida (W)</t>
  </si>
  <si>
    <t xml:space="preserve">η global (%)</t>
  </si>
  <si>
    <t xml:space="preserve">Regulación (%)</t>
  </si>
  <si>
    <t xml:space="preserve">Caída en cables (V)</t>
  </si>
  <si>
    <t xml:space="preserve">A</t>
  </si>
  <si>
    <t xml:space="preserve">Sin carga</t>
  </si>
  <si>
    <t xml:space="preserve">Lámpara P21W</t>
  </si>
  <si>
    <t xml:space="preserve">Lámpara H4 (55 W)</t>
  </si>
  <si>
    <t xml:space="preserve">Resistencia 10 Ω</t>
  </si>
  <si>
    <t xml:space="preserve">B</t>
  </si>
  <si>
    <t xml:space="preserve">Ecuaciones (2) y (3) de la Parte 4. La regulación se calcula respecto de la tensión sin carga medida en los bornes de la fuente.</t>
  </si>
  <si>
    <t xml:space="preserve">Registro de carga IU de la batería (Tabla 5 de la Parte 5)</t>
  </si>
  <si>
    <t xml:space="preserve">Capacidad C20 (Ah)</t>
  </si>
  <si>
    <t xml:space="preserve">Corriente de carga 0,1·C20 (A)</t>
  </si>
  <si>
    <t xml:space="preserve">Tensión de la etapa U en bornes (V)</t>
  </si>
  <si>
    <t xml:space="preserve">Caída del diodo Schottky (V)</t>
  </si>
  <si>
    <t xml:space="preserve">V-SET a programar (V)</t>
  </si>
  <si>
    <t xml:space="preserve">Tiempo (min)</t>
  </si>
  <si>
    <t xml:space="preserve">V en bornes (V)</t>
  </si>
  <si>
    <t xml:space="preserve">Modo (CC/CV)</t>
  </si>
  <si>
    <t xml:space="preserve">Carga del intervalo (Ah)</t>
  </si>
  <si>
    <t xml:space="preserve">Carga acumulada (Ah)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</si>
</sst>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@"/>
    <numFmt numFmtId="167" formatCode="0.000"/>
    <numFmt numFmtId="168" formatCode="0.0"/>
    <numFmt numFmtId="169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6"/>
    <col collapsed="false" customWidth="true" hidden="false" outlineLevel="0" max="4" min="4" style="0" width="10"/>
    <col collapsed="false" customWidth="true" hidden="false" outlineLevel="0" max="5" min="5" style="0" width="40"/>
    <col collapsed="false" customWidth="true" hidden="false" outlineLevel="0" max="6" min="6" style="0" width="3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/>
      <c r="E4" s="3" t="s">
        <v>5</v>
      </c>
    </row>
    <row r="5" customFormat="false" ht="15" hidden="false" customHeight="false" outlineLevel="0" collapsed="false">
      <c r="A5" s="4" t="s">
        <v>6</v>
      </c>
      <c r="B5" s="5" t="n">
        <v>36</v>
      </c>
      <c r="C5" s="5" t="n">
        <v>24</v>
      </c>
      <c r="E5" s="6" t="s">
        <v>7</v>
      </c>
    </row>
    <row r="6" customFormat="false" ht="15" hidden="false" customHeight="false" outlineLevel="0" collapsed="false">
      <c r="A6" s="4" t="s">
        <v>8</v>
      </c>
      <c r="B6" s="5" t="n">
        <v>5.9</v>
      </c>
      <c r="C6" s="5" t="n">
        <v>6.5</v>
      </c>
      <c r="E6" s="6" t="s">
        <v>7</v>
      </c>
    </row>
    <row r="7" customFormat="false" ht="15" hidden="false" customHeight="false" outlineLevel="0" collapsed="false">
      <c r="A7" s="4" t="s">
        <v>9</v>
      </c>
      <c r="B7" s="5" t="n">
        <v>55</v>
      </c>
      <c r="C7" s="5" t="n">
        <v>36</v>
      </c>
      <c r="E7" s="6" t="s">
        <v>10</v>
      </c>
    </row>
    <row r="8" customFormat="false" ht="15" hidden="false" customHeight="false" outlineLevel="0" collapsed="false">
      <c r="A8" s="4" t="s">
        <v>11</v>
      </c>
      <c r="B8" s="5" t="n">
        <v>50</v>
      </c>
      <c r="C8" s="5" t="n">
        <v>36</v>
      </c>
      <c r="E8" s="6" t="s">
        <v>12</v>
      </c>
    </row>
    <row r="9" customFormat="false" ht="15" hidden="false" customHeight="false" outlineLevel="0" collapsed="false">
      <c r="A9" s="4" t="s">
        <v>13</v>
      </c>
      <c r="B9" s="5" t="n">
        <v>5</v>
      </c>
      <c r="C9" s="5" t="n">
        <v>6</v>
      </c>
      <c r="E9" s="6" t="s">
        <v>12</v>
      </c>
    </row>
    <row r="10" customFormat="false" ht="15" hidden="false" customHeight="false" outlineLevel="0" collapsed="false">
      <c r="A10" s="4" t="s">
        <v>14</v>
      </c>
      <c r="B10" s="5" t="n">
        <v>250</v>
      </c>
      <c r="C10" s="5" t="n">
        <v>120</v>
      </c>
      <c r="E10" s="6" t="s">
        <v>12</v>
      </c>
    </row>
    <row r="11" customFormat="false" ht="15" hidden="false" customHeight="false" outlineLevel="0" collapsed="false">
      <c r="A11" s="4" t="s">
        <v>15</v>
      </c>
      <c r="B11" s="5" t="n">
        <v>1.1</v>
      </c>
      <c r="C11" s="5" t="n">
        <v>0</v>
      </c>
      <c r="E11" s="6" t="s">
        <v>16</v>
      </c>
    </row>
    <row r="12" customFormat="false" ht="15" hidden="false" customHeight="false" outlineLevel="0" collapsed="false">
      <c r="A12" s="4" t="s">
        <v>17</v>
      </c>
      <c r="B12" s="5" t="n">
        <v>0.9</v>
      </c>
      <c r="C12" s="5" t="n">
        <v>0.88</v>
      </c>
      <c r="E12" s="6"/>
    </row>
    <row r="13" customFormat="false" ht="15" hidden="false" customHeight="false" outlineLevel="0" collapsed="false">
      <c r="A13" s="4" t="s">
        <v>18</v>
      </c>
      <c r="B13" s="5" t="n">
        <v>0.88</v>
      </c>
      <c r="C13" s="5" t="n">
        <v>0.88</v>
      </c>
      <c r="E13" s="6"/>
    </row>
    <row r="14" customFormat="false" ht="15" hidden="false" customHeight="false" outlineLevel="0" collapsed="false">
      <c r="A14" s="4" t="s">
        <v>19</v>
      </c>
      <c r="B14" s="5" t="n">
        <v>0.6</v>
      </c>
      <c r="C14" s="5" t="n">
        <v>0.6</v>
      </c>
      <c r="E14" s="6" t="s">
        <v>20</v>
      </c>
    </row>
    <row r="15" customFormat="false" ht="15" hidden="false" customHeight="false" outlineLevel="0" collapsed="false">
      <c r="A15" s="4" t="s">
        <v>21</v>
      </c>
      <c r="B15" s="5" t="n">
        <v>120</v>
      </c>
      <c r="C15" s="5" t="n">
        <v>120</v>
      </c>
      <c r="E15" s="6"/>
    </row>
    <row r="16" customFormat="false" ht="15" hidden="false" customHeight="false" outlineLevel="0" collapsed="false">
      <c r="A16" s="4" t="s">
        <v>22</v>
      </c>
      <c r="B16" s="5" t="n">
        <v>32</v>
      </c>
      <c r="C16" s="5" t="n">
        <v>36</v>
      </c>
      <c r="E16" s="6"/>
    </row>
    <row r="17" customFormat="false" ht="15" hidden="false" customHeight="false" outlineLevel="0" collapsed="false">
      <c r="A17" s="4" t="s">
        <v>23</v>
      </c>
      <c r="B17" s="5" t="n">
        <v>5</v>
      </c>
      <c r="C17" s="5" t="n">
        <v>3.3</v>
      </c>
      <c r="E17" s="6" t="s">
        <v>24</v>
      </c>
    </row>
    <row r="18" customFormat="false" ht="15" hidden="false" customHeight="false" outlineLevel="0" collapsed="false">
      <c r="A18" s="4" t="s">
        <v>25</v>
      </c>
      <c r="B18" s="5" t="n">
        <v>14.4</v>
      </c>
      <c r="C18" s="5" t="n">
        <v>14.4</v>
      </c>
      <c r="E18" s="6" t="s">
        <v>26</v>
      </c>
    </row>
    <row r="19" customFormat="false" ht="15" hidden="false" customHeight="false" outlineLevel="0" collapsed="false">
      <c r="A19" s="4" t="s">
        <v>27</v>
      </c>
      <c r="B19" s="5" t="n">
        <v>1</v>
      </c>
      <c r="C19" s="5" t="n">
        <v>1</v>
      </c>
      <c r="E19" s="6"/>
    </row>
    <row r="20" customFormat="false" ht="15" hidden="false" customHeight="false" outlineLevel="0" collapsed="false">
      <c r="A20" s="4" t="s">
        <v>28</v>
      </c>
      <c r="B20" s="5" t="n">
        <v>1</v>
      </c>
      <c r="C20" s="5" t="n">
        <v>1</v>
      </c>
      <c r="E20" s="6"/>
    </row>
    <row r="21" customFormat="false" ht="15" hidden="false" customHeight="false" outlineLevel="0" collapsed="false">
      <c r="A21" s="4" t="s">
        <v>29</v>
      </c>
      <c r="B21" s="5" t="n">
        <v>0.0175</v>
      </c>
      <c r="C21" s="5" t="n">
        <v>0.0175</v>
      </c>
      <c r="E21" s="6"/>
    </row>
    <row r="23" customFormat="false" ht="15" hidden="false" customHeight="false" outlineLevel="0" collapsed="false">
      <c r="A23" s="3" t="s">
        <v>30</v>
      </c>
      <c r="B23" s="3" t="s">
        <v>3</v>
      </c>
      <c r="C23" s="3" t="s">
        <v>4</v>
      </c>
      <c r="D23" s="3" t="s">
        <v>31</v>
      </c>
      <c r="E23" s="3" t="s">
        <v>32</v>
      </c>
      <c r="F23" s="7" t="s">
        <v>33</v>
      </c>
    </row>
    <row r="24" customFormat="false" ht="15" hidden="false" customHeight="false" outlineLevel="0" collapsed="false">
      <c r="A24" s="4" t="s">
        <v>34</v>
      </c>
      <c r="B24" s="8" t="n">
        <f aca="false">IF(B11&gt;0,MIN(B8,B5/B11),MIN(B8,B7))</f>
        <v>32.7272727272727</v>
      </c>
      <c r="C24" s="8" t="n">
        <f aca="false">IF(C11&gt;0,MIN(C8,C5/C11),MIN(C8,C7))</f>
        <v>36</v>
      </c>
      <c r="D24" s="9" t="s">
        <v>35</v>
      </c>
    </row>
    <row r="25" customFormat="false" ht="15" hidden="false" customHeight="false" outlineLevel="0" collapsed="false">
      <c r="A25" s="4" t="s">
        <v>36</v>
      </c>
      <c r="B25" s="8" t="n">
        <f aca="false">IF(B18&lt;=B5,B18/B5,1-B5/B18)</f>
        <v>0.4</v>
      </c>
      <c r="C25" s="8" t="n">
        <f aca="false">IF(C18&lt;=C5,C18/C5,1-C5/C18)</f>
        <v>0.6</v>
      </c>
      <c r="D25" s="9" t="s">
        <v>37</v>
      </c>
    </row>
    <row r="26" customFormat="false" ht="15" hidden="false" customHeight="false" outlineLevel="0" collapsed="false">
      <c r="A26" s="4" t="s">
        <v>38</v>
      </c>
      <c r="B26" s="8" t="n">
        <f aca="false">B16*B17</f>
        <v>160</v>
      </c>
      <c r="C26" s="8" t="n">
        <f aca="false">C16*C17</f>
        <v>118.8</v>
      </c>
      <c r="D26" s="9" t="s">
        <v>39</v>
      </c>
      <c r="E26" s="10" t="str">
        <f aca="false">IF(B26&lt;=B10,"Dentro de la potencia del módulo","Excede la potencia del módulo")</f>
        <v>Dentro de la potencia del módulo</v>
      </c>
      <c r="F26" s="10" t="str">
        <f aca="false">IF(C26&lt;=C10,"Dentro de la potencia del módulo","Excede la potencia del módulo")</f>
        <v>Dentro de la potencia del módulo</v>
      </c>
    </row>
    <row r="27" customFormat="false" ht="15" hidden="false" customHeight="false" outlineLevel="0" collapsed="false">
      <c r="A27" s="4" t="s">
        <v>40</v>
      </c>
      <c r="B27" s="8" t="n">
        <f aca="false">B26/B12</f>
        <v>177.777777777778</v>
      </c>
      <c r="C27" s="8" t="n">
        <f aca="false">C26/C12</f>
        <v>135</v>
      </c>
      <c r="D27" s="9" t="s">
        <v>41</v>
      </c>
    </row>
    <row r="28" customFormat="false" ht="15" hidden="false" customHeight="false" outlineLevel="0" collapsed="false">
      <c r="A28" s="4" t="s">
        <v>42</v>
      </c>
      <c r="B28" s="8" t="n">
        <f aca="false">B27/B5</f>
        <v>4.93827160493827</v>
      </c>
      <c r="C28" s="8" t="n">
        <f aca="false">C27/C5</f>
        <v>5.625</v>
      </c>
      <c r="D28" s="9" t="s">
        <v>43</v>
      </c>
      <c r="E28" s="10" t="str">
        <f aca="false">IF(B28&lt;=B6,"Fuente conmutada suficiente","Fuente conmutada insuficiente")</f>
        <v>Fuente conmutada suficiente</v>
      </c>
      <c r="F28" s="10" t="str">
        <f aca="false">IF(C28&lt;=C6,"Fuente conmutada suficiente","Fuente conmutada insuficiente")</f>
        <v>Fuente conmutada suficiente</v>
      </c>
    </row>
    <row r="29" customFormat="false" ht="15" hidden="false" customHeight="false" outlineLevel="0" collapsed="false">
      <c r="A29" s="4" t="s">
        <v>44</v>
      </c>
      <c r="B29" s="8" t="n">
        <f aca="false">B27-B26</f>
        <v>17.7777777777778</v>
      </c>
      <c r="C29" s="8" t="n">
        <f aca="false">C27-C26</f>
        <v>16.2</v>
      </c>
      <c r="D29" s="9" t="s">
        <v>45</v>
      </c>
    </row>
    <row r="30" customFormat="false" ht="15" hidden="false" customHeight="false" outlineLevel="0" collapsed="false">
      <c r="A30" s="4" t="s">
        <v>46</v>
      </c>
      <c r="B30" s="8" t="n">
        <f aca="false">B27/(B13*B15*B14)</f>
        <v>2.80583613916947</v>
      </c>
      <c r="C30" s="8" t="n">
        <f aca="false">C27/(C13*C15*C14)</f>
        <v>2.13068181818182</v>
      </c>
      <c r="D30" s="9" t="s">
        <v>47</v>
      </c>
    </row>
    <row r="31" customFormat="false" ht="15" hidden="false" customHeight="false" outlineLevel="0" collapsed="false">
      <c r="A31" s="4" t="s">
        <v>48</v>
      </c>
      <c r="B31" s="8" t="n">
        <f aca="false">1.25*B30</f>
        <v>3.50729517396184</v>
      </c>
      <c r="C31" s="8" t="n">
        <f aca="false">1.25*C30</f>
        <v>2.66335227272727</v>
      </c>
      <c r="D31" s="9" t="s">
        <v>49</v>
      </c>
      <c r="E31" s="10" t="str">
        <f aca="false">IF(B31&lt;=2,"2 A",IF(B31&lt;=2.5,"2,5 A",IF(B31&lt;=3.15,"3,15 A",IF(B31&lt;=4,"4 A","5 A"))))</f>
        <v>4 A</v>
      </c>
      <c r="F31" s="10" t="str">
        <f aca="false">IF(C31&lt;=2,"2 A",IF(C31&lt;=2.5,"2,5 A",IF(C31&lt;=3.15,"3,15 A",IF(C31&lt;=4,"4 A","5 A"))))</f>
        <v>3,15 A</v>
      </c>
    </row>
    <row r="32" customFormat="false" ht="15" hidden="false" customHeight="false" outlineLevel="0" collapsed="false">
      <c r="A32" s="4" t="s">
        <v>50</v>
      </c>
      <c r="B32" s="8" t="n">
        <f aca="false">2*B21*B19*B17/B20</f>
        <v>0.175</v>
      </c>
      <c r="C32" s="8" t="n">
        <f aca="false">2*C21*C19*C17/C20</f>
        <v>0.1155</v>
      </c>
      <c r="D32" s="9" t="s">
        <v>51</v>
      </c>
    </row>
    <row r="33" customFormat="false" ht="15" hidden="false" customHeight="false" outlineLevel="0" collapsed="false">
      <c r="A33" s="4" t="s">
        <v>52</v>
      </c>
      <c r="B33" s="8" t="n">
        <f aca="false">B5</f>
        <v>36</v>
      </c>
      <c r="C33" s="8" t="n">
        <f aca="false">C5</f>
        <v>24</v>
      </c>
      <c r="D33" s="9" t="s">
        <v>49</v>
      </c>
      <c r="E33" s="10" t="str">
        <f aca="false">IF(B5&lt;=B7,"Entrada dentro del rango","¡Entrada excede el máximo del módulo!")</f>
        <v>Entrada dentro del rango</v>
      </c>
      <c r="F33" s="10" t="str">
        <f aca="false">IF(C5&lt;=C7,"Entrada dentro del rango","¡Entrada excede el máximo del módulo!")</f>
        <v>Entrada dentro del rango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4"/>
  </cols>
  <sheetData>
    <row r="1" customFormat="false" ht="16.1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23.85" hidden="false" customHeight="false" outlineLevel="0" collapsed="false">
      <c r="A4" s="3" t="s">
        <v>55</v>
      </c>
      <c r="B4" s="3" t="s">
        <v>56</v>
      </c>
      <c r="C4" s="3" t="s">
        <v>57</v>
      </c>
      <c r="D4" s="3" t="s">
        <v>58</v>
      </c>
      <c r="E4" s="3" t="s">
        <v>59</v>
      </c>
      <c r="F4" s="3" t="s">
        <v>60</v>
      </c>
      <c r="G4" s="3" t="s">
        <v>61</v>
      </c>
      <c r="H4" s="3" t="s">
        <v>62</v>
      </c>
      <c r="I4" s="3" t="s">
        <v>63</v>
      </c>
    </row>
    <row r="5" customFormat="false" ht="15" hidden="false" customHeight="false" outlineLevel="0" collapsed="false">
      <c r="A5" s="8" t="n">
        <v>1</v>
      </c>
      <c r="B5" s="11"/>
      <c r="C5" s="11"/>
      <c r="D5" s="8" t="str">
        <f aca="false">IF(OR(B5="",C5=""),"",(B5-C5)/C5*100)</f>
        <v/>
      </c>
      <c r="E5" s="12" t="str">
        <f aca="false">IF(D5="","",IF(A5&lt;5,"Referencia",IF(ABS(D5)&lt;1,"Sí","No")))</f>
        <v/>
      </c>
      <c r="F5" s="11"/>
      <c r="G5" s="11"/>
      <c r="H5" s="8" t="str">
        <f aca="false">IF(OR(F5="",G5=""),"",(F5-G5)/G5*100)</f>
        <v/>
      </c>
      <c r="I5" s="12" t="str">
        <f aca="false">IF(H5="","",IF(A5&lt;5,"Referencia",IF(ABS(H5)&lt;1,"Sí","No")))</f>
        <v/>
      </c>
    </row>
    <row r="6" customFormat="false" ht="15" hidden="false" customHeight="false" outlineLevel="0" collapsed="false">
      <c r="A6" s="8" t="n">
        <v>5</v>
      </c>
      <c r="B6" s="11"/>
      <c r="C6" s="11"/>
      <c r="D6" s="8" t="str">
        <f aca="false">IF(OR(B6="",C6=""),"",(B6-C6)/C6*100)</f>
        <v/>
      </c>
      <c r="E6" s="12" t="str">
        <f aca="false">IF(D6="","",IF(A6&lt;5,"Referencia",IF(ABS(D6)&lt;1,"Sí","No")))</f>
        <v/>
      </c>
      <c r="F6" s="11"/>
      <c r="G6" s="11"/>
      <c r="H6" s="8" t="str">
        <f aca="false">IF(OR(F6="",G6=""),"",(F6-G6)/G6*100)</f>
        <v/>
      </c>
      <c r="I6" s="12" t="str">
        <f aca="false">IF(H6="","",IF(A6&lt;5,"Referencia",IF(ABS(H6)&lt;1,"Sí","No")))</f>
        <v/>
      </c>
    </row>
    <row r="7" customFormat="false" ht="15" hidden="false" customHeight="false" outlineLevel="0" collapsed="false">
      <c r="A7" s="8" t="n">
        <v>12</v>
      </c>
      <c r="B7" s="11"/>
      <c r="C7" s="11"/>
      <c r="D7" s="8" t="str">
        <f aca="false">IF(OR(B7="",C7=""),"",(B7-C7)/C7*100)</f>
        <v/>
      </c>
      <c r="E7" s="12" t="str">
        <f aca="false">IF(D7="","",IF(A7&lt;5,"Referencia",IF(ABS(D7)&lt;1,"Sí","No")))</f>
        <v/>
      </c>
      <c r="F7" s="11"/>
      <c r="G7" s="11"/>
      <c r="H7" s="8" t="str">
        <f aca="false">IF(OR(F7="",G7=""),"",(F7-G7)/G7*100)</f>
        <v/>
      </c>
      <c r="I7" s="12" t="str">
        <f aca="false">IF(H7="","",IF(A7&lt;5,"Referencia",IF(ABS(H7)&lt;1,"Sí","No")))</f>
        <v/>
      </c>
    </row>
    <row r="8" customFormat="false" ht="15" hidden="false" customHeight="false" outlineLevel="0" collapsed="false">
      <c r="A8" s="8" t="n">
        <v>13.8</v>
      </c>
      <c r="B8" s="11"/>
      <c r="C8" s="11"/>
      <c r="D8" s="8" t="str">
        <f aca="false">IF(OR(B8="",C8=""),"",(B8-C8)/C8*100)</f>
        <v/>
      </c>
      <c r="E8" s="12" t="str">
        <f aca="false">IF(D8="","",IF(A8&lt;5,"Referencia",IF(ABS(D8)&lt;1,"Sí","No")))</f>
        <v/>
      </c>
      <c r="F8" s="11"/>
      <c r="G8" s="11"/>
      <c r="H8" s="8" t="str">
        <f aca="false">IF(OR(F8="",G8=""),"",(F8-G8)/G8*100)</f>
        <v/>
      </c>
      <c r="I8" s="12" t="str">
        <f aca="false">IF(H8="","",IF(A8&lt;5,"Referencia",IF(ABS(H8)&lt;1,"Sí","No")))</f>
        <v/>
      </c>
    </row>
    <row r="9" customFormat="false" ht="15" hidden="false" customHeight="false" outlineLevel="0" collapsed="false">
      <c r="A9" s="8" t="n">
        <v>14.4</v>
      </c>
      <c r="B9" s="11"/>
      <c r="C9" s="11"/>
      <c r="D9" s="8" t="str">
        <f aca="false">IF(OR(B9="",C9=""),"",(B9-C9)/C9*100)</f>
        <v/>
      </c>
      <c r="E9" s="12" t="str">
        <f aca="false">IF(D9="","",IF(A9&lt;5,"Referencia",IF(ABS(D9)&lt;1,"Sí","No")))</f>
        <v/>
      </c>
      <c r="F9" s="11"/>
      <c r="G9" s="11"/>
      <c r="H9" s="8" t="str">
        <f aca="false">IF(OR(F9="",G9=""),"",(F9-G9)/G9*100)</f>
        <v/>
      </c>
      <c r="I9" s="12" t="str">
        <f aca="false">IF(H9="","",IF(A9&lt;5,"Referencia",IF(ABS(H9)&lt;1,"Sí","No")))</f>
        <v/>
      </c>
    </row>
    <row r="10" customFormat="false" ht="15" hidden="false" customHeight="false" outlineLevel="0" collapsed="false">
      <c r="A10" s="8" t="n">
        <v>24</v>
      </c>
      <c r="B10" s="11"/>
      <c r="C10" s="11"/>
      <c r="D10" s="8" t="str">
        <f aca="false">IF(OR(B10="",C10=""),"",(B10-C10)/C10*100)</f>
        <v/>
      </c>
      <c r="E10" s="12" t="str">
        <f aca="false">IF(D10="","",IF(A10&lt;5,"Referencia",IF(ABS(D10)&lt;1,"Sí","No")))</f>
        <v/>
      </c>
      <c r="F10" s="11"/>
      <c r="G10" s="11"/>
      <c r="H10" s="8" t="str">
        <f aca="false">IF(OR(F10="",G10=""),"",(F10-G10)/G10*100)</f>
        <v/>
      </c>
      <c r="I10" s="12" t="str">
        <f aca="false">IF(H10="","",IF(A10&lt;5,"Referencia",IF(ABS(H10)&lt;1,"Sí","No")))</f>
        <v/>
      </c>
    </row>
    <row r="11" customFormat="false" ht="15" hidden="false" customHeight="false" outlineLevel="0" collapsed="false">
      <c r="A11" s="8" t="n">
        <v>30</v>
      </c>
      <c r="B11" s="11"/>
      <c r="C11" s="11"/>
      <c r="D11" s="8" t="str">
        <f aca="false">IF(OR(B11="",C11=""),"",(B11-C11)/C11*100)</f>
        <v/>
      </c>
      <c r="E11" s="12" t="str">
        <f aca="false">IF(D11="","",IF(A11&lt;5,"Referencia",IF(ABS(D11)&lt;1,"Sí","No")))</f>
        <v/>
      </c>
      <c r="F11" s="11"/>
      <c r="G11" s="11"/>
      <c r="H11" s="8" t="str">
        <f aca="false">IF(OR(F11="",G11=""),"",(F11-G11)/G11*100)</f>
        <v/>
      </c>
      <c r="I11" s="12" t="str">
        <f aca="false">IF(H11="","",IF(A11&lt;5,"Referencia",IF(ABS(H11)&lt;1,"Sí","No")))</f>
        <v/>
      </c>
    </row>
    <row r="14" customFormat="false" ht="23.85" hidden="false" customHeight="false" outlineLevel="0" collapsed="false">
      <c r="A14" s="3" t="s">
        <v>64</v>
      </c>
      <c r="B14" s="3" t="s">
        <v>56</v>
      </c>
      <c r="C14" s="3" t="s">
        <v>65</v>
      </c>
      <c r="D14" s="3" t="s">
        <v>58</v>
      </c>
      <c r="E14" s="3" t="s">
        <v>59</v>
      </c>
      <c r="F14" s="3" t="s">
        <v>60</v>
      </c>
      <c r="G14" s="3" t="s">
        <v>66</v>
      </c>
      <c r="H14" s="3" t="s">
        <v>62</v>
      </c>
      <c r="I14" s="3" t="s">
        <v>63</v>
      </c>
    </row>
    <row r="15" customFormat="false" ht="15" hidden="false" customHeight="false" outlineLevel="0" collapsed="false">
      <c r="A15" s="13" t="n">
        <v>0.5</v>
      </c>
      <c r="B15" s="14"/>
      <c r="C15" s="14"/>
      <c r="D15" s="8" t="str">
        <f aca="false">IF(OR(B15="",C15=""),"",(B15-C15)/C15*100)</f>
        <v/>
      </c>
      <c r="E15" s="12" t="str">
        <f aca="false">IF(D15="","",IF(ABS(D15)&lt;2,"Sí","No"))</f>
        <v/>
      </c>
      <c r="F15" s="14"/>
      <c r="G15" s="14"/>
      <c r="H15" s="8" t="str">
        <f aca="false">IF(OR(F15="",G15=""),"",(F15-G15)/G15*100)</f>
        <v/>
      </c>
      <c r="I15" s="12" t="str">
        <f aca="false">IF(H15="","",IF(ABS(H15)&lt;2,"Sí","No"))</f>
        <v/>
      </c>
    </row>
    <row r="16" customFormat="false" ht="15" hidden="false" customHeight="false" outlineLevel="0" collapsed="false">
      <c r="A16" s="13" t="n">
        <v>1</v>
      </c>
      <c r="B16" s="14"/>
      <c r="C16" s="14"/>
      <c r="D16" s="8" t="str">
        <f aca="false">IF(OR(B16="",C16=""),"",(B16-C16)/C16*100)</f>
        <v/>
      </c>
      <c r="E16" s="12" t="str">
        <f aca="false">IF(D16="","",IF(ABS(D16)&lt;2,"Sí","No"))</f>
        <v/>
      </c>
      <c r="F16" s="14"/>
      <c r="G16" s="14"/>
      <c r="H16" s="8" t="str">
        <f aca="false">IF(OR(F16="",G16=""),"",(F16-G16)/G16*100)</f>
        <v/>
      </c>
      <c r="I16" s="12" t="str">
        <f aca="false">IF(H16="","",IF(ABS(H16)&lt;2,"Sí","No"))</f>
        <v/>
      </c>
    </row>
    <row r="17" customFormat="false" ht="15" hidden="false" customHeight="false" outlineLevel="0" collapsed="false">
      <c r="A17" s="13" t="n">
        <v>2</v>
      </c>
      <c r="B17" s="14"/>
      <c r="C17" s="14"/>
      <c r="D17" s="8" t="str">
        <f aca="false">IF(OR(B17="",C17=""),"",(B17-C17)/C17*100)</f>
        <v/>
      </c>
      <c r="E17" s="12" t="str">
        <f aca="false">IF(D17="","",IF(ABS(D17)&lt;2,"Sí","No"))</f>
        <v/>
      </c>
      <c r="F17" s="14"/>
      <c r="G17" s="14"/>
      <c r="H17" s="8" t="str">
        <f aca="false">IF(OR(F17="",G17=""),"",(F17-G17)/G17*100)</f>
        <v/>
      </c>
      <c r="I17" s="12" t="str">
        <f aca="false">IF(H17="","",IF(ABS(H17)&lt;2,"Sí","No"))</f>
        <v/>
      </c>
    </row>
    <row r="18" customFormat="false" ht="15" hidden="false" customHeight="false" outlineLevel="0" collapsed="false">
      <c r="A18" s="13" t="n">
        <v>3</v>
      </c>
      <c r="B18" s="14"/>
      <c r="C18" s="14"/>
      <c r="D18" s="8" t="str">
        <f aca="false">IF(OR(B18="",C18=""),"",(B18-C18)/C18*100)</f>
        <v/>
      </c>
      <c r="E18" s="12" t="str">
        <f aca="false">IF(D18="","",IF(ABS(D18)&lt;2,"Sí","No"))</f>
        <v/>
      </c>
      <c r="F18" s="14"/>
      <c r="G18" s="14"/>
      <c r="H18" s="8" t="str">
        <f aca="false">IF(OR(F18="",G18=""),"",(F18-G18)/G18*100)</f>
        <v/>
      </c>
      <c r="I18" s="12" t="str">
        <f aca="false">IF(H18="","",IF(ABS(H18)&lt;2,"Sí","No"))</f>
        <v/>
      </c>
    </row>
    <row r="19" customFormat="false" ht="15" hidden="false" customHeight="false" outlineLevel="0" collapsed="false">
      <c r="A19" s="13" t="n">
        <v>4</v>
      </c>
      <c r="B19" s="14"/>
      <c r="C19" s="14"/>
      <c r="D19" s="8" t="str">
        <f aca="false">IF(OR(B19="",C19=""),"",(B19-C19)/C19*100)</f>
        <v/>
      </c>
      <c r="E19" s="12" t="str">
        <f aca="false">IF(D19="","",IF(ABS(D19)&lt;2,"Sí","No"))</f>
        <v/>
      </c>
      <c r="F19" s="14"/>
      <c r="G19" s="14"/>
      <c r="H19" s="8" t="str">
        <f aca="false">IF(OR(F19="",G19=""),"",(F19-G19)/G19*100)</f>
        <v/>
      </c>
      <c r="I19" s="12" t="str">
        <f aca="false">IF(H19="","",IF(ABS(H19)&lt;2,"Sí","No"))</f>
        <v/>
      </c>
    </row>
    <row r="20" customFormat="false" ht="15" hidden="false" customHeight="false" outlineLevel="0" collapsed="false">
      <c r="A20" s="13" t="n">
        <v>5</v>
      </c>
      <c r="B20" s="14"/>
      <c r="C20" s="14"/>
      <c r="D20" s="8" t="str">
        <f aca="false">IF(OR(B20="",C20=""),"",(B20-C20)/C20*100)</f>
        <v/>
      </c>
      <c r="E20" s="12" t="str">
        <f aca="false">IF(D20="","",IF(ABS(D20)&lt;2,"Sí","No"))</f>
        <v/>
      </c>
      <c r="F20" s="14"/>
      <c r="G20" s="14"/>
      <c r="H20" s="8" t="str">
        <f aca="false">IF(OR(F20="",G20=""),"",(F20-G20)/G20*100)</f>
        <v/>
      </c>
      <c r="I20" s="12" t="str">
        <f aca="false">IF(H20="","",IF(ABS(H20)&lt;2,"Sí","No"))</f>
        <v/>
      </c>
    </row>
    <row r="21" customFormat="false" ht="15" hidden="false" customHeight="false" outlineLevel="0" collapsed="false">
      <c r="A21" s="15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8" min="6" style="0" width="12"/>
    <col collapsed="false" customWidth="true" hidden="false" outlineLevel="0" max="9" min="9" style="0" width="13"/>
    <col collapsed="false" customWidth="true" hidden="false" outlineLevel="0" max="10" min="10" style="0" width="14"/>
  </cols>
  <sheetData>
    <row r="1" customFormat="false" ht="16.15" hidden="false" customHeight="false" outlineLevel="0" collapsed="false">
      <c r="A1" s="1" t="s">
        <v>68</v>
      </c>
    </row>
    <row r="3" customFormat="false" ht="23.85" hidden="false" customHeight="false" outlineLevel="0" collapsed="false">
      <c r="A3" s="3" t="s">
        <v>69</v>
      </c>
      <c r="B3" s="3" t="s">
        <v>70</v>
      </c>
      <c r="C3" s="3" t="s">
        <v>71</v>
      </c>
      <c r="D3" s="3" t="s">
        <v>72</v>
      </c>
      <c r="E3" s="3" t="s">
        <v>73</v>
      </c>
      <c r="F3" s="3" t="s">
        <v>74</v>
      </c>
      <c r="G3" s="3" t="s">
        <v>75</v>
      </c>
      <c r="H3" s="3" t="s">
        <v>76</v>
      </c>
      <c r="I3" s="3" t="s">
        <v>77</v>
      </c>
      <c r="J3" s="3" t="s">
        <v>78</v>
      </c>
    </row>
    <row r="4" customFormat="false" ht="15" hidden="false" customHeight="false" outlineLevel="0" collapsed="false">
      <c r="A4" s="4" t="s">
        <v>79</v>
      </c>
      <c r="B4" s="4" t="s">
        <v>80</v>
      </c>
      <c r="C4" s="11"/>
      <c r="D4" s="11"/>
      <c r="E4" s="11"/>
      <c r="F4" s="11"/>
      <c r="G4" s="8" t="str">
        <f aca="false">IF(OR(C4="",E4=""),"",C4*E4)</f>
        <v/>
      </c>
      <c r="H4" s="16" t="str">
        <f aca="false">IF(OR(G4="",F4="",F4=0,E4=0),"",G4/F4*100)</f>
        <v/>
      </c>
      <c r="I4" s="8" t="s">
        <v>49</v>
      </c>
      <c r="J4" s="13" t="str">
        <f aca="false">IF(OR(C4="",D4=""),"",C4-D4)</f>
        <v/>
      </c>
    </row>
    <row r="5" customFormat="false" ht="15" hidden="false" customHeight="false" outlineLevel="0" collapsed="false">
      <c r="A5" s="4" t="s">
        <v>79</v>
      </c>
      <c r="B5" s="4" t="s">
        <v>81</v>
      </c>
      <c r="C5" s="11"/>
      <c r="D5" s="11"/>
      <c r="E5" s="11"/>
      <c r="F5" s="11"/>
      <c r="G5" s="8" t="str">
        <f aca="false">IF(OR(C5="",E5=""),"",C5*E5)</f>
        <v/>
      </c>
      <c r="H5" s="16" t="str">
        <f aca="false">IF(OR(G5="",F5="",F5=0,E5=0),"",G5/F5*100)</f>
        <v/>
      </c>
      <c r="I5" s="8" t="str">
        <f aca="false">IF(OR($C$4="",C5=""),"",($C$4-C5)/C5*100)</f>
        <v/>
      </c>
      <c r="J5" s="13" t="str">
        <f aca="false">IF(OR(C5="",D5=""),"",C5-D5)</f>
        <v/>
      </c>
    </row>
    <row r="6" customFormat="false" ht="15" hidden="false" customHeight="false" outlineLevel="0" collapsed="false">
      <c r="A6" s="4" t="s">
        <v>79</v>
      </c>
      <c r="B6" s="4" t="s">
        <v>82</v>
      </c>
      <c r="C6" s="11"/>
      <c r="D6" s="11"/>
      <c r="E6" s="11"/>
      <c r="F6" s="11"/>
      <c r="G6" s="8" t="str">
        <f aca="false">IF(OR(C6="",E6=""),"",C6*E6)</f>
        <v/>
      </c>
      <c r="H6" s="16" t="str">
        <f aca="false">IF(OR(G6="",F6="",F6=0,E6=0),"",G6/F6*100)</f>
        <v/>
      </c>
      <c r="I6" s="8" t="str">
        <f aca="false">IF(OR($C$4="",C6=""),"",($C$4-C6)/C6*100)</f>
        <v/>
      </c>
      <c r="J6" s="13" t="str">
        <f aca="false">IF(OR(C6="",D6=""),"",C6-D6)</f>
        <v/>
      </c>
    </row>
    <row r="7" customFormat="false" ht="15" hidden="false" customHeight="false" outlineLevel="0" collapsed="false">
      <c r="A7" s="4" t="s">
        <v>79</v>
      </c>
      <c r="B7" s="4" t="s">
        <v>83</v>
      </c>
      <c r="C7" s="11"/>
      <c r="D7" s="11"/>
      <c r="E7" s="11"/>
      <c r="F7" s="11"/>
      <c r="G7" s="8" t="str">
        <f aca="false">IF(OR(C7="",E7=""),"",C7*E7)</f>
        <v/>
      </c>
      <c r="H7" s="16" t="str">
        <f aca="false">IF(OR(G7="",F7="",F7=0,E7=0),"",G7/F7*100)</f>
        <v/>
      </c>
      <c r="I7" s="8" t="str">
        <f aca="false">IF(OR($C$4="",C7=""),"",($C$4-C7)/C7*100)</f>
        <v/>
      </c>
      <c r="J7" s="13" t="str">
        <f aca="false">IF(OR(C7="",D7=""),"",C7-D7)</f>
        <v/>
      </c>
    </row>
    <row r="8" customFormat="false" ht="15" hidden="false" customHeight="false" outlineLevel="0" collapsed="false">
      <c r="A8" s="4" t="s">
        <v>84</v>
      </c>
      <c r="B8" s="4" t="s">
        <v>80</v>
      </c>
      <c r="C8" s="11"/>
      <c r="D8" s="11"/>
      <c r="E8" s="11"/>
      <c r="F8" s="11"/>
      <c r="G8" s="8" t="str">
        <f aca="false">IF(OR(C8="",E8=""),"",C8*E8)</f>
        <v/>
      </c>
      <c r="H8" s="16" t="str">
        <f aca="false">IF(OR(G8="",F8="",F8=0,E8=0),"",G8/F8*100)</f>
        <v/>
      </c>
      <c r="I8" s="8" t="s">
        <v>49</v>
      </c>
      <c r="J8" s="13" t="str">
        <f aca="false">IF(OR(C8="",D8=""),"",C8-D8)</f>
        <v/>
      </c>
    </row>
    <row r="9" customFormat="false" ht="15" hidden="false" customHeight="false" outlineLevel="0" collapsed="false">
      <c r="A9" s="4" t="s">
        <v>84</v>
      </c>
      <c r="B9" s="4" t="s">
        <v>81</v>
      </c>
      <c r="C9" s="11"/>
      <c r="D9" s="11"/>
      <c r="E9" s="11"/>
      <c r="F9" s="11"/>
      <c r="G9" s="8" t="str">
        <f aca="false">IF(OR(C9="",E9=""),"",C9*E9)</f>
        <v/>
      </c>
      <c r="H9" s="16" t="str">
        <f aca="false">IF(OR(G9="",F9="",F9=0,E9=0),"",G9/F9*100)</f>
        <v/>
      </c>
      <c r="I9" s="8" t="str">
        <f aca="false">IF(OR($C$8="",C9=""),"",($C$8-C9)/C9*100)</f>
        <v/>
      </c>
      <c r="J9" s="13" t="str">
        <f aca="false">IF(OR(C9="",D9=""),"",C9-D9)</f>
        <v/>
      </c>
    </row>
    <row r="10" customFormat="false" ht="15" hidden="false" customHeight="false" outlineLevel="0" collapsed="false">
      <c r="A10" s="4" t="s">
        <v>84</v>
      </c>
      <c r="B10" s="4" t="s">
        <v>82</v>
      </c>
      <c r="C10" s="11"/>
      <c r="D10" s="11"/>
      <c r="E10" s="11"/>
      <c r="F10" s="11"/>
      <c r="G10" s="8" t="str">
        <f aca="false">IF(OR(C10="",E10=""),"",C10*E10)</f>
        <v/>
      </c>
      <c r="H10" s="16" t="str">
        <f aca="false">IF(OR(G10="",F10="",F10=0,E10=0),"",G10/F10*100)</f>
        <v/>
      </c>
      <c r="I10" s="8" t="str">
        <f aca="false">IF(OR($C$8="",C10=""),"",($C$8-C10)/C10*100)</f>
        <v/>
      </c>
      <c r="J10" s="13" t="str">
        <f aca="false">IF(OR(C10="",D10=""),"",C10-D10)</f>
        <v/>
      </c>
    </row>
    <row r="11" customFormat="false" ht="15" hidden="false" customHeight="false" outlineLevel="0" collapsed="false">
      <c r="A11" s="4" t="s">
        <v>84</v>
      </c>
      <c r="B11" s="4" t="s">
        <v>83</v>
      </c>
      <c r="C11" s="11"/>
      <c r="D11" s="11"/>
      <c r="E11" s="11"/>
      <c r="F11" s="11"/>
      <c r="G11" s="8" t="str">
        <f aca="false">IF(OR(C11="",E11=""),"",C11*E11)</f>
        <v/>
      </c>
      <c r="H11" s="16" t="str">
        <f aca="false">IF(OR(G11="",F11="",F11=0,E11=0),"",G11/F11*100)</f>
        <v/>
      </c>
      <c r="I11" s="8" t="str">
        <f aca="false">IF(OR($C$8="",C11=""),"",($C$8-C11)/C11*100)</f>
        <v/>
      </c>
      <c r="J11" s="13" t="str">
        <f aca="false">IF(OR(C11="",D11=""),"",C11-D11)</f>
        <v/>
      </c>
    </row>
    <row r="13" customFormat="false" ht="15" hidden="false" customHeight="false" outlineLevel="0" collapsed="false">
      <c r="A13" s="15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6" min="5" style="0" width="18"/>
  </cols>
  <sheetData>
    <row r="1" customFormat="false" ht="16.15" hidden="false" customHeight="false" outlineLevel="0" collapsed="false">
      <c r="A1" s="1" t="s">
        <v>86</v>
      </c>
    </row>
    <row r="3" customFormat="false" ht="15" hidden="false" customHeight="false" outlineLevel="0" collapsed="false">
      <c r="A3" s="4" t="s">
        <v>87</v>
      </c>
      <c r="B3" s="5" t="n">
        <v>45</v>
      </c>
    </row>
    <row r="4" customFormat="false" ht="15" hidden="false" customHeight="false" outlineLevel="0" collapsed="false">
      <c r="A4" s="4" t="s">
        <v>88</v>
      </c>
      <c r="B4" s="8" t="n">
        <f aca="false">0.1*B3</f>
        <v>4.5</v>
      </c>
    </row>
    <row r="5" customFormat="false" ht="15" hidden="false" customHeight="false" outlineLevel="0" collapsed="false">
      <c r="A5" s="4" t="s">
        <v>89</v>
      </c>
      <c r="B5" s="5" t="n">
        <v>14.4</v>
      </c>
    </row>
    <row r="6" customFormat="false" ht="15" hidden="false" customHeight="false" outlineLevel="0" collapsed="false">
      <c r="A6" s="4" t="s">
        <v>90</v>
      </c>
      <c r="B6" s="5" t="n">
        <v>0.4</v>
      </c>
    </row>
    <row r="7" customFormat="false" ht="15" hidden="false" customHeight="false" outlineLevel="0" collapsed="false">
      <c r="A7" s="4" t="s">
        <v>91</v>
      </c>
      <c r="B7" s="8" t="n">
        <f aca="false">B5+B6</f>
        <v>14.8</v>
      </c>
    </row>
    <row r="9" customFormat="false" ht="23.85" hidden="false" customHeight="false" outlineLevel="0" collapsed="false">
      <c r="A9" s="3" t="s">
        <v>92</v>
      </c>
      <c r="B9" s="3" t="s">
        <v>93</v>
      </c>
      <c r="C9" s="3" t="s">
        <v>73</v>
      </c>
      <c r="D9" s="3" t="s">
        <v>94</v>
      </c>
      <c r="E9" s="3" t="s">
        <v>95</v>
      </c>
      <c r="F9" s="3" t="s">
        <v>96</v>
      </c>
    </row>
    <row r="10" customFormat="false" ht="15" hidden="false" customHeight="false" outlineLevel="0" collapsed="false">
      <c r="A10" s="17" t="n">
        <v>0</v>
      </c>
      <c r="B10" s="11"/>
      <c r="C10" s="11"/>
      <c r="D10" s="18"/>
      <c r="E10" s="8" t="n">
        <v>0</v>
      </c>
      <c r="F10" s="8" t="n">
        <f aca="false">E10</f>
        <v>0</v>
      </c>
    </row>
    <row r="11" customFormat="false" ht="15" hidden="false" customHeight="false" outlineLevel="0" collapsed="false">
      <c r="A11" s="17" t="n">
        <v>10</v>
      </c>
      <c r="B11" s="11"/>
      <c r="C11" s="11"/>
      <c r="D11" s="18"/>
      <c r="E11" s="13" t="str">
        <f aca="false">IF(OR(C11="",C10=""),"",(C11+C10)/2*(A11-A10)/60)</f>
        <v/>
      </c>
      <c r="F11" s="13" t="n">
        <f aca="false">IF(E11="",F10,F10+E11)</f>
        <v>0</v>
      </c>
    </row>
    <row r="12" customFormat="false" ht="15" hidden="false" customHeight="false" outlineLevel="0" collapsed="false">
      <c r="A12" s="17" t="n">
        <v>20</v>
      </c>
      <c r="B12" s="11"/>
      <c r="C12" s="11"/>
      <c r="D12" s="18"/>
      <c r="E12" s="13" t="str">
        <f aca="false">IF(OR(C12="",C11=""),"",(C12+C11)/2*(A12-A11)/60)</f>
        <v/>
      </c>
      <c r="F12" s="13" t="n">
        <f aca="false">IF(E12="",F11,F11+E12)</f>
        <v>0</v>
      </c>
    </row>
    <row r="13" customFormat="false" ht="15" hidden="false" customHeight="false" outlineLevel="0" collapsed="false">
      <c r="A13" s="17" t="n">
        <v>30</v>
      </c>
      <c r="B13" s="11"/>
      <c r="C13" s="11"/>
      <c r="D13" s="18"/>
      <c r="E13" s="13" t="str">
        <f aca="false">IF(OR(C13="",C12=""),"",(C13+C12)/2*(A13-A12)/60)</f>
        <v/>
      </c>
      <c r="F13" s="13" t="n">
        <f aca="false">IF(E13="",F12,F12+E13)</f>
        <v>0</v>
      </c>
    </row>
    <row r="14" customFormat="false" ht="15" hidden="false" customHeight="false" outlineLevel="0" collapsed="false">
      <c r="A14" s="17" t="n">
        <v>40</v>
      </c>
      <c r="B14" s="11"/>
      <c r="C14" s="11"/>
      <c r="D14" s="18"/>
      <c r="E14" s="13" t="str">
        <f aca="false">IF(OR(C14="",C13=""),"",(C14+C13)/2*(A14-A13)/60)</f>
        <v/>
      </c>
      <c r="F14" s="13" t="n">
        <f aca="false">IF(E14="",F13,F13+E14)</f>
        <v>0</v>
      </c>
    </row>
    <row r="15" customFormat="false" ht="15" hidden="false" customHeight="false" outlineLevel="0" collapsed="false">
      <c r="A15" s="17" t="n">
        <v>50</v>
      </c>
      <c r="B15" s="11"/>
      <c r="C15" s="11"/>
      <c r="D15" s="18"/>
      <c r="E15" s="13" t="str">
        <f aca="false">IF(OR(C15="",C14=""),"",(C15+C14)/2*(A15-A14)/60)</f>
        <v/>
      </c>
      <c r="F15" s="13" t="n">
        <f aca="false">IF(E15="",F14,F14+E15)</f>
        <v>0</v>
      </c>
    </row>
    <row r="16" customFormat="false" ht="15" hidden="false" customHeight="false" outlineLevel="0" collapsed="false">
      <c r="A16" s="17" t="n">
        <v>60</v>
      </c>
      <c r="B16" s="11"/>
      <c r="C16" s="11"/>
      <c r="D16" s="18"/>
      <c r="E16" s="13" t="str">
        <f aca="false">IF(OR(C16="",C15=""),"",(C16+C15)/2*(A16-A15)/60)</f>
        <v/>
      </c>
      <c r="F16" s="13" t="n">
        <f aca="false">IF(E16="",F15,F15+E16)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2026-09-30T17:33:56Z</dcterms:created>
  <dc:creator>openpyxl</dc:creator>
  <dc:description/>
  <dc:language>en-US</dc:language>
  <cp:lastModifiedBy/>
  <dcterms:modified xsi:type="dcterms:W3CDTF">2026-09-30T17:33:56Z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