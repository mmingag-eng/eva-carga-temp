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Curvas" sheetId="2" state="visible" r:id="rId4"/>
    <sheet name="Graficas" sheetId="3" state="visible" r:id="rId5"/>
    <sheet name="Anali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pme = (i·π·M)/(V_C·Z); i = 4 en motores de cuatro tiempos. V_C·Z en m³, resultado en bar.</t>
        </r>
      </text>
    </comment>
    <comment ref="G4" authorId="0">
      <text>
        <r>
          <rPr>
            <sz val="10"/>
            <rFont val="Arial"/>
            <family val="2"/>
          </rPr>
          <t xml:space="preserve">η_e = 3,6·10⁶ /(g_e·PCI); g_e en g/kWh y PCI en kJ/kg.</t>
        </r>
      </text>
    </comment>
  </commentList>
</comments>
</file>

<file path=xl/sharedStrings.xml><?xml version="1.0" encoding="utf-8"?>
<sst xmlns="http://schemas.openxmlformats.org/spreadsheetml/2006/main" count="89" uniqueCount="82">
  <si>
    <t xml:space="preserve">GUÍA 15 – CURVAS CARACTERÍSTICAS DEL MOTOR</t>
  </si>
  <si>
    <t xml:space="preserve">Introducción a Motores · Carrera de Mecánica Automotriz · ISTS</t>
  </si>
  <si>
    <t xml:space="preserve">Leyenda</t>
  </si>
  <si>
    <t xml:space="preserve">Celdas amarillas con texto azul: datos que el estudiante debe ingresar o modificar.</t>
  </si>
  <si>
    <t xml:space="preserve">Texto negro: fórmulas calculadas automáticamente (no editar).</t>
  </si>
  <si>
    <t xml:space="preserve">Parámetro</t>
  </si>
  <si>
    <t xml:space="preserve">Símbolo</t>
  </si>
  <si>
    <t xml:space="preserve">Valor</t>
  </si>
  <si>
    <t xml:space="preserve">Unidad</t>
  </si>
  <si>
    <t xml:space="preserve">Fuente / observación</t>
  </si>
  <si>
    <t xml:space="preserve">Diámetro del cilindro</t>
  </si>
  <si>
    <t xml:space="preserve">D</t>
  </si>
  <si>
    <t xml:space="preserve">cm</t>
  </si>
  <si>
    <t xml:space="preserve">Dato de ejemplo (motor 1,6 L); reemplazar con Guía 13</t>
  </si>
  <si>
    <t xml:space="preserve">Carrera del pistón</t>
  </si>
  <si>
    <t xml:space="preserve">S</t>
  </si>
  <si>
    <t xml:space="preserve">Dato de ejemplo; reemplazar con Guía 13</t>
  </si>
  <si>
    <t xml:space="preserve">Número de cilindros</t>
  </si>
  <si>
    <t xml:space="preserve">Z</t>
  </si>
  <si>
    <t xml:space="preserve">—</t>
  </si>
  <si>
    <t xml:space="preserve">Ficha técnica</t>
  </si>
  <si>
    <t xml:space="preserve">Área del pistón</t>
  </si>
  <si>
    <t xml:space="preserve">A_P</t>
  </si>
  <si>
    <t xml:space="preserve">cm²</t>
  </si>
  <si>
    <t xml:space="preserve">A_P = π·D²/4 (guía original)</t>
  </si>
  <si>
    <t xml:space="preserve">Volumen del cilindro</t>
  </si>
  <si>
    <t xml:space="preserve">V_C</t>
  </si>
  <si>
    <t xml:space="preserve">cm³</t>
  </si>
  <si>
    <t xml:space="preserve">V_C = A_P·S (guía original)</t>
  </si>
  <si>
    <t xml:space="preserve">Cilindrada</t>
  </si>
  <si>
    <t xml:space="preserve">V_C·Z</t>
  </si>
  <si>
    <t xml:space="preserve">Volumen desplazado por los pistones</t>
  </si>
  <si>
    <t xml:space="preserve">Poder calorífico inferior</t>
  </si>
  <si>
    <t xml:space="preserve">PCI</t>
  </si>
  <si>
    <t xml:space="preserve">kJ/kg</t>
  </si>
  <si>
    <t xml:space="preserve">Gasolina, valor típico (Payri &amp; Desantes, 2011)</t>
  </si>
  <si>
    <t xml:space="preserve">Densidad del combustible</t>
  </si>
  <si>
    <t xml:space="preserve">ρ_f</t>
  </si>
  <si>
    <t xml:space="preserve">kg/L</t>
  </si>
  <si>
    <t xml:space="preserve">Gasolina, valor típico</t>
  </si>
  <si>
    <t xml:space="preserve">Constante de potencia</t>
  </si>
  <si>
    <t xml:space="preserve">k</t>
  </si>
  <si>
    <t xml:space="preserve">P[kW] = M[N·m]·n[rpm]/9549</t>
  </si>
  <si>
    <t xml:space="preserve">Equivalencia CV</t>
  </si>
  <si>
    <t xml:space="preserve">1 CV</t>
  </si>
  <si>
    <t xml:space="preserve">kW</t>
  </si>
  <si>
    <t xml:space="preserve">Caballo de vapor métrico</t>
  </si>
  <si>
    <t xml:space="preserve">Tiempos del motor</t>
  </si>
  <si>
    <t xml:space="preserve">i</t>
  </si>
  <si>
    <t xml:space="preserve">4 = cuatro tiempos (usa 4π en pme); 2 = dos tiempos (usa 2π)</t>
  </si>
  <si>
    <t xml:space="preserve">Datos de ensayo y cálculo de parámetros característicos</t>
  </si>
  <si>
    <t xml:space="preserve">Ingrese en las columnas A a C los datos del dinamómetro o del fabricante (celdas amarillas). Fila 5 = ejemplo de la guía.</t>
  </si>
  <si>
    <t xml:space="preserve">n (rpm)</t>
  </si>
  <si>
    <t xml:space="preserve">M (N·m)</t>
  </si>
  <si>
    <t xml:space="preserve">g_e (g/kWh)</t>
  </si>
  <si>
    <t xml:space="preserve">P_e (kW)</t>
  </si>
  <si>
    <t xml:space="preserve">P_e (CV)</t>
  </si>
  <si>
    <t xml:space="preserve">pme (bar)</t>
  </si>
  <si>
    <t xml:space="preserve">η_e (%)</t>
  </si>
  <si>
    <t xml:space="preserve">ṁ_f (kg/h)</t>
  </si>
  <si>
    <t xml:space="preserve">Consumo (L/h)</t>
  </si>
  <si>
    <t xml:space="preserve">ω (rad/s)</t>
  </si>
  <si>
    <t xml:space="preserve">Parámetros característicos</t>
  </si>
  <si>
    <t xml:space="preserve">Par máximo (N·m)</t>
  </si>
  <si>
    <t xml:space="preserve">Potencia máxima (kW)</t>
  </si>
  <si>
    <t xml:space="preserve">Potencia máxima (CV)</t>
  </si>
  <si>
    <t xml:space="preserve">Consumo específico mínimo (g/kWh)</t>
  </si>
  <si>
    <t xml:space="preserve">Rendimiento efectivo máximo (%)</t>
  </si>
  <si>
    <t xml:space="preserve">pme máxima (bar)</t>
  </si>
  <si>
    <t xml:space="preserve">Par a potencia máxima (N·m)</t>
  </si>
  <si>
    <t xml:space="preserve">Elasticidad de par</t>
  </si>
  <si>
    <t xml:space="preserve">Elasticidad de régimen</t>
  </si>
  <si>
    <t xml:space="preserve">Rango de utilización óptima (rpm)</t>
  </si>
  <si>
    <t xml:space="preserve">Nota. Datos ilustrativos de la Guía 15; sustitúyalos por los del dinamómetro del laboratorio.</t>
  </si>
  <si>
    <t xml:space="preserve">Curvas características del motor</t>
  </si>
  <si>
    <t xml:space="preserve">Preguntas de análisis (responder en el informe)</t>
  </si>
  <si>
    <t xml:space="preserve">1. ¿En qué rango de régimen conviene cambiar de marcha para una conducción económica? Justifique con la curva de consumo específico.</t>
  </si>
  <si>
    <t xml:space="preserve">2. Explique por qué la potencia sigue aumentando aunque el par ya disminuya.</t>
  </si>
  <si>
    <t xml:space="preserve">3. Interprete la elasticidad de par y de régimen obtenidas.</t>
  </si>
  <si>
    <t xml:space="preserve">4. Estime la potencia máxima del motor en Loja (79 kPa) si a nivel del mar (101,3 kPa) es la calculada, suponiendo motor atmosférico y misma temperatura.</t>
  </si>
  <si>
    <t xml:space="preserve">Potencia estimada en Loja (kW)</t>
  </si>
  <si>
    <t xml:space="preserve">Aproximación por relación de densidades (misma temperatura).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</si>
</sst>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2F559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 y potencia en función del régimen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"Par (N·m)"</c:f>
              <c:strCache>
                <c:ptCount val="1"/>
                <c:pt idx="0">
                  <c:v>Par (N·m)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circle"/>
            <c:size val="7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Curvas!$A$5:$A$16</c:f>
              <c:numCache>
                <c:formatCode>General</c:formatCode>
                <c:ptCount val="12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  <c:pt idx="8">
                  <c:v>5500</c:v>
                </c:pt>
                <c:pt idx="9">
                  <c:v>6000</c:v>
                </c:pt>
              </c:numCache>
            </c:numRef>
          </c:xVal>
          <c:yVal>
            <c:numRef>
              <c:f>Curvas!$B$5:$B$16</c:f>
              <c:numCache>
                <c:formatCode>General</c:formatCode>
                <c:ptCount val="12"/>
                <c:pt idx="0">
                  <c:v>98</c:v>
                </c:pt>
                <c:pt idx="1">
                  <c:v>106</c:v>
                </c:pt>
                <c:pt idx="2">
                  <c:v>112</c:v>
                </c:pt>
                <c:pt idx="3">
                  <c:v>115</c:v>
                </c:pt>
                <c:pt idx="4">
                  <c:v>116</c:v>
                </c:pt>
                <c:pt idx="5">
                  <c:v>114</c:v>
                </c:pt>
                <c:pt idx="6">
                  <c:v>110</c:v>
                </c:pt>
                <c:pt idx="7">
                  <c:v>105</c:v>
                </c:pt>
                <c:pt idx="8">
                  <c:v>98</c:v>
                </c:pt>
                <c:pt idx="9">
                  <c:v>90</c:v>
                </c:pt>
              </c:numCache>
            </c:numRef>
          </c:yVal>
          <c:smooth val="1"/>
        </c:ser>
        <c:axId val="53781874"/>
        <c:axId val="32420684"/>
      </c:scatterChart>
      <c:scatterChart>
        <c:scatterStyle val="lineMarker"/>
        <c:varyColors val="0"/>
        <c:ser>
          <c:idx val="1"/>
          <c:order val="1"/>
          <c:tx>
            <c:strRef>
              <c:f>"Potencia (kW)"</c:f>
              <c:strCache>
                <c:ptCount val="1"/>
                <c:pt idx="0">
                  <c:v>Potencia (kW)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square"/>
            <c:size val="7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Curvas!$A$5:$A$16</c:f>
              <c:numCache>
                <c:formatCode>General</c:formatCode>
                <c:ptCount val="12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  <c:pt idx="8">
                  <c:v>5500</c:v>
                </c:pt>
                <c:pt idx="9">
                  <c:v>6000</c:v>
                </c:pt>
              </c:numCache>
            </c:numRef>
          </c:xVal>
          <c:yVal>
            <c:numRef>
              <c:f>Curvas!$D$5:$D$16</c:f>
              <c:numCache>
                <c:formatCode>0.00</c:formatCode>
                <c:ptCount val="12"/>
                <c:pt idx="0">
                  <c:v>15.3942821237826</c:v>
                </c:pt>
                <c:pt idx="1">
                  <c:v>22.2012776206933</c:v>
                </c:pt>
                <c:pt idx="2">
                  <c:v>29.3224421405383</c:v>
                </c:pt>
                <c:pt idx="3">
                  <c:v>36.1294376374489</c:v>
                </c:pt>
                <c:pt idx="4">
                  <c:v>42.5175411037805</c:v>
                </c:pt>
                <c:pt idx="5">
                  <c:v>47.7536914860195</c:v>
                </c:pt>
                <c:pt idx="6">
                  <c:v>51.8378887841659</c:v>
                </c:pt>
                <c:pt idx="7">
                  <c:v>54.9795790135093</c:v>
                </c:pt>
                <c:pt idx="8">
                  <c:v>56.4457011205362</c:v>
                </c:pt>
                <c:pt idx="9">
                  <c:v>56.550424128181</c:v>
                </c:pt>
              </c:numCache>
            </c:numRef>
          </c:yVal>
          <c:smooth val="1"/>
        </c:ser>
        <c:axId val="93166805"/>
        <c:axId val="5784129"/>
      </c:scatterChart>
      <c:valAx>
        <c:axId val="537818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de giro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20684"/>
        <c:crosses val="autoZero"/>
        <c:crossBetween val="midCat"/>
      </c:valAx>
      <c:valAx>
        <c:axId val="324206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 (N·m)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81874"/>
        <c:crosses val="autoZero"/>
        <c:crossBetween val="midCat"/>
      </c:valAx>
      <c:valAx>
        <c:axId val="93166805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de giro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4129"/>
        <c:crosses val="autoZero"/>
        <c:crossBetween val="midCat"/>
      </c:valAx>
      <c:valAx>
        <c:axId val="578412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Potencia (kW)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66805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Consumo específico y rendimiento efectivo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"Consumo específico (g/kWh)"</c:f>
              <c:strCache>
                <c:ptCount val="1"/>
                <c:pt idx="0">
                  <c:v>Consumo específico (g/kWh)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triangle"/>
            <c:size val="7"/>
            <c:spPr>
              <a:solidFill>
                <a:srgbClr val="37562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Curvas!$A$5:$A$16</c:f>
              <c:numCache>
                <c:formatCode>General</c:formatCode>
                <c:ptCount val="12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  <c:pt idx="8">
                  <c:v>5500</c:v>
                </c:pt>
                <c:pt idx="9">
                  <c:v>6000</c:v>
                </c:pt>
              </c:numCache>
            </c:numRef>
          </c:xVal>
          <c:yVal>
            <c:numRef>
              <c:f>Curvas!$C$5:$C$16</c:f>
              <c:numCache>
                <c:formatCode>General</c:formatCode>
                <c:ptCount val="12"/>
                <c:pt idx="0">
                  <c:v>330</c:v>
                </c:pt>
                <c:pt idx="1">
                  <c:v>300</c:v>
                </c:pt>
                <c:pt idx="2">
                  <c:v>285</c:v>
                </c:pt>
                <c:pt idx="3">
                  <c:v>275</c:v>
                </c:pt>
                <c:pt idx="4">
                  <c:v>270</c:v>
                </c:pt>
                <c:pt idx="5">
                  <c:v>272</c:v>
                </c:pt>
                <c:pt idx="6">
                  <c:v>280</c:v>
                </c:pt>
                <c:pt idx="7">
                  <c:v>292</c:v>
                </c:pt>
                <c:pt idx="8">
                  <c:v>310</c:v>
                </c:pt>
                <c:pt idx="9">
                  <c:v>335</c:v>
                </c:pt>
              </c:numCache>
            </c:numRef>
          </c:yVal>
          <c:smooth val="1"/>
        </c:ser>
        <c:axId val="98768616"/>
        <c:axId val="83518272"/>
      </c:scatterChart>
      <c:scatterChart>
        <c:scatterStyle val="lineMarker"/>
        <c:varyColors val="0"/>
        <c:ser>
          <c:idx val="1"/>
          <c:order val="1"/>
          <c:tx>
            <c:strRef>
              <c:f>"Rendimiento efectivo (%)"</c:f>
              <c:strCache>
                <c:ptCount val="1"/>
                <c:pt idx="0">
                  <c:v>Rendimiento efectivo (%)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diamond"/>
            <c:size val="7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Curvas!$A$5:$A$16</c:f>
              <c:numCache>
                <c:formatCode>General</c:formatCode>
                <c:ptCount val="12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  <c:pt idx="8">
                  <c:v>5500</c:v>
                </c:pt>
                <c:pt idx="9">
                  <c:v>6000</c:v>
                </c:pt>
              </c:numCache>
            </c:numRef>
          </c:xVal>
          <c:yVal>
            <c:numRef>
              <c:f>Curvas!$G$5:$G$16</c:f>
              <c:numCache>
                <c:formatCode>0.0</c:formatCode>
                <c:ptCount val="12"/>
                <c:pt idx="0">
                  <c:v>25.369978858351</c:v>
                </c:pt>
                <c:pt idx="1">
                  <c:v>27.906976744186</c:v>
                </c:pt>
                <c:pt idx="2">
                  <c:v>29.3757649938801</c:v>
                </c:pt>
                <c:pt idx="3">
                  <c:v>30.4439746300211</c:v>
                </c:pt>
                <c:pt idx="4">
                  <c:v>31.0077519379845</c:v>
                </c:pt>
                <c:pt idx="5">
                  <c:v>30.7797537619699</c:v>
                </c:pt>
                <c:pt idx="6">
                  <c:v>29.9003322259136</c:v>
                </c:pt>
                <c:pt idx="7">
                  <c:v>28.6715514495062</c:v>
                </c:pt>
                <c:pt idx="8">
                  <c:v>27.006751687922</c:v>
                </c:pt>
                <c:pt idx="9">
                  <c:v>24.99132245748</c:v>
                </c:pt>
              </c:numCache>
            </c:numRef>
          </c:yVal>
          <c:smooth val="1"/>
        </c:ser>
        <c:axId val="88280907"/>
        <c:axId val="32966757"/>
      </c:scatterChart>
      <c:valAx>
        <c:axId val="987686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de giro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18272"/>
        <c:crosses val="autoZero"/>
        <c:crossBetween val="midCat"/>
      </c:valAx>
      <c:valAx>
        <c:axId val="83518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g_e (g/kWh)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68616"/>
        <c:crosses val="autoZero"/>
        <c:crossBetween val="midCat"/>
      </c:valAx>
      <c:valAx>
        <c:axId val="88280907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de giro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66757"/>
        <c:crosses val="autoZero"/>
        <c:crossBetween val="midCat"/>
      </c:valAx>
      <c:valAx>
        <c:axId val="3296675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η_e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80907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Presión media efectiva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"pme (bar)"</c:f>
              <c:strCache>
                <c:ptCount val="1"/>
                <c:pt idx="0">
                  <c:v>pme (bar)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circle"/>
            <c:size val="7"/>
            <c:spPr>
              <a:solidFill>
                <a:srgbClr val="7f6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Curvas!$A$5:$A$16</c:f>
              <c:numCache>
                <c:formatCode>General</c:formatCode>
                <c:ptCount val="12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  <c:pt idx="8">
                  <c:v>5500</c:v>
                </c:pt>
                <c:pt idx="9">
                  <c:v>6000</c:v>
                </c:pt>
              </c:numCache>
            </c:numRef>
          </c:xVal>
          <c:yVal>
            <c:numRef>
              <c:f>Curvas!$F$5:$F$16</c:f>
              <c:numCache>
                <c:formatCode>0.00</c:formatCode>
                <c:ptCount val="12"/>
                <c:pt idx="0">
                  <c:v>7.69472361809045</c:v>
                </c:pt>
                <c:pt idx="1">
                  <c:v>8.32286432160804</c:v>
                </c:pt>
                <c:pt idx="2">
                  <c:v>8.79396984924623</c:v>
                </c:pt>
                <c:pt idx="3">
                  <c:v>9.02952261306533</c:v>
                </c:pt>
                <c:pt idx="4">
                  <c:v>9.10804020100503</c:v>
                </c:pt>
                <c:pt idx="5">
                  <c:v>8.95100502512563</c:v>
                </c:pt>
                <c:pt idx="6">
                  <c:v>8.63693467336683</c:v>
                </c:pt>
                <c:pt idx="7">
                  <c:v>8.24434673366834</c:v>
                </c:pt>
                <c:pt idx="8">
                  <c:v>7.69472361809045</c:v>
                </c:pt>
                <c:pt idx="9">
                  <c:v>7.06658291457287</c:v>
                </c:pt>
              </c:numCache>
            </c:numRef>
          </c:yVal>
          <c:smooth val="1"/>
        </c:ser>
        <c:axId val="36031440"/>
        <c:axId val="45230835"/>
      </c:scatterChart>
      <c:valAx>
        <c:axId val="360314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de giro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30835"/>
        <c:crosses val="autoZero"/>
        <c:crossBetween val="midCat"/>
      </c:valAx>
      <c:valAx>
        <c:axId val="452308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pme (bar)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03144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10</xdr:col>
      <xdr:colOff>364680</xdr:colOff>
      <xdr:row>18</xdr:row>
      <xdr:rowOff>176760</xdr:rowOff>
    </xdr:to>
    <xdr:graphicFrame>
      <xdr:nvGraphicFramePr>
        <xdr:cNvPr id="0" name="Chart 1"/>
        <xdr:cNvGraphicFramePr/>
      </xdr:nvGraphicFramePr>
      <xdr:xfrm>
        <a:off x="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176040</xdr:rowOff>
    </xdr:from>
    <xdr:to>
      <xdr:col>10</xdr:col>
      <xdr:colOff>364680</xdr:colOff>
      <xdr:row>37</xdr:row>
      <xdr:rowOff>177120</xdr:rowOff>
    </xdr:to>
    <xdr:graphicFrame>
      <xdr:nvGraphicFramePr>
        <xdr:cNvPr id="1" name="Chart 2"/>
        <xdr:cNvGraphicFramePr/>
      </xdr:nvGraphicFramePr>
      <xdr:xfrm>
        <a:off x="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176040</xdr:rowOff>
    </xdr:from>
    <xdr:to>
      <xdr:col>10</xdr:col>
      <xdr:colOff>364680</xdr:colOff>
      <xdr:row>56</xdr:row>
      <xdr:rowOff>177120</xdr:rowOff>
    </xdr:to>
    <xdr:graphicFrame>
      <xdr:nvGraphicFramePr>
        <xdr:cNvPr id="2" name="Chart 3"/>
        <xdr:cNvGraphicFramePr/>
      </xdr:nvGraphicFramePr>
      <xdr:xfrm>
        <a:off x="0" y="7620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8" customFormat="false" ht="15" hidden="false" customHeight="false" outlineLevel="0" collapsed="false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</row>
    <row r="9" customFormat="false" ht="15" hidden="false" customHeight="false" outlineLevel="0" collapsed="false">
      <c r="A9" s="7" t="s">
        <v>10</v>
      </c>
      <c r="B9" s="7" t="s">
        <v>11</v>
      </c>
      <c r="C9" s="8" t="n">
        <v>8</v>
      </c>
      <c r="D9" s="7" t="s">
        <v>12</v>
      </c>
      <c r="E9" s="7" t="s">
        <v>13</v>
      </c>
    </row>
    <row r="10" customFormat="false" ht="15" hidden="false" customHeight="false" outlineLevel="0" collapsed="false">
      <c r="A10" s="7" t="s">
        <v>14</v>
      </c>
      <c r="B10" s="7" t="s">
        <v>15</v>
      </c>
      <c r="C10" s="8" t="n">
        <v>7.96</v>
      </c>
      <c r="D10" s="7" t="s">
        <v>12</v>
      </c>
      <c r="E10" s="7" t="s">
        <v>16</v>
      </c>
    </row>
    <row r="11" customFormat="false" ht="15" hidden="false" customHeight="false" outlineLevel="0" collapsed="false">
      <c r="A11" s="7" t="s">
        <v>17</v>
      </c>
      <c r="B11" s="7" t="s">
        <v>18</v>
      </c>
      <c r="C11" s="8" t="n">
        <v>4</v>
      </c>
      <c r="D11" s="7" t="s">
        <v>19</v>
      </c>
      <c r="E11" s="7" t="s">
        <v>20</v>
      </c>
    </row>
    <row r="12" customFormat="false" ht="15" hidden="false" customHeight="false" outlineLevel="0" collapsed="false">
      <c r="A12" s="7" t="s">
        <v>21</v>
      </c>
      <c r="B12" s="7" t="s">
        <v>22</v>
      </c>
      <c r="C12" s="9" t="n">
        <f aca="false">PI()*C9^2/4</f>
        <v>50.2654824574367</v>
      </c>
      <c r="D12" s="7" t="s">
        <v>23</v>
      </c>
      <c r="E12" s="7" t="s">
        <v>24</v>
      </c>
    </row>
    <row r="13" customFormat="false" ht="15" hidden="false" customHeight="false" outlineLevel="0" collapsed="false">
      <c r="A13" s="7" t="s">
        <v>25</v>
      </c>
      <c r="B13" s="7" t="s">
        <v>26</v>
      </c>
      <c r="C13" s="9" t="n">
        <f aca="false">C12*C10</f>
        <v>400.113240361196</v>
      </c>
      <c r="D13" s="7" t="s">
        <v>27</v>
      </c>
      <c r="E13" s="7" t="s">
        <v>28</v>
      </c>
    </row>
    <row r="14" customFormat="false" ht="15" hidden="false" customHeight="false" outlineLevel="0" collapsed="false">
      <c r="A14" s="7" t="s">
        <v>29</v>
      </c>
      <c r="B14" s="7" t="s">
        <v>30</v>
      </c>
      <c r="C14" s="10" t="n">
        <f aca="false">C13*C11</f>
        <v>1600.45296144478</v>
      </c>
      <c r="D14" s="7" t="s">
        <v>27</v>
      </c>
      <c r="E14" s="7" t="s">
        <v>31</v>
      </c>
    </row>
    <row r="15" customFormat="false" ht="15" hidden="false" customHeight="false" outlineLevel="0" collapsed="false">
      <c r="A15" s="7" t="s">
        <v>32</v>
      </c>
      <c r="B15" s="7" t="s">
        <v>33</v>
      </c>
      <c r="C15" s="8" t="n">
        <v>43000</v>
      </c>
      <c r="D15" s="7" t="s">
        <v>34</v>
      </c>
      <c r="E15" s="7" t="s">
        <v>35</v>
      </c>
    </row>
    <row r="16" customFormat="false" ht="15" hidden="false" customHeight="false" outlineLevel="0" collapsed="false">
      <c r="A16" s="7" t="s">
        <v>36</v>
      </c>
      <c r="B16" s="7" t="s">
        <v>37</v>
      </c>
      <c r="C16" s="8" t="n">
        <v>0.74</v>
      </c>
      <c r="D16" s="7" t="s">
        <v>38</v>
      </c>
      <c r="E16" s="7" t="s">
        <v>39</v>
      </c>
    </row>
    <row r="17" customFormat="false" ht="15" hidden="false" customHeight="false" outlineLevel="0" collapsed="false">
      <c r="A17" s="7" t="s">
        <v>40</v>
      </c>
      <c r="B17" s="7" t="s">
        <v>41</v>
      </c>
      <c r="C17" s="8" t="n">
        <v>9549</v>
      </c>
      <c r="D17" s="7" t="s">
        <v>19</v>
      </c>
      <c r="E17" s="7" t="s">
        <v>42</v>
      </c>
    </row>
    <row r="18" customFormat="false" ht="15" hidden="false" customHeight="false" outlineLevel="0" collapsed="false">
      <c r="A18" s="7" t="s">
        <v>43</v>
      </c>
      <c r="B18" s="7" t="s">
        <v>44</v>
      </c>
      <c r="C18" s="8" t="n">
        <v>0.7355</v>
      </c>
      <c r="D18" s="7" t="s">
        <v>45</v>
      </c>
      <c r="E18" s="7" t="s">
        <v>46</v>
      </c>
    </row>
    <row r="19" customFormat="false" ht="15" hidden="false" customHeight="false" outlineLevel="0" collapsed="false">
      <c r="A19" s="7" t="s">
        <v>47</v>
      </c>
      <c r="B19" s="7" t="s">
        <v>48</v>
      </c>
      <c r="C19" s="8" t="n">
        <v>4</v>
      </c>
      <c r="D19" s="7" t="s">
        <v>19</v>
      </c>
      <c r="E19" s="7" t="s">
        <v>49</v>
      </c>
    </row>
  </sheetData>
  <dataValidations count="1">
    <dataValidation allowBlank="false" errorStyle="stop" operator="between" showDropDown="false" showErrorMessage="false" showInputMessage="false" sqref="C19" type="list">
      <formula1>"2,4"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"/>
    <col collapsed="false" customWidth="true" hidden="false" outlineLevel="0" max="12" min="12" style="0" width="34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16.15" hidden="false" customHeight="false" outlineLevel="0" collapsed="false">
      <c r="A1" s="11" t="s">
        <v>50</v>
      </c>
    </row>
    <row r="2" customFormat="false" ht="15" hidden="false" customHeight="false" outlineLevel="0" collapsed="false">
      <c r="A2" s="2" t="s">
        <v>51</v>
      </c>
    </row>
    <row r="4" customFormat="false" ht="31.5" hidden="false" customHeight="true" outlineLevel="0" collapsed="false">
      <c r="A4" s="6" t="s">
        <v>52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61</v>
      </c>
      <c r="L4" s="12" t="s">
        <v>62</v>
      </c>
      <c r="M4" s="12"/>
      <c r="N4" s="12"/>
    </row>
    <row r="5" customFormat="false" ht="15" hidden="false" customHeight="false" outlineLevel="0" collapsed="false">
      <c r="A5" s="8" t="n">
        <v>1500</v>
      </c>
      <c r="B5" s="8" t="n">
        <v>98</v>
      </c>
      <c r="C5" s="8" t="n">
        <v>330</v>
      </c>
      <c r="D5" s="9" t="n">
        <f aca="false">IF(OR(A5="",B5=""),"",B5*A5/Parametros!$C$17)</f>
        <v>15.3942821237826</v>
      </c>
      <c r="E5" s="9" t="n">
        <f aca="false">IF(D5="","",D5/Parametros!$C$18)</f>
        <v>20.9303631866521</v>
      </c>
      <c r="F5" s="9" t="n">
        <f aca="false">IF(B5="","",Parametros!$C$19*PI()*B5/(Parametros!$C$14*0.000001)/100000)</f>
        <v>7.69472361809045</v>
      </c>
      <c r="G5" s="10" t="n">
        <f aca="false">IF(OR(C5="",C5=0),"",3600000/(C5*Parametros!$C$15)*100)</f>
        <v>25.369978858351</v>
      </c>
      <c r="H5" s="9" t="n">
        <f aca="false">IF(OR(C5="",D5=""),"",C5*D5/1000)</f>
        <v>5.08011310084826</v>
      </c>
      <c r="I5" s="9" t="n">
        <f aca="false">IF(H5="","",H5/Parametros!$C$16)</f>
        <v>6.86501770384899</v>
      </c>
      <c r="J5" s="10" t="n">
        <f aca="false">IF(A5="","",2*PI()*A5/60)</f>
        <v>157.07963267949</v>
      </c>
      <c r="L5" s="13" t="s">
        <v>63</v>
      </c>
      <c r="M5" s="14" t="n">
        <f aca="false">MAX(B5:B16)</f>
        <v>116</v>
      </c>
      <c r="N5" s="15" t="n">
        <f aca="false">INDEX(A5:A16,MATCH(M5,B5:B16,0))</f>
        <v>3500</v>
      </c>
    </row>
    <row r="6" customFormat="false" ht="15" hidden="false" customHeight="false" outlineLevel="0" collapsed="false">
      <c r="A6" s="8" t="n">
        <v>2000</v>
      </c>
      <c r="B6" s="8" t="n">
        <v>106</v>
      </c>
      <c r="C6" s="8" t="n">
        <v>300</v>
      </c>
      <c r="D6" s="9" t="n">
        <f aca="false">IF(OR(A6="",B6=""),"",B6*A6/Parametros!$C$17)</f>
        <v>22.2012776206933</v>
      </c>
      <c r="E6" s="9" t="n">
        <f aca="false">IF(D6="","",D6/Parametros!$C$18)</f>
        <v>30.1852856841513</v>
      </c>
      <c r="F6" s="9" t="n">
        <f aca="false">IF(B6="","",Parametros!$C$19*PI()*B6/(Parametros!$C$14*0.000001)/100000)</f>
        <v>8.32286432160804</v>
      </c>
      <c r="G6" s="10" t="n">
        <f aca="false">IF(OR(C6="",C6=0),"",3600000/(C6*Parametros!$C$15)*100)</f>
        <v>27.906976744186</v>
      </c>
      <c r="H6" s="9" t="n">
        <f aca="false">IF(OR(C6="",D6=""),"",C6*D6/1000)</f>
        <v>6.66038328620798</v>
      </c>
      <c r="I6" s="9" t="n">
        <f aca="false">IF(H6="","",H6/Parametros!$C$16)</f>
        <v>9.00051795433511</v>
      </c>
      <c r="J6" s="10" t="n">
        <f aca="false">IF(A6="","",2*PI()*A6/60)</f>
        <v>209.43951023932</v>
      </c>
      <c r="L6" s="13" t="s">
        <v>64</v>
      </c>
      <c r="M6" s="14" t="n">
        <f aca="false">MAX(D5:D16)</f>
        <v>56.550424128181</v>
      </c>
      <c r="N6" s="15" t="n">
        <f aca="false">INDEX(A5:A16,MATCH(M6,D5:D16,0))</f>
        <v>6000</v>
      </c>
    </row>
    <row r="7" customFormat="false" ht="15" hidden="false" customHeight="false" outlineLevel="0" collapsed="false">
      <c r="A7" s="8" t="n">
        <v>2500</v>
      </c>
      <c r="B7" s="8" t="n">
        <v>112</v>
      </c>
      <c r="C7" s="8" t="n">
        <v>285</v>
      </c>
      <c r="D7" s="9" t="n">
        <f aca="false">IF(OR(A7="",B7=""),"",B7*A7/Parametros!$C$17)</f>
        <v>29.3224421405383</v>
      </c>
      <c r="E7" s="9" t="n">
        <f aca="false">IF(D7="","",D7/Parametros!$C$18)</f>
        <v>39.8673584507658</v>
      </c>
      <c r="F7" s="9" t="n">
        <f aca="false">IF(B7="","",Parametros!$C$19*PI()*B7/(Parametros!$C$14*0.000001)/100000)</f>
        <v>8.79396984924623</v>
      </c>
      <c r="G7" s="10" t="n">
        <f aca="false">IF(OR(C7="",C7=0),"",3600000/(C7*Parametros!$C$15)*100)</f>
        <v>29.3757649938801</v>
      </c>
      <c r="H7" s="9" t="n">
        <f aca="false">IF(OR(C7="",D7=""),"",C7*D7/1000)</f>
        <v>8.35689601005341</v>
      </c>
      <c r="I7" s="9" t="n">
        <f aca="false">IF(H7="","",H7/Parametros!$C$16)</f>
        <v>11.2931027162884</v>
      </c>
      <c r="J7" s="10" t="n">
        <f aca="false">IF(A7="","",2*PI()*A7/60)</f>
        <v>261.799387799149</v>
      </c>
      <c r="L7" s="13" t="s">
        <v>65</v>
      </c>
      <c r="M7" s="14" t="n">
        <f aca="false">M6/Parametros!$C$18</f>
        <v>76.8870484407627</v>
      </c>
      <c r="N7" s="15" t="n">
        <f aca="false">N6</f>
        <v>6000</v>
      </c>
    </row>
    <row r="8" customFormat="false" ht="15" hidden="false" customHeight="false" outlineLevel="0" collapsed="false">
      <c r="A8" s="8" t="n">
        <v>3000</v>
      </c>
      <c r="B8" s="8" t="n">
        <v>115</v>
      </c>
      <c r="C8" s="8" t="n">
        <v>275</v>
      </c>
      <c r="D8" s="9" t="n">
        <f aca="false">IF(OR(A8="",B8=""),"",B8*A8/Parametros!$C$17)</f>
        <v>36.1294376374489</v>
      </c>
      <c r="E8" s="9" t="n">
        <f aca="false">IF(D8="","",D8/Parametros!$C$18)</f>
        <v>49.1222809482651</v>
      </c>
      <c r="F8" s="9" t="n">
        <f aca="false">IF(B8="","",Parametros!$C$19*PI()*B8/(Parametros!$C$14*0.000001)/100000)</f>
        <v>9.02952261306533</v>
      </c>
      <c r="G8" s="10" t="n">
        <f aca="false">IF(OR(C8="",C8=0),"",3600000/(C8*Parametros!$C$15)*100)</f>
        <v>30.4439746300211</v>
      </c>
      <c r="H8" s="9" t="n">
        <f aca="false">IF(OR(C8="",D8=""),"",C8*D8/1000)</f>
        <v>9.93559535029846</v>
      </c>
      <c r="I8" s="9" t="n">
        <f aca="false">IF(H8="","",H8/Parametros!$C$16)</f>
        <v>13.426480203106</v>
      </c>
      <c r="J8" s="10" t="n">
        <f aca="false">IF(A8="","",2*PI()*A8/60)</f>
        <v>314.159265358979</v>
      </c>
      <c r="L8" s="13" t="s">
        <v>66</v>
      </c>
      <c r="M8" s="14" t="n">
        <f aca="false">MIN(C5:C16)</f>
        <v>270</v>
      </c>
      <c r="N8" s="15" t="n">
        <f aca="false">INDEX(A5:A16,MATCH(M8,C5:C16,0))</f>
        <v>3500</v>
      </c>
    </row>
    <row r="9" customFormat="false" ht="15" hidden="false" customHeight="false" outlineLevel="0" collapsed="false">
      <c r="A9" s="8" t="n">
        <v>3500</v>
      </c>
      <c r="B9" s="8" t="n">
        <v>116</v>
      </c>
      <c r="C9" s="8" t="n">
        <v>270</v>
      </c>
      <c r="D9" s="9" t="n">
        <f aca="false">IF(OR(A9="",B9=""),"",B9*A9/Parametros!$C$17)</f>
        <v>42.5175411037805</v>
      </c>
      <c r="E9" s="9" t="n">
        <f aca="false">IF(D9="","",D9/Parametros!$C$18)</f>
        <v>57.8076697536105</v>
      </c>
      <c r="F9" s="9" t="n">
        <f aca="false">IF(B9="","",Parametros!$C$19*PI()*B9/(Parametros!$C$14*0.000001)/100000)</f>
        <v>9.10804020100503</v>
      </c>
      <c r="G9" s="10" t="n">
        <f aca="false">IF(OR(C9="",C9=0),"",3600000/(C9*Parametros!$C$15)*100)</f>
        <v>31.0077519379845</v>
      </c>
      <c r="H9" s="9" t="n">
        <f aca="false">IF(OR(C9="",D9=""),"",C9*D9/1000)</f>
        <v>11.4797360980207</v>
      </c>
      <c r="I9" s="9" t="n">
        <f aca="false">IF(H9="","",H9/Parametros!$C$16)</f>
        <v>15.5131568892172</v>
      </c>
      <c r="J9" s="10" t="n">
        <f aca="false">IF(A9="","",2*PI()*A9/60)</f>
        <v>366.519142918809</v>
      </c>
      <c r="L9" s="13" t="s">
        <v>67</v>
      </c>
      <c r="M9" s="14" t="n">
        <f aca="false">MAX(G5:G16)</f>
        <v>31.0077519379845</v>
      </c>
      <c r="N9" s="15" t="n">
        <f aca="false">N8</f>
        <v>3500</v>
      </c>
    </row>
    <row r="10" customFormat="false" ht="15" hidden="false" customHeight="false" outlineLevel="0" collapsed="false">
      <c r="A10" s="8" t="n">
        <v>4000</v>
      </c>
      <c r="B10" s="8" t="n">
        <v>114</v>
      </c>
      <c r="C10" s="8" t="n">
        <v>272</v>
      </c>
      <c r="D10" s="9" t="n">
        <f aca="false">IF(OR(A10="",B10=""),"",B10*A10/Parametros!$C$17)</f>
        <v>47.7536914860195</v>
      </c>
      <c r="E10" s="9" t="n">
        <f aca="false">IF(D10="","",D10/Parametros!$C$18)</f>
        <v>64.9268409055329</v>
      </c>
      <c r="F10" s="9" t="n">
        <f aca="false">IF(B10="","",Parametros!$C$19*PI()*B10/(Parametros!$C$14*0.000001)/100000)</f>
        <v>8.95100502512563</v>
      </c>
      <c r="G10" s="10" t="n">
        <f aca="false">IF(OR(C10="",C10=0),"",3600000/(C10*Parametros!$C$15)*100)</f>
        <v>30.7797537619699</v>
      </c>
      <c r="H10" s="9" t="n">
        <f aca="false">IF(OR(C10="",D10=""),"",C10*D10/1000)</f>
        <v>12.9890040841973</v>
      </c>
      <c r="I10" s="9" t="n">
        <f aca="false">IF(H10="","",H10/Parametros!$C$16)</f>
        <v>17.5527082218882</v>
      </c>
      <c r="J10" s="10" t="n">
        <f aca="false">IF(A10="","",2*PI()*A10/60)</f>
        <v>418.879020478639</v>
      </c>
      <c r="L10" s="13" t="s">
        <v>68</v>
      </c>
      <c r="M10" s="14" t="n">
        <f aca="false">MAX(F5:F16)</f>
        <v>9.10804020100503</v>
      </c>
      <c r="N10" s="15" t="n">
        <f aca="false">N5</f>
        <v>3500</v>
      </c>
    </row>
    <row r="11" customFormat="false" ht="15" hidden="false" customHeight="false" outlineLevel="0" collapsed="false">
      <c r="A11" s="8" t="n">
        <v>4500</v>
      </c>
      <c r="B11" s="8" t="n">
        <v>110</v>
      </c>
      <c r="C11" s="8" t="n">
        <v>280</v>
      </c>
      <c r="D11" s="9" t="n">
        <f aca="false">IF(OR(A11="",B11=""),"",B11*A11/Parametros!$C$17)</f>
        <v>51.8378887841659</v>
      </c>
      <c r="E11" s="9" t="n">
        <f aca="false">IF(D11="","",D11/Parametros!$C$18)</f>
        <v>70.4797944040325</v>
      </c>
      <c r="F11" s="9" t="n">
        <f aca="false">IF(B11="","",Parametros!$C$19*PI()*B11/(Parametros!$C$14*0.000001)/100000)</f>
        <v>8.63693467336683</v>
      </c>
      <c r="G11" s="10" t="n">
        <f aca="false">IF(OR(C11="",C11=0),"",3600000/(C11*Parametros!$C$15)*100)</f>
        <v>29.9003322259136</v>
      </c>
      <c r="H11" s="9" t="n">
        <f aca="false">IF(OR(C11="",D11=""),"",C11*D11/1000)</f>
        <v>14.5146088595664</v>
      </c>
      <c r="I11" s="9" t="n">
        <f aca="false">IF(H11="","",H11/Parametros!$C$16)</f>
        <v>19.6143362967114</v>
      </c>
      <c r="J11" s="10" t="n">
        <f aca="false">IF(A11="","",2*PI()*A11/60)</f>
        <v>471.238898038469</v>
      </c>
      <c r="L11" s="13" t="s">
        <v>69</v>
      </c>
      <c r="M11" s="14" t="n">
        <f aca="false">INDEX(B5:B16,MATCH(M6,D5:D16,0))</f>
        <v>90</v>
      </c>
      <c r="N11" s="15" t="n">
        <f aca="false">N6</f>
        <v>6000</v>
      </c>
    </row>
    <row r="12" customFormat="false" ht="15" hidden="false" customHeight="false" outlineLevel="0" collapsed="false">
      <c r="A12" s="8" t="n">
        <v>5000</v>
      </c>
      <c r="B12" s="8" t="n">
        <v>105</v>
      </c>
      <c r="C12" s="8" t="n">
        <v>292</v>
      </c>
      <c r="D12" s="9" t="n">
        <f aca="false">IF(OR(A12="",B12=""),"",B12*A12/Parametros!$C$17)</f>
        <v>54.9795790135093</v>
      </c>
      <c r="E12" s="9" t="n">
        <f aca="false">IF(D12="","",D12/Parametros!$C$18)</f>
        <v>74.751297095186</v>
      </c>
      <c r="F12" s="9" t="n">
        <f aca="false">IF(B12="","",Parametros!$C$19*PI()*B12/(Parametros!$C$14*0.000001)/100000)</f>
        <v>8.24434673366834</v>
      </c>
      <c r="G12" s="10" t="n">
        <f aca="false">IF(OR(C12="",C12=0),"",3600000/(C12*Parametros!$C$15)*100)</f>
        <v>28.6715514495062</v>
      </c>
      <c r="H12" s="9" t="n">
        <f aca="false">IF(OR(C12="",D12=""),"",C12*D12/1000)</f>
        <v>16.0540370719447</v>
      </c>
      <c r="I12" s="9" t="n">
        <f aca="false">IF(H12="","",H12/Parametros!$C$16)</f>
        <v>21.6946446918172</v>
      </c>
      <c r="J12" s="10" t="n">
        <f aca="false">IF(A12="","",2*PI()*A12/60)</f>
        <v>523.598775598299</v>
      </c>
      <c r="L12" s="13" t="s">
        <v>70</v>
      </c>
      <c r="M12" s="14" t="n">
        <f aca="false">M5/M11</f>
        <v>1.28888888888889</v>
      </c>
      <c r="N12" s="15" t="s">
        <v>19</v>
      </c>
    </row>
    <row r="13" customFormat="false" ht="15" hidden="false" customHeight="false" outlineLevel="0" collapsed="false">
      <c r="A13" s="8" t="n">
        <v>5500</v>
      </c>
      <c r="B13" s="8" t="n">
        <v>98</v>
      </c>
      <c r="C13" s="8" t="n">
        <v>310</v>
      </c>
      <c r="D13" s="9" t="n">
        <f aca="false">IF(OR(A13="",B13=""),"",B13*A13/Parametros!$C$17)</f>
        <v>56.4457011205362</v>
      </c>
      <c r="E13" s="9" t="n">
        <f aca="false">IF(D13="","",D13/Parametros!$C$18)</f>
        <v>76.7446650177242</v>
      </c>
      <c r="F13" s="9" t="n">
        <f aca="false">IF(B13="","",Parametros!$C$19*PI()*B13/(Parametros!$C$14*0.000001)/100000)</f>
        <v>7.69472361809045</v>
      </c>
      <c r="G13" s="10" t="n">
        <f aca="false">IF(OR(C13="",C13=0),"",3600000/(C13*Parametros!$C$15)*100)</f>
        <v>27.006751687922</v>
      </c>
      <c r="H13" s="9" t="n">
        <f aca="false">IF(OR(C13="",D13=""),"",C13*D13/1000)</f>
        <v>17.4981673473662</v>
      </c>
      <c r="I13" s="9" t="n">
        <f aca="false">IF(H13="","",H13/Parametros!$C$16)</f>
        <v>23.6461720910354</v>
      </c>
      <c r="J13" s="10" t="n">
        <f aca="false">IF(A13="","",2*PI()*A13/60)</f>
        <v>575.958653158129</v>
      </c>
      <c r="L13" s="13" t="s">
        <v>71</v>
      </c>
      <c r="M13" s="14" t="n">
        <f aca="false">N6/N5</f>
        <v>1.71428571428571</v>
      </c>
      <c r="N13" s="15" t="s">
        <v>19</v>
      </c>
    </row>
    <row r="14" customFormat="false" ht="15" hidden="false" customHeight="false" outlineLevel="0" collapsed="false">
      <c r="A14" s="8" t="n">
        <v>6000</v>
      </c>
      <c r="B14" s="8" t="n">
        <v>90</v>
      </c>
      <c r="C14" s="8" t="n">
        <v>335</v>
      </c>
      <c r="D14" s="9" t="n">
        <f aca="false">IF(OR(A14="",B14=""),"",B14*A14/Parametros!$C$17)</f>
        <v>56.550424128181</v>
      </c>
      <c r="E14" s="9" t="n">
        <f aca="false">IF(D14="","",D14/Parametros!$C$18)</f>
        <v>76.8870484407627</v>
      </c>
      <c r="F14" s="9" t="n">
        <f aca="false">IF(B14="","",Parametros!$C$19*PI()*B14/(Parametros!$C$14*0.000001)/100000)</f>
        <v>7.06658291457287</v>
      </c>
      <c r="G14" s="10" t="n">
        <f aca="false">IF(OR(C14="",C14=0),"",3600000/(C14*Parametros!$C$15)*100)</f>
        <v>24.99132245748</v>
      </c>
      <c r="H14" s="9" t="n">
        <f aca="false">IF(OR(C14="",D14=""),"",C14*D14/1000)</f>
        <v>18.9443920829406</v>
      </c>
      <c r="I14" s="9" t="n">
        <f aca="false">IF(H14="","",H14/Parametros!$C$16)</f>
        <v>25.6005298418117</v>
      </c>
      <c r="J14" s="10" t="n">
        <f aca="false">IF(A14="","",2*PI()*A14/60)</f>
        <v>628.318530717959</v>
      </c>
      <c r="L14" s="13" t="s">
        <v>72</v>
      </c>
      <c r="M14" s="14" t="str">
        <f aca="false">N5&amp;" – "&amp;N6</f>
        <v>3500 – 6000</v>
      </c>
      <c r="N14" s="15" t="s">
        <v>19</v>
      </c>
    </row>
    <row r="15" customFormat="false" ht="15" hidden="false" customHeight="false" outlineLevel="0" collapsed="false">
      <c r="A15" s="16"/>
      <c r="B15" s="16"/>
      <c r="C15" s="16"/>
      <c r="D15" s="9" t="str">
        <f aca="false">IF(OR(A15="",B15=""),"",B15*A15/Parametros!$C$17)</f>
        <v/>
      </c>
      <c r="E15" s="9" t="str">
        <f aca="false">IF(D15="","",D15/Parametros!$C$18)</f>
        <v/>
      </c>
      <c r="F15" s="9" t="str">
        <f aca="false">IF(B15="","",Parametros!$C$19*PI()*B15/(Parametros!$C$14*0.000001)/100000)</f>
        <v/>
      </c>
      <c r="G15" s="10" t="str">
        <f aca="false">IF(OR(C15="",C15=0),"",3600000/(C15*Parametros!$C$15)*100)</f>
        <v/>
      </c>
      <c r="H15" s="9" t="str">
        <f aca="false">IF(OR(C15="",D15=""),"",C15*D15/1000)</f>
        <v/>
      </c>
      <c r="I15" s="9" t="str">
        <f aca="false">IF(H15="","",H15/Parametros!$C$16)</f>
        <v/>
      </c>
      <c r="J15" s="10" t="str">
        <f aca="false">IF(A15="","",2*PI()*A15/60)</f>
        <v/>
      </c>
    </row>
    <row r="16" customFormat="false" ht="15" hidden="false" customHeight="false" outlineLevel="0" collapsed="false">
      <c r="A16" s="16"/>
      <c r="B16" s="16"/>
      <c r="C16" s="16"/>
      <c r="D16" s="9" t="str">
        <f aca="false">IF(OR(A16="",B16=""),"",B16*A16/Parametros!$C$17)</f>
        <v/>
      </c>
      <c r="E16" s="9" t="str">
        <f aca="false">IF(D16="","",D16/Parametros!$C$18)</f>
        <v/>
      </c>
      <c r="F16" s="9" t="str">
        <f aca="false">IF(B16="","",Parametros!$C$19*PI()*B16/(Parametros!$C$14*0.000001)/100000)</f>
        <v/>
      </c>
      <c r="G16" s="10" t="str">
        <f aca="false">IF(OR(C16="",C16=0),"",3600000/(C16*Parametros!$C$15)*100)</f>
        <v/>
      </c>
      <c r="H16" s="9" t="str">
        <f aca="false">IF(OR(C16="",D16=""),"",C16*D16/1000)</f>
        <v/>
      </c>
      <c r="I16" s="9" t="str">
        <f aca="false">IF(H16="","",H16/Parametros!$C$16)</f>
        <v/>
      </c>
      <c r="J16" s="10" t="str">
        <f aca="false">IF(A16="","",2*PI()*A16/60)</f>
        <v/>
      </c>
      <c r="L16" s="17" t="s">
        <v>73</v>
      </c>
    </row>
  </sheetData>
  <mergeCells count="1">
    <mergeCell ref="L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1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1" t="s">
        <v>75</v>
      </c>
    </row>
    <row r="3" customFormat="false" ht="15" hidden="false" customHeight="false" outlineLevel="0" collapsed="false">
      <c r="A3" s="5" t="s">
        <v>76</v>
      </c>
    </row>
    <row r="4" customFormat="false" ht="15" hidden="false" customHeight="false" outlineLevel="0" collapsed="false">
      <c r="A4" s="5" t="s">
        <v>77</v>
      </c>
    </row>
    <row r="5" customFormat="false" ht="15" hidden="false" customHeight="false" outlineLevel="0" collapsed="false">
      <c r="A5" s="5" t="s">
        <v>78</v>
      </c>
    </row>
    <row r="6" customFormat="false" ht="15" hidden="false" customHeight="false" outlineLevel="0" collapsed="false">
      <c r="A6" s="5" t="s">
        <v>79</v>
      </c>
    </row>
    <row r="9" customFormat="false" ht="15" hidden="false" customHeight="false" outlineLevel="0" collapsed="false">
      <c r="A9" s="3" t="s">
        <v>80</v>
      </c>
      <c r="B9" s="18" t="n">
        <f aca="false">Curvas!M6*79/101.3</f>
        <v>44.1015153615627</v>
      </c>
      <c r="C9" s="17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2026-09-15T20:46:05Z</dcterms:created>
  <dc:creator>openpyxl</dc:creator>
  <dc:description/>
  <dc:language>en-US</dc:language>
  <cp:lastModifiedBy/>
  <dcterms:modified xsi:type="dcterms:W3CDTF">2026-09-15T20:46:14Z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