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5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ual" sheetId="1" state="visible" r:id="rId3"/>
    <sheet name="Puntos" sheetId="2" state="visible" r:id="rId4"/>
    <sheet name="Angulo" sheetId="3" state="visible" r:id="rId5"/>
    <sheet name="Parametrico" sheetId="4" state="visible" r:id="rId6"/>
    <sheet name="Graficas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<sst xmlns="http://schemas.openxmlformats.org/spreadsheetml/2006/main" count="492" uniqueCount="168">
  <si>
    <t xml:space="preserve">CICLO DUAL O MIXTO (SABATHÉ): DIAGRAMAS P–v, P–V, T–s, T–v Y P–θ</t>
  </si>
  <si>
    <t xml:space="preserve">η = 1 − (1/r^(γ−1))·[(α·β^γ − 1)/((α − 1) + γ·α·(β − 1))]</t>
  </si>
  <si>
    <t xml:space="preserve">Leyenda: celdas amarillas con texto azul = datos de entrada (editar). Texto negro = fórmulas (no editar).</t>
  </si>
  <si>
    <t xml:space="preserve">Parámetro</t>
  </si>
  <si>
    <t xml:space="preserve">Símbolo</t>
  </si>
  <si>
    <t xml:space="preserve">Valor</t>
  </si>
  <si>
    <t xml:space="preserve">Unidad</t>
  </si>
  <si>
    <t xml:space="preserve">Observación</t>
  </si>
  <si>
    <t xml:space="preserve">Presión inicial (Loja)</t>
  </si>
  <si>
    <t xml:space="preserve">P1</t>
  </si>
  <si>
    <t xml:space="preserve">kPa</t>
  </si>
  <si>
    <t xml:space="preserve">Inicio de la compresión</t>
  </si>
  <si>
    <t xml:space="preserve">Temperatura inicial</t>
  </si>
  <si>
    <t xml:space="preserve">T1</t>
  </si>
  <si>
    <t xml:space="preserve">K</t>
  </si>
  <si>
    <t xml:space="preserve">Relación de compresión r = v1/v2</t>
  </si>
  <si>
    <t xml:space="preserve">r</t>
  </si>
  <si>
    <t xml:space="preserve">—</t>
  </si>
  <si>
    <t xml:space="preserve">Motor diésel rápido</t>
  </si>
  <si>
    <t xml:space="preserve">Relación de presiones α = P3/P2</t>
  </si>
  <si>
    <t xml:space="preserve">α</t>
  </si>
  <si>
    <t xml:space="preserve">Combustión a volumen constante</t>
  </si>
  <si>
    <t xml:space="preserve">Relación de corte β = v4/v3</t>
  </si>
  <si>
    <t xml:space="preserve">β</t>
  </si>
  <si>
    <t xml:space="preserve">Combustión a presión constante</t>
  </si>
  <si>
    <t xml:space="preserve">Relación de calores específicos γ</t>
  </si>
  <si>
    <t xml:space="preserve">g</t>
  </si>
  <si>
    <t xml:space="preserve">Aire</t>
  </si>
  <si>
    <t xml:space="preserve">Calor específico a v cte</t>
  </si>
  <si>
    <t xml:space="preserve">cv</t>
  </si>
  <si>
    <t xml:space="preserve">kJ/(kg·K)</t>
  </si>
  <si>
    <t xml:space="preserve">Calor específico a P cte</t>
  </si>
  <si>
    <t xml:space="preserve">cp</t>
  </si>
  <si>
    <t xml:space="preserve">Constante del aire</t>
  </si>
  <si>
    <t xml:space="preserve">R</t>
  </si>
  <si>
    <t xml:space="preserve">Diámetro del cilindro</t>
  </si>
  <si>
    <t xml:space="preserve">D</t>
  </si>
  <si>
    <t xml:space="preserve">cm</t>
  </si>
  <si>
    <t xml:space="preserve">Guía 14</t>
  </si>
  <si>
    <t xml:space="preserve">Carrera</t>
  </si>
  <si>
    <t xml:space="preserve">S</t>
  </si>
  <si>
    <t xml:space="preserve">Número de cilindros</t>
  </si>
  <si>
    <t xml:space="preserve">Z</t>
  </si>
  <si>
    <t xml:space="preserve">Longitud de la biela</t>
  </si>
  <si>
    <t xml:space="preserve">Lb</t>
  </si>
  <si>
    <t xml:space="preserve">Régimen de giro</t>
  </si>
  <si>
    <t xml:space="preserve">n</t>
  </si>
  <si>
    <t xml:space="preserve">rpm</t>
  </si>
  <si>
    <t xml:space="preserve">Geometría (ecuaciones de la guía original) y masa de aire</t>
  </si>
  <si>
    <t xml:space="preserve">Magnitud</t>
  </si>
  <si>
    <t xml:space="preserve">Ecuación</t>
  </si>
  <si>
    <t xml:space="preserve">Área del pistón</t>
  </si>
  <si>
    <t xml:space="preserve">A_P = π·D²/4</t>
  </si>
  <si>
    <t xml:space="preserve">cm²</t>
  </si>
  <si>
    <t xml:space="preserve">Volumen del cilindro</t>
  </si>
  <si>
    <t xml:space="preserve">V_C = A_P·S</t>
  </si>
  <si>
    <t xml:space="preserve">cm³</t>
  </si>
  <si>
    <t xml:space="preserve">Volumen de la cámara</t>
  </si>
  <si>
    <t xml:space="preserve">V_CC = V_C/(r − 1)</t>
  </si>
  <si>
    <t xml:space="preserve">Volumen unitario</t>
  </si>
  <si>
    <t xml:space="preserve">V_u = V_C + V_CC</t>
  </si>
  <si>
    <t xml:space="preserve">Relación biela–manivela</t>
  </si>
  <si>
    <t xml:space="preserve">λ = (S/2)/L</t>
  </si>
  <si>
    <t xml:space="preserve">Volumen específico en 1</t>
  </si>
  <si>
    <t xml:space="preserve">v1 = R·T1/P1</t>
  </si>
  <si>
    <t xml:space="preserve">m³/kg</t>
  </si>
  <si>
    <t xml:space="preserve">Masa de aire por cilindro</t>
  </si>
  <si>
    <t xml:space="preserve">m = V_u/v1</t>
  </si>
  <si>
    <t xml:space="preserve">kg</t>
  </si>
  <si>
    <t xml:space="preserve">Estados del ciclo (s referida al estado 1)</t>
  </si>
  <si>
    <t xml:space="preserve">Estado</t>
  </si>
  <si>
    <t xml:space="preserve">P (kPa)</t>
  </si>
  <si>
    <t xml:space="preserve">T (K)</t>
  </si>
  <si>
    <t xml:space="preserve">v (m³/kg)</t>
  </si>
  <si>
    <t xml:space="preserve">s (kJ/kg·K)</t>
  </si>
  <si>
    <t xml:space="preserve">V (cm³)</t>
  </si>
  <si>
    <t xml:space="preserve">Descripción</t>
  </si>
  <si>
    <t xml:space="preserve">Inicio de la compresión (PMI)</t>
  </si>
  <si>
    <t xml:space="preserve">Fin de la compresión (PMS)</t>
  </si>
  <si>
    <t xml:space="preserve">Fin de la combustión a v cte</t>
  </si>
  <si>
    <t xml:space="preserve">Fin de la combustión a P cte</t>
  </si>
  <si>
    <t xml:space="preserve">Apertura del escape (PMI)</t>
  </si>
  <si>
    <t xml:space="preserve">Balance por proceso (por unidad de masa): Q − W = ΔU</t>
  </si>
  <si>
    <t xml:space="preserve">Proceso</t>
  </si>
  <si>
    <t xml:space="preserve">Tipo</t>
  </si>
  <si>
    <t xml:space="preserve">Q (kJ/kg)</t>
  </si>
  <si>
    <t xml:space="preserve">W (kJ/kg)</t>
  </si>
  <si>
    <t xml:space="preserve">ΔU (kJ/kg)</t>
  </si>
  <si>
    <t xml:space="preserve">Δs (kJ/kg·K)</t>
  </si>
  <si>
    <t xml:space="preserve">Q − W − ΔU</t>
  </si>
  <si>
    <t xml:space="preserve">1→2</t>
  </si>
  <si>
    <t xml:space="preserve">Compresión adiabática</t>
  </si>
  <si>
    <t xml:space="preserve">2→3</t>
  </si>
  <si>
    <t xml:space="preserve">Aporte de calor a v cte</t>
  </si>
  <si>
    <t xml:space="preserve">3→4</t>
  </si>
  <si>
    <t xml:space="preserve">Aporte de calor a P cte</t>
  </si>
  <si>
    <t xml:space="preserve">4→5</t>
  </si>
  <si>
    <t xml:space="preserve">Expansión adiabática</t>
  </si>
  <si>
    <t xml:space="preserve">5→1</t>
  </si>
  <si>
    <t xml:space="preserve">Cesión de calor a v cte</t>
  </si>
  <si>
    <t xml:space="preserve">Ciclo</t>
  </si>
  <si>
    <t xml:space="preserve">Convención: Q &gt; 0 recibido por el gas; W &gt; 0 realizado por el gas. Pequeños residuos en ΔU y Δs del ciclo se deben a que c_p/c_v ≠ 1,4 exactamente.</t>
  </si>
  <si>
    <t xml:space="preserve">Resultados del ciclo</t>
  </si>
  <si>
    <t xml:space="preserve">Calor aportado a v cte</t>
  </si>
  <si>
    <t xml:space="preserve">q_v = c_v·(T3 − T2)</t>
  </si>
  <si>
    <t xml:space="preserve">kJ/kg</t>
  </si>
  <si>
    <t xml:space="preserve">Calor aportado a P cte</t>
  </si>
  <si>
    <t xml:space="preserve">q_p = c_p·(T4 − T3)</t>
  </si>
  <si>
    <t xml:space="preserve">Calor aportado total</t>
  </si>
  <si>
    <t xml:space="preserve">q_ent = q_v + q_p</t>
  </si>
  <si>
    <t xml:space="preserve">Calor cedido</t>
  </si>
  <si>
    <t xml:space="preserve">q_sal = c_v·(T5 − T1)</t>
  </si>
  <si>
    <t xml:space="preserve">Trabajo neto</t>
  </si>
  <si>
    <t xml:space="preserve">w = Σ W</t>
  </si>
  <si>
    <t xml:space="preserve">Eficiencia térmica (balance)</t>
  </si>
  <si>
    <t xml:space="preserve">η = w/q_ent</t>
  </si>
  <si>
    <t xml:space="preserve">%</t>
  </si>
  <si>
    <t xml:space="preserve">Eficiencia (fórmula)</t>
  </si>
  <si>
    <t xml:space="preserve">η_dual</t>
  </si>
  <si>
    <t xml:space="preserve">Eficiencia Otto con igual r</t>
  </si>
  <si>
    <t xml:space="preserve">α = β = 1 → Otto</t>
  </si>
  <si>
    <t xml:space="preserve">Eficiencia Diesel con igual r y β</t>
  </si>
  <si>
    <t xml:space="preserve">α = 1 → Diesel</t>
  </si>
  <si>
    <t xml:space="preserve">Fracción de calor a v cte</t>
  </si>
  <si>
    <t xml:space="preserve">q_v/q_ent</t>
  </si>
  <si>
    <t xml:space="preserve">Eficiencia de Carnot entre T máx y T mín</t>
  </si>
  <si>
    <t xml:space="preserve">η_C = 1 − T1/T4</t>
  </si>
  <si>
    <t xml:space="preserve">Temperatura media de aporte de calor</t>
  </si>
  <si>
    <t xml:space="preserve">T_m = q_ent/(s4 − s2)</t>
  </si>
  <si>
    <t xml:space="preserve">Presión media efectiva</t>
  </si>
  <si>
    <t xml:space="preserve">PME = w/(v1 − v2)</t>
  </si>
  <si>
    <t xml:space="preserve">Presión máxima</t>
  </si>
  <si>
    <t xml:space="preserve">P_máx = P3</t>
  </si>
  <si>
    <t xml:space="preserve">Temperatura máxima</t>
  </si>
  <si>
    <t xml:space="preserve">T_máx = T4</t>
  </si>
  <si>
    <t xml:space="preserve">Relación de trabajo de retroceso</t>
  </si>
  <si>
    <t xml:space="preserve">bwr = |W_comp|/W_exp</t>
  </si>
  <si>
    <t xml:space="preserve">Trabajo por ciclo (un cilindro)</t>
  </si>
  <si>
    <t xml:space="preserve">W_ciclo = w·m</t>
  </si>
  <si>
    <t xml:space="preserve">J</t>
  </si>
  <si>
    <t xml:space="preserve">Calor aportado por ciclo</t>
  </si>
  <si>
    <t xml:space="preserve">Q_ciclo = q_ent·m</t>
  </si>
  <si>
    <t xml:space="preserve">Potencia teórica indicada</t>
  </si>
  <si>
    <t xml:space="preserve">P = W_ciclo·Z·n/120</t>
  </si>
  <si>
    <t xml:space="preserve">kW</t>
  </si>
  <si>
    <t xml:space="preserve">Puntos de los diagramas (20 por proceso)</t>
  </si>
  <si>
    <t xml:space="preserve">t</t>
  </si>
  <si>
    <t xml:space="preserve">Presión y temperatura vs. ángulo del cigüeñal (ciclo dual ideal, 720°)</t>
  </si>
  <si>
    <t xml:space="preserve">V(θ) = V_CC + (V_C/2)·[(1 − cos θ) + (1/λ)(1 − √(1 − λ²·sen²θ))]</t>
  </si>
  <si>
    <t xml:space="preserve">θ (°)</t>
  </si>
  <si>
    <t xml:space="preserve">Tiempo</t>
  </si>
  <si>
    <t xml:space="preserve">Ciclo ideal: aporte de calor a v cte en el PMS (360°) y luego a P cte hasta V = β·V_CC. En admisión y escape se asigna T = T1.</t>
  </si>
  <si>
    <t xml:space="preserve">Admisión</t>
  </si>
  <si>
    <t xml:space="preserve">Compresión</t>
  </si>
  <si>
    <t xml:space="preserve">Expansión</t>
  </si>
  <si>
    <t xml:space="preserve">Escape</t>
  </si>
  <si>
    <t xml:space="preserve">Comparación de eficiencias: Otto, Diesel y dual</t>
  </si>
  <si>
    <t xml:space="preserve">β de la hoja Dual para Diesel y dual; α variable en el dual</t>
  </si>
  <si>
    <t xml:space="preserve">η Otto (%)</t>
  </si>
  <si>
    <t xml:space="preserve">η Diesel β (%)</t>
  </si>
  <si>
    <t xml:space="preserve">η dual α=1,25 (%)</t>
  </si>
  <si>
    <t xml:space="preserve">η dual α=1,5 (%)</t>
  </si>
  <si>
    <t xml:space="preserve">η dual α=2 (%)</t>
  </si>
  <si>
    <t xml:space="preserve">Efecto de α con r y β de la hoja Dual</t>
  </si>
  <si>
    <t xml:space="preserve">η dual (%)</t>
  </si>
  <si>
    <t xml:space="preserve">P máx (kPa)</t>
  </si>
  <si>
    <t xml:space="preserve">T máx (K)</t>
  </si>
  <si>
    <t xml:space="preserve">Con α = 1 el ciclo dual se reduce al Diesel; con β = 1, al Otto.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</si>
</sst>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0.000"/>
    <numFmt numFmtId="166" formatCode="0.0000"/>
    <numFmt numFmtId="167" formatCode="0.000000"/>
    <numFmt numFmtId="168" formatCode="0.00"/>
    <numFmt numFmtId="169" formatCode="0.00000"/>
    <numFmt numFmtId="170" formatCode="0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i val="true"/>
      <sz val="11"/>
      <name val="Arial"/>
      <family val="0"/>
      <charset val="1"/>
    </font>
    <font>
      <i val="true"/>
      <sz val="9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name val="Arial"/>
      <family val="0"/>
      <charset val="1"/>
    </font>
    <font>
      <sz val="11"/>
      <color rgb="FF0000FF"/>
      <name val="Arial"/>
      <family val="0"/>
      <charset val="1"/>
    </font>
    <font>
      <b val="true"/>
      <sz val="12"/>
      <color rgb="FF1F3864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1F3864"/>
        <bgColor rgb="FF2F5597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9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9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7F6000"/>
      <rgbColor rgb="FF800080"/>
      <rgbColor rgb="FF008080"/>
      <rgbColor rgb="FFC0C0C0"/>
      <rgbColor rgb="FF878787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C55A11"/>
      <rgbColor rgb="FF666699"/>
      <rgbColor rgb="FF999999"/>
      <rgbColor rgb="FF1F3864"/>
      <rgbColor rgb="FF339966"/>
      <rgbColor rgb="FF003300"/>
      <rgbColor rgb="FF333300"/>
      <rgbColor rgb="FF993300"/>
      <rgbColor rgb="FF993366"/>
      <rgbColor rgb="FF2F5597"/>
      <rgbColor rgb="FF37562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Diagrama P–v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"/>
        <c:varyColors val="0"/>
        <c:ser>
          <c:idx val="0"/>
          <c:order val="0"/>
          <c:tx>
            <c:strRef>
              <c:f>"1→2"</c:f>
              <c:strCache>
                <c:ptCount val="1"/>
                <c:pt idx="0">
                  <c:v>1→2</c:v>
                </c:pt>
              </c:strCache>
            </c:strRef>
          </c:tx>
          <c:spPr>
            <a:solidFill>
              <a:srgbClr val="2f5597"/>
            </a:solidFill>
            <a:ln w="28080">
              <a:solidFill>
                <a:srgbClr val="2f5597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Puntos!$C$5:$C$24</c:f>
              <c:numCache>
                <c:formatCode>0.00000</c:formatCode>
                <c:ptCount val="20"/>
                <c:pt idx="0">
                  <c:v>1.08987341772152</c:v>
                </c:pt>
                <c:pt idx="1">
                  <c:v>1.0360963386076</c:v>
                </c:pt>
                <c:pt idx="2">
                  <c:v>0.98232028125</c:v>
                </c:pt>
                <c:pt idx="3">
                  <c:v>0.928543202136076</c:v>
                </c:pt>
                <c:pt idx="4">
                  <c:v>0.874767144778481</c:v>
                </c:pt>
                <c:pt idx="5">
                  <c:v>0.820990065664557</c:v>
                </c:pt>
                <c:pt idx="6">
                  <c:v>0.767214008306962</c:v>
                </c:pt>
                <c:pt idx="7">
                  <c:v>0.713436929193038</c:v>
                </c:pt>
                <c:pt idx="8">
                  <c:v>0.659659850079114</c:v>
                </c:pt>
                <c:pt idx="9">
                  <c:v>0.605883792721519</c:v>
                </c:pt>
                <c:pt idx="10">
                  <c:v>0.552106713607595</c:v>
                </c:pt>
                <c:pt idx="11">
                  <c:v>0.49833065625</c:v>
                </c:pt>
                <c:pt idx="12">
                  <c:v>0.444553577136076</c:v>
                </c:pt>
                <c:pt idx="13">
                  <c:v>0.390776498022152</c:v>
                </c:pt>
                <c:pt idx="14">
                  <c:v>0.337000440664557</c:v>
                </c:pt>
                <c:pt idx="15">
                  <c:v>0.283223361550633</c:v>
                </c:pt>
                <c:pt idx="16">
                  <c:v>0.229447304193038</c:v>
                </c:pt>
                <c:pt idx="17">
                  <c:v>0.175670225079114</c:v>
                </c:pt>
                <c:pt idx="18">
                  <c:v>0.121894167721519</c:v>
                </c:pt>
                <c:pt idx="19">
                  <c:v>0.068117088607595</c:v>
                </c:pt>
              </c:numCache>
            </c:numRef>
          </c:xVal>
          <c:yVal>
            <c:numRef>
              <c:f>Puntos!$E$5:$E$24</c:f>
              <c:numCache>
                <c:formatCode>0.00</c:formatCode>
                <c:ptCount val="20"/>
                <c:pt idx="0">
                  <c:v>79</c:v>
                </c:pt>
                <c:pt idx="1">
                  <c:v>84.7995174550687</c:v>
                </c:pt>
                <c:pt idx="2">
                  <c:v>91.3690733808613</c:v>
                </c:pt>
                <c:pt idx="3">
                  <c:v>98.8622783125908</c:v>
                </c:pt>
                <c:pt idx="4">
                  <c:v>107.474176771474</c:v>
                </c:pt>
                <c:pt idx="5">
                  <c:v>117.457435027152</c:v>
                </c:pt>
                <c:pt idx="6">
                  <c:v>129.14287249678</c:v>
                </c:pt>
                <c:pt idx="7">
                  <c:v>142.973568039976</c:v>
                </c:pt>
                <c:pt idx="8">
                  <c:v>159.553194218534</c:v>
                </c:pt>
                <c:pt idx="9">
                  <c:v>179.72500568509</c:v>
                </c:pt>
                <c:pt idx="10">
                  <c:v>204.701646581501</c:v>
                </c:pt>
                <c:pt idx="11">
                  <c:v>236.28106989248</c:v>
                </c:pt>
                <c:pt idx="12">
                  <c:v>277.242510390108</c:v>
                </c:pt>
                <c:pt idx="13">
                  <c:v>332.088444741104</c:v>
                </c:pt>
                <c:pt idx="14">
                  <c:v>408.574181408618</c:v>
                </c:pt>
                <c:pt idx="15">
                  <c:v>521.162157390473</c:v>
                </c:pt>
                <c:pt idx="16">
                  <c:v>699.837858226763</c:v>
                </c:pt>
                <c:pt idx="17">
                  <c:v>1017.12927577761</c:v>
                </c:pt>
                <c:pt idx="18">
                  <c:v>1696.59224898476</c:v>
                </c:pt>
                <c:pt idx="19">
                  <c:v>3831.73148013828</c:v>
                </c:pt>
              </c:numCache>
            </c:numRef>
          </c:yVal>
          <c:smooth val="1"/>
        </c:ser>
        <c:ser>
          <c:idx val="1"/>
          <c:order val="1"/>
          <c:tx>
            <c:strRef>
              <c:f>"2→3"</c:f>
              <c:strCache>
                <c:ptCount val="1"/>
                <c:pt idx="0">
                  <c:v>2→3</c:v>
                </c:pt>
              </c:strCache>
            </c:strRef>
          </c:tx>
          <c:spPr>
            <a:solidFill>
              <a:srgbClr val="c00000"/>
            </a:solidFill>
            <a:ln w="28080">
              <a:solidFill>
                <a:srgbClr val="c00000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Puntos!$C$25:$C$44</c:f>
              <c:numCache>
                <c:formatCode>0.00000</c:formatCode>
                <c:ptCount val="20"/>
                <c:pt idx="0">
                  <c:v>0.0681170886075949</c:v>
                </c:pt>
                <c:pt idx="1">
                  <c:v>0.0681170886075949</c:v>
                </c:pt>
                <c:pt idx="2">
                  <c:v>0.0681170886075949</c:v>
                </c:pt>
                <c:pt idx="3">
                  <c:v>0.0681170886075949</c:v>
                </c:pt>
                <c:pt idx="4">
                  <c:v>0.0681170886075949</c:v>
                </c:pt>
                <c:pt idx="5">
                  <c:v>0.0681170886075949</c:v>
                </c:pt>
                <c:pt idx="6">
                  <c:v>0.0681170886075949</c:v>
                </c:pt>
                <c:pt idx="7">
                  <c:v>0.0681170886075949</c:v>
                </c:pt>
                <c:pt idx="8">
                  <c:v>0.0681170886075949</c:v>
                </c:pt>
                <c:pt idx="9">
                  <c:v>0.0681170886075949</c:v>
                </c:pt>
                <c:pt idx="10">
                  <c:v>0.0681170886075949</c:v>
                </c:pt>
                <c:pt idx="11">
                  <c:v>0.0681170886075949</c:v>
                </c:pt>
                <c:pt idx="12">
                  <c:v>0.0681170886075949</c:v>
                </c:pt>
                <c:pt idx="13">
                  <c:v>0.0681170886075949</c:v>
                </c:pt>
                <c:pt idx="14">
                  <c:v>0.0681170886075949</c:v>
                </c:pt>
                <c:pt idx="15">
                  <c:v>0.0681170886075949</c:v>
                </c:pt>
                <c:pt idx="16">
                  <c:v>0.0681170886075949</c:v>
                </c:pt>
                <c:pt idx="17">
                  <c:v>0.0681170886075949</c:v>
                </c:pt>
                <c:pt idx="18">
                  <c:v>0.0681170886075949</c:v>
                </c:pt>
                <c:pt idx="19">
                  <c:v>0.0681170886075949</c:v>
                </c:pt>
              </c:numCache>
            </c:numRef>
          </c:xVal>
          <c:yVal>
            <c:numRef>
              <c:f>Puntos!$E$25:$E$44</c:f>
              <c:numCache>
                <c:formatCode>0.00</c:formatCode>
                <c:ptCount val="20"/>
                <c:pt idx="0">
                  <c:v>3831.73148013829</c:v>
                </c:pt>
                <c:pt idx="1">
                  <c:v>3932.5673257696</c:v>
                </c:pt>
                <c:pt idx="2">
                  <c:v>4033.40125553518</c:v>
                </c:pt>
                <c:pt idx="3">
                  <c:v>4134.2371011665</c:v>
                </c:pt>
                <c:pt idx="4">
                  <c:v>4235.07103093208</c:v>
                </c:pt>
                <c:pt idx="5">
                  <c:v>4335.9068765634</c:v>
                </c:pt>
                <c:pt idx="6">
                  <c:v>4436.74080632898</c:v>
                </c:pt>
                <c:pt idx="7">
                  <c:v>4537.5766519603</c:v>
                </c:pt>
                <c:pt idx="8">
                  <c:v>4638.41249759162</c:v>
                </c:pt>
                <c:pt idx="9">
                  <c:v>4739.2464273572</c:v>
                </c:pt>
                <c:pt idx="10">
                  <c:v>4840.08227298852</c:v>
                </c:pt>
                <c:pt idx="11">
                  <c:v>4940.9162027541</c:v>
                </c:pt>
                <c:pt idx="12">
                  <c:v>5041.75204838541</c:v>
                </c:pt>
                <c:pt idx="13">
                  <c:v>5142.58789401673</c:v>
                </c:pt>
                <c:pt idx="14">
                  <c:v>5243.42182378231</c:v>
                </c:pt>
                <c:pt idx="15">
                  <c:v>5344.25766941363</c:v>
                </c:pt>
                <c:pt idx="16">
                  <c:v>5445.09159917921</c:v>
                </c:pt>
                <c:pt idx="17">
                  <c:v>5545.92744481053</c:v>
                </c:pt>
                <c:pt idx="18">
                  <c:v>5646.76137457611</c:v>
                </c:pt>
                <c:pt idx="19">
                  <c:v>5747.59722020743</c:v>
                </c:pt>
              </c:numCache>
            </c:numRef>
          </c:yVal>
          <c:smooth val="1"/>
        </c:ser>
        <c:ser>
          <c:idx val="2"/>
          <c:order val="2"/>
          <c:tx>
            <c:strRef>
              <c:f>"3→4"</c:f>
              <c:strCache>
                <c:ptCount val="1"/>
                <c:pt idx="0">
                  <c:v>3→4</c:v>
                </c:pt>
              </c:strCache>
            </c:strRef>
          </c:tx>
          <c:spPr>
            <a:solidFill>
              <a:srgbClr val="c55a11"/>
            </a:solidFill>
            <a:ln w="28080">
              <a:solidFill>
                <a:srgbClr val="c55a11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Puntos!$C$45:$C$64</c:f>
              <c:numCache>
                <c:formatCode>0.00000</c:formatCode>
                <c:ptCount val="20"/>
                <c:pt idx="0">
                  <c:v>0.0681170886075949</c:v>
                </c:pt>
                <c:pt idx="1">
                  <c:v>0.0702681717721519</c:v>
                </c:pt>
                <c:pt idx="2">
                  <c:v>0.0724192140664557</c:v>
                </c:pt>
                <c:pt idx="3">
                  <c:v>0.0745702972310127</c:v>
                </c:pt>
                <c:pt idx="4">
                  <c:v>0.0767213395253165</c:v>
                </c:pt>
                <c:pt idx="5">
                  <c:v>0.0788724226898734</c:v>
                </c:pt>
                <c:pt idx="6">
                  <c:v>0.0810234649841772</c:v>
                </c:pt>
                <c:pt idx="7">
                  <c:v>0.0831745481487342</c:v>
                </c:pt>
                <c:pt idx="8">
                  <c:v>0.0853256313132911</c:v>
                </c:pt>
                <c:pt idx="9">
                  <c:v>0.087476673607595</c:v>
                </c:pt>
                <c:pt idx="10">
                  <c:v>0.0896277567721519</c:v>
                </c:pt>
                <c:pt idx="11">
                  <c:v>0.0917787990664557</c:v>
                </c:pt>
                <c:pt idx="12">
                  <c:v>0.0939298822310127</c:v>
                </c:pt>
                <c:pt idx="13">
                  <c:v>0.0960809653955696</c:v>
                </c:pt>
                <c:pt idx="14">
                  <c:v>0.0982320076898734</c:v>
                </c:pt>
                <c:pt idx="15">
                  <c:v>0.10038309085443</c:v>
                </c:pt>
                <c:pt idx="16">
                  <c:v>0.102534133148734</c:v>
                </c:pt>
                <c:pt idx="17">
                  <c:v>0.104685216313291</c:v>
                </c:pt>
                <c:pt idx="18">
                  <c:v>0.106836258607595</c:v>
                </c:pt>
                <c:pt idx="19">
                  <c:v>0.108987341772152</c:v>
                </c:pt>
              </c:numCache>
            </c:numRef>
          </c:xVal>
          <c:yVal>
            <c:numRef>
              <c:f>Puntos!$E$45:$E$64</c:f>
              <c:numCache>
                <c:formatCode>0.00</c:formatCode>
                <c:ptCount val="20"/>
                <c:pt idx="0">
                  <c:v>5747.59722020743</c:v>
                </c:pt>
                <c:pt idx="1">
                  <c:v>5747.59722020743</c:v>
                </c:pt>
                <c:pt idx="2">
                  <c:v>5747.59722020743</c:v>
                </c:pt>
                <c:pt idx="3">
                  <c:v>5747.59722020743</c:v>
                </c:pt>
                <c:pt idx="4">
                  <c:v>5747.59722020743</c:v>
                </c:pt>
                <c:pt idx="5">
                  <c:v>5747.59722020743</c:v>
                </c:pt>
                <c:pt idx="6">
                  <c:v>5747.59722020743</c:v>
                </c:pt>
                <c:pt idx="7">
                  <c:v>5747.59722020743</c:v>
                </c:pt>
                <c:pt idx="8">
                  <c:v>5747.59722020743</c:v>
                </c:pt>
                <c:pt idx="9">
                  <c:v>5747.59722020743</c:v>
                </c:pt>
                <c:pt idx="10">
                  <c:v>5747.59722020743</c:v>
                </c:pt>
                <c:pt idx="11">
                  <c:v>5747.59722020743</c:v>
                </c:pt>
                <c:pt idx="12">
                  <c:v>5747.59722020743</c:v>
                </c:pt>
                <c:pt idx="13">
                  <c:v>5747.59722020743</c:v>
                </c:pt>
                <c:pt idx="14">
                  <c:v>5747.59722020743</c:v>
                </c:pt>
                <c:pt idx="15">
                  <c:v>5747.59722020743</c:v>
                </c:pt>
                <c:pt idx="16">
                  <c:v>5747.59722020743</c:v>
                </c:pt>
                <c:pt idx="17">
                  <c:v>5747.59722020743</c:v>
                </c:pt>
                <c:pt idx="18">
                  <c:v>5747.59722020743</c:v>
                </c:pt>
                <c:pt idx="19">
                  <c:v>5747.59722020743</c:v>
                </c:pt>
              </c:numCache>
            </c:numRef>
          </c:yVal>
          <c:smooth val="1"/>
        </c:ser>
        <c:ser>
          <c:idx val="3"/>
          <c:order val="3"/>
          <c:tx>
            <c:strRef>
              <c:f>"4→5"</c:f>
              <c:strCache>
                <c:ptCount val="1"/>
                <c:pt idx="0">
                  <c:v>4→5</c:v>
                </c:pt>
              </c:strCache>
            </c:strRef>
          </c:tx>
          <c:spPr>
            <a:solidFill>
              <a:srgbClr val="375623"/>
            </a:solidFill>
            <a:ln w="28080">
              <a:solidFill>
                <a:srgbClr val="375623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Puntos!$C$65:$C$84</c:f>
              <c:numCache>
                <c:formatCode>0.00000</c:formatCode>
                <c:ptCount val="20"/>
                <c:pt idx="0">
                  <c:v>0.108987341772152</c:v>
                </c:pt>
                <c:pt idx="1">
                  <c:v>0.160613337721519</c:v>
                </c:pt>
                <c:pt idx="2">
                  <c:v>0.21223835278481</c:v>
                </c:pt>
                <c:pt idx="3">
                  <c:v>0.263864348734177</c:v>
                </c:pt>
                <c:pt idx="4">
                  <c:v>0.315489363797468</c:v>
                </c:pt>
                <c:pt idx="5">
                  <c:v>0.367115359746835</c:v>
                </c:pt>
                <c:pt idx="6">
                  <c:v>0.418740374810127</c:v>
                </c:pt>
                <c:pt idx="7">
                  <c:v>0.470366370759494</c:v>
                </c:pt>
                <c:pt idx="8">
                  <c:v>0.521992366708861</c:v>
                </c:pt>
                <c:pt idx="9">
                  <c:v>0.573617381772152</c:v>
                </c:pt>
                <c:pt idx="10">
                  <c:v>0.625243377721519</c:v>
                </c:pt>
                <c:pt idx="11">
                  <c:v>0.67686839278481</c:v>
                </c:pt>
                <c:pt idx="12">
                  <c:v>0.728494388734177</c:v>
                </c:pt>
                <c:pt idx="13">
                  <c:v>0.780120384683544</c:v>
                </c:pt>
                <c:pt idx="14">
                  <c:v>0.831745399746836</c:v>
                </c:pt>
                <c:pt idx="15">
                  <c:v>0.883371395696203</c:v>
                </c:pt>
                <c:pt idx="16">
                  <c:v>0.934996410759494</c:v>
                </c:pt>
                <c:pt idx="17">
                  <c:v>0.986622406708861</c:v>
                </c:pt>
                <c:pt idx="18">
                  <c:v>1.03824742177215</c:v>
                </c:pt>
                <c:pt idx="19">
                  <c:v>1.08987341772152</c:v>
                </c:pt>
              </c:numCache>
            </c:numRef>
          </c:xVal>
          <c:yVal>
            <c:numRef>
              <c:f>Puntos!$E$65:$E$84</c:f>
              <c:numCache>
                <c:formatCode>0.00</c:formatCode>
                <c:ptCount val="20"/>
                <c:pt idx="0">
                  <c:v>5747.59722020743</c:v>
                </c:pt>
                <c:pt idx="1">
                  <c:v>3339.78538628589</c:v>
                </c:pt>
                <c:pt idx="2">
                  <c:v>2260.78569943105</c:v>
                </c:pt>
                <c:pt idx="3">
                  <c:v>1666.78586283959</c:v>
                </c:pt>
                <c:pt idx="4">
                  <c:v>1297.87898077166</c:v>
                </c:pt>
                <c:pt idx="5">
                  <c:v>1049.7580962555</c:v>
                </c:pt>
                <c:pt idx="6">
                  <c:v>873.152371457502</c:v>
                </c:pt>
                <c:pt idx="7">
                  <c:v>741.996814500747</c:v>
                </c:pt>
                <c:pt idx="8">
                  <c:v>641.332128674666</c:v>
                </c:pt>
                <c:pt idx="9">
                  <c:v>562.006820623424</c:v>
                </c:pt>
                <c:pt idx="10">
                  <c:v>498.131573048503</c:v>
                </c:pt>
                <c:pt idx="11">
                  <c:v>445.765939862161</c:v>
                </c:pt>
                <c:pt idx="12">
                  <c:v>402.175967237227</c:v>
                </c:pt>
                <c:pt idx="13">
                  <c:v>365.415136915794</c:v>
                </c:pt>
                <c:pt idx="14">
                  <c:v>334.061356081375</c:v>
                </c:pt>
                <c:pt idx="15">
                  <c:v>307.052151654396</c:v>
                </c:pt>
                <c:pt idx="16">
                  <c:v>283.582148866257</c:v>
                </c:pt>
                <c:pt idx="17">
                  <c:v>263.027675120751</c:v>
                </c:pt>
                <c:pt idx="18">
                  <c:v>244.901589827341</c:v>
                </c:pt>
                <c:pt idx="19">
                  <c:v>228.815966681793</c:v>
                </c:pt>
              </c:numCache>
            </c:numRef>
          </c:yVal>
          <c:smooth val="1"/>
        </c:ser>
        <c:ser>
          <c:idx val="4"/>
          <c:order val="4"/>
          <c:tx>
            <c:strRef>
              <c:f>"5→1"</c:f>
              <c:strCache>
                <c:ptCount val="1"/>
                <c:pt idx="0">
                  <c:v>5→1</c:v>
                </c:pt>
              </c:strCache>
            </c:strRef>
          </c:tx>
          <c:spPr>
            <a:solidFill>
              <a:srgbClr val="7f6000"/>
            </a:solidFill>
            <a:ln w="28080">
              <a:solidFill>
                <a:srgbClr val="7f6000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Puntos!$C$85:$C$104</c:f>
              <c:numCache>
                <c:formatCode>0.00000</c:formatCode>
                <c:ptCount val="20"/>
                <c:pt idx="0">
                  <c:v>1.08987341772152</c:v>
                </c:pt>
                <c:pt idx="1">
                  <c:v>1.08987341772152</c:v>
                </c:pt>
                <c:pt idx="2">
                  <c:v>1.08987341772152</c:v>
                </c:pt>
                <c:pt idx="3">
                  <c:v>1.08987341772152</c:v>
                </c:pt>
                <c:pt idx="4">
                  <c:v>1.08987341772152</c:v>
                </c:pt>
                <c:pt idx="5">
                  <c:v>1.08987341772152</c:v>
                </c:pt>
                <c:pt idx="6">
                  <c:v>1.08987341772152</c:v>
                </c:pt>
                <c:pt idx="7">
                  <c:v>1.08987341772152</c:v>
                </c:pt>
                <c:pt idx="8">
                  <c:v>1.08987341772152</c:v>
                </c:pt>
                <c:pt idx="9">
                  <c:v>1.08987341772152</c:v>
                </c:pt>
                <c:pt idx="10">
                  <c:v>1.08987341772152</c:v>
                </c:pt>
                <c:pt idx="11">
                  <c:v>1.08987341772152</c:v>
                </c:pt>
                <c:pt idx="12">
                  <c:v>1.08987341772152</c:v>
                </c:pt>
                <c:pt idx="13">
                  <c:v>1.08987341772152</c:v>
                </c:pt>
                <c:pt idx="14">
                  <c:v>1.08987341772152</c:v>
                </c:pt>
                <c:pt idx="15">
                  <c:v>1.08987341772152</c:v>
                </c:pt>
                <c:pt idx="16">
                  <c:v>1.08987341772152</c:v>
                </c:pt>
                <c:pt idx="17">
                  <c:v>1.08987341772152</c:v>
                </c:pt>
                <c:pt idx="18">
                  <c:v>1.08987341772152</c:v>
                </c:pt>
                <c:pt idx="19">
                  <c:v>1.08987341772152</c:v>
                </c:pt>
              </c:numCache>
            </c:numRef>
          </c:xVal>
          <c:yVal>
            <c:numRef>
              <c:f>Puntos!$E$85:$E$104</c:f>
              <c:numCache>
                <c:formatCode>0.00</c:formatCode>
                <c:ptCount val="20"/>
                <c:pt idx="0">
                  <c:v>228.815966681793</c:v>
                </c:pt>
                <c:pt idx="1">
                  <c:v>220.930852723396</c:v>
                </c:pt>
                <c:pt idx="2">
                  <c:v>213.045888580967</c:v>
                </c:pt>
                <c:pt idx="3">
                  <c:v>205.160774622571</c:v>
                </c:pt>
                <c:pt idx="4">
                  <c:v>197.275810480142</c:v>
                </c:pt>
                <c:pt idx="5">
                  <c:v>189.390696521745</c:v>
                </c:pt>
                <c:pt idx="6">
                  <c:v>181.505732379316</c:v>
                </c:pt>
                <c:pt idx="7">
                  <c:v>173.62061842092</c:v>
                </c:pt>
                <c:pt idx="8">
                  <c:v>165.735504462524</c:v>
                </c:pt>
                <c:pt idx="9">
                  <c:v>157.850540320094</c:v>
                </c:pt>
                <c:pt idx="10">
                  <c:v>149.965426361698</c:v>
                </c:pt>
                <c:pt idx="11">
                  <c:v>142.080462219269</c:v>
                </c:pt>
                <c:pt idx="12">
                  <c:v>134.195348260873</c:v>
                </c:pt>
                <c:pt idx="13">
                  <c:v>126.310234302477</c:v>
                </c:pt>
                <c:pt idx="14">
                  <c:v>118.425270160047</c:v>
                </c:pt>
                <c:pt idx="15">
                  <c:v>110.540156201651</c:v>
                </c:pt>
                <c:pt idx="16">
                  <c:v>102.655192059222</c:v>
                </c:pt>
                <c:pt idx="17">
                  <c:v>94.7700781008255</c:v>
                </c:pt>
                <c:pt idx="18">
                  <c:v>86.8851139583961</c:v>
                </c:pt>
                <c:pt idx="19">
                  <c:v>79</c:v>
                </c:pt>
              </c:numCache>
            </c:numRef>
          </c:yVal>
          <c:smooth val="1"/>
        </c:ser>
        <c:axId val="42045444"/>
        <c:axId val="1735990"/>
      </c:scatterChart>
      <c:valAx>
        <c:axId val="42045444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v (m³/kg)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0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735990"/>
        <c:crosses val="autoZero"/>
        <c:crossBetween val="midCat"/>
      </c:valAx>
      <c:valAx>
        <c:axId val="1735990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P (kPa)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2045444"/>
        <c:crosses val="autoZero"/>
        <c:crossBetween val="midCat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Diagrama T–s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"/>
        <c:varyColors val="0"/>
        <c:ser>
          <c:idx val="0"/>
          <c:order val="0"/>
          <c:tx>
            <c:strRef>
              <c:f>"1→2"</c:f>
              <c:strCache>
                <c:ptCount val="1"/>
                <c:pt idx="0">
                  <c:v>1→2</c:v>
                </c:pt>
              </c:strCache>
            </c:strRef>
          </c:tx>
          <c:spPr>
            <a:solidFill>
              <a:srgbClr val="2f5597"/>
            </a:solidFill>
            <a:ln w="28080">
              <a:solidFill>
                <a:srgbClr val="2f5597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Puntos!$F$5:$F$24</c:f>
              <c:numCache>
                <c:formatCode>0.00000</c:formatCode>
                <c:ptCount val="2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</c:numCache>
            </c:numRef>
          </c:xVal>
          <c:yVal>
            <c:numRef>
              <c:f>Puntos!$D$5:$D$24</c:f>
              <c:numCache>
                <c:formatCode>0.00</c:formatCode>
                <c:ptCount val="20"/>
                <c:pt idx="0">
                  <c:v>300</c:v>
                </c:pt>
                <c:pt idx="1">
                  <c:v>306.134040246995</c:v>
                </c:pt>
                <c:pt idx="2">
                  <c:v>312.7306406308</c:v>
                </c:pt>
                <c:pt idx="3">
                  <c:v>319.853297821746</c:v>
                </c:pt>
                <c:pt idx="4">
                  <c:v>327.577974744948</c:v>
                </c:pt>
                <c:pt idx="5">
                  <c:v>335.997865141924</c:v>
                </c:pt>
                <c:pt idx="6">
                  <c:v>345.227250357245</c:v>
                </c:pt>
                <c:pt idx="7">
                  <c:v>355.409837415374</c:v>
                </c:pt>
                <c:pt idx="8">
                  <c:v>366.727652187602</c:v>
                </c:pt>
                <c:pt idx="9">
                  <c:v>379.416265126757</c:v>
                </c:pt>
                <c:pt idx="10">
                  <c:v>393.787990815944</c:v>
                </c:pt>
                <c:pt idx="11">
                  <c:v>410.26515895112</c:v>
                </c:pt>
                <c:pt idx="12">
                  <c:v>429.439546090969</c:v>
                </c:pt>
                <c:pt idx="13">
                  <c:v>452.168499893908</c:v>
                </c:pt>
                <c:pt idx="14">
                  <c:v>479.754979717299</c:v>
                </c:pt>
                <c:pt idx="15">
                  <c:v>514.304174665888</c:v>
                </c:pt>
                <c:pt idx="16">
                  <c:v>559.497944050036</c:v>
                </c:pt>
                <c:pt idx="17">
                  <c:v>622.576058572853</c:v>
                </c:pt>
                <c:pt idx="18">
                  <c:v>720.573868128145</c:v>
                </c:pt>
                <c:pt idx="19">
                  <c:v>909.429939906238</c:v>
                </c:pt>
              </c:numCache>
            </c:numRef>
          </c:yVal>
          <c:smooth val="1"/>
        </c:ser>
        <c:ser>
          <c:idx val="1"/>
          <c:order val="1"/>
          <c:tx>
            <c:strRef>
              <c:f>"2→3"</c:f>
              <c:strCache>
                <c:ptCount val="1"/>
                <c:pt idx="0">
                  <c:v>2→3</c:v>
                </c:pt>
              </c:strCache>
            </c:strRef>
          </c:tx>
          <c:spPr>
            <a:solidFill>
              <a:srgbClr val="c00000"/>
            </a:solidFill>
            <a:ln w="28080">
              <a:solidFill>
                <a:srgbClr val="c00000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Puntos!$F$25:$F$44</c:f>
              <c:numCache>
                <c:formatCode>0.00000</c:formatCode>
                <c:ptCount val="20"/>
                <c:pt idx="0">
                  <c:v>0</c:v>
                </c:pt>
                <c:pt idx="1">
                  <c:v>0.0186505465195773</c:v>
                </c:pt>
                <c:pt idx="2">
                  <c:v>0.0368285315202592</c:v>
                </c:pt>
                <c:pt idx="3">
                  <c:v>0.0545579687711183</c:v>
                </c:pt>
                <c:pt idx="4">
                  <c:v>0.0718598206724775</c:v>
                </c:pt>
                <c:pt idx="5">
                  <c:v>0.0887548537797808</c:v>
                </c:pt>
                <c:pt idx="6">
                  <c:v>0.105261147606115</c:v>
                </c:pt>
                <c:pt idx="7">
                  <c:v>0.121396789015989</c:v>
                </c:pt>
                <c:pt idx="8">
                  <c:v>0.137177769256487</c:v>
                </c:pt>
                <c:pt idx="9">
                  <c:v>0.152619054237892</c:v>
                </c:pt>
                <c:pt idx="10">
                  <c:v>0.167735522981652</c:v>
                </c:pt>
                <c:pt idx="11">
                  <c:v>0.182540008788449</c:v>
                </c:pt>
                <c:pt idx="12">
                  <c:v>0.197045669573864</c:v>
                </c:pt>
                <c:pt idx="13">
                  <c:v>0.211264068318392</c:v>
                </c:pt>
                <c:pt idx="14">
                  <c:v>0.225206099642535</c:v>
                </c:pt>
                <c:pt idx="15">
                  <c:v>0.238882812529893</c:v>
                </c:pt>
                <c:pt idx="16">
                  <c:v>0.252303616268119</c:v>
                </c:pt>
                <c:pt idx="17">
                  <c:v>0.265478403477004</c:v>
                </c:pt>
                <c:pt idx="18">
                  <c:v>0.278415548692856</c:v>
                </c:pt>
                <c:pt idx="19">
                  <c:v>0.291123947621662</c:v>
                </c:pt>
              </c:numCache>
            </c:numRef>
          </c:xVal>
          <c:yVal>
            <c:numRef>
              <c:f>Puntos!$D$25:$D$44</c:f>
              <c:numCache>
                <c:formatCode>0.00</c:formatCode>
                <c:ptCount val="20"/>
                <c:pt idx="0">
                  <c:v>909.429939906239</c:v>
                </c:pt>
                <c:pt idx="1">
                  <c:v>933.362498204811</c:v>
                </c:pt>
                <c:pt idx="2">
                  <c:v>957.294601788414</c:v>
                </c:pt>
                <c:pt idx="3">
                  <c:v>981.227160086987</c:v>
                </c:pt>
                <c:pt idx="4">
                  <c:v>1005.15926367059</c:v>
                </c:pt>
                <c:pt idx="5">
                  <c:v>1029.09182196916</c:v>
                </c:pt>
                <c:pt idx="6">
                  <c:v>1053.02392555276</c:v>
                </c:pt>
                <c:pt idx="7">
                  <c:v>1076.95648385134</c:v>
                </c:pt>
                <c:pt idx="8">
                  <c:v>1100.88904214991</c:v>
                </c:pt>
                <c:pt idx="9">
                  <c:v>1124.82114573351</c:v>
                </c:pt>
                <c:pt idx="10">
                  <c:v>1148.75370403208</c:v>
                </c:pt>
                <c:pt idx="11">
                  <c:v>1172.68580761569</c:v>
                </c:pt>
                <c:pt idx="12">
                  <c:v>1196.61836591426</c:v>
                </c:pt>
                <c:pt idx="13">
                  <c:v>1220.55092421283</c:v>
                </c:pt>
                <c:pt idx="14">
                  <c:v>1244.48302779644</c:v>
                </c:pt>
                <c:pt idx="15">
                  <c:v>1268.41558609501</c:v>
                </c:pt>
                <c:pt idx="16">
                  <c:v>1292.34768967861</c:v>
                </c:pt>
                <c:pt idx="17">
                  <c:v>1316.28024797718</c:v>
                </c:pt>
                <c:pt idx="18">
                  <c:v>1340.21235156079</c:v>
                </c:pt>
                <c:pt idx="19">
                  <c:v>1364.14490985936</c:v>
                </c:pt>
              </c:numCache>
            </c:numRef>
          </c:yVal>
          <c:smooth val="1"/>
        </c:ser>
        <c:ser>
          <c:idx val="2"/>
          <c:order val="2"/>
          <c:tx>
            <c:strRef>
              <c:f>"3→4"</c:f>
              <c:strCache>
                <c:ptCount val="1"/>
                <c:pt idx="0">
                  <c:v>3→4</c:v>
                </c:pt>
              </c:strCache>
            </c:strRef>
          </c:tx>
          <c:spPr>
            <a:solidFill>
              <a:srgbClr val="c55a11"/>
            </a:solidFill>
            <a:ln w="28080">
              <a:solidFill>
                <a:srgbClr val="c55a11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Puntos!$F$45:$F$64</c:f>
              <c:numCache>
                <c:formatCode>0.00000</c:formatCode>
                <c:ptCount val="20"/>
                <c:pt idx="0">
                  <c:v>0.291123947621662</c:v>
                </c:pt>
                <c:pt idx="1">
                  <c:v>0.322370233749462</c:v>
                </c:pt>
                <c:pt idx="2">
                  <c:v>0.352673701434125</c:v>
                </c:pt>
                <c:pt idx="3">
                  <c:v>0.382090670152111</c:v>
                </c:pt>
                <c:pt idx="4">
                  <c:v>0.410670481131899</c:v>
                </c:pt>
                <c:pt idx="5">
                  <c:v>0.438460494002677</c:v>
                </c:pt>
                <c:pt idx="6">
                  <c:v>0.465502189236249</c:v>
                </c:pt>
                <c:pt idx="7">
                  <c:v>0.491835787633635</c:v>
                </c:pt>
                <c:pt idx="8">
                  <c:v>0.517496959493131</c:v>
                </c:pt>
                <c:pt idx="9">
                  <c:v>0.542518722667577</c:v>
                </c:pt>
                <c:pt idx="10">
                  <c:v>0.566933074031927</c:v>
                </c:pt>
                <c:pt idx="11">
                  <c:v>0.590767921919508</c:v>
                </c:pt>
                <c:pt idx="12">
                  <c:v>0.614051004395543</c:v>
                </c:pt>
                <c:pt idx="13">
                  <c:v>0.636806873013764</c:v>
                </c:pt>
                <c:pt idx="14">
                  <c:v>0.659058458005785</c:v>
                </c:pt>
                <c:pt idx="15">
                  <c:v>0.680828435499747</c:v>
                </c:pt>
                <c:pt idx="16">
                  <c:v>0.702136419554739</c:v>
                </c:pt>
                <c:pt idx="17">
                  <c:v>0.723002388332049</c:v>
                </c:pt>
                <c:pt idx="18">
                  <c:v>0.743443547159097</c:v>
                </c:pt>
                <c:pt idx="19">
                  <c:v>0.763477595013626</c:v>
                </c:pt>
              </c:numCache>
            </c:numRef>
          </c:xVal>
          <c:yVal>
            <c:numRef>
              <c:f>Puntos!$D$45:$D$64</c:f>
              <c:numCache>
                <c:formatCode>0.00</c:formatCode>
                <c:ptCount val="20"/>
                <c:pt idx="0">
                  <c:v>1364.14490985936</c:v>
                </c:pt>
                <c:pt idx="1">
                  <c:v>1407.22351479679</c:v>
                </c:pt>
                <c:pt idx="2">
                  <c:v>1450.30130124727</c:v>
                </c:pt>
                <c:pt idx="3">
                  <c:v>1493.3799061847</c:v>
                </c:pt>
                <c:pt idx="4">
                  <c:v>1536.45769263519</c:v>
                </c:pt>
                <c:pt idx="5">
                  <c:v>1579.53629757262</c:v>
                </c:pt>
                <c:pt idx="6">
                  <c:v>1622.6140840231</c:v>
                </c:pt>
                <c:pt idx="7">
                  <c:v>1665.69268896053</c:v>
                </c:pt>
                <c:pt idx="8">
                  <c:v>1708.77129389797</c:v>
                </c:pt>
                <c:pt idx="9">
                  <c:v>1751.84908034845</c:v>
                </c:pt>
                <c:pt idx="10">
                  <c:v>1794.92768528588</c:v>
                </c:pt>
                <c:pt idx="11">
                  <c:v>1838.00547173637</c:v>
                </c:pt>
                <c:pt idx="12">
                  <c:v>1881.0840766738</c:v>
                </c:pt>
                <c:pt idx="13">
                  <c:v>1924.16268161123</c:v>
                </c:pt>
                <c:pt idx="14">
                  <c:v>1967.24046806171</c:v>
                </c:pt>
                <c:pt idx="15">
                  <c:v>2010.31907299914</c:v>
                </c:pt>
                <c:pt idx="16">
                  <c:v>2053.39685944963</c:v>
                </c:pt>
                <c:pt idx="17">
                  <c:v>2096.47546438706</c:v>
                </c:pt>
                <c:pt idx="18">
                  <c:v>2139.55325083754</c:v>
                </c:pt>
                <c:pt idx="19">
                  <c:v>2182.63185577497</c:v>
                </c:pt>
              </c:numCache>
            </c:numRef>
          </c:yVal>
          <c:smooth val="1"/>
        </c:ser>
        <c:ser>
          <c:idx val="3"/>
          <c:order val="3"/>
          <c:tx>
            <c:strRef>
              <c:f>"4→5"</c:f>
              <c:strCache>
                <c:ptCount val="1"/>
                <c:pt idx="0">
                  <c:v>4→5</c:v>
                </c:pt>
              </c:strCache>
            </c:strRef>
          </c:tx>
          <c:spPr>
            <a:solidFill>
              <a:srgbClr val="375623"/>
            </a:solidFill>
            <a:ln w="28080">
              <a:solidFill>
                <a:srgbClr val="375623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Puntos!$F$65:$F$84</c:f>
              <c:numCache>
                <c:formatCode>0.00000</c:formatCode>
                <c:ptCount val="20"/>
                <c:pt idx="0">
                  <c:v>0.763477595013626</c:v>
                </c:pt>
                <c:pt idx="1">
                  <c:v>0.763477595013626</c:v>
                </c:pt>
                <c:pt idx="2">
                  <c:v>0.763477595013626</c:v>
                </c:pt>
                <c:pt idx="3">
                  <c:v>0.763477595013626</c:v>
                </c:pt>
                <c:pt idx="4">
                  <c:v>0.763477595013626</c:v>
                </c:pt>
                <c:pt idx="5">
                  <c:v>0.763477595013626</c:v>
                </c:pt>
                <c:pt idx="6">
                  <c:v>0.763477595013626</c:v>
                </c:pt>
                <c:pt idx="7">
                  <c:v>0.763477595013626</c:v>
                </c:pt>
                <c:pt idx="8">
                  <c:v>0.763477595013626</c:v>
                </c:pt>
                <c:pt idx="9">
                  <c:v>0.763477595013626</c:v>
                </c:pt>
                <c:pt idx="10">
                  <c:v>0.763477595013626</c:v>
                </c:pt>
                <c:pt idx="11">
                  <c:v>0.763477595013626</c:v>
                </c:pt>
                <c:pt idx="12">
                  <c:v>0.763477595013626</c:v>
                </c:pt>
                <c:pt idx="13">
                  <c:v>0.763477595013626</c:v>
                </c:pt>
                <c:pt idx="14">
                  <c:v>0.763477595013626</c:v>
                </c:pt>
                <c:pt idx="15">
                  <c:v>0.763477595013626</c:v>
                </c:pt>
                <c:pt idx="16">
                  <c:v>0.763477595013626</c:v>
                </c:pt>
                <c:pt idx="17">
                  <c:v>0.763477595013626</c:v>
                </c:pt>
                <c:pt idx="18">
                  <c:v>0.763477595013626</c:v>
                </c:pt>
                <c:pt idx="19">
                  <c:v>0.763477595013626</c:v>
                </c:pt>
              </c:numCache>
            </c:numRef>
          </c:xVal>
          <c:yVal>
            <c:numRef>
              <c:f>Puntos!$D$65:$D$84</c:f>
              <c:numCache>
                <c:formatCode>0.00</c:formatCode>
                <c:ptCount val="20"/>
                <c:pt idx="0">
                  <c:v>2182.63185577497</c:v>
                </c:pt>
                <c:pt idx="1">
                  <c:v>1869.0385998778</c:v>
                </c:pt>
                <c:pt idx="2">
                  <c:v>1671.86561967491</c:v>
                </c:pt>
                <c:pt idx="3">
                  <c:v>1532.42287866726</c:v>
                </c:pt>
                <c:pt idx="4">
                  <c:v>1426.71433425003</c:v>
                </c:pt>
                <c:pt idx="5">
                  <c:v>1342.79554409057</c:v>
                </c:pt>
                <c:pt idx="6">
                  <c:v>1273.95174665667</c:v>
                </c:pt>
                <c:pt idx="7">
                  <c:v>1216.06393293318</c:v>
                </c:pt>
                <c:pt idx="8">
                  <c:v>1166.44765049937</c:v>
                </c:pt>
                <c:pt idx="9">
                  <c:v>1123.26439367282</c:v>
                </c:pt>
                <c:pt idx="10">
                  <c:v>1085.20371875463</c:v>
                </c:pt>
                <c:pt idx="11">
                  <c:v>1051.3061856192</c:v>
                </c:pt>
                <c:pt idx="12">
                  <c:v>1020.84646486432</c:v>
                </c:pt>
                <c:pt idx="13">
                  <c:v>993.26758599282</c:v>
                </c:pt>
                <c:pt idx="14">
                  <c:v>968.132390780045</c:v>
                </c:pt>
                <c:pt idx="15">
                  <c:v>945.090898113123</c:v>
                </c:pt>
                <c:pt idx="16">
                  <c:v>923.861642318519</c:v>
                </c:pt>
                <c:pt idx="17">
                  <c:v>904.212536092934</c:v>
                </c:pt>
                <c:pt idx="18">
                  <c:v>885.952767338459</c:v>
                </c:pt>
                <c:pt idx="19">
                  <c:v>868.921392462504</c:v>
                </c:pt>
              </c:numCache>
            </c:numRef>
          </c:yVal>
          <c:smooth val="1"/>
        </c:ser>
        <c:ser>
          <c:idx val="4"/>
          <c:order val="4"/>
          <c:tx>
            <c:strRef>
              <c:f>"5→1"</c:f>
              <c:strCache>
                <c:ptCount val="1"/>
                <c:pt idx="0">
                  <c:v>5→1</c:v>
                </c:pt>
              </c:strCache>
            </c:strRef>
          </c:tx>
          <c:spPr>
            <a:solidFill>
              <a:srgbClr val="7f6000"/>
            </a:solidFill>
            <a:ln w="28080">
              <a:solidFill>
                <a:srgbClr val="7f6000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Puntos!$F$85:$F$104</c:f>
              <c:numCache>
                <c:formatCode>0.00000</c:formatCode>
                <c:ptCount val="20"/>
                <c:pt idx="0">
                  <c:v>0.763477595013626</c:v>
                </c:pt>
                <c:pt idx="1">
                  <c:v>0.738298575312465</c:v>
                </c:pt>
                <c:pt idx="2">
                  <c:v>0.712204884973258</c:v>
                </c:pt>
                <c:pt idx="3">
                  <c:v>0.685126488840295</c:v>
                </c:pt>
                <c:pt idx="4">
                  <c:v>0.656987253596004</c:v>
                </c:pt>
                <c:pt idx="5">
                  <c:v>0.627699499386904</c:v>
                </c:pt>
                <c:pt idx="6">
                  <c:v>0.597166677055261</c:v>
                </c:pt>
                <c:pt idx="7">
                  <c:v>0.565276942786272</c:v>
                </c:pt>
                <c:pt idx="8">
                  <c:v>0.531904737994144</c:v>
                </c:pt>
                <c:pt idx="9">
                  <c:v>0.496906163283423</c:v>
                </c:pt>
                <c:pt idx="10">
                  <c:v>0.460113070806748</c:v>
                </c:pt>
                <c:pt idx="11">
                  <c:v>0.421332997517032</c:v>
                </c:pt>
                <c:pt idx="12">
                  <c:v>0.38033737214525</c:v>
                </c:pt>
                <c:pt idx="13">
                  <c:v>0.336858520677231</c:v>
                </c:pt>
                <c:pt idx="14">
                  <c:v>0.290577010602194</c:v>
                </c:pt>
                <c:pt idx="15">
                  <c:v>0.241104462311049</c:v>
                </c:pt>
                <c:pt idx="16">
                  <c:v>0.187970209887671</c:v>
                </c:pt>
                <c:pt idx="17">
                  <c:v>0.130586217613116</c:v>
                </c:pt>
                <c:pt idx="18">
                  <c:v>0.0682157038463491</c:v>
                </c:pt>
                <c:pt idx="19">
                  <c:v>-9.4000725849086E-005</c:v>
                </c:pt>
              </c:numCache>
            </c:numRef>
          </c:xVal>
          <c:yVal>
            <c:numRef>
              <c:f>Puntos!$D$85:$D$104</c:f>
              <c:numCache>
                <c:formatCode>0.00</c:formatCode>
                <c:ptCount val="20"/>
                <c:pt idx="0">
                  <c:v>868.921392462504</c:v>
                </c:pt>
                <c:pt idx="1">
                  <c:v>838.977921734417</c:v>
                </c:pt>
                <c:pt idx="2">
                  <c:v>809.035019927723</c:v>
                </c:pt>
                <c:pt idx="3">
                  <c:v>779.091549199637</c:v>
                </c:pt>
                <c:pt idx="4">
                  <c:v>749.148647392943</c:v>
                </c:pt>
                <c:pt idx="5">
                  <c:v>719.205176664856</c:v>
                </c:pt>
                <c:pt idx="6">
                  <c:v>689.262274858162</c:v>
                </c:pt>
                <c:pt idx="7">
                  <c:v>659.318804130076</c:v>
                </c:pt>
                <c:pt idx="8">
                  <c:v>629.375333401989</c:v>
                </c:pt>
                <c:pt idx="9">
                  <c:v>599.432431595295</c:v>
                </c:pt>
                <c:pt idx="10">
                  <c:v>569.488960867209</c:v>
                </c:pt>
                <c:pt idx="11">
                  <c:v>539.546059060515</c:v>
                </c:pt>
                <c:pt idx="12">
                  <c:v>509.602588332428</c:v>
                </c:pt>
                <c:pt idx="13">
                  <c:v>479.659117604342</c:v>
                </c:pt>
                <c:pt idx="14">
                  <c:v>449.716215797648</c:v>
                </c:pt>
                <c:pt idx="15">
                  <c:v>419.772745069561</c:v>
                </c:pt>
                <c:pt idx="16">
                  <c:v>389.829843262867</c:v>
                </c:pt>
                <c:pt idx="17">
                  <c:v>359.886372534781</c:v>
                </c:pt>
                <c:pt idx="18">
                  <c:v>329.943470728087</c:v>
                </c:pt>
                <c:pt idx="19">
                  <c:v>300</c:v>
                </c:pt>
              </c:numCache>
            </c:numRef>
          </c:yVal>
          <c:smooth val="1"/>
        </c:ser>
        <c:axId val="92185393"/>
        <c:axId val="48105084"/>
      </c:scatterChart>
      <c:valAx>
        <c:axId val="92185393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s (kJ/kg·K)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0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8105084"/>
        <c:crosses val="autoZero"/>
        <c:crossBetween val="midCat"/>
      </c:valAx>
      <c:valAx>
        <c:axId val="48105084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T (K)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2185393"/>
        <c:crosses val="autoZero"/>
        <c:crossBetween val="midCat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Diagrama P–V de un cilindro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"/>
        <c:varyColors val="0"/>
        <c:ser>
          <c:idx val="0"/>
          <c:order val="0"/>
          <c:tx>
            <c:strRef>
              <c:f>"1→2"</c:f>
              <c:strCache>
                <c:ptCount val="1"/>
                <c:pt idx="0">
                  <c:v>1→2</c:v>
                </c:pt>
              </c:strCache>
            </c:strRef>
          </c:tx>
          <c:spPr>
            <a:solidFill>
              <a:srgbClr val="2f5597"/>
            </a:solidFill>
            <a:ln w="28080">
              <a:solidFill>
                <a:srgbClr val="2f5597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Puntos!$G$5:$G$24</c:f>
              <c:numCache>
                <c:formatCode>0.00</c:formatCode>
                <c:ptCount val="20"/>
                <c:pt idx="0">
                  <c:v>344.042094679925</c:v>
                </c:pt>
                <c:pt idx="1">
                  <c:v>327.066197623181</c:v>
                </c:pt>
                <c:pt idx="2">
                  <c:v>310.090623105901</c:v>
                </c:pt>
                <c:pt idx="3">
                  <c:v>293.114726049157</c:v>
                </c:pt>
                <c:pt idx="4">
                  <c:v>276.139151531876</c:v>
                </c:pt>
                <c:pt idx="5">
                  <c:v>259.163254475132</c:v>
                </c:pt>
                <c:pt idx="6">
                  <c:v>242.187679957851</c:v>
                </c:pt>
                <c:pt idx="7">
                  <c:v>225.211782901107</c:v>
                </c:pt>
                <c:pt idx="8">
                  <c:v>208.235885844363</c:v>
                </c:pt>
                <c:pt idx="9">
                  <c:v>191.260311327082</c:v>
                </c:pt>
                <c:pt idx="10">
                  <c:v>174.284414270338</c:v>
                </c:pt>
                <c:pt idx="11">
                  <c:v>157.308839753058</c:v>
                </c:pt>
                <c:pt idx="12">
                  <c:v>140.332942696314</c:v>
                </c:pt>
                <c:pt idx="13">
                  <c:v>123.357045639569</c:v>
                </c:pt>
                <c:pt idx="14">
                  <c:v>106.381471122289</c:v>
                </c:pt>
                <c:pt idx="15">
                  <c:v>89.4055740655447</c:v>
                </c:pt>
                <c:pt idx="16">
                  <c:v>72.4299995482643</c:v>
                </c:pt>
                <c:pt idx="17">
                  <c:v>55.45410249152</c:v>
                </c:pt>
                <c:pt idx="18">
                  <c:v>38.4785279742396</c:v>
                </c:pt>
                <c:pt idx="19">
                  <c:v>21.5026309174954</c:v>
                </c:pt>
              </c:numCache>
            </c:numRef>
          </c:xVal>
          <c:yVal>
            <c:numRef>
              <c:f>Puntos!$E$5:$E$24</c:f>
              <c:numCache>
                <c:formatCode>0.00</c:formatCode>
                <c:ptCount val="20"/>
                <c:pt idx="0">
                  <c:v>79</c:v>
                </c:pt>
                <c:pt idx="1">
                  <c:v>84.7995174550687</c:v>
                </c:pt>
                <c:pt idx="2">
                  <c:v>91.3690733808613</c:v>
                </c:pt>
                <c:pt idx="3">
                  <c:v>98.8622783125908</c:v>
                </c:pt>
                <c:pt idx="4">
                  <c:v>107.474176771474</c:v>
                </c:pt>
                <c:pt idx="5">
                  <c:v>117.457435027152</c:v>
                </c:pt>
                <c:pt idx="6">
                  <c:v>129.14287249678</c:v>
                </c:pt>
                <c:pt idx="7">
                  <c:v>142.973568039976</c:v>
                </c:pt>
                <c:pt idx="8">
                  <c:v>159.553194218534</c:v>
                </c:pt>
                <c:pt idx="9">
                  <c:v>179.72500568509</c:v>
                </c:pt>
                <c:pt idx="10">
                  <c:v>204.701646581501</c:v>
                </c:pt>
                <c:pt idx="11">
                  <c:v>236.28106989248</c:v>
                </c:pt>
                <c:pt idx="12">
                  <c:v>277.242510390108</c:v>
                </c:pt>
                <c:pt idx="13">
                  <c:v>332.088444741104</c:v>
                </c:pt>
                <c:pt idx="14">
                  <c:v>408.574181408618</c:v>
                </c:pt>
                <c:pt idx="15">
                  <c:v>521.162157390473</c:v>
                </c:pt>
                <c:pt idx="16">
                  <c:v>699.837858226763</c:v>
                </c:pt>
                <c:pt idx="17">
                  <c:v>1017.12927577761</c:v>
                </c:pt>
                <c:pt idx="18">
                  <c:v>1696.59224898476</c:v>
                </c:pt>
                <c:pt idx="19">
                  <c:v>3831.73148013828</c:v>
                </c:pt>
              </c:numCache>
            </c:numRef>
          </c:yVal>
          <c:smooth val="1"/>
        </c:ser>
        <c:ser>
          <c:idx val="1"/>
          <c:order val="1"/>
          <c:tx>
            <c:strRef>
              <c:f>"2→3"</c:f>
              <c:strCache>
                <c:ptCount val="1"/>
                <c:pt idx="0">
                  <c:v>2→3</c:v>
                </c:pt>
              </c:strCache>
            </c:strRef>
          </c:tx>
          <c:spPr>
            <a:solidFill>
              <a:srgbClr val="c00000"/>
            </a:solidFill>
            <a:ln w="28080">
              <a:solidFill>
                <a:srgbClr val="c00000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Puntos!$G$25:$G$44</c:f>
              <c:numCache>
                <c:formatCode>0.00</c:formatCode>
                <c:ptCount val="20"/>
                <c:pt idx="0">
                  <c:v>21.5026309174953</c:v>
                </c:pt>
                <c:pt idx="1">
                  <c:v>21.5026309174953</c:v>
                </c:pt>
                <c:pt idx="2">
                  <c:v>21.5026309174953</c:v>
                </c:pt>
                <c:pt idx="3">
                  <c:v>21.5026309174953</c:v>
                </c:pt>
                <c:pt idx="4">
                  <c:v>21.5026309174953</c:v>
                </c:pt>
                <c:pt idx="5">
                  <c:v>21.5026309174953</c:v>
                </c:pt>
                <c:pt idx="6">
                  <c:v>21.5026309174953</c:v>
                </c:pt>
                <c:pt idx="7">
                  <c:v>21.5026309174953</c:v>
                </c:pt>
                <c:pt idx="8">
                  <c:v>21.5026309174953</c:v>
                </c:pt>
                <c:pt idx="9">
                  <c:v>21.5026309174953</c:v>
                </c:pt>
                <c:pt idx="10">
                  <c:v>21.5026309174953</c:v>
                </c:pt>
                <c:pt idx="11">
                  <c:v>21.5026309174953</c:v>
                </c:pt>
                <c:pt idx="12">
                  <c:v>21.5026309174953</c:v>
                </c:pt>
                <c:pt idx="13">
                  <c:v>21.5026309174953</c:v>
                </c:pt>
                <c:pt idx="14">
                  <c:v>21.5026309174953</c:v>
                </c:pt>
                <c:pt idx="15">
                  <c:v>21.5026309174953</c:v>
                </c:pt>
                <c:pt idx="16">
                  <c:v>21.5026309174953</c:v>
                </c:pt>
                <c:pt idx="17">
                  <c:v>21.5026309174953</c:v>
                </c:pt>
                <c:pt idx="18">
                  <c:v>21.5026309174953</c:v>
                </c:pt>
                <c:pt idx="19">
                  <c:v>21.5026309174953</c:v>
                </c:pt>
              </c:numCache>
            </c:numRef>
          </c:xVal>
          <c:yVal>
            <c:numRef>
              <c:f>Puntos!$E$25:$E$44</c:f>
              <c:numCache>
                <c:formatCode>0.00</c:formatCode>
                <c:ptCount val="20"/>
                <c:pt idx="0">
                  <c:v>3831.73148013829</c:v>
                </c:pt>
                <c:pt idx="1">
                  <c:v>3932.5673257696</c:v>
                </c:pt>
                <c:pt idx="2">
                  <c:v>4033.40125553518</c:v>
                </c:pt>
                <c:pt idx="3">
                  <c:v>4134.2371011665</c:v>
                </c:pt>
                <c:pt idx="4">
                  <c:v>4235.07103093208</c:v>
                </c:pt>
                <c:pt idx="5">
                  <c:v>4335.9068765634</c:v>
                </c:pt>
                <c:pt idx="6">
                  <c:v>4436.74080632898</c:v>
                </c:pt>
                <c:pt idx="7">
                  <c:v>4537.5766519603</c:v>
                </c:pt>
                <c:pt idx="8">
                  <c:v>4638.41249759162</c:v>
                </c:pt>
                <c:pt idx="9">
                  <c:v>4739.2464273572</c:v>
                </c:pt>
                <c:pt idx="10">
                  <c:v>4840.08227298852</c:v>
                </c:pt>
                <c:pt idx="11">
                  <c:v>4940.9162027541</c:v>
                </c:pt>
                <c:pt idx="12">
                  <c:v>5041.75204838541</c:v>
                </c:pt>
                <c:pt idx="13">
                  <c:v>5142.58789401673</c:v>
                </c:pt>
                <c:pt idx="14">
                  <c:v>5243.42182378231</c:v>
                </c:pt>
                <c:pt idx="15">
                  <c:v>5344.25766941363</c:v>
                </c:pt>
                <c:pt idx="16">
                  <c:v>5445.09159917921</c:v>
                </c:pt>
                <c:pt idx="17">
                  <c:v>5545.92744481053</c:v>
                </c:pt>
                <c:pt idx="18">
                  <c:v>5646.76137457611</c:v>
                </c:pt>
                <c:pt idx="19">
                  <c:v>5747.59722020743</c:v>
                </c:pt>
              </c:numCache>
            </c:numRef>
          </c:yVal>
          <c:smooth val="1"/>
        </c:ser>
        <c:ser>
          <c:idx val="2"/>
          <c:order val="2"/>
          <c:tx>
            <c:strRef>
              <c:f>"3→4"</c:f>
              <c:strCache>
                <c:ptCount val="1"/>
                <c:pt idx="0">
                  <c:v>3→4</c:v>
                </c:pt>
              </c:strCache>
            </c:strRef>
          </c:tx>
          <c:spPr>
            <a:solidFill>
              <a:srgbClr val="c55a11"/>
            </a:solidFill>
            <a:ln w="28080">
              <a:solidFill>
                <a:srgbClr val="c55a11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Puntos!$G$45:$G$64</c:f>
              <c:numCache>
                <c:formatCode>0.00</c:formatCode>
                <c:ptCount val="20"/>
                <c:pt idx="0">
                  <c:v>21.5026309174953</c:v>
                </c:pt>
                <c:pt idx="1">
                  <c:v>22.1816667997651</c:v>
                </c:pt>
                <c:pt idx="2">
                  <c:v>22.8606897804563</c:v>
                </c:pt>
                <c:pt idx="3">
                  <c:v>23.5397256627261</c:v>
                </c:pt>
                <c:pt idx="4">
                  <c:v>24.2187486434173</c:v>
                </c:pt>
                <c:pt idx="5">
                  <c:v>24.8977845256871</c:v>
                </c:pt>
                <c:pt idx="6">
                  <c:v>25.5768075063783</c:v>
                </c:pt>
                <c:pt idx="7">
                  <c:v>26.2558433886481</c:v>
                </c:pt>
                <c:pt idx="8">
                  <c:v>26.9348792709178</c:v>
                </c:pt>
                <c:pt idx="9">
                  <c:v>27.6139022516091</c:v>
                </c:pt>
                <c:pt idx="10">
                  <c:v>28.2929381338788</c:v>
                </c:pt>
                <c:pt idx="11">
                  <c:v>28.97196111457</c:v>
                </c:pt>
                <c:pt idx="12">
                  <c:v>29.6509969968398</c:v>
                </c:pt>
                <c:pt idx="13">
                  <c:v>30.3300328791096</c:v>
                </c:pt>
                <c:pt idx="14">
                  <c:v>31.0090558598008</c:v>
                </c:pt>
                <c:pt idx="15">
                  <c:v>31.6880917420706</c:v>
                </c:pt>
                <c:pt idx="16">
                  <c:v>32.3671147227618</c:v>
                </c:pt>
                <c:pt idx="17">
                  <c:v>33.0461506050316</c:v>
                </c:pt>
                <c:pt idx="18">
                  <c:v>33.7251735857228</c:v>
                </c:pt>
                <c:pt idx="19">
                  <c:v>34.4042094679925</c:v>
                </c:pt>
              </c:numCache>
            </c:numRef>
          </c:xVal>
          <c:yVal>
            <c:numRef>
              <c:f>Puntos!$E$45:$E$64</c:f>
              <c:numCache>
                <c:formatCode>0.00</c:formatCode>
                <c:ptCount val="20"/>
                <c:pt idx="0">
                  <c:v>5747.59722020743</c:v>
                </c:pt>
                <c:pt idx="1">
                  <c:v>5747.59722020743</c:v>
                </c:pt>
                <c:pt idx="2">
                  <c:v>5747.59722020743</c:v>
                </c:pt>
                <c:pt idx="3">
                  <c:v>5747.59722020743</c:v>
                </c:pt>
                <c:pt idx="4">
                  <c:v>5747.59722020743</c:v>
                </c:pt>
                <c:pt idx="5">
                  <c:v>5747.59722020743</c:v>
                </c:pt>
                <c:pt idx="6">
                  <c:v>5747.59722020743</c:v>
                </c:pt>
                <c:pt idx="7">
                  <c:v>5747.59722020743</c:v>
                </c:pt>
                <c:pt idx="8">
                  <c:v>5747.59722020743</c:v>
                </c:pt>
                <c:pt idx="9">
                  <c:v>5747.59722020743</c:v>
                </c:pt>
                <c:pt idx="10">
                  <c:v>5747.59722020743</c:v>
                </c:pt>
                <c:pt idx="11">
                  <c:v>5747.59722020743</c:v>
                </c:pt>
                <c:pt idx="12">
                  <c:v>5747.59722020743</c:v>
                </c:pt>
                <c:pt idx="13">
                  <c:v>5747.59722020743</c:v>
                </c:pt>
                <c:pt idx="14">
                  <c:v>5747.59722020743</c:v>
                </c:pt>
                <c:pt idx="15">
                  <c:v>5747.59722020743</c:v>
                </c:pt>
                <c:pt idx="16">
                  <c:v>5747.59722020743</c:v>
                </c:pt>
                <c:pt idx="17">
                  <c:v>5747.59722020743</c:v>
                </c:pt>
                <c:pt idx="18">
                  <c:v>5747.59722020743</c:v>
                </c:pt>
                <c:pt idx="19">
                  <c:v>5747.59722020743</c:v>
                </c:pt>
              </c:numCache>
            </c:numRef>
          </c:yVal>
          <c:smooth val="1"/>
        </c:ser>
        <c:ser>
          <c:idx val="3"/>
          <c:order val="3"/>
          <c:tx>
            <c:strRef>
              <c:f>"4→5"</c:f>
              <c:strCache>
                <c:ptCount val="1"/>
                <c:pt idx="0">
                  <c:v>4→5</c:v>
                </c:pt>
              </c:strCache>
            </c:strRef>
          </c:tx>
          <c:spPr>
            <a:solidFill>
              <a:srgbClr val="375623"/>
            </a:solidFill>
            <a:ln w="28080">
              <a:solidFill>
                <a:srgbClr val="375623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Puntos!$G$65:$G$84</c:f>
              <c:numCache>
                <c:formatCode>0.00</c:formatCode>
                <c:ptCount val="20"/>
                <c:pt idx="0">
                  <c:v>34.4042094679925</c:v>
                </c:pt>
                <c:pt idx="1">
                  <c:v>50.701070642467</c:v>
                </c:pt>
                <c:pt idx="2">
                  <c:v>66.9976221790562</c:v>
                </c:pt>
                <c:pt idx="3">
                  <c:v>83.2944833535307</c:v>
                </c:pt>
                <c:pt idx="4">
                  <c:v>99.5910348901199</c:v>
                </c:pt>
                <c:pt idx="5">
                  <c:v>115.887896064594</c:v>
                </c:pt>
                <c:pt idx="6">
                  <c:v>132.184447601184</c:v>
                </c:pt>
                <c:pt idx="7">
                  <c:v>148.481308775658</c:v>
                </c:pt>
                <c:pt idx="8">
                  <c:v>164.778169950133</c:v>
                </c:pt>
                <c:pt idx="9">
                  <c:v>181.074721486722</c:v>
                </c:pt>
                <c:pt idx="10">
                  <c:v>197.371582661196</c:v>
                </c:pt>
                <c:pt idx="11">
                  <c:v>213.668134197785</c:v>
                </c:pt>
                <c:pt idx="12">
                  <c:v>229.96499537226</c:v>
                </c:pt>
                <c:pt idx="13">
                  <c:v>246.261856546734</c:v>
                </c:pt>
                <c:pt idx="14">
                  <c:v>262.558408083324</c:v>
                </c:pt>
                <c:pt idx="15">
                  <c:v>278.855269257798</c:v>
                </c:pt>
                <c:pt idx="16">
                  <c:v>295.151820794387</c:v>
                </c:pt>
                <c:pt idx="17">
                  <c:v>311.448681968862</c:v>
                </c:pt>
                <c:pt idx="18">
                  <c:v>327.745233505451</c:v>
                </c:pt>
                <c:pt idx="19">
                  <c:v>344.042094679925</c:v>
                </c:pt>
              </c:numCache>
            </c:numRef>
          </c:xVal>
          <c:yVal>
            <c:numRef>
              <c:f>Puntos!$E$65:$E$84</c:f>
              <c:numCache>
                <c:formatCode>0.00</c:formatCode>
                <c:ptCount val="20"/>
                <c:pt idx="0">
                  <c:v>5747.59722020743</c:v>
                </c:pt>
                <c:pt idx="1">
                  <c:v>3339.78538628589</c:v>
                </c:pt>
                <c:pt idx="2">
                  <c:v>2260.78569943105</c:v>
                </c:pt>
                <c:pt idx="3">
                  <c:v>1666.78586283959</c:v>
                </c:pt>
                <c:pt idx="4">
                  <c:v>1297.87898077166</c:v>
                </c:pt>
                <c:pt idx="5">
                  <c:v>1049.7580962555</c:v>
                </c:pt>
                <c:pt idx="6">
                  <c:v>873.152371457502</c:v>
                </c:pt>
                <c:pt idx="7">
                  <c:v>741.996814500747</c:v>
                </c:pt>
                <c:pt idx="8">
                  <c:v>641.332128674666</c:v>
                </c:pt>
                <c:pt idx="9">
                  <c:v>562.006820623424</c:v>
                </c:pt>
                <c:pt idx="10">
                  <c:v>498.131573048503</c:v>
                </c:pt>
                <c:pt idx="11">
                  <c:v>445.765939862161</c:v>
                </c:pt>
                <c:pt idx="12">
                  <c:v>402.175967237227</c:v>
                </c:pt>
                <c:pt idx="13">
                  <c:v>365.415136915794</c:v>
                </c:pt>
                <c:pt idx="14">
                  <c:v>334.061356081375</c:v>
                </c:pt>
                <c:pt idx="15">
                  <c:v>307.052151654396</c:v>
                </c:pt>
                <c:pt idx="16">
                  <c:v>283.582148866257</c:v>
                </c:pt>
                <c:pt idx="17">
                  <c:v>263.027675120751</c:v>
                </c:pt>
                <c:pt idx="18">
                  <c:v>244.901589827341</c:v>
                </c:pt>
                <c:pt idx="19">
                  <c:v>228.815966681793</c:v>
                </c:pt>
              </c:numCache>
            </c:numRef>
          </c:yVal>
          <c:smooth val="1"/>
        </c:ser>
        <c:ser>
          <c:idx val="4"/>
          <c:order val="4"/>
          <c:tx>
            <c:strRef>
              <c:f>"5→1"</c:f>
              <c:strCache>
                <c:ptCount val="1"/>
                <c:pt idx="0">
                  <c:v>5→1</c:v>
                </c:pt>
              </c:strCache>
            </c:strRef>
          </c:tx>
          <c:spPr>
            <a:solidFill>
              <a:srgbClr val="7f6000"/>
            </a:solidFill>
            <a:ln w="28080">
              <a:solidFill>
                <a:srgbClr val="7f6000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Puntos!$G$85:$G$104</c:f>
              <c:numCache>
                <c:formatCode>0.00</c:formatCode>
                <c:ptCount val="20"/>
                <c:pt idx="0">
                  <c:v>344.042094679925</c:v>
                </c:pt>
                <c:pt idx="1">
                  <c:v>344.042094679925</c:v>
                </c:pt>
                <c:pt idx="2">
                  <c:v>344.042094679925</c:v>
                </c:pt>
                <c:pt idx="3">
                  <c:v>344.042094679925</c:v>
                </c:pt>
                <c:pt idx="4">
                  <c:v>344.042094679925</c:v>
                </c:pt>
                <c:pt idx="5">
                  <c:v>344.042094679925</c:v>
                </c:pt>
                <c:pt idx="6">
                  <c:v>344.042094679925</c:v>
                </c:pt>
                <c:pt idx="7">
                  <c:v>344.042094679925</c:v>
                </c:pt>
                <c:pt idx="8">
                  <c:v>344.042094679925</c:v>
                </c:pt>
                <c:pt idx="9">
                  <c:v>344.042094679925</c:v>
                </c:pt>
                <c:pt idx="10">
                  <c:v>344.042094679925</c:v>
                </c:pt>
                <c:pt idx="11">
                  <c:v>344.042094679925</c:v>
                </c:pt>
                <c:pt idx="12">
                  <c:v>344.042094679925</c:v>
                </c:pt>
                <c:pt idx="13">
                  <c:v>344.042094679925</c:v>
                </c:pt>
                <c:pt idx="14">
                  <c:v>344.042094679925</c:v>
                </c:pt>
                <c:pt idx="15">
                  <c:v>344.042094679925</c:v>
                </c:pt>
                <c:pt idx="16">
                  <c:v>344.042094679925</c:v>
                </c:pt>
                <c:pt idx="17">
                  <c:v>344.042094679925</c:v>
                </c:pt>
                <c:pt idx="18">
                  <c:v>344.042094679925</c:v>
                </c:pt>
                <c:pt idx="19">
                  <c:v>344.042094679925</c:v>
                </c:pt>
              </c:numCache>
            </c:numRef>
          </c:xVal>
          <c:yVal>
            <c:numRef>
              <c:f>Puntos!$E$85:$E$104</c:f>
              <c:numCache>
                <c:formatCode>0.00</c:formatCode>
                <c:ptCount val="20"/>
                <c:pt idx="0">
                  <c:v>228.815966681793</c:v>
                </c:pt>
                <c:pt idx="1">
                  <c:v>220.930852723396</c:v>
                </c:pt>
                <c:pt idx="2">
                  <c:v>213.045888580967</c:v>
                </c:pt>
                <c:pt idx="3">
                  <c:v>205.160774622571</c:v>
                </c:pt>
                <c:pt idx="4">
                  <c:v>197.275810480142</c:v>
                </c:pt>
                <c:pt idx="5">
                  <c:v>189.390696521745</c:v>
                </c:pt>
                <c:pt idx="6">
                  <c:v>181.505732379316</c:v>
                </c:pt>
                <c:pt idx="7">
                  <c:v>173.62061842092</c:v>
                </c:pt>
                <c:pt idx="8">
                  <c:v>165.735504462524</c:v>
                </c:pt>
                <c:pt idx="9">
                  <c:v>157.850540320094</c:v>
                </c:pt>
                <c:pt idx="10">
                  <c:v>149.965426361698</c:v>
                </c:pt>
                <c:pt idx="11">
                  <c:v>142.080462219269</c:v>
                </c:pt>
                <c:pt idx="12">
                  <c:v>134.195348260873</c:v>
                </c:pt>
                <c:pt idx="13">
                  <c:v>126.310234302477</c:v>
                </c:pt>
                <c:pt idx="14">
                  <c:v>118.425270160047</c:v>
                </c:pt>
                <c:pt idx="15">
                  <c:v>110.540156201651</c:v>
                </c:pt>
                <c:pt idx="16">
                  <c:v>102.655192059222</c:v>
                </c:pt>
                <c:pt idx="17">
                  <c:v>94.7700781008255</c:v>
                </c:pt>
                <c:pt idx="18">
                  <c:v>86.8851139583961</c:v>
                </c:pt>
                <c:pt idx="19">
                  <c:v>79</c:v>
                </c:pt>
              </c:numCache>
            </c:numRef>
          </c:yVal>
          <c:smooth val="1"/>
        </c:ser>
        <c:axId val="42852362"/>
        <c:axId val="23947327"/>
      </c:scatterChart>
      <c:valAx>
        <c:axId val="42852362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V (cm³)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3947327"/>
        <c:crosses val="autoZero"/>
        <c:crossBetween val="midCat"/>
      </c:valAx>
      <c:valAx>
        <c:axId val="23947327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P (kPa)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2852362"/>
        <c:crosses val="autoZero"/>
        <c:crossBetween val="midCat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Diagrama T–v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"/>
        <c:varyColors val="0"/>
        <c:ser>
          <c:idx val="0"/>
          <c:order val="0"/>
          <c:tx>
            <c:strRef>
              <c:f>"1→2"</c:f>
              <c:strCache>
                <c:ptCount val="1"/>
                <c:pt idx="0">
                  <c:v>1→2</c:v>
                </c:pt>
              </c:strCache>
            </c:strRef>
          </c:tx>
          <c:spPr>
            <a:solidFill>
              <a:srgbClr val="2f5597"/>
            </a:solidFill>
            <a:ln w="28080">
              <a:solidFill>
                <a:srgbClr val="2f5597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Puntos!$C$5:$C$24</c:f>
              <c:numCache>
                <c:formatCode>0.00000</c:formatCode>
                <c:ptCount val="20"/>
                <c:pt idx="0">
                  <c:v>1.08987341772152</c:v>
                </c:pt>
                <c:pt idx="1">
                  <c:v>1.0360963386076</c:v>
                </c:pt>
                <c:pt idx="2">
                  <c:v>0.98232028125</c:v>
                </c:pt>
                <c:pt idx="3">
                  <c:v>0.928543202136076</c:v>
                </c:pt>
                <c:pt idx="4">
                  <c:v>0.874767144778481</c:v>
                </c:pt>
                <c:pt idx="5">
                  <c:v>0.820990065664557</c:v>
                </c:pt>
                <c:pt idx="6">
                  <c:v>0.767214008306962</c:v>
                </c:pt>
                <c:pt idx="7">
                  <c:v>0.713436929193038</c:v>
                </c:pt>
                <c:pt idx="8">
                  <c:v>0.659659850079114</c:v>
                </c:pt>
                <c:pt idx="9">
                  <c:v>0.605883792721519</c:v>
                </c:pt>
                <c:pt idx="10">
                  <c:v>0.552106713607595</c:v>
                </c:pt>
                <c:pt idx="11">
                  <c:v>0.49833065625</c:v>
                </c:pt>
                <c:pt idx="12">
                  <c:v>0.444553577136076</c:v>
                </c:pt>
                <c:pt idx="13">
                  <c:v>0.390776498022152</c:v>
                </c:pt>
                <c:pt idx="14">
                  <c:v>0.337000440664557</c:v>
                </c:pt>
                <c:pt idx="15">
                  <c:v>0.283223361550633</c:v>
                </c:pt>
                <c:pt idx="16">
                  <c:v>0.229447304193038</c:v>
                </c:pt>
                <c:pt idx="17">
                  <c:v>0.175670225079114</c:v>
                </c:pt>
                <c:pt idx="18">
                  <c:v>0.121894167721519</c:v>
                </c:pt>
                <c:pt idx="19">
                  <c:v>0.068117088607595</c:v>
                </c:pt>
              </c:numCache>
            </c:numRef>
          </c:xVal>
          <c:yVal>
            <c:numRef>
              <c:f>Puntos!$D$5:$D$24</c:f>
              <c:numCache>
                <c:formatCode>0.00</c:formatCode>
                <c:ptCount val="20"/>
                <c:pt idx="0">
                  <c:v>300</c:v>
                </c:pt>
                <c:pt idx="1">
                  <c:v>306.134040246995</c:v>
                </c:pt>
                <c:pt idx="2">
                  <c:v>312.7306406308</c:v>
                </c:pt>
                <c:pt idx="3">
                  <c:v>319.853297821746</c:v>
                </c:pt>
                <c:pt idx="4">
                  <c:v>327.577974744948</c:v>
                </c:pt>
                <c:pt idx="5">
                  <c:v>335.997865141924</c:v>
                </c:pt>
                <c:pt idx="6">
                  <c:v>345.227250357245</c:v>
                </c:pt>
                <c:pt idx="7">
                  <c:v>355.409837415374</c:v>
                </c:pt>
                <c:pt idx="8">
                  <c:v>366.727652187602</c:v>
                </c:pt>
                <c:pt idx="9">
                  <c:v>379.416265126757</c:v>
                </c:pt>
                <c:pt idx="10">
                  <c:v>393.787990815944</c:v>
                </c:pt>
                <c:pt idx="11">
                  <c:v>410.26515895112</c:v>
                </c:pt>
                <c:pt idx="12">
                  <c:v>429.439546090969</c:v>
                </c:pt>
                <c:pt idx="13">
                  <c:v>452.168499893908</c:v>
                </c:pt>
                <c:pt idx="14">
                  <c:v>479.754979717299</c:v>
                </c:pt>
                <c:pt idx="15">
                  <c:v>514.304174665888</c:v>
                </c:pt>
                <c:pt idx="16">
                  <c:v>559.497944050036</c:v>
                </c:pt>
                <c:pt idx="17">
                  <c:v>622.576058572853</c:v>
                </c:pt>
                <c:pt idx="18">
                  <c:v>720.573868128145</c:v>
                </c:pt>
                <c:pt idx="19">
                  <c:v>909.429939906238</c:v>
                </c:pt>
              </c:numCache>
            </c:numRef>
          </c:yVal>
          <c:smooth val="1"/>
        </c:ser>
        <c:ser>
          <c:idx val="1"/>
          <c:order val="1"/>
          <c:tx>
            <c:strRef>
              <c:f>"2→3"</c:f>
              <c:strCache>
                <c:ptCount val="1"/>
                <c:pt idx="0">
                  <c:v>2→3</c:v>
                </c:pt>
              </c:strCache>
            </c:strRef>
          </c:tx>
          <c:spPr>
            <a:solidFill>
              <a:srgbClr val="c00000"/>
            </a:solidFill>
            <a:ln w="28080">
              <a:solidFill>
                <a:srgbClr val="c00000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Puntos!$C$25:$C$44</c:f>
              <c:numCache>
                <c:formatCode>0.00000</c:formatCode>
                <c:ptCount val="20"/>
                <c:pt idx="0">
                  <c:v>0.0681170886075949</c:v>
                </c:pt>
                <c:pt idx="1">
                  <c:v>0.0681170886075949</c:v>
                </c:pt>
                <c:pt idx="2">
                  <c:v>0.0681170886075949</c:v>
                </c:pt>
                <c:pt idx="3">
                  <c:v>0.0681170886075949</c:v>
                </c:pt>
                <c:pt idx="4">
                  <c:v>0.0681170886075949</c:v>
                </c:pt>
                <c:pt idx="5">
                  <c:v>0.0681170886075949</c:v>
                </c:pt>
                <c:pt idx="6">
                  <c:v>0.0681170886075949</c:v>
                </c:pt>
                <c:pt idx="7">
                  <c:v>0.0681170886075949</c:v>
                </c:pt>
                <c:pt idx="8">
                  <c:v>0.0681170886075949</c:v>
                </c:pt>
                <c:pt idx="9">
                  <c:v>0.0681170886075949</c:v>
                </c:pt>
                <c:pt idx="10">
                  <c:v>0.0681170886075949</c:v>
                </c:pt>
                <c:pt idx="11">
                  <c:v>0.0681170886075949</c:v>
                </c:pt>
                <c:pt idx="12">
                  <c:v>0.0681170886075949</c:v>
                </c:pt>
                <c:pt idx="13">
                  <c:v>0.0681170886075949</c:v>
                </c:pt>
                <c:pt idx="14">
                  <c:v>0.0681170886075949</c:v>
                </c:pt>
                <c:pt idx="15">
                  <c:v>0.0681170886075949</c:v>
                </c:pt>
                <c:pt idx="16">
                  <c:v>0.0681170886075949</c:v>
                </c:pt>
                <c:pt idx="17">
                  <c:v>0.0681170886075949</c:v>
                </c:pt>
                <c:pt idx="18">
                  <c:v>0.0681170886075949</c:v>
                </c:pt>
                <c:pt idx="19">
                  <c:v>0.0681170886075949</c:v>
                </c:pt>
              </c:numCache>
            </c:numRef>
          </c:xVal>
          <c:yVal>
            <c:numRef>
              <c:f>Puntos!$D$25:$D$44</c:f>
              <c:numCache>
                <c:formatCode>0.00</c:formatCode>
                <c:ptCount val="20"/>
                <c:pt idx="0">
                  <c:v>909.429939906239</c:v>
                </c:pt>
                <c:pt idx="1">
                  <c:v>933.362498204811</c:v>
                </c:pt>
                <c:pt idx="2">
                  <c:v>957.294601788414</c:v>
                </c:pt>
                <c:pt idx="3">
                  <c:v>981.227160086987</c:v>
                </c:pt>
                <c:pt idx="4">
                  <c:v>1005.15926367059</c:v>
                </c:pt>
                <c:pt idx="5">
                  <c:v>1029.09182196916</c:v>
                </c:pt>
                <c:pt idx="6">
                  <c:v>1053.02392555276</c:v>
                </c:pt>
                <c:pt idx="7">
                  <c:v>1076.95648385134</c:v>
                </c:pt>
                <c:pt idx="8">
                  <c:v>1100.88904214991</c:v>
                </c:pt>
                <c:pt idx="9">
                  <c:v>1124.82114573351</c:v>
                </c:pt>
                <c:pt idx="10">
                  <c:v>1148.75370403208</c:v>
                </c:pt>
                <c:pt idx="11">
                  <c:v>1172.68580761569</c:v>
                </c:pt>
                <c:pt idx="12">
                  <c:v>1196.61836591426</c:v>
                </c:pt>
                <c:pt idx="13">
                  <c:v>1220.55092421283</c:v>
                </c:pt>
                <c:pt idx="14">
                  <c:v>1244.48302779644</c:v>
                </c:pt>
                <c:pt idx="15">
                  <c:v>1268.41558609501</c:v>
                </c:pt>
                <c:pt idx="16">
                  <c:v>1292.34768967861</c:v>
                </c:pt>
                <c:pt idx="17">
                  <c:v>1316.28024797718</c:v>
                </c:pt>
                <c:pt idx="18">
                  <c:v>1340.21235156079</c:v>
                </c:pt>
                <c:pt idx="19">
                  <c:v>1364.14490985936</c:v>
                </c:pt>
              </c:numCache>
            </c:numRef>
          </c:yVal>
          <c:smooth val="1"/>
        </c:ser>
        <c:ser>
          <c:idx val="2"/>
          <c:order val="2"/>
          <c:tx>
            <c:strRef>
              <c:f>"3→4"</c:f>
              <c:strCache>
                <c:ptCount val="1"/>
                <c:pt idx="0">
                  <c:v>3→4</c:v>
                </c:pt>
              </c:strCache>
            </c:strRef>
          </c:tx>
          <c:spPr>
            <a:solidFill>
              <a:srgbClr val="c55a11"/>
            </a:solidFill>
            <a:ln w="28080">
              <a:solidFill>
                <a:srgbClr val="c55a11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Puntos!$C$45:$C$64</c:f>
              <c:numCache>
                <c:formatCode>0.00000</c:formatCode>
                <c:ptCount val="20"/>
                <c:pt idx="0">
                  <c:v>0.0681170886075949</c:v>
                </c:pt>
                <c:pt idx="1">
                  <c:v>0.0702681717721519</c:v>
                </c:pt>
                <c:pt idx="2">
                  <c:v>0.0724192140664557</c:v>
                </c:pt>
                <c:pt idx="3">
                  <c:v>0.0745702972310127</c:v>
                </c:pt>
                <c:pt idx="4">
                  <c:v>0.0767213395253165</c:v>
                </c:pt>
                <c:pt idx="5">
                  <c:v>0.0788724226898734</c:v>
                </c:pt>
                <c:pt idx="6">
                  <c:v>0.0810234649841772</c:v>
                </c:pt>
                <c:pt idx="7">
                  <c:v>0.0831745481487342</c:v>
                </c:pt>
                <c:pt idx="8">
                  <c:v>0.0853256313132911</c:v>
                </c:pt>
                <c:pt idx="9">
                  <c:v>0.087476673607595</c:v>
                </c:pt>
                <c:pt idx="10">
                  <c:v>0.0896277567721519</c:v>
                </c:pt>
                <c:pt idx="11">
                  <c:v>0.0917787990664557</c:v>
                </c:pt>
                <c:pt idx="12">
                  <c:v>0.0939298822310127</c:v>
                </c:pt>
                <c:pt idx="13">
                  <c:v>0.0960809653955696</c:v>
                </c:pt>
                <c:pt idx="14">
                  <c:v>0.0982320076898734</c:v>
                </c:pt>
                <c:pt idx="15">
                  <c:v>0.10038309085443</c:v>
                </c:pt>
                <c:pt idx="16">
                  <c:v>0.102534133148734</c:v>
                </c:pt>
                <c:pt idx="17">
                  <c:v>0.104685216313291</c:v>
                </c:pt>
                <c:pt idx="18">
                  <c:v>0.106836258607595</c:v>
                </c:pt>
                <c:pt idx="19">
                  <c:v>0.108987341772152</c:v>
                </c:pt>
              </c:numCache>
            </c:numRef>
          </c:xVal>
          <c:yVal>
            <c:numRef>
              <c:f>Puntos!$D$45:$D$64</c:f>
              <c:numCache>
                <c:formatCode>0.00</c:formatCode>
                <c:ptCount val="20"/>
                <c:pt idx="0">
                  <c:v>1364.14490985936</c:v>
                </c:pt>
                <c:pt idx="1">
                  <c:v>1407.22351479679</c:v>
                </c:pt>
                <c:pt idx="2">
                  <c:v>1450.30130124727</c:v>
                </c:pt>
                <c:pt idx="3">
                  <c:v>1493.3799061847</c:v>
                </c:pt>
                <c:pt idx="4">
                  <c:v>1536.45769263519</c:v>
                </c:pt>
                <c:pt idx="5">
                  <c:v>1579.53629757262</c:v>
                </c:pt>
                <c:pt idx="6">
                  <c:v>1622.6140840231</c:v>
                </c:pt>
                <c:pt idx="7">
                  <c:v>1665.69268896053</c:v>
                </c:pt>
                <c:pt idx="8">
                  <c:v>1708.77129389797</c:v>
                </c:pt>
                <c:pt idx="9">
                  <c:v>1751.84908034845</c:v>
                </c:pt>
                <c:pt idx="10">
                  <c:v>1794.92768528588</c:v>
                </c:pt>
                <c:pt idx="11">
                  <c:v>1838.00547173637</c:v>
                </c:pt>
                <c:pt idx="12">
                  <c:v>1881.0840766738</c:v>
                </c:pt>
                <c:pt idx="13">
                  <c:v>1924.16268161123</c:v>
                </c:pt>
                <c:pt idx="14">
                  <c:v>1967.24046806171</c:v>
                </c:pt>
                <c:pt idx="15">
                  <c:v>2010.31907299914</c:v>
                </c:pt>
                <c:pt idx="16">
                  <c:v>2053.39685944963</c:v>
                </c:pt>
                <c:pt idx="17">
                  <c:v>2096.47546438706</c:v>
                </c:pt>
                <c:pt idx="18">
                  <c:v>2139.55325083754</c:v>
                </c:pt>
                <c:pt idx="19">
                  <c:v>2182.63185577497</c:v>
                </c:pt>
              </c:numCache>
            </c:numRef>
          </c:yVal>
          <c:smooth val="1"/>
        </c:ser>
        <c:ser>
          <c:idx val="3"/>
          <c:order val="3"/>
          <c:tx>
            <c:strRef>
              <c:f>"4→5"</c:f>
              <c:strCache>
                <c:ptCount val="1"/>
                <c:pt idx="0">
                  <c:v>4→5</c:v>
                </c:pt>
              </c:strCache>
            </c:strRef>
          </c:tx>
          <c:spPr>
            <a:solidFill>
              <a:srgbClr val="375623"/>
            </a:solidFill>
            <a:ln w="28080">
              <a:solidFill>
                <a:srgbClr val="375623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Puntos!$C$65:$C$84</c:f>
              <c:numCache>
                <c:formatCode>0.00000</c:formatCode>
                <c:ptCount val="20"/>
                <c:pt idx="0">
                  <c:v>0.108987341772152</c:v>
                </c:pt>
                <c:pt idx="1">
                  <c:v>0.160613337721519</c:v>
                </c:pt>
                <c:pt idx="2">
                  <c:v>0.21223835278481</c:v>
                </c:pt>
                <c:pt idx="3">
                  <c:v>0.263864348734177</c:v>
                </c:pt>
                <c:pt idx="4">
                  <c:v>0.315489363797468</c:v>
                </c:pt>
                <c:pt idx="5">
                  <c:v>0.367115359746835</c:v>
                </c:pt>
                <c:pt idx="6">
                  <c:v>0.418740374810127</c:v>
                </c:pt>
                <c:pt idx="7">
                  <c:v>0.470366370759494</c:v>
                </c:pt>
                <c:pt idx="8">
                  <c:v>0.521992366708861</c:v>
                </c:pt>
                <c:pt idx="9">
                  <c:v>0.573617381772152</c:v>
                </c:pt>
                <c:pt idx="10">
                  <c:v>0.625243377721519</c:v>
                </c:pt>
                <c:pt idx="11">
                  <c:v>0.67686839278481</c:v>
                </c:pt>
                <c:pt idx="12">
                  <c:v>0.728494388734177</c:v>
                </c:pt>
                <c:pt idx="13">
                  <c:v>0.780120384683544</c:v>
                </c:pt>
                <c:pt idx="14">
                  <c:v>0.831745399746836</c:v>
                </c:pt>
                <c:pt idx="15">
                  <c:v>0.883371395696203</c:v>
                </c:pt>
                <c:pt idx="16">
                  <c:v>0.934996410759494</c:v>
                </c:pt>
                <c:pt idx="17">
                  <c:v>0.986622406708861</c:v>
                </c:pt>
                <c:pt idx="18">
                  <c:v>1.03824742177215</c:v>
                </c:pt>
                <c:pt idx="19">
                  <c:v>1.08987341772152</c:v>
                </c:pt>
              </c:numCache>
            </c:numRef>
          </c:xVal>
          <c:yVal>
            <c:numRef>
              <c:f>Puntos!$D$65:$D$84</c:f>
              <c:numCache>
                <c:formatCode>0.00</c:formatCode>
                <c:ptCount val="20"/>
                <c:pt idx="0">
                  <c:v>2182.63185577497</c:v>
                </c:pt>
                <c:pt idx="1">
                  <c:v>1869.0385998778</c:v>
                </c:pt>
                <c:pt idx="2">
                  <c:v>1671.86561967491</c:v>
                </c:pt>
                <c:pt idx="3">
                  <c:v>1532.42287866726</c:v>
                </c:pt>
                <c:pt idx="4">
                  <c:v>1426.71433425003</c:v>
                </c:pt>
                <c:pt idx="5">
                  <c:v>1342.79554409057</c:v>
                </c:pt>
                <c:pt idx="6">
                  <c:v>1273.95174665667</c:v>
                </c:pt>
                <c:pt idx="7">
                  <c:v>1216.06393293318</c:v>
                </c:pt>
                <c:pt idx="8">
                  <c:v>1166.44765049937</c:v>
                </c:pt>
                <c:pt idx="9">
                  <c:v>1123.26439367282</c:v>
                </c:pt>
                <c:pt idx="10">
                  <c:v>1085.20371875463</c:v>
                </c:pt>
                <c:pt idx="11">
                  <c:v>1051.3061856192</c:v>
                </c:pt>
                <c:pt idx="12">
                  <c:v>1020.84646486432</c:v>
                </c:pt>
                <c:pt idx="13">
                  <c:v>993.26758599282</c:v>
                </c:pt>
                <c:pt idx="14">
                  <c:v>968.132390780045</c:v>
                </c:pt>
                <c:pt idx="15">
                  <c:v>945.090898113123</c:v>
                </c:pt>
                <c:pt idx="16">
                  <c:v>923.861642318519</c:v>
                </c:pt>
                <c:pt idx="17">
                  <c:v>904.212536092934</c:v>
                </c:pt>
                <c:pt idx="18">
                  <c:v>885.952767338459</c:v>
                </c:pt>
                <c:pt idx="19">
                  <c:v>868.921392462504</c:v>
                </c:pt>
              </c:numCache>
            </c:numRef>
          </c:yVal>
          <c:smooth val="1"/>
        </c:ser>
        <c:ser>
          <c:idx val="4"/>
          <c:order val="4"/>
          <c:tx>
            <c:strRef>
              <c:f>"5→1"</c:f>
              <c:strCache>
                <c:ptCount val="1"/>
                <c:pt idx="0">
                  <c:v>5→1</c:v>
                </c:pt>
              </c:strCache>
            </c:strRef>
          </c:tx>
          <c:spPr>
            <a:solidFill>
              <a:srgbClr val="7f6000"/>
            </a:solidFill>
            <a:ln w="28080">
              <a:solidFill>
                <a:srgbClr val="7f6000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Puntos!$C$85:$C$104</c:f>
              <c:numCache>
                <c:formatCode>0.00000</c:formatCode>
                <c:ptCount val="20"/>
                <c:pt idx="0">
                  <c:v>1.08987341772152</c:v>
                </c:pt>
                <c:pt idx="1">
                  <c:v>1.08987341772152</c:v>
                </c:pt>
                <c:pt idx="2">
                  <c:v>1.08987341772152</c:v>
                </c:pt>
                <c:pt idx="3">
                  <c:v>1.08987341772152</c:v>
                </c:pt>
                <c:pt idx="4">
                  <c:v>1.08987341772152</c:v>
                </c:pt>
                <c:pt idx="5">
                  <c:v>1.08987341772152</c:v>
                </c:pt>
                <c:pt idx="6">
                  <c:v>1.08987341772152</c:v>
                </c:pt>
                <c:pt idx="7">
                  <c:v>1.08987341772152</c:v>
                </c:pt>
                <c:pt idx="8">
                  <c:v>1.08987341772152</c:v>
                </c:pt>
                <c:pt idx="9">
                  <c:v>1.08987341772152</c:v>
                </c:pt>
                <c:pt idx="10">
                  <c:v>1.08987341772152</c:v>
                </c:pt>
                <c:pt idx="11">
                  <c:v>1.08987341772152</c:v>
                </c:pt>
                <c:pt idx="12">
                  <c:v>1.08987341772152</c:v>
                </c:pt>
                <c:pt idx="13">
                  <c:v>1.08987341772152</c:v>
                </c:pt>
                <c:pt idx="14">
                  <c:v>1.08987341772152</c:v>
                </c:pt>
                <c:pt idx="15">
                  <c:v>1.08987341772152</c:v>
                </c:pt>
                <c:pt idx="16">
                  <c:v>1.08987341772152</c:v>
                </c:pt>
                <c:pt idx="17">
                  <c:v>1.08987341772152</c:v>
                </c:pt>
                <c:pt idx="18">
                  <c:v>1.08987341772152</c:v>
                </c:pt>
                <c:pt idx="19">
                  <c:v>1.08987341772152</c:v>
                </c:pt>
              </c:numCache>
            </c:numRef>
          </c:xVal>
          <c:yVal>
            <c:numRef>
              <c:f>Puntos!$D$85:$D$104</c:f>
              <c:numCache>
                <c:formatCode>0.00</c:formatCode>
                <c:ptCount val="20"/>
                <c:pt idx="0">
                  <c:v>868.921392462504</c:v>
                </c:pt>
                <c:pt idx="1">
                  <c:v>838.977921734417</c:v>
                </c:pt>
                <c:pt idx="2">
                  <c:v>809.035019927723</c:v>
                </c:pt>
                <c:pt idx="3">
                  <c:v>779.091549199637</c:v>
                </c:pt>
                <c:pt idx="4">
                  <c:v>749.148647392943</c:v>
                </c:pt>
                <c:pt idx="5">
                  <c:v>719.205176664856</c:v>
                </c:pt>
                <c:pt idx="6">
                  <c:v>689.262274858162</c:v>
                </c:pt>
                <c:pt idx="7">
                  <c:v>659.318804130076</c:v>
                </c:pt>
                <c:pt idx="8">
                  <c:v>629.375333401989</c:v>
                </c:pt>
                <c:pt idx="9">
                  <c:v>599.432431595295</c:v>
                </c:pt>
                <c:pt idx="10">
                  <c:v>569.488960867209</c:v>
                </c:pt>
                <c:pt idx="11">
                  <c:v>539.546059060515</c:v>
                </c:pt>
                <c:pt idx="12">
                  <c:v>509.602588332428</c:v>
                </c:pt>
                <c:pt idx="13">
                  <c:v>479.659117604342</c:v>
                </c:pt>
                <c:pt idx="14">
                  <c:v>449.716215797648</c:v>
                </c:pt>
                <c:pt idx="15">
                  <c:v>419.772745069561</c:v>
                </c:pt>
                <c:pt idx="16">
                  <c:v>389.829843262867</c:v>
                </c:pt>
                <c:pt idx="17">
                  <c:v>359.886372534781</c:v>
                </c:pt>
                <c:pt idx="18">
                  <c:v>329.943470728087</c:v>
                </c:pt>
                <c:pt idx="19">
                  <c:v>300</c:v>
                </c:pt>
              </c:numCache>
            </c:numRef>
          </c:yVal>
          <c:smooth val="1"/>
        </c:ser>
        <c:axId val="27878046"/>
        <c:axId val="69227569"/>
      </c:scatterChart>
      <c:valAx>
        <c:axId val="27878046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v (m³/kg)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0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9227569"/>
        <c:crosses val="autoZero"/>
        <c:crossBetween val="midCat"/>
      </c:valAx>
      <c:valAx>
        <c:axId val="69227569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T (K)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7878046"/>
        <c:crosses val="autoZero"/>
        <c:crossBetween val="midCat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Diagrama P–v (escalas logarítmicas)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"/>
        <c:varyColors val="0"/>
        <c:ser>
          <c:idx val="0"/>
          <c:order val="0"/>
          <c:tx>
            <c:strRef>
              <c:f>"1→2"</c:f>
              <c:strCache>
                <c:ptCount val="1"/>
                <c:pt idx="0">
                  <c:v>1→2</c:v>
                </c:pt>
              </c:strCache>
            </c:strRef>
          </c:tx>
          <c:spPr>
            <a:solidFill>
              <a:srgbClr val="2f5597"/>
            </a:solidFill>
            <a:ln w="28080">
              <a:solidFill>
                <a:srgbClr val="2f5597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Puntos!$C$5:$C$24</c:f>
              <c:numCache>
                <c:formatCode>0.00000</c:formatCode>
                <c:ptCount val="20"/>
                <c:pt idx="0">
                  <c:v>1.08987341772152</c:v>
                </c:pt>
                <c:pt idx="1">
                  <c:v>1.0360963386076</c:v>
                </c:pt>
                <c:pt idx="2">
                  <c:v>0.98232028125</c:v>
                </c:pt>
                <c:pt idx="3">
                  <c:v>0.928543202136076</c:v>
                </c:pt>
                <c:pt idx="4">
                  <c:v>0.874767144778481</c:v>
                </c:pt>
                <c:pt idx="5">
                  <c:v>0.820990065664557</c:v>
                </c:pt>
                <c:pt idx="6">
                  <c:v>0.767214008306962</c:v>
                </c:pt>
                <c:pt idx="7">
                  <c:v>0.713436929193038</c:v>
                </c:pt>
                <c:pt idx="8">
                  <c:v>0.659659850079114</c:v>
                </c:pt>
                <c:pt idx="9">
                  <c:v>0.605883792721519</c:v>
                </c:pt>
                <c:pt idx="10">
                  <c:v>0.552106713607595</c:v>
                </c:pt>
                <c:pt idx="11">
                  <c:v>0.49833065625</c:v>
                </c:pt>
                <c:pt idx="12">
                  <c:v>0.444553577136076</c:v>
                </c:pt>
                <c:pt idx="13">
                  <c:v>0.390776498022152</c:v>
                </c:pt>
                <c:pt idx="14">
                  <c:v>0.337000440664557</c:v>
                </c:pt>
                <c:pt idx="15">
                  <c:v>0.283223361550633</c:v>
                </c:pt>
                <c:pt idx="16">
                  <c:v>0.229447304193038</c:v>
                </c:pt>
                <c:pt idx="17">
                  <c:v>0.175670225079114</c:v>
                </c:pt>
                <c:pt idx="18">
                  <c:v>0.121894167721519</c:v>
                </c:pt>
                <c:pt idx="19">
                  <c:v>0.068117088607595</c:v>
                </c:pt>
              </c:numCache>
            </c:numRef>
          </c:xVal>
          <c:yVal>
            <c:numRef>
              <c:f>Puntos!$E$5:$E$24</c:f>
              <c:numCache>
                <c:formatCode>0.00</c:formatCode>
                <c:ptCount val="20"/>
                <c:pt idx="0">
                  <c:v>79</c:v>
                </c:pt>
                <c:pt idx="1">
                  <c:v>84.7995174550687</c:v>
                </c:pt>
                <c:pt idx="2">
                  <c:v>91.3690733808613</c:v>
                </c:pt>
                <c:pt idx="3">
                  <c:v>98.8622783125908</c:v>
                </c:pt>
                <c:pt idx="4">
                  <c:v>107.474176771474</c:v>
                </c:pt>
                <c:pt idx="5">
                  <c:v>117.457435027152</c:v>
                </c:pt>
                <c:pt idx="6">
                  <c:v>129.14287249678</c:v>
                </c:pt>
                <c:pt idx="7">
                  <c:v>142.973568039976</c:v>
                </c:pt>
                <c:pt idx="8">
                  <c:v>159.553194218534</c:v>
                </c:pt>
                <c:pt idx="9">
                  <c:v>179.72500568509</c:v>
                </c:pt>
                <c:pt idx="10">
                  <c:v>204.701646581501</c:v>
                </c:pt>
                <c:pt idx="11">
                  <c:v>236.28106989248</c:v>
                </c:pt>
                <c:pt idx="12">
                  <c:v>277.242510390108</c:v>
                </c:pt>
                <c:pt idx="13">
                  <c:v>332.088444741104</c:v>
                </c:pt>
                <c:pt idx="14">
                  <c:v>408.574181408618</c:v>
                </c:pt>
                <c:pt idx="15">
                  <c:v>521.162157390473</c:v>
                </c:pt>
                <c:pt idx="16">
                  <c:v>699.837858226763</c:v>
                </c:pt>
                <c:pt idx="17">
                  <c:v>1017.12927577761</c:v>
                </c:pt>
                <c:pt idx="18">
                  <c:v>1696.59224898476</c:v>
                </c:pt>
                <c:pt idx="19">
                  <c:v>3831.73148013828</c:v>
                </c:pt>
              </c:numCache>
            </c:numRef>
          </c:yVal>
          <c:smooth val="1"/>
        </c:ser>
        <c:ser>
          <c:idx val="1"/>
          <c:order val="1"/>
          <c:tx>
            <c:strRef>
              <c:f>"2→3"</c:f>
              <c:strCache>
                <c:ptCount val="1"/>
                <c:pt idx="0">
                  <c:v>2→3</c:v>
                </c:pt>
              </c:strCache>
            </c:strRef>
          </c:tx>
          <c:spPr>
            <a:solidFill>
              <a:srgbClr val="c00000"/>
            </a:solidFill>
            <a:ln w="28080">
              <a:solidFill>
                <a:srgbClr val="c00000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Puntos!$C$25:$C$44</c:f>
              <c:numCache>
                <c:formatCode>0.00000</c:formatCode>
                <c:ptCount val="20"/>
                <c:pt idx="0">
                  <c:v>0.0681170886075949</c:v>
                </c:pt>
                <c:pt idx="1">
                  <c:v>0.0681170886075949</c:v>
                </c:pt>
                <c:pt idx="2">
                  <c:v>0.0681170886075949</c:v>
                </c:pt>
                <c:pt idx="3">
                  <c:v>0.0681170886075949</c:v>
                </c:pt>
                <c:pt idx="4">
                  <c:v>0.0681170886075949</c:v>
                </c:pt>
                <c:pt idx="5">
                  <c:v>0.0681170886075949</c:v>
                </c:pt>
                <c:pt idx="6">
                  <c:v>0.0681170886075949</c:v>
                </c:pt>
                <c:pt idx="7">
                  <c:v>0.0681170886075949</c:v>
                </c:pt>
                <c:pt idx="8">
                  <c:v>0.0681170886075949</c:v>
                </c:pt>
                <c:pt idx="9">
                  <c:v>0.0681170886075949</c:v>
                </c:pt>
                <c:pt idx="10">
                  <c:v>0.0681170886075949</c:v>
                </c:pt>
                <c:pt idx="11">
                  <c:v>0.0681170886075949</c:v>
                </c:pt>
                <c:pt idx="12">
                  <c:v>0.0681170886075949</c:v>
                </c:pt>
                <c:pt idx="13">
                  <c:v>0.0681170886075949</c:v>
                </c:pt>
                <c:pt idx="14">
                  <c:v>0.0681170886075949</c:v>
                </c:pt>
                <c:pt idx="15">
                  <c:v>0.0681170886075949</c:v>
                </c:pt>
                <c:pt idx="16">
                  <c:v>0.0681170886075949</c:v>
                </c:pt>
                <c:pt idx="17">
                  <c:v>0.0681170886075949</c:v>
                </c:pt>
                <c:pt idx="18">
                  <c:v>0.0681170886075949</c:v>
                </c:pt>
                <c:pt idx="19">
                  <c:v>0.0681170886075949</c:v>
                </c:pt>
              </c:numCache>
            </c:numRef>
          </c:xVal>
          <c:yVal>
            <c:numRef>
              <c:f>Puntos!$E$25:$E$44</c:f>
              <c:numCache>
                <c:formatCode>0.00</c:formatCode>
                <c:ptCount val="20"/>
                <c:pt idx="0">
                  <c:v>3831.73148013829</c:v>
                </c:pt>
                <c:pt idx="1">
                  <c:v>3932.5673257696</c:v>
                </c:pt>
                <c:pt idx="2">
                  <c:v>4033.40125553518</c:v>
                </c:pt>
                <c:pt idx="3">
                  <c:v>4134.2371011665</c:v>
                </c:pt>
                <c:pt idx="4">
                  <c:v>4235.07103093208</c:v>
                </c:pt>
                <c:pt idx="5">
                  <c:v>4335.9068765634</c:v>
                </c:pt>
                <c:pt idx="6">
                  <c:v>4436.74080632898</c:v>
                </c:pt>
                <c:pt idx="7">
                  <c:v>4537.5766519603</c:v>
                </c:pt>
                <c:pt idx="8">
                  <c:v>4638.41249759162</c:v>
                </c:pt>
                <c:pt idx="9">
                  <c:v>4739.2464273572</c:v>
                </c:pt>
                <c:pt idx="10">
                  <c:v>4840.08227298852</c:v>
                </c:pt>
                <c:pt idx="11">
                  <c:v>4940.9162027541</c:v>
                </c:pt>
                <c:pt idx="12">
                  <c:v>5041.75204838541</c:v>
                </c:pt>
                <c:pt idx="13">
                  <c:v>5142.58789401673</c:v>
                </c:pt>
                <c:pt idx="14">
                  <c:v>5243.42182378231</c:v>
                </c:pt>
                <c:pt idx="15">
                  <c:v>5344.25766941363</c:v>
                </c:pt>
                <c:pt idx="16">
                  <c:v>5445.09159917921</c:v>
                </c:pt>
                <c:pt idx="17">
                  <c:v>5545.92744481053</c:v>
                </c:pt>
                <c:pt idx="18">
                  <c:v>5646.76137457611</c:v>
                </c:pt>
                <c:pt idx="19">
                  <c:v>5747.59722020743</c:v>
                </c:pt>
              </c:numCache>
            </c:numRef>
          </c:yVal>
          <c:smooth val="1"/>
        </c:ser>
        <c:ser>
          <c:idx val="2"/>
          <c:order val="2"/>
          <c:tx>
            <c:strRef>
              <c:f>"3→4"</c:f>
              <c:strCache>
                <c:ptCount val="1"/>
                <c:pt idx="0">
                  <c:v>3→4</c:v>
                </c:pt>
              </c:strCache>
            </c:strRef>
          </c:tx>
          <c:spPr>
            <a:solidFill>
              <a:srgbClr val="c55a11"/>
            </a:solidFill>
            <a:ln w="28080">
              <a:solidFill>
                <a:srgbClr val="c55a11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Puntos!$C$45:$C$64</c:f>
              <c:numCache>
                <c:formatCode>0.00000</c:formatCode>
                <c:ptCount val="20"/>
                <c:pt idx="0">
                  <c:v>0.0681170886075949</c:v>
                </c:pt>
                <c:pt idx="1">
                  <c:v>0.0702681717721519</c:v>
                </c:pt>
                <c:pt idx="2">
                  <c:v>0.0724192140664557</c:v>
                </c:pt>
                <c:pt idx="3">
                  <c:v>0.0745702972310127</c:v>
                </c:pt>
                <c:pt idx="4">
                  <c:v>0.0767213395253165</c:v>
                </c:pt>
                <c:pt idx="5">
                  <c:v>0.0788724226898734</c:v>
                </c:pt>
                <c:pt idx="6">
                  <c:v>0.0810234649841772</c:v>
                </c:pt>
                <c:pt idx="7">
                  <c:v>0.0831745481487342</c:v>
                </c:pt>
                <c:pt idx="8">
                  <c:v>0.0853256313132911</c:v>
                </c:pt>
                <c:pt idx="9">
                  <c:v>0.087476673607595</c:v>
                </c:pt>
                <c:pt idx="10">
                  <c:v>0.0896277567721519</c:v>
                </c:pt>
                <c:pt idx="11">
                  <c:v>0.0917787990664557</c:v>
                </c:pt>
                <c:pt idx="12">
                  <c:v>0.0939298822310127</c:v>
                </c:pt>
                <c:pt idx="13">
                  <c:v>0.0960809653955696</c:v>
                </c:pt>
                <c:pt idx="14">
                  <c:v>0.0982320076898734</c:v>
                </c:pt>
                <c:pt idx="15">
                  <c:v>0.10038309085443</c:v>
                </c:pt>
                <c:pt idx="16">
                  <c:v>0.102534133148734</c:v>
                </c:pt>
                <c:pt idx="17">
                  <c:v>0.104685216313291</c:v>
                </c:pt>
                <c:pt idx="18">
                  <c:v>0.106836258607595</c:v>
                </c:pt>
                <c:pt idx="19">
                  <c:v>0.108987341772152</c:v>
                </c:pt>
              </c:numCache>
            </c:numRef>
          </c:xVal>
          <c:yVal>
            <c:numRef>
              <c:f>Puntos!$E$45:$E$64</c:f>
              <c:numCache>
                <c:formatCode>0.00</c:formatCode>
                <c:ptCount val="20"/>
                <c:pt idx="0">
                  <c:v>5747.59722020743</c:v>
                </c:pt>
                <c:pt idx="1">
                  <c:v>5747.59722020743</c:v>
                </c:pt>
                <c:pt idx="2">
                  <c:v>5747.59722020743</c:v>
                </c:pt>
                <c:pt idx="3">
                  <c:v>5747.59722020743</c:v>
                </c:pt>
                <c:pt idx="4">
                  <c:v>5747.59722020743</c:v>
                </c:pt>
                <c:pt idx="5">
                  <c:v>5747.59722020743</c:v>
                </c:pt>
                <c:pt idx="6">
                  <c:v>5747.59722020743</c:v>
                </c:pt>
                <c:pt idx="7">
                  <c:v>5747.59722020743</c:v>
                </c:pt>
                <c:pt idx="8">
                  <c:v>5747.59722020743</c:v>
                </c:pt>
                <c:pt idx="9">
                  <c:v>5747.59722020743</c:v>
                </c:pt>
                <c:pt idx="10">
                  <c:v>5747.59722020743</c:v>
                </c:pt>
                <c:pt idx="11">
                  <c:v>5747.59722020743</c:v>
                </c:pt>
                <c:pt idx="12">
                  <c:v>5747.59722020743</c:v>
                </c:pt>
                <c:pt idx="13">
                  <c:v>5747.59722020743</c:v>
                </c:pt>
                <c:pt idx="14">
                  <c:v>5747.59722020743</c:v>
                </c:pt>
                <c:pt idx="15">
                  <c:v>5747.59722020743</c:v>
                </c:pt>
                <c:pt idx="16">
                  <c:v>5747.59722020743</c:v>
                </c:pt>
                <c:pt idx="17">
                  <c:v>5747.59722020743</c:v>
                </c:pt>
                <c:pt idx="18">
                  <c:v>5747.59722020743</c:v>
                </c:pt>
                <c:pt idx="19">
                  <c:v>5747.59722020743</c:v>
                </c:pt>
              </c:numCache>
            </c:numRef>
          </c:yVal>
          <c:smooth val="1"/>
        </c:ser>
        <c:ser>
          <c:idx val="3"/>
          <c:order val="3"/>
          <c:tx>
            <c:strRef>
              <c:f>"4→5"</c:f>
              <c:strCache>
                <c:ptCount val="1"/>
                <c:pt idx="0">
                  <c:v>4→5</c:v>
                </c:pt>
              </c:strCache>
            </c:strRef>
          </c:tx>
          <c:spPr>
            <a:solidFill>
              <a:srgbClr val="375623"/>
            </a:solidFill>
            <a:ln w="28080">
              <a:solidFill>
                <a:srgbClr val="375623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Puntos!$C$65:$C$84</c:f>
              <c:numCache>
                <c:formatCode>0.00000</c:formatCode>
                <c:ptCount val="20"/>
                <c:pt idx="0">
                  <c:v>0.108987341772152</c:v>
                </c:pt>
                <c:pt idx="1">
                  <c:v>0.160613337721519</c:v>
                </c:pt>
                <c:pt idx="2">
                  <c:v>0.21223835278481</c:v>
                </c:pt>
                <c:pt idx="3">
                  <c:v>0.263864348734177</c:v>
                </c:pt>
                <c:pt idx="4">
                  <c:v>0.315489363797468</c:v>
                </c:pt>
                <c:pt idx="5">
                  <c:v>0.367115359746835</c:v>
                </c:pt>
                <c:pt idx="6">
                  <c:v>0.418740374810127</c:v>
                </c:pt>
                <c:pt idx="7">
                  <c:v>0.470366370759494</c:v>
                </c:pt>
                <c:pt idx="8">
                  <c:v>0.521992366708861</c:v>
                </c:pt>
                <c:pt idx="9">
                  <c:v>0.573617381772152</c:v>
                </c:pt>
                <c:pt idx="10">
                  <c:v>0.625243377721519</c:v>
                </c:pt>
                <c:pt idx="11">
                  <c:v>0.67686839278481</c:v>
                </c:pt>
                <c:pt idx="12">
                  <c:v>0.728494388734177</c:v>
                </c:pt>
                <c:pt idx="13">
                  <c:v>0.780120384683544</c:v>
                </c:pt>
                <c:pt idx="14">
                  <c:v>0.831745399746836</c:v>
                </c:pt>
                <c:pt idx="15">
                  <c:v>0.883371395696203</c:v>
                </c:pt>
                <c:pt idx="16">
                  <c:v>0.934996410759494</c:v>
                </c:pt>
                <c:pt idx="17">
                  <c:v>0.986622406708861</c:v>
                </c:pt>
                <c:pt idx="18">
                  <c:v>1.03824742177215</c:v>
                </c:pt>
                <c:pt idx="19">
                  <c:v>1.08987341772152</c:v>
                </c:pt>
              </c:numCache>
            </c:numRef>
          </c:xVal>
          <c:yVal>
            <c:numRef>
              <c:f>Puntos!$E$65:$E$84</c:f>
              <c:numCache>
                <c:formatCode>0.00</c:formatCode>
                <c:ptCount val="20"/>
                <c:pt idx="0">
                  <c:v>5747.59722020743</c:v>
                </c:pt>
                <c:pt idx="1">
                  <c:v>3339.78538628589</c:v>
                </c:pt>
                <c:pt idx="2">
                  <c:v>2260.78569943105</c:v>
                </c:pt>
                <c:pt idx="3">
                  <c:v>1666.78586283959</c:v>
                </c:pt>
                <c:pt idx="4">
                  <c:v>1297.87898077166</c:v>
                </c:pt>
                <c:pt idx="5">
                  <c:v>1049.7580962555</c:v>
                </c:pt>
                <c:pt idx="6">
                  <c:v>873.152371457502</c:v>
                </c:pt>
                <c:pt idx="7">
                  <c:v>741.996814500747</c:v>
                </c:pt>
                <c:pt idx="8">
                  <c:v>641.332128674666</c:v>
                </c:pt>
                <c:pt idx="9">
                  <c:v>562.006820623424</c:v>
                </c:pt>
                <c:pt idx="10">
                  <c:v>498.131573048503</c:v>
                </c:pt>
                <c:pt idx="11">
                  <c:v>445.765939862161</c:v>
                </c:pt>
                <c:pt idx="12">
                  <c:v>402.175967237227</c:v>
                </c:pt>
                <c:pt idx="13">
                  <c:v>365.415136915794</c:v>
                </c:pt>
                <c:pt idx="14">
                  <c:v>334.061356081375</c:v>
                </c:pt>
                <c:pt idx="15">
                  <c:v>307.052151654396</c:v>
                </c:pt>
                <c:pt idx="16">
                  <c:v>283.582148866257</c:v>
                </c:pt>
                <c:pt idx="17">
                  <c:v>263.027675120751</c:v>
                </c:pt>
                <c:pt idx="18">
                  <c:v>244.901589827341</c:v>
                </c:pt>
                <c:pt idx="19">
                  <c:v>228.815966681793</c:v>
                </c:pt>
              </c:numCache>
            </c:numRef>
          </c:yVal>
          <c:smooth val="1"/>
        </c:ser>
        <c:ser>
          <c:idx val="4"/>
          <c:order val="4"/>
          <c:tx>
            <c:strRef>
              <c:f>"5→1"</c:f>
              <c:strCache>
                <c:ptCount val="1"/>
                <c:pt idx="0">
                  <c:v>5→1</c:v>
                </c:pt>
              </c:strCache>
            </c:strRef>
          </c:tx>
          <c:spPr>
            <a:solidFill>
              <a:srgbClr val="7f6000"/>
            </a:solidFill>
            <a:ln w="28080">
              <a:solidFill>
                <a:srgbClr val="7f6000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Puntos!$C$85:$C$104</c:f>
              <c:numCache>
                <c:formatCode>0.00000</c:formatCode>
                <c:ptCount val="20"/>
                <c:pt idx="0">
                  <c:v>1.08987341772152</c:v>
                </c:pt>
                <c:pt idx="1">
                  <c:v>1.08987341772152</c:v>
                </c:pt>
                <c:pt idx="2">
                  <c:v>1.08987341772152</c:v>
                </c:pt>
                <c:pt idx="3">
                  <c:v>1.08987341772152</c:v>
                </c:pt>
                <c:pt idx="4">
                  <c:v>1.08987341772152</c:v>
                </c:pt>
                <c:pt idx="5">
                  <c:v>1.08987341772152</c:v>
                </c:pt>
                <c:pt idx="6">
                  <c:v>1.08987341772152</c:v>
                </c:pt>
                <c:pt idx="7">
                  <c:v>1.08987341772152</c:v>
                </c:pt>
                <c:pt idx="8">
                  <c:v>1.08987341772152</c:v>
                </c:pt>
                <c:pt idx="9">
                  <c:v>1.08987341772152</c:v>
                </c:pt>
                <c:pt idx="10">
                  <c:v>1.08987341772152</c:v>
                </c:pt>
                <c:pt idx="11">
                  <c:v>1.08987341772152</c:v>
                </c:pt>
                <c:pt idx="12">
                  <c:v>1.08987341772152</c:v>
                </c:pt>
                <c:pt idx="13">
                  <c:v>1.08987341772152</c:v>
                </c:pt>
                <c:pt idx="14">
                  <c:v>1.08987341772152</c:v>
                </c:pt>
                <c:pt idx="15">
                  <c:v>1.08987341772152</c:v>
                </c:pt>
                <c:pt idx="16">
                  <c:v>1.08987341772152</c:v>
                </c:pt>
                <c:pt idx="17">
                  <c:v>1.08987341772152</c:v>
                </c:pt>
                <c:pt idx="18">
                  <c:v>1.08987341772152</c:v>
                </c:pt>
                <c:pt idx="19">
                  <c:v>1.08987341772152</c:v>
                </c:pt>
              </c:numCache>
            </c:numRef>
          </c:xVal>
          <c:yVal>
            <c:numRef>
              <c:f>Puntos!$E$85:$E$104</c:f>
              <c:numCache>
                <c:formatCode>0.00</c:formatCode>
                <c:ptCount val="20"/>
                <c:pt idx="0">
                  <c:v>228.815966681793</c:v>
                </c:pt>
                <c:pt idx="1">
                  <c:v>220.930852723396</c:v>
                </c:pt>
                <c:pt idx="2">
                  <c:v>213.045888580967</c:v>
                </c:pt>
                <c:pt idx="3">
                  <c:v>205.160774622571</c:v>
                </c:pt>
                <c:pt idx="4">
                  <c:v>197.275810480142</c:v>
                </c:pt>
                <c:pt idx="5">
                  <c:v>189.390696521745</c:v>
                </c:pt>
                <c:pt idx="6">
                  <c:v>181.505732379316</c:v>
                </c:pt>
                <c:pt idx="7">
                  <c:v>173.62061842092</c:v>
                </c:pt>
                <c:pt idx="8">
                  <c:v>165.735504462524</c:v>
                </c:pt>
                <c:pt idx="9">
                  <c:v>157.850540320094</c:v>
                </c:pt>
                <c:pt idx="10">
                  <c:v>149.965426361698</c:v>
                </c:pt>
                <c:pt idx="11">
                  <c:v>142.080462219269</c:v>
                </c:pt>
                <c:pt idx="12">
                  <c:v>134.195348260873</c:v>
                </c:pt>
                <c:pt idx="13">
                  <c:v>126.310234302477</c:v>
                </c:pt>
                <c:pt idx="14">
                  <c:v>118.425270160047</c:v>
                </c:pt>
                <c:pt idx="15">
                  <c:v>110.540156201651</c:v>
                </c:pt>
                <c:pt idx="16">
                  <c:v>102.655192059222</c:v>
                </c:pt>
                <c:pt idx="17">
                  <c:v>94.7700781008255</c:v>
                </c:pt>
                <c:pt idx="18">
                  <c:v>86.8851139583961</c:v>
                </c:pt>
                <c:pt idx="19">
                  <c:v>79</c:v>
                </c:pt>
              </c:numCache>
            </c:numRef>
          </c:yVal>
          <c:smooth val="1"/>
        </c:ser>
        <c:axId val="31177279"/>
        <c:axId val="22143215"/>
      </c:scatterChart>
      <c:valAx>
        <c:axId val="31177279"/>
        <c:scaling>
          <c:logBase val="10"/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v (m³/kg)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0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2143215"/>
        <c:crosses val="autoZero"/>
        <c:crossBetween val="midCat"/>
      </c:valAx>
      <c:valAx>
        <c:axId val="22143215"/>
        <c:scaling>
          <c:logBase val="10"/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P (kPa)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1177279"/>
        <c:crosses val="autoZero"/>
        <c:crossBetween val="midCat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Presión en el cilindro vs. ángulo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"/>
        <c:varyColors val="0"/>
        <c:ser>
          <c:idx val="0"/>
          <c:order val="0"/>
          <c:tx>
            <c:strRef>
              <c:f>"P (kPa)"</c:f>
              <c:strCache>
                <c:ptCount val="1"/>
                <c:pt idx="0">
                  <c:v>P (kPa)</c:v>
                </c:pt>
              </c:strCache>
            </c:strRef>
          </c:tx>
          <c:spPr>
            <a:solidFill>
              <a:srgbClr val="c00000"/>
            </a:solidFill>
            <a:ln w="24840">
              <a:solidFill>
                <a:srgbClr val="c00000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Angulo!$A$5:$A$185</c:f>
              <c:numCache>
                <c:formatCode>0</c:formatCode>
                <c:ptCount val="181"/>
                <c:pt idx="0">
                  <c:v>0</c:v>
                </c:pt>
                <c:pt idx="1">
                  <c:v>4</c:v>
                </c:pt>
                <c:pt idx="2">
                  <c:v>8</c:v>
                </c:pt>
                <c:pt idx="3">
                  <c:v>12</c:v>
                </c:pt>
                <c:pt idx="4">
                  <c:v>16</c:v>
                </c:pt>
                <c:pt idx="5">
                  <c:v>20</c:v>
                </c:pt>
                <c:pt idx="6">
                  <c:v>24</c:v>
                </c:pt>
                <c:pt idx="7">
                  <c:v>28</c:v>
                </c:pt>
                <c:pt idx="8">
                  <c:v>32</c:v>
                </c:pt>
                <c:pt idx="9">
                  <c:v>36</c:v>
                </c:pt>
                <c:pt idx="10">
                  <c:v>40</c:v>
                </c:pt>
                <c:pt idx="11">
                  <c:v>44</c:v>
                </c:pt>
                <c:pt idx="12">
                  <c:v>48</c:v>
                </c:pt>
                <c:pt idx="13">
                  <c:v>52</c:v>
                </c:pt>
                <c:pt idx="14">
                  <c:v>56</c:v>
                </c:pt>
                <c:pt idx="15">
                  <c:v>60</c:v>
                </c:pt>
                <c:pt idx="16">
                  <c:v>64</c:v>
                </c:pt>
                <c:pt idx="17">
                  <c:v>68</c:v>
                </c:pt>
                <c:pt idx="18">
                  <c:v>72</c:v>
                </c:pt>
                <c:pt idx="19">
                  <c:v>76</c:v>
                </c:pt>
                <c:pt idx="20">
                  <c:v>80</c:v>
                </c:pt>
                <c:pt idx="21">
                  <c:v>84</c:v>
                </c:pt>
                <c:pt idx="22">
                  <c:v>88</c:v>
                </c:pt>
                <c:pt idx="23">
                  <c:v>92</c:v>
                </c:pt>
                <c:pt idx="24">
                  <c:v>96</c:v>
                </c:pt>
                <c:pt idx="25">
                  <c:v>100</c:v>
                </c:pt>
                <c:pt idx="26">
                  <c:v>104</c:v>
                </c:pt>
                <c:pt idx="27">
                  <c:v>108</c:v>
                </c:pt>
                <c:pt idx="28">
                  <c:v>112</c:v>
                </c:pt>
                <c:pt idx="29">
                  <c:v>116</c:v>
                </c:pt>
                <c:pt idx="30">
                  <c:v>120</c:v>
                </c:pt>
                <c:pt idx="31">
                  <c:v>124</c:v>
                </c:pt>
                <c:pt idx="32">
                  <c:v>128</c:v>
                </c:pt>
                <c:pt idx="33">
                  <c:v>132</c:v>
                </c:pt>
                <c:pt idx="34">
                  <c:v>136</c:v>
                </c:pt>
                <c:pt idx="35">
                  <c:v>140</c:v>
                </c:pt>
                <c:pt idx="36">
                  <c:v>144</c:v>
                </c:pt>
                <c:pt idx="37">
                  <c:v>148</c:v>
                </c:pt>
                <c:pt idx="38">
                  <c:v>152</c:v>
                </c:pt>
                <c:pt idx="39">
                  <c:v>156</c:v>
                </c:pt>
                <c:pt idx="40">
                  <c:v>160</c:v>
                </c:pt>
                <c:pt idx="41">
                  <c:v>164</c:v>
                </c:pt>
                <c:pt idx="42">
                  <c:v>168</c:v>
                </c:pt>
                <c:pt idx="43">
                  <c:v>172</c:v>
                </c:pt>
                <c:pt idx="44">
                  <c:v>176</c:v>
                </c:pt>
                <c:pt idx="45">
                  <c:v>180</c:v>
                </c:pt>
                <c:pt idx="46">
                  <c:v>184</c:v>
                </c:pt>
                <c:pt idx="47">
                  <c:v>188</c:v>
                </c:pt>
                <c:pt idx="48">
                  <c:v>192</c:v>
                </c:pt>
                <c:pt idx="49">
                  <c:v>196</c:v>
                </c:pt>
                <c:pt idx="50">
                  <c:v>200</c:v>
                </c:pt>
                <c:pt idx="51">
                  <c:v>204</c:v>
                </c:pt>
                <c:pt idx="52">
                  <c:v>208</c:v>
                </c:pt>
                <c:pt idx="53">
                  <c:v>212</c:v>
                </c:pt>
                <c:pt idx="54">
                  <c:v>216</c:v>
                </c:pt>
                <c:pt idx="55">
                  <c:v>220</c:v>
                </c:pt>
                <c:pt idx="56">
                  <c:v>224</c:v>
                </c:pt>
                <c:pt idx="57">
                  <c:v>228</c:v>
                </c:pt>
                <c:pt idx="58">
                  <c:v>232</c:v>
                </c:pt>
                <c:pt idx="59">
                  <c:v>236</c:v>
                </c:pt>
                <c:pt idx="60">
                  <c:v>240</c:v>
                </c:pt>
                <c:pt idx="61">
                  <c:v>244</c:v>
                </c:pt>
                <c:pt idx="62">
                  <c:v>248</c:v>
                </c:pt>
                <c:pt idx="63">
                  <c:v>252</c:v>
                </c:pt>
                <c:pt idx="64">
                  <c:v>256</c:v>
                </c:pt>
                <c:pt idx="65">
                  <c:v>260</c:v>
                </c:pt>
                <c:pt idx="66">
                  <c:v>264</c:v>
                </c:pt>
                <c:pt idx="67">
                  <c:v>268</c:v>
                </c:pt>
                <c:pt idx="68">
                  <c:v>272</c:v>
                </c:pt>
                <c:pt idx="69">
                  <c:v>276</c:v>
                </c:pt>
                <c:pt idx="70">
                  <c:v>280</c:v>
                </c:pt>
                <c:pt idx="71">
                  <c:v>284</c:v>
                </c:pt>
                <c:pt idx="72">
                  <c:v>288</c:v>
                </c:pt>
                <c:pt idx="73">
                  <c:v>292</c:v>
                </c:pt>
                <c:pt idx="74">
                  <c:v>296</c:v>
                </c:pt>
                <c:pt idx="75">
                  <c:v>300</c:v>
                </c:pt>
                <c:pt idx="76">
                  <c:v>304</c:v>
                </c:pt>
                <c:pt idx="77">
                  <c:v>308</c:v>
                </c:pt>
                <c:pt idx="78">
                  <c:v>312</c:v>
                </c:pt>
                <c:pt idx="79">
                  <c:v>316</c:v>
                </c:pt>
                <c:pt idx="80">
                  <c:v>320</c:v>
                </c:pt>
                <c:pt idx="81">
                  <c:v>324</c:v>
                </c:pt>
                <c:pt idx="82">
                  <c:v>328</c:v>
                </c:pt>
                <c:pt idx="83">
                  <c:v>332</c:v>
                </c:pt>
                <c:pt idx="84">
                  <c:v>336</c:v>
                </c:pt>
                <c:pt idx="85">
                  <c:v>340</c:v>
                </c:pt>
                <c:pt idx="86">
                  <c:v>344</c:v>
                </c:pt>
                <c:pt idx="87">
                  <c:v>348</c:v>
                </c:pt>
                <c:pt idx="88">
                  <c:v>352</c:v>
                </c:pt>
                <c:pt idx="89">
                  <c:v>356</c:v>
                </c:pt>
                <c:pt idx="90">
                  <c:v>360</c:v>
                </c:pt>
                <c:pt idx="91">
                  <c:v>364</c:v>
                </c:pt>
                <c:pt idx="92">
                  <c:v>368</c:v>
                </c:pt>
                <c:pt idx="93">
                  <c:v>372</c:v>
                </c:pt>
                <c:pt idx="94">
                  <c:v>376</c:v>
                </c:pt>
                <c:pt idx="95">
                  <c:v>380</c:v>
                </c:pt>
                <c:pt idx="96">
                  <c:v>384</c:v>
                </c:pt>
                <c:pt idx="97">
                  <c:v>388</c:v>
                </c:pt>
                <c:pt idx="98">
                  <c:v>392</c:v>
                </c:pt>
                <c:pt idx="99">
                  <c:v>396</c:v>
                </c:pt>
                <c:pt idx="100">
                  <c:v>400</c:v>
                </c:pt>
                <c:pt idx="101">
                  <c:v>404</c:v>
                </c:pt>
                <c:pt idx="102">
                  <c:v>408</c:v>
                </c:pt>
                <c:pt idx="103">
                  <c:v>412</c:v>
                </c:pt>
                <c:pt idx="104">
                  <c:v>416</c:v>
                </c:pt>
                <c:pt idx="105">
                  <c:v>420</c:v>
                </c:pt>
                <c:pt idx="106">
                  <c:v>424</c:v>
                </c:pt>
                <c:pt idx="107">
                  <c:v>428</c:v>
                </c:pt>
                <c:pt idx="108">
                  <c:v>432</c:v>
                </c:pt>
                <c:pt idx="109">
                  <c:v>436</c:v>
                </c:pt>
                <c:pt idx="110">
                  <c:v>440</c:v>
                </c:pt>
                <c:pt idx="111">
                  <c:v>444</c:v>
                </c:pt>
                <c:pt idx="112">
                  <c:v>448</c:v>
                </c:pt>
                <c:pt idx="113">
                  <c:v>452</c:v>
                </c:pt>
                <c:pt idx="114">
                  <c:v>456</c:v>
                </c:pt>
                <c:pt idx="115">
                  <c:v>460</c:v>
                </c:pt>
                <c:pt idx="116">
                  <c:v>464</c:v>
                </c:pt>
                <c:pt idx="117">
                  <c:v>468</c:v>
                </c:pt>
                <c:pt idx="118">
                  <c:v>472</c:v>
                </c:pt>
                <c:pt idx="119">
                  <c:v>476</c:v>
                </c:pt>
                <c:pt idx="120">
                  <c:v>480</c:v>
                </c:pt>
                <c:pt idx="121">
                  <c:v>484</c:v>
                </c:pt>
                <c:pt idx="122">
                  <c:v>488</c:v>
                </c:pt>
                <c:pt idx="123">
                  <c:v>492</c:v>
                </c:pt>
                <c:pt idx="124">
                  <c:v>496</c:v>
                </c:pt>
                <c:pt idx="125">
                  <c:v>500</c:v>
                </c:pt>
                <c:pt idx="126">
                  <c:v>504</c:v>
                </c:pt>
                <c:pt idx="127">
                  <c:v>508</c:v>
                </c:pt>
                <c:pt idx="128">
                  <c:v>512</c:v>
                </c:pt>
                <c:pt idx="129">
                  <c:v>516</c:v>
                </c:pt>
                <c:pt idx="130">
                  <c:v>520</c:v>
                </c:pt>
                <c:pt idx="131">
                  <c:v>524</c:v>
                </c:pt>
                <c:pt idx="132">
                  <c:v>528</c:v>
                </c:pt>
                <c:pt idx="133">
                  <c:v>532</c:v>
                </c:pt>
                <c:pt idx="134">
                  <c:v>536</c:v>
                </c:pt>
                <c:pt idx="135">
                  <c:v>540</c:v>
                </c:pt>
                <c:pt idx="136">
                  <c:v>544</c:v>
                </c:pt>
                <c:pt idx="137">
                  <c:v>548</c:v>
                </c:pt>
                <c:pt idx="138">
                  <c:v>552</c:v>
                </c:pt>
                <c:pt idx="139">
                  <c:v>556</c:v>
                </c:pt>
                <c:pt idx="140">
                  <c:v>560</c:v>
                </c:pt>
                <c:pt idx="141">
                  <c:v>564</c:v>
                </c:pt>
                <c:pt idx="142">
                  <c:v>568</c:v>
                </c:pt>
                <c:pt idx="143">
                  <c:v>572</c:v>
                </c:pt>
                <c:pt idx="144">
                  <c:v>576</c:v>
                </c:pt>
                <c:pt idx="145">
                  <c:v>580</c:v>
                </c:pt>
                <c:pt idx="146">
                  <c:v>584</c:v>
                </c:pt>
                <c:pt idx="147">
                  <c:v>588</c:v>
                </c:pt>
                <c:pt idx="148">
                  <c:v>592</c:v>
                </c:pt>
                <c:pt idx="149">
                  <c:v>596</c:v>
                </c:pt>
                <c:pt idx="150">
                  <c:v>600</c:v>
                </c:pt>
                <c:pt idx="151">
                  <c:v>604</c:v>
                </c:pt>
                <c:pt idx="152">
                  <c:v>608</c:v>
                </c:pt>
                <c:pt idx="153">
                  <c:v>612</c:v>
                </c:pt>
                <c:pt idx="154">
                  <c:v>616</c:v>
                </c:pt>
                <c:pt idx="155">
                  <c:v>620</c:v>
                </c:pt>
                <c:pt idx="156">
                  <c:v>624</c:v>
                </c:pt>
                <c:pt idx="157">
                  <c:v>628</c:v>
                </c:pt>
                <c:pt idx="158">
                  <c:v>632</c:v>
                </c:pt>
                <c:pt idx="159">
                  <c:v>636</c:v>
                </c:pt>
                <c:pt idx="160">
                  <c:v>640</c:v>
                </c:pt>
                <c:pt idx="161">
                  <c:v>644</c:v>
                </c:pt>
                <c:pt idx="162">
                  <c:v>648</c:v>
                </c:pt>
                <c:pt idx="163">
                  <c:v>652</c:v>
                </c:pt>
                <c:pt idx="164">
                  <c:v>656</c:v>
                </c:pt>
                <c:pt idx="165">
                  <c:v>660</c:v>
                </c:pt>
                <c:pt idx="166">
                  <c:v>664</c:v>
                </c:pt>
                <c:pt idx="167">
                  <c:v>668</c:v>
                </c:pt>
                <c:pt idx="168">
                  <c:v>672</c:v>
                </c:pt>
                <c:pt idx="169">
                  <c:v>676</c:v>
                </c:pt>
                <c:pt idx="170">
                  <c:v>680</c:v>
                </c:pt>
                <c:pt idx="171">
                  <c:v>684</c:v>
                </c:pt>
                <c:pt idx="172">
                  <c:v>688</c:v>
                </c:pt>
                <c:pt idx="173">
                  <c:v>692</c:v>
                </c:pt>
                <c:pt idx="174">
                  <c:v>696</c:v>
                </c:pt>
                <c:pt idx="175">
                  <c:v>700</c:v>
                </c:pt>
                <c:pt idx="176">
                  <c:v>704</c:v>
                </c:pt>
                <c:pt idx="177">
                  <c:v>708</c:v>
                </c:pt>
                <c:pt idx="178">
                  <c:v>712</c:v>
                </c:pt>
                <c:pt idx="179">
                  <c:v>716</c:v>
                </c:pt>
                <c:pt idx="180">
                  <c:v>720</c:v>
                </c:pt>
              </c:numCache>
            </c:numRef>
          </c:xVal>
          <c:yVal>
            <c:numRef>
              <c:f>Angulo!$D$5:$D$185</c:f>
              <c:numCache>
                <c:formatCode>0.00</c:formatCode>
                <c:ptCount val="181"/>
                <c:pt idx="0">
                  <c:v>79</c:v>
                </c:pt>
                <c:pt idx="1">
                  <c:v>79</c:v>
                </c:pt>
                <c:pt idx="2">
                  <c:v>79</c:v>
                </c:pt>
                <c:pt idx="3">
                  <c:v>79</c:v>
                </c:pt>
                <c:pt idx="4">
                  <c:v>79</c:v>
                </c:pt>
                <c:pt idx="5">
                  <c:v>79</c:v>
                </c:pt>
                <c:pt idx="6">
                  <c:v>79</c:v>
                </c:pt>
                <c:pt idx="7">
                  <c:v>79</c:v>
                </c:pt>
                <c:pt idx="8">
                  <c:v>79</c:v>
                </c:pt>
                <c:pt idx="9">
                  <c:v>79</c:v>
                </c:pt>
                <c:pt idx="10">
                  <c:v>79</c:v>
                </c:pt>
                <c:pt idx="11">
                  <c:v>79</c:v>
                </c:pt>
                <c:pt idx="12">
                  <c:v>79</c:v>
                </c:pt>
                <c:pt idx="13">
                  <c:v>79</c:v>
                </c:pt>
                <c:pt idx="14">
                  <c:v>79</c:v>
                </c:pt>
                <c:pt idx="15">
                  <c:v>79</c:v>
                </c:pt>
                <c:pt idx="16">
                  <c:v>79</c:v>
                </c:pt>
                <c:pt idx="17">
                  <c:v>79</c:v>
                </c:pt>
                <c:pt idx="18">
                  <c:v>79</c:v>
                </c:pt>
                <c:pt idx="19">
                  <c:v>79</c:v>
                </c:pt>
                <c:pt idx="20">
                  <c:v>79</c:v>
                </c:pt>
                <c:pt idx="21">
                  <c:v>79</c:v>
                </c:pt>
                <c:pt idx="22">
                  <c:v>79</c:v>
                </c:pt>
                <c:pt idx="23">
                  <c:v>79</c:v>
                </c:pt>
                <c:pt idx="24">
                  <c:v>79</c:v>
                </c:pt>
                <c:pt idx="25">
                  <c:v>79</c:v>
                </c:pt>
                <c:pt idx="26">
                  <c:v>79</c:v>
                </c:pt>
                <c:pt idx="27">
                  <c:v>79</c:v>
                </c:pt>
                <c:pt idx="28">
                  <c:v>79</c:v>
                </c:pt>
                <c:pt idx="29">
                  <c:v>79</c:v>
                </c:pt>
                <c:pt idx="30">
                  <c:v>79</c:v>
                </c:pt>
                <c:pt idx="31">
                  <c:v>79</c:v>
                </c:pt>
                <c:pt idx="32">
                  <c:v>79</c:v>
                </c:pt>
                <c:pt idx="33">
                  <c:v>79</c:v>
                </c:pt>
                <c:pt idx="34">
                  <c:v>79</c:v>
                </c:pt>
                <c:pt idx="35">
                  <c:v>79</c:v>
                </c:pt>
                <c:pt idx="36">
                  <c:v>79</c:v>
                </c:pt>
                <c:pt idx="37">
                  <c:v>79</c:v>
                </c:pt>
                <c:pt idx="38">
                  <c:v>79</c:v>
                </c:pt>
                <c:pt idx="39">
                  <c:v>79</c:v>
                </c:pt>
                <c:pt idx="40">
                  <c:v>79</c:v>
                </c:pt>
                <c:pt idx="41">
                  <c:v>79</c:v>
                </c:pt>
                <c:pt idx="42">
                  <c:v>79</c:v>
                </c:pt>
                <c:pt idx="43">
                  <c:v>79</c:v>
                </c:pt>
                <c:pt idx="44">
                  <c:v>79</c:v>
                </c:pt>
                <c:pt idx="45">
                  <c:v>79</c:v>
                </c:pt>
                <c:pt idx="46">
                  <c:v>79.0938850773662</c:v>
                </c:pt>
                <c:pt idx="47">
                  <c:v>79.3766771517072</c:v>
                </c:pt>
                <c:pt idx="48">
                  <c:v>79.8518127844371</c:v>
                </c:pt>
                <c:pt idx="49">
                  <c:v>80.5251073197091</c:v>
                </c:pt>
                <c:pt idx="50">
                  <c:v>81.4048899079556</c:v>
                </c:pt>
                <c:pt idx="51">
                  <c:v>82.5021995537097</c:v>
                </c:pt>
                <c:pt idx="52">
                  <c:v>83.8310496679757</c:v>
                </c:pt>
                <c:pt idx="53">
                  <c:v>85.408771446555</c:v>
                </c:pt>
                <c:pt idx="54">
                  <c:v>87.2564498371756</c:v>
                </c:pt>
                <c:pt idx="55">
                  <c:v>89.3994701221998</c:v>
                </c:pt>
                <c:pt idx="56">
                  <c:v>91.8681985185475</c:v>
                </c:pt>
                <c:pt idx="57">
                  <c:v>94.698827062716</c:v>
                </c:pt>
                <c:pt idx="58">
                  <c:v>97.9344219143659</c:v>
                </c:pt>
                <c:pt idx="59">
                  <c:v>101.62622576136</c:v>
                </c:pt>
                <c:pt idx="60">
                  <c:v>105.83528017208</c:v>
                </c:pt>
                <c:pt idx="61">
                  <c:v>110.634453788461</c:v>
                </c:pt>
                <c:pt idx="62">
                  <c:v>116.110988934049</c:v>
                </c:pt>
                <c:pt idx="63">
                  <c:v>122.369714943463</c:v>
                </c:pt>
                <c:pt idx="64">
                  <c:v>129.537124662032</c:v>
                </c:pt>
                <c:pt idx="65">
                  <c:v>137.766575800371</c:v>
                </c:pt>
                <c:pt idx="66">
                  <c:v>147.244967703352</c:v>
                </c:pt>
                <c:pt idx="67">
                  <c:v>158.201365758064</c:v>
                </c:pt>
                <c:pt idx="68">
                  <c:v>170.91821288943</c:v>
                </c:pt>
                <c:pt idx="69">
                  <c:v>185.745998077565</c:v>
                </c:pt>
                <c:pt idx="70">
                  <c:v>203.122569804405</c:v>
                </c:pt>
                <c:pt idx="71">
                  <c:v>223.59872015878</c:v>
                </c:pt>
                <c:pt idx="72">
                  <c:v>247.872264297462</c:v>
                </c:pt>
                <c:pt idx="73">
                  <c:v>276.833648126769</c:v>
                </c:pt>
                <c:pt idx="74">
                  <c:v>311.62717872397</c:v>
                </c:pt>
                <c:pt idx="75">
                  <c:v>353.733296390438</c:v>
                </c:pt>
                <c:pt idx="76">
                  <c:v>405.07878828695</c:v>
                </c:pt>
                <c:pt idx="77">
                  <c:v>468.183069111251</c:v>
                </c:pt>
                <c:pt idx="78">
                  <c:v>546.348472561874</c:v>
                </c:pt>
                <c:pt idx="79">
                  <c:v>643.898075349942</c:v>
                </c:pt>
                <c:pt idx="80">
                  <c:v>766.449456180008</c:v>
                </c:pt>
                <c:pt idx="81">
                  <c:v>921.173215537384</c:v>
                </c:pt>
                <c:pt idx="82">
                  <c:v>1116.89414672846</c:v>
                </c:pt>
                <c:pt idx="83">
                  <c:v>1363.7054304384</c:v>
                </c:pt>
                <c:pt idx="84">
                  <c:v>1671.43039603807</c:v>
                </c:pt>
                <c:pt idx="85">
                  <c:v>2045.80814916262</c:v>
                </c:pt>
                <c:pt idx="86">
                  <c:v>2481.07852051636</c:v>
                </c:pt>
                <c:pt idx="87">
                  <c:v>2948.94837899279</c:v>
                </c:pt>
                <c:pt idx="88">
                  <c:v>3388.79794046724</c:v>
                </c:pt>
                <c:pt idx="89">
                  <c:v>3711.81509614956</c:v>
                </c:pt>
                <c:pt idx="90">
                  <c:v>3831.73148013829</c:v>
                </c:pt>
                <c:pt idx="91">
                  <c:v>5747.59722020743</c:v>
                </c:pt>
                <c:pt idx="92">
                  <c:v>5747.59722020743</c:v>
                </c:pt>
                <c:pt idx="93">
                  <c:v>5747.59722020743</c:v>
                </c:pt>
                <c:pt idx="94">
                  <c:v>5747.59722020743</c:v>
                </c:pt>
                <c:pt idx="95">
                  <c:v>5747.59722020743</c:v>
                </c:pt>
                <c:pt idx="96">
                  <c:v>4841.13875709852</c:v>
                </c:pt>
                <c:pt idx="97">
                  <c:v>3949.84273841739</c:v>
                </c:pt>
                <c:pt idx="98">
                  <c:v>3234.97739069507</c:v>
                </c:pt>
                <c:pt idx="99">
                  <c:v>2668.09037714635</c:v>
                </c:pt>
                <c:pt idx="100">
                  <c:v>2219.94776238687</c:v>
                </c:pt>
                <c:pt idx="101">
                  <c:v>1864.98937412333</c:v>
                </c:pt>
                <c:pt idx="102">
                  <c:v>1582.44625182742</c:v>
                </c:pt>
                <c:pt idx="103">
                  <c:v>1356.04761446506</c:v>
                </c:pt>
                <c:pt idx="104">
                  <c:v>1173.2720825844</c:v>
                </c:pt>
                <c:pt idx="105">
                  <c:v>1024.5547615331</c:v>
                </c:pt>
                <c:pt idx="106">
                  <c:v>902.598406886647</c:v>
                </c:pt>
                <c:pt idx="107">
                  <c:v>801.822263369289</c:v>
                </c:pt>
                <c:pt idx="108">
                  <c:v>717.938376820614</c:v>
                </c:pt>
                <c:pt idx="109">
                  <c:v>647.632370910671</c:v>
                </c:pt>
                <c:pt idx="110">
                  <c:v>588.325153983354</c:v>
                </c:pt>
                <c:pt idx="111">
                  <c:v>537.99557097965</c:v>
                </c:pt>
                <c:pt idx="112">
                  <c:v>495.048305136953</c:v>
                </c:pt>
                <c:pt idx="113">
                  <c:v>458.215170079889</c:v>
                </c:pt>
                <c:pt idx="114">
                  <c:v>426.481007899644</c:v>
                </c:pt>
                <c:pt idx="115">
                  <c:v>399.027749597499</c:v>
                </c:pt>
                <c:pt idx="116">
                  <c:v>375.191929123072</c:v>
                </c:pt>
                <c:pt idx="117">
                  <c:v>354.432210346377</c:v>
                </c:pt>
                <c:pt idx="118">
                  <c:v>336.304407282574</c:v>
                </c:pt>
                <c:pt idx="119">
                  <c:v>320.442145467327</c:v>
                </c:pt>
                <c:pt idx="120">
                  <c:v>306.541796729276</c:v>
                </c:pt>
                <c:pt idx="121">
                  <c:v>294.350671997566</c:v>
                </c:pt>
                <c:pt idx="122">
                  <c:v>283.657714199471</c:v>
                </c:pt>
                <c:pt idx="123">
                  <c:v>274.286122253003</c:v>
                </c:pt>
                <c:pt idx="124">
                  <c:v>266.087476599193</c:v>
                </c:pt>
                <c:pt idx="125">
                  <c:v>258.937040213306</c:v>
                </c:pt>
                <c:pt idx="126">
                  <c:v>252.729986312844</c:v>
                </c:pt>
                <c:pt idx="127">
                  <c:v>247.378362046174</c:v>
                </c:pt>
                <c:pt idx="128">
                  <c:v>242.808641363636</c:v>
                </c:pt>
                <c:pt idx="129">
                  <c:v>238.959753724763</c:v>
                </c:pt>
                <c:pt idx="130">
                  <c:v>235.781500973592</c:v>
                </c:pt>
                <c:pt idx="131">
                  <c:v>233.233294601447</c:v>
                </c:pt>
                <c:pt idx="132">
                  <c:v>231.283161184361</c:v>
                </c:pt>
                <c:pt idx="133">
                  <c:v>229.90697613236</c:v>
                </c:pt>
                <c:pt idx="134">
                  <c:v>229.087895855648</c:v>
                </c:pt>
                <c:pt idx="135">
                  <c:v>228.815966681793</c:v>
                </c:pt>
                <c:pt idx="136">
                  <c:v>79</c:v>
                </c:pt>
                <c:pt idx="137">
                  <c:v>79</c:v>
                </c:pt>
                <c:pt idx="138">
                  <c:v>79</c:v>
                </c:pt>
                <c:pt idx="139">
                  <c:v>79</c:v>
                </c:pt>
                <c:pt idx="140">
                  <c:v>79</c:v>
                </c:pt>
                <c:pt idx="141">
                  <c:v>79</c:v>
                </c:pt>
                <c:pt idx="142">
                  <c:v>79</c:v>
                </c:pt>
                <c:pt idx="143">
                  <c:v>79</c:v>
                </c:pt>
                <c:pt idx="144">
                  <c:v>79</c:v>
                </c:pt>
                <c:pt idx="145">
                  <c:v>79</c:v>
                </c:pt>
                <c:pt idx="146">
                  <c:v>79</c:v>
                </c:pt>
                <c:pt idx="147">
                  <c:v>79</c:v>
                </c:pt>
                <c:pt idx="148">
                  <c:v>79</c:v>
                </c:pt>
                <c:pt idx="149">
                  <c:v>79</c:v>
                </c:pt>
                <c:pt idx="150">
                  <c:v>79</c:v>
                </c:pt>
                <c:pt idx="151">
                  <c:v>79</c:v>
                </c:pt>
                <c:pt idx="152">
                  <c:v>79</c:v>
                </c:pt>
                <c:pt idx="153">
                  <c:v>79</c:v>
                </c:pt>
                <c:pt idx="154">
                  <c:v>79</c:v>
                </c:pt>
                <c:pt idx="155">
                  <c:v>79</c:v>
                </c:pt>
                <c:pt idx="156">
                  <c:v>79</c:v>
                </c:pt>
                <c:pt idx="157">
                  <c:v>79</c:v>
                </c:pt>
                <c:pt idx="158">
                  <c:v>79</c:v>
                </c:pt>
                <c:pt idx="159">
                  <c:v>79</c:v>
                </c:pt>
                <c:pt idx="160">
                  <c:v>79</c:v>
                </c:pt>
                <c:pt idx="161">
                  <c:v>79</c:v>
                </c:pt>
                <c:pt idx="162">
                  <c:v>79</c:v>
                </c:pt>
                <c:pt idx="163">
                  <c:v>79</c:v>
                </c:pt>
                <c:pt idx="164">
                  <c:v>79</c:v>
                </c:pt>
                <c:pt idx="165">
                  <c:v>79</c:v>
                </c:pt>
                <c:pt idx="166">
                  <c:v>79</c:v>
                </c:pt>
                <c:pt idx="167">
                  <c:v>79</c:v>
                </c:pt>
                <c:pt idx="168">
                  <c:v>79</c:v>
                </c:pt>
                <c:pt idx="169">
                  <c:v>79</c:v>
                </c:pt>
                <c:pt idx="170">
                  <c:v>79</c:v>
                </c:pt>
                <c:pt idx="171">
                  <c:v>79</c:v>
                </c:pt>
                <c:pt idx="172">
                  <c:v>79</c:v>
                </c:pt>
                <c:pt idx="173">
                  <c:v>79</c:v>
                </c:pt>
                <c:pt idx="174">
                  <c:v>79</c:v>
                </c:pt>
                <c:pt idx="175">
                  <c:v>79</c:v>
                </c:pt>
                <c:pt idx="176">
                  <c:v>79</c:v>
                </c:pt>
                <c:pt idx="177">
                  <c:v>79</c:v>
                </c:pt>
                <c:pt idx="178">
                  <c:v>79</c:v>
                </c:pt>
                <c:pt idx="179">
                  <c:v>79</c:v>
                </c:pt>
                <c:pt idx="180">
                  <c:v>79</c:v>
                </c:pt>
              </c:numCache>
            </c:numRef>
          </c:yVal>
          <c:smooth val="1"/>
        </c:ser>
        <c:axId val="79331662"/>
        <c:axId val="52409749"/>
      </c:scatterChart>
      <c:valAx>
        <c:axId val="79331662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θ (°)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2409749"/>
        <c:crosses val="autoZero"/>
        <c:crossBetween val="midCat"/>
      </c:valAx>
      <c:valAx>
        <c:axId val="52409749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P (kPa)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9331662"/>
        <c:crosses val="autoZero"/>
        <c:crossBetween val="midCat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Temperatura del gas vs. ángulo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"/>
        <c:varyColors val="0"/>
        <c:ser>
          <c:idx val="0"/>
          <c:order val="0"/>
          <c:tx>
            <c:strRef>
              <c:f>"T (K)"</c:f>
              <c:strCache>
                <c:ptCount val="1"/>
                <c:pt idx="0">
                  <c:v>T (K)</c:v>
                </c:pt>
              </c:strCache>
            </c:strRef>
          </c:tx>
          <c:spPr>
            <a:solidFill>
              <a:srgbClr val="c55a11"/>
            </a:solidFill>
            <a:ln w="24840">
              <a:solidFill>
                <a:srgbClr val="c55a11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Angulo!$A$5:$A$185</c:f>
              <c:numCache>
                <c:formatCode>0</c:formatCode>
                <c:ptCount val="181"/>
                <c:pt idx="0">
                  <c:v>0</c:v>
                </c:pt>
                <c:pt idx="1">
                  <c:v>4</c:v>
                </c:pt>
                <c:pt idx="2">
                  <c:v>8</c:v>
                </c:pt>
                <c:pt idx="3">
                  <c:v>12</c:v>
                </c:pt>
                <c:pt idx="4">
                  <c:v>16</c:v>
                </c:pt>
                <c:pt idx="5">
                  <c:v>20</c:v>
                </c:pt>
                <c:pt idx="6">
                  <c:v>24</c:v>
                </c:pt>
                <c:pt idx="7">
                  <c:v>28</c:v>
                </c:pt>
                <c:pt idx="8">
                  <c:v>32</c:v>
                </c:pt>
                <c:pt idx="9">
                  <c:v>36</c:v>
                </c:pt>
                <c:pt idx="10">
                  <c:v>40</c:v>
                </c:pt>
                <c:pt idx="11">
                  <c:v>44</c:v>
                </c:pt>
                <c:pt idx="12">
                  <c:v>48</c:v>
                </c:pt>
                <c:pt idx="13">
                  <c:v>52</c:v>
                </c:pt>
                <c:pt idx="14">
                  <c:v>56</c:v>
                </c:pt>
                <c:pt idx="15">
                  <c:v>60</c:v>
                </c:pt>
                <c:pt idx="16">
                  <c:v>64</c:v>
                </c:pt>
                <c:pt idx="17">
                  <c:v>68</c:v>
                </c:pt>
                <c:pt idx="18">
                  <c:v>72</c:v>
                </c:pt>
                <c:pt idx="19">
                  <c:v>76</c:v>
                </c:pt>
                <c:pt idx="20">
                  <c:v>80</c:v>
                </c:pt>
                <c:pt idx="21">
                  <c:v>84</c:v>
                </c:pt>
                <c:pt idx="22">
                  <c:v>88</c:v>
                </c:pt>
                <c:pt idx="23">
                  <c:v>92</c:v>
                </c:pt>
                <c:pt idx="24">
                  <c:v>96</c:v>
                </c:pt>
                <c:pt idx="25">
                  <c:v>100</c:v>
                </c:pt>
                <c:pt idx="26">
                  <c:v>104</c:v>
                </c:pt>
                <c:pt idx="27">
                  <c:v>108</c:v>
                </c:pt>
                <c:pt idx="28">
                  <c:v>112</c:v>
                </c:pt>
                <c:pt idx="29">
                  <c:v>116</c:v>
                </c:pt>
                <c:pt idx="30">
                  <c:v>120</c:v>
                </c:pt>
                <c:pt idx="31">
                  <c:v>124</c:v>
                </c:pt>
                <c:pt idx="32">
                  <c:v>128</c:v>
                </c:pt>
                <c:pt idx="33">
                  <c:v>132</c:v>
                </c:pt>
                <c:pt idx="34">
                  <c:v>136</c:v>
                </c:pt>
                <c:pt idx="35">
                  <c:v>140</c:v>
                </c:pt>
                <c:pt idx="36">
                  <c:v>144</c:v>
                </c:pt>
                <c:pt idx="37">
                  <c:v>148</c:v>
                </c:pt>
                <c:pt idx="38">
                  <c:v>152</c:v>
                </c:pt>
                <c:pt idx="39">
                  <c:v>156</c:v>
                </c:pt>
                <c:pt idx="40">
                  <c:v>160</c:v>
                </c:pt>
                <c:pt idx="41">
                  <c:v>164</c:v>
                </c:pt>
                <c:pt idx="42">
                  <c:v>168</c:v>
                </c:pt>
                <c:pt idx="43">
                  <c:v>172</c:v>
                </c:pt>
                <c:pt idx="44">
                  <c:v>176</c:v>
                </c:pt>
                <c:pt idx="45">
                  <c:v>180</c:v>
                </c:pt>
                <c:pt idx="46">
                  <c:v>184</c:v>
                </c:pt>
                <c:pt idx="47">
                  <c:v>188</c:v>
                </c:pt>
                <c:pt idx="48">
                  <c:v>192</c:v>
                </c:pt>
                <c:pt idx="49">
                  <c:v>196</c:v>
                </c:pt>
                <c:pt idx="50">
                  <c:v>200</c:v>
                </c:pt>
                <c:pt idx="51">
                  <c:v>204</c:v>
                </c:pt>
                <c:pt idx="52">
                  <c:v>208</c:v>
                </c:pt>
                <c:pt idx="53">
                  <c:v>212</c:v>
                </c:pt>
                <c:pt idx="54">
                  <c:v>216</c:v>
                </c:pt>
                <c:pt idx="55">
                  <c:v>220</c:v>
                </c:pt>
                <c:pt idx="56">
                  <c:v>224</c:v>
                </c:pt>
                <c:pt idx="57">
                  <c:v>228</c:v>
                </c:pt>
                <c:pt idx="58">
                  <c:v>232</c:v>
                </c:pt>
                <c:pt idx="59">
                  <c:v>236</c:v>
                </c:pt>
                <c:pt idx="60">
                  <c:v>240</c:v>
                </c:pt>
                <c:pt idx="61">
                  <c:v>244</c:v>
                </c:pt>
                <c:pt idx="62">
                  <c:v>248</c:v>
                </c:pt>
                <c:pt idx="63">
                  <c:v>252</c:v>
                </c:pt>
                <c:pt idx="64">
                  <c:v>256</c:v>
                </c:pt>
                <c:pt idx="65">
                  <c:v>260</c:v>
                </c:pt>
                <c:pt idx="66">
                  <c:v>264</c:v>
                </c:pt>
                <c:pt idx="67">
                  <c:v>268</c:v>
                </c:pt>
                <c:pt idx="68">
                  <c:v>272</c:v>
                </c:pt>
                <c:pt idx="69">
                  <c:v>276</c:v>
                </c:pt>
                <c:pt idx="70">
                  <c:v>280</c:v>
                </c:pt>
                <c:pt idx="71">
                  <c:v>284</c:v>
                </c:pt>
                <c:pt idx="72">
                  <c:v>288</c:v>
                </c:pt>
                <c:pt idx="73">
                  <c:v>292</c:v>
                </c:pt>
                <c:pt idx="74">
                  <c:v>296</c:v>
                </c:pt>
                <c:pt idx="75">
                  <c:v>300</c:v>
                </c:pt>
                <c:pt idx="76">
                  <c:v>304</c:v>
                </c:pt>
                <c:pt idx="77">
                  <c:v>308</c:v>
                </c:pt>
                <c:pt idx="78">
                  <c:v>312</c:v>
                </c:pt>
                <c:pt idx="79">
                  <c:v>316</c:v>
                </c:pt>
                <c:pt idx="80">
                  <c:v>320</c:v>
                </c:pt>
                <c:pt idx="81">
                  <c:v>324</c:v>
                </c:pt>
                <c:pt idx="82">
                  <c:v>328</c:v>
                </c:pt>
                <c:pt idx="83">
                  <c:v>332</c:v>
                </c:pt>
                <c:pt idx="84">
                  <c:v>336</c:v>
                </c:pt>
                <c:pt idx="85">
                  <c:v>340</c:v>
                </c:pt>
                <c:pt idx="86">
                  <c:v>344</c:v>
                </c:pt>
                <c:pt idx="87">
                  <c:v>348</c:v>
                </c:pt>
                <c:pt idx="88">
                  <c:v>352</c:v>
                </c:pt>
                <c:pt idx="89">
                  <c:v>356</c:v>
                </c:pt>
                <c:pt idx="90">
                  <c:v>360</c:v>
                </c:pt>
                <c:pt idx="91">
                  <c:v>364</c:v>
                </c:pt>
                <c:pt idx="92">
                  <c:v>368</c:v>
                </c:pt>
                <c:pt idx="93">
                  <c:v>372</c:v>
                </c:pt>
                <c:pt idx="94">
                  <c:v>376</c:v>
                </c:pt>
                <c:pt idx="95">
                  <c:v>380</c:v>
                </c:pt>
                <c:pt idx="96">
                  <c:v>384</c:v>
                </c:pt>
                <c:pt idx="97">
                  <c:v>388</c:v>
                </c:pt>
                <c:pt idx="98">
                  <c:v>392</c:v>
                </c:pt>
                <c:pt idx="99">
                  <c:v>396</c:v>
                </c:pt>
                <c:pt idx="100">
                  <c:v>400</c:v>
                </c:pt>
                <c:pt idx="101">
                  <c:v>404</c:v>
                </c:pt>
                <c:pt idx="102">
                  <c:v>408</c:v>
                </c:pt>
                <c:pt idx="103">
                  <c:v>412</c:v>
                </c:pt>
                <c:pt idx="104">
                  <c:v>416</c:v>
                </c:pt>
                <c:pt idx="105">
                  <c:v>420</c:v>
                </c:pt>
                <c:pt idx="106">
                  <c:v>424</c:v>
                </c:pt>
                <c:pt idx="107">
                  <c:v>428</c:v>
                </c:pt>
                <c:pt idx="108">
                  <c:v>432</c:v>
                </c:pt>
                <c:pt idx="109">
                  <c:v>436</c:v>
                </c:pt>
                <c:pt idx="110">
                  <c:v>440</c:v>
                </c:pt>
                <c:pt idx="111">
                  <c:v>444</c:v>
                </c:pt>
                <c:pt idx="112">
                  <c:v>448</c:v>
                </c:pt>
                <c:pt idx="113">
                  <c:v>452</c:v>
                </c:pt>
                <c:pt idx="114">
                  <c:v>456</c:v>
                </c:pt>
                <c:pt idx="115">
                  <c:v>460</c:v>
                </c:pt>
                <c:pt idx="116">
                  <c:v>464</c:v>
                </c:pt>
                <c:pt idx="117">
                  <c:v>468</c:v>
                </c:pt>
                <c:pt idx="118">
                  <c:v>472</c:v>
                </c:pt>
                <c:pt idx="119">
                  <c:v>476</c:v>
                </c:pt>
                <c:pt idx="120">
                  <c:v>480</c:v>
                </c:pt>
                <c:pt idx="121">
                  <c:v>484</c:v>
                </c:pt>
                <c:pt idx="122">
                  <c:v>488</c:v>
                </c:pt>
                <c:pt idx="123">
                  <c:v>492</c:v>
                </c:pt>
                <c:pt idx="124">
                  <c:v>496</c:v>
                </c:pt>
                <c:pt idx="125">
                  <c:v>500</c:v>
                </c:pt>
                <c:pt idx="126">
                  <c:v>504</c:v>
                </c:pt>
                <c:pt idx="127">
                  <c:v>508</c:v>
                </c:pt>
                <c:pt idx="128">
                  <c:v>512</c:v>
                </c:pt>
                <c:pt idx="129">
                  <c:v>516</c:v>
                </c:pt>
                <c:pt idx="130">
                  <c:v>520</c:v>
                </c:pt>
                <c:pt idx="131">
                  <c:v>524</c:v>
                </c:pt>
                <c:pt idx="132">
                  <c:v>528</c:v>
                </c:pt>
                <c:pt idx="133">
                  <c:v>532</c:v>
                </c:pt>
                <c:pt idx="134">
                  <c:v>536</c:v>
                </c:pt>
                <c:pt idx="135">
                  <c:v>540</c:v>
                </c:pt>
                <c:pt idx="136">
                  <c:v>544</c:v>
                </c:pt>
                <c:pt idx="137">
                  <c:v>548</c:v>
                </c:pt>
                <c:pt idx="138">
                  <c:v>552</c:v>
                </c:pt>
                <c:pt idx="139">
                  <c:v>556</c:v>
                </c:pt>
                <c:pt idx="140">
                  <c:v>560</c:v>
                </c:pt>
                <c:pt idx="141">
                  <c:v>564</c:v>
                </c:pt>
                <c:pt idx="142">
                  <c:v>568</c:v>
                </c:pt>
                <c:pt idx="143">
                  <c:v>572</c:v>
                </c:pt>
                <c:pt idx="144">
                  <c:v>576</c:v>
                </c:pt>
                <c:pt idx="145">
                  <c:v>580</c:v>
                </c:pt>
                <c:pt idx="146">
                  <c:v>584</c:v>
                </c:pt>
                <c:pt idx="147">
                  <c:v>588</c:v>
                </c:pt>
                <c:pt idx="148">
                  <c:v>592</c:v>
                </c:pt>
                <c:pt idx="149">
                  <c:v>596</c:v>
                </c:pt>
                <c:pt idx="150">
                  <c:v>600</c:v>
                </c:pt>
                <c:pt idx="151">
                  <c:v>604</c:v>
                </c:pt>
                <c:pt idx="152">
                  <c:v>608</c:v>
                </c:pt>
                <c:pt idx="153">
                  <c:v>612</c:v>
                </c:pt>
                <c:pt idx="154">
                  <c:v>616</c:v>
                </c:pt>
                <c:pt idx="155">
                  <c:v>620</c:v>
                </c:pt>
                <c:pt idx="156">
                  <c:v>624</c:v>
                </c:pt>
                <c:pt idx="157">
                  <c:v>628</c:v>
                </c:pt>
                <c:pt idx="158">
                  <c:v>632</c:v>
                </c:pt>
                <c:pt idx="159">
                  <c:v>636</c:v>
                </c:pt>
                <c:pt idx="160">
                  <c:v>640</c:v>
                </c:pt>
                <c:pt idx="161">
                  <c:v>644</c:v>
                </c:pt>
                <c:pt idx="162">
                  <c:v>648</c:v>
                </c:pt>
                <c:pt idx="163">
                  <c:v>652</c:v>
                </c:pt>
                <c:pt idx="164">
                  <c:v>656</c:v>
                </c:pt>
                <c:pt idx="165">
                  <c:v>660</c:v>
                </c:pt>
                <c:pt idx="166">
                  <c:v>664</c:v>
                </c:pt>
                <c:pt idx="167">
                  <c:v>668</c:v>
                </c:pt>
                <c:pt idx="168">
                  <c:v>672</c:v>
                </c:pt>
                <c:pt idx="169">
                  <c:v>676</c:v>
                </c:pt>
                <c:pt idx="170">
                  <c:v>680</c:v>
                </c:pt>
                <c:pt idx="171">
                  <c:v>684</c:v>
                </c:pt>
                <c:pt idx="172">
                  <c:v>688</c:v>
                </c:pt>
                <c:pt idx="173">
                  <c:v>692</c:v>
                </c:pt>
                <c:pt idx="174">
                  <c:v>696</c:v>
                </c:pt>
                <c:pt idx="175">
                  <c:v>700</c:v>
                </c:pt>
                <c:pt idx="176">
                  <c:v>704</c:v>
                </c:pt>
                <c:pt idx="177">
                  <c:v>708</c:v>
                </c:pt>
                <c:pt idx="178">
                  <c:v>712</c:v>
                </c:pt>
                <c:pt idx="179">
                  <c:v>716</c:v>
                </c:pt>
                <c:pt idx="180">
                  <c:v>720</c:v>
                </c:pt>
              </c:numCache>
            </c:numRef>
          </c:xVal>
          <c:yVal>
            <c:numRef>
              <c:f>Angulo!$E$5:$E$185</c:f>
              <c:numCache>
                <c:formatCode>0.00</c:formatCode>
                <c:ptCount val="181"/>
                <c:pt idx="0">
                  <c:v>300</c:v>
                </c:pt>
                <c:pt idx="1">
                  <c:v>300</c:v>
                </c:pt>
                <c:pt idx="2">
                  <c:v>300</c:v>
                </c:pt>
                <c:pt idx="3">
                  <c:v>300</c:v>
                </c:pt>
                <c:pt idx="4">
                  <c:v>300</c:v>
                </c:pt>
                <c:pt idx="5">
                  <c:v>300</c:v>
                </c:pt>
                <c:pt idx="6">
                  <c:v>300</c:v>
                </c:pt>
                <c:pt idx="7">
                  <c:v>300</c:v>
                </c:pt>
                <c:pt idx="8">
                  <c:v>300</c:v>
                </c:pt>
                <c:pt idx="9">
                  <c:v>300</c:v>
                </c:pt>
                <c:pt idx="10">
                  <c:v>300</c:v>
                </c:pt>
                <c:pt idx="11">
                  <c:v>300</c:v>
                </c:pt>
                <c:pt idx="12">
                  <c:v>300</c:v>
                </c:pt>
                <c:pt idx="13">
                  <c:v>300</c:v>
                </c:pt>
                <c:pt idx="14">
                  <c:v>300</c:v>
                </c:pt>
                <c:pt idx="15">
                  <c:v>300</c:v>
                </c:pt>
                <c:pt idx="16">
                  <c:v>300</c:v>
                </c:pt>
                <c:pt idx="17">
                  <c:v>300</c:v>
                </c:pt>
                <c:pt idx="18">
                  <c:v>300</c:v>
                </c:pt>
                <c:pt idx="19">
                  <c:v>300</c:v>
                </c:pt>
                <c:pt idx="20">
                  <c:v>300</c:v>
                </c:pt>
                <c:pt idx="21">
                  <c:v>300</c:v>
                </c:pt>
                <c:pt idx="22">
                  <c:v>300</c:v>
                </c:pt>
                <c:pt idx="23">
                  <c:v>300</c:v>
                </c:pt>
                <c:pt idx="24">
                  <c:v>300</c:v>
                </c:pt>
                <c:pt idx="25">
                  <c:v>300</c:v>
                </c:pt>
                <c:pt idx="26">
                  <c:v>300</c:v>
                </c:pt>
                <c:pt idx="27">
                  <c:v>300</c:v>
                </c:pt>
                <c:pt idx="28">
                  <c:v>300</c:v>
                </c:pt>
                <c:pt idx="29">
                  <c:v>300</c:v>
                </c:pt>
                <c:pt idx="30">
                  <c:v>300</c:v>
                </c:pt>
                <c:pt idx="31">
                  <c:v>300</c:v>
                </c:pt>
                <c:pt idx="32">
                  <c:v>300</c:v>
                </c:pt>
                <c:pt idx="33">
                  <c:v>300</c:v>
                </c:pt>
                <c:pt idx="34">
                  <c:v>300</c:v>
                </c:pt>
                <c:pt idx="35">
                  <c:v>300</c:v>
                </c:pt>
                <c:pt idx="36">
                  <c:v>300</c:v>
                </c:pt>
                <c:pt idx="37">
                  <c:v>300</c:v>
                </c:pt>
                <c:pt idx="38">
                  <c:v>300</c:v>
                </c:pt>
                <c:pt idx="39">
                  <c:v>300</c:v>
                </c:pt>
                <c:pt idx="40">
                  <c:v>300</c:v>
                </c:pt>
                <c:pt idx="41">
                  <c:v>300</c:v>
                </c:pt>
                <c:pt idx="42">
                  <c:v>300</c:v>
                </c:pt>
                <c:pt idx="43">
                  <c:v>300</c:v>
                </c:pt>
                <c:pt idx="44">
                  <c:v>300</c:v>
                </c:pt>
                <c:pt idx="45">
                  <c:v>300</c:v>
                </c:pt>
                <c:pt idx="46">
                  <c:v>300.101821254541</c:v>
                </c:pt>
                <c:pt idx="47">
                  <c:v>300.407997241502</c:v>
                </c:pt>
                <c:pt idx="48">
                  <c:v>300.920671927885</c:v>
                </c:pt>
                <c:pt idx="49">
                  <c:v>301.643443035625</c:v>
                </c:pt>
                <c:pt idx="50">
                  <c:v>302.581399133569</c:v>
                </c:pt>
                <c:pt idx="51">
                  <c:v>303.741172439927</c:v>
                </c:pt>
                <c:pt idx="52">
                  <c:v>305.131008257514</c:v>
                </c:pt>
                <c:pt idx="53">
                  <c:v>306.760852299539</c:v>
                </c:pt>
                <c:pt idx="54">
                  <c:v>308.642457557044</c:v>
                </c:pt>
                <c:pt idx="55">
                  <c:v>310.789512827638</c:v>
                </c:pt>
                <c:pt idx="56">
                  <c:v>313.217795588508</c:v>
                </c:pt>
                <c:pt idx="57">
                  <c:v>315.94535257718</c:v>
                </c:pt>
                <c:pt idx="58">
                  <c:v>318.992712266114</c:v>
                </c:pt>
                <c:pt idx="59">
                  <c:v>322.383134409736</c:v>
                </c:pt>
                <c:pt idx="60">
                  <c:v>326.142903034998</c:v>
                </c:pt>
                <c:pt idx="61">
                  <c:v>330.301670670367</c:v>
                </c:pt>
                <c:pt idx="62">
                  <c:v>334.892863294715</c:v>
                </c:pt>
                <c:pt idx="63">
                  <c:v>339.954157464021</c:v>
                </c:pt>
                <c:pt idx="64">
                  <c:v>345.528043357805</c:v>
                </c:pt>
                <c:pt idx="65">
                  <c:v>351.662490073593</c:v>
                </c:pt>
                <c:pt idx="66">
                  <c:v>358.411732337713</c:v>
                </c:pt>
                <c:pt idx="67">
                  <c:v>365.837200761079</c:v>
                </c:pt>
                <c:pt idx="68">
                  <c:v>374.008620560989</c:v>
                </c:pt>
                <c:pt idx="69">
                  <c:v>383.005305724073</c:v>
                </c:pt>
                <c:pt idx="70">
                  <c:v>392.917675826576</c:v>
                </c:pt>
                <c:pt idx="71">
                  <c:v>403.849019186531</c:v>
                </c:pt>
                <c:pt idx="72">
                  <c:v>415.917515149614</c:v>
                </c:pt>
                <c:pt idx="73">
                  <c:v>429.25850378616</c:v>
                </c:pt>
                <c:pt idx="74">
                  <c:v>444.026941929186</c:v>
                </c:pt>
                <c:pt idx="75">
                  <c:v>460.399890690657</c:v>
                </c:pt>
                <c:pt idx="76">
                  <c:v>478.578707127037</c:v>
                </c:pt>
                <c:pt idx="77">
                  <c:v>498.790302460733</c:v>
                </c:pt>
                <c:pt idx="78">
                  <c:v>521.286280744116</c:v>
                </c:pt>
                <c:pt idx="79">
                  <c:v>546.337819381095</c:v>
                </c:pt>
                <c:pt idx="80">
                  <c:v>574.222538121451</c:v>
                </c:pt>
                <c:pt idx="81">
                  <c:v>605.196967788251</c:v>
                </c:pt>
                <c:pt idx="82">
                  <c:v>639.444213212773</c:v>
                </c:pt>
                <c:pt idx="83">
                  <c:v>676.981084618916</c:v>
                </c:pt>
                <c:pt idx="84">
                  <c:v>717.504213887437</c:v>
                </c:pt>
                <c:pt idx="85">
                  <c:v>760.157328839772</c:v>
                </c:pt>
                <c:pt idx="86">
                  <c:v>803.228989038413</c:v>
                </c:pt>
                <c:pt idx="87">
                  <c:v>843.870029625694</c:v>
                </c:pt>
                <c:pt idx="88">
                  <c:v>878.064793464142</c:v>
                </c:pt>
                <c:pt idx="89">
                  <c:v>901.205628418936</c:v>
                </c:pt>
                <c:pt idx="90">
                  <c:v>909.429939906239</c:v>
                </c:pt>
                <c:pt idx="91">
                  <c:v>1395.48087136915</c:v>
                </c:pt>
                <c:pt idx="92">
                  <c:v>1489.24865239403</c:v>
                </c:pt>
                <c:pt idx="93">
                  <c:v>1644.73039645055</c:v>
                </c:pt>
                <c:pt idx="94">
                  <c:v>1860.73784703372</c:v>
                </c:pt>
                <c:pt idx="95">
                  <c:v>2135.62457063636</c:v>
                </c:pt>
                <c:pt idx="96">
                  <c:v>2078.18253542929</c:v>
                </c:pt>
                <c:pt idx="97">
                  <c:v>1960.81115572615</c:v>
                </c:pt>
                <c:pt idx="98">
                  <c:v>1852.08918715644</c:v>
                </c:pt>
                <c:pt idx="99">
                  <c:v>1752.89530654884</c:v>
                </c:pt>
                <c:pt idx="100">
                  <c:v>1663.18082469281</c:v>
                </c:pt>
                <c:pt idx="101">
                  <c:v>1582.41539590516</c:v>
                </c:pt>
                <c:pt idx="102">
                  <c:v>1509.85600311926</c:v>
                </c:pt>
                <c:pt idx="103">
                  <c:v>1444.69854720324</c:v>
                </c:pt>
                <c:pt idx="104">
                  <c:v>1386.15758866577</c:v>
                </c:pt>
                <c:pt idx="105">
                  <c:v>1333.5043803617</c:v>
                </c:pt>
                <c:pt idx="106">
                  <c:v>1286.08169557325</c:v>
                </c:pt>
                <c:pt idx="107">
                  <c:v>1243.30632278747</c:v>
                </c:pt>
                <c:pt idx="108">
                  <c:v>1204.66542137782</c:v>
                </c:pt>
                <c:pt idx="109">
                  <c:v>1169.71017365392</c:v>
                </c:pt>
                <c:pt idx="110">
                  <c:v>1138.04858000786</c:v>
                </c:pt>
                <c:pt idx="111">
                  <c:v>1109.3383452343</c:v>
                </c:pt>
                <c:pt idx="112">
                  <c:v>1083.28030456945</c:v>
                </c:pt>
                <c:pt idx="113">
                  <c:v>1059.612566333</c:v>
                </c:pt>
                <c:pt idx="114">
                  <c:v>1038.10540512595</c:v>
                </c:pt>
                <c:pt idx="115">
                  <c:v>1018.55686850526</c:v>
                </c:pt>
                <c:pt idx="116">
                  <c:v>1000.78902856436</c:v>
                </c:pt>
                <c:pt idx="117">
                  <c:v>984.644799590182</c:v>
                </c:pt>
                <c:pt idx="118">
                  <c:v>969.985243665996</c:v>
                </c:pt>
                <c:pt idx="119">
                  <c:v>956.687292038623</c:v>
                </c:pt>
                <c:pt idx="120">
                  <c:v>944.641818156444</c:v>
                </c:pt>
                <c:pt idx="121">
                  <c:v>933.752006859115</c:v>
                </c:pt>
                <c:pt idx="122">
                  <c:v>923.93197242554</c:v>
                </c:pt>
                <c:pt idx="123">
                  <c:v>915.105585678067</c:v>
                </c:pt>
                <c:pt idx="124">
                  <c:v>907.205476956007</c:v>
                </c:pt>
                <c:pt idx="125">
                  <c:v>900.172187496447</c:v>
                </c:pt>
                <c:pt idx="126">
                  <c:v>893.953446645053</c:v>
                </c:pt>
                <c:pt idx="127">
                  <c:v>888.503556443665</c:v>
                </c:pt>
                <c:pt idx="128">
                  <c:v>883.782868595356</c:v>
                </c:pt>
                <c:pt idx="129">
                  <c:v>879.757341682316</c:v>
                </c:pt>
                <c:pt idx="130">
                  <c:v>876.398168894644</c:v>
                </c:pt>
                <c:pt idx="131">
                  <c:v>873.681468498996</c:v>
                </c:pt>
                <c:pt idx="132">
                  <c:v>871.588030907768</c:v>
                </c:pt>
                <c:pt idx="133">
                  <c:v>870.103117566525</c:v>
                </c:pt>
                <c:pt idx="134">
                  <c:v>869.216308016765</c:v>
                </c:pt>
                <c:pt idx="135">
                  <c:v>868.921392462504</c:v>
                </c:pt>
                <c:pt idx="136">
                  <c:v>300</c:v>
                </c:pt>
                <c:pt idx="137">
                  <c:v>300</c:v>
                </c:pt>
                <c:pt idx="138">
                  <c:v>300</c:v>
                </c:pt>
                <c:pt idx="139">
                  <c:v>300</c:v>
                </c:pt>
                <c:pt idx="140">
                  <c:v>300</c:v>
                </c:pt>
                <c:pt idx="141">
                  <c:v>300</c:v>
                </c:pt>
                <c:pt idx="142">
                  <c:v>300</c:v>
                </c:pt>
                <c:pt idx="143">
                  <c:v>300</c:v>
                </c:pt>
                <c:pt idx="144">
                  <c:v>300</c:v>
                </c:pt>
                <c:pt idx="145">
                  <c:v>300</c:v>
                </c:pt>
                <c:pt idx="146">
                  <c:v>300</c:v>
                </c:pt>
                <c:pt idx="147">
                  <c:v>300</c:v>
                </c:pt>
                <c:pt idx="148">
                  <c:v>300</c:v>
                </c:pt>
                <c:pt idx="149">
                  <c:v>300</c:v>
                </c:pt>
                <c:pt idx="150">
                  <c:v>300</c:v>
                </c:pt>
                <c:pt idx="151">
                  <c:v>300</c:v>
                </c:pt>
                <c:pt idx="152">
                  <c:v>300</c:v>
                </c:pt>
                <c:pt idx="153">
                  <c:v>300</c:v>
                </c:pt>
                <c:pt idx="154">
                  <c:v>300</c:v>
                </c:pt>
                <c:pt idx="155">
                  <c:v>300</c:v>
                </c:pt>
                <c:pt idx="156">
                  <c:v>300</c:v>
                </c:pt>
                <c:pt idx="157">
                  <c:v>300</c:v>
                </c:pt>
                <c:pt idx="158">
                  <c:v>300</c:v>
                </c:pt>
                <c:pt idx="159">
                  <c:v>300</c:v>
                </c:pt>
                <c:pt idx="160">
                  <c:v>300</c:v>
                </c:pt>
                <c:pt idx="161">
                  <c:v>300</c:v>
                </c:pt>
                <c:pt idx="162">
                  <c:v>300</c:v>
                </c:pt>
                <c:pt idx="163">
                  <c:v>300</c:v>
                </c:pt>
                <c:pt idx="164">
                  <c:v>300</c:v>
                </c:pt>
                <c:pt idx="165">
                  <c:v>300</c:v>
                </c:pt>
                <c:pt idx="166">
                  <c:v>300</c:v>
                </c:pt>
                <c:pt idx="167">
                  <c:v>300</c:v>
                </c:pt>
                <c:pt idx="168">
                  <c:v>300</c:v>
                </c:pt>
                <c:pt idx="169">
                  <c:v>300</c:v>
                </c:pt>
                <c:pt idx="170">
                  <c:v>300</c:v>
                </c:pt>
                <c:pt idx="171">
                  <c:v>300</c:v>
                </c:pt>
                <c:pt idx="172">
                  <c:v>300</c:v>
                </c:pt>
                <c:pt idx="173">
                  <c:v>300</c:v>
                </c:pt>
                <c:pt idx="174">
                  <c:v>300</c:v>
                </c:pt>
                <c:pt idx="175">
                  <c:v>300</c:v>
                </c:pt>
                <c:pt idx="176">
                  <c:v>300</c:v>
                </c:pt>
                <c:pt idx="177">
                  <c:v>300</c:v>
                </c:pt>
                <c:pt idx="178">
                  <c:v>300</c:v>
                </c:pt>
                <c:pt idx="179">
                  <c:v>300</c:v>
                </c:pt>
                <c:pt idx="180">
                  <c:v>300</c:v>
                </c:pt>
              </c:numCache>
            </c:numRef>
          </c:yVal>
          <c:smooth val="1"/>
        </c:ser>
        <c:axId val="83811598"/>
        <c:axId val="9629258"/>
      </c:scatterChart>
      <c:valAx>
        <c:axId val="83811598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θ (°)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629258"/>
        <c:crosses val="autoZero"/>
        <c:crossBetween val="midCat"/>
      </c:valAx>
      <c:valAx>
        <c:axId val="9629258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T (K)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3811598"/>
        <c:crosses val="autoZero"/>
        <c:crossBetween val="midCat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Eficiencia ideal: Otto, Diesel y dual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Marker"/>
        <c:varyColors val="0"/>
        <c:ser>
          <c:idx val="0"/>
          <c:order val="0"/>
          <c:tx>
            <c:strRef>
              <c:f>"Otto"</c:f>
              <c:strCache>
                <c:ptCount val="1"/>
                <c:pt idx="0">
                  <c:v>Otto</c:v>
                </c:pt>
              </c:strCache>
            </c:strRef>
          </c:tx>
          <c:spPr>
            <a:solidFill>
              <a:srgbClr val="000000"/>
            </a:solidFill>
            <a:ln w="24840">
              <a:solidFill>
                <a:srgbClr val="000000"/>
              </a:solidFill>
              <a:round/>
            </a:ln>
          </c:spPr>
          <c:marker>
            <c:symbol val="circle"/>
            <c:size val="5"/>
            <c:spPr>
              <a:solidFill>
                <a:srgbClr val="000000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Parametrico!$A$5:$A$21</c:f>
              <c:numCache>
                <c:formatCode>0</c:formatCode>
                <c:ptCount val="17"/>
                <c:pt idx="0">
                  <c:v>8</c:v>
                </c:pt>
                <c:pt idx="1">
                  <c:v>9</c:v>
                </c:pt>
                <c:pt idx="2">
                  <c:v>10</c:v>
                </c:pt>
                <c:pt idx="3">
                  <c:v>11</c:v>
                </c:pt>
                <c:pt idx="4">
                  <c:v>12</c:v>
                </c:pt>
                <c:pt idx="5">
                  <c:v>13</c:v>
                </c:pt>
                <c:pt idx="6">
                  <c:v>14</c:v>
                </c:pt>
                <c:pt idx="7">
                  <c:v>15</c:v>
                </c:pt>
                <c:pt idx="8">
                  <c:v>16</c:v>
                </c:pt>
                <c:pt idx="9">
                  <c:v>17</c:v>
                </c:pt>
                <c:pt idx="10">
                  <c:v>18</c:v>
                </c:pt>
                <c:pt idx="11">
                  <c:v>19</c:v>
                </c:pt>
                <c:pt idx="12">
                  <c:v>20</c:v>
                </c:pt>
                <c:pt idx="13">
                  <c:v>21</c:v>
                </c:pt>
                <c:pt idx="14">
                  <c:v>22</c:v>
                </c:pt>
                <c:pt idx="15">
                  <c:v>23</c:v>
                </c:pt>
                <c:pt idx="16">
                  <c:v>24</c:v>
                </c:pt>
              </c:numCache>
            </c:numRef>
          </c:xVal>
          <c:yVal>
            <c:numRef>
              <c:f>Parametrico!$B$5:$B$21</c:f>
              <c:numCache>
                <c:formatCode>0.00</c:formatCode>
                <c:ptCount val="17"/>
                <c:pt idx="0">
                  <c:v>56.4724718351938</c:v>
                </c:pt>
                <c:pt idx="1">
                  <c:v>58.4756353461494</c:v>
                </c:pt>
                <c:pt idx="2">
                  <c:v>60.1892829446503</c:v>
                </c:pt>
                <c:pt idx="3">
                  <c:v>61.6784624264373</c:v>
                </c:pt>
                <c:pt idx="4">
                  <c:v>62.9892827512847</c:v>
                </c:pt>
                <c:pt idx="5">
                  <c:v>64.1554890766456</c:v>
                </c:pt>
                <c:pt idx="6">
                  <c:v>65.2024405302363</c:v>
                </c:pt>
                <c:pt idx="7">
                  <c:v>66.1496240534173</c:v>
                </c:pt>
                <c:pt idx="8">
                  <c:v>67.0123022306776</c:v>
                </c:pt>
                <c:pt idx="9">
                  <c:v>67.8026275475383</c:v>
                </c:pt>
                <c:pt idx="10">
                  <c:v>68.5304162901699</c:v>
                </c:pt>
                <c:pt idx="11">
                  <c:v>69.203698724162</c:v>
                </c:pt>
                <c:pt idx="12">
                  <c:v>69.8291183172742</c:v>
                </c:pt>
                <c:pt idx="13">
                  <c:v>70.4122267268536</c:v>
                </c:pt>
                <c:pt idx="14">
                  <c:v>70.9577053228001</c:v>
                </c:pt>
                <c:pt idx="15">
                  <c:v>71.469533976018</c:v>
                </c:pt>
                <c:pt idx="16">
                  <c:v>71.951121363845</c:v>
                </c:pt>
              </c:numCache>
            </c:numRef>
          </c:yVal>
          <c:smooth val="1"/>
        </c:ser>
        <c:ser>
          <c:idx val="1"/>
          <c:order val="1"/>
          <c:tx>
            <c:strRef>
              <c:f>"Diesel"</c:f>
              <c:strCache>
                <c:ptCount val="1"/>
                <c:pt idx="0">
                  <c:v>Diesel</c:v>
                </c:pt>
              </c:strCache>
            </c:strRef>
          </c:tx>
          <c:spPr>
            <a:solidFill>
              <a:srgbClr val="2f5597"/>
            </a:solidFill>
            <a:ln w="24840">
              <a:solidFill>
                <a:srgbClr val="2f5597"/>
              </a:solidFill>
              <a:round/>
            </a:ln>
          </c:spPr>
          <c:marker>
            <c:symbol val="circle"/>
            <c:size val="5"/>
            <c:spPr>
              <a:solidFill>
                <a:srgbClr val="2f5597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Parametrico!$A$5:$A$21</c:f>
              <c:numCache>
                <c:formatCode>0</c:formatCode>
                <c:ptCount val="17"/>
                <c:pt idx="0">
                  <c:v>8</c:v>
                </c:pt>
                <c:pt idx="1">
                  <c:v>9</c:v>
                </c:pt>
                <c:pt idx="2">
                  <c:v>10</c:v>
                </c:pt>
                <c:pt idx="3">
                  <c:v>11</c:v>
                </c:pt>
                <c:pt idx="4">
                  <c:v>12</c:v>
                </c:pt>
                <c:pt idx="5">
                  <c:v>13</c:v>
                </c:pt>
                <c:pt idx="6">
                  <c:v>14</c:v>
                </c:pt>
                <c:pt idx="7">
                  <c:v>15</c:v>
                </c:pt>
                <c:pt idx="8">
                  <c:v>16</c:v>
                </c:pt>
                <c:pt idx="9">
                  <c:v>17</c:v>
                </c:pt>
                <c:pt idx="10">
                  <c:v>18</c:v>
                </c:pt>
                <c:pt idx="11">
                  <c:v>19</c:v>
                </c:pt>
                <c:pt idx="12">
                  <c:v>20</c:v>
                </c:pt>
                <c:pt idx="13">
                  <c:v>21</c:v>
                </c:pt>
                <c:pt idx="14">
                  <c:v>22</c:v>
                </c:pt>
                <c:pt idx="15">
                  <c:v>23</c:v>
                </c:pt>
                <c:pt idx="16">
                  <c:v>24</c:v>
                </c:pt>
              </c:numCache>
            </c:numRef>
          </c:xVal>
          <c:yVal>
            <c:numRef>
              <c:f>Parametrico!$C$5:$C$21</c:f>
              <c:numCache>
                <c:formatCode>0.00</c:formatCode>
                <c:ptCount val="17"/>
                <c:pt idx="0">
                  <c:v>51.7602838379591</c:v>
                </c:pt>
                <c:pt idx="1">
                  <c:v>53.9803051272173</c:v>
                </c:pt>
                <c:pt idx="2">
                  <c:v>55.8794681911168</c:v>
                </c:pt>
                <c:pt idx="3">
                  <c:v>57.5298627470343</c:v>
                </c:pt>
                <c:pt idx="4">
                  <c:v>58.9825894024661</c:v>
                </c:pt>
                <c:pt idx="5">
                  <c:v>60.2750464863782</c:v>
                </c:pt>
                <c:pt idx="6">
                  <c:v>61.4353384461106</c:v>
                </c:pt>
                <c:pt idx="7">
                  <c:v>62.4850618335406</c:v>
                </c:pt>
                <c:pt idx="8">
                  <c:v>63.4411315247176</c:v>
                </c:pt>
                <c:pt idx="9">
                  <c:v>64.3170156047114</c:v>
                </c:pt>
                <c:pt idx="10">
                  <c:v>65.1235930477848</c:v>
                </c:pt>
                <c:pt idx="11">
                  <c:v>65.8697634572253</c:v>
                </c:pt>
                <c:pt idx="12">
                  <c:v>66.5628895070134</c:v>
                </c:pt>
                <c:pt idx="13">
                  <c:v>67.2091238638854</c:v>
                </c:pt>
                <c:pt idx="14">
                  <c:v>67.8136546918547</c:v>
                </c:pt>
                <c:pt idx="15">
                  <c:v>68.3808927133051</c:v>
                </c:pt>
                <c:pt idx="16">
                  <c:v>68.9146156209793</c:v>
                </c:pt>
              </c:numCache>
            </c:numRef>
          </c:yVal>
          <c:smooth val="1"/>
        </c:ser>
        <c:ser>
          <c:idx val="2"/>
          <c:order val="2"/>
          <c:tx>
            <c:strRef>
              <c:f>"Dual α=1,25"</c:f>
              <c:strCache>
                <c:ptCount val="1"/>
                <c:pt idx="0">
                  <c:v>Dual α=1,25</c:v>
                </c:pt>
              </c:strCache>
            </c:strRef>
          </c:tx>
          <c:spPr>
            <a:solidFill>
              <a:srgbClr val="375623"/>
            </a:solidFill>
            <a:ln w="24840">
              <a:solidFill>
                <a:srgbClr val="375623"/>
              </a:solidFill>
              <a:round/>
            </a:ln>
          </c:spPr>
          <c:marker>
            <c:symbol val="circle"/>
            <c:size val="5"/>
            <c:spPr>
              <a:solidFill>
                <a:srgbClr val="375623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Parametrico!$A$5:$A$21</c:f>
              <c:numCache>
                <c:formatCode>0</c:formatCode>
                <c:ptCount val="17"/>
                <c:pt idx="0">
                  <c:v>8</c:v>
                </c:pt>
                <c:pt idx="1">
                  <c:v>9</c:v>
                </c:pt>
                <c:pt idx="2">
                  <c:v>10</c:v>
                </c:pt>
                <c:pt idx="3">
                  <c:v>11</c:v>
                </c:pt>
                <c:pt idx="4">
                  <c:v>12</c:v>
                </c:pt>
                <c:pt idx="5">
                  <c:v>13</c:v>
                </c:pt>
                <c:pt idx="6">
                  <c:v>14</c:v>
                </c:pt>
                <c:pt idx="7">
                  <c:v>15</c:v>
                </c:pt>
                <c:pt idx="8">
                  <c:v>16</c:v>
                </c:pt>
                <c:pt idx="9">
                  <c:v>17</c:v>
                </c:pt>
                <c:pt idx="10">
                  <c:v>18</c:v>
                </c:pt>
                <c:pt idx="11">
                  <c:v>19</c:v>
                </c:pt>
                <c:pt idx="12">
                  <c:v>20</c:v>
                </c:pt>
                <c:pt idx="13">
                  <c:v>21</c:v>
                </c:pt>
                <c:pt idx="14">
                  <c:v>22</c:v>
                </c:pt>
                <c:pt idx="15">
                  <c:v>23</c:v>
                </c:pt>
                <c:pt idx="16">
                  <c:v>24</c:v>
                </c:pt>
              </c:numCache>
            </c:numRef>
          </c:xVal>
          <c:yVal>
            <c:numRef>
              <c:f>Parametrico!$D$5:$D$21</c:f>
              <c:numCache>
                <c:formatCode>0.00</c:formatCode>
                <c:ptCount val="17"/>
                <c:pt idx="0">
                  <c:v>52.6664738374273</c:v>
                </c:pt>
                <c:pt idx="1">
                  <c:v>54.8447917077812</c:v>
                </c:pt>
                <c:pt idx="2">
                  <c:v>56.7082787206425</c:v>
                </c:pt>
                <c:pt idx="3">
                  <c:v>58.3276703776887</c:v>
                </c:pt>
                <c:pt idx="4">
                  <c:v>59.753107354162</c:v>
                </c:pt>
                <c:pt idx="5">
                  <c:v>61.0212854460451</c:v>
                </c:pt>
                <c:pt idx="6">
                  <c:v>62.1597811545964</c:v>
                </c:pt>
                <c:pt idx="7">
                  <c:v>63.189785337363</c:v>
                </c:pt>
                <c:pt idx="8">
                  <c:v>64.1278951220176</c:v>
                </c:pt>
                <c:pt idx="9">
                  <c:v>64.9873255937166</c:v>
                </c:pt>
                <c:pt idx="10">
                  <c:v>65.7787513636282</c:v>
                </c:pt>
                <c:pt idx="11">
                  <c:v>66.5109048547132</c:v>
                </c:pt>
                <c:pt idx="12">
                  <c:v>67.1910104320636</c:v>
                </c:pt>
                <c:pt idx="13">
                  <c:v>67.8251051836869</c:v>
                </c:pt>
                <c:pt idx="14">
                  <c:v>68.4182798131904</c:v>
                </c:pt>
                <c:pt idx="15">
                  <c:v>68.9748621869037</c:v>
                </c:pt>
                <c:pt idx="16">
                  <c:v>69.4985590330689</c:v>
                </c:pt>
              </c:numCache>
            </c:numRef>
          </c:yVal>
          <c:smooth val="1"/>
        </c:ser>
        <c:ser>
          <c:idx val="3"/>
          <c:order val="3"/>
          <c:tx>
            <c:strRef>
              <c:f>"Dual α=1,5"</c:f>
              <c:strCache>
                <c:ptCount val="1"/>
                <c:pt idx="0">
                  <c:v>Dual α=1,5</c:v>
                </c:pt>
              </c:strCache>
            </c:strRef>
          </c:tx>
          <c:spPr>
            <a:solidFill>
              <a:srgbClr val="c00000"/>
            </a:solidFill>
            <a:ln w="24840">
              <a:solidFill>
                <a:srgbClr val="c00000"/>
              </a:solidFill>
              <a:round/>
            </a:ln>
          </c:spPr>
          <c:marker>
            <c:symbol val="circle"/>
            <c:size val="5"/>
            <c:spPr>
              <a:solidFill>
                <a:srgbClr val="c00000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Parametrico!$A$5:$A$21</c:f>
              <c:numCache>
                <c:formatCode>0</c:formatCode>
                <c:ptCount val="17"/>
                <c:pt idx="0">
                  <c:v>8</c:v>
                </c:pt>
                <c:pt idx="1">
                  <c:v>9</c:v>
                </c:pt>
                <c:pt idx="2">
                  <c:v>10</c:v>
                </c:pt>
                <c:pt idx="3">
                  <c:v>11</c:v>
                </c:pt>
                <c:pt idx="4">
                  <c:v>12</c:v>
                </c:pt>
                <c:pt idx="5">
                  <c:v>13</c:v>
                </c:pt>
                <c:pt idx="6">
                  <c:v>14</c:v>
                </c:pt>
                <c:pt idx="7">
                  <c:v>15</c:v>
                </c:pt>
                <c:pt idx="8">
                  <c:v>16</c:v>
                </c:pt>
                <c:pt idx="9">
                  <c:v>17</c:v>
                </c:pt>
                <c:pt idx="10">
                  <c:v>18</c:v>
                </c:pt>
                <c:pt idx="11">
                  <c:v>19</c:v>
                </c:pt>
                <c:pt idx="12">
                  <c:v>20</c:v>
                </c:pt>
                <c:pt idx="13">
                  <c:v>21</c:v>
                </c:pt>
                <c:pt idx="14">
                  <c:v>22</c:v>
                </c:pt>
                <c:pt idx="15">
                  <c:v>23</c:v>
                </c:pt>
                <c:pt idx="16">
                  <c:v>24</c:v>
                </c:pt>
              </c:numCache>
            </c:numRef>
          </c:xVal>
          <c:yVal>
            <c:numRef>
              <c:f>Parametrico!$E$5:$E$21</c:f>
              <c:numCache>
                <c:formatCode>0.00</c:formatCode>
                <c:ptCount val="17"/>
                <c:pt idx="0">
                  <c:v>53.0989736099008</c:v>
                </c:pt>
                <c:pt idx="1">
                  <c:v>55.2573875757776</c:v>
                </c:pt>
                <c:pt idx="2">
                  <c:v>57.1038473824615</c:v>
                </c:pt>
                <c:pt idx="3">
                  <c:v>58.7084422014101</c:v>
                </c:pt>
                <c:pt idx="4">
                  <c:v>60.1208545583804</c:v>
                </c:pt>
                <c:pt idx="5">
                  <c:v>61.3774449495224</c:v>
                </c:pt>
                <c:pt idx="6">
                  <c:v>62.5055379018282</c:v>
                </c:pt>
                <c:pt idx="7">
                  <c:v>63.5261306460055</c:v>
                </c:pt>
                <c:pt idx="8">
                  <c:v>64.4556686570926</c:v>
                </c:pt>
                <c:pt idx="9">
                  <c:v>65.3072462702872</c:v>
                </c:pt>
                <c:pt idx="10">
                  <c:v>66.0914405598261</c:v>
                </c:pt>
                <c:pt idx="11">
                  <c:v>66.8169041580596</c:v>
                </c:pt>
                <c:pt idx="12">
                  <c:v>67.4907954190193</c:v>
                </c:pt>
                <c:pt idx="13">
                  <c:v>68.1190962681377</c:v>
                </c:pt>
                <c:pt idx="14">
                  <c:v>68.7068508938279</c:v>
                </c:pt>
                <c:pt idx="15">
                  <c:v>69.2583476174849</c:v>
                </c:pt>
                <c:pt idx="16">
                  <c:v>69.7772592979298</c:v>
                </c:pt>
              </c:numCache>
            </c:numRef>
          </c:yVal>
          <c:smooth val="1"/>
        </c:ser>
        <c:ser>
          <c:idx val="4"/>
          <c:order val="4"/>
          <c:tx>
            <c:strRef>
              <c:f>"Dual α=2"</c:f>
              <c:strCache>
                <c:ptCount val="1"/>
                <c:pt idx="0">
                  <c:v>Dual α=2</c:v>
                </c:pt>
              </c:strCache>
            </c:strRef>
          </c:tx>
          <c:spPr>
            <a:solidFill>
              <a:srgbClr val="c55a11"/>
            </a:solidFill>
            <a:ln w="24840">
              <a:solidFill>
                <a:srgbClr val="c55a11"/>
              </a:solidFill>
              <a:round/>
            </a:ln>
          </c:spPr>
          <c:marker>
            <c:symbol val="circle"/>
            <c:size val="5"/>
            <c:spPr>
              <a:solidFill>
                <a:srgbClr val="c55a11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Parametrico!$A$5:$A$21</c:f>
              <c:numCache>
                <c:formatCode>0</c:formatCode>
                <c:ptCount val="17"/>
                <c:pt idx="0">
                  <c:v>8</c:v>
                </c:pt>
                <c:pt idx="1">
                  <c:v>9</c:v>
                </c:pt>
                <c:pt idx="2">
                  <c:v>10</c:v>
                </c:pt>
                <c:pt idx="3">
                  <c:v>11</c:v>
                </c:pt>
                <c:pt idx="4">
                  <c:v>12</c:v>
                </c:pt>
                <c:pt idx="5">
                  <c:v>13</c:v>
                </c:pt>
                <c:pt idx="6">
                  <c:v>14</c:v>
                </c:pt>
                <c:pt idx="7">
                  <c:v>15</c:v>
                </c:pt>
                <c:pt idx="8">
                  <c:v>16</c:v>
                </c:pt>
                <c:pt idx="9">
                  <c:v>17</c:v>
                </c:pt>
                <c:pt idx="10">
                  <c:v>18</c:v>
                </c:pt>
                <c:pt idx="11">
                  <c:v>19</c:v>
                </c:pt>
                <c:pt idx="12">
                  <c:v>20</c:v>
                </c:pt>
                <c:pt idx="13">
                  <c:v>21</c:v>
                </c:pt>
                <c:pt idx="14">
                  <c:v>22</c:v>
                </c:pt>
                <c:pt idx="15">
                  <c:v>23</c:v>
                </c:pt>
                <c:pt idx="16">
                  <c:v>24</c:v>
                </c:pt>
              </c:numCache>
            </c:numRef>
          </c:xVal>
          <c:yVal>
            <c:numRef>
              <c:f>Parametrico!$F$5:$F$21</c:f>
              <c:numCache>
                <c:formatCode>0.00</c:formatCode>
                <c:ptCount val="17"/>
                <c:pt idx="0">
                  <c:v>53.5185629414049</c:v>
                </c:pt>
                <c:pt idx="1">
                  <c:v>55.6576671492069</c:v>
                </c:pt>
                <c:pt idx="2">
                  <c:v>57.4876080245248</c:v>
                </c:pt>
                <c:pt idx="3">
                  <c:v>59.0778477020354</c:v>
                </c:pt>
                <c:pt idx="4">
                  <c:v>60.4776242341148</c:v>
                </c:pt>
                <c:pt idx="5">
                  <c:v>61.7229728260303</c:v>
                </c:pt>
                <c:pt idx="6">
                  <c:v>62.8409735521277</c:v>
                </c:pt>
                <c:pt idx="7">
                  <c:v>63.8524357961811</c:v>
                </c:pt>
                <c:pt idx="8">
                  <c:v>64.7736579075385</c:v>
                </c:pt>
                <c:pt idx="9">
                  <c:v>65.6176170759154</c:v>
                </c:pt>
                <c:pt idx="10">
                  <c:v>66.3947957501673</c:v>
                </c:pt>
                <c:pt idx="11">
                  <c:v>67.1137691538435</c:v>
                </c:pt>
                <c:pt idx="12">
                  <c:v>67.7816316003943</c:v>
                </c:pt>
                <c:pt idx="13">
                  <c:v>68.4043114993213</c:v>
                </c:pt>
                <c:pt idx="14">
                  <c:v>68.9868079123567</c:v>
                </c:pt>
                <c:pt idx="15">
                  <c:v>69.5333707964069</c:v>
                </c:pt>
                <c:pt idx="16">
                  <c:v>70.0476401518993</c:v>
                </c:pt>
              </c:numCache>
            </c:numRef>
          </c:yVal>
          <c:smooth val="1"/>
        </c:ser>
        <c:axId val="60102930"/>
        <c:axId val="69567913"/>
      </c:scatterChart>
      <c:valAx>
        <c:axId val="60102930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Relación de compresión r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9567913"/>
        <c:crosses val="autoZero"/>
        <c:crossBetween val="midCat"/>
      </c:valAx>
      <c:valAx>
        <c:axId val="69567913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η (%)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0102930"/>
        <c:crosses val="autoZero"/>
        <c:crossBetween val="midCat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Relationship Id="rId5" Type="http://schemas.openxmlformats.org/officeDocument/2006/relationships/chart" Target="../charts/chart5.xml"/><Relationship Id="rId6" Type="http://schemas.openxmlformats.org/officeDocument/2006/relationships/chart" Target="../charts/chart6.xml"/><Relationship Id="rId7" Type="http://schemas.openxmlformats.org/officeDocument/2006/relationships/chart" Target="../charts/chart7.xml"/><Relationship Id="rId8" Type="http://schemas.openxmlformats.org/officeDocument/2006/relationships/chart" Target="../charts/chart8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0</xdr:row>
      <xdr:rowOff>0</xdr:rowOff>
    </xdr:from>
    <xdr:to>
      <xdr:col>9</xdr:col>
      <xdr:colOff>255960</xdr:colOff>
      <xdr:row>16</xdr:row>
      <xdr:rowOff>11520</xdr:rowOff>
    </xdr:to>
    <xdr:graphicFrame>
      <xdr:nvGraphicFramePr>
        <xdr:cNvPr id="0" name="Chart 1"/>
        <xdr:cNvGraphicFramePr/>
      </xdr:nvGraphicFramePr>
      <xdr:xfrm>
        <a:off x="0" y="0"/>
        <a:ext cx="5759640" cy="305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10</xdr:col>
      <xdr:colOff>0</xdr:colOff>
      <xdr:row>0</xdr:row>
      <xdr:rowOff>0</xdr:rowOff>
    </xdr:from>
    <xdr:to>
      <xdr:col>19</xdr:col>
      <xdr:colOff>255960</xdr:colOff>
      <xdr:row>16</xdr:row>
      <xdr:rowOff>11520</xdr:rowOff>
    </xdr:to>
    <xdr:graphicFrame>
      <xdr:nvGraphicFramePr>
        <xdr:cNvPr id="1" name="Chart 2"/>
        <xdr:cNvGraphicFramePr/>
      </xdr:nvGraphicFramePr>
      <xdr:xfrm>
        <a:off x="6114960" y="0"/>
        <a:ext cx="5759640" cy="305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0</xdr:col>
      <xdr:colOff>0</xdr:colOff>
      <xdr:row>18</xdr:row>
      <xdr:rowOff>0</xdr:rowOff>
    </xdr:from>
    <xdr:to>
      <xdr:col>9</xdr:col>
      <xdr:colOff>255960</xdr:colOff>
      <xdr:row>34</xdr:row>
      <xdr:rowOff>11520</xdr:rowOff>
    </xdr:to>
    <xdr:graphicFrame>
      <xdr:nvGraphicFramePr>
        <xdr:cNvPr id="2" name="Chart 3"/>
        <xdr:cNvGraphicFramePr/>
      </xdr:nvGraphicFramePr>
      <xdr:xfrm>
        <a:off x="0" y="3429000"/>
        <a:ext cx="5759640" cy="305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10</xdr:col>
      <xdr:colOff>0</xdr:colOff>
      <xdr:row>18</xdr:row>
      <xdr:rowOff>0</xdr:rowOff>
    </xdr:from>
    <xdr:to>
      <xdr:col>19</xdr:col>
      <xdr:colOff>255960</xdr:colOff>
      <xdr:row>34</xdr:row>
      <xdr:rowOff>11520</xdr:rowOff>
    </xdr:to>
    <xdr:graphicFrame>
      <xdr:nvGraphicFramePr>
        <xdr:cNvPr id="3" name="Chart 4"/>
        <xdr:cNvGraphicFramePr/>
      </xdr:nvGraphicFramePr>
      <xdr:xfrm>
        <a:off x="6114960" y="3429000"/>
        <a:ext cx="5759640" cy="305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0</xdr:col>
      <xdr:colOff>0</xdr:colOff>
      <xdr:row>36</xdr:row>
      <xdr:rowOff>0</xdr:rowOff>
    </xdr:from>
    <xdr:to>
      <xdr:col>9</xdr:col>
      <xdr:colOff>255960</xdr:colOff>
      <xdr:row>52</xdr:row>
      <xdr:rowOff>11520</xdr:rowOff>
    </xdr:to>
    <xdr:graphicFrame>
      <xdr:nvGraphicFramePr>
        <xdr:cNvPr id="4" name="Chart 5"/>
        <xdr:cNvGraphicFramePr/>
      </xdr:nvGraphicFramePr>
      <xdr:xfrm>
        <a:off x="0" y="6858000"/>
        <a:ext cx="5759640" cy="305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 editAs="oneCell">
    <xdr:from>
      <xdr:col>10</xdr:col>
      <xdr:colOff>0</xdr:colOff>
      <xdr:row>36</xdr:row>
      <xdr:rowOff>0</xdr:rowOff>
    </xdr:from>
    <xdr:to>
      <xdr:col>19</xdr:col>
      <xdr:colOff>255960</xdr:colOff>
      <xdr:row>52</xdr:row>
      <xdr:rowOff>11520</xdr:rowOff>
    </xdr:to>
    <xdr:graphicFrame>
      <xdr:nvGraphicFramePr>
        <xdr:cNvPr id="5" name="Chart 6"/>
        <xdr:cNvGraphicFramePr/>
      </xdr:nvGraphicFramePr>
      <xdr:xfrm>
        <a:off x="6114960" y="6858000"/>
        <a:ext cx="5759640" cy="305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 editAs="oneCell">
    <xdr:from>
      <xdr:col>0</xdr:col>
      <xdr:colOff>0</xdr:colOff>
      <xdr:row>54</xdr:row>
      <xdr:rowOff>0</xdr:rowOff>
    </xdr:from>
    <xdr:to>
      <xdr:col>9</xdr:col>
      <xdr:colOff>255960</xdr:colOff>
      <xdr:row>70</xdr:row>
      <xdr:rowOff>11520</xdr:rowOff>
    </xdr:to>
    <xdr:graphicFrame>
      <xdr:nvGraphicFramePr>
        <xdr:cNvPr id="6" name="Chart 7"/>
        <xdr:cNvGraphicFramePr/>
      </xdr:nvGraphicFramePr>
      <xdr:xfrm>
        <a:off x="0" y="10287000"/>
        <a:ext cx="5759640" cy="305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 editAs="oneCell">
    <xdr:from>
      <xdr:col>10</xdr:col>
      <xdr:colOff>0</xdr:colOff>
      <xdr:row>54</xdr:row>
      <xdr:rowOff>0</xdr:rowOff>
    </xdr:from>
    <xdr:to>
      <xdr:col>20</xdr:col>
      <xdr:colOff>4320</xdr:colOff>
      <xdr:row>70</xdr:row>
      <xdr:rowOff>11520</xdr:rowOff>
    </xdr:to>
    <xdr:graphicFrame>
      <xdr:nvGraphicFramePr>
        <xdr:cNvPr id="7" name="Chart 8"/>
        <xdr:cNvGraphicFramePr/>
      </xdr:nvGraphicFramePr>
      <xdr:xfrm>
        <a:off x="6114960" y="10287000"/>
        <a:ext cx="6119640" cy="305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6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2"/>
    <col collapsed="false" customWidth="true" hidden="false" outlineLevel="0" max="2" min="2" style="0" width="30"/>
    <col collapsed="false" customWidth="true" hidden="false" outlineLevel="0" max="6" min="3" style="0" width="14"/>
    <col collapsed="false" customWidth="true" hidden="false" outlineLevel="0" max="7" min="7" style="0" width="30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3" t="s">
        <v>2</v>
      </c>
    </row>
    <row r="5" customFormat="false" ht="31.5" hidden="false" customHeight="true" outlineLevel="0" collapsed="false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</row>
    <row r="6" customFormat="false" ht="15" hidden="false" customHeight="false" outlineLevel="0" collapsed="false">
      <c r="A6" s="5" t="s">
        <v>8</v>
      </c>
      <c r="B6" s="5" t="s">
        <v>9</v>
      </c>
      <c r="C6" s="6" t="n">
        <v>79</v>
      </c>
      <c r="D6" s="5" t="s">
        <v>10</v>
      </c>
      <c r="E6" s="5" t="s">
        <v>11</v>
      </c>
    </row>
    <row r="7" customFormat="false" ht="15" hidden="false" customHeight="false" outlineLevel="0" collapsed="false">
      <c r="A7" s="5" t="s">
        <v>12</v>
      </c>
      <c r="B7" s="5" t="s">
        <v>13</v>
      </c>
      <c r="C7" s="6" t="n">
        <v>300</v>
      </c>
      <c r="D7" s="5" t="s">
        <v>14</v>
      </c>
      <c r="E7" s="5"/>
    </row>
    <row r="8" customFormat="false" ht="15" hidden="false" customHeight="false" outlineLevel="0" collapsed="false">
      <c r="A8" s="5" t="s">
        <v>15</v>
      </c>
      <c r="B8" s="5" t="s">
        <v>16</v>
      </c>
      <c r="C8" s="6" t="n">
        <v>16</v>
      </c>
      <c r="D8" s="5" t="s">
        <v>17</v>
      </c>
      <c r="E8" s="5" t="s">
        <v>18</v>
      </c>
    </row>
    <row r="9" customFormat="false" ht="15" hidden="false" customHeight="false" outlineLevel="0" collapsed="false">
      <c r="A9" s="5" t="s">
        <v>19</v>
      </c>
      <c r="B9" s="5" t="s">
        <v>20</v>
      </c>
      <c r="C9" s="6" t="n">
        <v>1.5</v>
      </c>
      <c r="D9" s="5" t="s">
        <v>17</v>
      </c>
      <c r="E9" s="5" t="s">
        <v>21</v>
      </c>
    </row>
    <row r="10" customFormat="false" ht="15" hidden="false" customHeight="false" outlineLevel="0" collapsed="false">
      <c r="A10" s="5" t="s">
        <v>22</v>
      </c>
      <c r="B10" s="5" t="s">
        <v>23</v>
      </c>
      <c r="C10" s="6" t="n">
        <v>1.6</v>
      </c>
      <c r="D10" s="5" t="s">
        <v>17</v>
      </c>
      <c r="E10" s="5" t="s">
        <v>24</v>
      </c>
    </row>
    <row r="11" customFormat="false" ht="15" hidden="false" customHeight="false" outlineLevel="0" collapsed="false">
      <c r="A11" s="5" t="s">
        <v>25</v>
      </c>
      <c r="B11" s="5" t="s">
        <v>26</v>
      </c>
      <c r="C11" s="6" t="n">
        <v>1.4</v>
      </c>
      <c r="D11" s="5" t="s">
        <v>17</v>
      </c>
      <c r="E11" s="5" t="s">
        <v>27</v>
      </c>
    </row>
    <row r="12" customFormat="false" ht="15" hidden="false" customHeight="false" outlineLevel="0" collapsed="false">
      <c r="A12" s="5" t="s">
        <v>28</v>
      </c>
      <c r="B12" s="5" t="s">
        <v>29</v>
      </c>
      <c r="C12" s="6" t="n">
        <v>0.718</v>
      </c>
      <c r="D12" s="5" t="s">
        <v>30</v>
      </c>
      <c r="E12" s="5" t="s">
        <v>27</v>
      </c>
    </row>
    <row r="13" customFormat="false" ht="15" hidden="false" customHeight="false" outlineLevel="0" collapsed="false">
      <c r="A13" s="5" t="s">
        <v>31</v>
      </c>
      <c r="B13" s="5" t="s">
        <v>32</v>
      </c>
      <c r="C13" s="6" t="n">
        <v>1.005</v>
      </c>
      <c r="D13" s="5" t="s">
        <v>30</v>
      </c>
      <c r="E13" s="5" t="s">
        <v>27</v>
      </c>
    </row>
    <row r="14" customFormat="false" ht="15" hidden="false" customHeight="false" outlineLevel="0" collapsed="false">
      <c r="A14" s="5" t="s">
        <v>33</v>
      </c>
      <c r="B14" s="5" t="s">
        <v>34</v>
      </c>
      <c r="C14" s="6" t="n">
        <v>0.287</v>
      </c>
      <c r="D14" s="5" t="s">
        <v>30</v>
      </c>
      <c r="E14" s="5" t="s">
        <v>27</v>
      </c>
    </row>
    <row r="15" customFormat="false" ht="15" hidden="false" customHeight="false" outlineLevel="0" collapsed="false">
      <c r="A15" s="5" t="s">
        <v>35</v>
      </c>
      <c r="B15" s="5" t="s">
        <v>36</v>
      </c>
      <c r="C15" s="6" t="n">
        <v>7.8</v>
      </c>
      <c r="D15" s="5" t="s">
        <v>37</v>
      </c>
      <c r="E15" s="5" t="s">
        <v>38</v>
      </c>
    </row>
    <row r="16" customFormat="false" ht="15" hidden="false" customHeight="false" outlineLevel="0" collapsed="false">
      <c r="A16" s="5" t="s">
        <v>39</v>
      </c>
      <c r="B16" s="5" t="s">
        <v>40</v>
      </c>
      <c r="C16" s="6" t="n">
        <v>6.75</v>
      </c>
      <c r="D16" s="5" t="s">
        <v>37</v>
      </c>
      <c r="E16" s="5" t="s">
        <v>38</v>
      </c>
    </row>
    <row r="17" customFormat="false" ht="15" hidden="false" customHeight="false" outlineLevel="0" collapsed="false">
      <c r="A17" s="5" t="s">
        <v>41</v>
      </c>
      <c r="B17" s="5" t="s">
        <v>42</v>
      </c>
      <c r="C17" s="6" t="n">
        <v>4</v>
      </c>
      <c r="D17" s="5" t="s">
        <v>17</v>
      </c>
      <c r="E17" s="5"/>
    </row>
    <row r="18" customFormat="false" ht="15" hidden="false" customHeight="false" outlineLevel="0" collapsed="false">
      <c r="A18" s="5" t="s">
        <v>43</v>
      </c>
      <c r="B18" s="5" t="s">
        <v>44</v>
      </c>
      <c r="C18" s="6" t="n">
        <v>13.1</v>
      </c>
      <c r="D18" s="5" t="s">
        <v>37</v>
      </c>
      <c r="E18" s="5"/>
    </row>
    <row r="19" customFormat="false" ht="15" hidden="false" customHeight="false" outlineLevel="0" collapsed="false">
      <c r="A19" s="5" t="s">
        <v>45</v>
      </c>
      <c r="B19" s="5" t="s">
        <v>46</v>
      </c>
      <c r="C19" s="6" t="n">
        <v>3000</v>
      </c>
      <c r="D19" s="5" t="s">
        <v>47</v>
      </c>
      <c r="E19" s="5"/>
    </row>
    <row r="21" customFormat="false" ht="15" hidden="false" customHeight="false" outlineLevel="0" collapsed="false">
      <c r="A21" s="7" t="s">
        <v>48</v>
      </c>
    </row>
    <row r="22" customFormat="false" ht="31.5" hidden="false" customHeight="true" outlineLevel="0" collapsed="false">
      <c r="A22" s="4" t="s">
        <v>49</v>
      </c>
      <c r="B22" s="4" t="s">
        <v>50</v>
      </c>
      <c r="C22" s="4" t="s">
        <v>5</v>
      </c>
      <c r="D22" s="4" t="s">
        <v>6</v>
      </c>
    </row>
    <row r="23" customFormat="false" ht="15" hidden="false" customHeight="false" outlineLevel="0" collapsed="false">
      <c r="A23" s="8" t="s">
        <v>51</v>
      </c>
      <c r="B23" s="5" t="s">
        <v>52</v>
      </c>
      <c r="C23" s="9" t="n">
        <f aca="false">PI()*Dual!$C$15^2/4</f>
        <v>47.7836242611008</v>
      </c>
      <c r="D23" s="5" t="s">
        <v>53</v>
      </c>
    </row>
    <row r="24" customFormat="false" ht="15" hidden="false" customHeight="false" outlineLevel="0" collapsed="false">
      <c r="A24" s="8" t="s">
        <v>54</v>
      </c>
      <c r="B24" s="5" t="s">
        <v>55</v>
      </c>
      <c r="C24" s="9" t="n">
        <f aca="false">Dual!$C$23*Dual!$C$16</f>
        <v>322.53946376243</v>
      </c>
      <c r="D24" s="5" t="s">
        <v>56</v>
      </c>
    </row>
    <row r="25" customFormat="false" ht="15" hidden="false" customHeight="false" outlineLevel="0" collapsed="false">
      <c r="A25" s="8" t="s">
        <v>57</v>
      </c>
      <c r="B25" s="5" t="s">
        <v>58</v>
      </c>
      <c r="C25" s="9" t="n">
        <f aca="false">Dual!$C$24/(Dual!$C$8-1)</f>
        <v>21.5026309174953</v>
      </c>
      <c r="D25" s="5" t="s">
        <v>56</v>
      </c>
    </row>
    <row r="26" customFormat="false" ht="15" hidden="false" customHeight="false" outlineLevel="0" collapsed="false">
      <c r="A26" s="8" t="s">
        <v>59</v>
      </c>
      <c r="B26" s="5" t="s">
        <v>60</v>
      </c>
      <c r="C26" s="9" t="n">
        <f aca="false">Dual!$C$24+Dual!$C$25</f>
        <v>344.042094679925</v>
      </c>
      <c r="D26" s="5" t="s">
        <v>56</v>
      </c>
    </row>
    <row r="27" customFormat="false" ht="15" hidden="false" customHeight="false" outlineLevel="0" collapsed="false">
      <c r="A27" s="8" t="s">
        <v>61</v>
      </c>
      <c r="B27" s="5" t="s">
        <v>62</v>
      </c>
      <c r="C27" s="9" t="n">
        <f aca="false">Dual!$C$16/2/Dual!$C$18</f>
        <v>0.25763358778626</v>
      </c>
      <c r="D27" s="5" t="s">
        <v>17</v>
      </c>
    </row>
    <row r="28" customFormat="false" ht="15" hidden="false" customHeight="false" outlineLevel="0" collapsed="false">
      <c r="A28" s="8" t="s">
        <v>63</v>
      </c>
      <c r="B28" s="5" t="s">
        <v>64</v>
      </c>
      <c r="C28" s="9" t="n">
        <f aca="false">Dual!$C$14*Dual!$C$7/Dual!$C$6</f>
        <v>1.08987341772152</v>
      </c>
      <c r="D28" s="5" t="s">
        <v>65</v>
      </c>
    </row>
    <row r="29" customFormat="false" ht="15" hidden="false" customHeight="false" outlineLevel="0" collapsed="false">
      <c r="A29" s="8" t="s">
        <v>66</v>
      </c>
      <c r="B29" s="5" t="s">
        <v>67</v>
      </c>
      <c r="C29" s="10" t="n">
        <f aca="false">Dual!$C$26*0.000001/Dual!$C$28</f>
        <v>0.000315671608359049</v>
      </c>
      <c r="D29" s="5" t="s">
        <v>68</v>
      </c>
    </row>
    <row r="31" customFormat="false" ht="15" hidden="false" customHeight="false" outlineLevel="0" collapsed="false">
      <c r="A31" s="7" t="s">
        <v>69</v>
      </c>
    </row>
    <row r="32" customFormat="false" ht="31.5" hidden="false" customHeight="true" outlineLevel="0" collapsed="false">
      <c r="A32" s="4" t="s">
        <v>70</v>
      </c>
      <c r="B32" s="4" t="s">
        <v>71</v>
      </c>
      <c r="C32" s="4" t="s">
        <v>72</v>
      </c>
      <c r="D32" s="4" t="s">
        <v>73</v>
      </c>
      <c r="E32" s="4" t="s">
        <v>74</v>
      </c>
      <c r="F32" s="4" t="s">
        <v>75</v>
      </c>
      <c r="G32" s="4" t="s">
        <v>76</v>
      </c>
    </row>
    <row r="33" customFormat="false" ht="15" hidden="false" customHeight="false" outlineLevel="0" collapsed="false">
      <c r="A33" s="8" t="n">
        <v>1</v>
      </c>
      <c r="B33" s="11" t="n">
        <f aca="false">Dual!$C$6</f>
        <v>79</v>
      </c>
      <c r="C33" s="11" t="n">
        <f aca="false">Dual!$C$7</f>
        <v>300</v>
      </c>
      <c r="D33" s="9" t="n">
        <f aca="false">Dual!$C$28</f>
        <v>1.08987341772152</v>
      </c>
      <c r="E33" s="9" t="n">
        <f aca="false">0</f>
        <v>0</v>
      </c>
      <c r="F33" s="11" t="n">
        <f aca="false">Dual!$D$33*Dual!$C$29*1000000</f>
        <v>344.042094679925</v>
      </c>
      <c r="G33" s="5" t="s">
        <v>77</v>
      </c>
    </row>
    <row r="34" customFormat="false" ht="15" hidden="false" customHeight="false" outlineLevel="0" collapsed="false">
      <c r="A34" s="8" t="n">
        <v>2</v>
      </c>
      <c r="B34" s="11" t="n">
        <f aca="false">Dual!$C$6*Dual!$C$8^Dual!$C$11</f>
        <v>3831.73148013829</v>
      </c>
      <c r="C34" s="11" t="n">
        <f aca="false">Dual!$C$7*Dual!$C$8^(Dual!$C$11-1)</f>
        <v>909.429939906239</v>
      </c>
      <c r="D34" s="9" t="n">
        <f aca="false">Dual!$C$28/Dual!$C$8</f>
        <v>0.0681170886075949</v>
      </c>
      <c r="E34" s="9" t="n">
        <f aca="false">0</f>
        <v>0</v>
      </c>
      <c r="F34" s="11" t="n">
        <f aca="false">Dual!$D$34*Dual!$C$29*1000000</f>
        <v>21.5026309174953</v>
      </c>
      <c r="G34" s="5" t="s">
        <v>78</v>
      </c>
    </row>
    <row r="35" customFormat="false" ht="15" hidden="false" customHeight="false" outlineLevel="0" collapsed="false">
      <c r="A35" s="8" t="n">
        <v>3</v>
      </c>
      <c r="B35" s="11" t="n">
        <f aca="false">Dual!$C$9*Dual!$B$34</f>
        <v>5747.59722020743</v>
      </c>
      <c r="C35" s="11" t="n">
        <f aca="false">Dual!$C$9*Dual!$C$34</f>
        <v>1364.14490985936</v>
      </c>
      <c r="D35" s="9" t="n">
        <f aca="false">Dual!$D$34</f>
        <v>0.0681170886075949</v>
      </c>
      <c r="E35" s="9" t="n">
        <f aca="false">Dual!$C$12*LN(Dual!$C$9)</f>
        <v>0.291123947621662</v>
      </c>
      <c r="F35" s="11" t="n">
        <f aca="false">Dual!$D$35*Dual!$C$29*1000000</f>
        <v>21.5026309174953</v>
      </c>
      <c r="G35" s="5" t="s">
        <v>79</v>
      </c>
    </row>
    <row r="36" customFormat="false" ht="15" hidden="false" customHeight="false" outlineLevel="0" collapsed="false">
      <c r="A36" s="8" t="n">
        <v>4</v>
      </c>
      <c r="B36" s="11" t="n">
        <f aca="false">Dual!$B$35</f>
        <v>5747.59722020743</v>
      </c>
      <c r="C36" s="11" t="n">
        <f aca="false">Dual!$C$10*Dual!$C$35</f>
        <v>2182.63185577497</v>
      </c>
      <c r="D36" s="9" t="n">
        <f aca="false">Dual!$C$10*Dual!$D$35</f>
        <v>0.108987341772152</v>
      </c>
      <c r="E36" s="9" t="n">
        <f aca="false">Dual!$E$35+Dual!$C$13*LN(Dual!$C$10)</f>
        <v>0.763477595013626</v>
      </c>
      <c r="F36" s="11" t="n">
        <f aca="false">Dual!$D$36*Dual!$C$29*1000000</f>
        <v>34.4042094679925</v>
      </c>
      <c r="G36" s="5" t="s">
        <v>80</v>
      </c>
    </row>
    <row r="37" customFormat="false" ht="15" hidden="false" customHeight="false" outlineLevel="0" collapsed="false">
      <c r="A37" s="8" t="n">
        <v>5</v>
      </c>
      <c r="B37" s="11" t="n">
        <f aca="false">Dual!$B$36*(Dual!$D$36/Dual!$C$28)^Dual!$C$11</f>
        <v>228.815966681793</v>
      </c>
      <c r="C37" s="11" t="n">
        <f aca="false">Dual!$C$36*(Dual!$D$36/Dual!$C$28)^(Dual!$C$11-1)</f>
        <v>868.921392462504</v>
      </c>
      <c r="D37" s="9" t="n">
        <f aca="false">Dual!$C$28</f>
        <v>1.08987341772152</v>
      </c>
      <c r="E37" s="9" t="n">
        <f aca="false">Dual!$E$36</f>
        <v>0.763477595013626</v>
      </c>
      <c r="F37" s="11" t="n">
        <f aca="false">Dual!$D$37*Dual!$C$29*1000000</f>
        <v>344.042094679925</v>
      </c>
      <c r="G37" s="5" t="s">
        <v>81</v>
      </c>
    </row>
    <row r="39" customFormat="false" ht="15" hidden="false" customHeight="false" outlineLevel="0" collapsed="false">
      <c r="A39" s="7" t="s">
        <v>82</v>
      </c>
    </row>
    <row r="40" customFormat="false" ht="31.5" hidden="false" customHeight="true" outlineLevel="0" collapsed="false">
      <c r="A40" s="4" t="s">
        <v>83</v>
      </c>
      <c r="B40" s="4" t="s">
        <v>84</v>
      </c>
      <c r="C40" s="4" t="s">
        <v>85</v>
      </c>
      <c r="D40" s="4" t="s">
        <v>86</v>
      </c>
      <c r="E40" s="4" t="s">
        <v>87</v>
      </c>
      <c r="F40" s="4" t="s">
        <v>88</v>
      </c>
      <c r="G40" s="4" t="s">
        <v>89</v>
      </c>
    </row>
    <row r="41" customFormat="false" ht="15" hidden="false" customHeight="false" outlineLevel="0" collapsed="false">
      <c r="A41" s="8" t="s">
        <v>90</v>
      </c>
      <c r="B41" s="5" t="s">
        <v>91</v>
      </c>
      <c r="C41" s="11" t="n">
        <f aca="false">0</f>
        <v>0</v>
      </c>
      <c r="D41" s="11" t="n">
        <f aca="false">Dual!$C$12*(Dual!$C$33-Dual!$C$34)</f>
        <v>-437.570696852679</v>
      </c>
      <c r="E41" s="11" t="n">
        <f aca="false">Dual!$C$12*(Dual!$C$34-Dual!$C$33)</f>
        <v>437.570696852679</v>
      </c>
      <c r="F41" s="9" t="n">
        <f aca="false">Dual!$E$34-Dual!$E$33</f>
        <v>0</v>
      </c>
      <c r="G41" s="12" t="n">
        <f aca="false">C41-D41-E41</f>
        <v>0</v>
      </c>
    </row>
    <row r="42" customFormat="false" ht="15" hidden="false" customHeight="false" outlineLevel="0" collapsed="false">
      <c r="A42" s="8" t="s">
        <v>92</v>
      </c>
      <c r="B42" s="5" t="s">
        <v>93</v>
      </c>
      <c r="C42" s="11" t="n">
        <f aca="false">Dual!$C$12*(Dual!$C$35-Dual!$C$34)</f>
        <v>326.48534842634</v>
      </c>
      <c r="D42" s="11" t="n">
        <f aca="false">0</f>
        <v>0</v>
      </c>
      <c r="E42" s="11" t="n">
        <f aca="false">Dual!$C$12*(Dual!$C$35-Dual!$C$34)</f>
        <v>326.48534842634</v>
      </c>
      <c r="F42" s="9" t="n">
        <f aca="false">Dual!$E$35-Dual!$E$34</f>
        <v>0.291123947621662</v>
      </c>
      <c r="G42" s="12" t="n">
        <f aca="false">C42-D42-E42</f>
        <v>0</v>
      </c>
    </row>
    <row r="43" customFormat="false" ht="15" hidden="false" customHeight="false" outlineLevel="0" collapsed="false">
      <c r="A43" s="8" t="s">
        <v>94</v>
      </c>
      <c r="B43" s="5" t="s">
        <v>95</v>
      </c>
      <c r="C43" s="11" t="n">
        <f aca="false">Dual!$C$13*(Dual!$C$36-Dual!$C$35)</f>
        <v>822.579380645193</v>
      </c>
      <c r="D43" s="11" t="n">
        <f aca="false">Dual!$B$35*(Dual!$D$36-Dual!$D$35)</f>
        <v>234.905753477782</v>
      </c>
      <c r="E43" s="11" t="n">
        <f aca="false">Dual!$C$12*(Dual!$C$36-Dual!$C$35)</f>
        <v>587.673627167411</v>
      </c>
      <c r="F43" s="9" t="n">
        <f aca="false">Dual!$E$36-Dual!$E$35</f>
        <v>0.472353647391964</v>
      </c>
      <c r="G43" s="12" t="n">
        <f aca="false">C43-D43-E43</f>
        <v>0</v>
      </c>
    </row>
    <row r="44" customFormat="false" ht="15" hidden="false" customHeight="false" outlineLevel="0" collapsed="false">
      <c r="A44" s="8" t="s">
        <v>96</v>
      </c>
      <c r="B44" s="5" t="s">
        <v>97</v>
      </c>
      <c r="C44" s="11" t="n">
        <f aca="false">0</f>
        <v>0</v>
      </c>
      <c r="D44" s="11" t="n">
        <f aca="false">Dual!$C$12*(Dual!$C$36-Dual!$C$37)</f>
        <v>943.244112658353</v>
      </c>
      <c r="E44" s="11" t="n">
        <f aca="false">Dual!$C$12*(Dual!$C$37-Dual!$C$36)</f>
        <v>-943.244112658353</v>
      </c>
      <c r="F44" s="9" t="n">
        <f aca="false">Dual!$E$37-Dual!$E$36</f>
        <v>0</v>
      </c>
      <c r="G44" s="12" t="n">
        <f aca="false">C44-D44-E44</f>
        <v>0</v>
      </c>
    </row>
    <row r="45" customFormat="false" ht="15" hidden="false" customHeight="false" outlineLevel="0" collapsed="false">
      <c r="A45" s="8" t="s">
        <v>98</v>
      </c>
      <c r="B45" s="5" t="s">
        <v>99</v>
      </c>
      <c r="C45" s="11" t="n">
        <f aca="false">Dual!$C$12*(Dual!$C$33-Dual!$C$37)</f>
        <v>-408.485559788077</v>
      </c>
      <c r="D45" s="11" t="n">
        <f aca="false">0</f>
        <v>0</v>
      </c>
      <c r="E45" s="11" t="n">
        <f aca="false">Dual!$C$12*(Dual!$C$33-Dual!$C$37)</f>
        <v>-408.485559788077</v>
      </c>
      <c r="F45" s="9" t="n">
        <f aca="false">0-Dual!$E$37</f>
        <v>-0.763477595013626</v>
      </c>
      <c r="G45" s="12" t="n">
        <f aca="false">C45-D45-E45</f>
        <v>0</v>
      </c>
    </row>
    <row r="46" customFormat="false" ht="15" hidden="false" customHeight="false" outlineLevel="0" collapsed="false">
      <c r="A46" s="8" t="s">
        <v>100</v>
      </c>
      <c r="C46" s="13" t="n">
        <f aca="false">SUM(C41:C45)</f>
        <v>740.579169283455</v>
      </c>
      <c r="D46" s="13" t="n">
        <f aca="false">SUM(D41:D45)</f>
        <v>740.579169283455</v>
      </c>
      <c r="E46" s="13" t="n">
        <f aca="false">SUM(E41:E45)</f>
        <v>0</v>
      </c>
      <c r="F46" s="14" t="n">
        <f aca="false">SUM(F41:F45)</f>
        <v>0</v>
      </c>
    </row>
    <row r="47" customFormat="false" ht="15" hidden="false" customHeight="false" outlineLevel="0" collapsed="false">
      <c r="A47" s="15" t="s">
        <v>101</v>
      </c>
    </row>
    <row r="49" customFormat="false" ht="15" hidden="false" customHeight="false" outlineLevel="0" collapsed="false">
      <c r="A49" s="7" t="s">
        <v>102</v>
      </c>
    </row>
    <row r="50" customFormat="false" ht="31.5" hidden="false" customHeight="true" outlineLevel="0" collapsed="false">
      <c r="A50" s="4" t="s">
        <v>49</v>
      </c>
      <c r="B50" s="4" t="s">
        <v>50</v>
      </c>
      <c r="C50" s="4" t="s">
        <v>5</v>
      </c>
      <c r="D50" s="4" t="s">
        <v>6</v>
      </c>
    </row>
    <row r="51" customFormat="false" ht="15" hidden="false" customHeight="false" outlineLevel="0" collapsed="false">
      <c r="A51" s="8" t="s">
        <v>103</v>
      </c>
      <c r="B51" s="5" t="s">
        <v>104</v>
      </c>
      <c r="C51" s="11" t="n">
        <f aca="false">Dual!$C$42</f>
        <v>326.48534842634</v>
      </c>
      <c r="D51" s="5" t="s">
        <v>105</v>
      </c>
    </row>
    <row r="52" customFormat="false" ht="15" hidden="false" customHeight="false" outlineLevel="0" collapsed="false">
      <c r="A52" s="8" t="s">
        <v>106</v>
      </c>
      <c r="B52" s="5" t="s">
        <v>107</v>
      </c>
      <c r="C52" s="11" t="n">
        <f aca="false">Dual!$C$43</f>
        <v>822.579380645193</v>
      </c>
      <c r="D52" s="5" t="s">
        <v>105</v>
      </c>
    </row>
    <row r="53" customFormat="false" ht="15" hidden="false" customHeight="false" outlineLevel="0" collapsed="false">
      <c r="A53" s="8" t="s">
        <v>108</v>
      </c>
      <c r="B53" s="5" t="s">
        <v>109</v>
      </c>
      <c r="C53" s="11" t="n">
        <f aca="false">C51+C52</f>
        <v>1149.06472907153</v>
      </c>
      <c r="D53" s="5" t="s">
        <v>105</v>
      </c>
    </row>
    <row r="54" customFormat="false" ht="15" hidden="false" customHeight="false" outlineLevel="0" collapsed="false">
      <c r="A54" s="8" t="s">
        <v>110</v>
      </c>
      <c r="B54" s="5" t="s">
        <v>111</v>
      </c>
      <c r="C54" s="11" t="n">
        <f aca="false">-Dual!$C$45</f>
        <v>408.485559788077</v>
      </c>
      <c r="D54" s="5" t="s">
        <v>105</v>
      </c>
    </row>
    <row r="55" customFormat="false" ht="15" hidden="false" customHeight="false" outlineLevel="0" collapsed="false">
      <c r="A55" s="8" t="s">
        <v>112</v>
      </c>
      <c r="B55" s="5" t="s">
        <v>113</v>
      </c>
      <c r="C55" s="11" t="n">
        <f aca="false">Dual!$D$46</f>
        <v>740.579169283455</v>
      </c>
      <c r="D55" s="5" t="s">
        <v>105</v>
      </c>
    </row>
    <row r="56" customFormat="false" ht="15" hidden="false" customHeight="false" outlineLevel="0" collapsed="false">
      <c r="A56" s="8" t="s">
        <v>114</v>
      </c>
      <c r="B56" s="5" t="s">
        <v>115</v>
      </c>
      <c r="C56" s="11" t="n">
        <f aca="false">C55/C53*100</f>
        <v>64.4506049612939</v>
      </c>
      <c r="D56" s="5" t="s">
        <v>116</v>
      </c>
    </row>
    <row r="57" customFormat="false" ht="15" hidden="false" customHeight="false" outlineLevel="0" collapsed="false">
      <c r="A57" s="8" t="s">
        <v>117</v>
      </c>
      <c r="B57" s="5" t="s">
        <v>118</v>
      </c>
      <c r="C57" s="11" t="n">
        <f aca="false">(1-1/Dual!$C$8^(Dual!$C$11-1)*((Dual!$C$9*Dual!$C$10^Dual!$C$11-1)/((Dual!$C$9-1)+Dual!$C$11*Dual!$C$9*(Dual!$C$10-1))))*100</f>
        <v>64.4556686570926</v>
      </c>
      <c r="D57" s="5" t="s">
        <v>116</v>
      </c>
    </row>
    <row r="58" customFormat="false" ht="15" hidden="false" customHeight="false" outlineLevel="0" collapsed="false">
      <c r="A58" s="8" t="s">
        <v>119</v>
      </c>
      <c r="B58" s="5" t="s">
        <v>120</v>
      </c>
      <c r="C58" s="11" t="n">
        <f aca="false">(1-1/Dual!$C$8^(Dual!$C$11-1))*100</f>
        <v>67.0123022306776</v>
      </c>
      <c r="D58" s="5" t="s">
        <v>116</v>
      </c>
    </row>
    <row r="59" customFormat="false" ht="15" hidden="false" customHeight="false" outlineLevel="0" collapsed="false">
      <c r="A59" s="8" t="s">
        <v>121</v>
      </c>
      <c r="B59" s="5" t="s">
        <v>122</v>
      </c>
      <c r="C59" s="11" t="n">
        <f aca="false">(1-1/Dual!$C$8^(Dual!$C$11-1)*((Dual!$C$10^Dual!$C$11-1)/(Dual!$C$11*(Dual!$C$10-1))))*100</f>
        <v>63.4411315247176</v>
      </c>
      <c r="D59" s="5" t="s">
        <v>116</v>
      </c>
    </row>
    <row r="60" customFormat="false" ht="15" hidden="false" customHeight="false" outlineLevel="0" collapsed="false">
      <c r="A60" s="8" t="s">
        <v>123</v>
      </c>
      <c r="B60" s="5" t="s">
        <v>124</v>
      </c>
      <c r="C60" s="11" t="n">
        <f aca="false">C51/C53*100</f>
        <v>28.413138108429</v>
      </c>
      <c r="D60" s="5" t="s">
        <v>116</v>
      </c>
    </row>
    <row r="61" customFormat="false" ht="15" hidden="false" customHeight="false" outlineLevel="0" collapsed="false">
      <c r="A61" s="8" t="s">
        <v>125</v>
      </c>
      <c r="B61" s="5" t="s">
        <v>126</v>
      </c>
      <c r="C61" s="11" t="n">
        <f aca="false">(1-Dual!$C$33/Dual!$C$36)*100</f>
        <v>86.255125929449</v>
      </c>
      <c r="D61" s="5" t="s">
        <v>116</v>
      </c>
    </row>
    <row r="62" customFormat="false" ht="15" hidden="false" customHeight="false" outlineLevel="0" collapsed="false">
      <c r="A62" s="8" t="s">
        <v>127</v>
      </c>
      <c r="B62" s="5" t="s">
        <v>128</v>
      </c>
      <c r="C62" s="11" t="n">
        <f aca="false">C53/(Dual!$E$36-Dual!$E$34)</f>
        <v>1505.04053632514</v>
      </c>
      <c r="D62" s="5" t="s">
        <v>14</v>
      </c>
    </row>
    <row r="63" customFormat="false" ht="15" hidden="false" customHeight="false" outlineLevel="0" collapsed="false">
      <c r="A63" s="8" t="s">
        <v>129</v>
      </c>
      <c r="B63" s="5" t="s">
        <v>130</v>
      </c>
      <c r="C63" s="11" t="n">
        <f aca="false">C55/(Dual!$D$33-Dual!$D$34)</f>
        <v>724.809965136885</v>
      </c>
      <c r="D63" s="5" t="s">
        <v>10</v>
      </c>
    </row>
    <row r="64" customFormat="false" ht="15" hidden="false" customHeight="false" outlineLevel="0" collapsed="false">
      <c r="A64" s="8" t="s">
        <v>131</v>
      </c>
      <c r="B64" s="5" t="s">
        <v>132</v>
      </c>
      <c r="C64" s="11" t="n">
        <f aca="false">Dual!$B$35</f>
        <v>5747.59722020743</v>
      </c>
      <c r="D64" s="5" t="s">
        <v>10</v>
      </c>
    </row>
    <row r="65" customFormat="false" ht="15" hidden="false" customHeight="false" outlineLevel="0" collapsed="false">
      <c r="A65" s="8" t="s">
        <v>133</v>
      </c>
      <c r="B65" s="5" t="s">
        <v>134</v>
      </c>
      <c r="C65" s="11" t="n">
        <f aca="false">Dual!$C$36</f>
        <v>2182.63185577497</v>
      </c>
      <c r="D65" s="5" t="s">
        <v>14</v>
      </c>
    </row>
    <row r="66" customFormat="false" ht="15" hidden="false" customHeight="false" outlineLevel="0" collapsed="false">
      <c r="A66" s="8" t="s">
        <v>135</v>
      </c>
      <c r="B66" s="5" t="s">
        <v>136</v>
      </c>
      <c r="C66" s="9" t="n">
        <f aca="false">-Dual!$D$41/(Dual!$D$43+Dual!$D$44)</f>
        <v>0.371404954012971</v>
      </c>
      <c r="D66" s="5" t="s">
        <v>17</v>
      </c>
    </row>
    <row r="67" customFormat="false" ht="15" hidden="false" customHeight="false" outlineLevel="0" collapsed="false">
      <c r="A67" s="8" t="s">
        <v>137</v>
      </c>
      <c r="B67" s="5" t="s">
        <v>138</v>
      </c>
      <c r="C67" s="11" t="n">
        <f aca="false">C55*Dual!$C$29*1000</f>
        <v>233.779817484917</v>
      </c>
      <c r="D67" s="5" t="s">
        <v>139</v>
      </c>
    </row>
    <row r="68" customFormat="false" ht="15" hidden="false" customHeight="false" outlineLevel="0" collapsed="false">
      <c r="A68" s="8" t="s">
        <v>140</v>
      </c>
      <c r="B68" s="5" t="s">
        <v>141</v>
      </c>
      <c r="C68" s="11" t="n">
        <f aca="false">C53*Dual!$C$29*1000</f>
        <v>362.727111134665</v>
      </c>
      <c r="D68" s="5" t="s">
        <v>139</v>
      </c>
    </row>
    <row r="69" customFormat="false" ht="15" hidden="false" customHeight="false" outlineLevel="0" collapsed="false">
      <c r="A69" s="8" t="s">
        <v>142</v>
      </c>
      <c r="B69" s="5" t="s">
        <v>143</v>
      </c>
      <c r="C69" s="11" t="n">
        <f aca="false">C67*Dual!$C$17*Dual!$C$19/120/1000</f>
        <v>23.3779817484917</v>
      </c>
      <c r="D69" s="5" t="s">
        <v>144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0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7"/>
    <col collapsed="false" customWidth="true" hidden="false" outlineLevel="0" max="3" min="3" style="0" width="12"/>
    <col collapsed="false" customWidth="true" hidden="false" outlineLevel="0" max="4" min="4" style="0" width="10"/>
    <col collapsed="false" customWidth="true" hidden="false" outlineLevel="0" max="5" min="5" style="0" width="11"/>
    <col collapsed="false" customWidth="true" hidden="false" outlineLevel="0" max="6" min="6" style="0" width="12"/>
    <col collapsed="false" customWidth="true" hidden="false" outlineLevel="0" max="7" min="7" style="0" width="11"/>
  </cols>
  <sheetData>
    <row r="1" customFormat="false" ht="17.35" hidden="false" customHeight="false" outlineLevel="0" collapsed="false">
      <c r="A1" s="1" t="s">
        <v>145</v>
      </c>
    </row>
    <row r="2" customFormat="false" ht="15" hidden="false" customHeight="false" outlineLevel="0" collapsed="false">
      <c r="A2" s="2"/>
    </row>
    <row r="4" customFormat="false" ht="31.5" hidden="false" customHeight="true" outlineLevel="0" collapsed="false">
      <c r="A4" s="4" t="s">
        <v>83</v>
      </c>
      <c r="B4" s="4" t="s">
        <v>146</v>
      </c>
      <c r="C4" s="4" t="s">
        <v>73</v>
      </c>
      <c r="D4" s="4" t="s">
        <v>72</v>
      </c>
      <c r="E4" s="4" t="s">
        <v>71</v>
      </c>
      <c r="F4" s="4" t="s">
        <v>74</v>
      </c>
      <c r="G4" s="4" t="s">
        <v>75</v>
      </c>
    </row>
    <row r="5" customFormat="false" ht="15" hidden="false" customHeight="false" outlineLevel="0" collapsed="false">
      <c r="A5" s="5" t="s">
        <v>90</v>
      </c>
      <c r="B5" s="12" t="n">
        <v>0</v>
      </c>
      <c r="C5" s="16" t="n">
        <f aca="false">Dual!$D$33+(Dual!$D$34-Dual!$D$33)*B5</f>
        <v>1.08987341772152</v>
      </c>
      <c r="D5" s="11" t="n">
        <f aca="false">Dual!$C$33*(Dual!$D$33/C5)^(Dual!$C$11-1)</f>
        <v>300</v>
      </c>
      <c r="E5" s="11" t="n">
        <f aca="false">Dual!$C$14*D5/C5</f>
        <v>79</v>
      </c>
      <c r="F5" s="16" t="n">
        <f aca="false">0</f>
        <v>0</v>
      </c>
      <c r="G5" s="11" t="n">
        <f aca="false">C5*Dual!$C$29*1000000</f>
        <v>344.042094679925</v>
      </c>
    </row>
    <row r="6" customFormat="false" ht="15" hidden="false" customHeight="false" outlineLevel="0" collapsed="false">
      <c r="A6" s="5" t="s">
        <v>90</v>
      </c>
      <c r="B6" s="12" t="n">
        <v>0.052632</v>
      </c>
      <c r="C6" s="16" t="n">
        <f aca="false">Dual!$D$33+(Dual!$D$34-Dual!$D$33)*B6</f>
        <v>1.0360963386076</v>
      </c>
      <c r="D6" s="11" t="n">
        <f aca="false">Dual!$C$33*(Dual!$D$33/C6)^(Dual!$C$11-1)</f>
        <v>306.134040246995</v>
      </c>
      <c r="E6" s="11" t="n">
        <f aca="false">Dual!$C$14*D6/C6</f>
        <v>84.7995174550687</v>
      </c>
      <c r="F6" s="16" t="n">
        <f aca="false">0</f>
        <v>0</v>
      </c>
      <c r="G6" s="11" t="n">
        <f aca="false">C6*Dual!$C$29*1000000</f>
        <v>327.066197623181</v>
      </c>
    </row>
    <row r="7" customFormat="false" ht="15" hidden="false" customHeight="false" outlineLevel="0" collapsed="false">
      <c r="A7" s="5" t="s">
        <v>90</v>
      </c>
      <c r="B7" s="12" t="n">
        <v>0.105263</v>
      </c>
      <c r="C7" s="16" t="n">
        <f aca="false">Dual!$D$33+(Dual!$D$34-Dual!$D$33)*B7</f>
        <v>0.98232028125</v>
      </c>
      <c r="D7" s="11" t="n">
        <f aca="false">Dual!$C$33*(Dual!$D$33/C7)^(Dual!$C$11-1)</f>
        <v>312.7306406308</v>
      </c>
      <c r="E7" s="11" t="n">
        <f aca="false">Dual!$C$14*D7/C7</f>
        <v>91.3690733808613</v>
      </c>
      <c r="F7" s="16" t="n">
        <f aca="false">0</f>
        <v>0</v>
      </c>
      <c r="G7" s="11" t="n">
        <f aca="false">C7*Dual!$C$29*1000000</f>
        <v>310.090623105901</v>
      </c>
    </row>
    <row r="8" customFormat="false" ht="15" hidden="false" customHeight="false" outlineLevel="0" collapsed="false">
      <c r="A8" s="5" t="s">
        <v>90</v>
      </c>
      <c r="B8" s="12" t="n">
        <v>0.157895</v>
      </c>
      <c r="C8" s="16" t="n">
        <f aca="false">Dual!$D$33+(Dual!$D$34-Dual!$D$33)*B8</f>
        <v>0.928543202136076</v>
      </c>
      <c r="D8" s="11" t="n">
        <f aca="false">Dual!$C$33*(Dual!$D$33/C8)^(Dual!$C$11-1)</f>
        <v>319.853297821746</v>
      </c>
      <c r="E8" s="11" t="n">
        <f aca="false">Dual!$C$14*D8/C8</f>
        <v>98.8622783125908</v>
      </c>
      <c r="F8" s="16" t="n">
        <f aca="false">0</f>
        <v>0</v>
      </c>
      <c r="G8" s="11" t="n">
        <f aca="false">C8*Dual!$C$29*1000000</f>
        <v>293.114726049157</v>
      </c>
    </row>
    <row r="9" customFormat="false" ht="15" hidden="false" customHeight="false" outlineLevel="0" collapsed="false">
      <c r="A9" s="5" t="s">
        <v>90</v>
      </c>
      <c r="B9" s="12" t="n">
        <v>0.210526</v>
      </c>
      <c r="C9" s="16" t="n">
        <f aca="false">Dual!$D$33+(Dual!$D$34-Dual!$D$33)*B9</f>
        <v>0.874767144778481</v>
      </c>
      <c r="D9" s="11" t="n">
        <f aca="false">Dual!$C$33*(Dual!$D$33/C9)^(Dual!$C$11-1)</f>
        <v>327.577974744948</v>
      </c>
      <c r="E9" s="11" t="n">
        <f aca="false">Dual!$C$14*D9/C9</f>
        <v>107.474176771474</v>
      </c>
      <c r="F9" s="16" t="n">
        <f aca="false">0</f>
        <v>0</v>
      </c>
      <c r="G9" s="11" t="n">
        <f aca="false">C9*Dual!$C$29*1000000</f>
        <v>276.139151531876</v>
      </c>
    </row>
    <row r="10" customFormat="false" ht="15" hidden="false" customHeight="false" outlineLevel="0" collapsed="false">
      <c r="A10" s="5" t="s">
        <v>90</v>
      </c>
      <c r="B10" s="12" t="n">
        <v>0.263158</v>
      </c>
      <c r="C10" s="16" t="n">
        <f aca="false">Dual!$D$33+(Dual!$D$34-Dual!$D$33)*B10</f>
        <v>0.820990065664557</v>
      </c>
      <c r="D10" s="11" t="n">
        <f aca="false">Dual!$C$33*(Dual!$D$33/C10)^(Dual!$C$11-1)</f>
        <v>335.997865141924</v>
      </c>
      <c r="E10" s="11" t="n">
        <f aca="false">Dual!$C$14*D10/C10</f>
        <v>117.457435027152</v>
      </c>
      <c r="F10" s="16" t="n">
        <f aca="false">0</f>
        <v>0</v>
      </c>
      <c r="G10" s="11" t="n">
        <f aca="false">C10*Dual!$C$29*1000000</f>
        <v>259.163254475132</v>
      </c>
    </row>
    <row r="11" customFormat="false" ht="15" hidden="false" customHeight="false" outlineLevel="0" collapsed="false">
      <c r="A11" s="5" t="s">
        <v>90</v>
      </c>
      <c r="B11" s="12" t="n">
        <v>0.315789</v>
      </c>
      <c r="C11" s="16" t="n">
        <f aca="false">Dual!$D$33+(Dual!$D$34-Dual!$D$33)*B11</f>
        <v>0.767214008306962</v>
      </c>
      <c r="D11" s="11" t="n">
        <f aca="false">Dual!$C$33*(Dual!$D$33/C11)^(Dual!$C$11-1)</f>
        <v>345.227250357245</v>
      </c>
      <c r="E11" s="11" t="n">
        <f aca="false">Dual!$C$14*D11/C11</f>
        <v>129.14287249678</v>
      </c>
      <c r="F11" s="16" t="n">
        <f aca="false">0</f>
        <v>0</v>
      </c>
      <c r="G11" s="11" t="n">
        <f aca="false">C11*Dual!$C$29*1000000</f>
        <v>242.187679957851</v>
      </c>
    </row>
    <row r="12" customFormat="false" ht="15" hidden="false" customHeight="false" outlineLevel="0" collapsed="false">
      <c r="A12" s="5" t="s">
        <v>90</v>
      </c>
      <c r="B12" s="12" t="n">
        <v>0.368421</v>
      </c>
      <c r="C12" s="16" t="n">
        <f aca="false">Dual!$D$33+(Dual!$D$34-Dual!$D$33)*B12</f>
        <v>0.713436929193038</v>
      </c>
      <c r="D12" s="11" t="n">
        <f aca="false">Dual!$C$33*(Dual!$D$33/C12)^(Dual!$C$11-1)</f>
        <v>355.409837415374</v>
      </c>
      <c r="E12" s="11" t="n">
        <f aca="false">Dual!$C$14*D12/C12</f>
        <v>142.973568039976</v>
      </c>
      <c r="F12" s="16" t="n">
        <f aca="false">0</f>
        <v>0</v>
      </c>
      <c r="G12" s="11" t="n">
        <f aca="false">C12*Dual!$C$29*1000000</f>
        <v>225.211782901107</v>
      </c>
    </row>
    <row r="13" customFormat="false" ht="15" hidden="false" customHeight="false" outlineLevel="0" collapsed="false">
      <c r="A13" s="5" t="s">
        <v>90</v>
      </c>
      <c r="B13" s="12" t="n">
        <v>0.421053</v>
      </c>
      <c r="C13" s="16" t="n">
        <f aca="false">Dual!$D$33+(Dual!$D$34-Dual!$D$33)*B13</f>
        <v>0.659659850079114</v>
      </c>
      <c r="D13" s="11" t="n">
        <f aca="false">Dual!$C$33*(Dual!$D$33/C13)^(Dual!$C$11-1)</f>
        <v>366.727652187602</v>
      </c>
      <c r="E13" s="11" t="n">
        <f aca="false">Dual!$C$14*D13/C13</f>
        <v>159.553194218534</v>
      </c>
      <c r="F13" s="16" t="n">
        <f aca="false">0</f>
        <v>0</v>
      </c>
      <c r="G13" s="11" t="n">
        <f aca="false">C13*Dual!$C$29*1000000</f>
        <v>208.235885844363</v>
      </c>
    </row>
    <row r="14" customFormat="false" ht="15" hidden="false" customHeight="false" outlineLevel="0" collapsed="false">
      <c r="A14" s="5" t="s">
        <v>90</v>
      </c>
      <c r="B14" s="12" t="n">
        <v>0.473684</v>
      </c>
      <c r="C14" s="16" t="n">
        <f aca="false">Dual!$D$33+(Dual!$D$34-Dual!$D$33)*B14</f>
        <v>0.605883792721519</v>
      </c>
      <c r="D14" s="11" t="n">
        <f aca="false">Dual!$C$33*(Dual!$D$33/C14)^(Dual!$C$11-1)</f>
        <v>379.416265126757</v>
      </c>
      <c r="E14" s="11" t="n">
        <f aca="false">Dual!$C$14*D14/C14</f>
        <v>179.72500568509</v>
      </c>
      <c r="F14" s="16" t="n">
        <f aca="false">0</f>
        <v>0</v>
      </c>
      <c r="G14" s="11" t="n">
        <f aca="false">C14*Dual!$C$29*1000000</f>
        <v>191.260311327082</v>
      </c>
    </row>
    <row r="15" customFormat="false" ht="15" hidden="false" customHeight="false" outlineLevel="0" collapsed="false">
      <c r="A15" s="5" t="s">
        <v>90</v>
      </c>
      <c r="B15" s="12" t="n">
        <v>0.526316</v>
      </c>
      <c r="C15" s="16" t="n">
        <f aca="false">Dual!$D$33+(Dual!$D$34-Dual!$D$33)*B15</f>
        <v>0.552106713607595</v>
      </c>
      <c r="D15" s="11" t="n">
        <f aca="false">Dual!$C$33*(Dual!$D$33/C15)^(Dual!$C$11-1)</f>
        <v>393.787990815944</v>
      </c>
      <c r="E15" s="11" t="n">
        <f aca="false">Dual!$C$14*D15/C15</f>
        <v>204.701646581501</v>
      </c>
      <c r="F15" s="16" t="n">
        <f aca="false">0</f>
        <v>0</v>
      </c>
      <c r="G15" s="11" t="n">
        <f aca="false">C15*Dual!$C$29*1000000</f>
        <v>174.284414270338</v>
      </c>
    </row>
    <row r="16" customFormat="false" ht="15" hidden="false" customHeight="false" outlineLevel="0" collapsed="false">
      <c r="A16" s="5" t="s">
        <v>90</v>
      </c>
      <c r="B16" s="12" t="n">
        <v>0.578947</v>
      </c>
      <c r="C16" s="16" t="n">
        <f aca="false">Dual!$D$33+(Dual!$D$34-Dual!$D$33)*B16</f>
        <v>0.49833065625</v>
      </c>
      <c r="D16" s="11" t="n">
        <f aca="false">Dual!$C$33*(Dual!$D$33/C16)^(Dual!$C$11-1)</f>
        <v>410.26515895112</v>
      </c>
      <c r="E16" s="11" t="n">
        <f aca="false">Dual!$C$14*D16/C16</f>
        <v>236.28106989248</v>
      </c>
      <c r="F16" s="16" t="n">
        <f aca="false">0</f>
        <v>0</v>
      </c>
      <c r="G16" s="11" t="n">
        <f aca="false">C16*Dual!$C$29*1000000</f>
        <v>157.308839753058</v>
      </c>
    </row>
    <row r="17" customFormat="false" ht="15" hidden="false" customHeight="false" outlineLevel="0" collapsed="false">
      <c r="A17" s="5" t="s">
        <v>90</v>
      </c>
      <c r="B17" s="12" t="n">
        <v>0.631579</v>
      </c>
      <c r="C17" s="16" t="n">
        <f aca="false">Dual!$D$33+(Dual!$D$34-Dual!$D$33)*B17</f>
        <v>0.444553577136076</v>
      </c>
      <c r="D17" s="11" t="n">
        <f aca="false">Dual!$C$33*(Dual!$D$33/C17)^(Dual!$C$11-1)</f>
        <v>429.439546090969</v>
      </c>
      <c r="E17" s="11" t="n">
        <f aca="false">Dual!$C$14*D17/C17</f>
        <v>277.242510390108</v>
      </c>
      <c r="F17" s="16" t="n">
        <f aca="false">0</f>
        <v>0</v>
      </c>
      <c r="G17" s="11" t="n">
        <f aca="false">C17*Dual!$C$29*1000000</f>
        <v>140.332942696314</v>
      </c>
    </row>
    <row r="18" customFormat="false" ht="15" hidden="false" customHeight="false" outlineLevel="0" collapsed="false">
      <c r="A18" s="5" t="s">
        <v>90</v>
      </c>
      <c r="B18" s="12" t="n">
        <v>0.684211</v>
      </c>
      <c r="C18" s="16" t="n">
        <f aca="false">Dual!$D$33+(Dual!$D$34-Dual!$D$33)*B18</f>
        <v>0.390776498022152</v>
      </c>
      <c r="D18" s="11" t="n">
        <f aca="false">Dual!$C$33*(Dual!$D$33/C18)^(Dual!$C$11-1)</f>
        <v>452.168499893908</v>
      </c>
      <c r="E18" s="11" t="n">
        <f aca="false">Dual!$C$14*D18/C18</f>
        <v>332.088444741104</v>
      </c>
      <c r="F18" s="16" t="n">
        <f aca="false">0</f>
        <v>0</v>
      </c>
      <c r="G18" s="11" t="n">
        <f aca="false">C18*Dual!$C$29*1000000</f>
        <v>123.357045639569</v>
      </c>
    </row>
    <row r="19" customFormat="false" ht="15" hidden="false" customHeight="false" outlineLevel="0" collapsed="false">
      <c r="A19" s="5" t="s">
        <v>90</v>
      </c>
      <c r="B19" s="12" t="n">
        <v>0.736842</v>
      </c>
      <c r="C19" s="16" t="n">
        <f aca="false">Dual!$D$33+(Dual!$D$34-Dual!$D$33)*B19</f>
        <v>0.337000440664557</v>
      </c>
      <c r="D19" s="11" t="n">
        <f aca="false">Dual!$C$33*(Dual!$D$33/C19)^(Dual!$C$11-1)</f>
        <v>479.754979717299</v>
      </c>
      <c r="E19" s="11" t="n">
        <f aca="false">Dual!$C$14*D19/C19</f>
        <v>408.574181408618</v>
      </c>
      <c r="F19" s="16" t="n">
        <f aca="false">0</f>
        <v>0</v>
      </c>
      <c r="G19" s="11" t="n">
        <f aca="false">C19*Dual!$C$29*1000000</f>
        <v>106.381471122289</v>
      </c>
    </row>
    <row r="20" customFormat="false" ht="15" hidden="false" customHeight="false" outlineLevel="0" collapsed="false">
      <c r="A20" s="5" t="s">
        <v>90</v>
      </c>
      <c r="B20" s="12" t="n">
        <v>0.789474</v>
      </c>
      <c r="C20" s="16" t="n">
        <f aca="false">Dual!$D$33+(Dual!$D$34-Dual!$D$33)*B20</f>
        <v>0.283223361550633</v>
      </c>
      <c r="D20" s="11" t="n">
        <f aca="false">Dual!$C$33*(Dual!$D$33/C20)^(Dual!$C$11-1)</f>
        <v>514.304174665888</v>
      </c>
      <c r="E20" s="11" t="n">
        <f aca="false">Dual!$C$14*D20/C20</f>
        <v>521.162157390473</v>
      </c>
      <c r="F20" s="16" t="n">
        <f aca="false">0</f>
        <v>0</v>
      </c>
      <c r="G20" s="11" t="n">
        <f aca="false">C20*Dual!$C$29*1000000</f>
        <v>89.4055740655447</v>
      </c>
    </row>
    <row r="21" customFormat="false" ht="15" hidden="false" customHeight="false" outlineLevel="0" collapsed="false">
      <c r="A21" s="5" t="s">
        <v>90</v>
      </c>
      <c r="B21" s="12" t="n">
        <v>0.842105</v>
      </c>
      <c r="C21" s="16" t="n">
        <f aca="false">Dual!$D$33+(Dual!$D$34-Dual!$D$33)*B21</f>
        <v>0.229447304193038</v>
      </c>
      <c r="D21" s="11" t="n">
        <f aca="false">Dual!$C$33*(Dual!$D$33/C21)^(Dual!$C$11-1)</f>
        <v>559.497944050036</v>
      </c>
      <c r="E21" s="11" t="n">
        <f aca="false">Dual!$C$14*D21/C21</f>
        <v>699.837858226763</v>
      </c>
      <c r="F21" s="16" t="n">
        <f aca="false">0</f>
        <v>0</v>
      </c>
      <c r="G21" s="11" t="n">
        <f aca="false">C21*Dual!$C$29*1000000</f>
        <v>72.4299995482643</v>
      </c>
    </row>
    <row r="22" customFormat="false" ht="15" hidden="false" customHeight="false" outlineLevel="0" collapsed="false">
      <c r="A22" s="5" t="s">
        <v>90</v>
      </c>
      <c r="B22" s="12" t="n">
        <v>0.894737</v>
      </c>
      <c r="C22" s="16" t="n">
        <f aca="false">Dual!$D$33+(Dual!$D$34-Dual!$D$33)*B22</f>
        <v>0.175670225079114</v>
      </c>
      <c r="D22" s="11" t="n">
        <f aca="false">Dual!$C$33*(Dual!$D$33/C22)^(Dual!$C$11-1)</f>
        <v>622.576058572853</v>
      </c>
      <c r="E22" s="11" t="n">
        <f aca="false">Dual!$C$14*D22/C22</f>
        <v>1017.12927577761</v>
      </c>
      <c r="F22" s="16" t="n">
        <f aca="false">0</f>
        <v>0</v>
      </c>
      <c r="G22" s="11" t="n">
        <f aca="false">C22*Dual!$C$29*1000000</f>
        <v>55.45410249152</v>
      </c>
    </row>
    <row r="23" customFormat="false" ht="15" hidden="false" customHeight="false" outlineLevel="0" collapsed="false">
      <c r="A23" s="5" t="s">
        <v>90</v>
      </c>
      <c r="B23" s="12" t="n">
        <v>0.947368</v>
      </c>
      <c r="C23" s="16" t="n">
        <f aca="false">Dual!$D$33+(Dual!$D$34-Dual!$D$33)*B23</f>
        <v>0.121894167721519</v>
      </c>
      <c r="D23" s="11" t="n">
        <f aca="false">Dual!$C$33*(Dual!$D$33/C23)^(Dual!$C$11-1)</f>
        <v>720.573868128145</v>
      </c>
      <c r="E23" s="11" t="n">
        <f aca="false">Dual!$C$14*D23/C23</f>
        <v>1696.59224898476</v>
      </c>
      <c r="F23" s="16" t="n">
        <f aca="false">0</f>
        <v>0</v>
      </c>
      <c r="G23" s="11" t="n">
        <f aca="false">C23*Dual!$C$29*1000000</f>
        <v>38.4785279742396</v>
      </c>
    </row>
    <row r="24" customFormat="false" ht="15" hidden="false" customHeight="false" outlineLevel="0" collapsed="false">
      <c r="A24" s="5" t="s">
        <v>90</v>
      </c>
      <c r="B24" s="12" t="n">
        <v>1</v>
      </c>
      <c r="C24" s="16" t="n">
        <f aca="false">Dual!$D$33+(Dual!$D$34-Dual!$D$33)*B24</f>
        <v>0.068117088607595</v>
      </c>
      <c r="D24" s="11" t="n">
        <f aca="false">Dual!$C$33*(Dual!$D$33/C24)^(Dual!$C$11-1)</f>
        <v>909.429939906238</v>
      </c>
      <c r="E24" s="11" t="n">
        <f aca="false">Dual!$C$14*D24/C24</f>
        <v>3831.73148013828</v>
      </c>
      <c r="F24" s="16" t="n">
        <f aca="false">0</f>
        <v>0</v>
      </c>
      <c r="G24" s="11" t="n">
        <f aca="false">C24*Dual!$C$29*1000000</f>
        <v>21.5026309174954</v>
      </c>
    </row>
    <row r="25" customFormat="false" ht="15" hidden="false" customHeight="false" outlineLevel="0" collapsed="false">
      <c r="A25" s="5" t="s">
        <v>92</v>
      </c>
      <c r="B25" s="12" t="n">
        <v>0</v>
      </c>
      <c r="C25" s="16" t="n">
        <f aca="false">Dual!$D$34</f>
        <v>0.0681170886075949</v>
      </c>
      <c r="D25" s="11" t="n">
        <f aca="false">Dual!$C$34+(Dual!$C$35-Dual!$C$34)*B25</f>
        <v>909.429939906239</v>
      </c>
      <c r="E25" s="11" t="n">
        <f aca="false">Dual!$C$14*D25/C25</f>
        <v>3831.73148013829</v>
      </c>
      <c r="F25" s="16" t="n">
        <f aca="false">Dual!$C$12*LN(D25/Dual!$C$34)</f>
        <v>0</v>
      </c>
      <c r="G25" s="11" t="n">
        <f aca="false">C25*Dual!$C$29*1000000</f>
        <v>21.5026309174953</v>
      </c>
    </row>
    <row r="26" customFormat="false" ht="15" hidden="false" customHeight="false" outlineLevel="0" collapsed="false">
      <c r="A26" s="5" t="s">
        <v>92</v>
      </c>
      <c r="B26" s="12" t="n">
        <v>0.052632</v>
      </c>
      <c r="C26" s="16" t="n">
        <f aca="false">Dual!$D$34</f>
        <v>0.0681170886075949</v>
      </c>
      <c r="D26" s="11" t="n">
        <f aca="false">Dual!$C$34+(Dual!$C$35-Dual!$C$34)*B26</f>
        <v>933.362498204811</v>
      </c>
      <c r="E26" s="11" t="n">
        <f aca="false">Dual!$C$14*D26/C26</f>
        <v>3932.5673257696</v>
      </c>
      <c r="F26" s="16" t="n">
        <f aca="false">Dual!$C$12*LN(D26/Dual!$C$34)</f>
        <v>0.0186505465195773</v>
      </c>
      <c r="G26" s="11" t="n">
        <f aca="false">C26*Dual!$C$29*1000000</f>
        <v>21.5026309174953</v>
      </c>
    </row>
    <row r="27" customFormat="false" ht="15" hidden="false" customHeight="false" outlineLevel="0" collapsed="false">
      <c r="A27" s="5" t="s">
        <v>92</v>
      </c>
      <c r="B27" s="12" t="n">
        <v>0.105263</v>
      </c>
      <c r="C27" s="16" t="n">
        <f aca="false">Dual!$D$34</f>
        <v>0.0681170886075949</v>
      </c>
      <c r="D27" s="11" t="n">
        <f aca="false">Dual!$C$34+(Dual!$C$35-Dual!$C$34)*B27</f>
        <v>957.294601788414</v>
      </c>
      <c r="E27" s="11" t="n">
        <f aca="false">Dual!$C$14*D27/C27</f>
        <v>4033.40125553518</v>
      </c>
      <c r="F27" s="16" t="n">
        <f aca="false">Dual!$C$12*LN(D27/Dual!$C$34)</f>
        <v>0.0368285315202592</v>
      </c>
      <c r="G27" s="11" t="n">
        <f aca="false">C27*Dual!$C$29*1000000</f>
        <v>21.5026309174953</v>
      </c>
    </row>
    <row r="28" customFormat="false" ht="15" hidden="false" customHeight="false" outlineLevel="0" collapsed="false">
      <c r="A28" s="5" t="s">
        <v>92</v>
      </c>
      <c r="B28" s="12" t="n">
        <v>0.157895</v>
      </c>
      <c r="C28" s="16" t="n">
        <f aca="false">Dual!$D$34</f>
        <v>0.0681170886075949</v>
      </c>
      <c r="D28" s="11" t="n">
        <f aca="false">Dual!$C$34+(Dual!$C$35-Dual!$C$34)*B28</f>
        <v>981.227160086987</v>
      </c>
      <c r="E28" s="11" t="n">
        <f aca="false">Dual!$C$14*D28/C28</f>
        <v>4134.2371011665</v>
      </c>
      <c r="F28" s="16" t="n">
        <f aca="false">Dual!$C$12*LN(D28/Dual!$C$34)</f>
        <v>0.0545579687711183</v>
      </c>
      <c r="G28" s="11" t="n">
        <f aca="false">C28*Dual!$C$29*1000000</f>
        <v>21.5026309174953</v>
      </c>
    </row>
    <row r="29" customFormat="false" ht="15" hidden="false" customHeight="false" outlineLevel="0" collapsed="false">
      <c r="A29" s="5" t="s">
        <v>92</v>
      </c>
      <c r="B29" s="12" t="n">
        <v>0.210526</v>
      </c>
      <c r="C29" s="16" t="n">
        <f aca="false">Dual!$D$34</f>
        <v>0.0681170886075949</v>
      </c>
      <c r="D29" s="11" t="n">
        <f aca="false">Dual!$C$34+(Dual!$C$35-Dual!$C$34)*B29</f>
        <v>1005.15926367059</v>
      </c>
      <c r="E29" s="11" t="n">
        <f aca="false">Dual!$C$14*D29/C29</f>
        <v>4235.07103093208</v>
      </c>
      <c r="F29" s="16" t="n">
        <f aca="false">Dual!$C$12*LN(D29/Dual!$C$34)</f>
        <v>0.0718598206724775</v>
      </c>
      <c r="G29" s="11" t="n">
        <f aca="false">C29*Dual!$C$29*1000000</f>
        <v>21.5026309174953</v>
      </c>
    </row>
    <row r="30" customFormat="false" ht="15" hidden="false" customHeight="false" outlineLevel="0" collapsed="false">
      <c r="A30" s="5" t="s">
        <v>92</v>
      </c>
      <c r="B30" s="12" t="n">
        <v>0.263158</v>
      </c>
      <c r="C30" s="16" t="n">
        <f aca="false">Dual!$D$34</f>
        <v>0.0681170886075949</v>
      </c>
      <c r="D30" s="11" t="n">
        <f aca="false">Dual!$C$34+(Dual!$C$35-Dual!$C$34)*B30</f>
        <v>1029.09182196916</v>
      </c>
      <c r="E30" s="11" t="n">
        <f aca="false">Dual!$C$14*D30/C30</f>
        <v>4335.9068765634</v>
      </c>
      <c r="F30" s="16" t="n">
        <f aca="false">Dual!$C$12*LN(D30/Dual!$C$34)</f>
        <v>0.0887548537797808</v>
      </c>
      <c r="G30" s="11" t="n">
        <f aca="false">C30*Dual!$C$29*1000000</f>
        <v>21.5026309174953</v>
      </c>
    </row>
    <row r="31" customFormat="false" ht="15" hidden="false" customHeight="false" outlineLevel="0" collapsed="false">
      <c r="A31" s="5" t="s">
        <v>92</v>
      </c>
      <c r="B31" s="12" t="n">
        <v>0.315789</v>
      </c>
      <c r="C31" s="16" t="n">
        <f aca="false">Dual!$D$34</f>
        <v>0.0681170886075949</v>
      </c>
      <c r="D31" s="11" t="n">
        <f aca="false">Dual!$C$34+(Dual!$C$35-Dual!$C$34)*B31</f>
        <v>1053.02392555276</v>
      </c>
      <c r="E31" s="11" t="n">
        <f aca="false">Dual!$C$14*D31/C31</f>
        <v>4436.74080632898</v>
      </c>
      <c r="F31" s="16" t="n">
        <f aca="false">Dual!$C$12*LN(D31/Dual!$C$34)</f>
        <v>0.105261147606115</v>
      </c>
      <c r="G31" s="11" t="n">
        <f aca="false">C31*Dual!$C$29*1000000</f>
        <v>21.5026309174953</v>
      </c>
    </row>
    <row r="32" customFormat="false" ht="15" hidden="false" customHeight="false" outlineLevel="0" collapsed="false">
      <c r="A32" s="5" t="s">
        <v>92</v>
      </c>
      <c r="B32" s="12" t="n">
        <v>0.368421</v>
      </c>
      <c r="C32" s="16" t="n">
        <f aca="false">Dual!$D$34</f>
        <v>0.0681170886075949</v>
      </c>
      <c r="D32" s="11" t="n">
        <f aca="false">Dual!$C$34+(Dual!$C$35-Dual!$C$34)*B32</f>
        <v>1076.95648385134</v>
      </c>
      <c r="E32" s="11" t="n">
        <f aca="false">Dual!$C$14*D32/C32</f>
        <v>4537.5766519603</v>
      </c>
      <c r="F32" s="16" t="n">
        <f aca="false">Dual!$C$12*LN(D32/Dual!$C$34)</f>
        <v>0.121396789015989</v>
      </c>
      <c r="G32" s="11" t="n">
        <f aca="false">C32*Dual!$C$29*1000000</f>
        <v>21.5026309174953</v>
      </c>
    </row>
    <row r="33" customFormat="false" ht="15" hidden="false" customHeight="false" outlineLevel="0" collapsed="false">
      <c r="A33" s="5" t="s">
        <v>92</v>
      </c>
      <c r="B33" s="12" t="n">
        <v>0.421053</v>
      </c>
      <c r="C33" s="16" t="n">
        <f aca="false">Dual!$D$34</f>
        <v>0.0681170886075949</v>
      </c>
      <c r="D33" s="11" t="n">
        <f aca="false">Dual!$C$34+(Dual!$C$35-Dual!$C$34)*B33</f>
        <v>1100.88904214991</v>
      </c>
      <c r="E33" s="11" t="n">
        <f aca="false">Dual!$C$14*D33/C33</f>
        <v>4638.41249759162</v>
      </c>
      <c r="F33" s="16" t="n">
        <f aca="false">Dual!$C$12*LN(D33/Dual!$C$34)</f>
        <v>0.137177769256487</v>
      </c>
      <c r="G33" s="11" t="n">
        <f aca="false">C33*Dual!$C$29*1000000</f>
        <v>21.5026309174953</v>
      </c>
    </row>
    <row r="34" customFormat="false" ht="15" hidden="false" customHeight="false" outlineLevel="0" collapsed="false">
      <c r="A34" s="5" t="s">
        <v>92</v>
      </c>
      <c r="B34" s="12" t="n">
        <v>0.473684</v>
      </c>
      <c r="C34" s="16" t="n">
        <f aca="false">Dual!$D$34</f>
        <v>0.0681170886075949</v>
      </c>
      <c r="D34" s="11" t="n">
        <f aca="false">Dual!$C$34+(Dual!$C$35-Dual!$C$34)*B34</f>
        <v>1124.82114573351</v>
      </c>
      <c r="E34" s="11" t="n">
        <f aca="false">Dual!$C$14*D34/C34</f>
        <v>4739.2464273572</v>
      </c>
      <c r="F34" s="16" t="n">
        <f aca="false">Dual!$C$12*LN(D34/Dual!$C$34)</f>
        <v>0.152619054237892</v>
      </c>
      <c r="G34" s="11" t="n">
        <f aca="false">C34*Dual!$C$29*1000000</f>
        <v>21.5026309174953</v>
      </c>
    </row>
    <row r="35" customFormat="false" ht="15" hidden="false" customHeight="false" outlineLevel="0" collapsed="false">
      <c r="A35" s="5" t="s">
        <v>92</v>
      </c>
      <c r="B35" s="12" t="n">
        <v>0.526316</v>
      </c>
      <c r="C35" s="16" t="n">
        <f aca="false">Dual!$D$34</f>
        <v>0.0681170886075949</v>
      </c>
      <c r="D35" s="11" t="n">
        <f aca="false">Dual!$C$34+(Dual!$C$35-Dual!$C$34)*B35</f>
        <v>1148.75370403208</v>
      </c>
      <c r="E35" s="11" t="n">
        <f aca="false">Dual!$C$14*D35/C35</f>
        <v>4840.08227298852</v>
      </c>
      <c r="F35" s="16" t="n">
        <f aca="false">Dual!$C$12*LN(D35/Dual!$C$34)</f>
        <v>0.167735522981652</v>
      </c>
      <c r="G35" s="11" t="n">
        <f aca="false">C35*Dual!$C$29*1000000</f>
        <v>21.5026309174953</v>
      </c>
    </row>
    <row r="36" customFormat="false" ht="15" hidden="false" customHeight="false" outlineLevel="0" collapsed="false">
      <c r="A36" s="5" t="s">
        <v>92</v>
      </c>
      <c r="B36" s="12" t="n">
        <v>0.578947</v>
      </c>
      <c r="C36" s="16" t="n">
        <f aca="false">Dual!$D$34</f>
        <v>0.0681170886075949</v>
      </c>
      <c r="D36" s="11" t="n">
        <f aca="false">Dual!$C$34+(Dual!$C$35-Dual!$C$34)*B36</f>
        <v>1172.68580761569</v>
      </c>
      <c r="E36" s="11" t="n">
        <f aca="false">Dual!$C$14*D36/C36</f>
        <v>4940.9162027541</v>
      </c>
      <c r="F36" s="16" t="n">
        <f aca="false">Dual!$C$12*LN(D36/Dual!$C$34)</f>
        <v>0.182540008788449</v>
      </c>
      <c r="G36" s="11" t="n">
        <f aca="false">C36*Dual!$C$29*1000000</f>
        <v>21.5026309174953</v>
      </c>
    </row>
    <row r="37" customFormat="false" ht="15" hidden="false" customHeight="false" outlineLevel="0" collapsed="false">
      <c r="A37" s="5" t="s">
        <v>92</v>
      </c>
      <c r="B37" s="12" t="n">
        <v>0.631579</v>
      </c>
      <c r="C37" s="16" t="n">
        <f aca="false">Dual!$D$34</f>
        <v>0.0681170886075949</v>
      </c>
      <c r="D37" s="11" t="n">
        <f aca="false">Dual!$C$34+(Dual!$C$35-Dual!$C$34)*B37</f>
        <v>1196.61836591426</v>
      </c>
      <c r="E37" s="11" t="n">
        <f aca="false">Dual!$C$14*D37/C37</f>
        <v>5041.75204838541</v>
      </c>
      <c r="F37" s="16" t="n">
        <f aca="false">Dual!$C$12*LN(D37/Dual!$C$34)</f>
        <v>0.197045669573864</v>
      </c>
      <c r="G37" s="11" t="n">
        <f aca="false">C37*Dual!$C$29*1000000</f>
        <v>21.5026309174953</v>
      </c>
    </row>
    <row r="38" customFormat="false" ht="15" hidden="false" customHeight="false" outlineLevel="0" collapsed="false">
      <c r="A38" s="5" t="s">
        <v>92</v>
      </c>
      <c r="B38" s="12" t="n">
        <v>0.684211</v>
      </c>
      <c r="C38" s="16" t="n">
        <f aca="false">Dual!$D$34</f>
        <v>0.0681170886075949</v>
      </c>
      <c r="D38" s="11" t="n">
        <f aca="false">Dual!$C$34+(Dual!$C$35-Dual!$C$34)*B38</f>
        <v>1220.55092421283</v>
      </c>
      <c r="E38" s="11" t="n">
        <f aca="false">Dual!$C$14*D38/C38</f>
        <v>5142.58789401673</v>
      </c>
      <c r="F38" s="16" t="n">
        <f aca="false">Dual!$C$12*LN(D38/Dual!$C$34)</f>
        <v>0.211264068318392</v>
      </c>
      <c r="G38" s="11" t="n">
        <f aca="false">C38*Dual!$C$29*1000000</f>
        <v>21.5026309174953</v>
      </c>
    </row>
    <row r="39" customFormat="false" ht="15" hidden="false" customHeight="false" outlineLevel="0" collapsed="false">
      <c r="A39" s="5" t="s">
        <v>92</v>
      </c>
      <c r="B39" s="12" t="n">
        <v>0.736842</v>
      </c>
      <c r="C39" s="16" t="n">
        <f aca="false">Dual!$D$34</f>
        <v>0.0681170886075949</v>
      </c>
      <c r="D39" s="11" t="n">
        <f aca="false">Dual!$C$34+(Dual!$C$35-Dual!$C$34)*B39</f>
        <v>1244.48302779644</v>
      </c>
      <c r="E39" s="11" t="n">
        <f aca="false">Dual!$C$14*D39/C39</f>
        <v>5243.42182378231</v>
      </c>
      <c r="F39" s="16" t="n">
        <f aca="false">Dual!$C$12*LN(D39/Dual!$C$34)</f>
        <v>0.225206099642535</v>
      </c>
      <c r="G39" s="11" t="n">
        <f aca="false">C39*Dual!$C$29*1000000</f>
        <v>21.5026309174953</v>
      </c>
    </row>
    <row r="40" customFormat="false" ht="15" hidden="false" customHeight="false" outlineLevel="0" collapsed="false">
      <c r="A40" s="5" t="s">
        <v>92</v>
      </c>
      <c r="B40" s="12" t="n">
        <v>0.789474</v>
      </c>
      <c r="C40" s="16" t="n">
        <f aca="false">Dual!$D$34</f>
        <v>0.0681170886075949</v>
      </c>
      <c r="D40" s="11" t="n">
        <f aca="false">Dual!$C$34+(Dual!$C$35-Dual!$C$34)*B40</f>
        <v>1268.41558609501</v>
      </c>
      <c r="E40" s="11" t="n">
        <f aca="false">Dual!$C$14*D40/C40</f>
        <v>5344.25766941363</v>
      </c>
      <c r="F40" s="16" t="n">
        <f aca="false">Dual!$C$12*LN(D40/Dual!$C$34)</f>
        <v>0.238882812529893</v>
      </c>
      <c r="G40" s="11" t="n">
        <f aca="false">C40*Dual!$C$29*1000000</f>
        <v>21.5026309174953</v>
      </c>
    </row>
    <row r="41" customFormat="false" ht="15" hidden="false" customHeight="false" outlineLevel="0" collapsed="false">
      <c r="A41" s="5" t="s">
        <v>92</v>
      </c>
      <c r="B41" s="12" t="n">
        <v>0.842105</v>
      </c>
      <c r="C41" s="16" t="n">
        <f aca="false">Dual!$D$34</f>
        <v>0.0681170886075949</v>
      </c>
      <c r="D41" s="11" t="n">
        <f aca="false">Dual!$C$34+(Dual!$C$35-Dual!$C$34)*B41</f>
        <v>1292.34768967861</v>
      </c>
      <c r="E41" s="11" t="n">
        <f aca="false">Dual!$C$14*D41/C41</f>
        <v>5445.09159917921</v>
      </c>
      <c r="F41" s="16" t="n">
        <f aca="false">Dual!$C$12*LN(D41/Dual!$C$34)</f>
        <v>0.252303616268119</v>
      </c>
      <c r="G41" s="11" t="n">
        <f aca="false">C41*Dual!$C$29*1000000</f>
        <v>21.5026309174953</v>
      </c>
    </row>
    <row r="42" customFormat="false" ht="15" hidden="false" customHeight="false" outlineLevel="0" collapsed="false">
      <c r="A42" s="5" t="s">
        <v>92</v>
      </c>
      <c r="B42" s="12" t="n">
        <v>0.894737</v>
      </c>
      <c r="C42" s="16" t="n">
        <f aca="false">Dual!$D$34</f>
        <v>0.0681170886075949</v>
      </c>
      <c r="D42" s="11" t="n">
        <f aca="false">Dual!$C$34+(Dual!$C$35-Dual!$C$34)*B42</f>
        <v>1316.28024797718</v>
      </c>
      <c r="E42" s="11" t="n">
        <f aca="false">Dual!$C$14*D42/C42</f>
        <v>5545.92744481053</v>
      </c>
      <c r="F42" s="16" t="n">
        <f aca="false">Dual!$C$12*LN(D42/Dual!$C$34)</f>
        <v>0.265478403477004</v>
      </c>
      <c r="G42" s="11" t="n">
        <f aca="false">C42*Dual!$C$29*1000000</f>
        <v>21.5026309174953</v>
      </c>
    </row>
    <row r="43" customFormat="false" ht="15" hidden="false" customHeight="false" outlineLevel="0" collapsed="false">
      <c r="A43" s="5" t="s">
        <v>92</v>
      </c>
      <c r="B43" s="12" t="n">
        <v>0.947368</v>
      </c>
      <c r="C43" s="16" t="n">
        <f aca="false">Dual!$D$34</f>
        <v>0.0681170886075949</v>
      </c>
      <c r="D43" s="11" t="n">
        <f aca="false">Dual!$C$34+(Dual!$C$35-Dual!$C$34)*B43</f>
        <v>1340.21235156079</v>
      </c>
      <c r="E43" s="11" t="n">
        <f aca="false">Dual!$C$14*D43/C43</f>
        <v>5646.76137457611</v>
      </c>
      <c r="F43" s="16" t="n">
        <f aca="false">Dual!$C$12*LN(D43/Dual!$C$34)</f>
        <v>0.278415548692856</v>
      </c>
      <c r="G43" s="11" t="n">
        <f aca="false">C43*Dual!$C$29*1000000</f>
        <v>21.5026309174953</v>
      </c>
    </row>
    <row r="44" customFormat="false" ht="15" hidden="false" customHeight="false" outlineLevel="0" collapsed="false">
      <c r="A44" s="5" t="s">
        <v>92</v>
      </c>
      <c r="B44" s="12" t="n">
        <v>1</v>
      </c>
      <c r="C44" s="16" t="n">
        <f aca="false">Dual!$D$34</f>
        <v>0.0681170886075949</v>
      </c>
      <c r="D44" s="11" t="n">
        <f aca="false">Dual!$C$34+(Dual!$C$35-Dual!$C$34)*B44</f>
        <v>1364.14490985936</v>
      </c>
      <c r="E44" s="11" t="n">
        <f aca="false">Dual!$C$14*D44/C44</f>
        <v>5747.59722020743</v>
      </c>
      <c r="F44" s="16" t="n">
        <f aca="false">Dual!$C$12*LN(D44/Dual!$C$34)</f>
        <v>0.291123947621662</v>
      </c>
      <c r="G44" s="11" t="n">
        <f aca="false">C44*Dual!$C$29*1000000</f>
        <v>21.5026309174953</v>
      </c>
    </row>
    <row r="45" customFormat="false" ht="15" hidden="false" customHeight="false" outlineLevel="0" collapsed="false">
      <c r="A45" s="5" t="s">
        <v>94</v>
      </c>
      <c r="B45" s="12" t="n">
        <v>0</v>
      </c>
      <c r="C45" s="16" t="n">
        <f aca="false">Dual!$D$35*D45/Dual!$C$35</f>
        <v>0.0681170886075949</v>
      </c>
      <c r="D45" s="11" t="n">
        <f aca="false">Dual!$C$35+(Dual!$C$36-Dual!$C$35)*B45</f>
        <v>1364.14490985936</v>
      </c>
      <c r="E45" s="11" t="n">
        <f aca="false">Dual!$C$14*D45/C45</f>
        <v>5747.59722020743</v>
      </c>
      <c r="F45" s="16" t="n">
        <f aca="false">Dual!$E$35+Dual!$C$13*LN(D45/Dual!$C$35)</f>
        <v>0.291123947621662</v>
      </c>
      <c r="G45" s="11" t="n">
        <f aca="false">C45*Dual!$C$29*1000000</f>
        <v>21.5026309174953</v>
      </c>
    </row>
    <row r="46" customFormat="false" ht="15" hidden="false" customHeight="false" outlineLevel="0" collapsed="false">
      <c r="A46" s="5" t="s">
        <v>94</v>
      </c>
      <c r="B46" s="12" t="n">
        <v>0.052632</v>
      </c>
      <c r="C46" s="16" t="n">
        <f aca="false">Dual!$D$35*D46/Dual!$C$35</f>
        <v>0.0702681717721519</v>
      </c>
      <c r="D46" s="11" t="n">
        <f aca="false">Dual!$C$35+(Dual!$C$36-Dual!$C$35)*B46</f>
        <v>1407.22351479679</v>
      </c>
      <c r="E46" s="11" t="n">
        <f aca="false">Dual!$C$14*D46/C46</f>
        <v>5747.59722020743</v>
      </c>
      <c r="F46" s="16" t="n">
        <f aca="false">Dual!$E$35+Dual!$C$13*LN(D46/Dual!$C$35)</f>
        <v>0.322370233749462</v>
      </c>
      <c r="G46" s="11" t="n">
        <f aca="false">C46*Dual!$C$29*1000000</f>
        <v>22.1816667997651</v>
      </c>
    </row>
    <row r="47" customFormat="false" ht="15" hidden="false" customHeight="false" outlineLevel="0" collapsed="false">
      <c r="A47" s="5" t="s">
        <v>94</v>
      </c>
      <c r="B47" s="12" t="n">
        <v>0.105263</v>
      </c>
      <c r="C47" s="16" t="n">
        <f aca="false">Dual!$D$35*D47/Dual!$C$35</f>
        <v>0.0724192140664557</v>
      </c>
      <c r="D47" s="11" t="n">
        <f aca="false">Dual!$C$35+(Dual!$C$36-Dual!$C$35)*B47</f>
        <v>1450.30130124727</v>
      </c>
      <c r="E47" s="11" t="n">
        <f aca="false">Dual!$C$14*D47/C47</f>
        <v>5747.59722020743</v>
      </c>
      <c r="F47" s="16" t="n">
        <f aca="false">Dual!$E$35+Dual!$C$13*LN(D47/Dual!$C$35)</f>
        <v>0.352673701434125</v>
      </c>
      <c r="G47" s="11" t="n">
        <f aca="false">C47*Dual!$C$29*1000000</f>
        <v>22.8606897804563</v>
      </c>
    </row>
    <row r="48" customFormat="false" ht="15" hidden="false" customHeight="false" outlineLevel="0" collapsed="false">
      <c r="A48" s="5" t="s">
        <v>94</v>
      </c>
      <c r="B48" s="12" t="n">
        <v>0.157895</v>
      </c>
      <c r="C48" s="16" t="n">
        <f aca="false">Dual!$D$35*D48/Dual!$C$35</f>
        <v>0.0745702972310127</v>
      </c>
      <c r="D48" s="11" t="n">
        <f aca="false">Dual!$C$35+(Dual!$C$36-Dual!$C$35)*B48</f>
        <v>1493.3799061847</v>
      </c>
      <c r="E48" s="11" t="n">
        <f aca="false">Dual!$C$14*D48/C48</f>
        <v>5747.59722020743</v>
      </c>
      <c r="F48" s="16" t="n">
        <f aca="false">Dual!$E$35+Dual!$C$13*LN(D48/Dual!$C$35)</f>
        <v>0.382090670152111</v>
      </c>
      <c r="G48" s="11" t="n">
        <f aca="false">C48*Dual!$C$29*1000000</f>
        <v>23.5397256627261</v>
      </c>
    </row>
    <row r="49" customFormat="false" ht="15" hidden="false" customHeight="false" outlineLevel="0" collapsed="false">
      <c r="A49" s="5" t="s">
        <v>94</v>
      </c>
      <c r="B49" s="12" t="n">
        <v>0.210526</v>
      </c>
      <c r="C49" s="16" t="n">
        <f aca="false">Dual!$D$35*D49/Dual!$C$35</f>
        <v>0.0767213395253165</v>
      </c>
      <c r="D49" s="11" t="n">
        <f aca="false">Dual!$C$35+(Dual!$C$36-Dual!$C$35)*B49</f>
        <v>1536.45769263519</v>
      </c>
      <c r="E49" s="11" t="n">
        <f aca="false">Dual!$C$14*D49/C49</f>
        <v>5747.59722020743</v>
      </c>
      <c r="F49" s="16" t="n">
        <f aca="false">Dual!$E$35+Dual!$C$13*LN(D49/Dual!$C$35)</f>
        <v>0.410670481131899</v>
      </c>
      <c r="G49" s="11" t="n">
        <f aca="false">C49*Dual!$C$29*1000000</f>
        <v>24.2187486434173</v>
      </c>
    </row>
    <row r="50" customFormat="false" ht="15" hidden="false" customHeight="false" outlineLevel="0" collapsed="false">
      <c r="A50" s="5" t="s">
        <v>94</v>
      </c>
      <c r="B50" s="12" t="n">
        <v>0.263158</v>
      </c>
      <c r="C50" s="16" t="n">
        <f aca="false">Dual!$D$35*D50/Dual!$C$35</f>
        <v>0.0788724226898734</v>
      </c>
      <c r="D50" s="11" t="n">
        <f aca="false">Dual!$C$35+(Dual!$C$36-Dual!$C$35)*B50</f>
        <v>1579.53629757262</v>
      </c>
      <c r="E50" s="11" t="n">
        <f aca="false">Dual!$C$14*D50/C50</f>
        <v>5747.59722020743</v>
      </c>
      <c r="F50" s="16" t="n">
        <f aca="false">Dual!$E$35+Dual!$C$13*LN(D50/Dual!$C$35)</f>
        <v>0.438460494002677</v>
      </c>
      <c r="G50" s="11" t="n">
        <f aca="false">C50*Dual!$C$29*1000000</f>
        <v>24.8977845256871</v>
      </c>
    </row>
    <row r="51" customFormat="false" ht="15" hidden="false" customHeight="false" outlineLevel="0" collapsed="false">
      <c r="A51" s="5" t="s">
        <v>94</v>
      </c>
      <c r="B51" s="12" t="n">
        <v>0.315789</v>
      </c>
      <c r="C51" s="16" t="n">
        <f aca="false">Dual!$D$35*D51/Dual!$C$35</f>
        <v>0.0810234649841772</v>
      </c>
      <c r="D51" s="11" t="n">
        <f aca="false">Dual!$C$35+(Dual!$C$36-Dual!$C$35)*B51</f>
        <v>1622.6140840231</v>
      </c>
      <c r="E51" s="11" t="n">
        <f aca="false">Dual!$C$14*D51/C51</f>
        <v>5747.59722020743</v>
      </c>
      <c r="F51" s="16" t="n">
        <f aca="false">Dual!$E$35+Dual!$C$13*LN(D51/Dual!$C$35)</f>
        <v>0.465502189236249</v>
      </c>
      <c r="G51" s="11" t="n">
        <f aca="false">C51*Dual!$C$29*1000000</f>
        <v>25.5768075063783</v>
      </c>
    </row>
    <row r="52" customFormat="false" ht="15" hidden="false" customHeight="false" outlineLevel="0" collapsed="false">
      <c r="A52" s="5" t="s">
        <v>94</v>
      </c>
      <c r="B52" s="12" t="n">
        <v>0.368421</v>
      </c>
      <c r="C52" s="16" t="n">
        <f aca="false">Dual!$D$35*D52/Dual!$C$35</f>
        <v>0.0831745481487342</v>
      </c>
      <c r="D52" s="11" t="n">
        <f aca="false">Dual!$C$35+(Dual!$C$36-Dual!$C$35)*B52</f>
        <v>1665.69268896053</v>
      </c>
      <c r="E52" s="11" t="n">
        <f aca="false">Dual!$C$14*D52/C52</f>
        <v>5747.59722020743</v>
      </c>
      <c r="F52" s="16" t="n">
        <f aca="false">Dual!$E$35+Dual!$C$13*LN(D52/Dual!$C$35)</f>
        <v>0.491835787633635</v>
      </c>
      <c r="G52" s="11" t="n">
        <f aca="false">C52*Dual!$C$29*1000000</f>
        <v>26.2558433886481</v>
      </c>
    </row>
    <row r="53" customFormat="false" ht="15" hidden="false" customHeight="false" outlineLevel="0" collapsed="false">
      <c r="A53" s="5" t="s">
        <v>94</v>
      </c>
      <c r="B53" s="12" t="n">
        <v>0.421053</v>
      </c>
      <c r="C53" s="16" t="n">
        <f aca="false">Dual!$D$35*D53/Dual!$C$35</f>
        <v>0.0853256313132911</v>
      </c>
      <c r="D53" s="11" t="n">
        <f aca="false">Dual!$C$35+(Dual!$C$36-Dual!$C$35)*B53</f>
        <v>1708.77129389797</v>
      </c>
      <c r="E53" s="11" t="n">
        <f aca="false">Dual!$C$14*D53/C53</f>
        <v>5747.59722020743</v>
      </c>
      <c r="F53" s="16" t="n">
        <f aca="false">Dual!$E$35+Dual!$C$13*LN(D53/Dual!$C$35)</f>
        <v>0.517496959493131</v>
      </c>
      <c r="G53" s="11" t="n">
        <f aca="false">C53*Dual!$C$29*1000000</f>
        <v>26.9348792709178</v>
      </c>
    </row>
    <row r="54" customFormat="false" ht="15" hidden="false" customHeight="false" outlineLevel="0" collapsed="false">
      <c r="A54" s="5" t="s">
        <v>94</v>
      </c>
      <c r="B54" s="12" t="n">
        <v>0.473684</v>
      </c>
      <c r="C54" s="16" t="n">
        <f aca="false">Dual!$D$35*D54/Dual!$C$35</f>
        <v>0.087476673607595</v>
      </c>
      <c r="D54" s="11" t="n">
        <f aca="false">Dual!$C$35+(Dual!$C$36-Dual!$C$35)*B54</f>
        <v>1751.84908034845</v>
      </c>
      <c r="E54" s="11" t="n">
        <f aca="false">Dual!$C$14*D54/C54</f>
        <v>5747.59722020743</v>
      </c>
      <c r="F54" s="16" t="n">
        <f aca="false">Dual!$E$35+Dual!$C$13*LN(D54/Dual!$C$35)</f>
        <v>0.542518722667577</v>
      </c>
      <c r="G54" s="11" t="n">
        <f aca="false">C54*Dual!$C$29*1000000</f>
        <v>27.6139022516091</v>
      </c>
    </row>
    <row r="55" customFormat="false" ht="15" hidden="false" customHeight="false" outlineLevel="0" collapsed="false">
      <c r="A55" s="5" t="s">
        <v>94</v>
      </c>
      <c r="B55" s="12" t="n">
        <v>0.526316</v>
      </c>
      <c r="C55" s="16" t="n">
        <f aca="false">Dual!$D$35*D55/Dual!$C$35</f>
        <v>0.0896277567721519</v>
      </c>
      <c r="D55" s="11" t="n">
        <f aca="false">Dual!$C$35+(Dual!$C$36-Dual!$C$35)*B55</f>
        <v>1794.92768528588</v>
      </c>
      <c r="E55" s="11" t="n">
        <f aca="false">Dual!$C$14*D55/C55</f>
        <v>5747.59722020743</v>
      </c>
      <c r="F55" s="16" t="n">
        <f aca="false">Dual!$E$35+Dual!$C$13*LN(D55/Dual!$C$35)</f>
        <v>0.566933074031927</v>
      </c>
      <c r="G55" s="11" t="n">
        <f aca="false">C55*Dual!$C$29*1000000</f>
        <v>28.2929381338788</v>
      </c>
    </row>
    <row r="56" customFormat="false" ht="15" hidden="false" customHeight="false" outlineLevel="0" collapsed="false">
      <c r="A56" s="5" t="s">
        <v>94</v>
      </c>
      <c r="B56" s="12" t="n">
        <v>0.578947</v>
      </c>
      <c r="C56" s="16" t="n">
        <f aca="false">Dual!$D$35*D56/Dual!$C$35</f>
        <v>0.0917787990664557</v>
      </c>
      <c r="D56" s="11" t="n">
        <f aca="false">Dual!$C$35+(Dual!$C$36-Dual!$C$35)*B56</f>
        <v>1838.00547173637</v>
      </c>
      <c r="E56" s="11" t="n">
        <f aca="false">Dual!$C$14*D56/C56</f>
        <v>5747.59722020743</v>
      </c>
      <c r="F56" s="16" t="n">
        <f aca="false">Dual!$E$35+Dual!$C$13*LN(D56/Dual!$C$35)</f>
        <v>0.590767921919508</v>
      </c>
      <c r="G56" s="11" t="n">
        <f aca="false">C56*Dual!$C$29*1000000</f>
        <v>28.97196111457</v>
      </c>
    </row>
    <row r="57" customFormat="false" ht="15" hidden="false" customHeight="false" outlineLevel="0" collapsed="false">
      <c r="A57" s="5" t="s">
        <v>94</v>
      </c>
      <c r="B57" s="12" t="n">
        <v>0.631579</v>
      </c>
      <c r="C57" s="16" t="n">
        <f aca="false">Dual!$D$35*D57/Dual!$C$35</f>
        <v>0.0939298822310127</v>
      </c>
      <c r="D57" s="11" t="n">
        <f aca="false">Dual!$C$35+(Dual!$C$36-Dual!$C$35)*B57</f>
        <v>1881.0840766738</v>
      </c>
      <c r="E57" s="11" t="n">
        <f aca="false">Dual!$C$14*D57/C57</f>
        <v>5747.59722020743</v>
      </c>
      <c r="F57" s="16" t="n">
        <f aca="false">Dual!$E$35+Dual!$C$13*LN(D57/Dual!$C$35)</f>
        <v>0.614051004395543</v>
      </c>
      <c r="G57" s="11" t="n">
        <f aca="false">C57*Dual!$C$29*1000000</f>
        <v>29.6509969968398</v>
      </c>
    </row>
    <row r="58" customFormat="false" ht="15" hidden="false" customHeight="false" outlineLevel="0" collapsed="false">
      <c r="A58" s="5" t="s">
        <v>94</v>
      </c>
      <c r="B58" s="12" t="n">
        <v>0.684211</v>
      </c>
      <c r="C58" s="16" t="n">
        <f aca="false">Dual!$D$35*D58/Dual!$C$35</f>
        <v>0.0960809653955696</v>
      </c>
      <c r="D58" s="11" t="n">
        <f aca="false">Dual!$C$35+(Dual!$C$36-Dual!$C$35)*B58</f>
        <v>1924.16268161123</v>
      </c>
      <c r="E58" s="11" t="n">
        <f aca="false">Dual!$C$14*D58/C58</f>
        <v>5747.59722020743</v>
      </c>
      <c r="F58" s="16" t="n">
        <f aca="false">Dual!$E$35+Dual!$C$13*LN(D58/Dual!$C$35)</f>
        <v>0.636806873013764</v>
      </c>
      <c r="G58" s="11" t="n">
        <f aca="false">C58*Dual!$C$29*1000000</f>
        <v>30.3300328791096</v>
      </c>
    </row>
    <row r="59" customFormat="false" ht="15" hidden="false" customHeight="false" outlineLevel="0" collapsed="false">
      <c r="A59" s="5" t="s">
        <v>94</v>
      </c>
      <c r="B59" s="12" t="n">
        <v>0.736842</v>
      </c>
      <c r="C59" s="16" t="n">
        <f aca="false">Dual!$D$35*D59/Dual!$C$35</f>
        <v>0.0982320076898734</v>
      </c>
      <c r="D59" s="11" t="n">
        <f aca="false">Dual!$C$35+(Dual!$C$36-Dual!$C$35)*B59</f>
        <v>1967.24046806171</v>
      </c>
      <c r="E59" s="11" t="n">
        <f aca="false">Dual!$C$14*D59/C59</f>
        <v>5747.59722020743</v>
      </c>
      <c r="F59" s="16" t="n">
        <f aca="false">Dual!$E$35+Dual!$C$13*LN(D59/Dual!$C$35)</f>
        <v>0.659058458005785</v>
      </c>
      <c r="G59" s="11" t="n">
        <f aca="false">C59*Dual!$C$29*1000000</f>
        <v>31.0090558598008</v>
      </c>
    </row>
    <row r="60" customFormat="false" ht="15" hidden="false" customHeight="false" outlineLevel="0" collapsed="false">
      <c r="A60" s="5" t="s">
        <v>94</v>
      </c>
      <c r="B60" s="12" t="n">
        <v>0.789474</v>
      </c>
      <c r="C60" s="16" t="n">
        <f aca="false">Dual!$D$35*D60/Dual!$C$35</f>
        <v>0.10038309085443</v>
      </c>
      <c r="D60" s="11" t="n">
        <f aca="false">Dual!$C$35+(Dual!$C$36-Dual!$C$35)*B60</f>
        <v>2010.31907299914</v>
      </c>
      <c r="E60" s="11" t="n">
        <f aca="false">Dual!$C$14*D60/C60</f>
        <v>5747.59722020743</v>
      </c>
      <c r="F60" s="16" t="n">
        <f aca="false">Dual!$E$35+Dual!$C$13*LN(D60/Dual!$C$35)</f>
        <v>0.680828435499747</v>
      </c>
      <c r="G60" s="11" t="n">
        <f aca="false">C60*Dual!$C$29*1000000</f>
        <v>31.6880917420706</v>
      </c>
    </row>
    <row r="61" customFormat="false" ht="15" hidden="false" customHeight="false" outlineLevel="0" collapsed="false">
      <c r="A61" s="5" t="s">
        <v>94</v>
      </c>
      <c r="B61" s="12" t="n">
        <v>0.842105</v>
      </c>
      <c r="C61" s="16" t="n">
        <f aca="false">Dual!$D$35*D61/Dual!$C$35</f>
        <v>0.102534133148734</v>
      </c>
      <c r="D61" s="11" t="n">
        <f aca="false">Dual!$C$35+(Dual!$C$36-Dual!$C$35)*B61</f>
        <v>2053.39685944963</v>
      </c>
      <c r="E61" s="11" t="n">
        <f aca="false">Dual!$C$14*D61/C61</f>
        <v>5747.59722020743</v>
      </c>
      <c r="F61" s="16" t="n">
        <f aca="false">Dual!$E$35+Dual!$C$13*LN(D61/Dual!$C$35)</f>
        <v>0.702136419554739</v>
      </c>
      <c r="G61" s="11" t="n">
        <f aca="false">C61*Dual!$C$29*1000000</f>
        <v>32.3671147227618</v>
      </c>
    </row>
    <row r="62" customFormat="false" ht="15" hidden="false" customHeight="false" outlineLevel="0" collapsed="false">
      <c r="A62" s="5" t="s">
        <v>94</v>
      </c>
      <c r="B62" s="12" t="n">
        <v>0.894737</v>
      </c>
      <c r="C62" s="16" t="n">
        <f aca="false">Dual!$D$35*D62/Dual!$C$35</f>
        <v>0.104685216313291</v>
      </c>
      <c r="D62" s="11" t="n">
        <f aca="false">Dual!$C$35+(Dual!$C$36-Dual!$C$35)*B62</f>
        <v>2096.47546438706</v>
      </c>
      <c r="E62" s="11" t="n">
        <f aca="false">Dual!$C$14*D62/C62</f>
        <v>5747.59722020743</v>
      </c>
      <c r="F62" s="16" t="n">
        <f aca="false">Dual!$E$35+Dual!$C$13*LN(D62/Dual!$C$35)</f>
        <v>0.723002388332049</v>
      </c>
      <c r="G62" s="11" t="n">
        <f aca="false">C62*Dual!$C$29*1000000</f>
        <v>33.0461506050316</v>
      </c>
    </row>
    <row r="63" customFormat="false" ht="15" hidden="false" customHeight="false" outlineLevel="0" collapsed="false">
      <c r="A63" s="5" t="s">
        <v>94</v>
      </c>
      <c r="B63" s="12" t="n">
        <v>0.947368</v>
      </c>
      <c r="C63" s="16" t="n">
        <f aca="false">Dual!$D$35*D63/Dual!$C$35</f>
        <v>0.106836258607595</v>
      </c>
      <c r="D63" s="11" t="n">
        <f aca="false">Dual!$C$35+(Dual!$C$36-Dual!$C$35)*B63</f>
        <v>2139.55325083754</v>
      </c>
      <c r="E63" s="11" t="n">
        <f aca="false">Dual!$C$14*D63/C63</f>
        <v>5747.59722020743</v>
      </c>
      <c r="F63" s="16" t="n">
        <f aca="false">Dual!$E$35+Dual!$C$13*LN(D63/Dual!$C$35)</f>
        <v>0.743443547159097</v>
      </c>
      <c r="G63" s="11" t="n">
        <f aca="false">C63*Dual!$C$29*1000000</f>
        <v>33.7251735857228</v>
      </c>
    </row>
    <row r="64" customFormat="false" ht="15" hidden="false" customHeight="false" outlineLevel="0" collapsed="false">
      <c r="A64" s="5" t="s">
        <v>94</v>
      </c>
      <c r="B64" s="12" t="n">
        <v>1</v>
      </c>
      <c r="C64" s="16" t="n">
        <f aca="false">Dual!$D$35*D64/Dual!$C$35</f>
        <v>0.108987341772152</v>
      </c>
      <c r="D64" s="11" t="n">
        <f aca="false">Dual!$C$35+(Dual!$C$36-Dual!$C$35)*B64</f>
        <v>2182.63185577497</v>
      </c>
      <c r="E64" s="11" t="n">
        <f aca="false">Dual!$C$14*D64/C64</f>
        <v>5747.59722020743</v>
      </c>
      <c r="F64" s="16" t="n">
        <f aca="false">Dual!$E$35+Dual!$C$13*LN(D64/Dual!$C$35)</f>
        <v>0.763477595013626</v>
      </c>
      <c r="G64" s="11" t="n">
        <f aca="false">C64*Dual!$C$29*1000000</f>
        <v>34.4042094679925</v>
      </c>
    </row>
    <row r="65" customFormat="false" ht="15" hidden="false" customHeight="false" outlineLevel="0" collapsed="false">
      <c r="A65" s="5" t="s">
        <v>96</v>
      </c>
      <c r="B65" s="12" t="n">
        <v>0</v>
      </c>
      <c r="C65" s="16" t="n">
        <f aca="false">Dual!$D$36+(Dual!$D$37-Dual!$D$36)*B65</f>
        <v>0.108987341772152</v>
      </c>
      <c r="D65" s="11" t="n">
        <f aca="false">Dual!$C$36*(Dual!$D$36/C65)^(Dual!$C$11-1)</f>
        <v>2182.63185577497</v>
      </c>
      <c r="E65" s="11" t="n">
        <f aca="false">Dual!$C$14*D65/C65</f>
        <v>5747.59722020743</v>
      </c>
      <c r="F65" s="16" t="n">
        <f aca="false">Dual!$E$36</f>
        <v>0.763477595013626</v>
      </c>
      <c r="G65" s="11" t="n">
        <f aca="false">C65*Dual!$C$29*1000000</f>
        <v>34.4042094679925</v>
      </c>
    </row>
    <row r="66" customFormat="false" ht="15" hidden="false" customHeight="false" outlineLevel="0" collapsed="false">
      <c r="A66" s="5" t="s">
        <v>96</v>
      </c>
      <c r="B66" s="12" t="n">
        <v>0.052632</v>
      </c>
      <c r="C66" s="16" t="n">
        <f aca="false">Dual!$D$36+(Dual!$D$37-Dual!$D$36)*B66</f>
        <v>0.160613337721519</v>
      </c>
      <c r="D66" s="11" t="n">
        <f aca="false">Dual!$C$36*(Dual!$D$36/C66)^(Dual!$C$11-1)</f>
        <v>1869.0385998778</v>
      </c>
      <c r="E66" s="11" t="n">
        <f aca="false">Dual!$C$14*D66/C66</f>
        <v>3339.78538628589</v>
      </c>
      <c r="F66" s="16" t="n">
        <f aca="false">Dual!$E$36</f>
        <v>0.763477595013626</v>
      </c>
      <c r="G66" s="11" t="n">
        <f aca="false">C66*Dual!$C$29*1000000</f>
        <v>50.701070642467</v>
      </c>
    </row>
    <row r="67" customFormat="false" ht="15" hidden="false" customHeight="false" outlineLevel="0" collapsed="false">
      <c r="A67" s="5" t="s">
        <v>96</v>
      </c>
      <c r="B67" s="12" t="n">
        <v>0.105263</v>
      </c>
      <c r="C67" s="16" t="n">
        <f aca="false">Dual!$D$36+(Dual!$D$37-Dual!$D$36)*B67</f>
        <v>0.21223835278481</v>
      </c>
      <c r="D67" s="11" t="n">
        <f aca="false">Dual!$C$36*(Dual!$D$36/C67)^(Dual!$C$11-1)</f>
        <v>1671.86561967491</v>
      </c>
      <c r="E67" s="11" t="n">
        <f aca="false">Dual!$C$14*D67/C67</f>
        <v>2260.78569943105</v>
      </c>
      <c r="F67" s="16" t="n">
        <f aca="false">Dual!$E$36</f>
        <v>0.763477595013626</v>
      </c>
      <c r="G67" s="11" t="n">
        <f aca="false">C67*Dual!$C$29*1000000</f>
        <v>66.9976221790562</v>
      </c>
    </row>
    <row r="68" customFormat="false" ht="15" hidden="false" customHeight="false" outlineLevel="0" collapsed="false">
      <c r="A68" s="5" t="s">
        <v>96</v>
      </c>
      <c r="B68" s="12" t="n">
        <v>0.157895</v>
      </c>
      <c r="C68" s="16" t="n">
        <f aca="false">Dual!$D$36+(Dual!$D$37-Dual!$D$36)*B68</f>
        <v>0.263864348734177</v>
      </c>
      <c r="D68" s="11" t="n">
        <f aca="false">Dual!$C$36*(Dual!$D$36/C68)^(Dual!$C$11-1)</f>
        <v>1532.42287866726</v>
      </c>
      <c r="E68" s="11" t="n">
        <f aca="false">Dual!$C$14*D68/C68</f>
        <v>1666.78586283959</v>
      </c>
      <c r="F68" s="16" t="n">
        <f aca="false">Dual!$E$36</f>
        <v>0.763477595013626</v>
      </c>
      <c r="G68" s="11" t="n">
        <f aca="false">C68*Dual!$C$29*1000000</f>
        <v>83.2944833535307</v>
      </c>
    </row>
    <row r="69" customFormat="false" ht="15" hidden="false" customHeight="false" outlineLevel="0" collapsed="false">
      <c r="A69" s="5" t="s">
        <v>96</v>
      </c>
      <c r="B69" s="12" t="n">
        <v>0.210526</v>
      </c>
      <c r="C69" s="16" t="n">
        <f aca="false">Dual!$D$36+(Dual!$D$37-Dual!$D$36)*B69</f>
        <v>0.315489363797468</v>
      </c>
      <c r="D69" s="11" t="n">
        <f aca="false">Dual!$C$36*(Dual!$D$36/C69)^(Dual!$C$11-1)</f>
        <v>1426.71433425003</v>
      </c>
      <c r="E69" s="11" t="n">
        <f aca="false">Dual!$C$14*D69/C69</f>
        <v>1297.87898077166</v>
      </c>
      <c r="F69" s="16" t="n">
        <f aca="false">Dual!$E$36</f>
        <v>0.763477595013626</v>
      </c>
      <c r="G69" s="11" t="n">
        <f aca="false">C69*Dual!$C$29*1000000</f>
        <v>99.5910348901199</v>
      </c>
    </row>
    <row r="70" customFormat="false" ht="15" hidden="false" customHeight="false" outlineLevel="0" collapsed="false">
      <c r="A70" s="5" t="s">
        <v>96</v>
      </c>
      <c r="B70" s="12" t="n">
        <v>0.263158</v>
      </c>
      <c r="C70" s="16" t="n">
        <f aca="false">Dual!$D$36+(Dual!$D$37-Dual!$D$36)*B70</f>
        <v>0.367115359746835</v>
      </c>
      <c r="D70" s="11" t="n">
        <f aca="false">Dual!$C$36*(Dual!$D$36/C70)^(Dual!$C$11-1)</f>
        <v>1342.79554409057</v>
      </c>
      <c r="E70" s="11" t="n">
        <f aca="false">Dual!$C$14*D70/C70</f>
        <v>1049.7580962555</v>
      </c>
      <c r="F70" s="16" t="n">
        <f aca="false">Dual!$E$36</f>
        <v>0.763477595013626</v>
      </c>
      <c r="G70" s="11" t="n">
        <f aca="false">C70*Dual!$C$29*1000000</f>
        <v>115.887896064594</v>
      </c>
    </row>
    <row r="71" customFormat="false" ht="15" hidden="false" customHeight="false" outlineLevel="0" collapsed="false">
      <c r="A71" s="5" t="s">
        <v>96</v>
      </c>
      <c r="B71" s="12" t="n">
        <v>0.315789</v>
      </c>
      <c r="C71" s="16" t="n">
        <f aca="false">Dual!$D$36+(Dual!$D$37-Dual!$D$36)*B71</f>
        <v>0.418740374810127</v>
      </c>
      <c r="D71" s="11" t="n">
        <f aca="false">Dual!$C$36*(Dual!$D$36/C71)^(Dual!$C$11-1)</f>
        <v>1273.95174665667</v>
      </c>
      <c r="E71" s="11" t="n">
        <f aca="false">Dual!$C$14*D71/C71</f>
        <v>873.152371457502</v>
      </c>
      <c r="F71" s="16" t="n">
        <f aca="false">Dual!$E$36</f>
        <v>0.763477595013626</v>
      </c>
      <c r="G71" s="11" t="n">
        <f aca="false">C71*Dual!$C$29*1000000</f>
        <v>132.184447601184</v>
      </c>
    </row>
    <row r="72" customFormat="false" ht="15" hidden="false" customHeight="false" outlineLevel="0" collapsed="false">
      <c r="A72" s="5" t="s">
        <v>96</v>
      </c>
      <c r="B72" s="12" t="n">
        <v>0.368421</v>
      </c>
      <c r="C72" s="16" t="n">
        <f aca="false">Dual!$D$36+(Dual!$D$37-Dual!$D$36)*B72</f>
        <v>0.470366370759494</v>
      </c>
      <c r="D72" s="11" t="n">
        <f aca="false">Dual!$C$36*(Dual!$D$36/C72)^(Dual!$C$11-1)</f>
        <v>1216.06393293318</v>
      </c>
      <c r="E72" s="11" t="n">
        <f aca="false">Dual!$C$14*D72/C72</f>
        <v>741.996814500747</v>
      </c>
      <c r="F72" s="16" t="n">
        <f aca="false">Dual!$E$36</f>
        <v>0.763477595013626</v>
      </c>
      <c r="G72" s="11" t="n">
        <f aca="false">C72*Dual!$C$29*1000000</f>
        <v>148.481308775658</v>
      </c>
    </row>
    <row r="73" customFormat="false" ht="15" hidden="false" customHeight="false" outlineLevel="0" collapsed="false">
      <c r="A73" s="5" t="s">
        <v>96</v>
      </c>
      <c r="B73" s="12" t="n">
        <v>0.421053</v>
      </c>
      <c r="C73" s="16" t="n">
        <f aca="false">Dual!$D$36+(Dual!$D$37-Dual!$D$36)*B73</f>
        <v>0.521992366708861</v>
      </c>
      <c r="D73" s="11" t="n">
        <f aca="false">Dual!$C$36*(Dual!$D$36/C73)^(Dual!$C$11-1)</f>
        <v>1166.44765049937</v>
      </c>
      <c r="E73" s="11" t="n">
        <f aca="false">Dual!$C$14*D73/C73</f>
        <v>641.332128674666</v>
      </c>
      <c r="F73" s="16" t="n">
        <f aca="false">Dual!$E$36</f>
        <v>0.763477595013626</v>
      </c>
      <c r="G73" s="11" t="n">
        <f aca="false">C73*Dual!$C$29*1000000</f>
        <v>164.778169950133</v>
      </c>
    </row>
    <row r="74" customFormat="false" ht="15" hidden="false" customHeight="false" outlineLevel="0" collapsed="false">
      <c r="A74" s="5" t="s">
        <v>96</v>
      </c>
      <c r="B74" s="12" t="n">
        <v>0.473684</v>
      </c>
      <c r="C74" s="16" t="n">
        <f aca="false">Dual!$D$36+(Dual!$D$37-Dual!$D$36)*B74</f>
        <v>0.573617381772152</v>
      </c>
      <c r="D74" s="11" t="n">
        <f aca="false">Dual!$C$36*(Dual!$D$36/C74)^(Dual!$C$11-1)</f>
        <v>1123.26439367282</v>
      </c>
      <c r="E74" s="11" t="n">
        <f aca="false">Dual!$C$14*D74/C74</f>
        <v>562.006820623424</v>
      </c>
      <c r="F74" s="16" t="n">
        <f aca="false">Dual!$E$36</f>
        <v>0.763477595013626</v>
      </c>
      <c r="G74" s="11" t="n">
        <f aca="false">C74*Dual!$C$29*1000000</f>
        <v>181.074721486722</v>
      </c>
    </row>
    <row r="75" customFormat="false" ht="15" hidden="false" customHeight="false" outlineLevel="0" collapsed="false">
      <c r="A75" s="5" t="s">
        <v>96</v>
      </c>
      <c r="B75" s="12" t="n">
        <v>0.526316</v>
      </c>
      <c r="C75" s="16" t="n">
        <f aca="false">Dual!$D$36+(Dual!$D$37-Dual!$D$36)*B75</f>
        <v>0.625243377721519</v>
      </c>
      <c r="D75" s="11" t="n">
        <f aca="false">Dual!$C$36*(Dual!$D$36/C75)^(Dual!$C$11-1)</f>
        <v>1085.20371875463</v>
      </c>
      <c r="E75" s="11" t="n">
        <f aca="false">Dual!$C$14*D75/C75</f>
        <v>498.131573048503</v>
      </c>
      <c r="F75" s="16" t="n">
        <f aca="false">Dual!$E$36</f>
        <v>0.763477595013626</v>
      </c>
      <c r="G75" s="11" t="n">
        <f aca="false">C75*Dual!$C$29*1000000</f>
        <v>197.371582661196</v>
      </c>
    </row>
    <row r="76" customFormat="false" ht="15" hidden="false" customHeight="false" outlineLevel="0" collapsed="false">
      <c r="A76" s="5" t="s">
        <v>96</v>
      </c>
      <c r="B76" s="12" t="n">
        <v>0.578947</v>
      </c>
      <c r="C76" s="16" t="n">
        <f aca="false">Dual!$D$36+(Dual!$D$37-Dual!$D$36)*B76</f>
        <v>0.67686839278481</v>
      </c>
      <c r="D76" s="11" t="n">
        <f aca="false">Dual!$C$36*(Dual!$D$36/C76)^(Dual!$C$11-1)</f>
        <v>1051.3061856192</v>
      </c>
      <c r="E76" s="11" t="n">
        <f aca="false">Dual!$C$14*D76/C76</f>
        <v>445.765939862161</v>
      </c>
      <c r="F76" s="16" t="n">
        <f aca="false">Dual!$E$36</f>
        <v>0.763477595013626</v>
      </c>
      <c r="G76" s="11" t="n">
        <f aca="false">C76*Dual!$C$29*1000000</f>
        <v>213.668134197785</v>
      </c>
    </row>
    <row r="77" customFormat="false" ht="15" hidden="false" customHeight="false" outlineLevel="0" collapsed="false">
      <c r="A77" s="5" t="s">
        <v>96</v>
      </c>
      <c r="B77" s="12" t="n">
        <v>0.631579</v>
      </c>
      <c r="C77" s="16" t="n">
        <f aca="false">Dual!$D$36+(Dual!$D$37-Dual!$D$36)*B77</f>
        <v>0.728494388734177</v>
      </c>
      <c r="D77" s="11" t="n">
        <f aca="false">Dual!$C$36*(Dual!$D$36/C77)^(Dual!$C$11-1)</f>
        <v>1020.84646486432</v>
      </c>
      <c r="E77" s="11" t="n">
        <f aca="false">Dual!$C$14*D77/C77</f>
        <v>402.175967237227</v>
      </c>
      <c r="F77" s="16" t="n">
        <f aca="false">Dual!$E$36</f>
        <v>0.763477595013626</v>
      </c>
      <c r="G77" s="11" t="n">
        <f aca="false">C77*Dual!$C$29*1000000</f>
        <v>229.96499537226</v>
      </c>
    </row>
    <row r="78" customFormat="false" ht="15" hidden="false" customHeight="false" outlineLevel="0" collapsed="false">
      <c r="A78" s="5" t="s">
        <v>96</v>
      </c>
      <c r="B78" s="12" t="n">
        <v>0.684211</v>
      </c>
      <c r="C78" s="16" t="n">
        <f aca="false">Dual!$D$36+(Dual!$D$37-Dual!$D$36)*B78</f>
        <v>0.780120384683544</v>
      </c>
      <c r="D78" s="11" t="n">
        <f aca="false">Dual!$C$36*(Dual!$D$36/C78)^(Dual!$C$11-1)</f>
        <v>993.26758599282</v>
      </c>
      <c r="E78" s="11" t="n">
        <f aca="false">Dual!$C$14*D78/C78</f>
        <v>365.415136915794</v>
      </c>
      <c r="F78" s="16" t="n">
        <f aca="false">Dual!$E$36</f>
        <v>0.763477595013626</v>
      </c>
      <c r="G78" s="11" t="n">
        <f aca="false">C78*Dual!$C$29*1000000</f>
        <v>246.261856546734</v>
      </c>
    </row>
    <row r="79" customFormat="false" ht="15" hidden="false" customHeight="false" outlineLevel="0" collapsed="false">
      <c r="A79" s="5" t="s">
        <v>96</v>
      </c>
      <c r="B79" s="12" t="n">
        <v>0.736842</v>
      </c>
      <c r="C79" s="16" t="n">
        <f aca="false">Dual!$D$36+(Dual!$D$37-Dual!$D$36)*B79</f>
        <v>0.831745399746836</v>
      </c>
      <c r="D79" s="11" t="n">
        <f aca="false">Dual!$C$36*(Dual!$D$36/C79)^(Dual!$C$11-1)</f>
        <v>968.132390780045</v>
      </c>
      <c r="E79" s="11" t="n">
        <f aca="false">Dual!$C$14*D79/C79</f>
        <v>334.061356081375</v>
      </c>
      <c r="F79" s="16" t="n">
        <f aca="false">Dual!$E$36</f>
        <v>0.763477595013626</v>
      </c>
      <c r="G79" s="11" t="n">
        <f aca="false">C79*Dual!$C$29*1000000</f>
        <v>262.558408083324</v>
      </c>
    </row>
    <row r="80" customFormat="false" ht="15" hidden="false" customHeight="false" outlineLevel="0" collapsed="false">
      <c r="A80" s="5" t="s">
        <v>96</v>
      </c>
      <c r="B80" s="12" t="n">
        <v>0.789474</v>
      </c>
      <c r="C80" s="16" t="n">
        <f aca="false">Dual!$D$36+(Dual!$D$37-Dual!$D$36)*B80</f>
        <v>0.883371395696203</v>
      </c>
      <c r="D80" s="11" t="n">
        <f aca="false">Dual!$C$36*(Dual!$D$36/C80)^(Dual!$C$11-1)</f>
        <v>945.090898113123</v>
      </c>
      <c r="E80" s="11" t="n">
        <f aca="false">Dual!$C$14*D80/C80</f>
        <v>307.052151654396</v>
      </c>
      <c r="F80" s="16" t="n">
        <f aca="false">Dual!$E$36</f>
        <v>0.763477595013626</v>
      </c>
      <c r="G80" s="11" t="n">
        <f aca="false">C80*Dual!$C$29*1000000</f>
        <v>278.855269257798</v>
      </c>
    </row>
    <row r="81" customFormat="false" ht="15" hidden="false" customHeight="false" outlineLevel="0" collapsed="false">
      <c r="A81" s="5" t="s">
        <v>96</v>
      </c>
      <c r="B81" s="12" t="n">
        <v>0.842105</v>
      </c>
      <c r="C81" s="16" t="n">
        <f aca="false">Dual!$D$36+(Dual!$D$37-Dual!$D$36)*B81</f>
        <v>0.934996410759494</v>
      </c>
      <c r="D81" s="11" t="n">
        <f aca="false">Dual!$C$36*(Dual!$D$36/C81)^(Dual!$C$11-1)</f>
        <v>923.861642318519</v>
      </c>
      <c r="E81" s="11" t="n">
        <f aca="false">Dual!$C$14*D81/C81</f>
        <v>283.582148866257</v>
      </c>
      <c r="F81" s="16" t="n">
        <f aca="false">Dual!$E$36</f>
        <v>0.763477595013626</v>
      </c>
      <c r="G81" s="11" t="n">
        <f aca="false">C81*Dual!$C$29*1000000</f>
        <v>295.151820794387</v>
      </c>
    </row>
    <row r="82" customFormat="false" ht="15" hidden="false" customHeight="false" outlineLevel="0" collapsed="false">
      <c r="A82" s="5" t="s">
        <v>96</v>
      </c>
      <c r="B82" s="12" t="n">
        <v>0.894737</v>
      </c>
      <c r="C82" s="16" t="n">
        <f aca="false">Dual!$D$36+(Dual!$D$37-Dual!$D$36)*B82</f>
        <v>0.986622406708861</v>
      </c>
      <c r="D82" s="11" t="n">
        <f aca="false">Dual!$C$36*(Dual!$D$36/C82)^(Dual!$C$11-1)</f>
        <v>904.212536092934</v>
      </c>
      <c r="E82" s="11" t="n">
        <f aca="false">Dual!$C$14*D82/C82</f>
        <v>263.027675120751</v>
      </c>
      <c r="F82" s="16" t="n">
        <f aca="false">Dual!$E$36</f>
        <v>0.763477595013626</v>
      </c>
      <c r="G82" s="11" t="n">
        <f aca="false">C82*Dual!$C$29*1000000</f>
        <v>311.448681968862</v>
      </c>
    </row>
    <row r="83" customFormat="false" ht="15" hidden="false" customHeight="false" outlineLevel="0" collapsed="false">
      <c r="A83" s="5" t="s">
        <v>96</v>
      </c>
      <c r="B83" s="12" t="n">
        <v>0.947368</v>
      </c>
      <c r="C83" s="16" t="n">
        <f aca="false">Dual!$D$36+(Dual!$D$37-Dual!$D$36)*B83</f>
        <v>1.03824742177215</v>
      </c>
      <c r="D83" s="11" t="n">
        <f aca="false">Dual!$C$36*(Dual!$D$36/C83)^(Dual!$C$11-1)</f>
        <v>885.952767338459</v>
      </c>
      <c r="E83" s="11" t="n">
        <f aca="false">Dual!$C$14*D83/C83</f>
        <v>244.901589827341</v>
      </c>
      <c r="F83" s="16" t="n">
        <f aca="false">Dual!$E$36</f>
        <v>0.763477595013626</v>
      </c>
      <c r="G83" s="11" t="n">
        <f aca="false">C83*Dual!$C$29*1000000</f>
        <v>327.745233505451</v>
      </c>
    </row>
    <row r="84" customFormat="false" ht="15" hidden="false" customHeight="false" outlineLevel="0" collapsed="false">
      <c r="A84" s="5" t="s">
        <v>96</v>
      </c>
      <c r="B84" s="12" t="n">
        <v>1</v>
      </c>
      <c r="C84" s="16" t="n">
        <f aca="false">Dual!$D$36+(Dual!$D$37-Dual!$D$36)*B84</f>
        <v>1.08987341772152</v>
      </c>
      <c r="D84" s="11" t="n">
        <f aca="false">Dual!$C$36*(Dual!$D$36/C84)^(Dual!$C$11-1)</f>
        <v>868.921392462504</v>
      </c>
      <c r="E84" s="11" t="n">
        <f aca="false">Dual!$C$14*D84/C84</f>
        <v>228.815966681793</v>
      </c>
      <c r="F84" s="16" t="n">
        <f aca="false">Dual!$E$36</f>
        <v>0.763477595013626</v>
      </c>
      <c r="G84" s="11" t="n">
        <f aca="false">C84*Dual!$C$29*1000000</f>
        <v>344.042094679925</v>
      </c>
    </row>
    <row r="85" customFormat="false" ht="15" hidden="false" customHeight="false" outlineLevel="0" collapsed="false">
      <c r="A85" s="5" t="s">
        <v>98</v>
      </c>
      <c r="B85" s="12" t="n">
        <v>0</v>
      </c>
      <c r="C85" s="16" t="n">
        <f aca="false">Dual!$D$33</f>
        <v>1.08987341772152</v>
      </c>
      <c r="D85" s="11" t="n">
        <f aca="false">Dual!$C$37+(Dual!$C$33-Dual!$C$37)*B85</f>
        <v>868.921392462504</v>
      </c>
      <c r="E85" s="11" t="n">
        <f aca="false">Dual!$C$14*D85/C85</f>
        <v>228.815966681793</v>
      </c>
      <c r="F85" s="16" t="n">
        <f aca="false">Dual!$E$37+Dual!$C$12*LN(D85/Dual!$C$37)</f>
        <v>0.763477595013626</v>
      </c>
      <c r="G85" s="11" t="n">
        <f aca="false">C85*Dual!$C$29*1000000</f>
        <v>344.042094679925</v>
      </c>
    </row>
    <row r="86" customFormat="false" ht="15" hidden="false" customHeight="false" outlineLevel="0" collapsed="false">
      <c r="A86" s="5" t="s">
        <v>98</v>
      </c>
      <c r="B86" s="12" t="n">
        <v>0.052632</v>
      </c>
      <c r="C86" s="16" t="n">
        <f aca="false">Dual!$D$33</f>
        <v>1.08987341772152</v>
      </c>
      <c r="D86" s="11" t="n">
        <f aca="false">Dual!$C$37+(Dual!$C$33-Dual!$C$37)*B86</f>
        <v>838.977921734417</v>
      </c>
      <c r="E86" s="11" t="n">
        <f aca="false">Dual!$C$14*D86/C86</f>
        <v>220.930852723396</v>
      </c>
      <c r="F86" s="16" t="n">
        <f aca="false">Dual!$E$37+Dual!$C$12*LN(D86/Dual!$C$37)</f>
        <v>0.738298575312465</v>
      </c>
      <c r="G86" s="11" t="n">
        <f aca="false">C86*Dual!$C$29*1000000</f>
        <v>344.042094679925</v>
      </c>
    </row>
    <row r="87" customFormat="false" ht="15" hidden="false" customHeight="false" outlineLevel="0" collapsed="false">
      <c r="A87" s="5" t="s">
        <v>98</v>
      </c>
      <c r="B87" s="12" t="n">
        <v>0.105263</v>
      </c>
      <c r="C87" s="16" t="n">
        <f aca="false">Dual!$D$33</f>
        <v>1.08987341772152</v>
      </c>
      <c r="D87" s="11" t="n">
        <f aca="false">Dual!$C$37+(Dual!$C$33-Dual!$C$37)*B87</f>
        <v>809.035019927723</v>
      </c>
      <c r="E87" s="11" t="n">
        <f aca="false">Dual!$C$14*D87/C87</f>
        <v>213.045888580967</v>
      </c>
      <c r="F87" s="16" t="n">
        <f aca="false">Dual!$E$37+Dual!$C$12*LN(D87/Dual!$C$37)</f>
        <v>0.712204884973258</v>
      </c>
      <c r="G87" s="11" t="n">
        <f aca="false">C87*Dual!$C$29*1000000</f>
        <v>344.042094679925</v>
      </c>
    </row>
    <row r="88" customFormat="false" ht="15" hidden="false" customHeight="false" outlineLevel="0" collapsed="false">
      <c r="A88" s="5" t="s">
        <v>98</v>
      </c>
      <c r="B88" s="12" t="n">
        <v>0.157895</v>
      </c>
      <c r="C88" s="16" t="n">
        <f aca="false">Dual!$D$33</f>
        <v>1.08987341772152</v>
      </c>
      <c r="D88" s="11" t="n">
        <f aca="false">Dual!$C$37+(Dual!$C$33-Dual!$C$37)*B88</f>
        <v>779.091549199637</v>
      </c>
      <c r="E88" s="11" t="n">
        <f aca="false">Dual!$C$14*D88/C88</f>
        <v>205.160774622571</v>
      </c>
      <c r="F88" s="16" t="n">
        <f aca="false">Dual!$E$37+Dual!$C$12*LN(D88/Dual!$C$37)</f>
        <v>0.685126488840295</v>
      </c>
      <c r="G88" s="11" t="n">
        <f aca="false">C88*Dual!$C$29*1000000</f>
        <v>344.042094679925</v>
      </c>
    </row>
    <row r="89" customFormat="false" ht="15" hidden="false" customHeight="false" outlineLevel="0" collapsed="false">
      <c r="A89" s="5" t="s">
        <v>98</v>
      </c>
      <c r="B89" s="12" t="n">
        <v>0.210526</v>
      </c>
      <c r="C89" s="16" t="n">
        <f aca="false">Dual!$D$33</f>
        <v>1.08987341772152</v>
      </c>
      <c r="D89" s="11" t="n">
        <f aca="false">Dual!$C$37+(Dual!$C$33-Dual!$C$37)*B89</f>
        <v>749.148647392943</v>
      </c>
      <c r="E89" s="11" t="n">
        <f aca="false">Dual!$C$14*D89/C89</f>
        <v>197.275810480142</v>
      </c>
      <c r="F89" s="16" t="n">
        <f aca="false">Dual!$E$37+Dual!$C$12*LN(D89/Dual!$C$37)</f>
        <v>0.656987253596004</v>
      </c>
      <c r="G89" s="11" t="n">
        <f aca="false">C89*Dual!$C$29*1000000</f>
        <v>344.042094679925</v>
      </c>
    </row>
    <row r="90" customFormat="false" ht="15" hidden="false" customHeight="false" outlineLevel="0" collapsed="false">
      <c r="A90" s="5" t="s">
        <v>98</v>
      </c>
      <c r="B90" s="12" t="n">
        <v>0.263158</v>
      </c>
      <c r="C90" s="16" t="n">
        <f aca="false">Dual!$D$33</f>
        <v>1.08987341772152</v>
      </c>
      <c r="D90" s="11" t="n">
        <f aca="false">Dual!$C$37+(Dual!$C$33-Dual!$C$37)*B90</f>
        <v>719.205176664856</v>
      </c>
      <c r="E90" s="11" t="n">
        <f aca="false">Dual!$C$14*D90/C90</f>
        <v>189.390696521745</v>
      </c>
      <c r="F90" s="16" t="n">
        <f aca="false">Dual!$E$37+Dual!$C$12*LN(D90/Dual!$C$37)</f>
        <v>0.627699499386904</v>
      </c>
      <c r="G90" s="11" t="n">
        <f aca="false">C90*Dual!$C$29*1000000</f>
        <v>344.042094679925</v>
      </c>
    </row>
    <row r="91" customFormat="false" ht="15" hidden="false" customHeight="false" outlineLevel="0" collapsed="false">
      <c r="A91" s="5" t="s">
        <v>98</v>
      </c>
      <c r="B91" s="12" t="n">
        <v>0.315789</v>
      </c>
      <c r="C91" s="16" t="n">
        <f aca="false">Dual!$D$33</f>
        <v>1.08987341772152</v>
      </c>
      <c r="D91" s="11" t="n">
        <f aca="false">Dual!$C$37+(Dual!$C$33-Dual!$C$37)*B91</f>
        <v>689.262274858162</v>
      </c>
      <c r="E91" s="11" t="n">
        <f aca="false">Dual!$C$14*D91/C91</f>
        <v>181.505732379316</v>
      </c>
      <c r="F91" s="16" t="n">
        <f aca="false">Dual!$E$37+Dual!$C$12*LN(D91/Dual!$C$37)</f>
        <v>0.597166677055261</v>
      </c>
      <c r="G91" s="11" t="n">
        <f aca="false">C91*Dual!$C$29*1000000</f>
        <v>344.042094679925</v>
      </c>
    </row>
    <row r="92" customFormat="false" ht="15" hidden="false" customHeight="false" outlineLevel="0" collapsed="false">
      <c r="A92" s="5" t="s">
        <v>98</v>
      </c>
      <c r="B92" s="12" t="n">
        <v>0.368421</v>
      </c>
      <c r="C92" s="16" t="n">
        <f aca="false">Dual!$D$33</f>
        <v>1.08987341772152</v>
      </c>
      <c r="D92" s="11" t="n">
        <f aca="false">Dual!$C$37+(Dual!$C$33-Dual!$C$37)*B92</f>
        <v>659.318804130076</v>
      </c>
      <c r="E92" s="11" t="n">
        <f aca="false">Dual!$C$14*D92/C92</f>
        <v>173.62061842092</v>
      </c>
      <c r="F92" s="16" t="n">
        <f aca="false">Dual!$E$37+Dual!$C$12*LN(D92/Dual!$C$37)</f>
        <v>0.565276942786272</v>
      </c>
      <c r="G92" s="11" t="n">
        <f aca="false">C92*Dual!$C$29*1000000</f>
        <v>344.042094679925</v>
      </c>
    </row>
    <row r="93" customFormat="false" ht="15" hidden="false" customHeight="false" outlineLevel="0" collapsed="false">
      <c r="A93" s="5" t="s">
        <v>98</v>
      </c>
      <c r="B93" s="12" t="n">
        <v>0.421053</v>
      </c>
      <c r="C93" s="16" t="n">
        <f aca="false">Dual!$D$33</f>
        <v>1.08987341772152</v>
      </c>
      <c r="D93" s="11" t="n">
        <f aca="false">Dual!$C$37+(Dual!$C$33-Dual!$C$37)*B93</f>
        <v>629.375333401989</v>
      </c>
      <c r="E93" s="11" t="n">
        <f aca="false">Dual!$C$14*D93/C93</f>
        <v>165.735504462524</v>
      </c>
      <c r="F93" s="16" t="n">
        <f aca="false">Dual!$E$37+Dual!$C$12*LN(D93/Dual!$C$37)</f>
        <v>0.531904737994144</v>
      </c>
      <c r="G93" s="11" t="n">
        <f aca="false">C93*Dual!$C$29*1000000</f>
        <v>344.042094679925</v>
      </c>
    </row>
    <row r="94" customFormat="false" ht="15" hidden="false" customHeight="false" outlineLevel="0" collapsed="false">
      <c r="A94" s="5" t="s">
        <v>98</v>
      </c>
      <c r="B94" s="12" t="n">
        <v>0.473684</v>
      </c>
      <c r="C94" s="16" t="n">
        <f aca="false">Dual!$D$33</f>
        <v>1.08987341772152</v>
      </c>
      <c r="D94" s="11" t="n">
        <f aca="false">Dual!$C$37+(Dual!$C$33-Dual!$C$37)*B94</f>
        <v>599.432431595295</v>
      </c>
      <c r="E94" s="11" t="n">
        <f aca="false">Dual!$C$14*D94/C94</f>
        <v>157.850540320094</v>
      </c>
      <c r="F94" s="16" t="n">
        <f aca="false">Dual!$E$37+Dual!$C$12*LN(D94/Dual!$C$37)</f>
        <v>0.496906163283423</v>
      </c>
      <c r="G94" s="11" t="n">
        <f aca="false">C94*Dual!$C$29*1000000</f>
        <v>344.042094679925</v>
      </c>
    </row>
    <row r="95" customFormat="false" ht="15" hidden="false" customHeight="false" outlineLevel="0" collapsed="false">
      <c r="A95" s="5" t="s">
        <v>98</v>
      </c>
      <c r="B95" s="12" t="n">
        <v>0.526316</v>
      </c>
      <c r="C95" s="16" t="n">
        <f aca="false">Dual!$D$33</f>
        <v>1.08987341772152</v>
      </c>
      <c r="D95" s="11" t="n">
        <f aca="false">Dual!$C$37+(Dual!$C$33-Dual!$C$37)*B95</f>
        <v>569.488960867209</v>
      </c>
      <c r="E95" s="11" t="n">
        <f aca="false">Dual!$C$14*D95/C95</f>
        <v>149.965426361698</v>
      </c>
      <c r="F95" s="16" t="n">
        <f aca="false">Dual!$E$37+Dual!$C$12*LN(D95/Dual!$C$37)</f>
        <v>0.460113070806748</v>
      </c>
      <c r="G95" s="11" t="n">
        <f aca="false">C95*Dual!$C$29*1000000</f>
        <v>344.042094679925</v>
      </c>
    </row>
    <row r="96" customFormat="false" ht="15" hidden="false" customHeight="false" outlineLevel="0" collapsed="false">
      <c r="A96" s="5" t="s">
        <v>98</v>
      </c>
      <c r="B96" s="12" t="n">
        <v>0.578947</v>
      </c>
      <c r="C96" s="16" t="n">
        <f aca="false">Dual!$D$33</f>
        <v>1.08987341772152</v>
      </c>
      <c r="D96" s="11" t="n">
        <f aca="false">Dual!$C$37+(Dual!$C$33-Dual!$C$37)*B96</f>
        <v>539.546059060515</v>
      </c>
      <c r="E96" s="11" t="n">
        <f aca="false">Dual!$C$14*D96/C96</f>
        <v>142.080462219269</v>
      </c>
      <c r="F96" s="16" t="n">
        <f aca="false">Dual!$E$37+Dual!$C$12*LN(D96/Dual!$C$37)</f>
        <v>0.421332997517032</v>
      </c>
      <c r="G96" s="11" t="n">
        <f aca="false">C96*Dual!$C$29*1000000</f>
        <v>344.042094679925</v>
      </c>
    </row>
    <row r="97" customFormat="false" ht="15" hidden="false" customHeight="false" outlineLevel="0" collapsed="false">
      <c r="A97" s="5" t="s">
        <v>98</v>
      </c>
      <c r="B97" s="12" t="n">
        <v>0.631579</v>
      </c>
      <c r="C97" s="16" t="n">
        <f aca="false">Dual!$D$33</f>
        <v>1.08987341772152</v>
      </c>
      <c r="D97" s="11" t="n">
        <f aca="false">Dual!$C$37+(Dual!$C$33-Dual!$C$37)*B97</f>
        <v>509.602588332428</v>
      </c>
      <c r="E97" s="11" t="n">
        <f aca="false">Dual!$C$14*D97/C97</f>
        <v>134.195348260873</v>
      </c>
      <c r="F97" s="16" t="n">
        <f aca="false">Dual!$E$37+Dual!$C$12*LN(D97/Dual!$C$37)</f>
        <v>0.38033737214525</v>
      </c>
      <c r="G97" s="11" t="n">
        <f aca="false">C97*Dual!$C$29*1000000</f>
        <v>344.042094679925</v>
      </c>
    </row>
    <row r="98" customFormat="false" ht="15" hidden="false" customHeight="false" outlineLevel="0" collapsed="false">
      <c r="A98" s="5" t="s">
        <v>98</v>
      </c>
      <c r="B98" s="12" t="n">
        <v>0.684211</v>
      </c>
      <c r="C98" s="16" t="n">
        <f aca="false">Dual!$D$33</f>
        <v>1.08987341772152</v>
      </c>
      <c r="D98" s="11" t="n">
        <f aca="false">Dual!$C$37+(Dual!$C$33-Dual!$C$37)*B98</f>
        <v>479.659117604342</v>
      </c>
      <c r="E98" s="11" t="n">
        <f aca="false">Dual!$C$14*D98/C98</f>
        <v>126.310234302477</v>
      </c>
      <c r="F98" s="16" t="n">
        <f aca="false">Dual!$E$37+Dual!$C$12*LN(D98/Dual!$C$37)</f>
        <v>0.336858520677231</v>
      </c>
      <c r="G98" s="11" t="n">
        <f aca="false">C98*Dual!$C$29*1000000</f>
        <v>344.042094679925</v>
      </c>
    </row>
    <row r="99" customFormat="false" ht="15" hidden="false" customHeight="false" outlineLevel="0" collapsed="false">
      <c r="A99" s="5" t="s">
        <v>98</v>
      </c>
      <c r="B99" s="12" t="n">
        <v>0.736842</v>
      </c>
      <c r="C99" s="16" t="n">
        <f aca="false">Dual!$D$33</f>
        <v>1.08987341772152</v>
      </c>
      <c r="D99" s="11" t="n">
        <f aca="false">Dual!$C$37+(Dual!$C$33-Dual!$C$37)*B99</f>
        <v>449.716215797648</v>
      </c>
      <c r="E99" s="11" t="n">
        <f aca="false">Dual!$C$14*D99/C99</f>
        <v>118.425270160047</v>
      </c>
      <c r="F99" s="16" t="n">
        <f aca="false">Dual!$E$37+Dual!$C$12*LN(D99/Dual!$C$37)</f>
        <v>0.290577010602194</v>
      </c>
      <c r="G99" s="11" t="n">
        <f aca="false">C99*Dual!$C$29*1000000</f>
        <v>344.042094679925</v>
      </c>
    </row>
    <row r="100" customFormat="false" ht="15" hidden="false" customHeight="false" outlineLevel="0" collapsed="false">
      <c r="A100" s="5" t="s">
        <v>98</v>
      </c>
      <c r="B100" s="12" t="n">
        <v>0.789474</v>
      </c>
      <c r="C100" s="16" t="n">
        <f aca="false">Dual!$D$33</f>
        <v>1.08987341772152</v>
      </c>
      <c r="D100" s="11" t="n">
        <f aca="false">Dual!$C$37+(Dual!$C$33-Dual!$C$37)*B100</f>
        <v>419.772745069561</v>
      </c>
      <c r="E100" s="11" t="n">
        <f aca="false">Dual!$C$14*D100/C100</f>
        <v>110.540156201651</v>
      </c>
      <c r="F100" s="16" t="n">
        <f aca="false">Dual!$E$37+Dual!$C$12*LN(D100/Dual!$C$37)</f>
        <v>0.241104462311049</v>
      </c>
      <c r="G100" s="11" t="n">
        <f aca="false">C100*Dual!$C$29*1000000</f>
        <v>344.042094679925</v>
      </c>
    </row>
    <row r="101" customFormat="false" ht="15" hidden="false" customHeight="false" outlineLevel="0" collapsed="false">
      <c r="A101" s="5" t="s">
        <v>98</v>
      </c>
      <c r="B101" s="12" t="n">
        <v>0.842105</v>
      </c>
      <c r="C101" s="16" t="n">
        <f aca="false">Dual!$D$33</f>
        <v>1.08987341772152</v>
      </c>
      <c r="D101" s="11" t="n">
        <f aca="false">Dual!$C$37+(Dual!$C$33-Dual!$C$37)*B101</f>
        <v>389.829843262867</v>
      </c>
      <c r="E101" s="11" t="n">
        <f aca="false">Dual!$C$14*D101/C101</f>
        <v>102.655192059222</v>
      </c>
      <c r="F101" s="16" t="n">
        <f aca="false">Dual!$E$37+Dual!$C$12*LN(D101/Dual!$C$37)</f>
        <v>0.187970209887671</v>
      </c>
      <c r="G101" s="11" t="n">
        <f aca="false">C101*Dual!$C$29*1000000</f>
        <v>344.042094679925</v>
      </c>
    </row>
    <row r="102" customFormat="false" ht="15" hidden="false" customHeight="false" outlineLevel="0" collapsed="false">
      <c r="A102" s="5" t="s">
        <v>98</v>
      </c>
      <c r="B102" s="12" t="n">
        <v>0.894737</v>
      </c>
      <c r="C102" s="16" t="n">
        <f aca="false">Dual!$D$33</f>
        <v>1.08987341772152</v>
      </c>
      <c r="D102" s="11" t="n">
        <f aca="false">Dual!$C$37+(Dual!$C$33-Dual!$C$37)*B102</f>
        <v>359.886372534781</v>
      </c>
      <c r="E102" s="11" t="n">
        <f aca="false">Dual!$C$14*D102/C102</f>
        <v>94.7700781008255</v>
      </c>
      <c r="F102" s="16" t="n">
        <f aca="false">Dual!$E$37+Dual!$C$12*LN(D102/Dual!$C$37)</f>
        <v>0.130586217613116</v>
      </c>
      <c r="G102" s="11" t="n">
        <f aca="false">C102*Dual!$C$29*1000000</f>
        <v>344.042094679925</v>
      </c>
    </row>
    <row r="103" customFormat="false" ht="15" hidden="false" customHeight="false" outlineLevel="0" collapsed="false">
      <c r="A103" s="5" t="s">
        <v>98</v>
      </c>
      <c r="B103" s="12" t="n">
        <v>0.947368</v>
      </c>
      <c r="C103" s="16" t="n">
        <f aca="false">Dual!$D$33</f>
        <v>1.08987341772152</v>
      </c>
      <c r="D103" s="11" t="n">
        <f aca="false">Dual!$C$37+(Dual!$C$33-Dual!$C$37)*B103</f>
        <v>329.943470728087</v>
      </c>
      <c r="E103" s="11" t="n">
        <f aca="false">Dual!$C$14*D103/C103</f>
        <v>86.8851139583961</v>
      </c>
      <c r="F103" s="16" t="n">
        <f aca="false">Dual!$E$37+Dual!$C$12*LN(D103/Dual!$C$37)</f>
        <v>0.0682157038463491</v>
      </c>
      <c r="G103" s="11" t="n">
        <f aca="false">C103*Dual!$C$29*1000000</f>
        <v>344.042094679925</v>
      </c>
    </row>
    <row r="104" customFormat="false" ht="15" hidden="false" customHeight="false" outlineLevel="0" collapsed="false">
      <c r="A104" s="5" t="s">
        <v>98</v>
      </c>
      <c r="B104" s="12" t="n">
        <v>1</v>
      </c>
      <c r="C104" s="16" t="n">
        <f aca="false">Dual!$D$33</f>
        <v>1.08987341772152</v>
      </c>
      <c r="D104" s="11" t="n">
        <f aca="false">Dual!$C$37+(Dual!$C$33-Dual!$C$37)*B104</f>
        <v>300</v>
      </c>
      <c r="E104" s="11" t="n">
        <f aca="false">Dual!$C$14*D104/C104</f>
        <v>79</v>
      </c>
      <c r="F104" s="16" t="n">
        <f aca="false">Dual!$E$37+Dual!$C$12*LN(D104/Dual!$C$37)</f>
        <v>-9.4000725849086E-005</v>
      </c>
      <c r="G104" s="11" t="n">
        <f aca="false">C104*Dual!$C$29*1000000</f>
        <v>344.042094679925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8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12"/>
    <col collapsed="false" customWidth="true" hidden="false" outlineLevel="0" max="4" min="3" style="0" width="11"/>
    <col collapsed="false" customWidth="true" hidden="false" outlineLevel="0" max="5" min="5" style="0" width="10"/>
  </cols>
  <sheetData>
    <row r="1" customFormat="false" ht="17.35" hidden="false" customHeight="false" outlineLevel="0" collapsed="false">
      <c r="A1" s="1" t="s">
        <v>147</v>
      </c>
    </row>
    <row r="2" customFormat="false" ht="15" hidden="false" customHeight="false" outlineLevel="0" collapsed="false">
      <c r="A2" s="2" t="s">
        <v>148</v>
      </c>
    </row>
    <row r="4" customFormat="false" ht="31.5" hidden="false" customHeight="true" outlineLevel="0" collapsed="false">
      <c r="A4" s="4" t="s">
        <v>149</v>
      </c>
      <c r="B4" s="4" t="s">
        <v>150</v>
      </c>
      <c r="C4" s="4" t="s">
        <v>75</v>
      </c>
      <c r="D4" s="4" t="s">
        <v>71</v>
      </c>
      <c r="E4" s="4" t="s">
        <v>72</v>
      </c>
      <c r="G4" s="15" t="s">
        <v>151</v>
      </c>
    </row>
    <row r="5" customFormat="false" ht="15" hidden="false" customHeight="false" outlineLevel="0" collapsed="false">
      <c r="A5" s="17" t="n">
        <v>0</v>
      </c>
      <c r="B5" s="5" t="s">
        <v>152</v>
      </c>
      <c r="C5" s="11" t="n">
        <f aca="false">Dual!$C$25+Dual!$C$24/2*((1-COS(RADIANS(A5)))+1/Dual!$C$27*(1-SQRT(1-Dual!$C$27^2*SIN(RADIANS(A5))^2)))</f>
        <v>21.5026309174953</v>
      </c>
      <c r="D5" s="11" t="n">
        <f aca="false">Dual!$C$6</f>
        <v>79</v>
      </c>
      <c r="E5" s="11" t="n">
        <f aca="false">Dual!$C$7</f>
        <v>300</v>
      </c>
    </row>
    <row r="6" customFormat="false" ht="15" hidden="false" customHeight="false" outlineLevel="0" collapsed="false">
      <c r="A6" s="17" t="n">
        <v>4</v>
      </c>
      <c r="B6" s="5" t="s">
        <v>152</v>
      </c>
      <c r="C6" s="11" t="n">
        <f aca="false">Dual!$C$25+Dual!$C$24/2*((1-COS(RADIANS(A6)))+1/Dual!$C$27*(1-SQRT(1-Dual!$C$27^2*SIN(RADIANS(A6))^2)))</f>
        <v>21.9965708280723</v>
      </c>
      <c r="D6" s="11" t="n">
        <f aca="false">Dual!$C$6</f>
        <v>79</v>
      </c>
      <c r="E6" s="11" t="n">
        <f aca="false">Dual!$C$7</f>
        <v>300</v>
      </c>
    </row>
    <row r="7" customFormat="false" ht="15" hidden="false" customHeight="false" outlineLevel="0" collapsed="false">
      <c r="A7" s="17" t="n">
        <v>8</v>
      </c>
      <c r="B7" s="5" t="s">
        <v>152</v>
      </c>
      <c r="C7" s="11" t="n">
        <f aca="false">Dual!$C$25+Dual!$C$24/2*((1-COS(RADIANS(A7)))+1/Dual!$C$27*(1-SQRT(1-Dual!$C$27^2*SIN(RADIANS(A7))^2)))</f>
        <v>23.4746058760779</v>
      </c>
      <c r="D7" s="11" t="n">
        <f aca="false">Dual!$C$6</f>
        <v>79</v>
      </c>
      <c r="E7" s="11" t="n">
        <f aca="false">Dual!$C$7</f>
        <v>300</v>
      </c>
    </row>
    <row r="8" customFormat="false" ht="15" hidden="false" customHeight="false" outlineLevel="0" collapsed="false">
      <c r="A8" s="17" t="n">
        <v>12</v>
      </c>
      <c r="B8" s="5" t="s">
        <v>152</v>
      </c>
      <c r="C8" s="11" t="n">
        <f aca="false">Dual!$C$25+Dual!$C$24/2*((1-COS(RADIANS(A8)))+1/Dual!$C$27*(1-SQRT(1-Dual!$C$27^2*SIN(RADIANS(A8))^2)))</f>
        <v>25.9254206925187</v>
      </c>
      <c r="D8" s="11" t="n">
        <f aca="false">Dual!$C$6</f>
        <v>79</v>
      </c>
      <c r="E8" s="11" t="n">
        <f aca="false">Dual!$C$7</f>
        <v>300</v>
      </c>
    </row>
    <row r="9" customFormat="false" ht="15" hidden="false" customHeight="false" outlineLevel="0" collapsed="false">
      <c r="A9" s="17" t="n">
        <v>16</v>
      </c>
      <c r="B9" s="5" t="s">
        <v>152</v>
      </c>
      <c r="C9" s="11" t="n">
        <f aca="false">Dual!$C$25+Dual!$C$24/2*((1-COS(RADIANS(A9)))+1/Dual!$C$27*(1-SQRT(1-Dual!$C$27^2*SIN(RADIANS(A9))^2)))</f>
        <v>29.3302851257246</v>
      </c>
      <c r="D9" s="11" t="n">
        <f aca="false">Dual!$C$6</f>
        <v>79</v>
      </c>
      <c r="E9" s="11" t="n">
        <f aca="false">Dual!$C$7</f>
        <v>300</v>
      </c>
    </row>
    <row r="10" customFormat="false" ht="15" hidden="false" customHeight="false" outlineLevel="0" collapsed="false">
      <c r="A10" s="17" t="n">
        <v>20</v>
      </c>
      <c r="B10" s="5" t="s">
        <v>152</v>
      </c>
      <c r="C10" s="11" t="n">
        <f aca="false">Dual!$C$25+Dual!$C$24/2*((1-COS(RADIANS(A10)))+1/Dual!$C$27*(1-SQRT(1-Dual!$C$27^2*SIN(RADIANS(A10))^2)))</f>
        <v>33.6632469093496</v>
      </c>
      <c r="D10" s="11" t="n">
        <f aca="false">Dual!$C$6</f>
        <v>79</v>
      </c>
      <c r="E10" s="11" t="n">
        <f aca="false">Dual!$C$7</f>
        <v>300</v>
      </c>
    </row>
    <row r="11" customFormat="false" ht="15" hidden="false" customHeight="false" outlineLevel="0" collapsed="false">
      <c r="A11" s="17" t="n">
        <v>24</v>
      </c>
      <c r="B11" s="5" t="s">
        <v>152</v>
      </c>
      <c r="C11" s="11" t="n">
        <f aca="false">Dual!$C$25+Dual!$C$24/2*((1-COS(RADIANS(A11)))+1/Dual!$C$27*(1-SQRT(1-Dual!$C$27^2*SIN(RADIANS(A11))^2)))</f>
        <v>38.8914002611945</v>
      </c>
      <c r="D11" s="11" t="n">
        <f aca="false">Dual!$C$6</f>
        <v>79</v>
      </c>
      <c r="E11" s="11" t="n">
        <f aca="false">Dual!$C$7</f>
        <v>300</v>
      </c>
    </row>
    <row r="12" customFormat="false" ht="15" hidden="false" customHeight="false" outlineLevel="0" collapsed="false">
      <c r="A12" s="17" t="n">
        <v>28</v>
      </c>
      <c r="B12" s="5" t="s">
        <v>152</v>
      </c>
      <c r="C12" s="11" t="n">
        <f aca="false">Dual!$C$25+Dual!$C$24/2*((1-COS(RADIANS(A12)))+1/Dual!$C$27*(1-SQRT(1-Dual!$C$27^2*SIN(RADIANS(A12))^2)))</f>
        <v>44.9752290872968</v>
      </c>
      <c r="D12" s="11" t="n">
        <f aca="false">Dual!$C$6</f>
        <v>79</v>
      </c>
      <c r="E12" s="11" t="n">
        <f aca="false">Dual!$C$7</f>
        <v>300</v>
      </c>
    </row>
    <row r="13" customFormat="false" ht="15" hidden="false" customHeight="false" outlineLevel="0" collapsed="false">
      <c r="A13" s="17" t="n">
        <v>32</v>
      </c>
      <c r="B13" s="5" t="s">
        <v>152</v>
      </c>
      <c r="C13" s="11" t="n">
        <f aca="false">Dual!$C$25+Dual!$C$24/2*((1-COS(RADIANS(A13)))+1/Dual!$C$27*(1-SQRT(1-Dual!$C$27^2*SIN(RADIANS(A13))^2)))</f>
        <v>51.8690228252965</v>
      </c>
      <c r="D13" s="11" t="n">
        <f aca="false">Dual!$C$6</f>
        <v>79</v>
      </c>
      <c r="E13" s="11" t="n">
        <f aca="false">Dual!$C$7</f>
        <v>300</v>
      </c>
    </row>
    <row r="14" customFormat="false" ht="15" hidden="false" customHeight="false" outlineLevel="0" collapsed="false">
      <c r="A14" s="17" t="n">
        <v>36</v>
      </c>
      <c r="B14" s="5" t="s">
        <v>152</v>
      </c>
      <c r="C14" s="11" t="n">
        <f aca="false">Dual!$C$25+Dual!$C$24/2*((1-COS(RADIANS(A14)))+1/Dual!$C$27*(1-SQRT(1-Dual!$C$27^2*SIN(RADIANS(A14))^2)))</f>
        <v>59.5213621405509</v>
      </c>
      <c r="D14" s="11" t="n">
        <f aca="false">Dual!$C$6</f>
        <v>79</v>
      </c>
      <c r="E14" s="11" t="n">
        <f aca="false">Dual!$C$7</f>
        <v>300</v>
      </c>
    </row>
    <row r="15" customFormat="false" ht="15" hidden="false" customHeight="false" outlineLevel="0" collapsed="false">
      <c r="A15" s="17" t="n">
        <v>40</v>
      </c>
      <c r="B15" s="5" t="s">
        <v>152</v>
      </c>
      <c r="C15" s="11" t="n">
        <f aca="false">Dual!$C$25+Dual!$C$24/2*((1-COS(RADIANS(A15)))+1/Dual!$C$27*(1-SQRT(1-Dual!$C$27^2*SIN(RADIANS(A15))^2)))</f>
        <v>67.8756706679472</v>
      </c>
      <c r="D15" s="11" t="n">
        <f aca="false">Dual!$C$6</f>
        <v>79</v>
      </c>
      <c r="E15" s="11" t="n">
        <f aca="false">Dual!$C$7</f>
        <v>300</v>
      </c>
    </row>
    <row r="16" customFormat="false" ht="15" hidden="false" customHeight="false" outlineLevel="0" collapsed="false">
      <c r="A16" s="17" t="n">
        <v>44</v>
      </c>
      <c r="B16" s="5" t="s">
        <v>152</v>
      </c>
      <c r="C16" s="11" t="n">
        <f aca="false">Dual!$C$25+Dual!$C$24/2*((1-COS(RADIANS(A16)))+1/Dual!$C$27*(1-SQRT(1-Dual!$C$27^2*SIN(RADIANS(A16))^2)))</f>
        <v>76.8708277665732</v>
      </c>
      <c r="D16" s="11" t="n">
        <f aca="false">Dual!$C$6</f>
        <v>79</v>
      </c>
      <c r="E16" s="11" t="n">
        <f aca="false">Dual!$C$7</f>
        <v>300</v>
      </c>
    </row>
    <row r="17" customFormat="false" ht="15" hidden="false" customHeight="false" outlineLevel="0" collapsed="false">
      <c r="A17" s="17" t="n">
        <v>48</v>
      </c>
      <c r="B17" s="5" t="s">
        <v>152</v>
      </c>
      <c r="C17" s="11" t="n">
        <f aca="false">Dual!$C$25+Dual!$C$24/2*((1-COS(RADIANS(A17)))+1/Dual!$C$27*(1-SQRT(1-Dual!$C$27^2*SIN(RADIANS(A17))^2)))</f>
        <v>86.4418358367388</v>
      </c>
      <c r="D17" s="11" t="n">
        <f aca="false">Dual!$C$6</f>
        <v>79</v>
      </c>
      <c r="E17" s="11" t="n">
        <f aca="false">Dual!$C$7</f>
        <v>300</v>
      </c>
    </row>
    <row r="18" customFormat="false" ht="15" hidden="false" customHeight="false" outlineLevel="0" collapsed="false">
      <c r="A18" s="17" t="n">
        <v>52</v>
      </c>
      <c r="B18" s="5" t="s">
        <v>152</v>
      </c>
      <c r="C18" s="11" t="n">
        <f aca="false">Dual!$C$25+Dual!$C$24/2*((1-COS(RADIANS(A18)))+1/Dual!$C$27*(1-SQRT(1-Dual!$C$27^2*SIN(RADIANS(A18))^2)))</f>
        <v>96.5205341750899</v>
      </c>
      <c r="D18" s="11" t="n">
        <f aca="false">Dual!$C$6</f>
        <v>79</v>
      </c>
      <c r="E18" s="11" t="n">
        <f aca="false">Dual!$C$7</f>
        <v>300</v>
      </c>
    </row>
    <row r="19" customFormat="false" ht="15" hidden="false" customHeight="false" outlineLevel="0" collapsed="false">
      <c r="A19" s="17" t="n">
        <v>56</v>
      </c>
      <c r="B19" s="5" t="s">
        <v>152</v>
      </c>
      <c r="C19" s="11" t="n">
        <f aca="false">Dual!$C$25+Dual!$C$24/2*((1-COS(RADIANS(A19)))+1/Dual!$C$27*(1-SQRT(1-Dual!$C$27^2*SIN(RADIANS(A19))^2)))</f>
        <v>107.036349674707</v>
      </c>
      <c r="D19" s="11" t="n">
        <f aca="false">Dual!$C$6</f>
        <v>79</v>
      </c>
      <c r="E19" s="11" t="n">
        <f aca="false">Dual!$C$7</f>
        <v>300</v>
      </c>
    </row>
    <row r="20" customFormat="false" ht="15" hidden="false" customHeight="false" outlineLevel="0" collapsed="false">
      <c r="A20" s="17" t="n">
        <v>60</v>
      </c>
      <c r="B20" s="5" t="s">
        <v>152</v>
      </c>
      <c r="C20" s="11" t="n">
        <f aca="false">Dual!$C$25+Dual!$C$24/2*((1-COS(RADIANS(A20)))+1/Dual!$C$27*(1-SQRT(1-Dual!$C$27^2*SIN(RADIANS(A20))^2)))</f>
        <v>117.917073000053</v>
      </c>
      <c r="D20" s="11" t="n">
        <f aca="false">Dual!$C$6</f>
        <v>79</v>
      </c>
      <c r="E20" s="11" t="n">
        <f aca="false">Dual!$C$7</f>
        <v>300</v>
      </c>
    </row>
    <row r="21" customFormat="false" ht="15" hidden="false" customHeight="false" outlineLevel="0" collapsed="false">
      <c r="A21" s="17" t="n">
        <v>64</v>
      </c>
      <c r="B21" s="5" t="s">
        <v>152</v>
      </c>
      <c r="C21" s="11" t="n">
        <f aca="false">Dual!$C$25+Dual!$C$24/2*((1-COS(RADIANS(A21)))+1/Dual!$C$27*(1-SQRT(1-Dual!$C$27^2*SIN(RADIANS(A21))^2)))</f>
        <v>129.089647292342</v>
      </c>
      <c r="D21" s="11" t="n">
        <f aca="false">Dual!$C$6</f>
        <v>79</v>
      </c>
      <c r="E21" s="11" t="n">
        <f aca="false">Dual!$C$7</f>
        <v>300</v>
      </c>
    </row>
    <row r="22" customFormat="false" ht="15" hidden="false" customHeight="false" outlineLevel="0" collapsed="false">
      <c r="A22" s="17" t="n">
        <v>68</v>
      </c>
      <c r="B22" s="5" t="s">
        <v>152</v>
      </c>
      <c r="C22" s="11" t="n">
        <f aca="false">Dual!$C$25+Dual!$C$24/2*((1-COS(RADIANS(A22)))+1/Dual!$C$27*(1-SQRT(1-Dual!$C$27^2*SIN(RADIANS(A22))^2)))</f>
        <v>140.480955118536</v>
      </c>
      <c r="D22" s="11" t="n">
        <f aca="false">Dual!$C$6</f>
        <v>79</v>
      </c>
      <c r="E22" s="11" t="n">
        <f aca="false">Dual!$C$7</f>
        <v>300</v>
      </c>
    </row>
    <row r="23" customFormat="false" ht="15" hidden="false" customHeight="false" outlineLevel="0" collapsed="false">
      <c r="A23" s="17" t="n">
        <v>72</v>
      </c>
      <c r="B23" s="5" t="s">
        <v>152</v>
      </c>
      <c r="C23" s="11" t="n">
        <f aca="false">Dual!$C$25+Dual!$C$24/2*((1-COS(RADIANS(A23)))+1/Dual!$C$27*(1-SQRT(1-Dual!$C$27^2*SIN(RADIANS(A23))^2)))</f>
        <v>152.018588404864</v>
      </c>
      <c r="D23" s="11" t="n">
        <f aca="false">Dual!$C$6</f>
        <v>79</v>
      </c>
      <c r="E23" s="11" t="n">
        <f aca="false">Dual!$C$7</f>
        <v>300</v>
      </c>
    </row>
    <row r="24" customFormat="false" ht="15" hidden="false" customHeight="false" outlineLevel="0" collapsed="false">
      <c r="A24" s="17" t="n">
        <v>76</v>
      </c>
      <c r="B24" s="5" t="s">
        <v>152</v>
      </c>
      <c r="C24" s="11" t="n">
        <f aca="false">Dual!$C$25+Dual!$C$24/2*((1-COS(RADIANS(A24)))+1/Dual!$C$27*(1-SQRT(1-Dual!$C$27^2*SIN(RADIANS(A24))^2)))</f>
        <v>163.631585627139</v>
      </c>
      <c r="D24" s="11" t="n">
        <f aca="false">Dual!$C$6</f>
        <v>79</v>
      </c>
      <c r="E24" s="11" t="n">
        <f aca="false">Dual!$C$7</f>
        <v>300</v>
      </c>
    </row>
    <row r="25" customFormat="false" ht="15" hidden="false" customHeight="false" outlineLevel="0" collapsed="false">
      <c r="A25" s="17" t="n">
        <v>80</v>
      </c>
      <c r="B25" s="5" t="s">
        <v>152</v>
      </c>
      <c r="C25" s="11" t="n">
        <f aca="false">Dual!$C$25+Dual!$C$24/2*((1-COS(RADIANS(A25)))+1/Dual!$C$27*(1-SQRT(1-Dual!$C$27^2*SIN(RADIANS(A25))^2)))</f>
        <v>175.251120678954</v>
      </c>
      <c r="D25" s="11" t="n">
        <f aca="false">Dual!$C$6</f>
        <v>79</v>
      </c>
      <c r="E25" s="11" t="n">
        <f aca="false">Dual!$C$7</f>
        <v>300</v>
      </c>
    </row>
    <row r="26" customFormat="false" ht="15" hidden="false" customHeight="false" outlineLevel="0" collapsed="false">
      <c r="A26" s="17" t="n">
        <v>84</v>
      </c>
      <c r="B26" s="5" t="s">
        <v>152</v>
      </c>
      <c r="C26" s="11" t="n">
        <f aca="false">Dual!$C$25+Dual!$C$24/2*((1-COS(RADIANS(A26)))+1/Dual!$C$27*(1-SQRT(1-Dual!$C$27^2*SIN(RADIANS(A26))^2)))</f>
        <v>186.811128682388</v>
      </c>
      <c r="D26" s="11" t="n">
        <f aca="false">Dual!$C$6</f>
        <v>79</v>
      </c>
      <c r="E26" s="11" t="n">
        <f aca="false">Dual!$C$7</f>
        <v>300</v>
      </c>
    </row>
    <row r="27" customFormat="false" ht="15" hidden="false" customHeight="false" outlineLevel="0" collapsed="false">
      <c r="A27" s="17" t="n">
        <v>88</v>
      </c>
      <c r="B27" s="5" t="s">
        <v>152</v>
      </c>
      <c r="C27" s="11" t="n">
        <f aca="false">Dual!$C$25+Dual!$C$24/2*((1-COS(RADIANS(A27)))+1/Dual!$C$27*(1-SQRT(1-Dual!$C$27^2*SIN(RADIANS(A27))^2)))</f>
        <v>198.248855570512</v>
      </c>
      <c r="D27" s="11" t="n">
        <f aca="false">Dual!$C$6</f>
        <v>79</v>
      </c>
      <c r="E27" s="11" t="n">
        <f aca="false">Dual!$C$7</f>
        <v>300</v>
      </c>
    </row>
    <row r="28" customFormat="false" ht="15" hidden="false" customHeight="false" outlineLevel="0" collapsed="false">
      <c r="A28" s="17" t="n">
        <v>92</v>
      </c>
      <c r="B28" s="5" t="s">
        <v>152</v>
      </c>
      <c r="C28" s="11" t="n">
        <f aca="false">Dual!$C$25+Dual!$C$24/2*((1-COS(RADIANS(A28)))+1/Dual!$C$27*(1-SQRT(1-Dual!$C$27^2*SIN(RADIANS(A28))^2)))</f>
        <v>209.505320522516</v>
      </c>
      <c r="D28" s="11" t="n">
        <f aca="false">Dual!$C$6</f>
        <v>79</v>
      </c>
      <c r="E28" s="11" t="n">
        <f aca="false">Dual!$C$7</f>
        <v>300</v>
      </c>
    </row>
    <row r="29" customFormat="false" ht="15" hidden="false" customHeight="false" outlineLevel="0" collapsed="false">
      <c r="A29" s="17" t="n">
        <v>96</v>
      </c>
      <c r="B29" s="5" t="s">
        <v>152</v>
      </c>
      <c r="C29" s="11" t="n">
        <f aca="false">Dual!$C$25+Dual!$C$24/2*((1-COS(RADIANS(A29)))+1/Dual!$C$27*(1-SQRT(1-Dual!$C$27^2*SIN(RADIANS(A29))^2)))</f>
        <v>220.525683172648</v>
      </c>
      <c r="D29" s="11" t="n">
        <f aca="false">Dual!$C$6</f>
        <v>79</v>
      </c>
      <c r="E29" s="11" t="n">
        <f aca="false">Dual!$C$7</f>
        <v>300</v>
      </c>
    </row>
    <row r="30" customFormat="false" ht="15" hidden="false" customHeight="false" outlineLevel="0" collapsed="false">
      <c r="A30" s="17" t="n">
        <v>100</v>
      </c>
      <c r="B30" s="5" t="s">
        <v>152</v>
      </c>
      <c r="C30" s="11" t="n">
        <f aca="false">Dual!$C$25+Dual!$C$24/2*((1-COS(RADIANS(A30)))+1/Dual!$C$27*(1-SQRT(1-Dual!$C$27^2*SIN(RADIANS(A30))^2)))</f>
        <v>231.259510786969</v>
      </c>
      <c r="D30" s="11" t="n">
        <f aca="false">Dual!$C$6</f>
        <v>79</v>
      </c>
      <c r="E30" s="11" t="n">
        <f aca="false">Dual!$C$7</f>
        <v>300</v>
      </c>
    </row>
    <row r="31" customFormat="false" ht="15" hidden="false" customHeight="false" outlineLevel="0" collapsed="false">
      <c r="A31" s="17" t="n">
        <v>104</v>
      </c>
      <c r="B31" s="5" t="s">
        <v>152</v>
      </c>
      <c r="C31" s="11" t="n">
        <f aca="false">Dual!$C$25+Dual!$C$24/2*((1-COS(RADIANS(A31)))+1/Dual!$C$27*(1-SQRT(1-Dual!$C$27^2*SIN(RADIANS(A31))^2)))</f>
        <v>241.660944106246</v>
      </c>
      <c r="D31" s="11" t="n">
        <f aca="false">Dual!$C$6</f>
        <v>79</v>
      </c>
      <c r="E31" s="11" t="n">
        <f aca="false">Dual!$C$7</f>
        <v>300</v>
      </c>
    </row>
    <row r="32" customFormat="false" ht="15" hidden="false" customHeight="false" outlineLevel="0" collapsed="false">
      <c r="A32" s="17" t="n">
        <v>108</v>
      </c>
      <c r="B32" s="5" t="s">
        <v>152</v>
      </c>
      <c r="C32" s="11" t="n">
        <f aca="false">Dual!$C$25+Dual!$C$24/2*((1-COS(RADIANS(A32)))+1/Dual!$C$27*(1-SQRT(1-Dual!$C$27^2*SIN(RADIANS(A32))^2)))</f>
        <v>251.688764064038</v>
      </c>
      <c r="D32" s="11" t="n">
        <f aca="false">Dual!$C$6</f>
        <v>79</v>
      </c>
      <c r="E32" s="11" t="n">
        <f aca="false">Dual!$C$7</f>
        <v>300</v>
      </c>
    </row>
    <row r="33" customFormat="false" ht="15" hidden="false" customHeight="false" outlineLevel="0" collapsed="false">
      <c r="A33" s="17" t="n">
        <v>112</v>
      </c>
      <c r="B33" s="5" t="s">
        <v>152</v>
      </c>
      <c r="C33" s="11" t="n">
        <f aca="false">Dual!$C$25+Dual!$C$24/2*((1-COS(RADIANS(A33)))+1/Dual!$C$27*(1-SQRT(1-Dual!$C$27^2*SIN(RADIANS(A33))^2)))</f>
        <v>261.306364880775</v>
      </c>
      <c r="D33" s="11" t="n">
        <f aca="false">Dual!$C$6</f>
        <v>79</v>
      </c>
      <c r="E33" s="11" t="n">
        <f aca="false">Dual!$C$7</f>
        <v>300</v>
      </c>
    </row>
    <row r="34" customFormat="false" ht="15" hidden="false" customHeight="false" outlineLevel="0" collapsed="false">
      <c r="A34" s="17" t="n">
        <v>116</v>
      </c>
      <c r="B34" s="5" t="s">
        <v>152</v>
      </c>
      <c r="C34" s="11" t="n">
        <f aca="false">Dual!$C$25+Dual!$C$24/2*((1-COS(RADIANS(A34)))+1/Dual!$C$27*(1-SQRT(1-Dual!$C$27^2*SIN(RADIANS(A34))^2)))</f>
        <v>270.481641906612</v>
      </c>
      <c r="D34" s="11" t="n">
        <f aca="false">Dual!$C$6</f>
        <v>79</v>
      </c>
      <c r="E34" s="11" t="n">
        <f aca="false">Dual!$C$7</f>
        <v>300</v>
      </c>
    </row>
    <row r="35" customFormat="false" ht="15" hidden="false" customHeight="false" outlineLevel="0" collapsed="false">
      <c r="A35" s="17" t="n">
        <v>120</v>
      </c>
      <c r="B35" s="5" t="s">
        <v>152</v>
      </c>
      <c r="C35" s="11" t="n">
        <f aca="false">Dual!$C$25+Dual!$C$24/2*((1-COS(RADIANS(A35)))+1/Dual!$C$27*(1-SQRT(1-Dual!$C$27^2*SIN(RADIANS(A35))^2)))</f>
        <v>279.186804881268</v>
      </c>
      <c r="D35" s="11" t="n">
        <f aca="false">Dual!$C$6</f>
        <v>79</v>
      </c>
      <c r="E35" s="11" t="n">
        <f aca="false">Dual!$C$7</f>
        <v>300</v>
      </c>
    </row>
    <row r="36" customFormat="false" ht="15" hidden="false" customHeight="false" outlineLevel="0" collapsed="false">
      <c r="A36" s="17" t="n">
        <v>124</v>
      </c>
      <c r="B36" s="5" t="s">
        <v>152</v>
      </c>
      <c r="C36" s="11" t="n">
        <f aca="false">Dual!$C$25+Dual!$C$24/2*((1-COS(RADIANS(A36)))+1/Dual!$C$27*(1-SQRT(1-Dual!$C$27^2*SIN(RADIANS(A36))^2)))</f>
        <v>287.398128899918</v>
      </c>
      <c r="D36" s="11" t="n">
        <f aca="false">Dual!$C$6</f>
        <v>79</v>
      </c>
      <c r="E36" s="11" t="n">
        <f aca="false">Dual!$C$7</f>
        <v>300</v>
      </c>
    </row>
    <row r="37" customFormat="false" ht="15" hidden="false" customHeight="false" outlineLevel="0" collapsed="false">
      <c r="A37" s="17" t="n">
        <v>128</v>
      </c>
      <c r="B37" s="5" t="s">
        <v>152</v>
      </c>
      <c r="C37" s="11" t="n">
        <f aca="false">Dual!$C$25+Dual!$C$24/2*((1-COS(RADIANS(A37)))+1/Dual!$C$27*(1-SQRT(1-Dual!$C$27^2*SIN(RADIANS(A37))^2)))</f>
        <v>295.095656285814</v>
      </c>
      <c r="D37" s="11" t="n">
        <f aca="false">Dual!$C$6</f>
        <v>79</v>
      </c>
      <c r="E37" s="11" t="n">
        <f aca="false">Dual!$C$7</f>
        <v>300</v>
      </c>
    </row>
    <row r="38" customFormat="false" ht="15" hidden="false" customHeight="false" outlineLevel="0" collapsed="false">
      <c r="A38" s="17" t="n">
        <v>132</v>
      </c>
      <c r="B38" s="5" t="s">
        <v>152</v>
      </c>
      <c r="C38" s="11" t="n">
        <f aca="false">Dual!$C$25+Dual!$C$24/2*((1-COS(RADIANS(A38)))+1/Dual!$C$27*(1-SQRT(1-Dual!$C$27^2*SIN(RADIANS(A38))^2)))</f>
        <v>302.262862798755</v>
      </c>
      <c r="D38" s="11" t="n">
        <f aca="false">Dual!$C$6</f>
        <v>79</v>
      </c>
      <c r="E38" s="11" t="n">
        <f aca="false">Dual!$C$7</f>
        <v>300</v>
      </c>
    </row>
    <row r="39" customFormat="false" ht="15" hidden="false" customHeight="false" outlineLevel="0" collapsed="false">
      <c r="A39" s="17" t="n">
        <v>136</v>
      </c>
      <c r="B39" s="5" t="s">
        <v>152</v>
      </c>
      <c r="C39" s="11" t="n">
        <f aca="false">Dual!$C$25+Dual!$C$24/2*((1-COS(RADIANS(A39)))+1/Dual!$C$27*(1-SQRT(1-Dual!$C$27^2*SIN(RADIANS(A39))^2)))</f>
        <v>308.886301230775</v>
      </c>
      <c r="D39" s="11" t="n">
        <f aca="false">Dual!$C$6</f>
        <v>79</v>
      </c>
      <c r="E39" s="11" t="n">
        <f aca="false">Dual!$C$7</f>
        <v>300</v>
      </c>
    </row>
    <row r="40" customFormat="false" ht="15" hidden="false" customHeight="false" outlineLevel="0" collapsed="false">
      <c r="A40" s="17" t="n">
        <v>140</v>
      </c>
      <c r="B40" s="5" t="s">
        <v>152</v>
      </c>
      <c r="C40" s="11" t="n">
        <f aca="false">Dual!$C$25+Dual!$C$24/2*((1-COS(RADIANS(A40)))+1/Dual!$C$27*(1-SQRT(1-Dual!$C$27^2*SIN(RADIANS(A40))^2)))</f>
        <v>314.955234569732</v>
      </c>
      <c r="D40" s="11" t="n">
        <f aca="false">Dual!$C$6</f>
        <v>79</v>
      </c>
      <c r="E40" s="11" t="n">
        <f aca="false">Dual!$C$7</f>
        <v>300</v>
      </c>
    </row>
    <row r="41" customFormat="false" ht="15" hidden="false" customHeight="false" outlineLevel="0" collapsed="false">
      <c r="A41" s="17" t="n">
        <v>144</v>
      </c>
      <c r="B41" s="5" t="s">
        <v>152</v>
      </c>
      <c r="C41" s="11" t="n">
        <f aca="false">Dual!$C$25+Dual!$C$24/2*((1-COS(RADIANS(A41)))+1/Dual!$C$27*(1-SQRT(1-Dual!$C$27^2*SIN(RADIANS(A41))^2)))</f>
        <v>320.461269680939</v>
      </c>
      <c r="D41" s="11" t="n">
        <f aca="false">Dual!$C$6</f>
        <v>79</v>
      </c>
      <c r="E41" s="11" t="n">
        <f aca="false">Dual!$C$7</f>
        <v>300</v>
      </c>
    </row>
    <row r="42" customFormat="false" ht="15" hidden="false" customHeight="false" outlineLevel="0" collapsed="false">
      <c r="A42" s="17" t="n">
        <v>148</v>
      </c>
      <c r="B42" s="5" t="s">
        <v>152</v>
      </c>
      <c r="C42" s="11" t="n">
        <f aca="false">Dual!$C$25+Dual!$C$24/2*((1-COS(RADIANS(A42)))+1/Dual!$C$27*(1-SQRT(1-Dual!$C$27^2*SIN(RADIANS(A42))^2)))</f>
        <v>325.39800100434</v>
      </c>
      <c r="D42" s="11" t="n">
        <f aca="false">Dual!$C$6</f>
        <v>79</v>
      </c>
      <c r="E42" s="11" t="n">
        <f aca="false">Dual!$C$7</f>
        <v>300</v>
      </c>
    </row>
    <row r="43" customFormat="false" ht="15" hidden="false" customHeight="false" outlineLevel="0" collapsed="false">
      <c r="A43" s="17" t="n">
        <v>152</v>
      </c>
      <c r="B43" s="5" t="s">
        <v>152</v>
      </c>
      <c r="C43" s="11" t="n">
        <f aca="false">Dual!$C$25+Dual!$C$24/2*((1-COS(RADIANS(A43)))+1/Dual!$C$27*(1-SQRT(1-Dual!$C$27^2*SIN(RADIANS(A43))^2)))</f>
        <v>329.760672218344</v>
      </c>
      <c r="D43" s="11" t="n">
        <f aca="false">Dual!$C$6</f>
        <v>79</v>
      </c>
      <c r="E43" s="11" t="n">
        <f aca="false">Dual!$C$7</f>
        <v>300</v>
      </c>
    </row>
    <row r="44" customFormat="false" ht="15" hidden="false" customHeight="false" outlineLevel="0" collapsed="false">
      <c r="A44" s="17" t="n">
        <v>156</v>
      </c>
      <c r="B44" s="5" t="s">
        <v>152</v>
      </c>
      <c r="C44" s="11" t="n">
        <f aca="false">Dual!$C$25+Dual!$C$24/2*((1-COS(RADIANS(A44)))+1/Dual!$C$27*(1-SQRT(1-Dual!$C$27^2*SIN(RADIANS(A44))^2)))</f>
        <v>333.545862291843</v>
      </c>
      <c r="D44" s="11" t="n">
        <f aca="false">Dual!$C$6</f>
        <v>79</v>
      </c>
      <c r="E44" s="11" t="n">
        <f aca="false">Dual!$C$7</f>
        <v>300</v>
      </c>
    </row>
    <row r="45" customFormat="false" ht="15" hidden="false" customHeight="false" outlineLevel="0" collapsed="false">
      <c r="A45" s="17" t="n">
        <v>160</v>
      </c>
      <c r="B45" s="5" t="s">
        <v>152</v>
      </c>
      <c r="C45" s="11" t="n">
        <f aca="false">Dual!$C$25+Dual!$C$24/2*((1-COS(RADIANS(A45)))+1/Dual!$C$27*(1-SQRT(1-Dual!$C$27^2*SIN(RADIANS(A45))^2)))</f>
        <v>336.751200919149</v>
      </c>
      <c r="D45" s="11" t="n">
        <f aca="false">Dual!$C$6</f>
        <v>79</v>
      </c>
      <c r="E45" s="11" t="n">
        <f aca="false">Dual!$C$7</f>
        <v>300</v>
      </c>
    </row>
    <row r="46" customFormat="false" ht="15" hidden="false" customHeight="false" outlineLevel="0" collapsed="false">
      <c r="A46" s="17" t="n">
        <v>164</v>
      </c>
      <c r="B46" s="5" t="s">
        <v>152</v>
      </c>
      <c r="C46" s="11" t="n">
        <f aca="false">Dual!$C$25+Dual!$C$24/2*((1-COS(RADIANS(A46)))+1/Dual!$C$27*(1-SQRT(1-Dual!$C$27^2*SIN(RADIANS(A46))^2)))</f>
        <v>339.375117069034</v>
      </c>
      <c r="D46" s="11" t="n">
        <f aca="false">Dual!$C$6</f>
        <v>79</v>
      </c>
      <c r="E46" s="11" t="n">
        <f aca="false">Dual!$C$7</f>
        <v>300</v>
      </c>
    </row>
    <row r="47" customFormat="false" ht="15" hidden="false" customHeight="false" outlineLevel="0" collapsed="false">
      <c r="A47" s="17" t="n">
        <v>168</v>
      </c>
      <c r="B47" s="5" t="s">
        <v>152</v>
      </c>
      <c r="C47" s="11" t="n">
        <f aca="false">Dual!$C$25+Dual!$C$24/2*((1-COS(RADIANS(A47)))+1/Dual!$C$27*(1-SQRT(1-Dual!$C$27^2*SIN(RADIANS(A47))^2)))</f>
        <v>341.416623313708</v>
      </c>
      <c r="D47" s="11" t="n">
        <f aca="false">Dual!$C$6</f>
        <v>79</v>
      </c>
      <c r="E47" s="11" t="n">
        <f aca="false">Dual!$C$7</f>
        <v>300</v>
      </c>
    </row>
    <row r="48" customFormat="false" ht="15" hidden="false" customHeight="false" outlineLevel="0" collapsed="false">
      <c r="A48" s="17" t="n">
        <v>172</v>
      </c>
      <c r="B48" s="5" t="s">
        <v>152</v>
      </c>
      <c r="C48" s="11" t="n">
        <f aca="false">Dual!$C$25+Dual!$C$24/2*((1-COS(RADIANS(A48)))+1/Dual!$C$27*(1-SQRT(1-Dual!$C$27^2*SIN(RADIANS(A48))^2)))</f>
        <v>342.875137749041</v>
      </c>
      <c r="D48" s="11" t="n">
        <f aca="false">Dual!$C$6</f>
        <v>79</v>
      </c>
      <c r="E48" s="11" t="n">
        <f aca="false">Dual!$C$7</f>
        <v>300</v>
      </c>
    </row>
    <row r="49" customFormat="false" ht="15" hidden="false" customHeight="false" outlineLevel="0" collapsed="false">
      <c r="A49" s="17" t="n">
        <v>176</v>
      </c>
      <c r="B49" s="5" t="s">
        <v>152</v>
      </c>
      <c r="C49" s="11" t="n">
        <f aca="false">Dual!$C$25+Dual!$C$24/2*((1-COS(RADIANS(A49)))+1/Dual!$C$27*(1-SQRT(1-Dual!$C$27^2*SIN(RADIANS(A49))^2)))</f>
        <v>343.750344667554</v>
      </c>
      <c r="D49" s="11" t="n">
        <f aca="false">Dual!$C$6</f>
        <v>79</v>
      </c>
      <c r="E49" s="11" t="n">
        <f aca="false">Dual!$C$7</f>
        <v>300</v>
      </c>
    </row>
    <row r="50" customFormat="false" ht="15" hidden="false" customHeight="false" outlineLevel="0" collapsed="false">
      <c r="A50" s="17" t="n">
        <v>180</v>
      </c>
      <c r="B50" s="5" t="s">
        <v>152</v>
      </c>
      <c r="C50" s="11" t="n">
        <f aca="false">Dual!$C$25+Dual!$C$24/2*((1-COS(RADIANS(A50)))+1/Dual!$C$27*(1-SQRT(1-Dual!$C$27^2*SIN(RADIANS(A50))^2)))</f>
        <v>344.042094679925</v>
      </c>
      <c r="D50" s="11" t="n">
        <f aca="false">Dual!$C$6</f>
        <v>79</v>
      </c>
      <c r="E50" s="11" t="n">
        <f aca="false">Dual!$C$7</f>
        <v>300</v>
      </c>
    </row>
    <row r="51" customFormat="false" ht="15" hidden="false" customHeight="false" outlineLevel="0" collapsed="false">
      <c r="A51" s="17" t="n">
        <v>184</v>
      </c>
      <c r="B51" s="5" t="s">
        <v>153</v>
      </c>
      <c r="C51" s="11" t="n">
        <f aca="false">Dual!$C$25+Dual!$C$24/2*((1-COS(RADIANS(A51)))+1/Dual!$C$27*(1-SQRT(1-Dual!$C$27^2*SIN(RADIANS(A51))^2)))</f>
        <v>343.750344667554</v>
      </c>
      <c r="D51" s="11" t="n">
        <f aca="false">Dual!$C$6*(Dual!$C$26/C51)^Dual!$C$11</f>
        <v>79.0938850773662</v>
      </c>
      <c r="E51" s="11" t="n">
        <f aca="false">D51*C51*0.000001/(Dual!$C$29*Dual!$C$14)</f>
        <v>300.101821254541</v>
      </c>
    </row>
    <row r="52" customFormat="false" ht="15" hidden="false" customHeight="false" outlineLevel="0" collapsed="false">
      <c r="A52" s="17" t="n">
        <v>188</v>
      </c>
      <c r="B52" s="5" t="s">
        <v>153</v>
      </c>
      <c r="C52" s="11" t="n">
        <f aca="false">Dual!$C$25+Dual!$C$24/2*((1-COS(RADIANS(A52)))+1/Dual!$C$27*(1-SQRT(1-Dual!$C$27^2*SIN(RADIANS(A52))^2)))</f>
        <v>342.875137749041</v>
      </c>
      <c r="D52" s="11" t="n">
        <f aca="false">Dual!$C$6*(Dual!$C$26/C52)^Dual!$C$11</f>
        <v>79.3766771517072</v>
      </c>
      <c r="E52" s="11" t="n">
        <f aca="false">D52*C52*0.000001/(Dual!$C$29*Dual!$C$14)</f>
        <v>300.407997241502</v>
      </c>
    </row>
    <row r="53" customFormat="false" ht="15" hidden="false" customHeight="false" outlineLevel="0" collapsed="false">
      <c r="A53" s="17" t="n">
        <v>192</v>
      </c>
      <c r="B53" s="5" t="s">
        <v>153</v>
      </c>
      <c r="C53" s="11" t="n">
        <f aca="false">Dual!$C$25+Dual!$C$24/2*((1-COS(RADIANS(A53)))+1/Dual!$C$27*(1-SQRT(1-Dual!$C$27^2*SIN(RADIANS(A53))^2)))</f>
        <v>341.416623313708</v>
      </c>
      <c r="D53" s="11" t="n">
        <f aca="false">Dual!$C$6*(Dual!$C$26/C53)^Dual!$C$11</f>
        <v>79.8518127844371</v>
      </c>
      <c r="E53" s="11" t="n">
        <f aca="false">D53*C53*0.000001/(Dual!$C$29*Dual!$C$14)</f>
        <v>300.920671927885</v>
      </c>
    </row>
    <row r="54" customFormat="false" ht="15" hidden="false" customHeight="false" outlineLevel="0" collapsed="false">
      <c r="A54" s="17" t="n">
        <v>196</v>
      </c>
      <c r="B54" s="5" t="s">
        <v>153</v>
      </c>
      <c r="C54" s="11" t="n">
        <f aca="false">Dual!$C$25+Dual!$C$24/2*((1-COS(RADIANS(A54)))+1/Dual!$C$27*(1-SQRT(1-Dual!$C$27^2*SIN(RADIANS(A54))^2)))</f>
        <v>339.375117069034</v>
      </c>
      <c r="D54" s="11" t="n">
        <f aca="false">Dual!$C$6*(Dual!$C$26/C54)^Dual!$C$11</f>
        <v>80.5251073197091</v>
      </c>
      <c r="E54" s="11" t="n">
        <f aca="false">D54*C54*0.000001/(Dual!$C$29*Dual!$C$14)</f>
        <v>301.643443035625</v>
      </c>
    </row>
    <row r="55" customFormat="false" ht="15" hidden="false" customHeight="false" outlineLevel="0" collapsed="false">
      <c r="A55" s="17" t="n">
        <v>200</v>
      </c>
      <c r="B55" s="5" t="s">
        <v>153</v>
      </c>
      <c r="C55" s="11" t="n">
        <f aca="false">Dual!$C$25+Dual!$C$24/2*((1-COS(RADIANS(A55)))+1/Dual!$C$27*(1-SQRT(1-Dual!$C$27^2*SIN(RADIANS(A55))^2)))</f>
        <v>336.751200919149</v>
      </c>
      <c r="D55" s="11" t="n">
        <f aca="false">Dual!$C$6*(Dual!$C$26/C55)^Dual!$C$11</f>
        <v>81.4048899079556</v>
      </c>
      <c r="E55" s="11" t="n">
        <f aca="false">D55*C55*0.000001/(Dual!$C$29*Dual!$C$14)</f>
        <v>302.581399133569</v>
      </c>
    </row>
    <row r="56" customFormat="false" ht="15" hidden="false" customHeight="false" outlineLevel="0" collapsed="false">
      <c r="A56" s="17" t="n">
        <v>204</v>
      </c>
      <c r="B56" s="5" t="s">
        <v>153</v>
      </c>
      <c r="C56" s="11" t="n">
        <f aca="false">Dual!$C$25+Dual!$C$24/2*((1-COS(RADIANS(A56)))+1/Dual!$C$27*(1-SQRT(1-Dual!$C$27^2*SIN(RADIANS(A56))^2)))</f>
        <v>333.545862291843</v>
      </c>
      <c r="D56" s="11" t="n">
        <f aca="false">Dual!$C$6*(Dual!$C$26/C56)^Dual!$C$11</f>
        <v>82.5021995537097</v>
      </c>
      <c r="E56" s="11" t="n">
        <f aca="false">D56*C56*0.000001/(Dual!$C$29*Dual!$C$14)</f>
        <v>303.741172439927</v>
      </c>
    </row>
    <row r="57" customFormat="false" ht="15" hidden="false" customHeight="false" outlineLevel="0" collapsed="false">
      <c r="A57" s="17" t="n">
        <v>208</v>
      </c>
      <c r="B57" s="5" t="s">
        <v>153</v>
      </c>
      <c r="C57" s="11" t="n">
        <f aca="false">Dual!$C$25+Dual!$C$24/2*((1-COS(RADIANS(A57)))+1/Dual!$C$27*(1-SQRT(1-Dual!$C$27^2*SIN(RADIANS(A57))^2)))</f>
        <v>329.760672218344</v>
      </c>
      <c r="D57" s="11" t="n">
        <f aca="false">Dual!$C$6*(Dual!$C$26/C57)^Dual!$C$11</f>
        <v>83.8310496679757</v>
      </c>
      <c r="E57" s="11" t="n">
        <f aca="false">D57*C57*0.000001/(Dual!$C$29*Dual!$C$14)</f>
        <v>305.131008257514</v>
      </c>
    </row>
    <row r="58" customFormat="false" ht="15" hidden="false" customHeight="false" outlineLevel="0" collapsed="false">
      <c r="A58" s="17" t="n">
        <v>212</v>
      </c>
      <c r="B58" s="5" t="s">
        <v>153</v>
      </c>
      <c r="C58" s="11" t="n">
        <f aca="false">Dual!$C$25+Dual!$C$24/2*((1-COS(RADIANS(A58)))+1/Dual!$C$27*(1-SQRT(1-Dual!$C$27^2*SIN(RADIANS(A58))^2)))</f>
        <v>325.39800100434</v>
      </c>
      <c r="D58" s="11" t="n">
        <f aca="false">Dual!$C$6*(Dual!$C$26/C58)^Dual!$C$11</f>
        <v>85.408771446555</v>
      </c>
      <c r="E58" s="11" t="n">
        <f aca="false">D58*C58*0.000001/(Dual!$C$29*Dual!$C$14)</f>
        <v>306.760852299539</v>
      </c>
    </row>
    <row r="59" customFormat="false" ht="15" hidden="false" customHeight="false" outlineLevel="0" collapsed="false">
      <c r="A59" s="17" t="n">
        <v>216</v>
      </c>
      <c r="B59" s="5" t="s">
        <v>153</v>
      </c>
      <c r="C59" s="11" t="n">
        <f aca="false">Dual!$C$25+Dual!$C$24/2*((1-COS(RADIANS(A59)))+1/Dual!$C$27*(1-SQRT(1-Dual!$C$27^2*SIN(RADIANS(A59))^2)))</f>
        <v>320.461269680939</v>
      </c>
      <c r="D59" s="11" t="n">
        <f aca="false">Dual!$C$6*(Dual!$C$26/C59)^Dual!$C$11</f>
        <v>87.2564498371756</v>
      </c>
      <c r="E59" s="11" t="n">
        <f aca="false">D59*C59*0.000001/(Dual!$C$29*Dual!$C$14)</f>
        <v>308.642457557044</v>
      </c>
    </row>
    <row r="60" customFormat="false" ht="15" hidden="false" customHeight="false" outlineLevel="0" collapsed="false">
      <c r="A60" s="17" t="n">
        <v>220</v>
      </c>
      <c r="B60" s="5" t="s">
        <v>153</v>
      </c>
      <c r="C60" s="11" t="n">
        <f aca="false">Dual!$C$25+Dual!$C$24/2*((1-COS(RADIANS(A60)))+1/Dual!$C$27*(1-SQRT(1-Dual!$C$27^2*SIN(RADIANS(A60))^2)))</f>
        <v>314.955234569732</v>
      </c>
      <c r="D60" s="11" t="n">
        <f aca="false">Dual!$C$6*(Dual!$C$26/C60)^Dual!$C$11</f>
        <v>89.3994701221998</v>
      </c>
      <c r="E60" s="11" t="n">
        <f aca="false">D60*C60*0.000001/(Dual!$C$29*Dual!$C$14)</f>
        <v>310.789512827638</v>
      </c>
    </row>
    <row r="61" customFormat="false" ht="15" hidden="false" customHeight="false" outlineLevel="0" collapsed="false">
      <c r="A61" s="17" t="n">
        <v>224</v>
      </c>
      <c r="B61" s="5" t="s">
        <v>153</v>
      </c>
      <c r="C61" s="11" t="n">
        <f aca="false">Dual!$C$25+Dual!$C$24/2*((1-COS(RADIANS(A61)))+1/Dual!$C$27*(1-SQRT(1-Dual!$C$27^2*SIN(RADIANS(A61))^2)))</f>
        <v>308.886301230775</v>
      </c>
      <c r="D61" s="11" t="n">
        <f aca="false">Dual!$C$6*(Dual!$C$26/C61)^Dual!$C$11</f>
        <v>91.8681985185475</v>
      </c>
      <c r="E61" s="11" t="n">
        <f aca="false">D61*C61*0.000001/(Dual!$C$29*Dual!$C$14)</f>
        <v>313.217795588508</v>
      </c>
    </row>
    <row r="62" customFormat="false" ht="15" hidden="false" customHeight="false" outlineLevel="0" collapsed="false">
      <c r="A62" s="17" t="n">
        <v>228</v>
      </c>
      <c r="B62" s="5" t="s">
        <v>153</v>
      </c>
      <c r="C62" s="11" t="n">
        <f aca="false">Dual!$C$25+Dual!$C$24/2*((1-COS(RADIANS(A62)))+1/Dual!$C$27*(1-SQRT(1-Dual!$C$27^2*SIN(RADIANS(A62))^2)))</f>
        <v>302.262862798755</v>
      </c>
      <c r="D62" s="11" t="n">
        <f aca="false">Dual!$C$6*(Dual!$C$26/C62)^Dual!$C$11</f>
        <v>94.698827062716</v>
      </c>
      <c r="E62" s="11" t="n">
        <f aca="false">D62*C62*0.000001/(Dual!$C$29*Dual!$C$14)</f>
        <v>315.94535257718</v>
      </c>
    </row>
    <row r="63" customFormat="false" ht="15" hidden="false" customHeight="false" outlineLevel="0" collapsed="false">
      <c r="A63" s="17" t="n">
        <v>232</v>
      </c>
      <c r="B63" s="5" t="s">
        <v>153</v>
      </c>
      <c r="C63" s="11" t="n">
        <f aca="false">Dual!$C$25+Dual!$C$24/2*((1-COS(RADIANS(A63)))+1/Dual!$C$27*(1-SQRT(1-Dual!$C$27^2*SIN(RADIANS(A63))^2)))</f>
        <v>295.095656285814</v>
      </c>
      <c r="D63" s="11" t="n">
        <f aca="false">Dual!$C$6*(Dual!$C$26/C63)^Dual!$C$11</f>
        <v>97.9344219143659</v>
      </c>
      <c r="E63" s="11" t="n">
        <f aca="false">D63*C63*0.000001/(Dual!$C$29*Dual!$C$14)</f>
        <v>318.992712266114</v>
      </c>
    </row>
    <row r="64" customFormat="false" ht="15" hidden="false" customHeight="false" outlineLevel="0" collapsed="false">
      <c r="A64" s="17" t="n">
        <v>236</v>
      </c>
      <c r="B64" s="5" t="s">
        <v>153</v>
      </c>
      <c r="C64" s="11" t="n">
        <f aca="false">Dual!$C$25+Dual!$C$24/2*((1-COS(RADIANS(A64)))+1/Dual!$C$27*(1-SQRT(1-Dual!$C$27^2*SIN(RADIANS(A64))^2)))</f>
        <v>287.398128899918</v>
      </c>
      <c r="D64" s="11" t="n">
        <f aca="false">Dual!$C$6*(Dual!$C$26/C64)^Dual!$C$11</f>
        <v>101.62622576136</v>
      </c>
      <c r="E64" s="11" t="n">
        <f aca="false">D64*C64*0.000001/(Dual!$C$29*Dual!$C$14)</f>
        <v>322.383134409736</v>
      </c>
    </row>
    <row r="65" customFormat="false" ht="15" hidden="false" customHeight="false" outlineLevel="0" collapsed="false">
      <c r="A65" s="17" t="n">
        <v>240</v>
      </c>
      <c r="B65" s="5" t="s">
        <v>153</v>
      </c>
      <c r="C65" s="11" t="n">
        <f aca="false">Dual!$C$25+Dual!$C$24/2*((1-COS(RADIANS(A65)))+1/Dual!$C$27*(1-SQRT(1-Dual!$C$27^2*SIN(RADIANS(A65))^2)))</f>
        <v>279.186804881268</v>
      </c>
      <c r="D65" s="11" t="n">
        <f aca="false">Dual!$C$6*(Dual!$C$26/C65)^Dual!$C$11</f>
        <v>105.83528017208</v>
      </c>
      <c r="E65" s="11" t="n">
        <f aca="false">D65*C65*0.000001/(Dual!$C$29*Dual!$C$14)</f>
        <v>326.142903034998</v>
      </c>
    </row>
    <row r="66" customFormat="false" ht="15" hidden="false" customHeight="false" outlineLevel="0" collapsed="false">
      <c r="A66" s="17" t="n">
        <v>244</v>
      </c>
      <c r="B66" s="5" t="s">
        <v>153</v>
      </c>
      <c r="C66" s="11" t="n">
        <f aca="false">Dual!$C$25+Dual!$C$24/2*((1-COS(RADIANS(A66)))+1/Dual!$C$27*(1-SQRT(1-Dual!$C$27^2*SIN(RADIANS(A66))^2)))</f>
        <v>270.481641906612</v>
      </c>
      <c r="D66" s="11" t="n">
        <f aca="false">Dual!$C$6*(Dual!$C$26/C66)^Dual!$C$11</f>
        <v>110.634453788461</v>
      </c>
      <c r="E66" s="11" t="n">
        <f aca="false">D66*C66*0.000001/(Dual!$C$29*Dual!$C$14)</f>
        <v>330.301670670367</v>
      </c>
    </row>
    <row r="67" customFormat="false" ht="15" hidden="false" customHeight="false" outlineLevel="0" collapsed="false">
      <c r="A67" s="17" t="n">
        <v>248</v>
      </c>
      <c r="B67" s="5" t="s">
        <v>153</v>
      </c>
      <c r="C67" s="11" t="n">
        <f aca="false">Dual!$C$25+Dual!$C$24/2*((1-COS(RADIANS(A67)))+1/Dual!$C$27*(1-SQRT(1-Dual!$C$27^2*SIN(RADIANS(A67))^2)))</f>
        <v>261.306364880775</v>
      </c>
      <c r="D67" s="11" t="n">
        <f aca="false">Dual!$C$6*(Dual!$C$26/C67)^Dual!$C$11</f>
        <v>116.110988934049</v>
      </c>
      <c r="E67" s="11" t="n">
        <f aca="false">D67*C67*0.000001/(Dual!$C$29*Dual!$C$14)</f>
        <v>334.892863294715</v>
      </c>
    </row>
    <row r="68" customFormat="false" ht="15" hidden="false" customHeight="false" outlineLevel="0" collapsed="false">
      <c r="A68" s="17" t="n">
        <v>252</v>
      </c>
      <c r="B68" s="5" t="s">
        <v>153</v>
      </c>
      <c r="C68" s="11" t="n">
        <f aca="false">Dual!$C$25+Dual!$C$24/2*((1-COS(RADIANS(A68)))+1/Dual!$C$27*(1-SQRT(1-Dual!$C$27^2*SIN(RADIANS(A68))^2)))</f>
        <v>251.688764064038</v>
      </c>
      <c r="D68" s="11" t="n">
        <f aca="false">Dual!$C$6*(Dual!$C$26/C68)^Dual!$C$11</f>
        <v>122.369714943463</v>
      </c>
      <c r="E68" s="11" t="n">
        <f aca="false">D68*C68*0.000001/(Dual!$C$29*Dual!$C$14)</f>
        <v>339.954157464021</v>
      </c>
    </row>
    <row r="69" customFormat="false" ht="15" hidden="false" customHeight="false" outlineLevel="0" collapsed="false">
      <c r="A69" s="17" t="n">
        <v>256</v>
      </c>
      <c r="B69" s="5" t="s">
        <v>153</v>
      </c>
      <c r="C69" s="11" t="n">
        <f aca="false">Dual!$C$25+Dual!$C$24/2*((1-COS(RADIANS(A69)))+1/Dual!$C$27*(1-SQRT(1-Dual!$C$27^2*SIN(RADIANS(A69))^2)))</f>
        <v>241.660944106246</v>
      </c>
      <c r="D69" s="11" t="n">
        <f aca="false">Dual!$C$6*(Dual!$C$26/C69)^Dual!$C$11</f>
        <v>129.537124662032</v>
      </c>
      <c r="E69" s="11" t="n">
        <f aca="false">D69*C69*0.000001/(Dual!$C$29*Dual!$C$14)</f>
        <v>345.528043357805</v>
      </c>
    </row>
    <row r="70" customFormat="false" ht="15" hidden="false" customHeight="false" outlineLevel="0" collapsed="false">
      <c r="A70" s="17" t="n">
        <v>260</v>
      </c>
      <c r="B70" s="5" t="s">
        <v>153</v>
      </c>
      <c r="C70" s="11" t="n">
        <f aca="false">Dual!$C$25+Dual!$C$24/2*((1-COS(RADIANS(A70)))+1/Dual!$C$27*(1-SQRT(1-Dual!$C$27^2*SIN(RADIANS(A70))^2)))</f>
        <v>231.259510786969</v>
      </c>
      <c r="D70" s="11" t="n">
        <f aca="false">Dual!$C$6*(Dual!$C$26/C70)^Dual!$C$11</f>
        <v>137.766575800371</v>
      </c>
      <c r="E70" s="11" t="n">
        <f aca="false">D70*C70*0.000001/(Dual!$C$29*Dual!$C$14)</f>
        <v>351.662490073593</v>
      </c>
    </row>
    <row r="71" customFormat="false" ht="15" hidden="false" customHeight="false" outlineLevel="0" collapsed="false">
      <c r="A71" s="17" t="n">
        <v>264</v>
      </c>
      <c r="B71" s="5" t="s">
        <v>153</v>
      </c>
      <c r="C71" s="11" t="n">
        <f aca="false">Dual!$C$25+Dual!$C$24/2*((1-COS(RADIANS(A71)))+1/Dual!$C$27*(1-SQRT(1-Dual!$C$27^2*SIN(RADIANS(A71))^2)))</f>
        <v>220.525683172648</v>
      </c>
      <c r="D71" s="11" t="n">
        <f aca="false">Dual!$C$6*(Dual!$C$26/C71)^Dual!$C$11</f>
        <v>147.244967703352</v>
      </c>
      <c r="E71" s="11" t="n">
        <f aca="false">D71*C71*0.000001/(Dual!$C$29*Dual!$C$14)</f>
        <v>358.411732337713</v>
      </c>
    </row>
    <row r="72" customFormat="false" ht="15" hidden="false" customHeight="false" outlineLevel="0" collapsed="false">
      <c r="A72" s="17" t="n">
        <v>268</v>
      </c>
      <c r="B72" s="5" t="s">
        <v>153</v>
      </c>
      <c r="C72" s="11" t="n">
        <f aca="false">Dual!$C$25+Dual!$C$24/2*((1-COS(RADIANS(A72)))+1/Dual!$C$27*(1-SQRT(1-Dual!$C$27^2*SIN(RADIANS(A72))^2)))</f>
        <v>209.505320522516</v>
      </c>
      <c r="D72" s="11" t="n">
        <f aca="false">Dual!$C$6*(Dual!$C$26/C72)^Dual!$C$11</f>
        <v>158.201365758064</v>
      </c>
      <c r="E72" s="11" t="n">
        <f aca="false">D72*C72*0.000001/(Dual!$C$29*Dual!$C$14)</f>
        <v>365.837200761079</v>
      </c>
    </row>
    <row r="73" customFormat="false" ht="15" hidden="false" customHeight="false" outlineLevel="0" collapsed="false">
      <c r="A73" s="17" t="n">
        <v>272</v>
      </c>
      <c r="B73" s="5" t="s">
        <v>153</v>
      </c>
      <c r="C73" s="11" t="n">
        <f aca="false">Dual!$C$25+Dual!$C$24/2*((1-COS(RADIANS(A73)))+1/Dual!$C$27*(1-SQRT(1-Dual!$C$27^2*SIN(RADIANS(A73))^2)))</f>
        <v>198.248855570513</v>
      </c>
      <c r="D73" s="11" t="n">
        <f aca="false">Dual!$C$6*(Dual!$C$26/C73)^Dual!$C$11</f>
        <v>170.91821288943</v>
      </c>
      <c r="E73" s="11" t="n">
        <f aca="false">D73*C73*0.000001/(Dual!$C$29*Dual!$C$14)</f>
        <v>374.008620560989</v>
      </c>
    </row>
    <row r="74" customFormat="false" ht="15" hidden="false" customHeight="false" outlineLevel="0" collapsed="false">
      <c r="A74" s="17" t="n">
        <v>276</v>
      </c>
      <c r="B74" s="5" t="s">
        <v>153</v>
      </c>
      <c r="C74" s="11" t="n">
        <f aca="false">Dual!$C$25+Dual!$C$24/2*((1-COS(RADIANS(A74)))+1/Dual!$C$27*(1-SQRT(1-Dual!$C$27^2*SIN(RADIANS(A74))^2)))</f>
        <v>186.811128682388</v>
      </c>
      <c r="D74" s="11" t="n">
        <f aca="false">Dual!$C$6*(Dual!$C$26/C74)^Dual!$C$11</f>
        <v>185.745998077565</v>
      </c>
      <c r="E74" s="11" t="n">
        <f aca="false">D74*C74*0.000001/(Dual!$C$29*Dual!$C$14)</f>
        <v>383.005305724073</v>
      </c>
    </row>
    <row r="75" customFormat="false" ht="15" hidden="false" customHeight="false" outlineLevel="0" collapsed="false">
      <c r="A75" s="17" t="n">
        <v>280</v>
      </c>
      <c r="B75" s="5" t="s">
        <v>153</v>
      </c>
      <c r="C75" s="11" t="n">
        <f aca="false">Dual!$C$25+Dual!$C$24/2*((1-COS(RADIANS(A75)))+1/Dual!$C$27*(1-SQRT(1-Dual!$C$27^2*SIN(RADIANS(A75))^2)))</f>
        <v>175.251120678954</v>
      </c>
      <c r="D75" s="11" t="n">
        <f aca="false">Dual!$C$6*(Dual!$C$26/C75)^Dual!$C$11</f>
        <v>203.122569804405</v>
      </c>
      <c r="E75" s="11" t="n">
        <f aca="false">D75*C75*0.000001/(Dual!$C$29*Dual!$C$14)</f>
        <v>392.917675826576</v>
      </c>
    </row>
    <row r="76" customFormat="false" ht="15" hidden="false" customHeight="false" outlineLevel="0" collapsed="false">
      <c r="A76" s="17" t="n">
        <v>284</v>
      </c>
      <c r="B76" s="5" t="s">
        <v>153</v>
      </c>
      <c r="C76" s="11" t="n">
        <f aca="false">Dual!$C$25+Dual!$C$24/2*((1-COS(RADIANS(A76)))+1/Dual!$C$27*(1-SQRT(1-Dual!$C$27^2*SIN(RADIANS(A76))^2)))</f>
        <v>163.631585627139</v>
      </c>
      <c r="D76" s="11" t="n">
        <f aca="false">Dual!$C$6*(Dual!$C$26/C76)^Dual!$C$11</f>
        <v>223.59872015878</v>
      </c>
      <c r="E76" s="11" t="n">
        <f aca="false">D76*C76*0.000001/(Dual!$C$29*Dual!$C$14)</f>
        <v>403.849019186531</v>
      </c>
    </row>
    <row r="77" customFormat="false" ht="15" hidden="false" customHeight="false" outlineLevel="0" collapsed="false">
      <c r="A77" s="17" t="n">
        <v>288</v>
      </c>
      <c r="B77" s="5" t="s">
        <v>153</v>
      </c>
      <c r="C77" s="11" t="n">
        <f aca="false">Dual!$C$25+Dual!$C$24/2*((1-COS(RADIANS(A77)))+1/Dual!$C$27*(1-SQRT(1-Dual!$C$27^2*SIN(RADIANS(A77))^2)))</f>
        <v>152.018588404865</v>
      </c>
      <c r="D77" s="11" t="n">
        <f aca="false">Dual!$C$6*(Dual!$C$26/C77)^Dual!$C$11</f>
        <v>247.872264297462</v>
      </c>
      <c r="E77" s="11" t="n">
        <f aca="false">D77*C77*0.000001/(Dual!$C$29*Dual!$C$14)</f>
        <v>415.917515149614</v>
      </c>
    </row>
    <row r="78" customFormat="false" ht="15" hidden="false" customHeight="false" outlineLevel="0" collapsed="false">
      <c r="A78" s="17" t="n">
        <v>292</v>
      </c>
      <c r="B78" s="5" t="s">
        <v>153</v>
      </c>
      <c r="C78" s="11" t="n">
        <f aca="false">Dual!$C$25+Dual!$C$24/2*((1-COS(RADIANS(A78)))+1/Dual!$C$27*(1-SQRT(1-Dual!$C$27^2*SIN(RADIANS(A78))^2)))</f>
        <v>140.480955118536</v>
      </c>
      <c r="D78" s="11" t="n">
        <f aca="false">Dual!$C$6*(Dual!$C$26/C78)^Dual!$C$11</f>
        <v>276.833648126769</v>
      </c>
      <c r="E78" s="11" t="n">
        <f aca="false">D78*C78*0.000001/(Dual!$C$29*Dual!$C$14)</f>
        <v>429.25850378616</v>
      </c>
    </row>
    <row r="79" customFormat="false" ht="15" hidden="false" customHeight="false" outlineLevel="0" collapsed="false">
      <c r="A79" s="17" t="n">
        <v>296</v>
      </c>
      <c r="B79" s="5" t="s">
        <v>153</v>
      </c>
      <c r="C79" s="11" t="n">
        <f aca="false">Dual!$C$25+Dual!$C$24/2*((1-COS(RADIANS(A79)))+1/Dual!$C$27*(1-SQRT(1-Dual!$C$27^2*SIN(RADIANS(A79))^2)))</f>
        <v>129.089647292342</v>
      </c>
      <c r="D79" s="11" t="n">
        <f aca="false">Dual!$C$6*(Dual!$C$26/C79)^Dual!$C$11</f>
        <v>311.62717872397</v>
      </c>
      <c r="E79" s="11" t="n">
        <f aca="false">D79*C79*0.000001/(Dual!$C$29*Dual!$C$14)</f>
        <v>444.026941929186</v>
      </c>
    </row>
    <row r="80" customFormat="false" ht="15" hidden="false" customHeight="false" outlineLevel="0" collapsed="false">
      <c r="A80" s="17" t="n">
        <v>300</v>
      </c>
      <c r="B80" s="5" t="s">
        <v>153</v>
      </c>
      <c r="C80" s="11" t="n">
        <f aca="false">Dual!$C$25+Dual!$C$24/2*((1-COS(RADIANS(A80)))+1/Dual!$C$27*(1-SQRT(1-Dual!$C$27^2*SIN(RADIANS(A80))^2)))</f>
        <v>117.917073000053</v>
      </c>
      <c r="D80" s="11" t="n">
        <f aca="false">Dual!$C$6*(Dual!$C$26/C80)^Dual!$C$11</f>
        <v>353.733296390438</v>
      </c>
      <c r="E80" s="11" t="n">
        <f aca="false">D80*C80*0.000001/(Dual!$C$29*Dual!$C$14)</f>
        <v>460.399890690657</v>
      </c>
    </row>
    <row r="81" customFormat="false" ht="15" hidden="false" customHeight="false" outlineLevel="0" collapsed="false">
      <c r="A81" s="17" t="n">
        <v>304</v>
      </c>
      <c r="B81" s="5" t="s">
        <v>153</v>
      </c>
      <c r="C81" s="11" t="n">
        <f aca="false">Dual!$C$25+Dual!$C$24/2*((1-COS(RADIANS(A81)))+1/Dual!$C$27*(1-SQRT(1-Dual!$C$27^2*SIN(RADIANS(A81))^2)))</f>
        <v>107.036349674707</v>
      </c>
      <c r="D81" s="11" t="n">
        <f aca="false">Dual!$C$6*(Dual!$C$26/C81)^Dual!$C$11</f>
        <v>405.07878828695</v>
      </c>
      <c r="E81" s="11" t="n">
        <f aca="false">D81*C81*0.000001/(Dual!$C$29*Dual!$C$14)</f>
        <v>478.578707127037</v>
      </c>
    </row>
    <row r="82" customFormat="false" ht="15" hidden="false" customHeight="false" outlineLevel="0" collapsed="false">
      <c r="A82" s="17" t="n">
        <v>308</v>
      </c>
      <c r="B82" s="5" t="s">
        <v>153</v>
      </c>
      <c r="C82" s="11" t="n">
        <f aca="false">Dual!$C$25+Dual!$C$24/2*((1-COS(RADIANS(A82)))+1/Dual!$C$27*(1-SQRT(1-Dual!$C$27^2*SIN(RADIANS(A82))^2)))</f>
        <v>96.5205341750899</v>
      </c>
      <c r="D82" s="11" t="n">
        <f aca="false">Dual!$C$6*(Dual!$C$26/C82)^Dual!$C$11</f>
        <v>468.183069111251</v>
      </c>
      <c r="E82" s="11" t="n">
        <f aca="false">D82*C82*0.000001/(Dual!$C$29*Dual!$C$14)</f>
        <v>498.790302460733</v>
      </c>
    </row>
    <row r="83" customFormat="false" ht="15" hidden="false" customHeight="false" outlineLevel="0" collapsed="false">
      <c r="A83" s="17" t="n">
        <v>312</v>
      </c>
      <c r="B83" s="5" t="s">
        <v>153</v>
      </c>
      <c r="C83" s="11" t="n">
        <f aca="false">Dual!$C$25+Dual!$C$24/2*((1-COS(RADIANS(A83)))+1/Dual!$C$27*(1-SQRT(1-Dual!$C$27^2*SIN(RADIANS(A83))^2)))</f>
        <v>86.4418358367388</v>
      </c>
      <c r="D83" s="11" t="n">
        <f aca="false">Dual!$C$6*(Dual!$C$26/C83)^Dual!$C$11</f>
        <v>546.348472561874</v>
      </c>
      <c r="E83" s="11" t="n">
        <f aca="false">D83*C83*0.000001/(Dual!$C$29*Dual!$C$14)</f>
        <v>521.286280744116</v>
      </c>
    </row>
    <row r="84" customFormat="false" ht="15" hidden="false" customHeight="false" outlineLevel="0" collapsed="false">
      <c r="A84" s="17" t="n">
        <v>316</v>
      </c>
      <c r="B84" s="5" t="s">
        <v>153</v>
      </c>
      <c r="C84" s="11" t="n">
        <f aca="false">Dual!$C$25+Dual!$C$24/2*((1-COS(RADIANS(A84)))+1/Dual!$C$27*(1-SQRT(1-Dual!$C$27^2*SIN(RADIANS(A84))^2)))</f>
        <v>76.8708277665733</v>
      </c>
      <c r="D84" s="11" t="n">
        <f aca="false">Dual!$C$6*(Dual!$C$26/C84)^Dual!$C$11</f>
        <v>643.898075349942</v>
      </c>
      <c r="E84" s="11" t="n">
        <f aca="false">D84*C84*0.000001/(Dual!$C$29*Dual!$C$14)</f>
        <v>546.337819381095</v>
      </c>
    </row>
    <row r="85" customFormat="false" ht="15" hidden="false" customHeight="false" outlineLevel="0" collapsed="false">
      <c r="A85" s="17" t="n">
        <v>320</v>
      </c>
      <c r="B85" s="5" t="s">
        <v>153</v>
      </c>
      <c r="C85" s="11" t="n">
        <f aca="false">Dual!$C$25+Dual!$C$24/2*((1-COS(RADIANS(A85)))+1/Dual!$C$27*(1-SQRT(1-Dual!$C$27^2*SIN(RADIANS(A85))^2)))</f>
        <v>67.8756706679472</v>
      </c>
      <c r="D85" s="11" t="n">
        <f aca="false">Dual!$C$6*(Dual!$C$26/C85)^Dual!$C$11</f>
        <v>766.449456180008</v>
      </c>
      <c r="E85" s="11" t="n">
        <f aca="false">D85*C85*0.000001/(Dual!$C$29*Dual!$C$14)</f>
        <v>574.222538121451</v>
      </c>
    </row>
    <row r="86" customFormat="false" ht="15" hidden="false" customHeight="false" outlineLevel="0" collapsed="false">
      <c r="A86" s="17" t="n">
        <v>324</v>
      </c>
      <c r="B86" s="5" t="s">
        <v>153</v>
      </c>
      <c r="C86" s="11" t="n">
        <f aca="false">Dual!$C$25+Dual!$C$24/2*((1-COS(RADIANS(A86)))+1/Dual!$C$27*(1-SQRT(1-Dual!$C$27^2*SIN(RADIANS(A86))^2)))</f>
        <v>59.5213621405509</v>
      </c>
      <c r="D86" s="11" t="n">
        <f aca="false">Dual!$C$6*(Dual!$C$26/C86)^Dual!$C$11</f>
        <v>921.173215537384</v>
      </c>
      <c r="E86" s="11" t="n">
        <f aca="false">D86*C86*0.000001/(Dual!$C$29*Dual!$C$14)</f>
        <v>605.196967788251</v>
      </c>
    </row>
    <row r="87" customFormat="false" ht="15" hidden="false" customHeight="false" outlineLevel="0" collapsed="false">
      <c r="A87" s="17" t="n">
        <v>328</v>
      </c>
      <c r="B87" s="5" t="s">
        <v>153</v>
      </c>
      <c r="C87" s="11" t="n">
        <f aca="false">Dual!$C$25+Dual!$C$24/2*((1-COS(RADIANS(A87)))+1/Dual!$C$27*(1-SQRT(1-Dual!$C$27^2*SIN(RADIANS(A87))^2)))</f>
        <v>51.8690228252965</v>
      </c>
      <c r="D87" s="11" t="n">
        <f aca="false">Dual!$C$6*(Dual!$C$26/C87)^Dual!$C$11</f>
        <v>1116.89414672846</v>
      </c>
      <c r="E87" s="11" t="n">
        <f aca="false">D87*C87*0.000001/(Dual!$C$29*Dual!$C$14)</f>
        <v>639.444213212773</v>
      </c>
    </row>
    <row r="88" customFormat="false" ht="15" hidden="false" customHeight="false" outlineLevel="0" collapsed="false">
      <c r="A88" s="17" t="n">
        <v>332</v>
      </c>
      <c r="B88" s="5" t="s">
        <v>153</v>
      </c>
      <c r="C88" s="11" t="n">
        <f aca="false">Dual!$C$25+Dual!$C$24/2*((1-COS(RADIANS(A88)))+1/Dual!$C$27*(1-SQRT(1-Dual!$C$27^2*SIN(RADIANS(A88))^2)))</f>
        <v>44.9752290872969</v>
      </c>
      <c r="D88" s="11" t="n">
        <f aca="false">Dual!$C$6*(Dual!$C$26/C88)^Dual!$C$11</f>
        <v>1363.7054304384</v>
      </c>
      <c r="E88" s="11" t="n">
        <f aca="false">D88*C88*0.000001/(Dual!$C$29*Dual!$C$14)</f>
        <v>676.981084618916</v>
      </c>
    </row>
    <row r="89" customFormat="false" ht="15" hidden="false" customHeight="false" outlineLevel="0" collapsed="false">
      <c r="A89" s="17" t="n">
        <v>336</v>
      </c>
      <c r="B89" s="5" t="s">
        <v>153</v>
      </c>
      <c r="C89" s="11" t="n">
        <f aca="false">Dual!$C$25+Dual!$C$24/2*((1-COS(RADIANS(A89)))+1/Dual!$C$27*(1-SQRT(1-Dual!$C$27^2*SIN(RADIANS(A89))^2)))</f>
        <v>38.8914002611945</v>
      </c>
      <c r="D89" s="11" t="n">
        <f aca="false">Dual!$C$6*(Dual!$C$26/C89)^Dual!$C$11</f>
        <v>1671.43039603807</v>
      </c>
      <c r="E89" s="11" t="n">
        <f aca="false">D89*C89*0.000001/(Dual!$C$29*Dual!$C$14)</f>
        <v>717.504213887437</v>
      </c>
    </row>
    <row r="90" customFormat="false" ht="15" hidden="false" customHeight="false" outlineLevel="0" collapsed="false">
      <c r="A90" s="17" t="n">
        <v>340</v>
      </c>
      <c r="B90" s="5" t="s">
        <v>153</v>
      </c>
      <c r="C90" s="11" t="n">
        <f aca="false">Dual!$C$25+Dual!$C$24/2*((1-COS(RADIANS(A90)))+1/Dual!$C$27*(1-SQRT(1-Dual!$C$27^2*SIN(RADIANS(A90))^2)))</f>
        <v>33.6632469093496</v>
      </c>
      <c r="D90" s="11" t="n">
        <f aca="false">Dual!$C$6*(Dual!$C$26/C90)^Dual!$C$11</f>
        <v>2045.80814916262</v>
      </c>
      <c r="E90" s="11" t="n">
        <f aca="false">D90*C90*0.000001/(Dual!$C$29*Dual!$C$14)</f>
        <v>760.157328839772</v>
      </c>
    </row>
    <row r="91" customFormat="false" ht="15" hidden="false" customHeight="false" outlineLevel="0" collapsed="false">
      <c r="A91" s="17" t="n">
        <v>344</v>
      </c>
      <c r="B91" s="5" t="s">
        <v>153</v>
      </c>
      <c r="C91" s="11" t="n">
        <f aca="false">Dual!$C$25+Dual!$C$24/2*((1-COS(RADIANS(A91)))+1/Dual!$C$27*(1-SQRT(1-Dual!$C$27^2*SIN(RADIANS(A91))^2)))</f>
        <v>29.3302851257246</v>
      </c>
      <c r="D91" s="11" t="n">
        <f aca="false">Dual!$C$6*(Dual!$C$26/C91)^Dual!$C$11</f>
        <v>2481.07852051636</v>
      </c>
      <c r="E91" s="11" t="n">
        <f aca="false">D91*C91*0.000001/(Dual!$C$29*Dual!$C$14)</f>
        <v>803.228989038413</v>
      </c>
    </row>
    <row r="92" customFormat="false" ht="15" hidden="false" customHeight="false" outlineLevel="0" collapsed="false">
      <c r="A92" s="17" t="n">
        <v>348</v>
      </c>
      <c r="B92" s="5" t="s">
        <v>153</v>
      </c>
      <c r="C92" s="11" t="n">
        <f aca="false">Dual!$C$25+Dual!$C$24/2*((1-COS(RADIANS(A92)))+1/Dual!$C$27*(1-SQRT(1-Dual!$C$27^2*SIN(RADIANS(A92))^2)))</f>
        <v>25.9254206925187</v>
      </c>
      <c r="D92" s="11" t="n">
        <f aca="false">Dual!$C$6*(Dual!$C$26/C92)^Dual!$C$11</f>
        <v>2948.94837899279</v>
      </c>
      <c r="E92" s="11" t="n">
        <f aca="false">D92*C92*0.000001/(Dual!$C$29*Dual!$C$14)</f>
        <v>843.870029625694</v>
      </c>
    </row>
    <row r="93" customFormat="false" ht="15" hidden="false" customHeight="false" outlineLevel="0" collapsed="false">
      <c r="A93" s="17" t="n">
        <v>352</v>
      </c>
      <c r="B93" s="5" t="s">
        <v>153</v>
      </c>
      <c r="C93" s="11" t="n">
        <f aca="false">Dual!$C$25+Dual!$C$24/2*((1-COS(RADIANS(A93)))+1/Dual!$C$27*(1-SQRT(1-Dual!$C$27^2*SIN(RADIANS(A93))^2)))</f>
        <v>23.4746058760779</v>
      </c>
      <c r="D93" s="11" t="n">
        <f aca="false">Dual!$C$6*(Dual!$C$26/C93)^Dual!$C$11</f>
        <v>3388.79794046724</v>
      </c>
      <c r="E93" s="11" t="n">
        <f aca="false">D93*C93*0.000001/(Dual!$C$29*Dual!$C$14)</f>
        <v>878.064793464142</v>
      </c>
    </row>
    <row r="94" customFormat="false" ht="15" hidden="false" customHeight="false" outlineLevel="0" collapsed="false">
      <c r="A94" s="17" t="n">
        <v>356</v>
      </c>
      <c r="B94" s="5" t="s">
        <v>153</v>
      </c>
      <c r="C94" s="11" t="n">
        <f aca="false">Dual!$C$25+Dual!$C$24/2*((1-COS(RADIANS(A94)))+1/Dual!$C$27*(1-SQRT(1-Dual!$C$27^2*SIN(RADIANS(A94))^2)))</f>
        <v>21.9965708280723</v>
      </c>
      <c r="D94" s="11" t="n">
        <f aca="false">Dual!$C$6*(Dual!$C$26/C94)^Dual!$C$11</f>
        <v>3711.81509614956</v>
      </c>
      <c r="E94" s="11" t="n">
        <f aca="false">D94*C94*0.000001/(Dual!$C$29*Dual!$C$14)</f>
        <v>901.205628418936</v>
      </c>
    </row>
    <row r="95" customFormat="false" ht="15" hidden="false" customHeight="false" outlineLevel="0" collapsed="false">
      <c r="A95" s="17" t="n">
        <v>360</v>
      </c>
      <c r="B95" s="5" t="s">
        <v>153</v>
      </c>
      <c r="C95" s="11" t="n">
        <f aca="false">Dual!$C$25+Dual!$C$24/2*((1-COS(RADIANS(A95)))+1/Dual!$C$27*(1-SQRT(1-Dual!$C$27^2*SIN(RADIANS(A95))^2)))</f>
        <v>21.5026309174953</v>
      </c>
      <c r="D95" s="11" t="n">
        <f aca="false">Dual!$C$6*(Dual!$C$26/C95)^Dual!$C$11</f>
        <v>3831.73148013829</v>
      </c>
      <c r="E95" s="11" t="n">
        <f aca="false">D95*C95*0.000001/(Dual!$C$29*Dual!$C$14)</f>
        <v>909.429939906239</v>
      </c>
    </row>
    <row r="96" customFormat="false" ht="15" hidden="false" customHeight="false" outlineLevel="0" collapsed="false">
      <c r="A96" s="17" t="n">
        <v>364</v>
      </c>
      <c r="B96" s="5" t="s">
        <v>154</v>
      </c>
      <c r="C96" s="11" t="n">
        <f aca="false">Dual!$C$25+Dual!$C$24/2*((1-COS(RADIANS(A96)))+1/Dual!$C$27*(1-SQRT(1-Dual!$C$27^2*SIN(RADIANS(A96))^2)))</f>
        <v>21.9965708280723</v>
      </c>
      <c r="D96" s="11" t="n">
        <f aca="false">IF(C96&lt;=Dual!$C$10*Dual!$C$25,Dual!$B$35,Dual!$B$35*(Dual!$C$10*Dual!$C$25/C96)^Dual!$C$11)</f>
        <v>5747.59722020743</v>
      </c>
      <c r="E96" s="11" t="n">
        <f aca="false">D96*C96*0.000001/(Dual!$C$29*Dual!$C$14)</f>
        <v>1395.48087136915</v>
      </c>
    </row>
    <row r="97" customFormat="false" ht="15" hidden="false" customHeight="false" outlineLevel="0" collapsed="false">
      <c r="A97" s="17" t="n">
        <v>368</v>
      </c>
      <c r="B97" s="5" t="s">
        <v>154</v>
      </c>
      <c r="C97" s="11" t="n">
        <f aca="false">Dual!$C$25+Dual!$C$24/2*((1-COS(RADIANS(A97)))+1/Dual!$C$27*(1-SQRT(1-Dual!$C$27^2*SIN(RADIANS(A97))^2)))</f>
        <v>23.4746058760778</v>
      </c>
      <c r="D97" s="11" t="n">
        <f aca="false">IF(C97&lt;=Dual!$C$10*Dual!$C$25,Dual!$B$35,Dual!$B$35*(Dual!$C$10*Dual!$C$25/C97)^Dual!$C$11)</f>
        <v>5747.59722020743</v>
      </c>
      <c r="E97" s="11" t="n">
        <f aca="false">D97*C97*0.000001/(Dual!$C$29*Dual!$C$14)</f>
        <v>1489.24865239403</v>
      </c>
    </row>
    <row r="98" customFormat="false" ht="15" hidden="false" customHeight="false" outlineLevel="0" collapsed="false">
      <c r="A98" s="17" t="n">
        <v>372</v>
      </c>
      <c r="B98" s="5" t="s">
        <v>154</v>
      </c>
      <c r="C98" s="11" t="n">
        <f aca="false">Dual!$C$25+Dual!$C$24/2*((1-COS(RADIANS(A98)))+1/Dual!$C$27*(1-SQRT(1-Dual!$C$27^2*SIN(RADIANS(A98))^2)))</f>
        <v>25.9254206925187</v>
      </c>
      <c r="D98" s="11" t="n">
        <f aca="false">IF(C98&lt;=Dual!$C$10*Dual!$C$25,Dual!$B$35,Dual!$B$35*(Dual!$C$10*Dual!$C$25/C98)^Dual!$C$11)</f>
        <v>5747.59722020743</v>
      </c>
      <c r="E98" s="11" t="n">
        <f aca="false">D98*C98*0.000001/(Dual!$C$29*Dual!$C$14)</f>
        <v>1644.73039645055</v>
      </c>
    </row>
    <row r="99" customFormat="false" ht="15" hidden="false" customHeight="false" outlineLevel="0" collapsed="false">
      <c r="A99" s="17" t="n">
        <v>376</v>
      </c>
      <c r="B99" s="5" t="s">
        <v>154</v>
      </c>
      <c r="C99" s="11" t="n">
        <f aca="false">Dual!$C$25+Dual!$C$24/2*((1-COS(RADIANS(A99)))+1/Dual!$C$27*(1-SQRT(1-Dual!$C$27^2*SIN(RADIANS(A99))^2)))</f>
        <v>29.3302851257246</v>
      </c>
      <c r="D99" s="11" t="n">
        <f aca="false">IF(C99&lt;=Dual!$C$10*Dual!$C$25,Dual!$B$35,Dual!$B$35*(Dual!$C$10*Dual!$C$25/C99)^Dual!$C$11)</f>
        <v>5747.59722020743</v>
      </c>
      <c r="E99" s="11" t="n">
        <f aca="false">D99*C99*0.000001/(Dual!$C$29*Dual!$C$14)</f>
        <v>1860.73784703372</v>
      </c>
    </row>
    <row r="100" customFormat="false" ht="15" hidden="false" customHeight="false" outlineLevel="0" collapsed="false">
      <c r="A100" s="17" t="n">
        <v>380</v>
      </c>
      <c r="B100" s="5" t="s">
        <v>154</v>
      </c>
      <c r="C100" s="11" t="n">
        <f aca="false">Dual!$C$25+Dual!$C$24/2*((1-COS(RADIANS(A100)))+1/Dual!$C$27*(1-SQRT(1-Dual!$C$27^2*SIN(RADIANS(A100))^2)))</f>
        <v>33.6632469093496</v>
      </c>
      <c r="D100" s="11" t="n">
        <f aca="false">IF(C100&lt;=Dual!$C$10*Dual!$C$25,Dual!$B$35,Dual!$B$35*(Dual!$C$10*Dual!$C$25/C100)^Dual!$C$11)</f>
        <v>5747.59722020743</v>
      </c>
      <c r="E100" s="11" t="n">
        <f aca="false">D100*C100*0.000001/(Dual!$C$29*Dual!$C$14)</f>
        <v>2135.62457063636</v>
      </c>
    </row>
    <row r="101" customFormat="false" ht="15" hidden="false" customHeight="false" outlineLevel="0" collapsed="false">
      <c r="A101" s="17" t="n">
        <v>384</v>
      </c>
      <c r="B101" s="5" t="s">
        <v>154</v>
      </c>
      <c r="C101" s="11" t="n">
        <f aca="false">Dual!$C$25+Dual!$C$24/2*((1-COS(RADIANS(A101)))+1/Dual!$C$27*(1-SQRT(1-Dual!$C$27^2*SIN(RADIANS(A101))^2)))</f>
        <v>38.8914002611945</v>
      </c>
      <c r="D101" s="11" t="n">
        <f aca="false">IF(C101&lt;=Dual!$C$10*Dual!$C$25,Dual!$B$35,Dual!$B$35*(Dual!$C$10*Dual!$C$25/C101)^Dual!$C$11)</f>
        <v>4841.13875709852</v>
      </c>
      <c r="E101" s="11" t="n">
        <f aca="false">D101*C101*0.000001/(Dual!$C$29*Dual!$C$14)</f>
        <v>2078.18253542929</v>
      </c>
    </row>
    <row r="102" customFormat="false" ht="15" hidden="false" customHeight="false" outlineLevel="0" collapsed="false">
      <c r="A102" s="17" t="n">
        <v>388</v>
      </c>
      <c r="B102" s="5" t="s">
        <v>154</v>
      </c>
      <c r="C102" s="11" t="n">
        <f aca="false">Dual!$C$25+Dual!$C$24/2*((1-COS(RADIANS(A102)))+1/Dual!$C$27*(1-SQRT(1-Dual!$C$27^2*SIN(RADIANS(A102))^2)))</f>
        <v>44.9752290872968</v>
      </c>
      <c r="D102" s="11" t="n">
        <f aca="false">IF(C102&lt;=Dual!$C$10*Dual!$C$25,Dual!$B$35,Dual!$B$35*(Dual!$C$10*Dual!$C$25/C102)^Dual!$C$11)</f>
        <v>3949.84273841739</v>
      </c>
      <c r="E102" s="11" t="n">
        <f aca="false">D102*C102*0.000001/(Dual!$C$29*Dual!$C$14)</f>
        <v>1960.81115572615</v>
      </c>
    </row>
    <row r="103" customFormat="false" ht="15" hidden="false" customHeight="false" outlineLevel="0" collapsed="false">
      <c r="A103" s="17" t="n">
        <v>392</v>
      </c>
      <c r="B103" s="5" t="s">
        <v>154</v>
      </c>
      <c r="C103" s="11" t="n">
        <f aca="false">Dual!$C$25+Dual!$C$24/2*((1-COS(RADIANS(A103)))+1/Dual!$C$27*(1-SQRT(1-Dual!$C$27^2*SIN(RADIANS(A103))^2)))</f>
        <v>51.8690228252964</v>
      </c>
      <c r="D103" s="11" t="n">
        <f aca="false">IF(C103&lt;=Dual!$C$10*Dual!$C$25,Dual!$B$35,Dual!$B$35*(Dual!$C$10*Dual!$C$25/C103)^Dual!$C$11)</f>
        <v>3234.97739069507</v>
      </c>
      <c r="E103" s="11" t="n">
        <f aca="false">D103*C103*0.000001/(Dual!$C$29*Dual!$C$14)</f>
        <v>1852.08918715644</v>
      </c>
    </row>
    <row r="104" customFormat="false" ht="15" hidden="false" customHeight="false" outlineLevel="0" collapsed="false">
      <c r="A104" s="17" t="n">
        <v>396</v>
      </c>
      <c r="B104" s="5" t="s">
        <v>154</v>
      </c>
      <c r="C104" s="11" t="n">
        <f aca="false">Dual!$C$25+Dual!$C$24/2*((1-COS(RADIANS(A104)))+1/Dual!$C$27*(1-SQRT(1-Dual!$C$27^2*SIN(RADIANS(A104))^2)))</f>
        <v>59.521362140551</v>
      </c>
      <c r="D104" s="11" t="n">
        <f aca="false">IF(C104&lt;=Dual!$C$10*Dual!$C$25,Dual!$B$35,Dual!$B$35*(Dual!$C$10*Dual!$C$25/C104)^Dual!$C$11)</f>
        <v>2668.09037714635</v>
      </c>
      <c r="E104" s="11" t="n">
        <f aca="false">D104*C104*0.000001/(Dual!$C$29*Dual!$C$14)</f>
        <v>1752.89530654884</v>
      </c>
    </row>
    <row r="105" customFormat="false" ht="15" hidden="false" customHeight="false" outlineLevel="0" collapsed="false">
      <c r="A105" s="17" t="n">
        <v>400</v>
      </c>
      <c r="B105" s="5" t="s">
        <v>154</v>
      </c>
      <c r="C105" s="11" t="n">
        <f aca="false">Dual!$C$25+Dual!$C$24/2*((1-COS(RADIANS(A105)))+1/Dual!$C$27*(1-SQRT(1-Dual!$C$27^2*SIN(RADIANS(A105))^2)))</f>
        <v>67.8756706679472</v>
      </c>
      <c r="D105" s="11" t="n">
        <f aca="false">IF(C105&lt;=Dual!$C$10*Dual!$C$25,Dual!$B$35,Dual!$B$35*(Dual!$C$10*Dual!$C$25/C105)^Dual!$C$11)</f>
        <v>2219.94776238687</v>
      </c>
      <c r="E105" s="11" t="n">
        <f aca="false">D105*C105*0.000001/(Dual!$C$29*Dual!$C$14)</f>
        <v>1663.18082469281</v>
      </c>
    </row>
    <row r="106" customFormat="false" ht="15" hidden="false" customHeight="false" outlineLevel="0" collapsed="false">
      <c r="A106" s="17" t="n">
        <v>404</v>
      </c>
      <c r="B106" s="5" t="s">
        <v>154</v>
      </c>
      <c r="C106" s="11" t="n">
        <f aca="false">Dual!$C$25+Dual!$C$24/2*((1-COS(RADIANS(A106)))+1/Dual!$C$27*(1-SQRT(1-Dual!$C$27^2*SIN(RADIANS(A106))^2)))</f>
        <v>76.8708277665732</v>
      </c>
      <c r="D106" s="11" t="n">
        <f aca="false">IF(C106&lt;=Dual!$C$10*Dual!$C$25,Dual!$B$35,Dual!$B$35*(Dual!$C$10*Dual!$C$25/C106)^Dual!$C$11)</f>
        <v>1864.98937412333</v>
      </c>
      <c r="E106" s="11" t="n">
        <f aca="false">D106*C106*0.000001/(Dual!$C$29*Dual!$C$14)</f>
        <v>1582.41539590516</v>
      </c>
    </row>
    <row r="107" customFormat="false" ht="15" hidden="false" customHeight="false" outlineLevel="0" collapsed="false">
      <c r="A107" s="17" t="n">
        <v>408</v>
      </c>
      <c r="B107" s="5" t="s">
        <v>154</v>
      </c>
      <c r="C107" s="11" t="n">
        <f aca="false">Dual!$C$25+Dual!$C$24/2*((1-COS(RADIANS(A107)))+1/Dual!$C$27*(1-SQRT(1-Dual!$C$27^2*SIN(RADIANS(A107))^2)))</f>
        <v>86.4418358367387</v>
      </c>
      <c r="D107" s="11" t="n">
        <f aca="false">IF(C107&lt;=Dual!$C$10*Dual!$C$25,Dual!$B$35,Dual!$B$35*(Dual!$C$10*Dual!$C$25/C107)^Dual!$C$11)</f>
        <v>1582.44625182742</v>
      </c>
      <c r="E107" s="11" t="n">
        <f aca="false">D107*C107*0.000001/(Dual!$C$29*Dual!$C$14)</f>
        <v>1509.85600311926</v>
      </c>
    </row>
    <row r="108" customFormat="false" ht="15" hidden="false" customHeight="false" outlineLevel="0" collapsed="false">
      <c r="A108" s="17" t="n">
        <v>412</v>
      </c>
      <c r="B108" s="5" t="s">
        <v>154</v>
      </c>
      <c r="C108" s="11" t="n">
        <f aca="false">Dual!$C$25+Dual!$C$24/2*((1-COS(RADIANS(A108)))+1/Dual!$C$27*(1-SQRT(1-Dual!$C$27^2*SIN(RADIANS(A108))^2)))</f>
        <v>96.5205341750898</v>
      </c>
      <c r="D108" s="11" t="n">
        <f aca="false">IF(C108&lt;=Dual!$C$10*Dual!$C$25,Dual!$B$35,Dual!$B$35*(Dual!$C$10*Dual!$C$25/C108)^Dual!$C$11)</f>
        <v>1356.04761446506</v>
      </c>
      <c r="E108" s="11" t="n">
        <f aca="false">D108*C108*0.000001/(Dual!$C$29*Dual!$C$14)</f>
        <v>1444.69854720324</v>
      </c>
    </row>
    <row r="109" customFormat="false" ht="15" hidden="false" customHeight="false" outlineLevel="0" collapsed="false">
      <c r="A109" s="17" t="n">
        <v>416</v>
      </c>
      <c r="B109" s="5" t="s">
        <v>154</v>
      </c>
      <c r="C109" s="11" t="n">
        <f aca="false">Dual!$C$25+Dual!$C$24/2*((1-COS(RADIANS(A109)))+1/Dual!$C$27*(1-SQRT(1-Dual!$C$27^2*SIN(RADIANS(A109))^2)))</f>
        <v>107.036349674706</v>
      </c>
      <c r="D109" s="11" t="n">
        <f aca="false">IF(C109&lt;=Dual!$C$10*Dual!$C$25,Dual!$B$35,Dual!$B$35*(Dual!$C$10*Dual!$C$25/C109)^Dual!$C$11)</f>
        <v>1173.2720825844</v>
      </c>
      <c r="E109" s="11" t="n">
        <f aca="false">D109*C109*0.000001/(Dual!$C$29*Dual!$C$14)</f>
        <v>1386.15758866577</v>
      </c>
    </row>
    <row r="110" customFormat="false" ht="15" hidden="false" customHeight="false" outlineLevel="0" collapsed="false">
      <c r="A110" s="17" t="n">
        <v>420</v>
      </c>
      <c r="B110" s="5" t="s">
        <v>154</v>
      </c>
      <c r="C110" s="11" t="n">
        <f aca="false">Dual!$C$25+Dual!$C$24/2*((1-COS(RADIANS(A110)))+1/Dual!$C$27*(1-SQRT(1-Dual!$C$27^2*SIN(RADIANS(A110))^2)))</f>
        <v>117.917073000053</v>
      </c>
      <c r="D110" s="11" t="n">
        <f aca="false">IF(C110&lt;=Dual!$C$10*Dual!$C$25,Dual!$B$35,Dual!$B$35*(Dual!$C$10*Dual!$C$25/C110)^Dual!$C$11)</f>
        <v>1024.5547615331</v>
      </c>
      <c r="E110" s="11" t="n">
        <f aca="false">D110*C110*0.000001/(Dual!$C$29*Dual!$C$14)</f>
        <v>1333.5043803617</v>
      </c>
    </row>
    <row r="111" customFormat="false" ht="15" hidden="false" customHeight="false" outlineLevel="0" collapsed="false">
      <c r="A111" s="17" t="n">
        <v>424</v>
      </c>
      <c r="B111" s="5" t="s">
        <v>154</v>
      </c>
      <c r="C111" s="11" t="n">
        <f aca="false">Dual!$C$25+Dual!$C$24/2*((1-COS(RADIANS(A111)))+1/Dual!$C$27*(1-SQRT(1-Dual!$C$27^2*SIN(RADIANS(A111))^2)))</f>
        <v>129.089647292342</v>
      </c>
      <c r="D111" s="11" t="n">
        <f aca="false">IF(C111&lt;=Dual!$C$10*Dual!$C$25,Dual!$B$35,Dual!$B$35*(Dual!$C$10*Dual!$C$25/C111)^Dual!$C$11)</f>
        <v>902.598406886647</v>
      </c>
      <c r="E111" s="11" t="n">
        <f aca="false">D111*C111*0.000001/(Dual!$C$29*Dual!$C$14)</f>
        <v>1286.08169557325</v>
      </c>
    </row>
    <row r="112" customFormat="false" ht="15" hidden="false" customHeight="false" outlineLevel="0" collapsed="false">
      <c r="A112" s="17" t="n">
        <v>428</v>
      </c>
      <c r="B112" s="5" t="s">
        <v>154</v>
      </c>
      <c r="C112" s="11" t="n">
        <f aca="false">Dual!$C$25+Dual!$C$24/2*((1-COS(RADIANS(A112)))+1/Dual!$C$27*(1-SQRT(1-Dual!$C$27^2*SIN(RADIANS(A112))^2)))</f>
        <v>140.480955118536</v>
      </c>
      <c r="D112" s="11" t="n">
        <f aca="false">IF(C112&lt;=Dual!$C$10*Dual!$C$25,Dual!$B$35,Dual!$B$35*(Dual!$C$10*Dual!$C$25/C112)^Dual!$C$11)</f>
        <v>801.822263369289</v>
      </c>
      <c r="E112" s="11" t="n">
        <f aca="false">D112*C112*0.000001/(Dual!$C$29*Dual!$C$14)</f>
        <v>1243.30632278747</v>
      </c>
    </row>
    <row r="113" customFormat="false" ht="15" hidden="false" customHeight="false" outlineLevel="0" collapsed="false">
      <c r="A113" s="17" t="n">
        <v>432</v>
      </c>
      <c r="B113" s="5" t="s">
        <v>154</v>
      </c>
      <c r="C113" s="11" t="n">
        <f aca="false">Dual!$C$25+Dual!$C$24/2*((1-COS(RADIANS(A113)))+1/Dual!$C$27*(1-SQRT(1-Dual!$C$27^2*SIN(RADIANS(A113))^2)))</f>
        <v>152.018588404864</v>
      </c>
      <c r="D113" s="11" t="n">
        <f aca="false">IF(C113&lt;=Dual!$C$10*Dual!$C$25,Dual!$B$35,Dual!$B$35*(Dual!$C$10*Dual!$C$25/C113)^Dual!$C$11)</f>
        <v>717.938376820614</v>
      </c>
      <c r="E113" s="11" t="n">
        <f aca="false">D113*C113*0.000001/(Dual!$C$29*Dual!$C$14)</f>
        <v>1204.66542137782</v>
      </c>
    </row>
    <row r="114" customFormat="false" ht="15" hidden="false" customHeight="false" outlineLevel="0" collapsed="false">
      <c r="A114" s="17" t="n">
        <v>436</v>
      </c>
      <c r="B114" s="5" t="s">
        <v>154</v>
      </c>
      <c r="C114" s="11" t="n">
        <f aca="false">Dual!$C$25+Dual!$C$24/2*((1-COS(RADIANS(A114)))+1/Dual!$C$27*(1-SQRT(1-Dual!$C$27^2*SIN(RADIANS(A114))^2)))</f>
        <v>163.631585627139</v>
      </c>
      <c r="D114" s="11" t="n">
        <f aca="false">IF(C114&lt;=Dual!$C$10*Dual!$C$25,Dual!$B$35,Dual!$B$35*(Dual!$C$10*Dual!$C$25/C114)^Dual!$C$11)</f>
        <v>647.632370910671</v>
      </c>
      <c r="E114" s="11" t="n">
        <f aca="false">D114*C114*0.000001/(Dual!$C$29*Dual!$C$14)</f>
        <v>1169.71017365392</v>
      </c>
    </row>
    <row r="115" customFormat="false" ht="15" hidden="false" customHeight="false" outlineLevel="0" collapsed="false">
      <c r="A115" s="17" t="n">
        <v>440</v>
      </c>
      <c r="B115" s="5" t="s">
        <v>154</v>
      </c>
      <c r="C115" s="11" t="n">
        <f aca="false">Dual!$C$25+Dual!$C$24/2*((1-COS(RADIANS(A115)))+1/Dual!$C$27*(1-SQRT(1-Dual!$C$27^2*SIN(RADIANS(A115))^2)))</f>
        <v>175.251120678954</v>
      </c>
      <c r="D115" s="11" t="n">
        <f aca="false">IF(C115&lt;=Dual!$C$10*Dual!$C$25,Dual!$B$35,Dual!$B$35*(Dual!$C$10*Dual!$C$25/C115)^Dual!$C$11)</f>
        <v>588.325153983354</v>
      </c>
      <c r="E115" s="11" t="n">
        <f aca="false">D115*C115*0.000001/(Dual!$C$29*Dual!$C$14)</f>
        <v>1138.04858000786</v>
      </c>
    </row>
    <row r="116" customFormat="false" ht="15" hidden="false" customHeight="false" outlineLevel="0" collapsed="false">
      <c r="A116" s="17" t="n">
        <v>444</v>
      </c>
      <c r="B116" s="5" t="s">
        <v>154</v>
      </c>
      <c r="C116" s="11" t="n">
        <f aca="false">Dual!$C$25+Dual!$C$24/2*((1-COS(RADIANS(A116)))+1/Dual!$C$27*(1-SQRT(1-Dual!$C$27^2*SIN(RADIANS(A116))^2)))</f>
        <v>186.811128682388</v>
      </c>
      <c r="D116" s="11" t="n">
        <f aca="false">IF(C116&lt;=Dual!$C$10*Dual!$C$25,Dual!$B$35,Dual!$B$35*(Dual!$C$10*Dual!$C$25/C116)^Dual!$C$11)</f>
        <v>537.99557097965</v>
      </c>
      <c r="E116" s="11" t="n">
        <f aca="false">D116*C116*0.000001/(Dual!$C$29*Dual!$C$14)</f>
        <v>1109.3383452343</v>
      </c>
    </row>
    <row r="117" customFormat="false" ht="15" hidden="false" customHeight="false" outlineLevel="0" collapsed="false">
      <c r="A117" s="17" t="n">
        <v>448</v>
      </c>
      <c r="B117" s="5" t="s">
        <v>154</v>
      </c>
      <c r="C117" s="11" t="n">
        <f aca="false">Dual!$C$25+Dual!$C$24/2*((1-COS(RADIANS(A117)))+1/Dual!$C$27*(1-SQRT(1-Dual!$C$27^2*SIN(RADIANS(A117))^2)))</f>
        <v>198.248855570513</v>
      </c>
      <c r="D117" s="11" t="n">
        <f aca="false">IF(C117&lt;=Dual!$C$10*Dual!$C$25,Dual!$B$35,Dual!$B$35*(Dual!$C$10*Dual!$C$25/C117)^Dual!$C$11)</f>
        <v>495.048305136953</v>
      </c>
      <c r="E117" s="11" t="n">
        <f aca="false">D117*C117*0.000001/(Dual!$C$29*Dual!$C$14)</f>
        <v>1083.28030456945</v>
      </c>
    </row>
    <row r="118" customFormat="false" ht="15" hidden="false" customHeight="false" outlineLevel="0" collapsed="false">
      <c r="A118" s="17" t="n">
        <v>452</v>
      </c>
      <c r="B118" s="5" t="s">
        <v>154</v>
      </c>
      <c r="C118" s="11" t="n">
        <f aca="false">Dual!$C$25+Dual!$C$24/2*((1-COS(RADIANS(A118)))+1/Dual!$C$27*(1-SQRT(1-Dual!$C$27^2*SIN(RADIANS(A118))^2)))</f>
        <v>209.505320522516</v>
      </c>
      <c r="D118" s="11" t="n">
        <f aca="false">IF(C118&lt;=Dual!$C$10*Dual!$C$25,Dual!$B$35,Dual!$B$35*(Dual!$C$10*Dual!$C$25/C118)^Dual!$C$11)</f>
        <v>458.215170079889</v>
      </c>
      <c r="E118" s="11" t="n">
        <f aca="false">D118*C118*0.000001/(Dual!$C$29*Dual!$C$14)</f>
        <v>1059.612566333</v>
      </c>
    </row>
    <row r="119" customFormat="false" ht="15" hidden="false" customHeight="false" outlineLevel="0" collapsed="false">
      <c r="A119" s="17" t="n">
        <v>456</v>
      </c>
      <c r="B119" s="5" t="s">
        <v>154</v>
      </c>
      <c r="C119" s="11" t="n">
        <f aca="false">Dual!$C$25+Dual!$C$24/2*((1-COS(RADIANS(A119)))+1/Dual!$C$27*(1-SQRT(1-Dual!$C$27^2*SIN(RADIANS(A119))^2)))</f>
        <v>220.525683172648</v>
      </c>
      <c r="D119" s="11" t="n">
        <f aca="false">IF(C119&lt;=Dual!$C$10*Dual!$C$25,Dual!$B$35,Dual!$B$35*(Dual!$C$10*Dual!$C$25/C119)^Dual!$C$11)</f>
        <v>426.481007899644</v>
      </c>
      <c r="E119" s="11" t="n">
        <f aca="false">D119*C119*0.000001/(Dual!$C$29*Dual!$C$14)</f>
        <v>1038.10540512595</v>
      </c>
    </row>
    <row r="120" customFormat="false" ht="15" hidden="false" customHeight="false" outlineLevel="0" collapsed="false">
      <c r="A120" s="17" t="n">
        <v>460</v>
      </c>
      <c r="B120" s="5" t="s">
        <v>154</v>
      </c>
      <c r="C120" s="11" t="n">
        <f aca="false">Dual!$C$25+Dual!$C$24/2*((1-COS(RADIANS(A120)))+1/Dual!$C$27*(1-SQRT(1-Dual!$C$27^2*SIN(RADIANS(A120))^2)))</f>
        <v>231.259510786968</v>
      </c>
      <c r="D120" s="11" t="n">
        <f aca="false">IF(C120&lt;=Dual!$C$10*Dual!$C$25,Dual!$B$35,Dual!$B$35*(Dual!$C$10*Dual!$C$25/C120)^Dual!$C$11)</f>
        <v>399.027749597499</v>
      </c>
      <c r="E120" s="11" t="n">
        <f aca="false">D120*C120*0.000001/(Dual!$C$29*Dual!$C$14)</f>
        <v>1018.55686850526</v>
      </c>
    </row>
    <row r="121" customFormat="false" ht="15" hidden="false" customHeight="false" outlineLevel="0" collapsed="false">
      <c r="A121" s="17" t="n">
        <v>464</v>
      </c>
      <c r="B121" s="5" t="s">
        <v>154</v>
      </c>
      <c r="C121" s="11" t="n">
        <f aca="false">Dual!$C$25+Dual!$C$24/2*((1-COS(RADIANS(A121)))+1/Dual!$C$27*(1-SQRT(1-Dual!$C$27^2*SIN(RADIANS(A121))^2)))</f>
        <v>241.660944106246</v>
      </c>
      <c r="D121" s="11" t="n">
        <f aca="false">IF(C121&lt;=Dual!$C$10*Dual!$C$25,Dual!$B$35,Dual!$B$35*(Dual!$C$10*Dual!$C$25/C121)^Dual!$C$11)</f>
        <v>375.191929123072</v>
      </c>
      <c r="E121" s="11" t="n">
        <f aca="false">D121*C121*0.000001/(Dual!$C$29*Dual!$C$14)</f>
        <v>1000.78902856436</v>
      </c>
    </row>
    <row r="122" customFormat="false" ht="15" hidden="false" customHeight="false" outlineLevel="0" collapsed="false">
      <c r="A122" s="17" t="n">
        <v>468</v>
      </c>
      <c r="B122" s="5" t="s">
        <v>154</v>
      </c>
      <c r="C122" s="11" t="n">
        <f aca="false">Dual!$C$25+Dual!$C$24/2*((1-COS(RADIANS(A122)))+1/Dual!$C$27*(1-SQRT(1-Dual!$C$27^2*SIN(RADIANS(A122))^2)))</f>
        <v>251.688764064038</v>
      </c>
      <c r="D122" s="11" t="n">
        <f aca="false">IF(C122&lt;=Dual!$C$10*Dual!$C$25,Dual!$B$35,Dual!$B$35*(Dual!$C$10*Dual!$C$25/C122)^Dual!$C$11)</f>
        <v>354.432210346377</v>
      </c>
      <c r="E122" s="11" t="n">
        <f aca="false">D122*C122*0.000001/(Dual!$C$29*Dual!$C$14)</f>
        <v>984.644799590182</v>
      </c>
    </row>
    <row r="123" customFormat="false" ht="15" hidden="false" customHeight="false" outlineLevel="0" collapsed="false">
      <c r="A123" s="17" t="n">
        <v>472</v>
      </c>
      <c r="B123" s="5" t="s">
        <v>154</v>
      </c>
      <c r="C123" s="11" t="n">
        <f aca="false">Dual!$C$25+Dual!$C$24/2*((1-COS(RADIANS(A123)))+1/Dual!$C$27*(1-SQRT(1-Dual!$C$27^2*SIN(RADIANS(A123))^2)))</f>
        <v>261.306364880775</v>
      </c>
      <c r="D123" s="11" t="n">
        <f aca="false">IF(C123&lt;=Dual!$C$10*Dual!$C$25,Dual!$B$35,Dual!$B$35*(Dual!$C$10*Dual!$C$25/C123)^Dual!$C$11)</f>
        <v>336.304407282574</v>
      </c>
      <c r="E123" s="11" t="n">
        <f aca="false">D123*C123*0.000001/(Dual!$C$29*Dual!$C$14)</f>
        <v>969.985243665996</v>
      </c>
    </row>
    <row r="124" customFormat="false" ht="15" hidden="false" customHeight="false" outlineLevel="0" collapsed="false">
      <c r="A124" s="17" t="n">
        <v>476</v>
      </c>
      <c r="B124" s="5" t="s">
        <v>154</v>
      </c>
      <c r="C124" s="11" t="n">
        <f aca="false">Dual!$C$25+Dual!$C$24/2*((1-COS(RADIANS(A124)))+1/Dual!$C$27*(1-SQRT(1-Dual!$C$27^2*SIN(RADIANS(A124))^2)))</f>
        <v>270.481641906612</v>
      </c>
      <c r="D124" s="11" t="n">
        <f aca="false">IF(C124&lt;=Dual!$C$10*Dual!$C$25,Dual!$B$35,Dual!$B$35*(Dual!$C$10*Dual!$C$25/C124)^Dual!$C$11)</f>
        <v>320.442145467327</v>
      </c>
      <c r="E124" s="11" t="n">
        <f aca="false">D124*C124*0.000001/(Dual!$C$29*Dual!$C$14)</f>
        <v>956.687292038623</v>
      </c>
    </row>
    <row r="125" customFormat="false" ht="15" hidden="false" customHeight="false" outlineLevel="0" collapsed="false">
      <c r="A125" s="17" t="n">
        <v>480</v>
      </c>
      <c r="B125" s="5" t="s">
        <v>154</v>
      </c>
      <c r="C125" s="11" t="n">
        <f aca="false">Dual!$C$25+Dual!$C$24/2*((1-COS(RADIANS(A125)))+1/Dual!$C$27*(1-SQRT(1-Dual!$C$27^2*SIN(RADIANS(A125))^2)))</f>
        <v>279.186804881268</v>
      </c>
      <c r="D125" s="11" t="n">
        <f aca="false">IF(C125&lt;=Dual!$C$10*Dual!$C$25,Dual!$B$35,Dual!$B$35*(Dual!$C$10*Dual!$C$25/C125)^Dual!$C$11)</f>
        <v>306.541796729276</v>
      </c>
      <c r="E125" s="11" t="n">
        <f aca="false">D125*C125*0.000001/(Dual!$C$29*Dual!$C$14)</f>
        <v>944.641818156444</v>
      </c>
    </row>
    <row r="126" customFormat="false" ht="15" hidden="false" customHeight="false" outlineLevel="0" collapsed="false">
      <c r="A126" s="17" t="n">
        <v>484</v>
      </c>
      <c r="B126" s="5" t="s">
        <v>154</v>
      </c>
      <c r="C126" s="11" t="n">
        <f aca="false">Dual!$C$25+Dual!$C$24/2*((1-COS(RADIANS(A126)))+1/Dual!$C$27*(1-SQRT(1-Dual!$C$27^2*SIN(RADIANS(A126))^2)))</f>
        <v>287.398128899918</v>
      </c>
      <c r="D126" s="11" t="n">
        <f aca="false">IF(C126&lt;=Dual!$C$10*Dual!$C$25,Dual!$B$35,Dual!$B$35*(Dual!$C$10*Dual!$C$25/C126)^Dual!$C$11)</f>
        <v>294.350671997566</v>
      </c>
      <c r="E126" s="11" t="n">
        <f aca="false">D126*C126*0.000001/(Dual!$C$29*Dual!$C$14)</f>
        <v>933.752006859115</v>
      </c>
    </row>
    <row r="127" customFormat="false" ht="15" hidden="false" customHeight="false" outlineLevel="0" collapsed="false">
      <c r="A127" s="17" t="n">
        <v>488</v>
      </c>
      <c r="B127" s="5" t="s">
        <v>154</v>
      </c>
      <c r="C127" s="11" t="n">
        <f aca="false">Dual!$C$25+Dual!$C$24/2*((1-COS(RADIANS(A127)))+1/Dual!$C$27*(1-SQRT(1-Dual!$C$27^2*SIN(RADIANS(A127))^2)))</f>
        <v>295.095656285814</v>
      </c>
      <c r="D127" s="11" t="n">
        <f aca="false">IF(C127&lt;=Dual!$C$10*Dual!$C$25,Dual!$B$35,Dual!$B$35*(Dual!$C$10*Dual!$C$25/C127)^Dual!$C$11)</f>
        <v>283.657714199471</v>
      </c>
      <c r="E127" s="11" t="n">
        <f aca="false">D127*C127*0.000001/(Dual!$C$29*Dual!$C$14)</f>
        <v>923.93197242554</v>
      </c>
    </row>
    <row r="128" customFormat="false" ht="15" hidden="false" customHeight="false" outlineLevel="0" collapsed="false">
      <c r="A128" s="17" t="n">
        <v>492</v>
      </c>
      <c r="B128" s="5" t="s">
        <v>154</v>
      </c>
      <c r="C128" s="11" t="n">
        <f aca="false">Dual!$C$25+Dual!$C$24/2*((1-COS(RADIANS(A128)))+1/Dual!$C$27*(1-SQRT(1-Dual!$C$27^2*SIN(RADIANS(A128))^2)))</f>
        <v>302.262862798755</v>
      </c>
      <c r="D128" s="11" t="n">
        <f aca="false">IF(C128&lt;=Dual!$C$10*Dual!$C$25,Dual!$B$35,Dual!$B$35*(Dual!$C$10*Dual!$C$25/C128)^Dual!$C$11)</f>
        <v>274.286122253003</v>
      </c>
      <c r="E128" s="11" t="n">
        <f aca="false">D128*C128*0.000001/(Dual!$C$29*Dual!$C$14)</f>
        <v>915.105585678067</v>
      </c>
    </row>
    <row r="129" customFormat="false" ht="15" hidden="false" customHeight="false" outlineLevel="0" collapsed="false">
      <c r="A129" s="17" t="n">
        <v>496</v>
      </c>
      <c r="B129" s="5" t="s">
        <v>154</v>
      </c>
      <c r="C129" s="11" t="n">
        <f aca="false">Dual!$C$25+Dual!$C$24/2*((1-COS(RADIANS(A129)))+1/Dual!$C$27*(1-SQRT(1-Dual!$C$27^2*SIN(RADIANS(A129))^2)))</f>
        <v>308.886301230775</v>
      </c>
      <c r="D129" s="11" t="n">
        <f aca="false">IF(C129&lt;=Dual!$C$10*Dual!$C$25,Dual!$B$35,Dual!$B$35*(Dual!$C$10*Dual!$C$25/C129)^Dual!$C$11)</f>
        <v>266.087476599193</v>
      </c>
      <c r="E129" s="11" t="n">
        <f aca="false">D129*C129*0.000001/(Dual!$C$29*Dual!$C$14)</f>
        <v>907.205476956007</v>
      </c>
    </row>
    <row r="130" customFormat="false" ht="15" hidden="false" customHeight="false" outlineLevel="0" collapsed="false">
      <c r="A130" s="17" t="n">
        <v>500</v>
      </c>
      <c r="B130" s="5" t="s">
        <v>154</v>
      </c>
      <c r="C130" s="11" t="n">
        <f aca="false">Dual!$C$25+Dual!$C$24/2*((1-COS(RADIANS(A130)))+1/Dual!$C$27*(1-SQRT(1-Dual!$C$27^2*SIN(RADIANS(A130))^2)))</f>
        <v>314.955234569732</v>
      </c>
      <c r="D130" s="11" t="n">
        <f aca="false">IF(C130&lt;=Dual!$C$10*Dual!$C$25,Dual!$B$35,Dual!$B$35*(Dual!$C$10*Dual!$C$25/C130)^Dual!$C$11)</f>
        <v>258.937040213306</v>
      </c>
      <c r="E130" s="11" t="n">
        <f aca="false">D130*C130*0.000001/(Dual!$C$29*Dual!$C$14)</f>
        <v>900.172187496447</v>
      </c>
    </row>
    <row r="131" customFormat="false" ht="15" hidden="false" customHeight="false" outlineLevel="0" collapsed="false">
      <c r="A131" s="17" t="n">
        <v>504</v>
      </c>
      <c r="B131" s="5" t="s">
        <v>154</v>
      </c>
      <c r="C131" s="11" t="n">
        <f aca="false">Dual!$C$25+Dual!$C$24/2*((1-COS(RADIANS(A131)))+1/Dual!$C$27*(1-SQRT(1-Dual!$C$27^2*SIN(RADIANS(A131))^2)))</f>
        <v>320.461269680939</v>
      </c>
      <c r="D131" s="11" t="n">
        <f aca="false">IF(C131&lt;=Dual!$C$10*Dual!$C$25,Dual!$B$35,Dual!$B$35*(Dual!$C$10*Dual!$C$25/C131)^Dual!$C$11)</f>
        <v>252.729986312844</v>
      </c>
      <c r="E131" s="11" t="n">
        <f aca="false">D131*C131*0.000001/(Dual!$C$29*Dual!$C$14)</f>
        <v>893.953446645053</v>
      </c>
    </row>
    <row r="132" customFormat="false" ht="15" hidden="false" customHeight="false" outlineLevel="0" collapsed="false">
      <c r="A132" s="17" t="n">
        <v>508</v>
      </c>
      <c r="B132" s="5" t="s">
        <v>154</v>
      </c>
      <c r="C132" s="11" t="n">
        <f aca="false">Dual!$C$25+Dual!$C$24/2*((1-COS(RADIANS(A132)))+1/Dual!$C$27*(1-SQRT(1-Dual!$C$27^2*SIN(RADIANS(A132))^2)))</f>
        <v>325.39800100434</v>
      </c>
      <c r="D132" s="11" t="n">
        <f aca="false">IF(C132&lt;=Dual!$C$10*Dual!$C$25,Dual!$B$35,Dual!$B$35*(Dual!$C$10*Dual!$C$25/C132)^Dual!$C$11)</f>
        <v>247.378362046174</v>
      </c>
      <c r="E132" s="11" t="n">
        <f aca="false">D132*C132*0.000001/(Dual!$C$29*Dual!$C$14)</f>
        <v>888.503556443665</v>
      </c>
    </row>
    <row r="133" customFormat="false" ht="15" hidden="false" customHeight="false" outlineLevel="0" collapsed="false">
      <c r="A133" s="17" t="n">
        <v>512</v>
      </c>
      <c r="B133" s="5" t="s">
        <v>154</v>
      </c>
      <c r="C133" s="11" t="n">
        <f aca="false">Dual!$C$25+Dual!$C$24/2*((1-COS(RADIANS(A133)))+1/Dual!$C$27*(1-SQRT(1-Dual!$C$27^2*SIN(RADIANS(A133))^2)))</f>
        <v>329.760672218344</v>
      </c>
      <c r="D133" s="11" t="n">
        <f aca="false">IF(C133&lt;=Dual!$C$10*Dual!$C$25,Dual!$B$35,Dual!$B$35*(Dual!$C$10*Dual!$C$25/C133)^Dual!$C$11)</f>
        <v>242.808641363636</v>
      </c>
      <c r="E133" s="11" t="n">
        <f aca="false">D133*C133*0.000001/(Dual!$C$29*Dual!$C$14)</f>
        <v>883.782868595356</v>
      </c>
    </row>
    <row r="134" customFormat="false" ht="15" hidden="false" customHeight="false" outlineLevel="0" collapsed="false">
      <c r="A134" s="17" t="n">
        <v>516</v>
      </c>
      <c r="B134" s="5" t="s">
        <v>154</v>
      </c>
      <c r="C134" s="11" t="n">
        <f aca="false">Dual!$C$25+Dual!$C$24/2*((1-COS(RADIANS(A134)))+1/Dual!$C$27*(1-SQRT(1-Dual!$C$27^2*SIN(RADIANS(A134))^2)))</f>
        <v>333.545862291843</v>
      </c>
      <c r="D134" s="11" t="n">
        <f aca="false">IF(C134&lt;=Dual!$C$10*Dual!$C$25,Dual!$B$35,Dual!$B$35*(Dual!$C$10*Dual!$C$25/C134)^Dual!$C$11)</f>
        <v>238.959753724763</v>
      </c>
      <c r="E134" s="11" t="n">
        <f aca="false">D134*C134*0.000001/(Dual!$C$29*Dual!$C$14)</f>
        <v>879.757341682316</v>
      </c>
    </row>
    <row r="135" customFormat="false" ht="15" hidden="false" customHeight="false" outlineLevel="0" collapsed="false">
      <c r="A135" s="17" t="n">
        <v>520</v>
      </c>
      <c r="B135" s="5" t="s">
        <v>154</v>
      </c>
      <c r="C135" s="11" t="n">
        <f aca="false">Dual!$C$25+Dual!$C$24/2*((1-COS(RADIANS(A135)))+1/Dual!$C$27*(1-SQRT(1-Dual!$C$27^2*SIN(RADIANS(A135))^2)))</f>
        <v>336.751200919149</v>
      </c>
      <c r="D135" s="11" t="n">
        <f aca="false">IF(C135&lt;=Dual!$C$10*Dual!$C$25,Dual!$B$35,Dual!$B$35*(Dual!$C$10*Dual!$C$25/C135)^Dual!$C$11)</f>
        <v>235.781500973592</v>
      </c>
      <c r="E135" s="11" t="n">
        <f aca="false">D135*C135*0.000001/(Dual!$C$29*Dual!$C$14)</f>
        <v>876.398168894644</v>
      </c>
    </row>
    <row r="136" customFormat="false" ht="15" hidden="false" customHeight="false" outlineLevel="0" collapsed="false">
      <c r="A136" s="17" t="n">
        <v>524</v>
      </c>
      <c r="B136" s="5" t="s">
        <v>154</v>
      </c>
      <c r="C136" s="11" t="n">
        <f aca="false">Dual!$C$25+Dual!$C$24/2*((1-COS(RADIANS(A136)))+1/Dual!$C$27*(1-SQRT(1-Dual!$C$27^2*SIN(RADIANS(A136))^2)))</f>
        <v>339.375117069034</v>
      </c>
      <c r="D136" s="11" t="n">
        <f aca="false">IF(C136&lt;=Dual!$C$10*Dual!$C$25,Dual!$B$35,Dual!$B$35*(Dual!$C$10*Dual!$C$25/C136)^Dual!$C$11)</f>
        <v>233.233294601447</v>
      </c>
      <c r="E136" s="11" t="n">
        <f aca="false">D136*C136*0.000001/(Dual!$C$29*Dual!$C$14)</f>
        <v>873.681468498996</v>
      </c>
    </row>
    <row r="137" customFormat="false" ht="15" hidden="false" customHeight="false" outlineLevel="0" collapsed="false">
      <c r="A137" s="17" t="n">
        <v>528</v>
      </c>
      <c r="B137" s="5" t="s">
        <v>154</v>
      </c>
      <c r="C137" s="11" t="n">
        <f aca="false">Dual!$C$25+Dual!$C$24/2*((1-COS(RADIANS(A137)))+1/Dual!$C$27*(1-SQRT(1-Dual!$C$27^2*SIN(RADIANS(A137))^2)))</f>
        <v>341.416623313708</v>
      </c>
      <c r="D137" s="11" t="n">
        <f aca="false">IF(C137&lt;=Dual!$C$10*Dual!$C$25,Dual!$B$35,Dual!$B$35*(Dual!$C$10*Dual!$C$25/C137)^Dual!$C$11)</f>
        <v>231.283161184361</v>
      </c>
      <c r="E137" s="11" t="n">
        <f aca="false">D137*C137*0.000001/(Dual!$C$29*Dual!$C$14)</f>
        <v>871.588030907768</v>
      </c>
    </row>
    <row r="138" customFormat="false" ht="15" hidden="false" customHeight="false" outlineLevel="0" collapsed="false">
      <c r="A138" s="17" t="n">
        <v>532</v>
      </c>
      <c r="B138" s="5" t="s">
        <v>154</v>
      </c>
      <c r="C138" s="11" t="n">
        <f aca="false">Dual!$C$25+Dual!$C$24/2*((1-COS(RADIANS(A138)))+1/Dual!$C$27*(1-SQRT(1-Dual!$C$27^2*SIN(RADIANS(A138))^2)))</f>
        <v>342.875137749041</v>
      </c>
      <c r="D138" s="11" t="n">
        <f aca="false">IF(C138&lt;=Dual!$C$10*Dual!$C$25,Dual!$B$35,Dual!$B$35*(Dual!$C$10*Dual!$C$25/C138)^Dual!$C$11)</f>
        <v>229.90697613236</v>
      </c>
      <c r="E138" s="11" t="n">
        <f aca="false">D138*C138*0.000001/(Dual!$C$29*Dual!$C$14)</f>
        <v>870.103117566525</v>
      </c>
    </row>
    <row r="139" customFormat="false" ht="15" hidden="false" customHeight="false" outlineLevel="0" collapsed="false">
      <c r="A139" s="17" t="n">
        <v>536</v>
      </c>
      <c r="B139" s="5" t="s">
        <v>154</v>
      </c>
      <c r="C139" s="11" t="n">
        <f aca="false">Dual!$C$25+Dual!$C$24/2*((1-COS(RADIANS(A139)))+1/Dual!$C$27*(1-SQRT(1-Dual!$C$27^2*SIN(RADIANS(A139))^2)))</f>
        <v>343.750344667554</v>
      </c>
      <c r="D139" s="11" t="n">
        <f aca="false">IF(C139&lt;=Dual!$C$10*Dual!$C$25,Dual!$B$35,Dual!$B$35*(Dual!$C$10*Dual!$C$25/C139)^Dual!$C$11)</f>
        <v>229.087895855648</v>
      </c>
      <c r="E139" s="11" t="n">
        <f aca="false">D139*C139*0.000001/(Dual!$C$29*Dual!$C$14)</f>
        <v>869.216308016765</v>
      </c>
    </row>
    <row r="140" customFormat="false" ht="15" hidden="false" customHeight="false" outlineLevel="0" collapsed="false">
      <c r="A140" s="17" t="n">
        <v>540</v>
      </c>
      <c r="B140" s="5" t="s">
        <v>154</v>
      </c>
      <c r="C140" s="11" t="n">
        <f aca="false">Dual!$C$25+Dual!$C$24/2*((1-COS(RADIANS(A140)))+1/Dual!$C$27*(1-SQRT(1-Dual!$C$27^2*SIN(RADIANS(A140))^2)))</f>
        <v>344.042094679925</v>
      </c>
      <c r="D140" s="11" t="n">
        <f aca="false">IF(C140&lt;=Dual!$C$10*Dual!$C$25,Dual!$B$35,Dual!$B$35*(Dual!$C$10*Dual!$C$25/C140)^Dual!$C$11)</f>
        <v>228.815966681793</v>
      </c>
      <c r="E140" s="11" t="n">
        <f aca="false">D140*C140*0.000001/(Dual!$C$29*Dual!$C$14)</f>
        <v>868.921392462504</v>
      </c>
    </row>
    <row r="141" customFormat="false" ht="15" hidden="false" customHeight="false" outlineLevel="0" collapsed="false">
      <c r="A141" s="17" t="n">
        <v>544</v>
      </c>
      <c r="B141" s="5" t="s">
        <v>155</v>
      </c>
      <c r="C141" s="11" t="n">
        <f aca="false">Dual!$C$25+Dual!$C$24/2*((1-COS(RADIANS(A141)))+1/Dual!$C$27*(1-SQRT(1-Dual!$C$27^2*SIN(RADIANS(A141))^2)))</f>
        <v>343.750344667554</v>
      </c>
      <c r="D141" s="11" t="n">
        <f aca="false">Dual!$C$6</f>
        <v>79</v>
      </c>
      <c r="E141" s="11" t="n">
        <f aca="false">Dual!$C$7</f>
        <v>300</v>
      </c>
    </row>
    <row r="142" customFormat="false" ht="15" hidden="false" customHeight="false" outlineLevel="0" collapsed="false">
      <c r="A142" s="17" t="n">
        <v>548</v>
      </c>
      <c r="B142" s="5" t="s">
        <v>155</v>
      </c>
      <c r="C142" s="11" t="n">
        <f aca="false">Dual!$C$25+Dual!$C$24/2*((1-COS(RADIANS(A142)))+1/Dual!$C$27*(1-SQRT(1-Dual!$C$27^2*SIN(RADIANS(A142))^2)))</f>
        <v>342.875137749041</v>
      </c>
      <c r="D142" s="11" t="n">
        <f aca="false">Dual!$C$6</f>
        <v>79</v>
      </c>
      <c r="E142" s="11" t="n">
        <f aca="false">Dual!$C$7</f>
        <v>300</v>
      </c>
    </row>
    <row r="143" customFormat="false" ht="15" hidden="false" customHeight="false" outlineLevel="0" collapsed="false">
      <c r="A143" s="17" t="n">
        <v>552</v>
      </c>
      <c r="B143" s="5" t="s">
        <v>155</v>
      </c>
      <c r="C143" s="11" t="n">
        <f aca="false">Dual!$C$25+Dual!$C$24/2*((1-COS(RADIANS(A143)))+1/Dual!$C$27*(1-SQRT(1-Dual!$C$27^2*SIN(RADIANS(A143))^2)))</f>
        <v>341.416623313708</v>
      </c>
      <c r="D143" s="11" t="n">
        <f aca="false">Dual!$C$6</f>
        <v>79</v>
      </c>
      <c r="E143" s="11" t="n">
        <f aca="false">Dual!$C$7</f>
        <v>300</v>
      </c>
    </row>
    <row r="144" customFormat="false" ht="15" hidden="false" customHeight="false" outlineLevel="0" collapsed="false">
      <c r="A144" s="17" t="n">
        <v>556</v>
      </c>
      <c r="B144" s="5" t="s">
        <v>155</v>
      </c>
      <c r="C144" s="11" t="n">
        <f aca="false">Dual!$C$25+Dual!$C$24/2*((1-COS(RADIANS(A144)))+1/Dual!$C$27*(1-SQRT(1-Dual!$C$27^2*SIN(RADIANS(A144))^2)))</f>
        <v>339.375117069034</v>
      </c>
      <c r="D144" s="11" t="n">
        <f aca="false">Dual!$C$6</f>
        <v>79</v>
      </c>
      <c r="E144" s="11" t="n">
        <f aca="false">Dual!$C$7</f>
        <v>300</v>
      </c>
    </row>
    <row r="145" customFormat="false" ht="15" hidden="false" customHeight="false" outlineLevel="0" collapsed="false">
      <c r="A145" s="17" t="n">
        <v>560</v>
      </c>
      <c r="B145" s="5" t="s">
        <v>155</v>
      </c>
      <c r="C145" s="11" t="n">
        <f aca="false">Dual!$C$25+Dual!$C$24/2*((1-COS(RADIANS(A145)))+1/Dual!$C$27*(1-SQRT(1-Dual!$C$27^2*SIN(RADIANS(A145))^2)))</f>
        <v>336.751200919149</v>
      </c>
      <c r="D145" s="11" t="n">
        <f aca="false">Dual!$C$6</f>
        <v>79</v>
      </c>
      <c r="E145" s="11" t="n">
        <f aca="false">Dual!$C$7</f>
        <v>300</v>
      </c>
    </row>
    <row r="146" customFormat="false" ht="15" hidden="false" customHeight="false" outlineLevel="0" collapsed="false">
      <c r="A146" s="17" t="n">
        <v>564</v>
      </c>
      <c r="B146" s="5" t="s">
        <v>155</v>
      </c>
      <c r="C146" s="11" t="n">
        <f aca="false">Dual!$C$25+Dual!$C$24/2*((1-COS(RADIANS(A146)))+1/Dual!$C$27*(1-SQRT(1-Dual!$C$27^2*SIN(RADIANS(A146))^2)))</f>
        <v>333.545862291843</v>
      </c>
      <c r="D146" s="11" t="n">
        <f aca="false">Dual!$C$6</f>
        <v>79</v>
      </c>
      <c r="E146" s="11" t="n">
        <f aca="false">Dual!$C$7</f>
        <v>300</v>
      </c>
    </row>
    <row r="147" customFormat="false" ht="15" hidden="false" customHeight="false" outlineLevel="0" collapsed="false">
      <c r="A147" s="17" t="n">
        <v>568</v>
      </c>
      <c r="B147" s="5" t="s">
        <v>155</v>
      </c>
      <c r="C147" s="11" t="n">
        <f aca="false">Dual!$C$25+Dual!$C$24/2*((1-COS(RADIANS(A147)))+1/Dual!$C$27*(1-SQRT(1-Dual!$C$27^2*SIN(RADIANS(A147))^2)))</f>
        <v>329.760672218344</v>
      </c>
      <c r="D147" s="11" t="n">
        <f aca="false">Dual!$C$6</f>
        <v>79</v>
      </c>
      <c r="E147" s="11" t="n">
        <f aca="false">Dual!$C$7</f>
        <v>300</v>
      </c>
    </row>
    <row r="148" customFormat="false" ht="15" hidden="false" customHeight="false" outlineLevel="0" collapsed="false">
      <c r="A148" s="17" t="n">
        <v>572</v>
      </c>
      <c r="B148" s="5" t="s">
        <v>155</v>
      </c>
      <c r="C148" s="11" t="n">
        <f aca="false">Dual!$C$25+Dual!$C$24/2*((1-COS(RADIANS(A148)))+1/Dual!$C$27*(1-SQRT(1-Dual!$C$27^2*SIN(RADIANS(A148))^2)))</f>
        <v>325.39800100434</v>
      </c>
      <c r="D148" s="11" t="n">
        <f aca="false">Dual!$C$6</f>
        <v>79</v>
      </c>
      <c r="E148" s="11" t="n">
        <f aca="false">Dual!$C$7</f>
        <v>300</v>
      </c>
    </row>
    <row r="149" customFormat="false" ht="15" hidden="false" customHeight="false" outlineLevel="0" collapsed="false">
      <c r="A149" s="17" t="n">
        <v>576</v>
      </c>
      <c r="B149" s="5" t="s">
        <v>155</v>
      </c>
      <c r="C149" s="11" t="n">
        <f aca="false">Dual!$C$25+Dual!$C$24/2*((1-COS(RADIANS(A149)))+1/Dual!$C$27*(1-SQRT(1-Dual!$C$27^2*SIN(RADIANS(A149))^2)))</f>
        <v>320.461269680939</v>
      </c>
      <c r="D149" s="11" t="n">
        <f aca="false">Dual!$C$6</f>
        <v>79</v>
      </c>
      <c r="E149" s="11" t="n">
        <f aca="false">Dual!$C$7</f>
        <v>300</v>
      </c>
    </row>
    <row r="150" customFormat="false" ht="15" hidden="false" customHeight="false" outlineLevel="0" collapsed="false">
      <c r="A150" s="17" t="n">
        <v>580</v>
      </c>
      <c r="B150" s="5" t="s">
        <v>155</v>
      </c>
      <c r="C150" s="11" t="n">
        <f aca="false">Dual!$C$25+Dual!$C$24/2*((1-COS(RADIANS(A150)))+1/Dual!$C$27*(1-SQRT(1-Dual!$C$27^2*SIN(RADIANS(A150))^2)))</f>
        <v>314.955234569732</v>
      </c>
      <c r="D150" s="11" t="n">
        <f aca="false">Dual!$C$6</f>
        <v>79</v>
      </c>
      <c r="E150" s="11" t="n">
        <f aca="false">Dual!$C$7</f>
        <v>300</v>
      </c>
    </row>
    <row r="151" customFormat="false" ht="15" hidden="false" customHeight="false" outlineLevel="0" collapsed="false">
      <c r="A151" s="17" t="n">
        <v>584</v>
      </c>
      <c r="B151" s="5" t="s">
        <v>155</v>
      </c>
      <c r="C151" s="11" t="n">
        <f aca="false">Dual!$C$25+Dual!$C$24/2*((1-COS(RADIANS(A151)))+1/Dual!$C$27*(1-SQRT(1-Dual!$C$27^2*SIN(RADIANS(A151))^2)))</f>
        <v>308.886301230775</v>
      </c>
      <c r="D151" s="11" t="n">
        <f aca="false">Dual!$C$6</f>
        <v>79</v>
      </c>
      <c r="E151" s="11" t="n">
        <f aca="false">Dual!$C$7</f>
        <v>300</v>
      </c>
    </row>
    <row r="152" customFormat="false" ht="15" hidden="false" customHeight="false" outlineLevel="0" collapsed="false">
      <c r="A152" s="17" t="n">
        <v>588</v>
      </c>
      <c r="B152" s="5" t="s">
        <v>155</v>
      </c>
      <c r="C152" s="11" t="n">
        <f aca="false">Dual!$C$25+Dual!$C$24/2*((1-COS(RADIANS(A152)))+1/Dual!$C$27*(1-SQRT(1-Dual!$C$27^2*SIN(RADIANS(A152))^2)))</f>
        <v>302.262862798755</v>
      </c>
      <c r="D152" s="11" t="n">
        <f aca="false">Dual!$C$6</f>
        <v>79</v>
      </c>
      <c r="E152" s="11" t="n">
        <f aca="false">Dual!$C$7</f>
        <v>300</v>
      </c>
    </row>
    <row r="153" customFormat="false" ht="15" hidden="false" customHeight="false" outlineLevel="0" collapsed="false">
      <c r="A153" s="17" t="n">
        <v>592</v>
      </c>
      <c r="B153" s="5" t="s">
        <v>155</v>
      </c>
      <c r="C153" s="11" t="n">
        <f aca="false">Dual!$C$25+Dual!$C$24/2*((1-COS(RADIANS(A153)))+1/Dual!$C$27*(1-SQRT(1-Dual!$C$27^2*SIN(RADIANS(A153))^2)))</f>
        <v>295.095656285814</v>
      </c>
      <c r="D153" s="11" t="n">
        <f aca="false">Dual!$C$6</f>
        <v>79</v>
      </c>
      <c r="E153" s="11" t="n">
        <f aca="false">Dual!$C$7</f>
        <v>300</v>
      </c>
    </row>
    <row r="154" customFormat="false" ht="15" hidden="false" customHeight="false" outlineLevel="0" collapsed="false">
      <c r="A154" s="17" t="n">
        <v>596</v>
      </c>
      <c r="B154" s="5" t="s">
        <v>155</v>
      </c>
      <c r="C154" s="11" t="n">
        <f aca="false">Dual!$C$25+Dual!$C$24/2*((1-COS(RADIANS(A154)))+1/Dual!$C$27*(1-SQRT(1-Dual!$C$27^2*SIN(RADIANS(A154))^2)))</f>
        <v>287.398128899918</v>
      </c>
      <c r="D154" s="11" t="n">
        <f aca="false">Dual!$C$6</f>
        <v>79</v>
      </c>
      <c r="E154" s="11" t="n">
        <f aca="false">Dual!$C$7</f>
        <v>300</v>
      </c>
    </row>
    <row r="155" customFormat="false" ht="15" hidden="false" customHeight="false" outlineLevel="0" collapsed="false">
      <c r="A155" s="17" t="n">
        <v>600</v>
      </c>
      <c r="B155" s="5" t="s">
        <v>155</v>
      </c>
      <c r="C155" s="11" t="n">
        <f aca="false">Dual!$C$25+Dual!$C$24/2*((1-COS(RADIANS(A155)))+1/Dual!$C$27*(1-SQRT(1-Dual!$C$27^2*SIN(RADIANS(A155))^2)))</f>
        <v>279.186804881268</v>
      </c>
      <c r="D155" s="11" t="n">
        <f aca="false">Dual!$C$6</f>
        <v>79</v>
      </c>
      <c r="E155" s="11" t="n">
        <f aca="false">Dual!$C$7</f>
        <v>300</v>
      </c>
    </row>
    <row r="156" customFormat="false" ht="15" hidden="false" customHeight="false" outlineLevel="0" collapsed="false">
      <c r="A156" s="17" t="n">
        <v>604</v>
      </c>
      <c r="B156" s="5" t="s">
        <v>155</v>
      </c>
      <c r="C156" s="11" t="n">
        <f aca="false">Dual!$C$25+Dual!$C$24/2*((1-COS(RADIANS(A156)))+1/Dual!$C$27*(1-SQRT(1-Dual!$C$27^2*SIN(RADIANS(A156))^2)))</f>
        <v>270.481641906612</v>
      </c>
      <c r="D156" s="11" t="n">
        <f aca="false">Dual!$C$6</f>
        <v>79</v>
      </c>
      <c r="E156" s="11" t="n">
        <f aca="false">Dual!$C$7</f>
        <v>300</v>
      </c>
    </row>
    <row r="157" customFormat="false" ht="15" hidden="false" customHeight="false" outlineLevel="0" collapsed="false">
      <c r="A157" s="17" t="n">
        <v>608</v>
      </c>
      <c r="B157" s="5" t="s">
        <v>155</v>
      </c>
      <c r="C157" s="11" t="n">
        <f aca="false">Dual!$C$25+Dual!$C$24/2*((1-COS(RADIANS(A157)))+1/Dual!$C$27*(1-SQRT(1-Dual!$C$27^2*SIN(RADIANS(A157))^2)))</f>
        <v>261.306364880775</v>
      </c>
      <c r="D157" s="11" t="n">
        <f aca="false">Dual!$C$6</f>
        <v>79</v>
      </c>
      <c r="E157" s="11" t="n">
        <f aca="false">Dual!$C$7</f>
        <v>300</v>
      </c>
    </row>
    <row r="158" customFormat="false" ht="15" hidden="false" customHeight="false" outlineLevel="0" collapsed="false">
      <c r="A158" s="17" t="n">
        <v>612</v>
      </c>
      <c r="B158" s="5" t="s">
        <v>155</v>
      </c>
      <c r="C158" s="11" t="n">
        <f aca="false">Dual!$C$25+Dual!$C$24/2*((1-COS(RADIANS(A158)))+1/Dual!$C$27*(1-SQRT(1-Dual!$C$27^2*SIN(RADIANS(A158))^2)))</f>
        <v>251.688764064038</v>
      </c>
      <c r="D158" s="11" t="n">
        <f aca="false">Dual!$C$6</f>
        <v>79</v>
      </c>
      <c r="E158" s="11" t="n">
        <f aca="false">Dual!$C$7</f>
        <v>300</v>
      </c>
    </row>
    <row r="159" customFormat="false" ht="15" hidden="false" customHeight="false" outlineLevel="0" collapsed="false">
      <c r="A159" s="17" t="n">
        <v>616</v>
      </c>
      <c r="B159" s="5" t="s">
        <v>155</v>
      </c>
      <c r="C159" s="11" t="n">
        <f aca="false">Dual!$C$25+Dual!$C$24/2*((1-COS(RADIANS(A159)))+1/Dual!$C$27*(1-SQRT(1-Dual!$C$27^2*SIN(RADIANS(A159))^2)))</f>
        <v>241.660944106247</v>
      </c>
      <c r="D159" s="11" t="n">
        <f aca="false">Dual!$C$6</f>
        <v>79</v>
      </c>
      <c r="E159" s="11" t="n">
        <f aca="false">Dual!$C$7</f>
        <v>300</v>
      </c>
    </row>
    <row r="160" customFormat="false" ht="15" hidden="false" customHeight="false" outlineLevel="0" collapsed="false">
      <c r="A160" s="17" t="n">
        <v>620</v>
      </c>
      <c r="B160" s="5" t="s">
        <v>155</v>
      </c>
      <c r="C160" s="11" t="n">
        <f aca="false">Dual!$C$25+Dual!$C$24/2*((1-COS(RADIANS(A160)))+1/Dual!$C$27*(1-SQRT(1-Dual!$C$27^2*SIN(RADIANS(A160))^2)))</f>
        <v>231.259510786969</v>
      </c>
      <c r="D160" s="11" t="n">
        <f aca="false">Dual!$C$6</f>
        <v>79</v>
      </c>
      <c r="E160" s="11" t="n">
        <f aca="false">Dual!$C$7</f>
        <v>300</v>
      </c>
    </row>
    <row r="161" customFormat="false" ht="15" hidden="false" customHeight="false" outlineLevel="0" collapsed="false">
      <c r="A161" s="17" t="n">
        <v>624</v>
      </c>
      <c r="B161" s="5" t="s">
        <v>155</v>
      </c>
      <c r="C161" s="11" t="n">
        <f aca="false">Dual!$C$25+Dual!$C$24/2*((1-COS(RADIANS(A161)))+1/Dual!$C$27*(1-SQRT(1-Dual!$C$27^2*SIN(RADIANS(A161))^2)))</f>
        <v>220.525683172648</v>
      </c>
      <c r="D161" s="11" t="n">
        <f aca="false">Dual!$C$6</f>
        <v>79</v>
      </c>
      <c r="E161" s="11" t="n">
        <f aca="false">Dual!$C$7</f>
        <v>300</v>
      </c>
    </row>
    <row r="162" customFormat="false" ht="15" hidden="false" customHeight="false" outlineLevel="0" collapsed="false">
      <c r="A162" s="17" t="n">
        <v>628</v>
      </c>
      <c r="B162" s="5" t="s">
        <v>155</v>
      </c>
      <c r="C162" s="11" t="n">
        <f aca="false">Dual!$C$25+Dual!$C$24/2*((1-COS(RADIANS(A162)))+1/Dual!$C$27*(1-SQRT(1-Dual!$C$27^2*SIN(RADIANS(A162))^2)))</f>
        <v>209.505320522516</v>
      </c>
      <c r="D162" s="11" t="n">
        <f aca="false">Dual!$C$6</f>
        <v>79</v>
      </c>
      <c r="E162" s="11" t="n">
        <f aca="false">Dual!$C$7</f>
        <v>300</v>
      </c>
    </row>
    <row r="163" customFormat="false" ht="15" hidden="false" customHeight="false" outlineLevel="0" collapsed="false">
      <c r="A163" s="17" t="n">
        <v>632</v>
      </c>
      <c r="B163" s="5" t="s">
        <v>155</v>
      </c>
      <c r="C163" s="11" t="n">
        <f aca="false">Dual!$C$25+Dual!$C$24/2*((1-COS(RADIANS(A163)))+1/Dual!$C$27*(1-SQRT(1-Dual!$C$27^2*SIN(RADIANS(A163))^2)))</f>
        <v>198.248855570513</v>
      </c>
      <c r="D163" s="11" t="n">
        <f aca="false">Dual!$C$6</f>
        <v>79</v>
      </c>
      <c r="E163" s="11" t="n">
        <f aca="false">Dual!$C$7</f>
        <v>300</v>
      </c>
    </row>
    <row r="164" customFormat="false" ht="15" hidden="false" customHeight="false" outlineLevel="0" collapsed="false">
      <c r="A164" s="17" t="n">
        <v>636</v>
      </c>
      <c r="B164" s="5" t="s">
        <v>155</v>
      </c>
      <c r="C164" s="11" t="n">
        <f aca="false">Dual!$C$25+Dual!$C$24/2*((1-COS(RADIANS(A164)))+1/Dual!$C$27*(1-SQRT(1-Dual!$C$27^2*SIN(RADIANS(A164))^2)))</f>
        <v>186.811128682389</v>
      </c>
      <c r="D164" s="11" t="n">
        <f aca="false">Dual!$C$6</f>
        <v>79</v>
      </c>
      <c r="E164" s="11" t="n">
        <f aca="false">Dual!$C$7</f>
        <v>300</v>
      </c>
    </row>
    <row r="165" customFormat="false" ht="15" hidden="false" customHeight="false" outlineLevel="0" collapsed="false">
      <c r="A165" s="17" t="n">
        <v>640</v>
      </c>
      <c r="B165" s="5" t="s">
        <v>155</v>
      </c>
      <c r="C165" s="11" t="n">
        <f aca="false">Dual!$C$25+Dual!$C$24/2*((1-COS(RADIANS(A165)))+1/Dual!$C$27*(1-SQRT(1-Dual!$C$27^2*SIN(RADIANS(A165))^2)))</f>
        <v>175.251120678954</v>
      </c>
      <c r="D165" s="11" t="n">
        <f aca="false">Dual!$C$6</f>
        <v>79</v>
      </c>
      <c r="E165" s="11" t="n">
        <f aca="false">Dual!$C$7</f>
        <v>300</v>
      </c>
    </row>
    <row r="166" customFormat="false" ht="15" hidden="false" customHeight="false" outlineLevel="0" collapsed="false">
      <c r="A166" s="17" t="n">
        <v>644</v>
      </c>
      <c r="B166" s="5" t="s">
        <v>155</v>
      </c>
      <c r="C166" s="11" t="n">
        <f aca="false">Dual!$C$25+Dual!$C$24/2*((1-COS(RADIANS(A166)))+1/Dual!$C$27*(1-SQRT(1-Dual!$C$27^2*SIN(RADIANS(A166))^2)))</f>
        <v>163.631585627139</v>
      </c>
      <c r="D166" s="11" t="n">
        <f aca="false">Dual!$C$6</f>
        <v>79</v>
      </c>
      <c r="E166" s="11" t="n">
        <f aca="false">Dual!$C$7</f>
        <v>300</v>
      </c>
    </row>
    <row r="167" customFormat="false" ht="15" hidden="false" customHeight="false" outlineLevel="0" collapsed="false">
      <c r="A167" s="17" t="n">
        <v>648</v>
      </c>
      <c r="B167" s="5" t="s">
        <v>155</v>
      </c>
      <c r="C167" s="11" t="n">
        <f aca="false">Dual!$C$25+Dual!$C$24/2*((1-COS(RADIANS(A167)))+1/Dual!$C$27*(1-SQRT(1-Dual!$C$27^2*SIN(RADIANS(A167))^2)))</f>
        <v>152.018588404865</v>
      </c>
      <c r="D167" s="11" t="n">
        <f aca="false">Dual!$C$6</f>
        <v>79</v>
      </c>
      <c r="E167" s="11" t="n">
        <f aca="false">Dual!$C$7</f>
        <v>300</v>
      </c>
    </row>
    <row r="168" customFormat="false" ht="15" hidden="false" customHeight="false" outlineLevel="0" collapsed="false">
      <c r="A168" s="17" t="n">
        <v>652</v>
      </c>
      <c r="B168" s="5" t="s">
        <v>155</v>
      </c>
      <c r="C168" s="11" t="n">
        <f aca="false">Dual!$C$25+Dual!$C$24/2*((1-COS(RADIANS(A168)))+1/Dual!$C$27*(1-SQRT(1-Dual!$C$27^2*SIN(RADIANS(A168))^2)))</f>
        <v>140.480955118536</v>
      </c>
      <c r="D168" s="11" t="n">
        <f aca="false">Dual!$C$6</f>
        <v>79</v>
      </c>
      <c r="E168" s="11" t="n">
        <f aca="false">Dual!$C$7</f>
        <v>300</v>
      </c>
    </row>
    <row r="169" customFormat="false" ht="15" hidden="false" customHeight="false" outlineLevel="0" collapsed="false">
      <c r="A169" s="17" t="n">
        <v>656</v>
      </c>
      <c r="B169" s="5" t="s">
        <v>155</v>
      </c>
      <c r="C169" s="11" t="n">
        <f aca="false">Dual!$C$25+Dual!$C$24/2*((1-COS(RADIANS(A169)))+1/Dual!$C$27*(1-SQRT(1-Dual!$C$27^2*SIN(RADIANS(A169))^2)))</f>
        <v>129.089647292342</v>
      </c>
      <c r="D169" s="11" t="n">
        <f aca="false">Dual!$C$6</f>
        <v>79</v>
      </c>
      <c r="E169" s="11" t="n">
        <f aca="false">Dual!$C$7</f>
        <v>300</v>
      </c>
    </row>
    <row r="170" customFormat="false" ht="15" hidden="false" customHeight="false" outlineLevel="0" collapsed="false">
      <c r="A170" s="17" t="n">
        <v>660</v>
      </c>
      <c r="B170" s="5" t="s">
        <v>155</v>
      </c>
      <c r="C170" s="11" t="n">
        <f aca="false">Dual!$C$25+Dual!$C$24/2*((1-COS(RADIANS(A170)))+1/Dual!$C$27*(1-SQRT(1-Dual!$C$27^2*SIN(RADIANS(A170))^2)))</f>
        <v>117.917073000053</v>
      </c>
      <c r="D170" s="11" t="n">
        <f aca="false">Dual!$C$6</f>
        <v>79</v>
      </c>
      <c r="E170" s="11" t="n">
        <f aca="false">Dual!$C$7</f>
        <v>300</v>
      </c>
    </row>
    <row r="171" customFormat="false" ht="15" hidden="false" customHeight="false" outlineLevel="0" collapsed="false">
      <c r="A171" s="17" t="n">
        <v>664</v>
      </c>
      <c r="B171" s="5" t="s">
        <v>155</v>
      </c>
      <c r="C171" s="11" t="n">
        <f aca="false">Dual!$C$25+Dual!$C$24/2*((1-COS(RADIANS(A171)))+1/Dual!$C$27*(1-SQRT(1-Dual!$C$27^2*SIN(RADIANS(A171))^2)))</f>
        <v>107.036349674707</v>
      </c>
      <c r="D171" s="11" t="n">
        <f aca="false">Dual!$C$6</f>
        <v>79</v>
      </c>
      <c r="E171" s="11" t="n">
        <f aca="false">Dual!$C$7</f>
        <v>300</v>
      </c>
    </row>
    <row r="172" customFormat="false" ht="15" hidden="false" customHeight="false" outlineLevel="0" collapsed="false">
      <c r="A172" s="17" t="n">
        <v>668</v>
      </c>
      <c r="B172" s="5" t="s">
        <v>155</v>
      </c>
      <c r="C172" s="11" t="n">
        <f aca="false">Dual!$C$25+Dual!$C$24/2*((1-COS(RADIANS(A172)))+1/Dual!$C$27*(1-SQRT(1-Dual!$C$27^2*SIN(RADIANS(A172))^2)))</f>
        <v>96.52053417509</v>
      </c>
      <c r="D172" s="11" t="n">
        <f aca="false">Dual!$C$6</f>
        <v>79</v>
      </c>
      <c r="E172" s="11" t="n">
        <f aca="false">Dual!$C$7</f>
        <v>300</v>
      </c>
    </row>
    <row r="173" customFormat="false" ht="15" hidden="false" customHeight="false" outlineLevel="0" collapsed="false">
      <c r="A173" s="17" t="n">
        <v>672</v>
      </c>
      <c r="B173" s="5" t="s">
        <v>155</v>
      </c>
      <c r="C173" s="11" t="n">
        <f aca="false">Dual!$C$25+Dual!$C$24/2*((1-COS(RADIANS(A173)))+1/Dual!$C$27*(1-SQRT(1-Dual!$C$27^2*SIN(RADIANS(A173))^2)))</f>
        <v>86.4418358367388</v>
      </c>
      <c r="D173" s="11" t="n">
        <f aca="false">Dual!$C$6</f>
        <v>79</v>
      </c>
      <c r="E173" s="11" t="n">
        <f aca="false">Dual!$C$7</f>
        <v>300</v>
      </c>
    </row>
    <row r="174" customFormat="false" ht="15" hidden="false" customHeight="false" outlineLevel="0" collapsed="false">
      <c r="A174" s="17" t="n">
        <v>676</v>
      </c>
      <c r="B174" s="5" t="s">
        <v>155</v>
      </c>
      <c r="C174" s="11" t="n">
        <f aca="false">Dual!$C$25+Dual!$C$24/2*((1-COS(RADIANS(A174)))+1/Dual!$C$27*(1-SQRT(1-Dual!$C$27^2*SIN(RADIANS(A174))^2)))</f>
        <v>76.8708277665733</v>
      </c>
      <c r="D174" s="11" t="n">
        <f aca="false">Dual!$C$6</f>
        <v>79</v>
      </c>
      <c r="E174" s="11" t="n">
        <f aca="false">Dual!$C$7</f>
        <v>300</v>
      </c>
    </row>
    <row r="175" customFormat="false" ht="15" hidden="false" customHeight="false" outlineLevel="0" collapsed="false">
      <c r="A175" s="17" t="n">
        <v>680</v>
      </c>
      <c r="B175" s="5" t="s">
        <v>155</v>
      </c>
      <c r="C175" s="11" t="n">
        <f aca="false">Dual!$C$25+Dual!$C$24/2*((1-COS(RADIANS(A175)))+1/Dual!$C$27*(1-SQRT(1-Dual!$C$27^2*SIN(RADIANS(A175))^2)))</f>
        <v>67.8756706679473</v>
      </c>
      <c r="D175" s="11" t="n">
        <f aca="false">Dual!$C$6</f>
        <v>79</v>
      </c>
      <c r="E175" s="11" t="n">
        <f aca="false">Dual!$C$7</f>
        <v>300</v>
      </c>
    </row>
    <row r="176" customFormat="false" ht="15" hidden="false" customHeight="false" outlineLevel="0" collapsed="false">
      <c r="A176" s="17" t="n">
        <v>684</v>
      </c>
      <c r="B176" s="5" t="s">
        <v>155</v>
      </c>
      <c r="C176" s="11" t="n">
        <f aca="false">Dual!$C$25+Dual!$C$24/2*((1-COS(RADIANS(A176)))+1/Dual!$C$27*(1-SQRT(1-Dual!$C$27^2*SIN(RADIANS(A176))^2)))</f>
        <v>59.521362140551</v>
      </c>
      <c r="D176" s="11" t="n">
        <f aca="false">Dual!$C$6</f>
        <v>79</v>
      </c>
      <c r="E176" s="11" t="n">
        <f aca="false">Dual!$C$7</f>
        <v>300</v>
      </c>
    </row>
    <row r="177" customFormat="false" ht="15" hidden="false" customHeight="false" outlineLevel="0" collapsed="false">
      <c r="A177" s="17" t="n">
        <v>688</v>
      </c>
      <c r="B177" s="5" t="s">
        <v>155</v>
      </c>
      <c r="C177" s="11" t="n">
        <f aca="false">Dual!$C$25+Dual!$C$24/2*((1-COS(RADIANS(A177)))+1/Dual!$C$27*(1-SQRT(1-Dual!$C$27^2*SIN(RADIANS(A177))^2)))</f>
        <v>51.8690228252965</v>
      </c>
      <c r="D177" s="11" t="n">
        <f aca="false">Dual!$C$6</f>
        <v>79</v>
      </c>
      <c r="E177" s="11" t="n">
        <f aca="false">Dual!$C$7</f>
        <v>300</v>
      </c>
    </row>
    <row r="178" customFormat="false" ht="15" hidden="false" customHeight="false" outlineLevel="0" collapsed="false">
      <c r="A178" s="17" t="n">
        <v>692</v>
      </c>
      <c r="B178" s="5" t="s">
        <v>155</v>
      </c>
      <c r="C178" s="11" t="n">
        <f aca="false">Dual!$C$25+Dual!$C$24/2*((1-COS(RADIANS(A178)))+1/Dual!$C$27*(1-SQRT(1-Dual!$C$27^2*SIN(RADIANS(A178))^2)))</f>
        <v>44.9752290872969</v>
      </c>
      <c r="D178" s="11" t="n">
        <f aca="false">Dual!$C$6</f>
        <v>79</v>
      </c>
      <c r="E178" s="11" t="n">
        <f aca="false">Dual!$C$7</f>
        <v>300</v>
      </c>
    </row>
    <row r="179" customFormat="false" ht="15" hidden="false" customHeight="false" outlineLevel="0" collapsed="false">
      <c r="A179" s="17" t="n">
        <v>696</v>
      </c>
      <c r="B179" s="5" t="s">
        <v>155</v>
      </c>
      <c r="C179" s="11" t="n">
        <f aca="false">Dual!$C$25+Dual!$C$24/2*((1-COS(RADIANS(A179)))+1/Dual!$C$27*(1-SQRT(1-Dual!$C$27^2*SIN(RADIANS(A179))^2)))</f>
        <v>38.8914002611946</v>
      </c>
      <c r="D179" s="11" t="n">
        <f aca="false">Dual!$C$6</f>
        <v>79</v>
      </c>
      <c r="E179" s="11" t="n">
        <f aca="false">Dual!$C$7</f>
        <v>300</v>
      </c>
    </row>
    <row r="180" customFormat="false" ht="15" hidden="false" customHeight="false" outlineLevel="0" collapsed="false">
      <c r="A180" s="17" t="n">
        <v>700</v>
      </c>
      <c r="B180" s="5" t="s">
        <v>155</v>
      </c>
      <c r="C180" s="11" t="n">
        <f aca="false">Dual!$C$25+Dual!$C$24/2*((1-COS(RADIANS(A180)))+1/Dual!$C$27*(1-SQRT(1-Dual!$C$27^2*SIN(RADIANS(A180))^2)))</f>
        <v>33.6632469093496</v>
      </c>
      <c r="D180" s="11" t="n">
        <f aca="false">Dual!$C$6</f>
        <v>79</v>
      </c>
      <c r="E180" s="11" t="n">
        <f aca="false">Dual!$C$7</f>
        <v>300</v>
      </c>
    </row>
    <row r="181" customFormat="false" ht="15" hidden="false" customHeight="false" outlineLevel="0" collapsed="false">
      <c r="A181" s="17" t="n">
        <v>704</v>
      </c>
      <c r="B181" s="5" t="s">
        <v>155</v>
      </c>
      <c r="C181" s="11" t="n">
        <f aca="false">Dual!$C$25+Dual!$C$24/2*((1-COS(RADIANS(A181)))+1/Dual!$C$27*(1-SQRT(1-Dual!$C$27^2*SIN(RADIANS(A181))^2)))</f>
        <v>29.3302851257247</v>
      </c>
      <c r="D181" s="11" t="n">
        <f aca="false">Dual!$C$6</f>
        <v>79</v>
      </c>
      <c r="E181" s="11" t="n">
        <f aca="false">Dual!$C$7</f>
        <v>300</v>
      </c>
    </row>
    <row r="182" customFormat="false" ht="15" hidden="false" customHeight="false" outlineLevel="0" collapsed="false">
      <c r="A182" s="17" t="n">
        <v>708</v>
      </c>
      <c r="B182" s="5" t="s">
        <v>155</v>
      </c>
      <c r="C182" s="11" t="n">
        <f aca="false">Dual!$C$25+Dual!$C$24/2*((1-COS(RADIANS(A182)))+1/Dual!$C$27*(1-SQRT(1-Dual!$C$27^2*SIN(RADIANS(A182))^2)))</f>
        <v>25.9254206925188</v>
      </c>
      <c r="D182" s="11" t="n">
        <f aca="false">Dual!$C$6</f>
        <v>79</v>
      </c>
      <c r="E182" s="11" t="n">
        <f aca="false">Dual!$C$7</f>
        <v>300</v>
      </c>
    </row>
    <row r="183" customFormat="false" ht="15" hidden="false" customHeight="false" outlineLevel="0" collapsed="false">
      <c r="A183" s="17" t="n">
        <v>712</v>
      </c>
      <c r="B183" s="5" t="s">
        <v>155</v>
      </c>
      <c r="C183" s="11" t="n">
        <f aca="false">Dual!$C$25+Dual!$C$24/2*((1-COS(RADIANS(A183)))+1/Dual!$C$27*(1-SQRT(1-Dual!$C$27^2*SIN(RADIANS(A183))^2)))</f>
        <v>23.4746058760779</v>
      </c>
      <c r="D183" s="11" t="n">
        <f aca="false">Dual!$C$6</f>
        <v>79</v>
      </c>
      <c r="E183" s="11" t="n">
        <f aca="false">Dual!$C$7</f>
        <v>300</v>
      </c>
    </row>
    <row r="184" customFormat="false" ht="15" hidden="false" customHeight="false" outlineLevel="0" collapsed="false">
      <c r="A184" s="17" t="n">
        <v>716</v>
      </c>
      <c r="B184" s="5" t="s">
        <v>155</v>
      </c>
      <c r="C184" s="11" t="n">
        <f aca="false">Dual!$C$25+Dual!$C$24/2*((1-COS(RADIANS(A184)))+1/Dual!$C$27*(1-SQRT(1-Dual!$C$27^2*SIN(RADIANS(A184))^2)))</f>
        <v>21.9965708280723</v>
      </c>
      <c r="D184" s="11" t="n">
        <f aca="false">Dual!$C$6</f>
        <v>79</v>
      </c>
      <c r="E184" s="11" t="n">
        <f aca="false">Dual!$C$7</f>
        <v>300</v>
      </c>
    </row>
    <row r="185" customFormat="false" ht="15" hidden="false" customHeight="false" outlineLevel="0" collapsed="false">
      <c r="A185" s="17" t="n">
        <v>720</v>
      </c>
      <c r="B185" s="5" t="s">
        <v>155</v>
      </c>
      <c r="C185" s="11" t="n">
        <f aca="false">Dual!$C$25+Dual!$C$24/2*((1-COS(RADIANS(A185)))+1/Dual!$C$27*(1-SQRT(1-Dual!$C$27^2*SIN(RADIANS(A185))^2)))</f>
        <v>21.5026309174953</v>
      </c>
      <c r="D185" s="11" t="n">
        <f aca="false">Dual!$C$6</f>
        <v>79</v>
      </c>
      <c r="E185" s="11" t="n">
        <f aca="false">Dual!$C$7</f>
        <v>300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2"/>
    <col collapsed="false" customWidth="true" hidden="false" outlineLevel="0" max="3" min="3" style="0" width="14"/>
    <col collapsed="false" customWidth="true" hidden="false" outlineLevel="0" max="5" min="4" style="0" width="16"/>
    <col collapsed="false" customWidth="true" hidden="false" outlineLevel="0" max="6" min="6" style="0" width="15"/>
    <col collapsed="false" customWidth="true" hidden="false" outlineLevel="0" max="8" min="8" style="0" width="8"/>
    <col collapsed="false" customWidth="true" hidden="false" outlineLevel="0" max="11" min="9" style="0" width="12"/>
  </cols>
  <sheetData>
    <row r="1" customFormat="false" ht="17.35" hidden="false" customHeight="false" outlineLevel="0" collapsed="false">
      <c r="A1" s="1" t="s">
        <v>156</v>
      </c>
    </row>
    <row r="2" customFormat="false" ht="15" hidden="false" customHeight="false" outlineLevel="0" collapsed="false">
      <c r="A2" s="2" t="s">
        <v>157</v>
      </c>
    </row>
    <row r="4" customFormat="false" ht="31.5" hidden="false" customHeight="true" outlineLevel="0" collapsed="false">
      <c r="A4" s="4" t="s">
        <v>16</v>
      </c>
      <c r="B4" s="4" t="s">
        <v>158</v>
      </c>
      <c r="C4" s="4" t="s">
        <v>159</v>
      </c>
      <c r="D4" s="4" t="s">
        <v>160</v>
      </c>
      <c r="E4" s="4" t="s">
        <v>161</v>
      </c>
      <c r="F4" s="4" t="s">
        <v>162</v>
      </c>
      <c r="H4" s="18" t="s">
        <v>163</v>
      </c>
    </row>
    <row r="5" customFormat="false" ht="31.5" hidden="false" customHeight="true" outlineLevel="0" collapsed="false">
      <c r="A5" s="19" t="n">
        <v>8</v>
      </c>
      <c r="B5" s="11" t="n">
        <f aca="false">(1-1/A5^(Dual!$C$11-1))*100</f>
        <v>56.4724718351938</v>
      </c>
      <c r="C5" s="11" t="n">
        <f aca="false">(1-1/A5^(Dual!$C$11-1)*((Dual!$C$10^Dual!$C$11-1)/(Dual!$C$11*(Dual!$C$10-1))))*100</f>
        <v>51.7602838379591</v>
      </c>
      <c r="D5" s="11" t="n">
        <f aca="false">(1-1/A5^(Dual!$C$11-1)*((1.25*Dual!$C$10^Dual!$C$11-1)/((1.25-1)+Dual!$C$11*1.25*(Dual!$C$10-1))))*100</f>
        <v>52.6664738374273</v>
      </c>
      <c r="E5" s="11" t="n">
        <f aca="false">(1-1/A5^(Dual!$C$11-1)*((1.5*Dual!$C$10^Dual!$C$11-1)/((1.5-1)+Dual!$C$11*1.5*(Dual!$C$10-1))))*100</f>
        <v>53.0989736099008</v>
      </c>
      <c r="F5" s="11" t="n">
        <f aca="false">(1-1/A5^(Dual!$C$11-1)*((2*Dual!$C$10^Dual!$C$11-1)/((2-1)+Dual!$C$11*2*(Dual!$C$10-1))))*100</f>
        <v>53.5185629414049</v>
      </c>
      <c r="H5" s="4" t="s">
        <v>20</v>
      </c>
      <c r="I5" s="4" t="s">
        <v>164</v>
      </c>
      <c r="J5" s="4" t="s">
        <v>165</v>
      </c>
      <c r="K5" s="4" t="s">
        <v>166</v>
      </c>
    </row>
    <row r="6" customFormat="false" ht="15" hidden="false" customHeight="false" outlineLevel="0" collapsed="false">
      <c r="A6" s="19" t="n">
        <v>9</v>
      </c>
      <c r="B6" s="11" t="n">
        <f aca="false">(1-1/A6^(Dual!$C$11-1))*100</f>
        <v>58.4756353461494</v>
      </c>
      <c r="C6" s="11" t="n">
        <f aca="false">(1-1/A6^(Dual!$C$11-1)*((Dual!$C$10^Dual!$C$11-1)/(Dual!$C$11*(Dual!$C$10-1))))*100</f>
        <v>53.9803051272173</v>
      </c>
      <c r="D6" s="11" t="n">
        <f aca="false">(1-1/A6^(Dual!$C$11-1)*((1.25*Dual!$C$10^Dual!$C$11-1)/((1.25-1)+Dual!$C$11*1.25*(Dual!$C$10-1))))*100</f>
        <v>54.8447917077812</v>
      </c>
      <c r="E6" s="11" t="n">
        <f aca="false">(1-1/A6^(Dual!$C$11-1)*((1.5*Dual!$C$10^Dual!$C$11-1)/((1.5-1)+Dual!$C$11*1.5*(Dual!$C$10-1))))*100</f>
        <v>55.2573875757776</v>
      </c>
      <c r="F6" s="11" t="n">
        <f aca="false">(1-1/A6^(Dual!$C$11-1)*((2*Dual!$C$10^Dual!$C$11-1)/((2-1)+Dual!$C$11*2*(Dual!$C$10-1))))*100</f>
        <v>55.6576671492069</v>
      </c>
      <c r="H6" s="20" t="n">
        <v>1</v>
      </c>
      <c r="I6" s="11" t="n">
        <f aca="false">(1-1/Dual!$C$8^(Dual!$C$11-1)*((H6*Dual!$C$10^Dual!$C$11-1)/((H6-1)+Dual!$C$11*H6*(Dual!$C$10-1))))*100</f>
        <v>63.4411315247176</v>
      </c>
      <c r="J6" s="11" t="n">
        <f aca="false">H6*Dual!$B$34</f>
        <v>3831.73148013829</v>
      </c>
      <c r="K6" s="11" t="n">
        <f aca="false">Dual!$C$10*H6*Dual!$C$34</f>
        <v>1455.08790384998</v>
      </c>
    </row>
    <row r="7" customFormat="false" ht="15" hidden="false" customHeight="false" outlineLevel="0" collapsed="false">
      <c r="A7" s="19" t="n">
        <v>10</v>
      </c>
      <c r="B7" s="11" t="n">
        <f aca="false">(1-1/A7^(Dual!$C$11-1))*100</f>
        <v>60.1892829446503</v>
      </c>
      <c r="C7" s="11" t="n">
        <f aca="false">(1-1/A7^(Dual!$C$11-1)*((Dual!$C$10^Dual!$C$11-1)/(Dual!$C$11*(Dual!$C$10-1))))*100</f>
        <v>55.8794681911168</v>
      </c>
      <c r="D7" s="11" t="n">
        <f aca="false">(1-1/A7^(Dual!$C$11-1)*((1.25*Dual!$C$10^Dual!$C$11-1)/((1.25-1)+Dual!$C$11*1.25*(Dual!$C$10-1))))*100</f>
        <v>56.7082787206425</v>
      </c>
      <c r="E7" s="11" t="n">
        <f aca="false">(1-1/A7^(Dual!$C$11-1)*((1.5*Dual!$C$10^Dual!$C$11-1)/((1.5-1)+Dual!$C$11*1.5*(Dual!$C$10-1))))*100</f>
        <v>57.1038473824615</v>
      </c>
      <c r="F7" s="11" t="n">
        <f aca="false">(1-1/A7^(Dual!$C$11-1)*((2*Dual!$C$10^Dual!$C$11-1)/((2-1)+Dual!$C$11*2*(Dual!$C$10-1))))*100</f>
        <v>57.4876080245248</v>
      </c>
      <c r="H7" s="20" t="n">
        <v>1.25</v>
      </c>
      <c r="I7" s="11" t="n">
        <f aca="false">(1-1/Dual!$C$8^(Dual!$C$11-1)*((H7*Dual!$C$10^Dual!$C$11-1)/((H7-1)+Dual!$C$11*H7*(Dual!$C$10-1))))*100</f>
        <v>64.1278951220176</v>
      </c>
      <c r="J7" s="11" t="n">
        <f aca="false">H7*Dual!$B$34</f>
        <v>4789.66435017286</v>
      </c>
      <c r="K7" s="11" t="n">
        <f aca="false">Dual!$C$10*H7*Dual!$C$34</f>
        <v>1818.85987981248</v>
      </c>
    </row>
    <row r="8" customFormat="false" ht="15" hidden="false" customHeight="false" outlineLevel="0" collapsed="false">
      <c r="A8" s="19" t="n">
        <v>11</v>
      </c>
      <c r="B8" s="11" t="n">
        <f aca="false">(1-1/A8^(Dual!$C$11-1))*100</f>
        <v>61.6784624264373</v>
      </c>
      <c r="C8" s="11" t="n">
        <f aca="false">(1-1/A8^(Dual!$C$11-1)*((Dual!$C$10^Dual!$C$11-1)/(Dual!$C$11*(Dual!$C$10-1))))*100</f>
        <v>57.5298627470343</v>
      </c>
      <c r="D8" s="11" t="n">
        <f aca="false">(1-1/A8^(Dual!$C$11-1)*((1.25*Dual!$C$10^Dual!$C$11-1)/((1.25-1)+Dual!$C$11*1.25*(Dual!$C$10-1))))*100</f>
        <v>58.3276703776887</v>
      </c>
      <c r="E8" s="11" t="n">
        <f aca="false">(1-1/A8^(Dual!$C$11-1)*((1.5*Dual!$C$10^Dual!$C$11-1)/((1.5-1)+Dual!$C$11*1.5*(Dual!$C$10-1))))*100</f>
        <v>58.7084422014101</v>
      </c>
      <c r="F8" s="11" t="n">
        <f aca="false">(1-1/A8^(Dual!$C$11-1)*((2*Dual!$C$10^Dual!$C$11-1)/((2-1)+Dual!$C$11*2*(Dual!$C$10-1))))*100</f>
        <v>59.0778477020354</v>
      </c>
      <c r="H8" s="20" t="n">
        <v>1.5</v>
      </c>
      <c r="I8" s="11" t="n">
        <f aca="false">(1-1/Dual!$C$8^(Dual!$C$11-1)*((H8*Dual!$C$10^Dual!$C$11-1)/((H8-1)+Dual!$C$11*H8*(Dual!$C$10-1))))*100</f>
        <v>64.4556686570926</v>
      </c>
      <c r="J8" s="11" t="n">
        <f aca="false">H8*Dual!$B$34</f>
        <v>5747.59722020743</v>
      </c>
      <c r="K8" s="11" t="n">
        <f aca="false">Dual!$C$10*H8*Dual!$C$34</f>
        <v>2182.63185577497</v>
      </c>
    </row>
    <row r="9" customFormat="false" ht="15" hidden="false" customHeight="false" outlineLevel="0" collapsed="false">
      <c r="A9" s="19" t="n">
        <v>12</v>
      </c>
      <c r="B9" s="11" t="n">
        <f aca="false">(1-1/A9^(Dual!$C$11-1))*100</f>
        <v>62.9892827512847</v>
      </c>
      <c r="C9" s="11" t="n">
        <f aca="false">(1-1/A9^(Dual!$C$11-1)*((Dual!$C$10^Dual!$C$11-1)/(Dual!$C$11*(Dual!$C$10-1))))*100</f>
        <v>58.9825894024661</v>
      </c>
      <c r="D9" s="11" t="n">
        <f aca="false">(1-1/A9^(Dual!$C$11-1)*((1.25*Dual!$C$10^Dual!$C$11-1)/((1.25-1)+Dual!$C$11*1.25*(Dual!$C$10-1))))*100</f>
        <v>59.753107354162</v>
      </c>
      <c r="E9" s="11" t="n">
        <f aca="false">(1-1/A9^(Dual!$C$11-1)*((1.5*Dual!$C$10^Dual!$C$11-1)/((1.5-1)+Dual!$C$11*1.5*(Dual!$C$10-1))))*100</f>
        <v>60.1208545583804</v>
      </c>
      <c r="F9" s="11" t="n">
        <f aca="false">(1-1/A9^(Dual!$C$11-1)*((2*Dual!$C$10^Dual!$C$11-1)/((2-1)+Dual!$C$11*2*(Dual!$C$10-1))))*100</f>
        <v>60.4776242341148</v>
      </c>
      <c r="H9" s="20" t="n">
        <v>1.75</v>
      </c>
      <c r="I9" s="11" t="n">
        <f aca="false">(1-1/Dual!$C$8^(Dual!$C$11-1)*((H9*Dual!$C$10^Dual!$C$11-1)/((H9-1)+Dual!$C$11*H9*(Dual!$C$10-1))))*100</f>
        <v>64.647608114569</v>
      </c>
      <c r="J9" s="11" t="n">
        <f aca="false">H9*Dual!$B$34</f>
        <v>6705.530090242</v>
      </c>
      <c r="K9" s="11" t="n">
        <f aca="false">Dual!$C$10*H9*Dual!$C$34</f>
        <v>2546.40383173747</v>
      </c>
    </row>
    <row r="10" customFormat="false" ht="15" hidden="false" customHeight="false" outlineLevel="0" collapsed="false">
      <c r="A10" s="19" t="n">
        <v>13</v>
      </c>
      <c r="B10" s="11" t="n">
        <f aca="false">(1-1/A10^(Dual!$C$11-1))*100</f>
        <v>64.1554890766456</v>
      </c>
      <c r="C10" s="11" t="n">
        <f aca="false">(1-1/A10^(Dual!$C$11-1)*((Dual!$C$10^Dual!$C$11-1)/(Dual!$C$11*(Dual!$C$10-1))))*100</f>
        <v>60.2750464863782</v>
      </c>
      <c r="D10" s="11" t="n">
        <f aca="false">(1-1/A10^(Dual!$C$11-1)*((1.25*Dual!$C$10^Dual!$C$11-1)/((1.25-1)+Dual!$C$11*1.25*(Dual!$C$10-1))))*100</f>
        <v>61.0212854460451</v>
      </c>
      <c r="E10" s="11" t="n">
        <f aca="false">(1-1/A10^(Dual!$C$11-1)*((1.5*Dual!$C$10^Dual!$C$11-1)/((1.5-1)+Dual!$C$11*1.5*(Dual!$C$10-1))))*100</f>
        <v>61.3774449495224</v>
      </c>
      <c r="F10" s="11" t="n">
        <f aca="false">(1-1/A10^(Dual!$C$11-1)*((2*Dual!$C$10^Dual!$C$11-1)/((2-1)+Dual!$C$11*2*(Dual!$C$10-1))))*100</f>
        <v>61.7229728260303</v>
      </c>
      <c r="H10" s="20" t="n">
        <v>2</v>
      </c>
      <c r="I10" s="11" t="n">
        <f aca="false">(1-1/Dual!$C$8^(Dual!$C$11-1)*((H10*Dual!$C$10^Dual!$C$11-1)/((H10-1)+Dual!$C$11*H10*(Dual!$C$10-1))))*100</f>
        <v>64.7736579075385</v>
      </c>
      <c r="J10" s="11" t="n">
        <f aca="false">H10*Dual!$B$34</f>
        <v>7663.46296027657</v>
      </c>
      <c r="K10" s="11" t="n">
        <f aca="false">Dual!$C$10*H10*Dual!$C$34</f>
        <v>2910.17580769996</v>
      </c>
    </row>
    <row r="11" customFormat="false" ht="15" hidden="false" customHeight="false" outlineLevel="0" collapsed="false">
      <c r="A11" s="19" t="n">
        <v>14</v>
      </c>
      <c r="B11" s="11" t="n">
        <f aca="false">(1-1/A11^(Dual!$C$11-1))*100</f>
        <v>65.2024405302363</v>
      </c>
      <c r="C11" s="11" t="n">
        <f aca="false">(1-1/A11^(Dual!$C$11-1)*((Dual!$C$10^Dual!$C$11-1)/(Dual!$C$11*(Dual!$C$10-1))))*100</f>
        <v>61.4353384461106</v>
      </c>
      <c r="D11" s="11" t="n">
        <f aca="false">(1-1/A11^(Dual!$C$11-1)*((1.25*Dual!$C$10^Dual!$C$11-1)/((1.25-1)+Dual!$C$11*1.25*(Dual!$C$10-1))))*100</f>
        <v>62.1597811545964</v>
      </c>
      <c r="E11" s="11" t="n">
        <f aca="false">(1-1/A11^(Dual!$C$11-1)*((1.5*Dual!$C$10^Dual!$C$11-1)/((1.5-1)+Dual!$C$11*1.5*(Dual!$C$10-1))))*100</f>
        <v>62.5055379018282</v>
      </c>
      <c r="F11" s="11" t="n">
        <f aca="false">(1-1/A11^(Dual!$C$11-1)*((2*Dual!$C$10^Dual!$C$11-1)/((2-1)+Dual!$C$11*2*(Dual!$C$10-1))))*100</f>
        <v>62.8409735521277</v>
      </c>
      <c r="H11" s="20" t="n">
        <v>2.25</v>
      </c>
      <c r="I11" s="11" t="n">
        <f aca="false">(1-1/Dual!$C$8^(Dual!$C$11-1)*((H11*Dual!$C$10^Dual!$C$11-1)/((H11-1)+Dual!$C$11*H11*(Dual!$C$10-1))))*100</f>
        <v>64.8627759140329</v>
      </c>
      <c r="J11" s="11" t="n">
        <f aca="false">H11*Dual!$B$34</f>
        <v>8621.39583031114</v>
      </c>
      <c r="K11" s="11" t="n">
        <f aca="false">Dual!$C$10*H11*Dual!$C$34</f>
        <v>3273.94778366246</v>
      </c>
    </row>
    <row r="12" customFormat="false" ht="15" hidden="false" customHeight="false" outlineLevel="0" collapsed="false">
      <c r="A12" s="19" t="n">
        <v>15</v>
      </c>
      <c r="B12" s="11" t="n">
        <f aca="false">(1-1/A12^(Dual!$C$11-1))*100</f>
        <v>66.1496240534173</v>
      </c>
      <c r="C12" s="11" t="n">
        <f aca="false">(1-1/A12^(Dual!$C$11-1)*((Dual!$C$10^Dual!$C$11-1)/(Dual!$C$11*(Dual!$C$10-1))))*100</f>
        <v>62.4850618335406</v>
      </c>
      <c r="D12" s="11" t="n">
        <f aca="false">(1-1/A12^(Dual!$C$11-1)*((1.25*Dual!$C$10^Dual!$C$11-1)/((1.25-1)+Dual!$C$11*1.25*(Dual!$C$10-1))))*100</f>
        <v>63.189785337363</v>
      </c>
      <c r="E12" s="11" t="n">
        <f aca="false">(1-1/A12^(Dual!$C$11-1)*((1.5*Dual!$C$10^Dual!$C$11-1)/((1.5-1)+Dual!$C$11*1.5*(Dual!$C$10-1))))*100</f>
        <v>63.5261306460055</v>
      </c>
      <c r="F12" s="11" t="n">
        <f aca="false">(1-1/A12^(Dual!$C$11-1)*((2*Dual!$C$10^Dual!$C$11-1)/((2-1)+Dual!$C$11*2*(Dual!$C$10-1))))*100</f>
        <v>63.8524357961811</v>
      </c>
      <c r="H12" s="20" t="n">
        <v>2.5</v>
      </c>
      <c r="I12" s="11" t="n">
        <f aca="false">(1-1/Dual!$C$8^(Dual!$C$11-1)*((H12*Dual!$C$10^Dual!$C$11-1)/((H12-1)+Dual!$C$11*H12*(Dual!$C$10-1))))*100</f>
        <v>64.9291193188676</v>
      </c>
      <c r="J12" s="11" t="n">
        <f aca="false">H12*Dual!$B$34</f>
        <v>9579.32870034571</v>
      </c>
      <c r="K12" s="11" t="n">
        <f aca="false">Dual!$C$10*H12*Dual!$C$34</f>
        <v>3637.71975962496</v>
      </c>
    </row>
    <row r="13" customFormat="false" ht="15" hidden="false" customHeight="false" outlineLevel="0" collapsed="false">
      <c r="A13" s="19" t="n">
        <v>16</v>
      </c>
      <c r="B13" s="11" t="n">
        <f aca="false">(1-1/A13^(Dual!$C$11-1))*100</f>
        <v>67.0123022306776</v>
      </c>
      <c r="C13" s="11" t="n">
        <f aca="false">(1-1/A13^(Dual!$C$11-1)*((Dual!$C$10^Dual!$C$11-1)/(Dual!$C$11*(Dual!$C$10-1))))*100</f>
        <v>63.4411315247176</v>
      </c>
      <c r="D13" s="11" t="n">
        <f aca="false">(1-1/A13^(Dual!$C$11-1)*((1.25*Dual!$C$10^Dual!$C$11-1)/((1.25-1)+Dual!$C$11*1.25*(Dual!$C$10-1))))*100</f>
        <v>64.1278951220176</v>
      </c>
      <c r="E13" s="11" t="n">
        <f aca="false">(1-1/A13^(Dual!$C$11-1)*((1.5*Dual!$C$10^Dual!$C$11-1)/((1.5-1)+Dual!$C$11*1.5*(Dual!$C$10-1))))*100</f>
        <v>64.4556686570926</v>
      </c>
      <c r="F13" s="11" t="n">
        <f aca="false">(1-1/A13^(Dual!$C$11-1)*((2*Dual!$C$10^Dual!$C$11-1)/((2-1)+Dual!$C$11*2*(Dual!$C$10-1))))*100</f>
        <v>64.7736579075385</v>
      </c>
    </row>
    <row r="14" customFormat="false" ht="15" hidden="false" customHeight="false" outlineLevel="0" collapsed="false">
      <c r="A14" s="19" t="n">
        <v>17</v>
      </c>
      <c r="B14" s="11" t="n">
        <f aca="false">(1-1/A14^(Dual!$C$11-1))*100</f>
        <v>67.8026275475383</v>
      </c>
      <c r="C14" s="11" t="n">
        <f aca="false">(1-1/A14^(Dual!$C$11-1)*((Dual!$C$10^Dual!$C$11-1)/(Dual!$C$11*(Dual!$C$10-1))))*100</f>
        <v>64.3170156047114</v>
      </c>
      <c r="D14" s="11" t="n">
        <f aca="false">(1-1/A14^(Dual!$C$11-1)*((1.25*Dual!$C$10^Dual!$C$11-1)/((1.25-1)+Dual!$C$11*1.25*(Dual!$C$10-1))))*100</f>
        <v>64.9873255937166</v>
      </c>
      <c r="E14" s="11" t="n">
        <f aca="false">(1-1/A14^(Dual!$C$11-1)*((1.5*Dual!$C$10^Dual!$C$11-1)/((1.5-1)+Dual!$C$11*1.5*(Dual!$C$10-1))))*100</f>
        <v>65.3072462702872</v>
      </c>
      <c r="F14" s="11" t="n">
        <f aca="false">(1-1/A14^(Dual!$C$11-1)*((2*Dual!$C$10^Dual!$C$11-1)/((2-1)+Dual!$C$11*2*(Dual!$C$10-1))))*100</f>
        <v>65.6176170759154</v>
      </c>
      <c r="H14" s="15" t="s">
        <v>167</v>
      </c>
    </row>
    <row r="15" customFormat="false" ht="15" hidden="false" customHeight="false" outlineLevel="0" collapsed="false">
      <c r="A15" s="19" t="n">
        <v>18</v>
      </c>
      <c r="B15" s="11" t="n">
        <f aca="false">(1-1/A15^(Dual!$C$11-1))*100</f>
        <v>68.5304162901699</v>
      </c>
      <c r="C15" s="11" t="n">
        <f aca="false">(1-1/A15^(Dual!$C$11-1)*((Dual!$C$10^Dual!$C$11-1)/(Dual!$C$11*(Dual!$C$10-1))))*100</f>
        <v>65.1235930477848</v>
      </c>
      <c r="D15" s="11" t="n">
        <f aca="false">(1-1/A15^(Dual!$C$11-1)*((1.25*Dual!$C$10^Dual!$C$11-1)/((1.25-1)+Dual!$C$11*1.25*(Dual!$C$10-1))))*100</f>
        <v>65.7787513636282</v>
      </c>
      <c r="E15" s="11" t="n">
        <f aca="false">(1-1/A15^(Dual!$C$11-1)*((1.5*Dual!$C$10^Dual!$C$11-1)/((1.5-1)+Dual!$C$11*1.5*(Dual!$C$10-1))))*100</f>
        <v>66.0914405598261</v>
      </c>
      <c r="F15" s="11" t="n">
        <f aca="false">(1-1/A15^(Dual!$C$11-1)*((2*Dual!$C$10^Dual!$C$11-1)/((2-1)+Dual!$C$11*2*(Dual!$C$10-1))))*100</f>
        <v>66.3947957501673</v>
      </c>
    </row>
    <row r="16" customFormat="false" ht="15" hidden="false" customHeight="false" outlineLevel="0" collapsed="false">
      <c r="A16" s="19" t="n">
        <v>19</v>
      </c>
      <c r="B16" s="11" t="n">
        <f aca="false">(1-1/A16^(Dual!$C$11-1))*100</f>
        <v>69.203698724162</v>
      </c>
      <c r="C16" s="11" t="n">
        <f aca="false">(1-1/A16^(Dual!$C$11-1)*((Dual!$C$10^Dual!$C$11-1)/(Dual!$C$11*(Dual!$C$10-1))))*100</f>
        <v>65.8697634572253</v>
      </c>
      <c r="D16" s="11" t="n">
        <f aca="false">(1-1/A16^(Dual!$C$11-1)*((1.25*Dual!$C$10^Dual!$C$11-1)/((1.25-1)+Dual!$C$11*1.25*(Dual!$C$10-1))))*100</f>
        <v>66.5109048547132</v>
      </c>
      <c r="E16" s="11" t="n">
        <f aca="false">(1-1/A16^(Dual!$C$11-1)*((1.5*Dual!$C$10^Dual!$C$11-1)/((1.5-1)+Dual!$C$11*1.5*(Dual!$C$10-1))))*100</f>
        <v>66.8169041580596</v>
      </c>
      <c r="F16" s="11" t="n">
        <f aca="false">(1-1/A16^(Dual!$C$11-1)*((2*Dual!$C$10^Dual!$C$11-1)/((2-1)+Dual!$C$11*2*(Dual!$C$10-1))))*100</f>
        <v>67.1137691538435</v>
      </c>
    </row>
    <row r="17" customFormat="false" ht="15" hidden="false" customHeight="false" outlineLevel="0" collapsed="false">
      <c r="A17" s="19" t="n">
        <v>20</v>
      </c>
      <c r="B17" s="11" t="n">
        <f aca="false">(1-1/A17^(Dual!$C$11-1))*100</f>
        <v>69.8291183172742</v>
      </c>
      <c r="C17" s="11" t="n">
        <f aca="false">(1-1/A17^(Dual!$C$11-1)*((Dual!$C$10^Dual!$C$11-1)/(Dual!$C$11*(Dual!$C$10-1))))*100</f>
        <v>66.5628895070134</v>
      </c>
      <c r="D17" s="11" t="n">
        <f aca="false">(1-1/A17^(Dual!$C$11-1)*((1.25*Dual!$C$10^Dual!$C$11-1)/((1.25-1)+Dual!$C$11*1.25*(Dual!$C$10-1))))*100</f>
        <v>67.1910104320636</v>
      </c>
      <c r="E17" s="11" t="n">
        <f aca="false">(1-1/A17^(Dual!$C$11-1)*((1.5*Dual!$C$10^Dual!$C$11-1)/((1.5-1)+Dual!$C$11*1.5*(Dual!$C$10-1))))*100</f>
        <v>67.4907954190193</v>
      </c>
      <c r="F17" s="11" t="n">
        <f aca="false">(1-1/A17^(Dual!$C$11-1)*((2*Dual!$C$10^Dual!$C$11-1)/((2-1)+Dual!$C$11*2*(Dual!$C$10-1))))*100</f>
        <v>67.7816316003943</v>
      </c>
    </row>
    <row r="18" customFormat="false" ht="15" hidden="false" customHeight="false" outlineLevel="0" collapsed="false">
      <c r="A18" s="19" t="n">
        <v>21</v>
      </c>
      <c r="B18" s="11" t="n">
        <f aca="false">(1-1/A18^(Dual!$C$11-1))*100</f>
        <v>70.4122267268536</v>
      </c>
      <c r="C18" s="11" t="n">
        <f aca="false">(1-1/A18^(Dual!$C$11-1)*((Dual!$C$10^Dual!$C$11-1)/(Dual!$C$11*(Dual!$C$10-1))))*100</f>
        <v>67.2091238638854</v>
      </c>
      <c r="D18" s="11" t="n">
        <f aca="false">(1-1/A18^(Dual!$C$11-1)*((1.25*Dual!$C$10^Dual!$C$11-1)/((1.25-1)+Dual!$C$11*1.25*(Dual!$C$10-1))))*100</f>
        <v>67.8251051836869</v>
      </c>
      <c r="E18" s="11" t="n">
        <f aca="false">(1-1/A18^(Dual!$C$11-1)*((1.5*Dual!$C$10^Dual!$C$11-1)/((1.5-1)+Dual!$C$11*1.5*(Dual!$C$10-1))))*100</f>
        <v>68.1190962681377</v>
      </c>
      <c r="F18" s="11" t="n">
        <f aca="false">(1-1/A18^(Dual!$C$11-1)*((2*Dual!$C$10^Dual!$C$11-1)/((2-1)+Dual!$C$11*2*(Dual!$C$10-1))))*100</f>
        <v>68.4043114993213</v>
      </c>
    </row>
    <row r="19" customFormat="false" ht="15" hidden="false" customHeight="false" outlineLevel="0" collapsed="false">
      <c r="A19" s="19" t="n">
        <v>22</v>
      </c>
      <c r="B19" s="11" t="n">
        <f aca="false">(1-1/A19^(Dual!$C$11-1))*100</f>
        <v>70.9577053228001</v>
      </c>
      <c r="C19" s="11" t="n">
        <f aca="false">(1-1/A19^(Dual!$C$11-1)*((Dual!$C$10^Dual!$C$11-1)/(Dual!$C$11*(Dual!$C$10-1))))*100</f>
        <v>67.8136546918547</v>
      </c>
      <c r="D19" s="11" t="n">
        <f aca="false">(1-1/A19^(Dual!$C$11-1)*((1.25*Dual!$C$10^Dual!$C$11-1)/((1.25-1)+Dual!$C$11*1.25*(Dual!$C$10-1))))*100</f>
        <v>68.4182798131904</v>
      </c>
      <c r="E19" s="11" t="n">
        <f aca="false">(1-1/A19^(Dual!$C$11-1)*((1.5*Dual!$C$10^Dual!$C$11-1)/((1.5-1)+Dual!$C$11*1.5*(Dual!$C$10-1))))*100</f>
        <v>68.7068508938279</v>
      </c>
      <c r="F19" s="11" t="n">
        <f aca="false">(1-1/A19^(Dual!$C$11-1)*((2*Dual!$C$10^Dual!$C$11-1)/((2-1)+Dual!$C$11*2*(Dual!$C$10-1))))*100</f>
        <v>68.9868079123567</v>
      </c>
    </row>
    <row r="20" customFormat="false" ht="15" hidden="false" customHeight="false" outlineLevel="0" collapsed="false">
      <c r="A20" s="19" t="n">
        <v>23</v>
      </c>
      <c r="B20" s="11" t="n">
        <f aca="false">(1-1/A20^(Dual!$C$11-1))*100</f>
        <v>71.469533976018</v>
      </c>
      <c r="C20" s="11" t="n">
        <f aca="false">(1-1/A20^(Dual!$C$11-1)*((Dual!$C$10^Dual!$C$11-1)/(Dual!$C$11*(Dual!$C$10-1))))*100</f>
        <v>68.3808927133051</v>
      </c>
      <c r="D20" s="11" t="n">
        <f aca="false">(1-1/A20^(Dual!$C$11-1)*((1.25*Dual!$C$10^Dual!$C$11-1)/((1.25-1)+Dual!$C$11*1.25*(Dual!$C$10-1))))*100</f>
        <v>68.9748621869037</v>
      </c>
      <c r="E20" s="11" t="n">
        <f aca="false">(1-1/A20^(Dual!$C$11-1)*((1.5*Dual!$C$10^Dual!$C$11-1)/((1.5-1)+Dual!$C$11*1.5*(Dual!$C$10-1))))*100</f>
        <v>69.2583476174849</v>
      </c>
      <c r="F20" s="11" t="n">
        <f aca="false">(1-1/A20^(Dual!$C$11-1)*((2*Dual!$C$10^Dual!$C$11-1)/((2-1)+Dual!$C$11*2*(Dual!$C$10-1))))*100</f>
        <v>69.5333707964069</v>
      </c>
    </row>
    <row r="21" customFormat="false" ht="15" hidden="false" customHeight="false" outlineLevel="0" collapsed="false">
      <c r="A21" s="19" t="n">
        <v>24</v>
      </c>
      <c r="B21" s="11" t="n">
        <f aca="false">(1-1/A21^(Dual!$C$11-1))*100</f>
        <v>71.951121363845</v>
      </c>
      <c r="C21" s="11" t="n">
        <f aca="false">(1-1/A21^(Dual!$C$11-1)*((Dual!$C$10^Dual!$C$11-1)/(Dual!$C$11*(Dual!$C$10-1))))*100</f>
        <v>68.9146156209793</v>
      </c>
      <c r="D21" s="11" t="n">
        <f aca="false">(1-1/A21^(Dual!$C$11-1)*((1.25*Dual!$C$10^Dual!$C$11-1)/((1.25-1)+Dual!$C$11*1.25*(Dual!$C$10-1))))*100</f>
        <v>69.4985590330689</v>
      </c>
      <c r="E21" s="11" t="n">
        <f aca="false">(1-1/A21^(Dual!$C$11-1)*((1.5*Dual!$C$10^Dual!$C$11-1)/((1.5-1)+Dual!$C$11*1.5*(Dual!$C$10-1))))*100</f>
        <v>69.7772592979298</v>
      </c>
      <c r="F21" s="11" t="n">
        <f aca="false">(1-1/A21^(Dual!$C$11-1)*((2*Dual!$C$10^Dual!$C$11-1)/((2-1)+Dual!$C$11*2*(Dual!$C$10-1))))*100</f>
        <v>70.0476401518993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2026-09-15T21:53:44Z</dcterms:created>
  <dc:creator>openpyxl</dc:creator>
  <dc:description/>
  <dc:language>en-US</dc:language>
  <cp:lastModifiedBy/>
  <dcterms:modified xsi:type="dcterms:W3CDTF">2026-09-15T21:53:54Z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