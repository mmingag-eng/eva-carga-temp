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ores" sheetId="1" state="visible" r:id="rId3"/>
    <sheet name="Conversiones" sheetId="2" state="visible" r:id="rId4"/>
    <sheet name="Potencia" sheetId="3" state="visible" r:id="rId5"/>
    <sheet name="Medi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<sst xmlns="http://schemas.openxmlformats.org/spreadsheetml/2006/main" count="151" uniqueCount="93">
  <si>
    <t xml:space="preserve">GUÍA 1 – MAGNITUDES, UNIDADES SI Y CONVERSIÓN</t>
  </si>
  <si>
    <t xml:space="preserve">Factores de conversión (Tabla 1 de la guía)</t>
  </si>
  <si>
    <t xml:space="preserve">Conversión</t>
  </si>
  <si>
    <t xml:space="preserve">De</t>
  </si>
  <si>
    <t xml:space="preserve">A</t>
  </si>
  <si>
    <t xml:space="preserve">Factor</t>
  </si>
  <si>
    <t xml:space="preserve">Fuente</t>
  </si>
  <si>
    <t xml:space="preserve">Longitud</t>
  </si>
  <si>
    <t xml:space="preserve">in</t>
  </si>
  <si>
    <t xml:space="preserve">mm</t>
  </si>
  <si>
    <t xml:space="preserve">BIPM (2019)</t>
  </si>
  <si>
    <t xml:space="preserve">Volumen</t>
  </si>
  <si>
    <t xml:space="preserve">L</t>
  </si>
  <si>
    <t xml:space="preserve">cm³</t>
  </si>
  <si>
    <t xml:space="preserve">m³</t>
  </si>
  <si>
    <t xml:space="preserve">Fuerza</t>
  </si>
  <si>
    <t xml:space="preserve">kgf</t>
  </si>
  <si>
    <t xml:space="preserve">N</t>
  </si>
  <si>
    <t xml:space="preserve">Par</t>
  </si>
  <si>
    <t xml:space="preserve">kgf·m</t>
  </si>
  <si>
    <t xml:space="preserve">N·m</t>
  </si>
  <si>
    <t xml:space="preserve">lb·ft</t>
  </si>
  <si>
    <t xml:space="preserve">Presión</t>
  </si>
  <si>
    <t xml:space="preserve">bar</t>
  </si>
  <si>
    <t xml:space="preserve">kPa</t>
  </si>
  <si>
    <t xml:space="preserve">psi</t>
  </si>
  <si>
    <t xml:space="preserve">atm</t>
  </si>
  <si>
    <t xml:space="preserve">Potencia</t>
  </si>
  <si>
    <t xml:space="preserve">CV</t>
  </si>
  <si>
    <t xml:space="preserve">W</t>
  </si>
  <si>
    <t xml:space="preserve">hp</t>
  </si>
  <si>
    <t xml:space="preserve">Energía</t>
  </si>
  <si>
    <t xml:space="preserve">kWh</t>
  </si>
  <si>
    <t xml:space="preserve">MJ</t>
  </si>
  <si>
    <t xml:space="preserve">kcal</t>
  </si>
  <si>
    <t xml:space="preserve">kJ</t>
  </si>
  <si>
    <t xml:space="preserve">Ejercicios de conversión (Tabla 3 de la guía)</t>
  </si>
  <si>
    <t xml:space="preserve">Ingrese el valor dado en la columna B</t>
  </si>
  <si>
    <t xml:space="preserve">Leyenda: celdas amarillas con texto azul = datos de entrada (editar). Texto negro = fórmulas (no editar).</t>
  </si>
  <si>
    <t xml:space="preserve">Nro.</t>
  </si>
  <si>
    <t xml:space="preserve">Valor dado</t>
  </si>
  <si>
    <t xml:space="preserve">Unidad</t>
  </si>
  <si>
    <t xml:space="preserve">Resultado 1</t>
  </si>
  <si>
    <t xml:space="preserve">Unidad 1</t>
  </si>
  <si>
    <t xml:space="preserve">Resultado 2</t>
  </si>
  <si>
    <t xml:space="preserve">Unidad 2</t>
  </si>
  <si>
    <t xml:space="preserve">kW</t>
  </si>
  <si>
    <t xml:space="preserve">°C</t>
  </si>
  <si>
    <t xml:space="preserve">K</t>
  </si>
  <si>
    <t xml:space="preserve">°F</t>
  </si>
  <si>
    <t xml:space="preserve">m</t>
  </si>
  <si>
    <t xml:space="preserve">rpm</t>
  </si>
  <si>
    <t xml:space="preserve">rad/s</t>
  </si>
  <si>
    <t xml:space="preserve">rev/s</t>
  </si>
  <si>
    <t xml:space="preserve">Potencia a partir del par y el régimen</t>
  </si>
  <si>
    <t xml:space="preserve">P = M·ω;  ω = 2π·n/60;  P[kW] = M·n/9549</t>
  </si>
  <si>
    <t xml:space="preserve">Parámetro</t>
  </si>
  <si>
    <t xml:space="preserve">Símbolo</t>
  </si>
  <si>
    <t xml:space="preserve">Valor</t>
  </si>
  <si>
    <t xml:space="preserve">Fuente / observación</t>
  </si>
  <si>
    <t xml:space="preserve">Par motor</t>
  </si>
  <si>
    <t xml:space="preserve">M</t>
  </si>
  <si>
    <t xml:space="preserve">Ejemplo de la guía</t>
  </si>
  <si>
    <t xml:space="preserve">Régimen de giro</t>
  </si>
  <si>
    <t xml:space="preserve">n</t>
  </si>
  <si>
    <t xml:space="preserve">Potencia máxima declarada (ficha)</t>
  </si>
  <si>
    <t xml:space="preserve">P_ficha</t>
  </si>
  <si>
    <t xml:space="preserve">Opcional</t>
  </si>
  <si>
    <t xml:space="preserve">Magnitud</t>
  </si>
  <si>
    <t xml:space="preserve">Ecuación</t>
  </si>
  <si>
    <t xml:space="preserve">Velocidad angular</t>
  </si>
  <si>
    <t xml:space="preserve">ω = 2π·n/60</t>
  </si>
  <si>
    <t xml:space="preserve">P = M·ω</t>
  </si>
  <si>
    <t xml:space="preserve">P/1000</t>
  </si>
  <si>
    <t xml:space="preserve">Potencia (fórmula práctica)</t>
  </si>
  <si>
    <t xml:space="preserve">P = M·n/9549</t>
  </si>
  <si>
    <t xml:space="preserve">P/0,7355</t>
  </si>
  <si>
    <t xml:space="preserve">Diferencia con la ficha</t>
  </si>
  <si>
    <t xml:space="preserve">(P − P_ficha)/P_ficha</t>
  </si>
  <si>
    <t xml:space="preserve">%</t>
  </si>
  <si>
    <t xml:space="preserve">Registro de mediciones directas (Tabla 4 de la guía)</t>
  </si>
  <si>
    <t xml:space="preserve">Medición</t>
  </si>
  <si>
    <t xml:space="preserve">Lectura 1</t>
  </si>
  <si>
    <t xml:space="preserve">Lectura 2</t>
  </si>
  <si>
    <t xml:space="preserve">Lectura 3</t>
  </si>
  <si>
    <t xml:space="preserve">Promedio</t>
  </si>
  <si>
    <t xml:space="preserve">Desv. estándar</t>
  </si>
  <si>
    <t xml:space="preserve">Valor SI</t>
  </si>
  <si>
    <t xml:space="preserve">Unidad SI</t>
  </si>
  <si>
    <t xml:space="preserve">Diámetro (mm)</t>
  </si>
  <si>
    <t xml:space="preserve">Presión (bar)</t>
  </si>
  <si>
    <t xml:space="preserve">Pa</t>
  </si>
  <si>
    <t xml:space="preserve">Temperatura (°C)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</si>
</sst>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"/>
    <numFmt numFmtId="166" formatCode="0.00"/>
    <numFmt numFmtId="167" formatCode="0.000"/>
    <numFmt numFmtId="168" formatCode="0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5" t="n">
        <v>25.4</v>
      </c>
      <c r="E5" s="4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s">
        <v>13</v>
      </c>
      <c r="D6" s="5" t="n">
        <v>1000</v>
      </c>
      <c r="E6" s="4" t="s">
        <v>10</v>
      </c>
    </row>
    <row r="7" customFormat="false" ht="15" hidden="false" customHeight="false" outlineLevel="0" collapsed="false">
      <c r="A7" s="4" t="s">
        <v>11</v>
      </c>
      <c r="B7" s="4" t="s">
        <v>13</v>
      </c>
      <c r="C7" s="4" t="s">
        <v>14</v>
      </c>
      <c r="D7" s="5" t="n">
        <v>1E-006</v>
      </c>
      <c r="E7" s="4" t="s">
        <v>10</v>
      </c>
    </row>
    <row r="8" customFormat="false" ht="15" hidden="false" customHeight="false" outlineLevel="0" collapsed="false">
      <c r="A8" s="4" t="s">
        <v>15</v>
      </c>
      <c r="B8" s="4" t="s">
        <v>16</v>
      </c>
      <c r="C8" s="4" t="s">
        <v>17</v>
      </c>
      <c r="D8" s="5" t="n">
        <v>9.80665</v>
      </c>
      <c r="E8" s="4" t="s">
        <v>10</v>
      </c>
    </row>
    <row r="9" customFormat="false" ht="15" hidden="false" customHeight="false" outlineLevel="0" collapsed="false">
      <c r="A9" s="4" t="s">
        <v>18</v>
      </c>
      <c r="B9" s="4" t="s">
        <v>19</v>
      </c>
      <c r="C9" s="4" t="s">
        <v>20</v>
      </c>
      <c r="D9" s="5" t="n">
        <v>9.80665</v>
      </c>
      <c r="E9" s="4" t="s">
        <v>10</v>
      </c>
    </row>
    <row r="10" customFormat="false" ht="15" hidden="false" customHeight="false" outlineLevel="0" collapsed="false">
      <c r="A10" s="4" t="s">
        <v>18</v>
      </c>
      <c r="B10" s="4" t="s">
        <v>21</v>
      </c>
      <c r="C10" s="4" t="s">
        <v>20</v>
      </c>
      <c r="D10" s="5" t="n">
        <v>1.35582</v>
      </c>
      <c r="E10" s="4" t="s">
        <v>10</v>
      </c>
    </row>
    <row r="11" customFormat="false" ht="15" hidden="false" customHeight="false" outlineLevel="0" collapsed="false">
      <c r="A11" s="4" t="s">
        <v>22</v>
      </c>
      <c r="B11" s="4" t="s">
        <v>23</v>
      </c>
      <c r="C11" s="4" t="s">
        <v>24</v>
      </c>
      <c r="D11" s="5" t="n">
        <v>100</v>
      </c>
      <c r="E11" s="4" t="s">
        <v>10</v>
      </c>
    </row>
    <row r="12" customFormat="false" ht="15" hidden="false" customHeight="false" outlineLevel="0" collapsed="false">
      <c r="A12" s="4" t="s">
        <v>22</v>
      </c>
      <c r="B12" s="4" t="s">
        <v>23</v>
      </c>
      <c r="C12" s="4" t="s">
        <v>25</v>
      </c>
      <c r="D12" s="5" t="n">
        <v>14.5038</v>
      </c>
      <c r="E12" s="4" t="s">
        <v>10</v>
      </c>
    </row>
    <row r="13" customFormat="false" ht="15" hidden="false" customHeight="false" outlineLevel="0" collapsed="false">
      <c r="A13" s="4" t="s">
        <v>22</v>
      </c>
      <c r="B13" s="4" t="s">
        <v>26</v>
      </c>
      <c r="C13" s="4" t="s">
        <v>24</v>
      </c>
      <c r="D13" s="5" t="n">
        <v>101.325</v>
      </c>
      <c r="E13" s="4" t="s">
        <v>10</v>
      </c>
    </row>
    <row r="14" customFormat="false" ht="15" hidden="false" customHeight="false" outlineLevel="0" collapsed="false">
      <c r="A14" s="4" t="s">
        <v>27</v>
      </c>
      <c r="B14" s="4" t="s">
        <v>28</v>
      </c>
      <c r="C14" s="4" t="s">
        <v>29</v>
      </c>
      <c r="D14" s="5" t="n">
        <v>735.499</v>
      </c>
      <c r="E14" s="4" t="s">
        <v>10</v>
      </c>
    </row>
    <row r="15" customFormat="false" ht="15" hidden="false" customHeight="false" outlineLevel="0" collapsed="false">
      <c r="A15" s="4" t="s">
        <v>27</v>
      </c>
      <c r="B15" s="4" t="s">
        <v>30</v>
      </c>
      <c r="C15" s="4" t="s">
        <v>29</v>
      </c>
      <c r="D15" s="5" t="n">
        <v>745.7</v>
      </c>
      <c r="E15" s="4" t="s">
        <v>10</v>
      </c>
    </row>
    <row r="16" customFormat="false" ht="15" hidden="false" customHeight="false" outlineLevel="0" collapsed="false">
      <c r="A16" s="4" t="s">
        <v>31</v>
      </c>
      <c r="B16" s="4" t="s">
        <v>32</v>
      </c>
      <c r="C16" s="4" t="s">
        <v>33</v>
      </c>
      <c r="D16" s="5" t="n">
        <v>3.6</v>
      </c>
      <c r="E16" s="4" t="s">
        <v>10</v>
      </c>
    </row>
    <row r="17" customFormat="false" ht="15" hidden="false" customHeight="false" outlineLevel="0" collapsed="false">
      <c r="A17" s="4" t="s">
        <v>31</v>
      </c>
      <c r="B17" s="4" t="s">
        <v>34</v>
      </c>
      <c r="C17" s="4" t="s">
        <v>35</v>
      </c>
      <c r="D17" s="5" t="n">
        <v>4.1868</v>
      </c>
      <c r="E1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6" t="s">
        <v>38</v>
      </c>
    </row>
    <row r="5" customFormat="false" ht="31.5" hidden="false" customHeight="true" outlineLevel="0" collapsed="false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</row>
    <row r="6" customFormat="false" ht="15" hidden="false" customHeight="false" outlineLevel="0" collapsed="false">
      <c r="A6" s="4" t="n">
        <v>1</v>
      </c>
      <c r="B6" s="7" t="n">
        <v>1298</v>
      </c>
      <c r="C6" s="4" t="s">
        <v>13</v>
      </c>
      <c r="D6" s="8" t="n">
        <f aca="false">B6/Factores!$D$6</f>
        <v>1.298</v>
      </c>
      <c r="E6" s="4" t="s">
        <v>12</v>
      </c>
      <c r="F6" s="8" t="n">
        <f aca="false">B6*Factores!$D$7</f>
        <v>0.001298</v>
      </c>
      <c r="G6" s="4" t="s">
        <v>14</v>
      </c>
    </row>
    <row r="7" customFormat="false" ht="15" hidden="false" customHeight="false" outlineLevel="0" collapsed="false">
      <c r="A7" s="4" t="n">
        <v>2</v>
      </c>
      <c r="B7" s="7" t="n">
        <v>85</v>
      </c>
      <c r="C7" s="4" t="s">
        <v>28</v>
      </c>
      <c r="D7" s="8" t="n">
        <f aca="false">B7*Factores!$D$14/1000</f>
        <v>62.517415</v>
      </c>
      <c r="E7" s="4" t="s">
        <v>46</v>
      </c>
      <c r="F7" s="8" t="n">
        <f aca="false">B7*Factores!$D$14/Factores!$D$15</f>
        <v>83.837220061687</v>
      </c>
      <c r="G7" s="4" t="s">
        <v>30</v>
      </c>
    </row>
    <row r="8" customFormat="false" ht="15" hidden="false" customHeight="false" outlineLevel="0" collapsed="false">
      <c r="A8" s="4" t="n">
        <v>3</v>
      </c>
      <c r="B8" s="7" t="n">
        <v>110</v>
      </c>
      <c r="C8" s="4" t="s">
        <v>20</v>
      </c>
      <c r="D8" s="8" t="n">
        <f aca="false">B8/Factores!$D$9</f>
        <v>11.2168783427572</v>
      </c>
      <c r="E8" s="4" t="s">
        <v>19</v>
      </c>
      <c r="F8" s="8" t="n">
        <f aca="false">B8/Factores!$D$10</f>
        <v>81.1317136493045</v>
      </c>
      <c r="G8" s="4" t="s">
        <v>21</v>
      </c>
    </row>
    <row r="9" customFormat="false" ht="15" hidden="false" customHeight="false" outlineLevel="0" collapsed="false">
      <c r="A9" s="4" t="n">
        <v>4</v>
      </c>
      <c r="B9" s="7" t="n">
        <v>12.5</v>
      </c>
      <c r="C9" s="4" t="s">
        <v>23</v>
      </c>
      <c r="D9" s="8" t="n">
        <f aca="false">B9*Factores!$D$11</f>
        <v>1250</v>
      </c>
      <c r="E9" s="4" t="s">
        <v>24</v>
      </c>
      <c r="F9" s="8" t="n">
        <f aca="false">B9*Factores!$D$12</f>
        <v>181.2975</v>
      </c>
      <c r="G9" s="4" t="s">
        <v>25</v>
      </c>
    </row>
    <row r="10" customFormat="false" ht="15" hidden="false" customHeight="false" outlineLevel="0" collapsed="false">
      <c r="A10" s="4" t="n">
        <v>5</v>
      </c>
      <c r="B10" s="7" t="n">
        <v>180</v>
      </c>
      <c r="C10" s="4" t="s">
        <v>25</v>
      </c>
      <c r="D10" s="8" t="n">
        <f aca="false">B10/Factores!$D$12</f>
        <v>12.4105406858892</v>
      </c>
      <c r="E10" s="4" t="s">
        <v>23</v>
      </c>
      <c r="F10" s="8" t="n">
        <f aca="false">B10/Factores!$D$12*100</f>
        <v>1241.05406858892</v>
      </c>
      <c r="G10" s="4" t="s">
        <v>24</v>
      </c>
    </row>
    <row r="11" customFormat="false" ht="15" hidden="false" customHeight="false" outlineLevel="0" collapsed="false">
      <c r="A11" s="4" t="n">
        <v>6</v>
      </c>
      <c r="B11" s="7" t="n">
        <v>88</v>
      </c>
      <c r="C11" s="4" t="s">
        <v>47</v>
      </c>
      <c r="D11" s="8" t="n">
        <f aca="false">B11+273.15</f>
        <v>361.15</v>
      </c>
      <c r="E11" s="4" t="s">
        <v>48</v>
      </c>
      <c r="F11" s="8" t="n">
        <f aca="false">B11*9/5+32</f>
        <v>190.4</v>
      </c>
      <c r="G11" s="4" t="s">
        <v>49</v>
      </c>
    </row>
    <row r="12" customFormat="false" ht="15" hidden="false" customHeight="false" outlineLevel="0" collapsed="false">
      <c r="A12" s="4" t="n">
        <v>7</v>
      </c>
      <c r="B12" s="7" t="n">
        <v>3.5</v>
      </c>
      <c r="C12" s="4" t="s">
        <v>8</v>
      </c>
      <c r="D12" s="8" t="n">
        <f aca="false">B12*Factores!$D$5</f>
        <v>88.9</v>
      </c>
      <c r="E12" s="4" t="s">
        <v>9</v>
      </c>
      <c r="F12" s="8" t="n">
        <f aca="false">B12*Factores!$D$5/1000</f>
        <v>0.0889</v>
      </c>
      <c r="G12" s="4" t="s">
        <v>50</v>
      </c>
    </row>
    <row r="13" customFormat="false" ht="15" hidden="false" customHeight="false" outlineLevel="0" collapsed="false">
      <c r="A13" s="4" t="n">
        <v>8</v>
      </c>
      <c r="B13" s="7" t="n">
        <v>750</v>
      </c>
      <c r="C13" s="4" t="s">
        <v>51</v>
      </c>
      <c r="D13" s="8" t="n">
        <f aca="false">2*PI()*B13/60</f>
        <v>78.5398163397448</v>
      </c>
      <c r="E13" s="4" t="s">
        <v>52</v>
      </c>
      <c r="F13" s="8" t="n">
        <f aca="false">B13/60</f>
        <v>12.5</v>
      </c>
      <c r="G13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2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6" t="s">
        <v>38</v>
      </c>
    </row>
    <row r="5" customFormat="false" ht="31.5" hidden="false" customHeight="true" outlineLevel="0" collapsed="false">
      <c r="A5" s="3" t="s">
        <v>56</v>
      </c>
      <c r="B5" s="3" t="s">
        <v>57</v>
      </c>
      <c r="C5" s="3" t="s">
        <v>58</v>
      </c>
      <c r="D5" s="3" t="s">
        <v>41</v>
      </c>
      <c r="E5" s="3" t="s">
        <v>59</v>
      </c>
    </row>
    <row r="6" customFormat="false" ht="15" hidden="false" customHeight="false" outlineLevel="0" collapsed="false">
      <c r="A6" s="4" t="s">
        <v>60</v>
      </c>
      <c r="B6" s="4" t="s">
        <v>61</v>
      </c>
      <c r="C6" s="7" t="n">
        <v>110</v>
      </c>
      <c r="D6" s="4" t="s">
        <v>20</v>
      </c>
      <c r="E6" s="4" t="s">
        <v>62</v>
      </c>
    </row>
    <row r="7" customFormat="false" ht="15" hidden="false" customHeight="false" outlineLevel="0" collapsed="false">
      <c r="A7" s="4" t="s">
        <v>63</v>
      </c>
      <c r="B7" s="4" t="s">
        <v>64</v>
      </c>
      <c r="C7" s="9" t="n">
        <v>4000</v>
      </c>
      <c r="D7" s="4" t="s">
        <v>51</v>
      </c>
      <c r="E7" s="4" t="s">
        <v>62</v>
      </c>
    </row>
    <row r="8" customFormat="false" ht="15" hidden="false" customHeight="false" outlineLevel="0" collapsed="false">
      <c r="A8" s="4" t="s">
        <v>65</v>
      </c>
      <c r="B8" s="4" t="s">
        <v>66</v>
      </c>
      <c r="C8" s="7"/>
      <c r="D8" s="4" t="s">
        <v>46</v>
      </c>
      <c r="E8" s="4" t="s">
        <v>67</v>
      </c>
    </row>
    <row r="10" customFormat="false" ht="31.5" hidden="false" customHeight="true" outlineLevel="0" collapsed="false">
      <c r="A10" s="3" t="s">
        <v>68</v>
      </c>
      <c r="B10" s="3" t="s">
        <v>69</v>
      </c>
      <c r="C10" s="3" t="s">
        <v>58</v>
      </c>
      <c r="D10" s="3" t="s">
        <v>41</v>
      </c>
    </row>
    <row r="11" customFormat="false" ht="15" hidden="false" customHeight="false" outlineLevel="0" collapsed="false">
      <c r="A11" s="10" t="s">
        <v>70</v>
      </c>
      <c r="B11" s="4" t="s">
        <v>71</v>
      </c>
      <c r="C11" s="11" t="n">
        <f aca="false">2*PI()*C7/60</f>
        <v>418.879020478639</v>
      </c>
      <c r="D11" s="4" t="s">
        <v>52</v>
      </c>
    </row>
    <row r="12" customFormat="false" ht="15" hidden="false" customHeight="false" outlineLevel="0" collapsed="false">
      <c r="A12" s="10" t="s">
        <v>27</v>
      </c>
      <c r="B12" s="4" t="s">
        <v>72</v>
      </c>
      <c r="C12" s="12" t="n">
        <f aca="false">C6*C11</f>
        <v>46076.6922526503</v>
      </c>
      <c r="D12" s="4" t="s">
        <v>29</v>
      </c>
    </row>
    <row r="13" customFormat="false" ht="15" hidden="false" customHeight="false" outlineLevel="0" collapsed="false">
      <c r="A13" s="10" t="s">
        <v>27</v>
      </c>
      <c r="B13" s="4" t="s">
        <v>73</v>
      </c>
      <c r="C13" s="11" t="n">
        <f aca="false">C12/1000</f>
        <v>46.0766922526503</v>
      </c>
      <c r="D13" s="4" t="s">
        <v>46</v>
      </c>
    </row>
    <row r="14" customFormat="false" ht="15" hidden="false" customHeight="false" outlineLevel="0" collapsed="false">
      <c r="A14" s="10" t="s">
        <v>74</v>
      </c>
      <c r="B14" s="4" t="s">
        <v>75</v>
      </c>
      <c r="C14" s="11" t="n">
        <f aca="false">C6*C7/9549</f>
        <v>46.078123363703</v>
      </c>
      <c r="D14" s="4" t="s">
        <v>46</v>
      </c>
    </row>
    <row r="15" customFormat="false" ht="15" hidden="false" customHeight="false" outlineLevel="0" collapsed="false">
      <c r="A15" s="10" t="s">
        <v>27</v>
      </c>
      <c r="B15" s="4" t="s">
        <v>76</v>
      </c>
      <c r="C15" s="11" t="n">
        <f aca="false">C13/(Factores!$D$14/1000)</f>
        <v>62.6468455465613</v>
      </c>
      <c r="D15" s="4" t="s">
        <v>28</v>
      </c>
    </row>
    <row r="16" customFormat="false" ht="15" hidden="false" customHeight="false" outlineLevel="0" collapsed="false">
      <c r="A16" s="10" t="s">
        <v>77</v>
      </c>
      <c r="B16" s="4" t="s">
        <v>78</v>
      </c>
      <c r="C16" s="11" t="str">
        <f aca="false">IF(C8="","",(C13-C8)/C8*100)</f>
        <v/>
      </c>
      <c r="D16" s="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1"/>
    <col collapsed="false" customWidth="true" hidden="false" outlineLevel="0" max="7" min="6" style="0" width="14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6" t="s">
        <v>38</v>
      </c>
    </row>
    <row r="5" customFormat="false" ht="31.5" hidden="false" customHeight="true" outlineLevel="0" collapsed="false">
      <c r="A5" s="3" t="s">
        <v>81</v>
      </c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</row>
    <row r="6" customFormat="false" ht="15" hidden="false" customHeight="false" outlineLevel="0" collapsed="false">
      <c r="A6" s="10" t="s">
        <v>89</v>
      </c>
      <c r="B6" s="7" t="n">
        <v>78.02</v>
      </c>
      <c r="C6" s="7" t="n">
        <v>78</v>
      </c>
      <c r="D6" s="7" t="n">
        <v>78.04</v>
      </c>
      <c r="E6" s="11" t="n">
        <f aca="false">AVERAGE(B6:D6)</f>
        <v>78.02</v>
      </c>
      <c r="F6" s="8" t="n">
        <f aca="false">STDEV(B6:D6)</f>
        <v>0.0200000000000031</v>
      </c>
      <c r="G6" s="8" t="n">
        <f aca="false">E6/1000</f>
        <v>0.07802</v>
      </c>
      <c r="H6" s="4" t="s">
        <v>50</v>
      </c>
    </row>
    <row r="7" customFormat="false" ht="15" hidden="false" customHeight="false" outlineLevel="0" collapsed="false">
      <c r="A7" s="10" t="s">
        <v>90</v>
      </c>
      <c r="B7" s="7" t="n">
        <v>2.5</v>
      </c>
      <c r="C7" s="7" t="n">
        <v>2.5</v>
      </c>
      <c r="D7" s="7" t="n">
        <v>2.6</v>
      </c>
      <c r="E7" s="11" t="n">
        <f aca="false">AVERAGE(B7:D7)</f>
        <v>2.53333333333333</v>
      </c>
      <c r="F7" s="8" t="n">
        <f aca="false">STDEV(B7:D7)</f>
        <v>0.0577350269189626</v>
      </c>
      <c r="G7" s="8" t="n">
        <f aca="false">E7*100000</f>
        <v>253333.333333333</v>
      </c>
      <c r="H7" s="4" t="s">
        <v>91</v>
      </c>
    </row>
    <row r="8" customFormat="false" ht="15" hidden="false" customHeight="false" outlineLevel="0" collapsed="false">
      <c r="A8" s="10" t="s">
        <v>92</v>
      </c>
      <c r="B8" s="7" t="n">
        <v>22.1</v>
      </c>
      <c r="C8" s="7" t="n">
        <v>22.4</v>
      </c>
      <c r="D8" s="7" t="n">
        <v>22</v>
      </c>
      <c r="E8" s="11" t="n">
        <f aca="false">AVERAGE(B8:D8)</f>
        <v>22.1666666666667</v>
      </c>
      <c r="F8" s="8" t="n">
        <f aca="false">STDEV(B8:D8)</f>
        <v>0.208166599946612</v>
      </c>
      <c r="G8" s="8" t="n">
        <f aca="false">E8+273.15</f>
        <v>295.316666666667</v>
      </c>
      <c r="H8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2026-09-15T21:29:02Z</dcterms:created>
  <dc:creator>openpyxl</dc:creator>
  <dc:description/>
  <dc:language>en-US</dc:language>
  <cp:lastModifiedBy/>
  <dcterms:modified xsi:type="dcterms:W3CDTF">2026-09-15T21:29:02Z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