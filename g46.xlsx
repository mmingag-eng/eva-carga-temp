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charts/chartT1_chart2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Arbol_levas" sheetId="2" state="visible" r:id="rId2"/>
    <sheet xmlns:r="http://schemas.openxmlformats.org/officeDocument/2006/relationships" name="Valvulas" sheetId="3" state="visible" r:id="rId3"/>
    <sheet xmlns:r="http://schemas.openxmlformats.org/officeDocument/2006/relationships" name="Holgura_valvulas" sheetId="4" state="visible" r:id="rId4"/>
    <sheet xmlns:r="http://schemas.openxmlformats.org/officeDocument/2006/relationships" name="Grafica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Holgura de válvulas medida vs. resultante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Holgura_valvulas!B8</f>
              <strCache>
                <ptCount val="1"/>
                <pt idx="0">
                  <v>Holgura medida (mm)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Holgura_valvulas!$A$9:$A$16</f>
              <strCache>
                <ptCount val="8"/>
                <pt idx="0">
                  <v>1 adm.</v>
                </pt>
                <pt idx="1">
                  <v>1 esc.</v>
                </pt>
                <pt idx="2">
                  <v>2 adm.</v>
                </pt>
                <pt idx="3">
                  <v>2 esc.</v>
                </pt>
                <pt idx="4">
                  <v>3 adm.</v>
                </pt>
                <pt idx="5">
                  <v>3 esc.</v>
                </pt>
                <pt idx="6">
                  <v>4 adm.</v>
                </pt>
                <pt idx="7">
                  <v>4 esc.</v>
                </pt>
              </strCache>
            </strRef>
          </cat>
          <val>
            <numRef>
              <f>Holgura_valvulas!$B$9:$B$16</f>
              <numCache>
                <formatCode>0.00</formatCode>
                <ptCount val="8"/>
                <pt idx="0">
                  <v>0.22</v>
                </pt>
                <pt idx="1">
                  <v>0.18</v>
                </pt>
                <pt idx="2">
                  <v>0.15</v>
                </pt>
                <pt idx="3">
                  <v>0.31</v>
                </pt>
                <pt idx="4">
                  <v>0.28</v>
                </pt>
                <pt idx="5">
                  <v>0.33</v>
                </pt>
                <pt idx="6">
                  <v>0.19</v>
                </pt>
                <pt idx="7">
                  <v>0.4</v>
                </pt>
              </numCache>
            </numRef>
          </val>
        </ser>
        <ser>
          <idx val="1"/>
          <order val="1"/>
          <tx>
            <strRef>
              <f>Holgura_valvulas!G8</f>
              <strCache>
                <ptCount val="1"/>
                <pt idx="0">
                  <v>Holgura resultante (mm)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Holgura_valvulas!$A$9:$A$16</f>
              <strCache>
                <ptCount val="8"/>
                <pt idx="0">
                  <v>1 adm.</v>
                </pt>
                <pt idx="1">
                  <v>1 esc.</v>
                </pt>
                <pt idx="2">
                  <v>2 adm.</v>
                </pt>
                <pt idx="3">
                  <v>2 esc.</v>
                </pt>
                <pt idx="4">
                  <v>3 adm.</v>
                </pt>
                <pt idx="5">
                  <v>3 esc.</v>
                </pt>
                <pt idx="6">
                  <v>4 adm.</v>
                </pt>
                <pt idx="7">
                  <v>4 esc.</v>
                </pt>
              </strCache>
            </strRef>
          </cat>
          <val>
            <numRef>
              <f>Holgura_valvulas!$G$9:$G$16</f>
              <numCache>
                <formatCode>0.00</formatCode>
                <ptCount val="8"/>
                <pt idx="0">
                  <v>0.22</v>
                </pt>
                <pt idx="1">
                  <v>0.33</v>
                </pt>
                <pt idx="2">
                  <v>0.2</v>
                </pt>
                <pt idx="3">
                  <v>0.31</v>
                </pt>
                <pt idx="4">
                  <v>0.23</v>
                </pt>
                <pt idx="5">
                  <v>0.33</v>
                </pt>
                <pt idx="6">
                  <v>0.19</v>
                </pt>
                <pt idx="7">
                  <v>0.3</v>
                </pt>
              </numCache>
            </numRef>
          </val>
        </ser>
        <gapWidth val="150"/>
        <overlap val="0"/>
        <axId val="29775261"/>
        <axId val="68509854"/>
      </barChart>
      <catAx>
        <axId val="2977526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509854"/>
        <crosses val="autoZero"/>
        <auto val="1"/>
        <lblAlgn val="ctr"/>
        <lblOffset val="100"/>
        <noMultiLvlLbl val="0"/>
      </catAx>
      <valAx>
        <axId val="685098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977526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Alzada de levas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Arbol_levas!D5</f>
              <strCache>
                <ptCount val="1"/>
                <pt idx="0">
                  <v>Alzada (mm)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Arbol_levas!$A$6:$A$13</f>
              <strCache>
                <ptCount val="8"/>
                <pt idx="0">
                  <v>1 Admisión</v>
                </pt>
                <pt idx="1">
                  <v>1 Escape</v>
                </pt>
                <pt idx="2">
                  <v>2 Admisión</v>
                </pt>
                <pt idx="3">
                  <v>2 Escape</v>
                </pt>
                <pt idx="4">
                  <v>3 Admisión</v>
                </pt>
                <pt idx="5">
                  <v>3 Escape</v>
                </pt>
                <pt idx="6">
                  <v>4 Admisión</v>
                </pt>
                <pt idx="7">
                  <v>4 Escape</v>
                </pt>
              </strCache>
            </strRef>
          </cat>
          <val>
            <numRef>
              <f>Arbol_levas!$D$6:$D$13</f>
              <numCache>
                <formatCode>0.00</formatCode>
                <ptCount val="8"/>
                <pt idx="0">
                  <v>5.42</v>
                </pt>
                <pt idx="1">
                  <v>5.18</v>
                </pt>
                <pt idx="2">
                  <v>5.38</v>
                </pt>
                <pt idx="3">
                  <v>5.05</v>
                </pt>
                <pt idx="4">
                  <v>5.4</v>
                </pt>
                <pt idx="5">
                  <v>5.15</v>
                </pt>
                <pt idx="6">
                  <v>5.41</v>
                </pt>
                <pt idx="7">
                  <v>5.16</v>
                </pt>
              </numCache>
            </numRef>
          </val>
        </ser>
        <gapWidth val="150"/>
        <overlap val="0"/>
        <axId val="5664500"/>
        <axId val="7702449"/>
      </barChart>
      <catAx>
        <axId val="56645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02449"/>
        <crosses val="autoZero"/>
        <auto val="1"/>
        <lblAlgn val="ctr"/>
        <lblOffset val="100"/>
        <noMultiLvlLbl val="0"/>
      </catAx>
      <valAx>
        <axId val="77024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6450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Holgura de válvulas medida vs. resultante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Holgura_valvulas!B8</c:f>
              <c:strCache>
                <c:ptCount val="1"/>
                <c:pt idx="0">
                  <c:v>Holgura medida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Holgura_valvulas!$A$9:$A$16</c:f>
              <c:strCache>
                <c:ptCount val="8"/>
                <c:pt idx="0">
                  <c:v>1 adm.</c:v>
                </c:pt>
                <c:pt idx="1">
                  <c:v>1 esc.</c:v>
                </c:pt>
                <c:pt idx="2">
                  <c:v>2 adm.</c:v>
                </c:pt>
                <c:pt idx="3">
                  <c:v>2 esc.</c:v>
                </c:pt>
                <c:pt idx="4">
                  <c:v>3 adm.</c:v>
                </c:pt>
                <c:pt idx="5">
                  <c:v>3 esc.</c:v>
                </c:pt>
                <c:pt idx="6">
                  <c:v>4 adm.</c:v>
                </c:pt>
                <c:pt idx="7">
                  <c:v>4 esc.</c:v>
                </c:pt>
              </c:strCache>
            </c:strRef>
          </c:cat>
          <c:val>
            <c:numRef>
              <c:f>Holgura_valvulas!$B$9:$B$16</c:f>
              <c:numCache>
                <c:formatCode>0.00</c:formatCode>
                <c:ptCount val="8"/>
                <c:pt idx="0">
                  <c:v>0.22</c:v>
                </c:pt>
                <c:pt idx="1">
                  <c:v>0.18</c:v>
                </c:pt>
                <c:pt idx="2">
                  <c:v>0.15</c:v>
                </c:pt>
                <c:pt idx="3">
                  <c:v>0.31</c:v>
                </c:pt>
                <c:pt idx="4">
                  <c:v>0.28</c:v>
                </c:pt>
                <c:pt idx="5">
                  <c:v>0.33</c:v>
                </c:pt>
                <c:pt idx="6">
                  <c:v>0.19</c:v>
                </c:pt>
                <c:pt idx="7">
                  <c:v>0.4</c:v>
                </c:pt>
              </c:numCache>
            </c:numRef>
          </c:val>
        </c:ser>
        <c:ser>
          <c:idx val="1"/>
          <c:order val="1"/>
          <c:tx>
            <c:strRef>
              <c:f>Holgura_valvulas!G8</c:f>
              <c:strCache>
                <c:ptCount val="1"/>
                <c:pt idx="0">
                  <c:v>Holgura resultante (mm)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Holgura_valvulas!$A$9:$A$16</c:f>
              <c:strCache>
                <c:ptCount val="8"/>
                <c:pt idx="0">
                  <c:v>1 adm.</c:v>
                </c:pt>
                <c:pt idx="1">
                  <c:v>1 esc.</c:v>
                </c:pt>
                <c:pt idx="2">
                  <c:v>2 adm.</c:v>
                </c:pt>
                <c:pt idx="3">
                  <c:v>2 esc.</c:v>
                </c:pt>
                <c:pt idx="4">
                  <c:v>3 adm.</c:v>
                </c:pt>
                <c:pt idx="5">
                  <c:v>3 esc.</c:v>
                </c:pt>
                <c:pt idx="6">
                  <c:v>4 adm.</c:v>
                </c:pt>
                <c:pt idx="7">
                  <c:v>4 esc.</c:v>
                </c:pt>
              </c:strCache>
            </c:strRef>
          </c:cat>
          <c:val>
            <c:numRef>
              <c:f>Holgura_valvulas!$G$9:$G$16</c:f>
              <c:numCache>
                <c:formatCode>0.00</c:formatCode>
                <c:ptCount val="8"/>
                <c:pt idx="0">
                  <c:v>0.22</c:v>
                </c:pt>
                <c:pt idx="1">
                  <c:v>0.33</c:v>
                </c:pt>
                <c:pt idx="2">
                  <c:v>0.2</c:v>
                </c:pt>
                <c:pt idx="3">
                  <c:v>0.31</c:v>
                </c:pt>
                <c:pt idx="4">
                  <c:v>0.23</c:v>
                </c:pt>
                <c:pt idx="5">
                  <c:v>0.33</c:v>
                </c:pt>
                <c:pt idx="6">
                  <c:v>0.19</c:v>
                </c:pt>
                <c:pt idx="7">
                  <c:v>0.3</c:v>
                </c:pt>
              </c:numCache>
            </c:numRef>
          </c:val>
        </c:ser>
        <c:gapWidth val="150"/>
        <c:overlap val="0"/>
        <c:axId val="29775261"/>
        <c:axId val="68509854"/>
      </c:barChart>
      <c:catAx>
        <c:axId val="29775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09854"/>
        <c:crosses val="autoZero"/>
        <c:auto val="1"/>
        <c:lblAlgn val="ctr"/>
        <c:lblOffset val="100"/>
        <c:noMultiLvlLbl val="0"/>
      </c:catAx>
      <c:valAx>
        <c:axId val="68509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752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T1_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Alzada de levas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Arbol_levas!D5</c:f>
              <c:strCache>
                <c:ptCount val="1"/>
                <c:pt idx="0">
                  <c:v>Alzada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Arbol_levas!$A$6:$A$13</c:f>
              <c:strCache>
                <c:ptCount val="8"/>
                <c:pt idx="0">
                  <c:v>1 Admisión</c:v>
                </c:pt>
                <c:pt idx="1">
                  <c:v>1 Escape</c:v>
                </c:pt>
                <c:pt idx="2">
                  <c:v>2 Admisión</c:v>
                </c:pt>
                <c:pt idx="3">
                  <c:v>2 Escape</c:v>
                </c:pt>
                <c:pt idx="4">
                  <c:v>3 Admisión</c:v>
                </c:pt>
                <c:pt idx="5">
                  <c:v>3 Escape</c:v>
                </c:pt>
                <c:pt idx="6">
                  <c:v>4 Admisión</c:v>
                </c:pt>
                <c:pt idx="7">
                  <c:v>4 Escape</c:v>
                </c:pt>
              </c:strCache>
            </c:strRef>
          </c:cat>
          <c:val>
            <c:numRef>
              <c:f>Arbol_levas!$D$6:$D$13</c:f>
              <c:numCache>
                <c:formatCode>0.00</c:formatCode>
                <c:ptCount val="8"/>
                <c:pt idx="0">
                  <c:v>5.42</c:v>
                </c:pt>
                <c:pt idx="1">
                  <c:v>5.18</c:v>
                </c:pt>
                <c:pt idx="2">
                  <c:v>5.38</c:v>
                </c:pt>
                <c:pt idx="3">
                  <c:v>5.05</c:v>
                </c:pt>
                <c:pt idx="4">
                  <c:v>5.4</c:v>
                </c:pt>
                <c:pt idx="5">
                  <c:v>5.15</c:v>
                </c:pt>
                <c:pt idx="6">
                  <c:v>5.41</c:v>
                </c:pt>
                <c:pt idx="7">
                  <c:v>5.16</c:v>
                </c:pt>
              </c:numCache>
            </c:numRef>
          </c:val>
        </c:ser>
        <c:gapWidth val="150"/>
        <c:overlap val="0"/>
        <c:axId val="5664500"/>
        <c:axId val="7702449"/>
      </c:barChart>
      <c:catAx>
        <c:axId val="5664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2449"/>
        <c:crosses val="autoZero"/>
        <c:auto val="1"/>
        <c:lblAlgn val="ctr"/>
        <c:lblOffset val="100"/>
        <c:noMultiLvlLbl val="0"/>
      </c:catAx>
      <c:valAx>
        <c:axId val="7702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4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<Relationship Id="rId2" Type="http://schemas.openxmlformats.org/officeDocument/2006/relationships/chart" Target="../charts/chartT1_chart2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364680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18</row>
      <rowOff>0</rowOff>
    </from>
    <to>
      <col>10</col>
      <colOff>364680</colOff>
      <row>34</row>
      <rowOff>11520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364680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364680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3" min="1" max="1"/>
    <col width="8" customWidth="1" style="13" min="2" max="2"/>
    <col width="13" customWidth="1" style="13" min="3" max="3"/>
    <col width="13" customWidth="1" style="13" min="4" max="4"/>
    <col width="13" customWidth="1" style="13" min="5" max="5"/>
    <col width="15" customWidth="1" style="13" min="6" max="6"/>
    <col width="13" customWidth="1" style="13" min="7" max="7"/>
    <col width="13" customWidth="1" style="13" min="8" max="8"/>
    <col width="24" customWidth="1" style="13" min="9" max="9"/>
    <col width="60" customWidth="1" style="13" min="10" max="10"/>
  </cols>
  <sheetData>
    <row r="1">
      <c r="A1" s="14" t="inlineStr">
        <is>
          <t>ESPECIFICACIONES DEL FABRICANTE – MOTOR ASIGNADO</t>
        </is>
      </c>
    </row>
    <row r="3">
      <c r="A3" s="15" t="inlineStr">
        <is>
          <t>Motor asignado (elija de la lista):</t>
        </is>
      </c>
      <c r="C3" s="16" t="inlineStr">
        <is>
          <t>Daihatsu CB-20</t>
        </is>
      </c>
      <c r="D3" s="17" t="n"/>
      <c r="E3" s="18" t="n"/>
    </row>
    <row r="4" ht="45" customHeight="1" s="13">
      <c r="A4" s="19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3">
      <c r="A6" s="20" t="inlineStr">
        <is>
          <t>Comprobación</t>
        </is>
      </c>
      <c r="B6" s="20" t="inlineStr">
        <is>
          <t>Unidad</t>
        </is>
      </c>
      <c r="C6" s="20" t="inlineStr">
        <is>
          <t>Daihatsu CB-20</t>
        </is>
      </c>
      <c r="D6" s="20" t="inlineStr">
        <is>
          <t>Nissan A14</t>
        </is>
      </c>
      <c r="E6" s="20" t="inlineStr">
        <is>
          <t>Hyundai G4EC</t>
        </is>
      </c>
      <c r="F6" s="20" t="inlineStr">
        <is>
          <t>Chevrolet Monza 2.0</t>
        </is>
      </c>
      <c r="G6" s="20" t="inlineStr">
        <is>
          <t>Valor orientativo</t>
        </is>
      </c>
      <c r="H6" s="20" t="inlineStr">
        <is>
          <t>Valor aplicado</t>
        </is>
      </c>
      <c r="I6" s="20" t="inlineStr">
        <is>
          <t>Origen</t>
        </is>
      </c>
      <c r="J6" s="20" t="inlineStr">
        <is>
          <t>Fuente en el manual</t>
        </is>
      </c>
    </row>
    <row r="7">
      <c r="A7" s="21" t="inlineStr">
        <is>
          <t>Altura mínima de la leva de admisión</t>
        </is>
      </c>
      <c r="B7" s="22" t="inlineStr">
        <is>
          <t>mm</t>
        </is>
      </c>
      <c r="C7" s="23" t="n">
        <v>39.8</v>
      </c>
      <c r="D7" s="23" t="n"/>
      <c r="E7" s="23" t="n">
        <v>42.9484</v>
      </c>
      <c r="F7" s="23" t="n"/>
      <c r="G7" s="23" t="n">
        <v>35.3</v>
      </c>
      <c r="H7" s="24">
        <f>IF(ISNUMBER(INDEX($C7:$F7,MATCH($C$3,$C$6:$F$6,0))),INDEX($C7:$F7,MATCH($C$3,$C$6:$F$6,0)),IF(INDEX($C7:$F7,MATCH($C$3,$C$6:$F$6,0))&lt;&gt;"","",IF($G7="","",$G7)))</f>
        <v/>
      </c>
      <c r="I7" s="21">
        <f>IF(ISNUMBER(INDEX($C7:$F7,MATCH($C$3,$C$6:$F$6,0))),"Manual",IF(INDEX($C7:$F7,MATCH($C$3,$C$6:$F$6,0))&lt;&gt;"","No aplica a este motor",IF($G7="","Sin dato","Orientativo: el manual no lo especifica")))</f>
        <v/>
      </c>
      <c r="J7" s="21" t="inlineStr">
        <is>
          <t>CB (límite, CB-23); Hyundai (mín.)</t>
        </is>
      </c>
    </row>
    <row r="8">
      <c r="A8" s="21" t="inlineStr">
        <is>
          <t>Altura mínima de la leva de escape</t>
        </is>
      </c>
      <c r="B8" s="22" t="inlineStr">
        <is>
          <t>mm</t>
        </is>
      </c>
      <c r="C8" s="23" t="n">
        <v>39.8</v>
      </c>
      <c r="D8" s="23" t="n"/>
      <c r="E8" s="23" t="n">
        <v>43.3489</v>
      </c>
      <c r="F8" s="23" t="n"/>
      <c r="G8" s="23" t="n">
        <v>35.1</v>
      </c>
      <c r="H8" s="24">
        <f>IF(ISNUMBER(INDEX($C8:$F8,MATCH($C$3,$C$6:$F$6,0))),INDEX($C8:$F8,MATCH($C$3,$C$6:$F$6,0)),IF(INDEX($C8:$F8,MATCH($C$3,$C$6:$F$6,0))&lt;&gt;"","",IF($G8="","",$G8)))</f>
        <v/>
      </c>
      <c r="I8" s="21">
        <f>IF(ISNUMBER(INDEX($C8:$F8,MATCH($C$3,$C$6:$F$6,0))),"Manual",IF(INDEX($C8:$F8,MATCH($C$3,$C$6:$F$6,0))&lt;&gt;"","No aplica a este motor",IF($G8="","Sin dato","Orientativo: el manual no lo especifica")))</f>
        <v/>
      </c>
      <c r="J8" s="21" t="inlineStr">
        <is>
          <t>CB (límite, CB-23); Hyundai (mín.)</t>
        </is>
      </c>
    </row>
    <row r="9">
      <c r="A9" s="21" t="inlineStr">
        <is>
          <t>Diámetro de los apoyos del árbol de levas – mín.</t>
        </is>
      </c>
      <c r="B9" s="22" t="inlineStr">
        <is>
          <t>mm</t>
        </is>
      </c>
      <c r="C9" s="23" t="n"/>
      <c r="D9" s="23" t="n"/>
      <c r="E9" s="23" t="n"/>
      <c r="F9" s="23" t="n"/>
      <c r="G9" s="23" t="n">
        <v>25.95</v>
      </c>
      <c r="H9" s="24">
        <f>IF(ISNUMBER(INDEX($C9:$F9,MATCH($C$3,$C$6:$F$6,0))),INDEX($C9:$F9,MATCH($C$3,$C$6:$F$6,0)),IF(INDEX($C9:$F9,MATCH($C$3,$C$6:$F$6,0))&lt;&gt;"","",IF($G9="","",$G9)))</f>
        <v/>
      </c>
      <c r="I9" s="21">
        <f>IF(ISNUMBER(INDEX($C9:$F9,MATCH($C$3,$C$6:$F$6,0))),"Manual",IF(INDEX($C9:$F9,MATCH($C$3,$C$6:$F$6,0))&lt;&gt;"","No aplica a este motor",IF($G9="","Sin dato","Orientativo: el manual no lo especifica")))</f>
        <v/>
      </c>
      <c r="J9" s="21" t="inlineStr">
        <is>
          <t>No consta en los manuales disponibles</t>
        </is>
      </c>
    </row>
    <row r="10">
      <c r="A10" s="21" t="inlineStr">
        <is>
          <t>Diámetro de los apoyos del árbol de levas – máx.</t>
        </is>
      </c>
      <c r="B10" s="22" t="inlineStr">
        <is>
          <t>mm</t>
        </is>
      </c>
      <c r="C10" s="23" t="n"/>
      <c r="D10" s="23" t="n"/>
      <c r="E10" s="23" t="n"/>
      <c r="F10" s="23" t="n"/>
      <c r="G10" s="23" t="n">
        <v>25.98</v>
      </c>
      <c r="H10" s="24">
        <f>IF(ISNUMBER(INDEX($C10:$F10,MATCH($C$3,$C$6:$F$6,0))),INDEX($C10:$F10,MATCH($C$3,$C$6:$F$6,0)),IF(INDEX($C10:$F10,MATCH($C$3,$C$6:$F$6,0))&lt;&gt;"","",IF($G10="","",$G10)))</f>
        <v/>
      </c>
      <c r="I10" s="21">
        <f>IF(ISNUMBER(INDEX($C10:$F10,MATCH($C$3,$C$6:$F$6,0))),"Manual",IF(INDEX($C10:$F10,MATCH($C$3,$C$6:$F$6,0))&lt;&gt;"","No aplica a este motor",IF($G10="","Sin dato","Orientativo: el manual no lo especifica")))</f>
        <v/>
      </c>
      <c r="J10" s="21" t="inlineStr">
        <is>
          <t>No consta en los manuales disponibles</t>
        </is>
      </c>
    </row>
    <row r="11">
      <c r="A11" s="21" t="inlineStr">
        <is>
          <t>Juego axial del árbol de levas – mín.</t>
        </is>
      </c>
      <c r="B11" s="22" t="inlineStr">
        <is>
          <t>mm</t>
        </is>
      </c>
      <c r="C11" s="23" t="n"/>
      <c r="D11" s="23" t="n">
        <v>0.01</v>
      </c>
      <c r="E11" s="23" t="n">
        <v>0.1</v>
      </c>
      <c r="F11" s="23" t="n">
        <v>0.04</v>
      </c>
      <c r="G11" s="23" t="n">
        <v>0.05</v>
      </c>
      <c r="H11" s="24">
        <f>IF(ISNUMBER(INDEX($C11:$F11,MATCH($C$3,$C$6:$F$6,0))),INDEX($C11:$F11,MATCH($C$3,$C$6:$F$6,0)),IF(INDEX($C11:$F11,MATCH($C$3,$C$6:$F$6,0))&lt;&gt;"","",IF($G11="","",$G11)))</f>
        <v/>
      </c>
      <c r="I11" s="21">
        <f>IF(ISNUMBER(INDEX($C11:$F11,MATCH($C$3,$C$6:$F$6,0))),"Manual",IF(INDEX($C11:$F11,MATCH($C$3,$C$6:$F$6,0))&lt;&gt;"","No aplica a este motor",IF($G11="","Sin dato","Orientativo: el manual no lo especifica")))</f>
        <v/>
      </c>
      <c r="J11" s="21" t="inlineStr">
        <is>
          <t>Haynes p. 19; Hyundai; Monza</t>
        </is>
      </c>
    </row>
    <row r="12">
      <c r="A12" s="21" t="inlineStr">
        <is>
          <t>Juego axial del árbol de levas – máx.</t>
        </is>
      </c>
      <c r="B12" s="22" t="inlineStr">
        <is>
          <t>mm</t>
        </is>
      </c>
      <c r="C12" s="23" t="n"/>
      <c r="D12" s="23" t="n">
        <v>0.05</v>
      </c>
      <c r="E12" s="23" t="n">
        <v>0.2</v>
      </c>
      <c r="F12" s="23" t="n">
        <v>0.16</v>
      </c>
      <c r="G12" s="23" t="n">
        <v>0.2</v>
      </c>
      <c r="H12" s="24">
        <f>IF(ISNUMBER(INDEX($C12:$F12,MATCH($C$3,$C$6:$F$6,0))),INDEX($C12:$F12,MATCH($C$3,$C$6:$F$6,0)),IF(INDEX($C12:$F12,MATCH($C$3,$C$6:$F$6,0))&lt;&gt;"","",IF($G12="","",$G12)))</f>
        <v/>
      </c>
      <c r="I12" s="21">
        <f>IF(ISNUMBER(INDEX($C12:$F12,MATCH($C$3,$C$6:$F$6,0))),"Manual",IF(INDEX($C12:$F12,MATCH($C$3,$C$6:$F$6,0))&lt;&gt;"","No aplica a este motor",IF($G12="","Sin dato","Orientativo: el manual no lo especifica")))</f>
        <v/>
      </c>
      <c r="J12" s="21" t="inlineStr">
        <is>
          <t>Haynes p. 19; Hyundai; Monza</t>
        </is>
      </c>
    </row>
    <row r="13">
      <c r="A13" s="21" t="inlineStr">
        <is>
          <t>Alabeo máx. del árbol de levas</t>
        </is>
      </c>
      <c r="B13" s="22" t="inlineStr">
        <is>
          <t>mm</t>
        </is>
      </c>
      <c r="C13" s="23" t="n">
        <v>0.03</v>
      </c>
      <c r="D13" s="23" t="n">
        <v>0.015</v>
      </c>
      <c r="E13" s="23" t="n"/>
      <c r="F13" s="23" t="n">
        <v>0.04</v>
      </c>
      <c r="G13" s="23" t="n">
        <v>0.03</v>
      </c>
      <c r="H13" s="24">
        <f>IF(ISNUMBER(INDEX($C13:$F13,MATCH($C$3,$C$6:$F$6,0))),INDEX($C13:$F13,MATCH($C$3,$C$6:$F$6,0)),IF(INDEX($C13:$F13,MATCH($C$3,$C$6:$F$6,0))&lt;&gt;"","",IF($G13="","",$G13)))</f>
        <v/>
      </c>
      <c r="I13" s="21">
        <f>IF(ISNUMBER(INDEX($C13:$F13,MATCH($C$3,$C$6:$F$6,0))),"Manual",IF(INDEX($C13:$F13,MATCH($C$3,$C$6:$F$6,0))&lt;&gt;"","No aplica a este motor",IF($G13="","Sin dato","Orientativo: el manual no lo especifica")))</f>
        <v/>
      </c>
      <c r="J13" s="21" t="inlineStr">
        <is>
          <t>CB; Haynes p. 19; Monza</t>
        </is>
      </c>
    </row>
    <row r="14">
      <c r="A14" s="21" t="inlineStr">
        <is>
          <t>Longitud libre del muelle (límite o nominal)</t>
        </is>
      </c>
      <c r="B14" s="22" t="inlineStr">
        <is>
          <t>mm</t>
        </is>
      </c>
      <c r="C14" s="23" t="n">
        <v>42</v>
      </c>
      <c r="D14" s="23" t="n">
        <v>46.5</v>
      </c>
      <c r="E14" s="23" t="n">
        <v>44</v>
      </c>
      <c r="F14" s="23" t="n"/>
      <c r="G14" s="23" t="n">
        <v>44</v>
      </c>
      <c r="H14" s="24">
        <f>IF(ISNUMBER(INDEX($C14:$F14,MATCH($C$3,$C$6:$F$6,0))),INDEX($C14:$F14,MATCH($C$3,$C$6:$F$6,0)),IF(INDEX($C14:$F14,MATCH($C$3,$C$6:$F$6,0))&lt;&gt;"","",IF($G14="","",$G14)))</f>
        <v/>
      </c>
      <c r="I14" s="21">
        <f>IF(ISNUMBER(INDEX($C14:$F14,MATCH($C$3,$C$6:$F$6,0))),"Manual",IF(INDEX($C14:$F14,MATCH($C$3,$C$6:$F$6,0))&lt;&gt;"","No aplica a este motor",IF($G14="","Sin dato","Orientativo: el manual no lo especifica")))</f>
        <v/>
      </c>
      <c r="J14" s="21" t="inlineStr">
        <is>
          <t>CB límite 42 (nominal 43,3); Haynes p. 19 y Hyundai: longitud nominal</t>
        </is>
      </c>
    </row>
    <row r="15">
      <c r="A15" s="21" t="inlineStr">
        <is>
          <t>Perpendicularidad máx. del muelle</t>
        </is>
      </c>
      <c r="B15" s="22" t="inlineStr">
        <is>
          <t>mm</t>
        </is>
      </c>
      <c r="C15" s="23" t="n">
        <v>1.5</v>
      </c>
      <c r="D15" s="23" t="n"/>
      <c r="E15" s="23" t="n"/>
      <c r="F15" s="23" t="n"/>
      <c r="G15" s="23" t="n">
        <v>1.5</v>
      </c>
      <c r="H15" s="24">
        <f>IF(ISNUMBER(INDEX($C15:$F15,MATCH($C$3,$C$6:$F$6,0))),INDEX($C15:$F15,MATCH($C$3,$C$6:$F$6,0)),IF(INDEX($C15:$F15,MATCH($C$3,$C$6:$F$6,0))&lt;&gt;"","",IF($G15="","",$G15)))</f>
        <v/>
      </c>
      <c r="I15" s="21">
        <f>IF(ISNUMBER(INDEX($C15:$F15,MATCH($C$3,$C$6:$F$6,0))),"Manual",IF(INDEX($C15:$F15,MATCH($C$3,$C$6:$F$6,0))&lt;&gt;"","No aplica a este motor",IF($G15="","Sin dato","Orientativo: el manual no lo especifica")))</f>
        <v/>
      </c>
      <c r="J15" s="21" t="inlineStr">
        <is>
          <t>CB (Hyundai la expresa en grados: 1,5°)</t>
        </is>
      </c>
    </row>
    <row r="16">
      <c r="A16" s="21" t="inlineStr">
        <is>
          <t>Holgura vástago–guía máx. – admisión</t>
        </is>
      </c>
      <c r="B16" s="22" t="inlineStr">
        <is>
          <t>mm</t>
        </is>
      </c>
      <c r="C16" s="23" t="n">
        <v>0.09</v>
      </c>
      <c r="D16" s="23" t="n">
        <v>0.045</v>
      </c>
      <c r="E16" s="23" t="n">
        <v>0.1</v>
      </c>
      <c r="F16" s="23" t="n">
        <v>0.042</v>
      </c>
      <c r="G16" s="23" t="n">
        <v>0.07000000000000001</v>
      </c>
      <c r="H16" s="24">
        <f>IF(ISNUMBER(INDEX($C16:$F16,MATCH($C$3,$C$6:$F$6,0))),INDEX($C16:$F16,MATCH($C$3,$C$6:$F$6,0)),IF(INDEX($C16:$F16,MATCH($C$3,$C$6:$F$6,0))&lt;&gt;"","",IF($G16="","",$G16)))</f>
        <v/>
      </c>
      <c r="I16" s="21">
        <f>IF(ISNUMBER(INDEX($C16:$F16,MATCH($C$3,$C$6:$F$6,0))),"Manual",IF(INDEX($C16:$F16,MATCH($C$3,$C$6:$F$6,0))&lt;&gt;"","No aplica a este motor",IF($G16="","Sin dato","Orientativo: el manual no lo especifica")))</f>
        <v/>
      </c>
      <c r="J16" s="21" t="inlineStr">
        <is>
          <t>CB y Hyundai: límite; Haynes p. 19 y Monza: máx. del rango</t>
        </is>
      </c>
    </row>
    <row r="17">
      <c r="A17" s="21" t="inlineStr">
        <is>
          <t>Holgura vástago–guía máx. – escape</t>
        </is>
      </c>
      <c r="B17" s="22" t="inlineStr">
        <is>
          <t>mm</t>
        </is>
      </c>
      <c r="C17" s="23" t="n">
        <v>0.1</v>
      </c>
      <c r="D17" s="23" t="n">
        <v>0.07000000000000001</v>
      </c>
      <c r="E17" s="23" t="n">
        <v>0.15</v>
      </c>
      <c r="F17" s="23" t="n">
        <v>0.06</v>
      </c>
      <c r="G17" s="23" t="n">
        <v>0.09</v>
      </c>
      <c r="H17" s="24">
        <f>IF(ISNUMBER(INDEX($C17:$F17,MATCH($C$3,$C$6:$F$6,0))),INDEX($C17:$F17,MATCH($C$3,$C$6:$F$6,0)),IF(INDEX($C17:$F17,MATCH($C$3,$C$6:$F$6,0))&lt;&gt;"","",IF($G17="","",$G17)))</f>
        <v/>
      </c>
      <c r="I17" s="21">
        <f>IF(ISNUMBER(INDEX($C17:$F17,MATCH($C$3,$C$6:$F$6,0))),"Manual",IF(INDEX($C17:$F17,MATCH($C$3,$C$6:$F$6,0))&lt;&gt;"","No aplica a este motor",IF($G17="","Sin dato","Orientativo: el manual no lo especifica")))</f>
        <v/>
      </c>
      <c r="J17" s="21" t="inlineStr">
        <is>
          <t>CB y Hyundai: límite; Haynes p. 19 y Monza: máx. del rango</t>
        </is>
      </c>
    </row>
    <row r="18">
      <c r="A18" s="21" t="inlineStr">
        <is>
          <t>Holgura de válvulas – admisión</t>
        </is>
      </c>
      <c r="B18" s="22" t="inlineStr">
        <is>
          <t>mm</t>
        </is>
      </c>
      <c r="C18" s="23" t="n">
        <v>0.2</v>
      </c>
      <c r="D18" s="23" t="n">
        <v>0.25</v>
      </c>
      <c r="E18" s="23" t="inlineStr">
        <is>
          <t>N/A (taqués hidráulicos)</t>
        </is>
      </c>
      <c r="F18" s="23" t="inlineStr">
        <is>
          <t>N/A (taqués hidráulicos)</t>
        </is>
      </c>
      <c r="G18" s="23" t="n">
        <v>0.2</v>
      </c>
      <c r="H18" s="24">
        <f>IF(ISNUMBER(INDEX($C18:$F18,MATCH($C$3,$C$6:$F$6,0))),INDEX($C18:$F18,MATCH($C$3,$C$6:$F$6,0)),IF(INDEX($C18:$F18,MATCH($C$3,$C$6:$F$6,0))&lt;&gt;"","",IF($G18="","",$G18)))</f>
        <v/>
      </c>
      <c r="I18" s="21">
        <f>IF(ISNUMBER(INDEX($C18:$F18,MATCH($C$3,$C$6:$F$6,0))),"Manual",IF(INDEX($C18:$F18,MATCH($C$3,$C$6:$F$6,0))&lt;&gt;"","No aplica a este motor",IF($G18="","Sin dato","Orientativo: el manual no lo especifica")))</f>
        <v/>
      </c>
      <c r="J18" s="21" t="inlineStr">
        <is>
          <t>CB-20: G10 p. 13 (en caliente); A14: Haynes p. 18 (en frío). Hyundai y Monza: taqués hidráulicos, sin ajuste</t>
        </is>
      </c>
    </row>
    <row r="19">
      <c r="A19" s="21" t="inlineStr">
        <is>
          <t>Holgura de válvulas – escape</t>
        </is>
      </c>
      <c r="B19" s="22" t="inlineStr">
        <is>
          <t>mm</t>
        </is>
      </c>
      <c r="C19" s="23" t="n">
        <v>0.2</v>
      </c>
      <c r="D19" s="23" t="n">
        <v>0.25</v>
      </c>
      <c r="E19" s="23" t="inlineStr">
        <is>
          <t>N/A (taqués hidráulicos)</t>
        </is>
      </c>
      <c r="F19" s="23" t="inlineStr">
        <is>
          <t>N/A (taqués hidráulicos)</t>
        </is>
      </c>
      <c r="G19" s="23" t="n">
        <v>0.3</v>
      </c>
      <c r="H19" s="24">
        <f>IF(ISNUMBER(INDEX($C19:$F19,MATCH($C$3,$C$6:$F$6,0))),INDEX($C19:$F19,MATCH($C$3,$C$6:$F$6,0)),IF(INDEX($C19:$F19,MATCH($C$3,$C$6:$F$6,0))&lt;&gt;"","",IF($G19="","",$G19)))</f>
        <v/>
      </c>
      <c r="I19" s="21">
        <f>IF(ISNUMBER(INDEX($C19:$F19,MATCH($C$3,$C$6:$F$6,0))),"Manual",IF(INDEX($C19:$F19,MATCH($C$3,$C$6:$F$6,0))&lt;&gt;"","No aplica a este motor",IF($G19="","Sin dato","Orientativo: el manual no lo especifica")))</f>
        <v/>
      </c>
      <c r="J19" s="21" t="inlineStr">
        <is>
          <t>CB-20: G10 p. 13 (en caliente); A14: Haynes p. 18 (en frío)</t>
        </is>
      </c>
    </row>
    <row r="21" ht="48" customHeight="1" s="13">
      <c r="A21" s="19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21:J21"/>
  </mergeCells>
  <conditionalFormatting sqref="C7:F19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5" min="1" max="1"/>
    <col width="18" customWidth="1" style="25" min="2" max="3"/>
    <col width="14" customWidth="1" style="25" min="4" max="4"/>
    <col width="18" customWidth="1" style="25" min="5" max="5"/>
    <col width="28" customWidth="1" style="25" min="6" max="6"/>
  </cols>
  <sheetData>
    <row r="1" ht="17.35" customHeight="1" s="13">
      <c r="A1" s="26" t="inlineStr">
        <is>
          <t>SFM GUÍA 10 – ELEMENTOS DE LA DISTRIBUCIÓN</t>
        </is>
      </c>
    </row>
    <row r="2" ht="15" customHeight="1" s="13">
      <c r="A2" s="27" t="inlineStr">
        <is>
          <t>Alzada = altura de leva − diámetro del círculo base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3">
      <c r="A5" s="29" t="inlineStr">
        <is>
          <t>Leva / apoyo</t>
        </is>
      </c>
      <c r="B5" s="29" t="inlineStr">
        <is>
          <t>Altura de leva (mm)</t>
        </is>
      </c>
      <c r="C5" s="29" t="inlineStr">
        <is>
          <t>Círculo base (mm)</t>
        </is>
      </c>
      <c r="D5" s="29" t="inlineStr">
        <is>
          <t>Alzada (mm)</t>
        </is>
      </c>
      <c r="E5" s="29" t="inlineStr">
        <is>
          <t>Altura mín. (mm)</t>
        </is>
      </c>
      <c r="F5" s="29" t="inlineStr">
        <is>
          <t>Estado</t>
        </is>
      </c>
    </row>
    <row r="6" ht="15" customHeight="1" s="13">
      <c r="A6" s="30" t="inlineStr">
        <is>
          <t>1 Admisión</t>
        </is>
      </c>
      <c r="B6" s="31" t="n"/>
      <c r="C6" s="31" t="n"/>
      <c r="D6" s="32">
        <f>IF(COUNTA(B6,C6)=0,"",B6-C6)</f>
        <v/>
      </c>
      <c r="E6" s="33">
        <f>Motor!$H$7</f>
        <v/>
      </c>
      <c r="F6" s="34">
        <f>IF(COUNTA(B6)=0,"",IF(B6&gt;=E6,"Correcto","Desgastada: sustituir árbol"))</f>
        <v/>
      </c>
    </row>
    <row r="7" ht="15" customHeight="1" s="13">
      <c r="A7" s="30" t="inlineStr">
        <is>
          <t>1 Escape</t>
        </is>
      </c>
      <c r="B7" s="31" t="n"/>
      <c r="C7" s="31" t="n"/>
      <c r="D7" s="32">
        <f>IF(COUNTA(B7,C7)=0,"",B7-C7)</f>
        <v/>
      </c>
      <c r="E7" s="33">
        <f>Motor!$H$8</f>
        <v/>
      </c>
      <c r="F7" s="34">
        <f>IF(COUNTA(B7)=0,"",IF(B7&gt;=E7,"Correcto","Desgastada: sustituir árbol"))</f>
        <v/>
      </c>
    </row>
    <row r="8" ht="15" customHeight="1" s="13">
      <c r="A8" s="30" t="inlineStr">
        <is>
          <t>2 Admisión</t>
        </is>
      </c>
      <c r="B8" s="31" t="n"/>
      <c r="C8" s="31" t="n"/>
      <c r="D8" s="32">
        <f>IF(COUNTA(B8,C8)=0,"",B8-C8)</f>
        <v/>
      </c>
      <c r="E8" s="33">
        <f>Motor!$H$7</f>
        <v/>
      </c>
      <c r="F8" s="34">
        <f>IF(COUNTA(B8)=0,"",IF(B8&gt;=E8,"Correcto","Desgastada: sustituir árbol"))</f>
        <v/>
      </c>
    </row>
    <row r="9" ht="15" customHeight="1" s="13">
      <c r="A9" s="30" t="inlineStr">
        <is>
          <t>2 Escape</t>
        </is>
      </c>
      <c r="B9" s="31" t="n"/>
      <c r="C9" s="31" t="n"/>
      <c r="D9" s="32">
        <f>IF(COUNTA(B9,C9)=0,"",B9-C9)</f>
        <v/>
      </c>
      <c r="E9" s="33">
        <f>Motor!$H$8</f>
        <v/>
      </c>
      <c r="F9" s="34">
        <f>IF(COUNTA(B9)=0,"",IF(B9&gt;=E9,"Correcto","Desgastada: sustituir árbol"))</f>
        <v/>
      </c>
    </row>
    <row r="10" ht="15" customHeight="1" s="13">
      <c r="A10" s="30" t="inlineStr">
        <is>
          <t>3 Admisión</t>
        </is>
      </c>
      <c r="B10" s="31" t="n"/>
      <c r="C10" s="31" t="n"/>
      <c r="D10" s="32">
        <f>IF(COUNTA(B10,C10)=0,"",B10-C10)</f>
        <v/>
      </c>
      <c r="E10" s="33">
        <f>Motor!$H$7</f>
        <v/>
      </c>
      <c r="F10" s="34">
        <f>IF(COUNTA(B10)=0,"",IF(B10&gt;=E10,"Correcto","Desgastada: sustituir árbol"))</f>
        <v/>
      </c>
    </row>
    <row r="11" ht="15" customHeight="1" s="13">
      <c r="A11" s="30" t="inlineStr">
        <is>
          <t>3 Escape</t>
        </is>
      </c>
      <c r="B11" s="31" t="n"/>
      <c r="C11" s="31" t="n"/>
      <c r="D11" s="32">
        <f>IF(COUNTA(B11,C11)=0,"",B11-C11)</f>
        <v/>
      </c>
      <c r="E11" s="33">
        <f>Motor!$H$8</f>
        <v/>
      </c>
      <c r="F11" s="34">
        <f>IF(COUNTA(B11)=0,"",IF(B11&gt;=E11,"Correcto","Desgastada: sustituir árbol"))</f>
        <v/>
      </c>
    </row>
    <row r="12" ht="15" customHeight="1" s="13">
      <c r="A12" s="30" t="inlineStr">
        <is>
          <t>4 Admisión</t>
        </is>
      </c>
      <c r="B12" s="31" t="n"/>
      <c r="C12" s="31" t="n"/>
      <c r="D12" s="32">
        <f>IF(COUNTA(B12,C12)=0,"",B12-C12)</f>
        <v/>
      </c>
      <c r="E12" s="33">
        <f>Motor!$H$7</f>
        <v/>
      </c>
      <c r="F12" s="34">
        <f>IF(COUNTA(B12)=0,"",IF(B12&gt;=E12,"Correcto","Desgastada: sustituir árbol"))</f>
        <v/>
      </c>
    </row>
    <row r="13" ht="15" customHeight="1" s="13">
      <c r="A13" s="30" t="inlineStr">
        <is>
          <t>4 Escape</t>
        </is>
      </c>
      <c r="B13" s="31" t="n"/>
      <c r="C13" s="31" t="n"/>
      <c r="D13" s="32">
        <f>IF(COUNTA(B13,C13)=0,"",B13-C13)</f>
        <v/>
      </c>
      <c r="E13" s="33">
        <f>Motor!$H$8</f>
        <v/>
      </c>
      <c r="F13" s="34">
        <f>IF(COUNTA(B13)=0,"",IF(B13&gt;=E13,"Correcto","Desgastada: sustituir árbol"))</f>
        <v/>
      </c>
    </row>
    <row r="14"/>
    <row r="15" ht="31.5" customHeight="1" s="13">
      <c r="A15" s="29" t="inlineStr">
        <is>
          <t>Comprobación</t>
        </is>
      </c>
      <c r="B15" s="29" t="inlineStr">
        <is>
          <t>Medido (mm)</t>
        </is>
      </c>
      <c r="C15" s="29" t="inlineStr">
        <is>
          <t>Mín. (mm)</t>
        </is>
      </c>
      <c r="D15" s="29" t="inlineStr">
        <is>
          <t>Máx. (mm)</t>
        </is>
      </c>
      <c r="E15" s="29" t="inlineStr">
        <is>
          <t>Estado</t>
        </is>
      </c>
    </row>
    <row r="16" ht="15" customHeight="1" s="13">
      <c r="A16" s="30" t="inlineStr">
        <is>
          <t>Diámetro apoyo 1</t>
        </is>
      </c>
      <c r="B16" s="35" t="n"/>
      <c r="C16" s="36">
        <f>Motor!$H$9</f>
        <v/>
      </c>
      <c r="D16" s="36">
        <f>Motor!$H$10</f>
        <v/>
      </c>
      <c r="E16" s="34">
        <f>IF(COUNTA(B16)=0,"",IF(AND(B16&gt;=C16,B16&lt;=D16),"Correcto","Fuera de tolerancia"))</f>
        <v/>
      </c>
    </row>
    <row r="17" ht="15" customHeight="1" s="13">
      <c r="A17" s="30" t="inlineStr">
        <is>
          <t>Diámetro apoyo central</t>
        </is>
      </c>
      <c r="B17" s="35" t="n"/>
      <c r="C17" s="36">
        <f>Motor!$H$9</f>
        <v/>
      </c>
      <c r="D17" s="36">
        <f>Motor!$H$10</f>
        <v/>
      </c>
      <c r="E17" s="34">
        <f>IF(COUNTA(B17)=0,"",IF(AND(B17&gt;=C17,B17&lt;=D17),"Correcto","Fuera de tolerancia"))</f>
        <v/>
      </c>
    </row>
    <row r="18" ht="15" customHeight="1" s="13">
      <c r="A18" s="30" t="inlineStr">
        <is>
          <t>Juego axial del árbol</t>
        </is>
      </c>
      <c r="B18" s="35" t="n"/>
      <c r="C18" s="36">
        <f>Motor!$H$11</f>
        <v/>
      </c>
      <c r="D18" s="36">
        <f>Motor!$H$12</f>
        <v/>
      </c>
      <c r="E18" s="34">
        <f>IF(COUNTA(B18)=0,"",IF(AND(B18&gt;=C18,B18&lt;=D18),"Correcto","Fuera de tolerancia"))</f>
        <v/>
      </c>
    </row>
    <row r="19" ht="15" customHeight="1" s="13">
      <c r="A19" s="30" t="inlineStr">
        <is>
          <t>Alabeo (reloj comparador)</t>
        </is>
      </c>
      <c r="B19" s="35" t="n"/>
      <c r="C19" s="35" t="n">
        <v>0</v>
      </c>
      <c r="D19" s="36">
        <f>Motor!$H$13</f>
        <v/>
      </c>
      <c r="E19" s="34">
        <f>IF(COUNTA(B19)=0,"",IF(AND(B19&gt;=C19,B19&lt;=D19),"Correcto","Fuera de tolerancia"))</f>
        <v/>
      </c>
    </row>
    <row r="20"/>
    <row r="21" ht="15" customHeight="1" s="13">
      <c r="A21" s="37" t="inlineStr">
        <is>
          <t>Valores de ejemplo orientativos: use las especificaciones del manual del motor.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25" min="1" max="1"/>
    <col width="18" customWidth="1" style="25" min="2" max="2"/>
    <col width="22" customWidth="1" style="25" min="3" max="3"/>
    <col width="16" customWidth="1" style="25" min="4" max="4"/>
    <col width="20" customWidth="1" style="25" min="5" max="5"/>
    <col width="18" customWidth="1" style="25" min="6" max="7"/>
  </cols>
  <sheetData>
    <row r="1" ht="17.35" customHeight="1" s="13">
      <c r="A1" s="26" t="inlineStr">
        <is>
          <t>Válvulas, guías y muelles</t>
        </is>
      </c>
    </row>
    <row r="2" ht="15" customHeight="1" s="13">
      <c r="A2" s="27" t="n"/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3">
      <c r="A4" s="38" t="inlineStr">
        <is>
          <t>Longitud libre mínima del muelle (mm)</t>
        </is>
      </c>
      <c r="D4" s="33">
        <f>Motor!$H$14</f>
        <v/>
      </c>
    </row>
    <row r="5" ht="15" customHeight="1" s="13">
      <c r="A5" s="38" t="inlineStr">
        <is>
          <t>Perpendicularidad máxima (mm)</t>
        </is>
      </c>
      <c r="D5" s="33">
        <f>Motor!$H$15</f>
        <v/>
      </c>
    </row>
    <row r="6" ht="15" customHeight="1" s="13">
      <c r="A6" s="38" t="inlineStr">
        <is>
          <t>Holgura vástago–guía máxima admisión / escape (mm)</t>
        </is>
      </c>
      <c r="D6" s="39">
        <f>Motor!$H$16</f>
        <v/>
      </c>
      <c r="E6" s="39">
        <f>Motor!$H$17</f>
        <v/>
      </c>
    </row>
    <row r="7"/>
    <row r="8" ht="31.5" customHeight="1" s="13">
      <c r="A8" s="29" t="inlineStr">
        <is>
          <t>Válvula</t>
        </is>
      </c>
      <c r="B8" s="29" t="inlineStr">
        <is>
          <t>Longitud libre (mm)</t>
        </is>
      </c>
      <c r="C8" s="29" t="inlineStr">
        <is>
          <t>Perpendicularidad (mm)</t>
        </is>
      </c>
      <c r="D8" s="29" t="inlineStr">
        <is>
          <t>Ø vástago (mm)</t>
        </is>
      </c>
      <c r="E8" s="29" t="inlineStr">
        <is>
          <t>Holgura en guía (mm)</t>
        </is>
      </c>
      <c r="F8" s="29" t="inlineStr">
        <is>
          <t>Muelle</t>
        </is>
      </c>
      <c r="G8" s="29" t="inlineStr">
        <is>
          <t>Guía</t>
        </is>
      </c>
    </row>
    <row r="9" ht="15" customHeight="1" s="13">
      <c r="A9" s="30" t="inlineStr">
        <is>
          <t>1 adm.</t>
        </is>
      </c>
      <c r="B9" s="31" t="n"/>
      <c r="C9" s="31" t="n"/>
      <c r="D9" s="40" t="n"/>
      <c r="E9" s="40" t="n"/>
      <c r="F9" s="34">
        <f>IF(COUNTA(B9,C9)=0,"",IF(AND(B9&gt;=$D$4,C9&lt;=$D$5),"Correcto","Sustituir muelle"))</f>
        <v/>
      </c>
      <c r="G9" s="34">
        <f>IF(COUNTA(E9)=0,"",IF(E9&lt;=IF(ISNUMBER(SEARCH("adm",A9)),$D$6,$E$6),"Correcta","Guía desgastada"))</f>
        <v/>
      </c>
    </row>
    <row r="10" ht="15" customHeight="1" s="13">
      <c r="A10" s="30" t="inlineStr">
        <is>
          <t>1 esc.</t>
        </is>
      </c>
      <c r="B10" s="31" t="n"/>
      <c r="C10" s="31" t="n"/>
      <c r="D10" s="40" t="n"/>
      <c r="E10" s="40" t="n"/>
      <c r="F10" s="34">
        <f>IF(COUNTA(B10,C10)=0,"",IF(AND(B10&gt;=$D$4,C10&lt;=$D$5),"Correcto","Sustituir muelle"))</f>
        <v/>
      </c>
      <c r="G10" s="34">
        <f>IF(COUNTA(E10)=0,"",IF(E10&lt;=IF(ISNUMBER(SEARCH("adm",A10)),$D$6,$E$6),"Correcta","Guía desgastada"))</f>
        <v/>
      </c>
    </row>
    <row r="11" ht="15" customHeight="1" s="13">
      <c r="A11" s="30" t="inlineStr">
        <is>
          <t>2 adm.</t>
        </is>
      </c>
      <c r="B11" s="31" t="n"/>
      <c r="C11" s="31" t="n"/>
      <c r="D11" s="40" t="n"/>
      <c r="E11" s="40" t="n"/>
      <c r="F11" s="34">
        <f>IF(COUNTA(B11,C11)=0,"",IF(AND(B11&gt;=$D$4,C11&lt;=$D$5),"Correcto","Sustituir muelle"))</f>
        <v/>
      </c>
      <c r="G11" s="34">
        <f>IF(COUNTA(E11)=0,"",IF(E11&lt;=IF(ISNUMBER(SEARCH("adm",A11)),$D$6,$E$6),"Correcta","Guía desgastada"))</f>
        <v/>
      </c>
    </row>
    <row r="12" ht="15" customHeight="1" s="13">
      <c r="A12" s="30" t="inlineStr">
        <is>
          <t>2 esc.</t>
        </is>
      </c>
      <c r="B12" s="31" t="n"/>
      <c r="C12" s="31" t="n"/>
      <c r="D12" s="40" t="n"/>
      <c r="E12" s="40" t="n"/>
      <c r="F12" s="34">
        <f>IF(COUNTA(B12,C12)=0,"",IF(AND(B12&gt;=$D$4,C12&lt;=$D$5),"Correcto","Sustituir muelle"))</f>
        <v/>
      </c>
      <c r="G12" s="34">
        <f>IF(COUNTA(E12)=0,"",IF(E12&lt;=IF(ISNUMBER(SEARCH("adm",A12)),$D$6,$E$6),"Correcta","Guía desgastada"))</f>
        <v/>
      </c>
    </row>
    <row r="13" ht="15" customHeight="1" s="13">
      <c r="A13" s="30" t="inlineStr">
        <is>
          <t>3 adm.</t>
        </is>
      </c>
      <c r="B13" s="31" t="n"/>
      <c r="C13" s="31" t="n"/>
      <c r="D13" s="40" t="n"/>
      <c r="E13" s="40" t="n"/>
      <c r="F13" s="34">
        <f>IF(COUNTA(B13,C13)=0,"",IF(AND(B13&gt;=$D$4,C13&lt;=$D$5),"Correcto","Sustituir muelle"))</f>
        <v/>
      </c>
      <c r="G13" s="34">
        <f>IF(COUNTA(E13)=0,"",IF(E13&lt;=IF(ISNUMBER(SEARCH("adm",A13)),$D$6,$E$6),"Correcta","Guía desgastada"))</f>
        <v/>
      </c>
    </row>
    <row r="14" ht="15" customHeight="1" s="13">
      <c r="A14" s="30" t="inlineStr">
        <is>
          <t>3 esc.</t>
        </is>
      </c>
      <c r="B14" s="31" t="n"/>
      <c r="C14" s="31" t="n"/>
      <c r="D14" s="40" t="n"/>
      <c r="E14" s="40" t="n"/>
      <c r="F14" s="34">
        <f>IF(COUNTA(B14,C14)=0,"",IF(AND(B14&gt;=$D$4,C14&lt;=$D$5),"Correcto","Sustituir muelle"))</f>
        <v/>
      </c>
      <c r="G14" s="34">
        <f>IF(COUNTA(E14)=0,"",IF(E14&lt;=IF(ISNUMBER(SEARCH("adm",A14)),$D$6,$E$6),"Correcta","Guía desgastada"))</f>
        <v/>
      </c>
    </row>
    <row r="15" ht="15" customHeight="1" s="13">
      <c r="A15" s="30" t="inlineStr">
        <is>
          <t>4 adm.</t>
        </is>
      </c>
      <c r="B15" s="31" t="n"/>
      <c r="C15" s="31" t="n"/>
      <c r="D15" s="40" t="n"/>
      <c r="E15" s="40" t="n"/>
      <c r="F15" s="34">
        <f>IF(COUNTA(B15,C15)=0,"",IF(AND(B15&gt;=$D$4,C15&lt;=$D$5),"Correcto","Sustituir muelle"))</f>
        <v/>
      </c>
      <c r="G15" s="34">
        <f>IF(COUNTA(E15)=0,"",IF(E15&lt;=IF(ISNUMBER(SEARCH("adm",A15)),$D$6,$E$6),"Correcta","Guía desgastada"))</f>
        <v/>
      </c>
    </row>
    <row r="16" ht="15" customHeight="1" s="13">
      <c r="A16" s="30" t="inlineStr">
        <is>
          <t>4 esc.</t>
        </is>
      </c>
      <c r="B16" s="31" t="n"/>
      <c r="C16" s="31" t="n"/>
      <c r="D16" s="40" t="n"/>
      <c r="E16" s="40" t="n"/>
      <c r="F16" s="34">
        <f>IF(COUNTA(B16,C16)=0,"",IF(AND(B16&gt;=$D$4,C16&lt;=$D$5),"Correcto","Sustituir muelle"))</f>
        <v/>
      </c>
      <c r="G16" s="34">
        <f>IF(COUNTA(E16)=0,"",IF(E16&lt;=IF(ISNUMBER(SEARCH("adm",A16)),$D$6,$E$6),"Correcta","Guía desgastada"))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20" customWidth="1" style="25" min="2" max="3"/>
    <col width="34" customWidth="1" style="25" min="4" max="4"/>
    <col width="22" customWidth="1" style="25" min="5" max="7"/>
  </cols>
  <sheetData>
    <row r="1" ht="17.35" customHeight="1" s="13">
      <c r="A1" s="26" t="inlineStr">
        <is>
          <t>Holgura de válvulas y cálculo de pastillas (taqués de vaso)</t>
        </is>
      </c>
    </row>
    <row r="2" ht="15" customHeight="1" s="13">
      <c r="A2" s="27" t="inlineStr">
        <is>
          <t>Pastilla nueva = pastilla actual + (holgura medida − holgura nominal)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3">
      <c r="A4" s="38" t="inlineStr">
        <is>
          <t>Holgura nominal admisión / escape (mm)</t>
        </is>
      </c>
      <c r="D4" s="33">
        <f>Motor!$H$18</f>
        <v/>
      </c>
      <c r="E4" s="33">
        <f>Motor!$H$19</f>
        <v/>
      </c>
    </row>
    <row r="5" ht="15" customHeight="1" s="13">
      <c r="A5" s="38" t="inlineStr">
        <is>
          <t>Tolerancia ± (mm)</t>
        </is>
      </c>
      <c r="D5" s="31" t="n">
        <v>0.03</v>
      </c>
    </row>
    <row r="6" ht="15" customHeight="1" s="13">
      <c r="A6" s="38" t="inlineStr">
        <is>
          <t>Incremento entre pastillas disponibles (mm)</t>
        </is>
      </c>
      <c r="D6" s="31" t="n">
        <v>0.05</v>
      </c>
    </row>
    <row r="7"/>
    <row r="8" ht="31.5" customHeight="1" s="13">
      <c r="A8" s="29" t="inlineStr">
        <is>
          <t>Válvula</t>
        </is>
      </c>
      <c r="B8" s="29" t="inlineStr">
        <is>
          <t>Holgura medida (mm)</t>
        </is>
      </c>
      <c r="C8" s="29" t="inlineStr">
        <is>
          <t>Pastilla actual (mm)</t>
        </is>
      </c>
      <c r="D8" s="29" t="inlineStr">
        <is>
          <t>Estado</t>
        </is>
      </c>
      <c r="E8" s="29" t="inlineStr">
        <is>
          <t>Pastilla calculada (mm)</t>
        </is>
      </c>
      <c r="F8" s="29" t="inlineStr">
        <is>
          <t>Pastilla a montar (mm)</t>
        </is>
      </c>
      <c r="G8" s="29" t="inlineStr">
        <is>
          <t>Holgura resultante (mm)</t>
        </is>
      </c>
    </row>
    <row r="9" ht="15" customHeight="1" s="13">
      <c r="A9" s="30" t="inlineStr">
        <is>
          <t>1 adm.</t>
        </is>
      </c>
      <c r="B9" s="31" t="n"/>
      <c r="C9" s="31" t="n"/>
      <c r="D9" s="34">
        <f>IF(AND(COUNTA($B9)&gt;0,OR($D$4="",$E$4="")),"No aplica: taqués hidráulicos",IF(COUNTA(B9)=0,"",IF(ABS(B9-IF(ISNUMBER(SEARCH("adm",A9)),$D$4,$E$4))&lt;=$D$5,"Correcta",IF(B9&lt;IF(ISNUMBER(SEARCH("adm",A9)),$D$4,$E$4),"Insuficiente: pastilla más delgada","Excesiva: pastilla más gruesa"))))</f>
        <v/>
      </c>
      <c r="E9" s="32">
        <f>IF(AND(COUNTA($B9)&gt;0,OR($D$4="",$E$4="")),"",IF(COUNTA(B9,C9)=0,"",C9+(B9-IF(ISNUMBER(SEARCH("adm",A9)),$D$4,$E$4))))</f>
        <v/>
      </c>
      <c r="F9" s="32">
        <f>IF(AND(COUNTA($B9)&gt;0,OR($D$4="",$E$4="")),"",IF(COUNTA(B9,C9)=0,"",IF(ABS(B9-IF(ISNUMBER(SEARCH("adm",A9)),$D$4,$E$4))&lt;=$D$5,C9,FLOOR(E9/$D$6+0.0001,1)*$D$6)))</f>
        <v/>
      </c>
      <c r="G9" s="32">
        <f>IF(AND(COUNTA($B9)&gt;0,OR($D$4="",$E$4="")),"",IF(COUNTA(B9,C9)=0,"",B9+(C9-F9)))</f>
        <v/>
      </c>
    </row>
    <row r="10" ht="15" customHeight="1" s="13">
      <c r="A10" s="30" t="inlineStr">
        <is>
          <t>1 esc.</t>
        </is>
      </c>
      <c r="B10" s="31" t="n"/>
      <c r="C10" s="31" t="n"/>
      <c r="D10" s="34">
        <f>IF(AND(COUNTA($B10)&gt;0,OR($D$4="",$E$4="")),"No aplica: taqués hidráulicos",IF(COUNTA(B10)=0,"",IF(ABS(B10-IF(ISNUMBER(SEARCH("adm",A10)),$D$4,$E$4))&lt;=$D$5,"Correcta",IF(B10&lt;IF(ISNUMBER(SEARCH("adm",A10)),$D$4,$E$4),"Insuficiente: pastilla más delgada","Excesiva: pastilla más gruesa"))))</f>
        <v/>
      </c>
      <c r="E10" s="32">
        <f>IF(AND(COUNTA($B10)&gt;0,OR($D$4="",$E$4="")),"",IF(COUNTA(B10,C10)=0,"",C10+(B10-IF(ISNUMBER(SEARCH("adm",A10)),$D$4,$E$4))))</f>
        <v/>
      </c>
      <c r="F10" s="32">
        <f>IF(AND(COUNTA($B10)&gt;0,OR($D$4="",$E$4="")),"",IF(COUNTA(B10,C10)=0,"",IF(ABS(B10-IF(ISNUMBER(SEARCH("adm",A10)),$D$4,$E$4))&lt;=$D$5,C10,FLOOR(E10/$D$6+0.0001,1)*$D$6)))</f>
        <v/>
      </c>
      <c r="G10" s="32">
        <f>IF(AND(COUNTA($B10)&gt;0,OR($D$4="",$E$4="")),"",IF(COUNTA(B10,C10)=0,"",B10+(C10-F10)))</f>
        <v/>
      </c>
    </row>
    <row r="11" ht="15" customHeight="1" s="13">
      <c r="A11" s="30" t="inlineStr">
        <is>
          <t>2 adm.</t>
        </is>
      </c>
      <c r="B11" s="31" t="n"/>
      <c r="C11" s="31" t="n"/>
      <c r="D11" s="34">
        <f>IF(AND(COUNTA($B11)&gt;0,OR($D$4="",$E$4="")),"No aplica: taqués hidráulicos",IF(COUNTA(B11)=0,"",IF(ABS(B11-IF(ISNUMBER(SEARCH("adm",A11)),$D$4,$E$4))&lt;=$D$5,"Correcta",IF(B11&lt;IF(ISNUMBER(SEARCH("adm",A11)),$D$4,$E$4),"Insuficiente: pastilla más delgada","Excesiva: pastilla más gruesa"))))</f>
        <v/>
      </c>
      <c r="E11" s="32">
        <f>IF(AND(COUNTA($B11)&gt;0,OR($D$4="",$E$4="")),"",IF(COUNTA(B11,C11)=0,"",C11+(B11-IF(ISNUMBER(SEARCH("adm",A11)),$D$4,$E$4))))</f>
        <v/>
      </c>
      <c r="F11" s="32">
        <f>IF(AND(COUNTA($B11)&gt;0,OR($D$4="",$E$4="")),"",IF(COUNTA(B11,C11)=0,"",IF(ABS(B11-IF(ISNUMBER(SEARCH("adm",A11)),$D$4,$E$4))&lt;=$D$5,C11,FLOOR(E11/$D$6+0.0001,1)*$D$6)))</f>
        <v/>
      </c>
      <c r="G11" s="32">
        <f>IF(AND(COUNTA($B11)&gt;0,OR($D$4="",$E$4="")),"",IF(COUNTA(B11,C11)=0,"",B11+(C11-F11)))</f>
        <v/>
      </c>
    </row>
    <row r="12" ht="15" customHeight="1" s="13">
      <c r="A12" s="30" t="inlineStr">
        <is>
          <t>2 esc.</t>
        </is>
      </c>
      <c r="B12" s="31" t="n"/>
      <c r="C12" s="31" t="n"/>
      <c r="D12" s="34">
        <f>IF(AND(COUNTA($B12)&gt;0,OR($D$4="",$E$4="")),"No aplica: taqués hidráulicos",IF(COUNTA(B12)=0,"",IF(ABS(B12-IF(ISNUMBER(SEARCH("adm",A12)),$D$4,$E$4))&lt;=$D$5,"Correcta",IF(B12&lt;IF(ISNUMBER(SEARCH("adm",A12)),$D$4,$E$4),"Insuficiente: pastilla más delgada","Excesiva: pastilla más gruesa"))))</f>
        <v/>
      </c>
      <c r="E12" s="32">
        <f>IF(AND(COUNTA($B12)&gt;0,OR($D$4="",$E$4="")),"",IF(COUNTA(B12,C12)=0,"",C12+(B12-IF(ISNUMBER(SEARCH("adm",A12)),$D$4,$E$4))))</f>
        <v/>
      </c>
      <c r="F12" s="32">
        <f>IF(AND(COUNTA($B12)&gt;0,OR($D$4="",$E$4="")),"",IF(COUNTA(B12,C12)=0,"",IF(ABS(B12-IF(ISNUMBER(SEARCH("adm",A12)),$D$4,$E$4))&lt;=$D$5,C12,FLOOR(E12/$D$6+0.0001,1)*$D$6)))</f>
        <v/>
      </c>
      <c r="G12" s="32">
        <f>IF(AND(COUNTA($B12)&gt;0,OR($D$4="",$E$4="")),"",IF(COUNTA(B12,C12)=0,"",B12+(C12-F12)))</f>
        <v/>
      </c>
    </row>
    <row r="13" ht="15" customHeight="1" s="13">
      <c r="A13" s="30" t="inlineStr">
        <is>
          <t>3 adm.</t>
        </is>
      </c>
      <c r="B13" s="31" t="n"/>
      <c r="C13" s="31" t="n"/>
      <c r="D13" s="34">
        <f>IF(AND(COUNTA($B13)&gt;0,OR($D$4="",$E$4="")),"No aplica: taqués hidráulicos",IF(COUNTA(B13)=0,"",IF(ABS(B13-IF(ISNUMBER(SEARCH("adm",A13)),$D$4,$E$4))&lt;=$D$5,"Correcta",IF(B13&lt;IF(ISNUMBER(SEARCH("adm",A13)),$D$4,$E$4),"Insuficiente: pastilla más delgada","Excesiva: pastilla más gruesa"))))</f>
        <v/>
      </c>
      <c r="E13" s="32">
        <f>IF(AND(COUNTA($B13)&gt;0,OR($D$4="",$E$4="")),"",IF(COUNTA(B13,C13)=0,"",C13+(B13-IF(ISNUMBER(SEARCH("adm",A13)),$D$4,$E$4))))</f>
        <v/>
      </c>
      <c r="F13" s="32">
        <f>IF(AND(COUNTA($B13)&gt;0,OR($D$4="",$E$4="")),"",IF(COUNTA(B13,C13)=0,"",IF(ABS(B13-IF(ISNUMBER(SEARCH("adm",A13)),$D$4,$E$4))&lt;=$D$5,C13,FLOOR(E13/$D$6+0.0001,1)*$D$6)))</f>
        <v/>
      </c>
      <c r="G13" s="32">
        <f>IF(AND(COUNTA($B13)&gt;0,OR($D$4="",$E$4="")),"",IF(COUNTA(B13,C13)=0,"",B13+(C13-F13)))</f>
        <v/>
      </c>
    </row>
    <row r="14" ht="15" customHeight="1" s="13">
      <c r="A14" s="30" t="inlineStr">
        <is>
          <t>3 esc.</t>
        </is>
      </c>
      <c r="B14" s="31" t="n"/>
      <c r="C14" s="31" t="n"/>
      <c r="D14" s="34">
        <f>IF(AND(COUNTA($B14)&gt;0,OR($D$4="",$E$4="")),"No aplica: taqués hidráulicos",IF(COUNTA(B14)=0,"",IF(ABS(B14-IF(ISNUMBER(SEARCH("adm",A14)),$D$4,$E$4))&lt;=$D$5,"Correcta",IF(B14&lt;IF(ISNUMBER(SEARCH("adm",A14)),$D$4,$E$4),"Insuficiente: pastilla más delgada","Excesiva: pastilla más gruesa"))))</f>
        <v/>
      </c>
      <c r="E14" s="32">
        <f>IF(AND(COUNTA($B14)&gt;0,OR($D$4="",$E$4="")),"",IF(COUNTA(B14,C14)=0,"",C14+(B14-IF(ISNUMBER(SEARCH("adm",A14)),$D$4,$E$4))))</f>
        <v/>
      </c>
      <c r="F14" s="32">
        <f>IF(AND(COUNTA($B14)&gt;0,OR($D$4="",$E$4="")),"",IF(COUNTA(B14,C14)=0,"",IF(ABS(B14-IF(ISNUMBER(SEARCH("adm",A14)),$D$4,$E$4))&lt;=$D$5,C14,FLOOR(E14/$D$6+0.0001,1)*$D$6)))</f>
        <v/>
      </c>
      <c r="G14" s="32">
        <f>IF(AND(COUNTA($B14)&gt;0,OR($D$4="",$E$4="")),"",IF(COUNTA(B14,C14)=0,"",B14+(C14-F14)))</f>
        <v/>
      </c>
    </row>
    <row r="15" ht="15" customHeight="1" s="13">
      <c r="A15" s="30" t="inlineStr">
        <is>
          <t>4 adm.</t>
        </is>
      </c>
      <c r="B15" s="31" t="n"/>
      <c r="C15" s="31" t="n"/>
      <c r="D15" s="34">
        <f>IF(AND(COUNTA($B15)&gt;0,OR($D$4="",$E$4="")),"No aplica: taqués hidráulicos",IF(COUNTA(B15)=0,"",IF(ABS(B15-IF(ISNUMBER(SEARCH("adm",A15)),$D$4,$E$4))&lt;=$D$5,"Correcta",IF(B15&lt;IF(ISNUMBER(SEARCH("adm",A15)),$D$4,$E$4),"Insuficiente: pastilla más delgada","Excesiva: pastilla más gruesa"))))</f>
        <v/>
      </c>
      <c r="E15" s="32">
        <f>IF(AND(COUNTA($B15)&gt;0,OR($D$4="",$E$4="")),"",IF(COUNTA(B15,C15)=0,"",C15+(B15-IF(ISNUMBER(SEARCH("adm",A15)),$D$4,$E$4))))</f>
        <v/>
      </c>
      <c r="F15" s="32">
        <f>IF(AND(COUNTA($B15)&gt;0,OR($D$4="",$E$4="")),"",IF(COUNTA(B15,C15)=0,"",IF(ABS(B15-IF(ISNUMBER(SEARCH("adm",A15)),$D$4,$E$4))&lt;=$D$5,C15,FLOOR(E15/$D$6+0.0001,1)*$D$6)))</f>
        <v/>
      </c>
      <c r="G15" s="32">
        <f>IF(AND(COUNTA($B15)&gt;0,OR($D$4="",$E$4="")),"",IF(COUNTA(B15,C15)=0,"",B15+(C15-F15)))</f>
        <v/>
      </c>
    </row>
    <row r="16" ht="15" customHeight="1" s="13">
      <c r="A16" s="30" t="inlineStr">
        <is>
          <t>4 esc.</t>
        </is>
      </c>
      <c r="B16" s="31" t="n"/>
      <c r="C16" s="31" t="n"/>
      <c r="D16" s="34">
        <f>IF(AND(COUNTA($B16)&gt;0,OR($D$4="",$E$4="")),"No aplica: taqués hidráulicos",IF(COUNTA(B16)=0,"",IF(ABS(B16-IF(ISNUMBER(SEARCH("adm",A16)),$D$4,$E$4))&lt;=$D$5,"Correcta",IF(B16&lt;IF(ISNUMBER(SEARCH("adm",A16)),$D$4,$E$4),"Insuficiente: pastilla más delgada","Excesiva: pastilla más gruesa"))))</f>
        <v/>
      </c>
      <c r="E16" s="32">
        <f>IF(AND(COUNTA($B16)&gt;0,OR($D$4="",$E$4="")),"",IF(COUNTA(B16,C16)=0,"",C16+(B16-IF(ISNUMBER(SEARCH("adm",A16)),$D$4,$E$4))))</f>
        <v/>
      </c>
      <c r="F16" s="32">
        <f>IF(AND(COUNTA($B16)&gt;0,OR($D$4="",$E$4="")),"",IF(COUNTA(B16,C16)=0,"",IF(ABS(B16-IF(ISNUMBER(SEARCH("adm",A16)),$D$4,$E$4))&lt;=$D$5,C16,FLOOR(E16/$D$6+0.0001,1)*$D$6)))</f>
        <v/>
      </c>
      <c r="G16" s="32">
        <f>IF(AND(COUNTA($B16)&gt;0,OR($D$4="",$E$4="")),"",IF(COUNTA(B16,C16)=0,"",B16+(C16-F16)))</f>
        <v/>
      </c>
    </row>
    <row r="17"/>
    <row r="18" ht="15" customHeight="1" s="13">
      <c r="A18" s="37" t="inlineStr">
        <is>
          <t>Se elige la pastilla disponible inmediatamente inferior a la calculada, para no quedar con holgura insuficiente. Verifique que la holgura resultante esté dentro de la tolerancia.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2026-09-15T22:06:26Z</dcterms:created>
  <dcterms:modified xmlns:dcterms="http://purl.org/dc/terms/" xmlns:xsi="http://www.w3.org/2001/XMLSchema-instance" xsi:type="dcterms:W3CDTF">2026-10-16T11:46:45Z</dcterms:modified>
  <cp:revision>1</cp:revision>
</cp:coreProperties>
</file>