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Comparacion" sheetId="3" state="visible" r:id="rId5"/>
    <sheet name="Regist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<sst xmlns="http://schemas.openxmlformats.org/spreadsheetml/2006/main" count="49" uniqueCount="38">
  <si>
    <t xml:space="preserve">Práctica 8: diagnóstico integral del encendido electrónico — cálculos comparativos</t>
  </si>
  <si>
    <t xml:space="preserve">Libro de cálculo de apoyo a la guía de clase práctica — Electricidad Automotriz, ISTS</t>
  </si>
  <si>
    <t xml:space="preserve">Uso:</t>
  </si>
  <si>
    <t xml:space="preserve">1. Escriba los datos SOLO en las celdas de fondo amarillo y texto azul de "Datos".</t>
  </si>
  <si>
    <t xml:space="preserve">2. "Comparacion" calcula las ecuaciones (1) a (3) frente al régimen y dibuja dos gráficas de doble eje; "Registro" reproduce la tabla de la guía.</t>
  </si>
  <si>
    <t xml:space="preserve">3. Los cálculos detallados de cada sistema están en los libros de las Partes 1 a 4.</t>
  </si>
  <si>
    <t xml:space="preserve">Dato</t>
  </si>
  <si>
    <t xml:space="preserve">Símbolo</t>
  </si>
  <si>
    <t xml:space="preserve">Valor</t>
  </si>
  <si>
    <t xml:space="preserve">Unidad</t>
  </si>
  <si>
    <t xml:space="preserve">Comentario</t>
  </si>
  <si>
    <t xml:space="preserve">Número de cilindros</t>
  </si>
  <si>
    <t xml:space="preserve">z</t>
  </si>
  <si>
    <t xml:space="preserve">—</t>
  </si>
  <si>
    <t xml:space="preserve">Tiempo de carga necesario de la bobina</t>
  </si>
  <si>
    <t xml:space="preserve">tc</t>
  </si>
  <si>
    <t xml:space="preserve">ms</t>
  </si>
  <si>
    <t xml:space="preserve">Ejemplo</t>
  </si>
  <si>
    <t xml:space="preserve">Dientes de la rueda fónica (incluidos ausentes)</t>
  </si>
  <si>
    <t xml:space="preserve">Zd</t>
  </si>
  <si>
    <t xml:space="preserve">60 − 2</t>
  </si>
  <si>
    <t xml:space="preserve">Régimen de ralentí</t>
  </si>
  <si>
    <t xml:space="preserve">n1</t>
  </si>
  <si>
    <t xml:space="preserve">r. p. m.</t>
  </si>
  <si>
    <t xml:space="preserve">Régimen 2</t>
  </si>
  <si>
    <t xml:space="preserve">n2</t>
  </si>
  <si>
    <t xml:space="preserve">Régimen 3</t>
  </si>
  <si>
    <t xml:space="preserve">n3</t>
  </si>
  <si>
    <t xml:space="preserve">n (r. p. m.)</t>
  </si>
  <si>
    <t xml:space="preserve">T_dist (ms)</t>
  </si>
  <si>
    <t xml:space="preserve">T_DIS (ms)</t>
  </si>
  <si>
    <t xml:space="preserve">T_COP (ms)</t>
  </si>
  <si>
    <t xml:space="preserve">DC dist (%)</t>
  </si>
  <si>
    <t xml:space="preserve">DC DIS (%)</t>
  </si>
  <si>
    <t xml:space="preserve">DC COP (%)</t>
  </si>
  <si>
    <t xml:space="preserve">f_dist (Hz)</t>
  </si>
  <si>
    <t xml:space="preserve">f_rueda (Hz)</t>
  </si>
  <si>
    <t xml:space="preserve">Régimen (r. p. m.)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</si>
</sst>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883D"/>
      <rgbColor rgb="FF800080"/>
      <rgbColor rgb="FF008080"/>
      <rgbColor rgb="FFBBCE9E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DCBD"/>
      <rgbColor rgb="FFFFFF99"/>
      <rgbColor rgb="FFB3C992"/>
      <rgbColor rgb="FFFF99CC"/>
      <rgbColor rgb="FFCC99FF"/>
      <rgbColor rgb="FFA5C073"/>
      <rgbColor rgb="FF3366FF"/>
      <rgbColor rgb="FF33CCCC"/>
      <rgbColor rgb="FF91B051"/>
      <rgbColor rgb="FFFFCC00"/>
      <rgbColor rgb="FFFF9900"/>
      <rgbColor rgb="FFFF6600"/>
      <rgbColor rgb="FF87A44B"/>
      <rgbColor rgb="FF999999"/>
      <rgbColor rgb="FF003366"/>
      <rgbColor rgb="FF829E48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entre disparos por bobina (eje izq.) y cierre necesario (eje der.)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 distribuidor"</c:f>
              <c:strCache>
                <c:ptCount val="1"/>
                <c:pt idx="0">
                  <c:v>T distribuidor</c:v>
                </c:pt>
              </c:strCache>
            </c:strRef>
          </c:tx>
          <c:spPr>
            <a:solidFill>
              <a:srgbClr val="70883d"/>
            </a:solidFill>
            <a:ln w="47520">
              <a:solidFill>
                <a:srgbClr val="7088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Comparacion!$B$2:$B$28</c:f>
              <c:numCache>
                <c:formatCode>0.00</c:formatCode>
                <c:ptCount val="27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24</c:v>
                </c:pt>
                <c:pt idx="4">
                  <c:v>20</c:v>
                </c:pt>
                <c:pt idx="5">
                  <c:v>17.1428571428571</c:v>
                </c:pt>
                <c:pt idx="6">
                  <c:v>15</c:v>
                </c:pt>
                <c:pt idx="7">
                  <c:v>13.3333333333333</c:v>
                </c:pt>
                <c:pt idx="8">
                  <c:v>12</c:v>
                </c:pt>
                <c:pt idx="9">
                  <c:v>10.9090909090909</c:v>
                </c:pt>
                <c:pt idx="10">
                  <c:v>10</c:v>
                </c:pt>
                <c:pt idx="11">
                  <c:v>9.23076923076923</c:v>
                </c:pt>
                <c:pt idx="12">
                  <c:v>8.57142857142857</c:v>
                </c:pt>
                <c:pt idx="13">
                  <c:v>8</c:v>
                </c:pt>
                <c:pt idx="14">
                  <c:v>7.5</c:v>
                </c:pt>
                <c:pt idx="15">
                  <c:v>7.05882352941176</c:v>
                </c:pt>
                <c:pt idx="16">
                  <c:v>6.66666666666667</c:v>
                </c:pt>
                <c:pt idx="17">
                  <c:v>6.31578947368421</c:v>
                </c:pt>
                <c:pt idx="18">
                  <c:v>6</c:v>
                </c:pt>
                <c:pt idx="19">
                  <c:v>5.71428571428571</c:v>
                </c:pt>
                <c:pt idx="20">
                  <c:v>5.45454545454545</c:v>
                </c:pt>
                <c:pt idx="21">
                  <c:v>5.21739130434783</c:v>
                </c:pt>
                <c:pt idx="22">
                  <c:v>5</c:v>
                </c:pt>
                <c:pt idx="23">
                  <c:v>4.8</c:v>
                </c:pt>
                <c:pt idx="24">
                  <c:v>4.61538461538462</c:v>
                </c:pt>
                <c:pt idx="25">
                  <c:v>4.44444444444445</c:v>
                </c:pt>
                <c:pt idx="26">
                  <c:v>4.28571428571429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 DIS"</c:f>
              <c:strCache>
                <c:ptCount val="1"/>
                <c:pt idx="0">
                  <c:v>T DIS</c:v>
                </c:pt>
              </c:strCache>
            </c:strRef>
          </c:tx>
          <c:spPr>
            <a:solidFill>
              <a:srgbClr val="829e48"/>
            </a:solidFill>
            <a:ln w="47520">
              <a:solidFill>
                <a:srgbClr val="829e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Comparacion!$C$2:$C$28</c:f>
              <c:numCache>
                <c:formatCode>0.00</c:formatCode>
                <c:ptCount val="27"/>
                <c:pt idx="0">
                  <c:v>120</c:v>
                </c:pt>
                <c:pt idx="1">
                  <c:v>80</c:v>
                </c:pt>
                <c:pt idx="2">
                  <c:v>60</c:v>
                </c:pt>
                <c:pt idx="3">
                  <c:v>48</c:v>
                </c:pt>
                <c:pt idx="4">
                  <c:v>40</c:v>
                </c:pt>
                <c:pt idx="5">
                  <c:v>34.2857142857143</c:v>
                </c:pt>
                <c:pt idx="6">
                  <c:v>30</c:v>
                </c:pt>
                <c:pt idx="7">
                  <c:v>26.6666666666667</c:v>
                </c:pt>
                <c:pt idx="8">
                  <c:v>24</c:v>
                </c:pt>
                <c:pt idx="9">
                  <c:v>21.8181818181818</c:v>
                </c:pt>
                <c:pt idx="10">
                  <c:v>20</c:v>
                </c:pt>
                <c:pt idx="11">
                  <c:v>18.4615384615385</c:v>
                </c:pt>
                <c:pt idx="12">
                  <c:v>17.1428571428571</c:v>
                </c:pt>
                <c:pt idx="13">
                  <c:v>16</c:v>
                </c:pt>
                <c:pt idx="14">
                  <c:v>15</c:v>
                </c:pt>
                <c:pt idx="15">
                  <c:v>14.1176470588235</c:v>
                </c:pt>
                <c:pt idx="16">
                  <c:v>13.3333333333333</c:v>
                </c:pt>
                <c:pt idx="17">
                  <c:v>12.6315789473684</c:v>
                </c:pt>
                <c:pt idx="18">
                  <c:v>12</c:v>
                </c:pt>
                <c:pt idx="19">
                  <c:v>11.4285714285714</c:v>
                </c:pt>
                <c:pt idx="20">
                  <c:v>10.9090909090909</c:v>
                </c:pt>
                <c:pt idx="21">
                  <c:v>10.4347826086957</c:v>
                </c:pt>
                <c:pt idx="22">
                  <c:v>10</c:v>
                </c:pt>
                <c:pt idx="23">
                  <c:v>9.6</c:v>
                </c:pt>
                <c:pt idx="24">
                  <c:v>9.23076923076923</c:v>
                </c:pt>
                <c:pt idx="25">
                  <c:v>8.88888888888889</c:v>
                </c:pt>
                <c:pt idx="26">
                  <c:v>8.57142857142857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 COP"</c:f>
              <c:strCache>
                <c:ptCount val="1"/>
                <c:pt idx="0">
                  <c:v>T COP</c:v>
                </c:pt>
              </c:strCache>
            </c:strRef>
          </c:tx>
          <c:spPr>
            <a:solidFill>
              <a:srgbClr val="91b051"/>
            </a:solidFill>
            <a:ln w="47520">
              <a:solidFill>
                <a:srgbClr val="91b0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Comparacion!$D$2:$D$28</c:f>
              <c:numCache>
                <c:formatCode>0.00</c:formatCode>
                <c:ptCount val="27"/>
                <c:pt idx="0">
                  <c:v>240</c:v>
                </c:pt>
                <c:pt idx="1">
                  <c:v>160</c:v>
                </c:pt>
                <c:pt idx="2">
                  <c:v>120</c:v>
                </c:pt>
                <c:pt idx="3">
                  <c:v>96</c:v>
                </c:pt>
                <c:pt idx="4">
                  <c:v>80</c:v>
                </c:pt>
                <c:pt idx="5">
                  <c:v>68.5714285714286</c:v>
                </c:pt>
                <c:pt idx="6">
                  <c:v>60</c:v>
                </c:pt>
                <c:pt idx="7">
                  <c:v>53.3333333333333</c:v>
                </c:pt>
                <c:pt idx="8">
                  <c:v>48</c:v>
                </c:pt>
                <c:pt idx="9">
                  <c:v>43.6363636363636</c:v>
                </c:pt>
                <c:pt idx="10">
                  <c:v>40</c:v>
                </c:pt>
                <c:pt idx="11">
                  <c:v>36.9230769230769</c:v>
                </c:pt>
                <c:pt idx="12">
                  <c:v>34.2857142857143</c:v>
                </c:pt>
                <c:pt idx="13">
                  <c:v>32</c:v>
                </c:pt>
                <c:pt idx="14">
                  <c:v>30</c:v>
                </c:pt>
                <c:pt idx="15">
                  <c:v>28.2352941176471</c:v>
                </c:pt>
                <c:pt idx="16">
                  <c:v>26.6666666666667</c:v>
                </c:pt>
                <c:pt idx="17">
                  <c:v>25.2631578947368</c:v>
                </c:pt>
                <c:pt idx="18">
                  <c:v>24</c:v>
                </c:pt>
                <c:pt idx="19">
                  <c:v>22.8571428571429</c:v>
                </c:pt>
                <c:pt idx="20">
                  <c:v>21.8181818181818</c:v>
                </c:pt>
                <c:pt idx="21">
                  <c:v>20.8695652173913</c:v>
                </c:pt>
                <c:pt idx="22">
                  <c:v>20</c:v>
                </c:pt>
                <c:pt idx="23">
                  <c:v>19.2</c:v>
                </c:pt>
                <c:pt idx="24">
                  <c:v>18.4615384615385</c:v>
                </c:pt>
                <c:pt idx="25">
                  <c:v>17.7777777777778</c:v>
                </c:pt>
                <c:pt idx="26">
                  <c:v>17.1428571428571</c:v>
                </c:pt>
              </c:numCache>
            </c:numRef>
          </c:yVal>
          <c:smooth val="1"/>
        </c:ser>
        <c:axId val="81287047"/>
        <c:axId val="21585830"/>
      </c:scatterChart>
      <c:scatterChart>
        <c:scatterStyle val="line"/>
        <c:varyColors val="0"/>
        <c:ser>
          <c:idx val="3"/>
          <c:order val="3"/>
          <c:tx>
            <c:strRef>
              <c:f>"DC distribuidor"</c:f>
              <c:strCache>
                <c:ptCount val="1"/>
                <c:pt idx="0">
                  <c:v>DC distribuidor</c:v>
                </c:pt>
              </c:strCache>
            </c:strRef>
          </c:tx>
          <c:spPr>
            <a:solidFill>
              <a:srgbClr val="a5c073"/>
            </a:solidFill>
            <a:ln w="47520">
              <a:solidFill>
                <a:srgbClr val="a5c07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Comparacion!$E$2:$E$28</c:f>
              <c:numCache>
                <c:formatCode>0.0</c:formatCode>
                <c:ptCount val="27"/>
                <c:pt idx="0">
                  <c:v>6.66666666666667</c:v>
                </c:pt>
                <c:pt idx="1">
                  <c:v>10</c:v>
                </c:pt>
                <c:pt idx="2">
                  <c:v>13.3333333333333</c:v>
                </c:pt>
                <c:pt idx="3">
                  <c:v>16.6666666666667</c:v>
                </c:pt>
                <c:pt idx="4">
                  <c:v>20</c:v>
                </c:pt>
                <c:pt idx="5">
                  <c:v>23.3333333333333</c:v>
                </c:pt>
                <c:pt idx="6">
                  <c:v>26.6666666666667</c:v>
                </c:pt>
                <c:pt idx="7">
                  <c:v>30</c:v>
                </c:pt>
                <c:pt idx="8">
                  <c:v>33.3333333333333</c:v>
                </c:pt>
                <c:pt idx="9">
                  <c:v>36.6666666666667</c:v>
                </c:pt>
                <c:pt idx="10">
                  <c:v>40</c:v>
                </c:pt>
                <c:pt idx="11">
                  <c:v>43.3333333333333</c:v>
                </c:pt>
                <c:pt idx="12">
                  <c:v>46.6666666666667</c:v>
                </c:pt>
                <c:pt idx="13">
                  <c:v>50</c:v>
                </c:pt>
                <c:pt idx="14">
                  <c:v>53.3333333333333</c:v>
                </c:pt>
                <c:pt idx="15">
                  <c:v>56.6666666666667</c:v>
                </c:pt>
                <c:pt idx="16">
                  <c:v>60</c:v>
                </c:pt>
                <c:pt idx="17">
                  <c:v>63.3333333333333</c:v>
                </c:pt>
                <c:pt idx="18">
                  <c:v>66.6666666666667</c:v>
                </c:pt>
                <c:pt idx="19">
                  <c:v>70</c:v>
                </c:pt>
                <c:pt idx="20">
                  <c:v>73.3333333333333</c:v>
                </c:pt>
                <c:pt idx="21">
                  <c:v>76.6666666666667</c:v>
                </c:pt>
                <c:pt idx="22">
                  <c:v>80</c:v>
                </c:pt>
                <c:pt idx="23">
                  <c:v>83.3333333333333</c:v>
                </c:pt>
                <c:pt idx="24">
                  <c:v>86.6666666666667</c:v>
                </c:pt>
                <c:pt idx="25">
                  <c:v>90</c:v>
                </c:pt>
                <c:pt idx="26">
                  <c:v>93.3333333333333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"DC DIS"</c:f>
              <c:strCache>
                <c:ptCount val="1"/>
                <c:pt idx="0">
                  <c:v>DC DIS</c:v>
                </c:pt>
              </c:strCache>
            </c:strRef>
          </c:tx>
          <c:spPr>
            <a:solidFill>
              <a:srgbClr val="bbce9e"/>
            </a:solidFill>
            <a:ln w="47520">
              <a:solidFill>
                <a:srgbClr val="bbce9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Comparacion!$F$2:$F$28</c:f>
              <c:numCache>
                <c:formatCode>0.0</c:formatCode>
                <c:ptCount val="27"/>
                <c:pt idx="0">
                  <c:v>3.33333333333333</c:v>
                </c:pt>
                <c:pt idx="1">
                  <c:v>5</c:v>
                </c:pt>
                <c:pt idx="2">
                  <c:v>6.66666666666667</c:v>
                </c:pt>
                <c:pt idx="3">
                  <c:v>8.33333333333333</c:v>
                </c:pt>
                <c:pt idx="4">
                  <c:v>10</c:v>
                </c:pt>
                <c:pt idx="5">
                  <c:v>11.6666666666667</c:v>
                </c:pt>
                <c:pt idx="6">
                  <c:v>13.3333333333333</c:v>
                </c:pt>
                <c:pt idx="7">
                  <c:v>15</c:v>
                </c:pt>
                <c:pt idx="8">
                  <c:v>16.6666666666667</c:v>
                </c:pt>
                <c:pt idx="9">
                  <c:v>18.3333333333333</c:v>
                </c:pt>
                <c:pt idx="10">
                  <c:v>20</c:v>
                </c:pt>
                <c:pt idx="11">
                  <c:v>21.6666666666667</c:v>
                </c:pt>
                <c:pt idx="12">
                  <c:v>23.3333333333333</c:v>
                </c:pt>
                <c:pt idx="13">
                  <c:v>25</c:v>
                </c:pt>
                <c:pt idx="14">
                  <c:v>26.6666666666667</c:v>
                </c:pt>
                <c:pt idx="15">
                  <c:v>28.3333333333333</c:v>
                </c:pt>
                <c:pt idx="16">
                  <c:v>30</c:v>
                </c:pt>
                <c:pt idx="17">
                  <c:v>31.6666666666667</c:v>
                </c:pt>
                <c:pt idx="18">
                  <c:v>33.3333333333333</c:v>
                </c:pt>
                <c:pt idx="19">
                  <c:v>35</c:v>
                </c:pt>
                <c:pt idx="20">
                  <c:v>36.6666666666667</c:v>
                </c:pt>
                <c:pt idx="21">
                  <c:v>38.3333333333333</c:v>
                </c:pt>
                <c:pt idx="22">
                  <c:v>40</c:v>
                </c:pt>
                <c:pt idx="23">
                  <c:v>41.6666666666667</c:v>
                </c:pt>
                <c:pt idx="24">
                  <c:v>43.3333333333333</c:v>
                </c:pt>
                <c:pt idx="25">
                  <c:v>45</c:v>
                </c:pt>
                <c:pt idx="26">
                  <c:v>46.6666666666667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"DC COP"</c:f>
              <c:strCache>
                <c:ptCount val="1"/>
                <c:pt idx="0">
                  <c:v>DC COP</c:v>
                </c:pt>
              </c:strCache>
            </c:strRef>
          </c:tx>
          <c:spPr>
            <a:solidFill>
              <a:srgbClr val="cfdcbd"/>
            </a:solidFill>
            <a:ln w="47520">
              <a:solidFill>
                <a:srgbClr val="cfdcb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Comparacion!$G$2:$G$28</c:f>
              <c:numCache>
                <c:formatCode>0.0</c:formatCode>
                <c:ptCount val="27"/>
                <c:pt idx="0">
                  <c:v>1.66666666666667</c:v>
                </c:pt>
                <c:pt idx="1">
                  <c:v>2.5</c:v>
                </c:pt>
                <c:pt idx="2">
                  <c:v>3.33333333333333</c:v>
                </c:pt>
                <c:pt idx="3">
                  <c:v>4.16666666666667</c:v>
                </c:pt>
                <c:pt idx="4">
                  <c:v>5</c:v>
                </c:pt>
                <c:pt idx="5">
                  <c:v>5.83333333333333</c:v>
                </c:pt>
                <c:pt idx="6">
                  <c:v>6.66666666666667</c:v>
                </c:pt>
                <c:pt idx="7">
                  <c:v>7.5</c:v>
                </c:pt>
                <c:pt idx="8">
                  <c:v>8.33333333333333</c:v>
                </c:pt>
                <c:pt idx="9">
                  <c:v>9.16666666666667</c:v>
                </c:pt>
                <c:pt idx="10">
                  <c:v>10</c:v>
                </c:pt>
                <c:pt idx="11">
                  <c:v>10.8333333333333</c:v>
                </c:pt>
                <c:pt idx="12">
                  <c:v>11.6666666666667</c:v>
                </c:pt>
                <c:pt idx="13">
                  <c:v>12.5</c:v>
                </c:pt>
                <c:pt idx="14">
                  <c:v>13.3333333333333</c:v>
                </c:pt>
                <c:pt idx="15">
                  <c:v>14.1666666666667</c:v>
                </c:pt>
                <c:pt idx="16">
                  <c:v>15</c:v>
                </c:pt>
                <c:pt idx="17">
                  <c:v>15.8333333333333</c:v>
                </c:pt>
                <c:pt idx="18">
                  <c:v>16.6666666666667</c:v>
                </c:pt>
                <c:pt idx="19">
                  <c:v>17.5</c:v>
                </c:pt>
                <c:pt idx="20">
                  <c:v>18.3333333333333</c:v>
                </c:pt>
                <c:pt idx="21">
                  <c:v>19.1666666666667</c:v>
                </c:pt>
                <c:pt idx="22">
                  <c:v>20</c:v>
                </c:pt>
                <c:pt idx="23">
                  <c:v>20.8333333333333</c:v>
                </c:pt>
                <c:pt idx="24">
                  <c:v>21.6666666666667</c:v>
                </c:pt>
                <c:pt idx="25">
                  <c:v>22.5</c:v>
                </c:pt>
                <c:pt idx="26">
                  <c:v>23.3333333333333</c:v>
                </c:pt>
              </c:numCache>
            </c:numRef>
          </c:yVal>
          <c:smooth val="1"/>
        </c:ser>
        <c:axId val="71933443"/>
        <c:axId val="4290831"/>
      </c:scatterChart>
      <c:valAx>
        <c:axId val="812870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85830"/>
        <c:crosses val="autoZero"/>
        <c:crossBetween val="midCat"/>
      </c:valAx>
      <c:valAx>
        <c:axId val="21585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entre disparos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87047"/>
        <c:crosses val="autoZero"/>
        <c:crossBetween val="midCat"/>
      </c:valAx>
      <c:valAx>
        <c:axId val="71933443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0831"/>
        <c:crosses val="autoZero"/>
        <c:crossBetween val="midCat"/>
      </c:valAx>
      <c:valAx>
        <c:axId val="429083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Cierre necesario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33443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Frecuencia de la señal: generador de distribuidor (eje izq.) y rueda fónica (eje der.)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 distribuidor"</c:f>
              <c:strCache>
                <c:ptCount val="1"/>
                <c:pt idx="0">
                  <c:v>f distribuidor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Comparacion!$H$2:$H$28</c:f>
              <c:numCache>
                <c:formatCode>0.0</c:formatCode>
                <c:ptCount val="27"/>
                <c:pt idx="0">
                  <c:v>16.6666666666667</c:v>
                </c:pt>
                <c:pt idx="1">
                  <c:v>25</c:v>
                </c:pt>
                <c:pt idx="2">
                  <c:v>33.3333333333333</c:v>
                </c:pt>
                <c:pt idx="3">
                  <c:v>41.6666666666667</c:v>
                </c:pt>
                <c:pt idx="4">
                  <c:v>50</c:v>
                </c:pt>
                <c:pt idx="5">
                  <c:v>58.3333333333333</c:v>
                </c:pt>
                <c:pt idx="6">
                  <c:v>66.6666666666667</c:v>
                </c:pt>
                <c:pt idx="7">
                  <c:v>75</c:v>
                </c:pt>
                <c:pt idx="8">
                  <c:v>83.3333333333333</c:v>
                </c:pt>
                <c:pt idx="9">
                  <c:v>91.6666666666667</c:v>
                </c:pt>
                <c:pt idx="10">
                  <c:v>100</c:v>
                </c:pt>
                <c:pt idx="11">
                  <c:v>108.333333333333</c:v>
                </c:pt>
                <c:pt idx="12">
                  <c:v>116.666666666667</c:v>
                </c:pt>
                <c:pt idx="13">
                  <c:v>125</c:v>
                </c:pt>
                <c:pt idx="14">
                  <c:v>133.333333333333</c:v>
                </c:pt>
                <c:pt idx="15">
                  <c:v>141.666666666667</c:v>
                </c:pt>
                <c:pt idx="16">
                  <c:v>150</c:v>
                </c:pt>
                <c:pt idx="17">
                  <c:v>158.333333333333</c:v>
                </c:pt>
                <c:pt idx="18">
                  <c:v>166.666666666667</c:v>
                </c:pt>
                <c:pt idx="19">
                  <c:v>175</c:v>
                </c:pt>
                <c:pt idx="20">
                  <c:v>183.333333333333</c:v>
                </c:pt>
                <c:pt idx="21">
                  <c:v>191.666666666667</c:v>
                </c:pt>
                <c:pt idx="22">
                  <c:v>200</c:v>
                </c:pt>
                <c:pt idx="23">
                  <c:v>208.333333333333</c:v>
                </c:pt>
                <c:pt idx="24">
                  <c:v>216.666666666667</c:v>
                </c:pt>
                <c:pt idx="25">
                  <c:v>225</c:v>
                </c:pt>
                <c:pt idx="26">
                  <c:v>233.333333333333</c:v>
                </c:pt>
              </c:numCache>
            </c:numRef>
          </c:yVal>
          <c:smooth val="1"/>
        </c:ser>
        <c:axId val="57782234"/>
        <c:axId val="32755810"/>
      </c:scatterChart>
      <c:scatterChart>
        <c:scatterStyle val="line"/>
        <c:varyColors val="0"/>
        <c:ser>
          <c:idx val="1"/>
          <c:order val="1"/>
          <c:tx>
            <c:strRef>
              <c:f>"f rueda fónica"</c:f>
              <c:strCache>
                <c:ptCount val="1"/>
                <c:pt idx="0">
                  <c:v>f rueda fónica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Comparacion!$A$2:$A$28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Comparacion!$I$2:$I$28</c:f>
              <c:numCache>
                <c:formatCode>0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yVal>
          <c:smooth val="1"/>
        </c:ser>
        <c:axId val="80593379"/>
        <c:axId val="82195853"/>
      </c:scatterChart>
      <c:valAx>
        <c:axId val="577822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55810"/>
        <c:crosses val="autoZero"/>
        <c:crossBetween val="midCat"/>
      </c:valAx>
      <c:valAx>
        <c:axId val="32755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82234"/>
        <c:crosses val="autoZero"/>
        <c:crossBetween val="midCat"/>
      </c:valAx>
      <c:valAx>
        <c:axId val="80593379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95853"/>
        <c:crosses val="autoZero"/>
        <c:crossBetween val="midCat"/>
      </c:valAx>
      <c:valAx>
        <c:axId val="8219585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93379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190440</xdr:rowOff>
    </xdr:from>
    <xdr:to>
      <xdr:col>24</xdr:col>
      <xdr:colOff>78480</xdr:colOff>
      <xdr:row>22</xdr:row>
      <xdr:rowOff>168480</xdr:rowOff>
    </xdr:to>
    <xdr:graphicFrame>
      <xdr:nvGraphicFramePr>
        <xdr:cNvPr id="0" name="Chart 1"/>
        <xdr:cNvGraphicFramePr/>
      </xdr:nvGraphicFramePr>
      <xdr:xfrm>
        <a:off x="611496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26</xdr:row>
      <xdr:rowOff>40320</xdr:rowOff>
    </xdr:from>
    <xdr:to>
      <xdr:col>24</xdr:col>
      <xdr:colOff>78480</xdr:colOff>
      <xdr:row>48</xdr:row>
      <xdr:rowOff>168840</xdr:rowOff>
    </xdr:to>
    <xdr:graphicFrame>
      <xdr:nvGraphicFramePr>
        <xdr:cNvPr id="1" name="Chart 2"/>
        <xdr:cNvGraphicFramePr/>
      </xdr:nvGraphicFramePr>
      <xdr:xfrm>
        <a:off x="6114960" y="51436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20"/>
  </cols>
  <sheetData>
    <row r="1" customFormat="false" ht="26.85" hidden="false" customHeight="false" outlineLevel="0" collapsed="false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 customFormat="false" ht="15" hidden="false" customHeight="false" outlineLevel="0" collapsed="false">
      <c r="A2" s="5" t="s">
        <v>11</v>
      </c>
      <c r="B2" s="5" t="s">
        <v>12</v>
      </c>
      <c r="C2" s="6" t="n">
        <v>4</v>
      </c>
      <c r="D2" s="5" t="s">
        <v>13</v>
      </c>
      <c r="E2" s="5"/>
    </row>
    <row r="3" customFormat="false" ht="15" hidden="false" customHeight="false" outlineLevel="0" collapsed="false">
      <c r="A3" s="5" t="s">
        <v>14</v>
      </c>
      <c r="B3" s="5" t="s">
        <v>15</v>
      </c>
      <c r="C3" s="6" t="n">
        <v>4</v>
      </c>
      <c r="D3" s="5" t="s">
        <v>16</v>
      </c>
      <c r="E3" s="5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6" t="n">
        <v>60</v>
      </c>
      <c r="D4" s="5" t="s">
        <v>13</v>
      </c>
      <c r="E4" s="5" t="s">
        <v>20</v>
      </c>
    </row>
    <row r="5" customFormat="false" ht="15" hidden="false" customHeight="false" outlineLevel="0" collapsed="false">
      <c r="A5" s="5" t="s">
        <v>21</v>
      </c>
      <c r="B5" s="5" t="s">
        <v>22</v>
      </c>
      <c r="C5" s="6" t="n">
        <v>800</v>
      </c>
      <c r="D5" s="5" t="s">
        <v>23</v>
      </c>
      <c r="E5" s="5"/>
    </row>
    <row r="6" customFormat="false" ht="15" hidden="false" customHeight="false" outlineLevel="0" collapsed="false">
      <c r="A6" s="5" t="s">
        <v>24</v>
      </c>
      <c r="B6" s="5" t="s">
        <v>25</v>
      </c>
      <c r="C6" s="6" t="n">
        <v>3000</v>
      </c>
      <c r="D6" s="5" t="s">
        <v>23</v>
      </c>
      <c r="E6" s="5"/>
    </row>
    <row r="7" customFormat="false" ht="15" hidden="false" customHeight="false" outlineLevel="0" collapsed="false">
      <c r="A7" s="5" t="s">
        <v>26</v>
      </c>
      <c r="B7" s="5" t="s">
        <v>27</v>
      </c>
      <c r="C7" s="6" t="n">
        <v>6000</v>
      </c>
      <c r="D7" s="5" t="s">
        <v>23</v>
      </c>
      <c r="E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customFormat="false" ht="15" hidden="false" customHeight="false" outlineLevel="0" collapsed="false">
      <c r="A2" s="0" t="n">
        <v>500</v>
      </c>
      <c r="B2" s="7" t="n">
        <f aca="false">120000/(A2*Datos!$C$2)</f>
        <v>60</v>
      </c>
      <c r="C2" s="7" t="n">
        <f aca="false">60000/A2</f>
        <v>120</v>
      </c>
      <c r="D2" s="7" t="n">
        <f aca="false">120000/A2</f>
        <v>240</v>
      </c>
      <c r="E2" s="8" t="n">
        <f aca="false">MIN(100,Datos!$C$3/B2*100)</f>
        <v>6.66666666666667</v>
      </c>
      <c r="F2" s="8" t="n">
        <f aca="false">MIN(100,Datos!$C$3/C2*100)</f>
        <v>3.33333333333333</v>
      </c>
      <c r="G2" s="8" t="n">
        <f aca="false">MIN(100,Datos!$C$3/D2*100)</f>
        <v>1.66666666666667</v>
      </c>
      <c r="H2" s="8" t="n">
        <f aca="false">A2*Datos!$C$2/120</f>
        <v>16.6666666666667</v>
      </c>
      <c r="I2" s="9" t="n">
        <f aca="false">A2*Datos!$C$4/60</f>
        <v>500</v>
      </c>
    </row>
    <row r="3" customFormat="false" ht="15" hidden="false" customHeight="false" outlineLevel="0" collapsed="false">
      <c r="A3" s="0" t="n">
        <v>750</v>
      </c>
      <c r="B3" s="7" t="n">
        <f aca="false">120000/(A3*Datos!$C$2)</f>
        <v>40</v>
      </c>
      <c r="C3" s="7" t="n">
        <f aca="false">60000/A3</f>
        <v>80</v>
      </c>
      <c r="D3" s="7" t="n">
        <f aca="false">120000/A3</f>
        <v>160</v>
      </c>
      <c r="E3" s="8" t="n">
        <f aca="false">MIN(100,Datos!$C$3/B3*100)</f>
        <v>10</v>
      </c>
      <c r="F3" s="8" t="n">
        <f aca="false">MIN(100,Datos!$C$3/C3*100)</f>
        <v>5</v>
      </c>
      <c r="G3" s="8" t="n">
        <f aca="false">MIN(100,Datos!$C$3/D3*100)</f>
        <v>2.5</v>
      </c>
      <c r="H3" s="8" t="n">
        <f aca="false">A3*Datos!$C$2/120</f>
        <v>25</v>
      </c>
      <c r="I3" s="9" t="n">
        <f aca="false">A3*Datos!$C$4/60</f>
        <v>750</v>
      </c>
    </row>
    <row r="4" customFormat="false" ht="15" hidden="false" customHeight="false" outlineLevel="0" collapsed="false">
      <c r="A4" s="0" t="n">
        <v>1000</v>
      </c>
      <c r="B4" s="7" t="n">
        <f aca="false">120000/(A4*Datos!$C$2)</f>
        <v>30</v>
      </c>
      <c r="C4" s="7" t="n">
        <f aca="false">60000/A4</f>
        <v>60</v>
      </c>
      <c r="D4" s="7" t="n">
        <f aca="false">120000/A4</f>
        <v>120</v>
      </c>
      <c r="E4" s="8" t="n">
        <f aca="false">MIN(100,Datos!$C$3/B4*100)</f>
        <v>13.3333333333333</v>
      </c>
      <c r="F4" s="8" t="n">
        <f aca="false">MIN(100,Datos!$C$3/C4*100)</f>
        <v>6.66666666666667</v>
      </c>
      <c r="G4" s="8" t="n">
        <f aca="false">MIN(100,Datos!$C$3/D4*100)</f>
        <v>3.33333333333333</v>
      </c>
      <c r="H4" s="8" t="n">
        <f aca="false">A4*Datos!$C$2/120</f>
        <v>33.3333333333333</v>
      </c>
      <c r="I4" s="9" t="n">
        <f aca="false">A4*Datos!$C$4/60</f>
        <v>1000</v>
      </c>
    </row>
    <row r="5" customFormat="false" ht="15" hidden="false" customHeight="false" outlineLevel="0" collapsed="false">
      <c r="A5" s="0" t="n">
        <v>1250</v>
      </c>
      <c r="B5" s="7" t="n">
        <f aca="false">120000/(A5*Datos!$C$2)</f>
        <v>24</v>
      </c>
      <c r="C5" s="7" t="n">
        <f aca="false">60000/A5</f>
        <v>48</v>
      </c>
      <c r="D5" s="7" t="n">
        <f aca="false">120000/A5</f>
        <v>96</v>
      </c>
      <c r="E5" s="8" t="n">
        <f aca="false">MIN(100,Datos!$C$3/B5*100)</f>
        <v>16.6666666666667</v>
      </c>
      <c r="F5" s="8" t="n">
        <f aca="false">MIN(100,Datos!$C$3/C5*100)</f>
        <v>8.33333333333333</v>
      </c>
      <c r="G5" s="8" t="n">
        <f aca="false">MIN(100,Datos!$C$3/D5*100)</f>
        <v>4.16666666666667</v>
      </c>
      <c r="H5" s="8" t="n">
        <f aca="false">A5*Datos!$C$2/120</f>
        <v>41.6666666666667</v>
      </c>
      <c r="I5" s="9" t="n">
        <f aca="false">A5*Datos!$C$4/60</f>
        <v>1250</v>
      </c>
    </row>
    <row r="6" customFormat="false" ht="15" hidden="false" customHeight="false" outlineLevel="0" collapsed="false">
      <c r="A6" s="0" t="n">
        <v>1500</v>
      </c>
      <c r="B6" s="7" t="n">
        <f aca="false">120000/(A6*Datos!$C$2)</f>
        <v>20</v>
      </c>
      <c r="C6" s="7" t="n">
        <f aca="false">60000/A6</f>
        <v>40</v>
      </c>
      <c r="D6" s="7" t="n">
        <f aca="false">120000/A6</f>
        <v>80</v>
      </c>
      <c r="E6" s="8" t="n">
        <f aca="false">MIN(100,Datos!$C$3/B6*100)</f>
        <v>20</v>
      </c>
      <c r="F6" s="8" t="n">
        <f aca="false">MIN(100,Datos!$C$3/C6*100)</f>
        <v>10</v>
      </c>
      <c r="G6" s="8" t="n">
        <f aca="false">MIN(100,Datos!$C$3/D6*100)</f>
        <v>5</v>
      </c>
      <c r="H6" s="8" t="n">
        <f aca="false">A6*Datos!$C$2/120</f>
        <v>50</v>
      </c>
      <c r="I6" s="9" t="n">
        <f aca="false">A6*Datos!$C$4/60</f>
        <v>1500</v>
      </c>
    </row>
    <row r="7" customFormat="false" ht="15" hidden="false" customHeight="false" outlineLevel="0" collapsed="false">
      <c r="A7" s="0" t="n">
        <v>1750</v>
      </c>
      <c r="B7" s="7" t="n">
        <f aca="false">120000/(A7*Datos!$C$2)</f>
        <v>17.1428571428571</v>
      </c>
      <c r="C7" s="7" t="n">
        <f aca="false">60000/A7</f>
        <v>34.2857142857143</v>
      </c>
      <c r="D7" s="7" t="n">
        <f aca="false">120000/A7</f>
        <v>68.5714285714286</v>
      </c>
      <c r="E7" s="8" t="n">
        <f aca="false">MIN(100,Datos!$C$3/B7*100)</f>
        <v>23.3333333333333</v>
      </c>
      <c r="F7" s="8" t="n">
        <f aca="false">MIN(100,Datos!$C$3/C7*100)</f>
        <v>11.6666666666667</v>
      </c>
      <c r="G7" s="8" t="n">
        <f aca="false">MIN(100,Datos!$C$3/D7*100)</f>
        <v>5.83333333333333</v>
      </c>
      <c r="H7" s="8" t="n">
        <f aca="false">A7*Datos!$C$2/120</f>
        <v>58.3333333333333</v>
      </c>
      <c r="I7" s="9" t="n">
        <f aca="false">A7*Datos!$C$4/60</f>
        <v>1750</v>
      </c>
    </row>
    <row r="8" customFormat="false" ht="15" hidden="false" customHeight="false" outlineLevel="0" collapsed="false">
      <c r="A8" s="0" t="n">
        <v>2000</v>
      </c>
      <c r="B8" s="7" t="n">
        <f aca="false">120000/(A8*Datos!$C$2)</f>
        <v>15</v>
      </c>
      <c r="C8" s="7" t="n">
        <f aca="false">60000/A8</f>
        <v>30</v>
      </c>
      <c r="D8" s="7" t="n">
        <f aca="false">120000/A8</f>
        <v>60</v>
      </c>
      <c r="E8" s="8" t="n">
        <f aca="false">MIN(100,Datos!$C$3/B8*100)</f>
        <v>26.6666666666667</v>
      </c>
      <c r="F8" s="8" t="n">
        <f aca="false">MIN(100,Datos!$C$3/C8*100)</f>
        <v>13.3333333333333</v>
      </c>
      <c r="G8" s="8" t="n">
        <f aca="false">MIN(100,Datos!$C$3/D8*100)</f>
        <v>6.66666666666667</v>
      </c>
      <c r="H8" s="8" t="n">
        <f aca="false">A8*Datos!$C$2/120</f>
        <v>66.6666666666667</v>
      </c>
      <c r="I8" s="9" t="n">
        <f aca="false">A8*Datos!$C$4/60</f>
        <v>2000</v>
      </c>
    </row>
    <row r="9" customFormat="false" ht="15" hidden="false" customHeight="false" outlineLevel="0" collapsed="false">
      <c r="A9" s="0" t="n">
        <v>2250</v>
      </c>
      <c r="B9" s="7" t="n">
        <f aca="false">120000/(A9*Datos!$C$2)</f>
        <v>13.3333333333333</v>
      </c>
      <c r="C9" s="7" t="n">
        <f aca="false">60000/A9</f>
        <v>26.6666666666667</v>
      </c>
      <c r="D9" s="7" t="n">
        <f aca="false">120000/A9</f>
        <v>53.3333333333333</v>
      </c>
      <c r="E9" s="8" t="n">
        <f aca="false">MIN(100,Datos!$C$3/B9*100)</f>
        <v>30</v>
      </c>
      <c r="F9" s="8" t="n">
        <f aca="false">MIN(100,Datos!$C$3/C9*100)</f>
        <v>15</v>
      </c>
      <c r="G9" s="8" t="n">
        <f aca="false">MIN(100,Datos!$C$3/D9*100)</f>
        <v>7.5</v>
      </c>
      <c r="H9" s="8" t="n">
        <f aca="false">A9*Datos!$C$2/120</f>
        <v>75</v>
      </c>
      <c r="I9" s="9" t="n">
        <f aca="false">A9*Datos!$C$4/60</f>
        <v>2250</v>
      </c>
    </row>
    <row r="10" customFormat="false" ht="15" hidden="false" customHeight="false" outlineLevel="0" collapsed="false">
      <c r="A10" s="0" t="n">
        <v>2500</v>
      </c>
      <c r="B10" s="7" t="n">
        <f aca="false">120000/(A10*Datos!$C$2)</f>
        <v>12</v>
      </c>
      <c r="C10" s="7" t="n">
        <f aca="false">60000/A10</f>
        <v>24</v>
      </c>
      <c r="D10" s="7" t="n">
        <f aca="false">120000/A10</f>
        <v>48</v>
      </c>
      <c r="E10" s="8" t="n">
        <f aca="false">MIN(100,Datos!$C$3/B10*100)</f>
        <v>33.3333333333333</v>
      </c>
      <c r="F10" s="8" t="n">
        <f aca="false">MIN(100,Datos!$C$3/C10*100)</f>
        <v>16.6666666666667</v>
      </c>
      <c r="G10" s="8" t="n">
        <f aca="false">MIN(100,Datos!$C$3/D10*100)</f>
        <v>8.33333333333333</v>
      </c>
      <c r="H10" s="8" t="n">
        <f aca="false">A10*Datos!$C$2/120</f>
        <v>83.3333333333333</v>
      </c>
      <c r="I10" s="9" t="n">
        <f aca="false">A10*Datos!$C$4/60</f>
        <v>2500</v>
      </c>
    </row>
    <row r="11" customFormat="false" ht="15" hidden="false" customHeight="false" outlineLevel="0" collapsed="false">
      <c r="A11" s="0" t="n">
        <v>2750</v>
      </c>
      <c r="B11" s="7" t="n">
        <f aca="false">120000/(A11*Datos!$C$2)</f>
        <v>10.9090909090909</v>
      </c>
      <c r="C11" s="7" t="n">
        <f aca="false">60000/A11</f>
        <v>21.8181818181818</v>
      </c>
      <c r="D11" s="7" t="n">
        <f aca="false">120000/A11</f>
        <v>43.6363636363636</v>
      </c>
      <c r="E11" s="8" t="n">
        <f aca="false">MIN(100,Datos!$C$3/B11*100)</f>
        <v>36.6666666666667</v>
      </c>
      <c r="F11" s="8" t="n">
        <f aca="false">MIN(100,Datos!$C$3/C11*100)</f>
        <v>18.3333333333333</v>
      </c>
      <c r="G11" s="8" t="n">
        <f aca="false">MIN(100,Datos!$C$3/D11*100)</f>
        <v>9.16666666666667</v>
      </c>
      <c r="H11" s="8" t="n">
        <f aca="false">A11*Datos!$C$2/120</f>
        <v>91.6666666666667</v>
      </c>
      <c r="I11" s="9" t="n">
        <f aca="false">A11*Datos!$C$4/60</f>
        <v>2750</v>
      </c>
    </row>
    <row r="12" customFormat="false" ht="15" hidden="false" customHeight="false" outlineLevel="0" collapsed="false">
      <c r="A12" s="0" t="n">
        <v>3000</v>
      </c>
      <c r="B12" s="7" t="n">
        <f aca="false">120000/(A12*Datos!$C$2)</f>
        <v>10</v>
      </c>
      <c r="C12" s="7" t="n">
        <f aca="false">60000/A12</f>
        <v>20</v>
      </c>
      <c r="D12" s="7" t="n">
        <f aca="false">120000/A12</f>
        <v>40</v>
      </c>
      <c r="E12" s="8" t="n">
        <f aca="false">MIN(100,Datos!$C$3/B12*100)</f>
        <v>40</v>
      </c>
      <c r="F12" s="8" t="n">
        <f aca="false">MIN(100,Datos!$C$3/C12*100)</f>
        <v>20</v>
      </c>
      <c r="G12" s="8" t="n">
        <f aca="false">MIN(100,Datos!$C$3/D12*100)</f>
        <v>10</v>
      </c>
      <c r="H12" s="8" t="n">
        <f aca="false">A12*Datos!$C$2/120</f>
        <v>100</v>
      </c>
      <c r="I12" s="9" t="n">
        <f aca="false">A12*Datos!$C$4/60</f>
        <v>3000</v>
      </c>
    </row>
    <row r="13" customFormat="false" ht="15" hidden="false" customHeight="false" outlineLevel="0" collapsed="false">
      <c r="A13" s="0" t="n">
        <v>3250</v>
      </c>
      <c r="B13" s="7" t="n">
        <f aca="false">120000/(A13*Datos!$C$2)</f>
        <v>9.23076923076923</v>
      </c>
      <c r="C13" s="7" t="n">
        <f aca="false">60000/A13</f>
        <v>18.4615384615385</v>
      </c>
      <c r="D13" s="7" t="n">
        <f aca="false">120000/A13</f>
        <v>36.9230769230769</v>
      </c>
      <c r="E13" s="8" t="n">
        <f aca="false">MIN(100,Datos!$C$3/B13*100)</f>
        <v>43.3333333333333</v>
      </c>
      <c r="F13" s="8" t="n">
        <f aca="false">MIN(100,Datos!$C$3/C13*100)</f>
        <v>21.6666666666667</v>
      </c>
      <c r="G13" s="8" t="n">
        <f aca="false">MIN(100,Datos!$C$3/D13*100)</f>
        <v>10.8333333333333</v>
      </c>
      <c r="H13" s="8" t="n">
        <f aca="false">A13*Datos!$C$2/120</f>
        <v>108.333333333333</v>
      </c>
      <c r="I13" s="9" t="n">
        <f aca="false">A13*Datos!$C$4/60</f>
        <v>3250</v>
      </c>
    </row>
    <row r="14" customFormat="false" ht="15" hidden="false" customHeight="false" outlineLevel="0" collapsed="false">
      <c r="A14" s="0" t="n">
        <v>3500</v>
      </c>
      <c r="B14" s="7" t="n">
        <f aca="false">120000/(A14*Datos!$C$2)</f>
        <v>8.57142857142857</v>
      </c>
      <c r="C14" s="7" t="n">
        <f aca="false">60000/A14</f>
        <v>17.1428571428571</v>
      </c>
      <c r="D14" s="7" t="n">
        <f aca="false">120000/A14</f>
        <v>34.2857142857143</v>
      </c>
      <c r="E14" s="8" t="n">
        <f aca="false">MIN(100,Datos!$C$3/B14*100)</f>
        <v>46.6666666666667</v>
      </c>
      <c r="F14" s="8" t="n">
        <f aca="false">MIN(100,Datos!$C$3/C14*100)</f>
        <v>23.3333333333333</v>
      </c>
      <c r="G14" s="8" t="n">
        <f aca="false">MIN(100,Datos!$C$3/D14*100)</f>
        <v>11.6666666666667</v>
      </c>
      <c r="H14" s="8" t="n">
        <f aca="false">A14*Datos!$C$2/120</f>
        <v>116.666666666667</v>
      </c>
      <c r="I14" s="9" t="n">
        <f aca="false">A14*Datos!$C$4/60</f>
        <v>3500</v>
      </c>
    </row>
    <row r="15" customFormat="false" ht="15" hidden="false" customHeight="false" outlineLevel="0" collapsed="false">
      <c r="A15" s="0" t="n">
        <v>3750</v>
      </c>
      <c r="B15" s="7" t="n">
        <f aca="false">120000/(A15*Datos!$C$2)</f>
        <v>8</v>
      </c>
      <c r="C15" s="7" t="n">
        <f aca="false">60000/A15</f>
        <v>16</v>
      </c>
      <c r="D15" s="7" t="n">
        <f aca="false">120000/A15</f>
        <v>32</v>
      </c>
      <c r="E15" s="8" t="n">
        <f aca="false">MIN(100,Datos!$C$3/B15*100)</f>
        <v>50</v>
      </c>
      <c r="F15" s="8" t="n">
        <f aca="false">MIN(100,Datos!$C$3/C15*100)</f>
        <v>25</v>
      </c>
      <c r="G15" s="8" t="n">
        <f aca="false">MIN(100,Datos!$C$3/D15*100)</f>
        <v>12.5</v>
      </c>
      <c r="H15" s="8" t="n">
        <f aca="false">A15*Datos!$C$2/120</f>
        <v>125</v>
      </c>
      <c r="I15" s="9" t="n">
        <f aca="false">A15*Datos!$C$4/60</f>
        <v>3750</v>
      </c>
    </row>
    <row r="16" customFormat="false" ht="15" hidden="false" customHeight="false" outlineLevel="0" collapsed="false">
      <c r="A16" s="0" t="n">
        <v>4000</v>
      </c>
      <c r="B16" s="7" t="n">
        <f aca="false">120000/(A16*Datos!$C$2)</f>
        <v>7.5</v>
      </c>
      <c r="C16" s="7" t="n">
        <f aca="false">60000/A16</f>
        <v>15</v>
      </c>
      <c r="D16" s="7" t="n">
        <f aca="false">120000/A16</f>
        <v>30</v>
      </c>
      <c r="E16" s="8" t="n">
        <f aca="false">MIN(100,Datos!$C$3/B16*100)</f>
        <v>53.3333333333333</v>
      </c>
      <c r="F16" s="8" t="n">
        <f aca="false">MIN(100,Datos!$C$3/C16*100)</f>
        <v>26.6666666666667</v>
      </c>
      <c r="G16" s="8" t="n">
        <f aca="false">MIN(100,Datos!$C$3/D16*100)</f>
        <v>13.3333333333333</v>
      </c>
      <c r="H16" s="8" t="n">
        <f aca="false">A16*Datos!$C$2/120</f>
        <v>133.333333333333</v>
      </c>
      <c r="I16" s="9" t="n">
        <f aca="false">A16*Datos!$C$4/60</f>
        <v>4000</v>
      </c>
    </row>
    <row r="17" customFormat="false" ht="15" hidden="false" customHeight="false" outlineLevel="0" collapsed="false">
      <c r="A17" s="0" t="n">
        <v>4250</v>
      </c>
      <c r="B17" s="7" t="n">
        <f aca="false">120000/(A17*Datos!$C$2)</f>
        <v>7.05882352941176</v>
      </c>
      <c r="C17" s="7" t="n">
        <f aca="false">60000/A17</f>
        <v>14.1176470588235</v>
      </c>
      <c r="D17" s="7" t="n">
        <f aca="false">120000/A17</f>
        <v>28.2352941176471</v>
      </c>
      <c r="E17" s="8" t="n">
        <f aca="false">MIN(100,Datos!$C$3/B17*100)</f>
        <v>56.6666666666667</v>
      </c>
      <c r="F17" s="8" t="n">
        <f aca="false">MIN(100,Datos!$C$3/C17*100)</f>
        <v>28.3333333333333</v>
      </c>
      <c r="G17" s="8" t="n">
        <f aca="false">MIN(100,Datos!$C$3/D17*100)</f>
        <v>14.1666666666667</v>
      </c>
      <c r="H17" s="8" t="n">
        <f aca="false">A17*Datos!$C$2/120</f>
        <v>141.666666666667</v>
      </c>
      <c r="I17" s="9" t="n">
        <f aca="false">A17*Datos!$C$4/60</f>
        <v>4250</v>
      </c>
    </row>
    <row r="18" customFormat="false" ht="15" hidden="false" customHeight="false" outlineLevel="0" collapsed="false">
      <c r="A18" s="0" t="n">
        <v>4500</v>
      </c>
      <c r="B18" s="7" t="n">
        <f aca="false">120000/(A18*Datos!$C$2)</f>
        <v>6.66666666666667</v>
      </c>
      <c r="C18" s="7" t="n">
        <f aca="false">60000/A18</f>
        <v>13.3333333333333</v>
      </c>
      <c r="D18" s="7" t="n">
        <f aca="false">120000/A18</f>
        <v>26.6666666666667</v>
      </c>
      <c r="E18" s="8" t="n">
        <f aca="false">MIN(100,Datos!$C$3/B18*100)</f>
        <v>60</v>
      </c>
      <c r="F18" s="8" t="n">
        <f aca="false">MIN(100,Datos!$C$3/C18*100)</f>
        <v>30</v>
      </c>
      <c r="G18" s="8" t="n">
        <f aca="false">MIN(100,Datos!$C$3/D18*100)</f>
        <v>15</v>
      </c>
      <c r="H18" s="8" t="n">
        <f aca="false">A18*Datos!$C$2/120</f>
        <v>150</v>
      </c>
      <c r="I18" s="9" t="n">
        <f aca="false">A18*Datos!$C$4/60</f>
        <v>4500</v>
      </c>
    </row>
    <row r="19" customFormat="false" ht="15" hidden="false" customHeight="false" outlineLevel="0" collapsed="false">
      <c r="A19" s="0" t="n">
        <v>4750</v>
      </c>
      <c r="B19" s="7" t="n">
        <f aca="false">120000/(A19*Datos!$C$2)</f>
        <v>6.31578947368421</v>
      </c>
      <c r="C19" s="7" t="n">
        <f aca="false">60000/A19</f>
        <v>12.6315789473684</v>
      </c>
      <c r="D19" s="7" t="n">
        <f aca="false">120000/A19</f>
        <v>25.2631578947368</v>
      </c>
      <c r="E19" s="8" t="n">
        <f aca="false">MIN(100,Datos!$C$3/B19*100)</f>
        <v>63.3333333333333</v>
      </c>
      <c r="F19" s="8" t="n">
        <f aca="false">MIN(100,Datos!$C$3/C19*100)</f>
        <v>31.6666666666667</v>
      </c>
      <c r="G19" s="8" t="n">
        <f aca="false">MIN(100,Datos!$C$3/D19*100)</f>
        <v>15.8333333333333</v>
      </c>
      <c r="H19" s="8" t="n">
        <f aca="false">A19*Datos!$C$2/120</f>
        <v>158.333333333333</v>
      </c>
      <c r="I19" s="9" t="n">
        <f aca="false">A19*Datos!$C$4/60</f>
        <v>4750</v>
      </c>
    </row>
    <row r="20" customFormat="false" ht="15" hidden="false" customHeight="false" outlineLevel="0" collapsed="false">
      <c r="A20" s="0" t="n">
        <v>5000</v>
      </c>
      <c r="B20" s="7" t="n">
        <f aca="false">120000/(A20*Datos!$C$2)</f>
        <v>6</v>
      </c>
      <c r="C20" s="7" t="n">
        <f aca="false">60000/A20</f>
        <v>12</v>
      </c>
      <c r="D20" s="7" t="n">
        <f aca="false">120000/A20</f>
        <v>24</v>
      </c>
      <c r="E20" s="8" t="n">
        <f aca="false">MIN(100,Datos!$C$3/B20*100)</f>
        <v>66.6666666666667</v>
      </c>
      <c r="F20" s="8" t="n">
        <f aca="false">MIN(100,Datos!$C$3/C20*100)</f>
        <v>33.3333333333333</v>
      </c>
      <c r="G20" s="8" t="n">
        <f aca="false">MIN(100,Datos!$C$3/D20*100)</f>
        <v>16.6666666666667</v>
      </c>
      <c r="H20" s="8" t="n">
        <f aca="false">A20*Datos!$C$2/120</f>
        <v>166.666666666667</v>
      </c>
      <c r="I20" s="9" t="n">
        <f aca="false">A20*Datos!$C$4/60</f>
        <v>5000</v>
      </c>
    </row>
    <row r="21" customFormat="false" ht="15" hidden="false" customHeight="false" outlineLevel="0" collapsed="false">
      <c r="A21" s="0" t="n">
        <v>5250</v>
      </c>
      <c r="B21" s="7" t="n">
        <f aca="false">120000/(A21*Datos!$C$2)</f>
        <v>5.71428571428571</v>
      </c>
      <c r="C21" s="7" t="n">
        <f aca="false">60000/A21</f>
        <v>11.4285714285714</v>
      </c>
      <c r="D21" s="7" t="n">
        <f aca="false">120000/A21</f>
        <v>22.8571428571429</v>
      </c>
      <c r="E21" s="8" t="n">
        <f aca="false">MIN(100,Datos!$C$3/B21*100)</f>
        <v>70</v>
      </c>
      <c r="F21" s="8" t="n">
        <f aca="false">MIN(100,Datos!$C$3/C21*100)</f>
        <v>35</v>
      </c>
      <c r="G21" s="8" t="n">
        <f aca="false">MIN(100,Datos!$C$3/D21*100)</f>
        <v>17.5</v>
      </c>
      <c r="H21" s="8" t="n">
        <f aca="false">A21*Datos!$C$2/120</f>
        <v>175</v>
      </c>
      <c r="I21" s="9" t="n">
        <f aca="false">A21*Datos!$C$4/60</f>
        <v>5250</v>
      </c>
    </row>
    <row r="22" customFormat="false" ht="15" hidden="false" customHeight="false" outlineLevel="0" collapsed="false">
      <c r="A22" s="0" t="n">
        <v>5500</v>
      </c>
      <c r="B22" s="7" t="n">
        <f aca="false">120000/(A22*Datos!$C$2)</f>
        <v>5.45454545454545</v>
      </c>
      <c r="C22" s="7" t="n">
        <f aca="false">60000/A22</f>
        <v>10.9090909090909</v>
      </c>
      <c r="D22" s="7" t="n">
        <f aca="false">120000/A22</f>
        <v>21.8181818181818</v>
      </c>
      <c r="E22" s="8" t="n">
        <f aca="false">MIN(100,Datos!$C$3/B22*100)</f>
        <v>73.3333333333333</v>
      </c>
      <c r="F22" s="8" t="n">
        <f aca="false">MIN(100,Datos!$C$3/C22*100)</f>
        <v>36.6666666666667</v>
      </c>
      <c r="G22" s="8" t="n">
        <f aca="false">MIN(100,Datos!$C$3/D22*100)</f>
        <v>18.3333333333333</v>
      </c>
      <c r="H22" s="8" t="n">
        <f aca="false">A22*Datos!$C$2/120</f>
        <v>183.333333333333</v>
      </c>
      <c r="I22" s="9" t="n">
        <f aca="false">A22*Datos!$C$4/60</f>
        <v>5500</v>
      </c>
    </row>
    <row r="23" customFormat="false" ht="15" hidden="false" customHeight="false" outlineLevel="0" collapsed="false">
      <c r="A23" s="0" t="n">
        <v>5750</v>
      </c>
      <c r="B23" s="7" t="n">
        <f aca="false">120000/(A23*Datos!$C$2)</f>
        <v>5.21739130434783</v>
      </c>
      <c r="C23" s="7" t="n">
        <f aca="false">60000/A23</f>
        <v>10.4347826086957</v>
      </c>
      <c r="D23" s="7" t="n">
        <f aca="false">120000/A23</f>
        <v>20.8695652173913</v>
      </c>
      <c r="E23" s="8" t="n">
        <f aca="false">MIN(100,Datos!$C$3/B23*100)</f>
        <v>76.6666666666667</v>
      </c>
      <c r="F23" s="8" t="n">
        <f aca="false">MIN(100,Datos!$C$3/C23*100)</f>
        <v>38.3333333333333</v>
      </c>
      <c r="G23" s="8" t="n">
        <f aca="false">MIN(100,Datos!$C$3/D23*100)</f>
        <v>19.1666666666667</v>
      </c>
      <c r="H23" s="8" t="n">
        <f aca="false">A23*Datos!$C$2/120</f>
        <v>191.666666666667</v>
      </c>
      <c r="I23" s="9" t="n">
        <f aca="false">A23*Datos!$C$4/60</f>
        <v>5750</v>
      </c>
    </row>
    <row r="24" customFormat="false" ht="15" hidden="false" customHeight="false" outlineLevel="0" collapsed="false">
      <c r="A24" s="0" t="n">
        <v>6000</v>
      </c>
      <c r="B24" s="7" t="n">
        <f aca="false">120000/(A24*Datos!$C$2)</f>
        <v>5</v>
      </c>
      <c r="C24" s="7" t="n">
        <f aca="false">60000/A24</f>
        <v>10</v>
      </c>
      <c r="D24" s="7" t="n">
        <f aca="false">120000/A24</f>
        <v>20</v>
      </c>
      <c r="E24" s="8" t="n">
        <f aca="false">MIN(100,Datos!$C$3/B24*100)</f>
        <v>80</v>
      </c>
      <c r="F24" s="8" t="n">
        <f aca="false">MIN(100,Datos!$C$3/C24*100)</f>
        <v>40</v>
      </c>
      <c r="G24" s="8" t="n">
        <f aca="false">MIN(100,Datos!$C$3/D24*100)</f>
        <v>20</v>
      </c>
      <c r="H24" s="8" t="n">
        <f aca="false">A24*Datos!$C$2/120</f>
        <v>200</v>
      </c>
      <c r="I24" s="9" t="n">
        <f aca="false">A24*Datos!$C$4/60</f>
        <v>6000</v>
      </c>
    </row>
    <row r="25" customFormat="false" ht="15" hidden="false" customHeight="false" outlineLevel="0" collapsed="false">
      <c r="A25" s="0" t="n">
        <v>6250</v>
      </c>
      <c r="B25" s="7" t="n">
        <f aca="false">120000/(A25*Datos!$C$2)</f>
        <v>4.8</v>
      </c>
      <c r="C25" s="7" t="n">
        <f aca="false">60000/A25</f>
        <v>9.6</v>
      </c>
      <c r="D25" s="7" t="n">
        <f aca="false">120000/A25</f>
        <v>19.2</v>
      </c>
      <c r="E25" s="8" t="n">
        <f aca="false">MIN(100,Datos!$C$3/B25*100)</f>
        <v>83.3333333333333</v>
      </c>
      <c r="F25" s="8" t="n">
        <f aca="false">MIN(100,Datos!$C$3/C25*100)</f>
        <v>41.6666666666667</v>
      </c>
      <c r="G25" s="8" t="n">
        <f aca="false">MIN(100,Datos!$C$3/D25*100)</f>
        <v>20.8333333333333</v>
      </c>
      <c r="H25" s="8" t="n">
        <f aca="false">A25*Datos!$C$2/120</f>
        <v>208.333333333333</v>
      </c>
      <c r="I25" s="9" t="n">
        <f aca="false">A25*Datos!$C$4/60</f>
        <v>6250</v>
      </c>
    </row>
    <row r="26" customFormat="false" ht="15" hidden="false" customHeight="false" outlineLevel="0" collapsed="false">
      <c r="A26" s="0" t="n">
        <v>6500</v>
      </c>
      <c r="B26" s="7" t="n">
        <f aca="false">120000/(A26*Datos!$C$2)</f>
        <v>4.61538461538462</v>
      </c>
      <c r="C26" s="7" t="n">
        <f aca="false">60000/A26</f>
        <v>9.23076923076923</v>
      </c>
      <c r="D26" s="7" t="n">
        <f aca="false">120000/A26</f>
        <v>18.4615384615385</v>
      </c>
      <c r="E26" s="8" t="n">
        <f aca="false">MIN(100,Datos!$C$3/B26*100)</f>
        <v>86.6666666666667</v>
      </c>
      <c r="F26" s="8" t="n">
        <f aca="false">MIN(100,Datos!$C$3/C26*100)</f>
        <v>43.3333333333333</v>
      </c>
      <c r="G26" s="8" t="n">
        <f aca="false">MIN(100,Datos!$C$3/D26*100)</f>
        <v>21.6666666666667</v>
      </c>
      <c r="H26" s="8" t="n">
        <f aca="false">A26*Datos!$C$2/120</f>
        <v>216.666666666667</v>
      </c>
      <c r="I26" s="9" t="n">
        <f aca="false">A26*Datos!$C$4/60</f>
        <v>6500</v>
      </c>
    </row>
    <row r="27" customFormat="false" ht="15" hidden="false" customHeight="false" outlineLevel="0" collapsed="false">
      <c r="A27" s="0" t="n">
        <v>6750</v>
      </c>
      <c r="B27" s="7" t="n">
        <f aca="false">120000/(A27*Datos!$C$2)</f>
        <v>4.44444444444445</v>
      </c>
      <c r="C27" s="7" t="n">
        <f aca="false">60000/A27</f>
        <v>8.88888888888889</v>
      </c>
      <c r="D27" s="7" t="n">
        <f aca="false">120000/A27</f>
        <v>17.7777777777778</v>
      </c>
      <c r="E27" s="8" t="n">
        <f aca="false">MIN(100,Datos!$C$3/B27*100)</f>
        <v>90</v>
      </c>
      <c r="F27" s="8" t="n">
        <f aca="false">MIN(100,Datos!$C$3/C27*100)</f>
        <v>45</v>
      </c>
      <c r="G27" s="8" t="n">
        <f aca="false">MIN(100,Datos!$C$3/D27*100)</f>
        <v>22.5</v>
      </c>
      <c r="H27" s="8" t="n">
        <f aca="false">A27*Datos!$C$2/120</f>
        <v>225</v>
      </c>
      <c r="I27" s="9" t="n">
        <f aca="false">A27*Datos!$C$4/60</f>
        <v>6750</v>
      </c>
    </row>
    <row r="28" customFormat="false" ht="15" hidden="false" customHeight="false" outlineLevel="0" collapsed="false">
      <c r="A28" s="0" t="n">
        <v>7000</v>
      </c>
      <c r="B28" s="7" t="n">
        <f aca="false">120000/(A28*Datos!$C$2)</f>
        <v>4.28571428571429</v>
      </c>
      <c r="C28" s="7" t="n">
        <f aca="false">60000/A28</f>
        <v>8.57142857142857</v>
      </c>
      <c r="D28" s="7" t="n">
        <f aca="false">120000/A28</f>
        <v>17.1428571428571</v>
      </c>
      <c r="E28" s="8" t="n">
        <f aca="false">MIN(100,Datos!$C$3/B28*100)</f>
        <v>93.3333333333333</v>
      </c>
      <c r="F28" s="8" t="n">
        <f aca="false">MIN(100,Datos!$C$3/C28*100)</f>
        <v>46.6666666666667</v>
      </c>
      <c r="G28" s="8" t="n">
        <f aca="false">MIN(100,Datos!$C$3/D28*100)</f>
        <v>23.3333333333333</v>
      </c>
      <c r="H28" s="8" t="n">
        <f aca="false">A28*Datos!$C$2/120</f>
        <v>233.333333333333</v>
      </c>
      <c r="I28" s="9" t="n">
        <f aca="false">A28*Datos!$C$4/60</f>
        <v>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26.85" hidden="false" customHeight="false" outlineLevel="0" collapsed="false">
      <c r="A1" s="4" t="s">
        <v>37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customFormat="false" ht="15" hidden="false" customHeight="false" outlineLevel="0" collapsed="false">
      <c r="A2" s="5" t="n">
        <f aca="false">Datos!$C$5</f>
        <v>800</v>
      </c>
      <c r="B2" s="10" t="n">
        <f aca="false">120000/(A2*Datos!$C$2)</f>
        <v>37.5</v>
      </c>
      <c r="C2" s="10" t="n">
        <f aca="false">60000/A2</f>
        <v>75</v>
      </c>
      <c r="D2" s="10" t="n">
        <f aca="false">120000/A2</f>
        <v>150</v>
      </c>
      <c r="E2" s="11" t="n">
        <f aca="false">MIN(100,Datos!$C$3/B2*100)</f>
        <v>10.6666666666667</v>
      </c>
      <c r="F2" s="11" t="n">
        <f aca="false">MIN(100,Datos!$C$3/C2*100)</f>
        <v>5.33333333333333</v>
      </c>
      <c r="G2" s="11" t="n">
        <f aca="false">MIN(100,Datos!$C$3/D2*100)</f>
        <v>2.66666666666667</v>
      </c>
      <c r="H2" s="11" t="n">
        <f aca="false">A2*Datos!$C$2/120</f>
        <v>26.6666666666667</v>
      </c>
      <c r="I2" s="12" t="n">
        <f aca="false">A2*Datos!$C$4/60</f>
        <v>800</v>
      </c>
    </row>
    <row r="3" customFormat="false" ht="15" hidden="false" customHeight="false" outlineLevel="0" collapsed="false">
      <c r="A3" s="5" t="n">
        <f aca="false">Datos!$C$6</f>
        <v>3000</v>
      </c>
      <c r="B3" s="10" t="n">
        <f aca="false">120000/(A3*Datos!$C$2)</f>
        <v>10</v>
      </c>
      <c r="C3" s="10" t="n">
        <f aca="false">60000/A3</f>
        <v>20</v>
      </c>
      <c r="D3" s="10" t="n">
        <f aca="false">120000/A3</f>
        <v>40</v>
      </c>
      <c r="E3" s="11" t="n">
        <f aca="false">MIN(100,Datos!$C$3/B3*100)</f>
        <v>40</v>
      </c>
      <c r="F3" s="11" t="n">
        <f aca="false">MIN(100,Datos!$C$3/C3*100)</f>
        <v>20</v>
      </c>
      <c r="G3" s="11" t="n">
        <f aca="false">MIN(100,Datos!$C$3/D3*100)</f>
        <v>10</v>
      </c>
      <c r="H3" s="11" t="n">
        <f aca="false">A3*Datos!$C$2/120</f>
        <v>100</v>
      </c>
      <c r="I3" s="12" t="n">
        <f aca="false">A3*Datos!$C$4/60</f>
        <v>3000</v>
      </c>
    </row>
    <row r="4" customFormat="false" ht="15" hidden="false" customHeight="false" outlineLevel="0" collapsed="false">
      <c r="A4" s="5" t="n">
        <f aca="false">Datos!$C$7</f>
        <v>6000</v>
      </c>
      <c r="B4" s="10" t="n">
        <f aca="false">120000/(A4*Datos!$C$2)</f>
        <v>5</v>
      </c>
      <c r="C4" s="10" t="n">
        <f aca="false">60000/A4</f>
        <v>10</v>
      </c>
      <c r="D4" s="10" t="n">
        <f aca="false">120000/A4</f>
        <v>20</v>
      </c>
      <c r="E4" s="11" t="n">
        <f aca="false">MIN(100,Datos!$C$3/B4*100)</f>
        <v>80</v>
      </c>
      <c r="F4" s="11" t="n">
        <f aca="false">MIN(100,Datos!$C$3/C4*100)</f>
        <v>40</v>
      </c>
      <c r="G4" s="11" t="n">
        <f aca="false">MIN(100,Datos!$C$3/D4*100)</f>
        <v>20</v>
      </c>
      <c r="H4" s="11" t="n">
        <f aca="false">A4*Datos!$C$2/120</f>
        <v>200</v>
      </c>
      <c r="I4" s="12" t="n">
        <f aca="false">A4*Datos!$C$4/60</f>
        <v>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2026-09-21T20:08:25Z</dcterms:created>
  <dc:creator>openpyxl</dc:creator>
  <dc:description/>
  <dc:language>en-US</dc:language>
  <cp:lastModifiedBy/>
  <dcterms:modified xsi:type="dcterms:W3CDTF">2026-09-21T20:08:26Z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