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 (Parte 1)" sheetId="1" state="visible" r:id="rId3"/>
    <sheet name="Solenoide (Parte 5)" sheetId="2" state="visible" r:id="rId4"/>
    <sheet name="Protocolo (Parte 6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<sst xmlns="http://schemas.openxmlformats.org/spreadsheetml/2006/main" count="85" uniqueCount="75">
  <si>
    <t xml:space="preserve">Práctica 23 — Banco probador de motores de arranque: memoria de cálculo</t>
  </si>
  <si>
    <t xml:space="preserve">Celdas amarillas con texto azul = datos. Ecuaciones (1) a (4) de la Parte 1 y (1) a (3) de la Parte 2.</t>
  </si>
  <si>
    <t xml:space="preserve">Dato</t>
  </si>
  <si>
    <t xml:space="preserve">Valor</t>
  </si>
  <si>
    <t xml:space="preserve">Comentario</t>
  </si>
  <si>
    <t xml:space="preserve">Tensión en vacío de la batería E (V)</t>
  </si>
  <si>
    <t xml:space="preserve">Resistencia interna de la batería (mΩ)</t>
  </si>
  <si>
    <t xml:space="preserve">≈ 800 CCA</t>
  </si>
  <si>
    <t xml:space="preserve">Corriente en vacío (A)</t>
  </si>
  <si>
    <t xml:space="preserve">Corriente a par bloqueado (A)</t>
  </si>
  <si>
    <t xml:space="preserve">Longitud total de cable, ida y vuelta (m)</t>
  </si>
  <si>
    <t xml:space="preserve">Sección del cable (mm²)</t>
  </si>
  <si>
    <t xml:space="preserve">Tensión del shunt (mV)</t>
  </si>
  <si>
    <t xml:space="preserve">Corriente del shunt (A)</t>
  </si>
  <si>
    <t xml:space="preserve">Duración de la prueba a par bloqueado (s)</t>
  </si>
  <si>
    <t xml:space="preserve">Máximo</t>
  </si>
  <si>
    <t xml:space="preserve">Duración de la prueba en vacío (s)</t>
  </si>
  <si>
    <t xml:space="preserve">Módulo del piñón (mm)</t>
  </si>
  <si>
    <t xml:space="preserve">Dientes del piñón z1</t>
  </si>
  <si>
    <t xml:space="preserve">Dientes de la corona z2</t>
  </si>
  <si>
    <t xml:space="preserve">Brazo de palanca r (m)</t>
  </si>
  <si>
    <t xml:space="preserve">Lectura del dinamómetro (kg)</t>
  </si>
  <si>
    <t xml:space="preserve">Prueba a par bloqueado</t>
  </si>
  <si>
    <t xml:space="preserve">Velocidad en vacío n0 (rpm)</t>
  </si>
  <si>
    <t xml:space="preserve">Tacómetro</t>
  </si>
  <si>
    <t xml:space="preserve">Resultado</t>
  </si>
  <si>
    <t xml:space="preserve">Ec.</t>
  </si>
  <si>
    <t xml:space="preserve">Comprobación</t>
  </si>
  <si>
    <t xml:space="preserve">Tensión en bornes en vacío (V)</t>
  </si>
  <si>
    <t xml:space="preserve">(1)</t>
  </si>
  <si>
    <t xml:space="preserve">Tensión en bornes a par bloqueado (V)</t>
  </si>
  <si>
    <t xml:space="preserve">Caída en los cables a par bloqueado (V)</t>
  </si>
  <si>
    <t xml:space="preserve">(2)</t>
  </si>
  <si>
    <t xml:space="preserve">Resistencia del shunt (mΩ)</t>
  </si>
  <si>
    <t xml:space="preserve">(3)</t>
  </si>
  <si>
    <t xml:space="preserve">Potencia en el shunt a par bloqueado (W)</t>
  </si>
  <si>
    <t xml:space="preserve">—</t>
  </si>
  <si>
    <t xml:space="preserve">Carga extraída a par bloqueado (Ah)</t>
  </si>
  <si>
    <t xml:space="preserve">(4)</t>
  </si>
  <si>
    <t xml:space="preserve">Carga extraída en vacío (Ah)</t>
  </si>
  <si>
    <t xml:space="preserve">Distancia entre ejes piñón-corona (mm)</t>
  </si>
  <si>
    <t xml:space="preserve">P2 (1)</t>
  </si>
  <si>
    <t xml:space="preserve">Par en la corona (N·m)</t>
  </si>
  <si>
    <t xml:space="preserve">P2 (2)</t>
  </si>
  <si>
    <t xml:space="preserve">Par en el piñón (N·m)</t>
  </si>
  <si>
    <t xml:space="preserve">P2 (3)</t>
  </si>
  <si>
    <t xml:space="preserve">Potencia máxima estimada (W)</t>
  </si>
  <si>
    <t xml:space="preserve">P6 (1)</t>
  </si>
  <si>
    <t xml:space="preserve">Bobinas del solenoide por método voltamperimétrico (Tabla 1 de la Parte 5)</t>
  </si>
  <si>
    <t xml:space="preserve">Corriente de prueba (A)</t>
  </si>
  <si>
    <t xml:space="preserve">Tensión nominal (V)</t>
  </si>
  <si>
    <t xml:space="preserve">Motor</t>
  </si>
  <si>
    <t xml:space="preserve">Bobina</t>
  </si>
  <si>
    <t xml:space="preserve">V medida (V)</t>
  </si>
  <si>
    <t xml:space="preserve">R = V/I (Ω)</t>
  </si>
  <si>
    <t xml:space="preserve">I a 12 V (A)</t>
  </si>
  <si>
    <t xml:space="preserve">Fabricante (A)</t>
  </si>
  <si>
    <t xml:space="preserve">Retención</t>
  </si>
  <si>
    <t xml:space="preserve">Atracción</t>
  </si>
  <si>
    <t xml:space="preserve">Prueba en vacío, caídas de tensión y par bloqueado (Tablas 2 a 4 de la Parte 6)</t>
  </si>
  <si>
    <t xml:space="preserve">I vacío (A)</t>
  </si>
  <si>
    <t xml:space="preserve">V borne 30 (V)</t>
  </si>
  <si>
    <t xml:space="preserve">rpm</t>
  </si>
  <si>
    <t xml:space="preserve">P = V·I (W)</t>
  </si>
  <si>
    <t xml:space="preserve">Caída bat.–motor (V)</t>
  </si>
  <si>
    <t xml:space="preserve">Caída 30–45 (V)</t>
  </si>
  <si>
    <t xml:space="preserve">Caída masa (V)</t>
  </si>
  <si>
    <t xml:space="preserve">¿Cumple caídas?</t>
  </si>
  <si>
    <t xml:space="preserve">Par bloqueado (demostración del docente). z1, z2 y r se toman de la hoja Diseño.</t>
  </si>
  <si>
    <t xml:space="preserve">F (kg)</t>
  </si>
  <si>
    <t xml:space="preserve">F (N)</t>
  </si>
  <si>
    <t xml:space="preserve">M corona (N·m)</t>
  </si>
  <si>
    <t xml:space="preserve">M piñón (N·m)</t>
  </si>
  <si>
    <t xml:space="preserve">n0 (rpm)</t>
  </si>
  <si>
    <t xml:space="preserve">P máx (W)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</si>
</sst>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.0"/>
    <numFmt numFmtId="168" formatCode="0"/>
    <numFmt numFmtId="169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12.6</v>
      </c>
      <c r="C5" s="6"/>
    </row>
    <row r="6" customFormat="false" ht="15" hidden="false" customHeight="false" outlineLevel="0" collapsed="false">
      <c r="A6" s="4" t="s">
        <v>6</v>
      </c>
      <c r="B6" s="5" t="n">
        <v>6</v>
      </c>
      <c r="C6" s="6" t="s">
        <v>7</v>
      </c>
    </row>
    <row r="7" customFormat="false" ht="15" hidden="false" customHeight="false" outlineLevel="0" collapsed="false">
      <c r="A7" s="4" t="s">
        <v>8</v>
      </c>
      <c r="B7" s="5" t="n">
        <v>80</v>
      </c>
      <c r="C7" s="6"/>
    </row>
    <row r="8" customFormat="false" ht="15" hidden="false" customHeight="false" outlineLevel="0" collapsed="false">
      <c r="A8" s="4" t="s">
        <v>9</v>
      </c>
      <c r="B8" s="5" t="n">
        <v>600</v>
      </c>
      <c r="C8" s="6"/>
    </row>
    <row r="9" customFormat="false" ht="15" hidden="false" customHeight="false" outlineLevel="0" collapsed="false">
      <c r="A9" s="4" t="s">
        <v>10</v>
      </c>
      <c r="B9" s="5" t="n">
        <v>2</v>
      </c>
      <c r="C9" s="6"/>
    </row>
    <row r="10" customFormat="false" ht="15" hidden="false" customHeight="false" outlineLevel="0" collapsed="false">
      <c r="A10" s="4" t="s">
        <v>11</v>
      </c>
      <c r="B10" s="5" t="n">
        <v>50</v>
      </c>
      <c r="C10" s="6"/>
    </row>
    <row r="11" customFormat="false" ht="15" hidden="false" customHeight="false" outlineLevel="0" collapsed="false">
      <c r="A11" s="4" t="s">
        <v>12</v>
      </c>
      <c r="B11" s="5" t="n">
        <v>75</v>
      </c>
      <c r="C11" s="6"/>
    </row>
    <row r="12" customFormat="false" ht="15" hidden="false" customHeight="false" outlineLevel="0" collapsed="false">
      <c r="A12" s="4" t="s">
        <v>13</v>
      </c>
      <c r="B12" s="5" t="n">
        <v>600</v>
      </c>
      <c r="C12" s="6"/>
    </row>
    <row r="13" customFormat="false" ht="15" hidden="false" customHeight="false" outlineLevel="0" collapsed="false">
      <c r="A13" s="4" t="s">
        <v>14</v>
      </c>
      <c r="B13" s="5" t="n">
        <v>3</v>
      </c>
      <c r="C13" s="6" t="s">
        <v>15</v>
      </c>
    </row>
    <row r="14" customFormat="false" ht="15" hidden="false" customHeight="false" outlineLevel="0" collapsed="false">
      <c r="A14" s="4" t="s">
        <v>16</v>
      </c>
      <c r="B14" s="5" t="n">
        <v>30</v>
      </c>
      <c r="C14" s="6" t="s">
        <v>15</v>
      </c>
    </row>
    <row r="15" customFormat="false" ht="15" hidden="false" customHeight="false" outlineLevel="0" collapsed="false">
      <c r="A15" s="4" t="s">
        <v>17</v>
      </c>
      <c r="B15" s="5" t="n">
        <v>2.5</v>
      </c>
      <c r="C15" s="6"/>
    </row>
    <row r="16" customFormat="false" ht="15" hidden="false" customHeight="false" outlineLevel="0" collapsed="false">
      <c r="A16" s="4" t="s">
        <v>18</v>
      </c>
      <c r="B16" s="5" t="n">
        <v>9</v>
      </c>
      <c r="C16" s="6"/>
    </row>
    <row r="17" customFormat="false" ht="15" hidden="false" customHeight="false" outlineLevel="0" collapsed="false">
      <c r="A17" s="4" t="s">
        <v>19</v>
      </c>
      <c r="B17" s="5" t="n">
        <v>132</v>
      </c>
      <c r="C17" s="6"/>
    </row>
    <row r="18" customFormat="false" ht="15" hidden="false" customHeight="false" outlineLevel="0" collapsed="false">
      <c r="A18" s="4" t="s">
        <v>20</v>
      </c>
      <c r="B18" s="5" t="n">
        <v>0.5</v>
      </c>
      <c r="C18" s="6"/>
    </row>
    <row r="19" customFormat="false" ht="15" hidden="false" customHeight="false" outlineLevel="0" collapsed="false">
      <c r="A19" s="4" t="s">
        <v>21</v>
      </c>
      <c r="B19" s="5" t="n">
        <v>45</v>
      </c>
      <c r="C19" s="6" t="s">
        <v>22</v>
      </c>
    </row>
    <row r="20" customFormat="false" ht="15" hidden="false" customHeight="false" outlineLevel="0" collapsed="false">
      <c r="A20" s="4" t="s">
        <v>23</v>
      </c>
      <c r="B20" s="5" t="n">
        <v>3500</v>
      </c>
      <c r="C20" s="6" t="s">
        <v>24</v>
      </c>
    </row>
    <row r="21" customFormat="false" ht="15" hidden="false" customHeight="false" outlineLevel="0" collapsed="false">
      <c r="A21" s="3" t="s">
        <v>25</v>
      </c>
      <c r="B21" s="3" t="s">
        <v>3</v>
      </c>
      <c r="C21" s="3" t="s">
        <v>26</v>
      </c>
      <c r="D21" s="3" t="s">
        <v>27</v>
      </c>
    </row>
    <row r="22" customFormat="false" ht="15" hidden="false" customHeight="false" outlineLevel="0" collapsed="false">
      <c r="A22" s="4" t="s">
        <v>28</v>
      </c>
      <c r="B22" s="7" t="n">
        <f aca="false">$B$5-$B$6*$B$7/1000</f>
        <v>12.12</v>
      </c>
      <c r="C22" s="8" t="s">
        <v>29</v>
      </c>
    </row>
    <row r="23" customFormat="false" ht="15" hidden="false" customHeight="false" outlineLevel="0" collapsed="false">
      <c r="A23" s="4" t="s">
        <v>30</v>
      </c>
      <c r="B23" s="7" t="n">
        <f aca="false">$B$5-$B$6*$B$8/1000</f>
        <v>9</v>
      </c>
      <c r="C23" s="8" t="s">
        <v>29</v>
      </c>
      <c r="D23" s="9" t="str">
        <f aca="false">IF(B23&gt;=9,"≥ 9 V: aceptable","Batería insuficiente")</f>
        <v>≥ 9 V: aceptable</v>
      </c>
    </row>
    <row r="24" customFormat="false" ht="15" hidden="false" customHeight="false" outlineLevel="0" collapsed="false">
      <c r="A24" s="4" t="s">
        <v>31</v>
      </c>
      <c r="B24" s="7" t="n">
        <f aca="false">0.0175*$B$9*$B$8/$B$10</f>
        <v>0.42</v>
      </c>
      <c r="C24" s="8" t="s">
        <v>32</v>
      </c>
      <c r="D24" s="9" t="str">
        <f aca="false">IF(B24&lt;=0.5,"≤ 0,5 V: correcto","Aumentar la sección")</f>
        <v>≤ 0,5 V: correcto</v>
      </c>
    </row>
    <row r="25" customFormat="false" ht="15" hidden="false" customHeight="false" outlineLevel="0" collapsed="false">
      <c r="A25" s="4" t="s">
        <v>33</v>
      </c>
      <c r="B25" s="10" t="n">
        <f aca="false">$B$11/$B$12</f>
        <v>0.125</v>
      </c>
      <c r="C25" s="8" t="s">
        <v>34</v>
      </c>
    </row>
    <row r="26" customFormat="false" ht="15" hidden="false" customHeight="false" outlineLevel="0" collapsed="false">
      <c r="A26" s="4" t="s">
        <v>35</v>
      </c>
      <c r="B26" s="11" t="n">
        <f aca="false">$B$8^2*B25/1000</f>
        <v>45</v>
      </c>
      <c r="C26" s="8" t="s">
        <v>36</v>
      </c>
    </row>
    <row r="27" customFormat="false" ht="15" hidden="false" customHeight="false" outlineLevel="0" collapsed="false">
      <c r="A27" s="4" t="s">
        <v>37</v>
      </c>
      <c r="B27" s="7" t="n">
        <f aca="false">$B$8*$B$13/3600</f>
        <v>0.5</v>
      </c>
      <c r="C27" s="8" t="s">
        <v>38</v>
      </c>
    </row>
    <row r="28" customFormat="false" ht="15" hidden="false" customHeight="false" outlineLevel="0" collapsed="false">
      <c r="A28" s="4" t="s">
        <v>39</v>
      </c>
      <c r="B28" s="7" t="n">
        <f aca="false">$B$7*$B$14/3600</f>
        <v>0.666666666666667</v>
      </c>
      <c r="C28" s="8" t="s">
        <v>38</v>
      </c>
    </row>
    <row r="29" customFormat="false" ht="15" hidden="false" customHeight="false" outlineLevel="0" collapsed="false">
      <c r="A29" s="4" t="s">
        <v>40</v>
      </c>
      <c r="B29" s="11" t="n">
        <f aca="false">$B$15*($B$16+$B$17)/2</f>
        <v>176.25</v>
      </c>
      <c r="C29" s="8" t="s">
        <v>41</v>
      </c>
    </row>
    <row r="30" customFormat="false" ht="15" hidden="false" customHeight="false" outlineLevel="0" collapsed="false">
      <c r="A30" s="4" t="s">
        <v>42</v>
      </c>
      <c r="B30" s="11" t="n">
        <f aca="false">$B$19*9.81*$B$18</f>
        <v>220.725</v>
      </c>
      <c r="C30" s="8" t="s">
        <v>43</v>
      </c>
    </row>
    <row r="31" customFormat="false" ht="15" hidden="false" customHeight="false" outlineLevel="0" collapsed="false">
      <c r="A31" s="4" t="s">
        <v>44</v>
      </c>
      <c r="B31" s="11" t="n">
        <f aca="false">B30*$B$16/$B$17</f>
        <v>15.0494318181818</v>
      </c>
      <c r="C31" s="8" t="s">
        <v>45</v>
      </c>
    </row>
    <row r="32" customFormat="false" ht="15" hidden="false" customHeight="false" outlineLevel="0" collapsed="false">
      <c r="A32" s="4" t="s">
        <v>46</v>
      </c>
      <c r="B32" s="12" t="n">
        <f aca="false">B31*2*PI()*$B$20/60/4</f>
        <v>1378.97621285376</v>
      </c>
      <c r="C32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48</v>
      </c>
    </row>
    <row r="3" customFormat="false" ht="15" hidden="false" customHeight="false" outlineLevel="0" collapsed="false">
      <c r="A3" s="0" t="s">
        <v>49</v>
      </c>
      <c r="C3" s="5" t="n">
        <v>2</v>
      </c>
    </row>
    <row r="4" customFormat="false" ht="15" hidden="false" customHeight="false" outlineLevel="0" collapsed="false">
      <c r="A4" s="0" t="s">
        <v>50</v>
      </c>
      <c r="C4" s="5" t="n">
        <v>12</v>
      </c>
    </row>
    <row r="6" customFormat="false" ht="15" hidden="false" customHeight="fals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15" hidden="false" customHeight="false" outlineLevel="0" collapsed="false">
      <c r="A7" s="12" t="n">
        <v>1</v>
      </c>
      <c r="B7" s="4" t="s">
        <v>57</v>
      </c>
      <c r="C7" s="13"/>
      <c r="D7" s="10" t="str">
        <f aca="false">IF(C7="","",C7/$C$3)</f>
        <v/>
      </c>
      <c r="E7" s="11" t="str">
        <f aca="false">IF(OR(D7="",D7=0),"",$C$4/D7)</f>
        <v/>
      </c>
      <c r="F7" s="14"/>
    </row>
    <row r="8" customFormat="false" ht="15" hidden="false" customHeight="false" outlineLevel="0" collapsed="false">
      <c r="A8" s="12" t="n">
        <v>1</v>
      </c>
      <c r="B8" s="4" t="s">
        <v>58</v>
      </c>
      <c r="C8" s="13"/>
      <c r="D8" s="10" t="str">
        <f aca="false">IF(C8="","",C8/$C$3)</f>
        <v/>
      </c>
      <c r="E8" s="11" t="str">
        <f aca="false">IF(OR(D8="",D8=0),"",$C$4/D8)</f>
        <v/>
      </c>
      <c r="F8" s="14"/>
    </row>
    <row r="9" customFormat="false" ht="15" hidden="false" customHeight="false" outlineLevel="0" collapsed="false">
      <c r="A9" s="12" t="n">
        <v>2</v>
      </c>
      <c r="B9" s="4" t="s">
        <v>57</v>
      </c>
      <c r="C9" s="13"/>
      <c r="D9" s="10" t="str">
        <f aca="false">IF(C9="","",C9/$C$3)</f>
        <v/>
      </c>
      <c r="E9" s="11" t="str">
        <f aca="false">IF(OR(D9="",D9=0),"",$C$4/D9)</f>
        <v/>
      </c>
      <c r="F9" s="14"/>
    </row>
    <row r="10" customFormat="false" ht="15" hidden="false" customHeight="false" outlineLevel="0" collapsed="false">
      <c r="A10" s="12" t="n">
        <v>2</v>
      </c>
      <c r="B10" s="4" t="s">
        <v>58</v>
      </c>
      <c r="C10" s="13"/>
      <c r="D10" s="10" t="str">
        <f aca="false">IF(C10="","",C10/$C$3)</f>
        <v/>
      </c>
      <c r="E10" s="11" t="str">
        <f aca="false">IF(OR(D10="",D10=0),"",$C$4/D10)</f>
        <v/>
      </c>
      <c r="F10" s="14"/>
    </row>
    <row r="11" customFormat="false" ht="15" hidden="false" customHeight="false" outlineLevel="0" collapsed="false">
      <c r="A11" s="12" t="n">
        <v>3</v>
      </c>
      <c r="B11" s="4" t="s">
        <v>57</v>
      </c>
      <c r="C11" s="13"/>
      <c r="D11" s="10" t="str">
        <f aca="false">IF(C11="","",C11/$C$3)</f>
        <v/>
      </c>
      <c r="E11" s="11" t="str">
        <f aca="false">IF(OR(D11="",D11=0),"",$C$4/D11)</f>
        <v/>
      </c>
      <c r="F11" s="14"/>
    </row>
    <row r="12" customFormat="false" ht="15" hidden="false" customHeight="false" outlineLevel="0" collapsed="false">
      <c r="A12" s="12" t="n">
        <v>3</v>
      </c>
      <c r="B12" s="4" t="s">
        <v>58</v>
      </c>
      <c r="C12" s="13"/>
      <c r="D12" s="10" t="str">
        <f aca="false">IF(C12="","",C12/$C$3)</f>
        <v/>
      </c>
      <c r="E12" s="11" t="str">
        <f aca="false">IF(OR(D12="",D12=0),"",$C$4/D12)</f>
        <v/>
      </c>
      <c r="F1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6.15" hidden="false" customHeight="false" outlineLevel="0" collapsed="false">
      <c r="A1" s="1" t="s">
        <v>59</v>
      </c>
    </row>
    <row r="3" customFormat="false" ht="23.85" hidden="false" customHeight="false" outlineLevel="0" collapsed="false">
      <c r="A3" s="3" t="s">
        <v>51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</row>
    <row r="4" customFormat="false" ht="15" hidden="false" customHeight="false" outlineLevel="0" collapsed="false">
      <c r="A4" s="12" t="n">
        <v>1</v>
      </c>
      <c r="B4" s="15"/>
      <c r="C4" s="15"/>
      <c r="D4" s="15"/>
      <c r="E4" s="12" t="str">
        <f aca="false">IF(OR(B4="",C4=""),"",B4*C4)</f>
        <v/>
      </c>
      <c r="F4" s="15"/>
      <c r="G4" s="15"/>
      <c r="H4" s="15"/>
      <c r="I4" s="16" t="str">
        <f aca="false">IF(OR(F4="",G4="",H4=""),"",IF(AND(F4&lt;=0.5,G4&lt;=0.3,H4&lt;=0.3),"Sí","No"))</f>
        <v/>
      </c>
    </row>
    <row r="5" customFormat="false" ht="15" hidden="false" customHeight="false" outlineLevel="0" collapsed="false">
      <c r="A5" s="12" t="n">
        <v>2</v>
      </c>
      <c r="B5" s="15"/>
      <c r="C5" s="15"/>
      <c r="D5" s="15"/>
      <c r="E5" s="12" t="str">
        <f aca="false">IF(OR(B5="",C5=""),"",B5*C5)</f>
        <v/>
      </c>
      <c r="F5" s="15"/>
      <c r="G5" s="15"/>
      <c r="H5" s="15"/>
      <c r="I5" s="16" t="str">
        <f aca="false">IF(OR(F5="",G5="",H5=""),"",IF(AND(F5&lt;=0.5,G5&lt;=0.3,H5&lt;=0.3),"Sí","No"))</f>
        <v/>
      </c>
    </row>
    <row r="6" customFormat="false" ht="15" hidden="false" customHeight="false" outlineLevel="0" collapsed="false">
      <c r="A6" s="12" t="n">
        <v>3</v>
      </c>
      <c r="B6" s="15"/>
      <c r="C6" s="15"/>
      <c r="D6" s="15"/>
      <c r="E6" s="12" t="str">
        <f aca="false">IF(OR(B6="",C6=""),"",B6*C6)</f>
        <v/>
      </c>
      <c r="F6" s="15"/>
      <c r="G6" s="15"/>
      <c r="H6" s="15"/>
      <c r="I6" s="16" t="str">
        <f aca="false">IF(OR(F6="",G6="",H6=""),"",IF(AND(F6&lt;=0.5,G6&lt;=0.3,H6&lt;=0.3),"Sí","No"))</f>
        <v/>
      </c>
    </row>
    <row r="8" customFormat="false" ht="15" hidden="false" customHeight="false" outlineLevel="0" collapsed="false">
      <c r="A8" s="17" t="s">
        <v>68</v>
      </c>
    </row>
    <row r="9" customFormat="false" ht="23.85" hidden="false" customHeight="false" outlineLevel="0" collapsed="false">
      <c r="A9" s="3" t="s">
        <v>51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</row>
    <row r="10" customFormat="false" ht="15" hidden="false" customHeight="false" outlineLevel="0" collapsed="false">
      <c r="A10" s="12" t="n">
        <v>1</v>
      </c>
      <c r="B10" s="14"/>
      <c r="C10" s="12" t="str">
        <f aca="false">IF(B10="","",B10*9.81)</f>
        <v/>
      </c>
      <c r="D10" s="11" t="str">
        <f aca="false">IF(C10="","",C10*'Diseño (Parte 1)'!$B$18)</f>
        <v/>
      </c>
      <c r="E10" s="11" t="str">
        <f aca="false">IF(D10="","",D10*'Diseño (Parte 1)'!$B$16/'Diseño (Parte 1)'!$B$17)</f>
        <v/>
      </c>
      <c r="F10" s="18"/>
      <c r="G10" s="12" t="str">
        <f aca="false">IF(OR(E10="",F10=""),"",E10*2*PI()*F10/60/4)</f>
        <v/>
      </c>
    </row>
    <row r="11" customFormat="false" ht="15" hidden="false" customHeight="false" outlineLevel="0" collapsed="false">
      <c r="A11" s="12" t="n">
        <v>2</v>
      </c>
      <c r="B11" s="14"/>
      <c r="C11" s="12" t="str">
        <f aca="false">IF(B11="","",B11*9.81)</f>
        <v/>
      </c>
      <c r="D11" s="11" t="str">
        <f aca="false">IF(C11="","",C11*'Diseño (Parte 1)'!$B$18)</f>
        <v/>
      </c>
      <c r="E11" s="11" t="str">
        <f aca="false">IF(D11="","",D11*'Diseño (Parte 1)'!$B$16/'Diseño (Parte 1)'!$B$17)</f>
        <v/>
      </c>
      <c r="F11" s="18"/>
      <c r="G11" s="12" t="str">
        <f aca="false">IF(OR(E11="",F11=""),"",E11*2*PI()*F11/60/4)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2026-09-30T19:37:03Z</dcterms:created>
  <dc:creator>openpyxl</dc:creator>
  <dc:description/>
  <dc:language>en-US</dc:language>
  <cp:lastModifiedBy/>
  <dcterms:modified xsi:type="dcterms:W3CDTF">2026-09-30T19:37:03Z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