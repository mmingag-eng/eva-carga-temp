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_Instrucciones" sheetId="1" state="visible" r:id="rId3"/>
    <sheet name="1_Datos" sheetId="2" state="visible" r:id="rId4"/>
    <sheet name="2_Sensores_velocidad" sheetId="3" state="visible" r:id="rId5"/>
    <sheet name="3_Sensor_NTC" sheetId="4" state="visible" r:id="rId6"/>
    <sheet name="4_Electrovalvulas" sheetId="5" state="visible" r:id="rId7"/>
  </sheets>
  <definedNames>
    <definedName function="false" hidden="false" name="Bn" vbProcedure="false">1_Datos!$C$15</definedName>
    <definedName function="false" hidden="false" name="Dc" vbProcedure="false">1_Datos!$C$22</definedName>
    <definedName function="false" hidden="false" name="fS" vbProcedure="false">2_Sensores_velocidad!$C$5</definedName>
    <definedName function="false" hidden="false" name="fT" vbProcedure="false">1_Datos!$C$9</definedName>
    <definedName function="false" hidden="false" name="idf" vbProcedure="false">1_Datos!$C$6</definedName>
    <definedName function="false" hidden="false" name="Imax" vbProcedure="false">4_Electrovalvulas!$C$6</definedName>
    <definedName function="false" hidden="false" name="Imed" vbProcedure="false">4_Electrovalvulas!$C$7</definedName>
    <definedName function="false" hidden="false" name="Ion" vbProcedure="false">4_Electrovalvulas!$C$4</definedName>
    <definedName function="false" hidden="false" name="ireal" vbProcedure="false">2_Sensores_velocidad!$C$7</definedName>
    <definedName function="false" hidden="false" name="nMot" vbProcedure="false">1_Datos!$C$10</definedName>
    <definedName function="false" hidden="false" name="nS" vbProcedure="false">2_Sensores_velocidad!$C$4</definedName>
    <definedName function="false" hidden="false" name="nT" vbProcedure="false">2_Sensores_velocidad!$C$6</definedName>
    <definedName function="false" hidden="false" name="Pon" vbProcedure="false">4_Electrovalvulas!$C$5</definedName>
    <definedName function="false" hidden="false" name="R25" vbProcedure="false">1_Datos!$C$14</definedName>
    <definedName function="false" hidden="false" name="ra1" vbProcedure="false">1_Datos!$C$11</definedName>
    <definedName function="false" hidden="false" name="ra2" vbProcedure="false">1_Datos!$C$12</definedName>
    <definedName function="false" hidden="false" name="ra3" vbProcedure="false">1_Datos!$C$13</definedName>
    <definedName function="false" hidden="false" name="rc" vbProcedure="false">1_Datos!$C$5</definedName>
    <definedName function="false" hidden="false" name="Rmed" vbProcedure="false">1_Datos!$C$18</definedName>
    <definedName function="false" hidden="false" name="Ron" vbProcedure="false">1_Datos!$C$20</definedName>
    <definedName function="false" hidden="false" name="Rp" vbProcedure="false">1_Datos!$C$16</definedName>
    <definedName function="false" hidden="false" name="Rpwm" vbProcedure="false">1_Datos!$C$21</definedName>
    <definedName function="false" hidden="false" name="slip" vbProcedure="false">2_Sensores_velocidad!$C$9</definedName>
    <definedName function="false" hidden="false" name="Tmed" vbProcedure="false">3_Sensor_NTC!$C$4</definedName>
    <definedName function="false" hidden="false" name="Vb" vbProcedure="false">1_Datos!$C$19</definedName>
    <definedName function="false" hidden="false" name="Vref" vbProcedure="false">1_Datos!$C$17</definedName>
    <definedName function="false" hidden="false" name="Vsmed" vbProcedure="false">3_Sensor_NTC!$C$5</definedName>
    <definedName function="false" hidden="false" name="Vv" vbProcedure="false">1_Datos!$C$4</definedName>
    <definedName function="false" hidden="false" name="zS" vbProcedure="false">1_Datos!$C$7</definedName>
    <definedName function="false" hidden="false" name="zT" vbProcedure="false">1_Datos!$C$8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<sst xmlns="http://schemas.openxmlformats.org/spreadsheetml/2006/main" count="146" uniqueCount="121">
  <si>
    <t xml:space="preserve">PRÁCTICA 9 – DIAGNÓSTICO BÁSICO DEL SISTEMA ELECTRÓNICO DE LA TRANSMISIÓN AUTOMÁTICA: SENSORES Y ACTUADORES</t>
  </si>
  <si>
    <t xml:space="preserve">Mecánica de Patio III – Instituto Superior Tecnológico Sudamericano – Ing. Miguel Angel Minga González</t>
  </si>
  <si>
    <t xml:space="preserve">Cómo usar este libro:</t>
  </si>
  <si>
    <t xml:space="preserve">1. Las celdas amarillas con texto azul son DATOS DE ENTRADA. Cámbielas con los datos del conjunto del laboratorio; las demás hojas se recalculan solas.</t>
  </si>
  <si>
    <t xml:space="preserve">2. Las celdas verdes son RESULTADOS calculados con fórmulas: no escriba sobre ellas.</t>
  </si>
  <si>
    <t xml:space="preserve">3. Cada hoja corresponde a un paso del ejemplo resuelto de la guía y a una sección del código MATLAB.</t>
  </si>
  <si>
    <t xml:space="preserve">Hojas del libro:</t>
  </si>
  <si>
    <t xml:space="preserve">1_Datos: datos del vehículo, de los sensores de velocidad, del sensor de temperatura NTC y de las electroválvulas.</t>
  </si>
  <si>
    <t xml:space="preserve">2_Sensores_velocidad: frecuencia esperada de los sensores, régimen a partir de la frecuencia medida, relación real, marcha detectada y patinamiento del convertidor. Ecuaciones (1) a (5).</t>
  </si>
  <si>
    <t xml:space="preserve">3_Sensor_NTC: resistencia y tensión de señal en función de la temperatura, y temperatura a partir de una resistencia medida. Ecuaciones (6) a (8).</t>
  </si>
  <si>
    <t xml:space="preserve">4_Electrovalvulas: corriente y potencia de electroválvulas on/off y PWM. Ecuaciones (9) y (10).</t>
  </si>
  <si>
    <t xml:space="preserve">Interpretación:</t>
  </si>
  <si>
    <t xml:space="preserve">• Una frecuencia del sensor de salida que no concuerda con la velocidad indica sensor, rueda fónica o cableado defectuosos. • Si la relación real no coincide con ninguna marcha, hay patinamiento interno. • Si la resistencia del NTC no concuerda con la temperatura medida con el termómetro infrarrojo, el sensor está fuera de rango.</t>
  </si>
  <si>
    <t xml:space="preserve">Datos de entrada</t>
  </si>
  <si>
    <t xml:space="preserve">Parámetro</t>
  </si>
  <si>
    <t xml:space="preserve">Símbolo</t>
  </si>
  <si>
    <t xml:space="preserve">Valor</t>
  </si>
  <si>
    <t xml:space="preserve">Unidad</t>
  </si>
  <si>
    <t xml:space="preserve">Observación</t>
  </si>
  <si>
    <t xml:space="preserve">Velocidad del vehículo</t>
  </si>
  <si>
    <t xml:space="preserve">V</t>
  </si>
  <si>
    <t xml:space="preserve">km/h</t>
  </si>
  <si>
    <t xml:space="preserve">Escáner o velocímetro</t>
  </si>
  <si>
    <t xml:space="preserve">Radio bajo carga</t>
  </si>
  <si>
    <t xml:space="preserve">rc</t>
  </si>
  <si>
    <t xml:space="preserve">m</t>
  </si>
  <si>
    <t xml:space="preserve">Relación del grupo final</t>
  </si>
  <si>
    <t xml:space="preserve">id</t>
  </si>
  <si>
    <t xml:space="preserve">—</t>
  </si>
  <si>
    <t xml:space="preserve">Dientes de la rueda fónica de salida</t>
  </si>
  <si>
    <t xml:space="preserve">zS</t>
  </si>
  <si>
    <t xml:space="preserve">Dientes de la rueda fónica de turbina</t>
  </si>
  <si>
    <t xml:space="preserve">zT</t>
  </si>
  <si>
    <t xml:space="preserve">Frecuencia medida del sensor de turbina</t>
  </si>
  <si>
    <t xml:space="preserve">fT</t>
  </si>
  <si>
    <t xml:space="preserve">Hz</t>
  </si>
  <si>
    <t xml:space="preserve">Osciloscopio</t>
  </si>
  <si>
    <t xml:space="preserve">Régimen del motor</t>
  </si>
  <si>
    <t xml:space="preserve">nM</t>
  </si>
  <si>
    <t xml:space="preserve">min⁻¹</t>
  </si>
  <si>
    <t xml:space="preserve">Escáner</t>
  </si>
  <si>
    <t xml:space="preserve">Relación de 1.ª</t>
  </si>
  <si>
    <t xml:space="preserve">i1</t>
  </si>
  <si>
    <t xml:space="preserve">Práctica 8</t>
  </si>
  <si>
    <t xml:space="preserve">Relación de 2.ª</t>
  </si>
  <si>
    <t xml:space="preserve">i2</t>
  </si>
  <si>
    <t xml:space="preserve">Relación de 3.ª</t>
  </si>
  <si>
    <t xml:space="preserve">i3</t>
  </si>
  <si>
    <t xml:space="preserve">Resistencia del NTC a 25 °C</t>
  </si>
  <si>
    <t xml:space="preserve">R25</t>
  </si>
  <si>
    <t xml:space="preserve">Ω</t>
  </si>
  <si>
    <t xml:space="preserve">Hoja técnica</t>
  </si>
  <si>
    <t xml:space="preserve">Constante B del NTC</t>
  </si>
  <si>
    <t xml:space="preserve">B</t>
  </si>
  <si>
    <t xml:space="preserve">K</t>
  </si>
  <si>
    <t xml:space="preserve">Resistencia de polarización (pull-up)</t>
  </si>
  <si>
    <t xml:space="preserve">Rp</t>
  </si>
  <si>
    <t xml:space="preserve">Dentro de la TCM</t>
  </si>
  <si>
    <t xml:space="preserve">Tensión de referencia</t>
  </si>
  <si>
    <t xml:space="preserve">Vref</t>
  </si>
  <si>
    <t xml:space="preserve">Resistencia medida del NTC</t>
  </si>
  <si>
    <t xml:space="preserve">Rmed</t>
  </si>
  <si>
    <t xml:space="preserve">Multímetro</t>
  </si>
  <si>
    <t xml:space="preserve">Tensión de alimentación de electroválvulas</t>
  </si>
  <si>
    <t xml:space="preserve">Vb</t>
  </si>
  <si>
    <t xml:space="preserve">Resistencia de electroválvula on/off</t>
  </si>
  <si>
    <t xml:space="preserve">Ron</t>
  </si>
  <si>
    <t xml:space="preserve">Resistencia de electroválvula PWM</t>
  </si>
  <si>
    <t xml:space="preserve">Rpwm</t>
  </si>
  <si>
    <t xml:space="preserve">Ciclo de trabajo PWM</t>
  </si>
  <si>
    <t xml:space="preserve">D</t>
  </si>
  <si>
    <t xml:space="preserve">0 a 1</t>
  </si>
  <si>
    <t xml:space="preserve">Sensores de velocidad, marcha y patinamiento</t>
  </si>
  <si>
    <t xml:space="preserve">RESULTADOS</t>
  </si>
  <si>
    <t xml:space="preserve">Régimen del eje de salida</t>
  </si>
  <si>
    <t xml:space="preserve">nS</t>
  </si>
  <si>
    <t xml:space="preserve">Ec. (3)</t>
  </si>
  <si>
    <t xml:space="preserve">Frecuencia esperada del sensor de salida</t>
  </si>
  <si>
    <t xml:space="preserve">fS</t>
  </si>
  <si>
    <t xml:space="preserve">Ec. (1)</t>
  </si>
  <si>
    <t xml:space="preserve">Régimen de la turbina (desde fT)</t>
  </si>
  <si>
    <t xml:space="preserve">nT</t>
  </si>
  <si>
    <t xml:space="preserve">Ec. (2)</t>
  </si>
  <si>
    <t xml:space="preserve">Relación real</t>
  </si>
  <si>
    <t xml:space="preserve">ireal</t>
  </si>
  <si>
    <t xml:space="preserve">Ec. (4)</t>
  </si>
  <si>
    <t xml:space="preserve">Marcha detectada</t>
  </si>
  <si>
    <t xml:space="preserve">Relación más próxima</t>
  </si>
  <si>
    <t xml:space="preserve">Patinamiento del convertidor</t>
  </si>
  <si>
    <t xml:space="preserve">s</t>
  </si>
  <si>
    <t xml:space="preserve">%</t>
  </si>
  <si>
    <t xml:space="preserve">Ec. (5)</t>
  </si>
  <si>
    <t xml:space="preserve">V (km/h)</t>
  </si>
  <si>
    <t xml:space="preserve">f salida (Hz)</t>
  </si>
  <si>
    <t xml:space="preserve">f turbina 1.ª</t>
  </si>
  <si>
    <t xml:space="preserve">f turbina 2.ª</t>
  </si>
  <si>
    <t xml:space="preserve">f turbina 3.ª</t>
  </si>
  <si>
    <t xml:space="preserve">Sensor de temperatura del ATF (NTC)</t>
  </si>
  <si>
    <t xml:space="preserve">Temperatura correspondiente a Rmed</t>
  </si>
  <si>
    <t xml:space="preserve">T</t>
  </si>
  <si>
    <t xml:space="preserve">°C</t>
  </si>
  <si>
    <t xml:space="preserve">Ec. (7)</t>
  </si>
  <si>
    <t xml:space="preserve">Tensión de señal con Rmed</t>
  </si>
  <si>
    <t xml:space="preserve">Vs</t>
  </si>
  <si>
    <t xml:space="preserve">Ec. (8)</t>
  </si>
  <si>
    <t xml:space="preserve">T (°C)</t>
  </si>
  <si>
    <t xml:space="preserve">R NTC (Ω)</t>
  </si>
  <si>
    <t xml:space="preserve">Vs (V)</t>
  </si>
  <si>
    <t xml:space="preserve">Electroválvulas on/off y PWM</t>
  </si>
  <si>
    <t xml:space="preserve">Corriente electroválvula on/off</t>
  </si>
  <si>
    <t xml:space="preserve">Ion</t>
  </si>
  <si>
    <t xml:space="preserve">A</t>
  </si>
  <si>
    <t xml:space="preserve">Ec. (9)</t>
  </si>
  <si>
    <t xml:space="preserve">Potencia electroválvula on/off</t>
  </si>
  <si>
    <t xml:space="preserve">Pon</t>
  </si>
  <si>
    <t xml:space="preserve">W</t>
  </si>
  <si>
    <t xml:space="preserve">Corriente máxima electroválvula PWM</t>
  </si>
  <si>
    <t xml:space="preserve">Imax</t>
  </si>
  <si>
    <t xml:space="preserve">Corriente media PWM</t>
  </si>
  <si>
    <t xml:space="preserve">Imed</t>
  </si>
  <si>
    <t xml:space="preserve">Ec. (10)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</si>
</sst>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"/>
    <numFmt numFmtId="166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999999"/>
      <rgbColor rgb="FF003366"/>
      <rgbColor rgb="FF2E7D32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Frecuencia de los sensores según la velocidad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"Salida"</c:f>
              <c:strCache>
                <c:ptCount val="1"/>
                <c:pt idx="0">
                  <c:v>Salida</c:v>
                </c:pt>
              </c:strCache>
            </c:strRef>
          </c:tx>
          <c:spPr>
            <a:solidFill>
              <a:srgbClr val="1f4e79"/>
            </a:solidFill>
            <a:ln w="2196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2_Sensores_velocidad!$A$13:$A$22</c:f>
              <c:numCache>
                <c:formatCode>General</c:formatCode>
                <c:ptCount val="10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</c:numCache>
            </c:numRef>
          </c:xVal>
          <c:yVal>
            <c:numRef>
              <c:f>2_Sensores_velocidad!$B$13:$B$22</c:f>
              <c:numCache>
                <c:formatCode>General</c:formatCode>
                <c:ptCount val="10"/>
                <c:pt idx="0">
                  <c:v>0</c:v>
                </c:pt>
                <c:pt idx="1">
                  <c:v>413.224706328154</c:v>
                </c:pt>
                <c:pt idx="2">
                  <c:v>826.449412656309</c:v>
                </c:pt>
                <c:pt idx="3">
                  <c:v>1239.67411898446</c:v>
                </c:pt>
                <c:pt idx="4">
                  <c:v>1652.89882531262</c:v>
                </c:pt>
                <c:pt idx="5">
                  <c:v>2066.12353164077</c:v>
                </c:pt>
                <c:pt idx="6">
                  <c:v>2479.34823796893</c:v>
                </c:pt>
                <c:pt idx="7">
                  <c:v>2892.57294429708</c:v>
                </c:pt>
                <c:pt idx="8">
                  <c:v>3305.79765062524</c:v>
                </c:pt>
                <c:pt idx="9">
                  <c:v>3719.02235695339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"Turbina 1.ª"</c:f>
              <c:strCache>
                <c:ptCount val="1"/>
                <c:pt idx="0">
                  <c:v>Turbina 1.ª</c:v>
                </c:pt>
              </c:strCache>
            </c:strRef>
          </c:tx>
          <c:spPr>
            <a:solidFill>
              <a:srgbClr val="c00000"/>
            </a:solidFill>
            <a:ln w="2196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2_Sensores_velocidad!$A$13:$A$22</c:f>
              <c:numCache>
                <c:formatCode>General</c:formatCode>
                <c:ptCount val="10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</c:numCache>
            </c:numRef>
          </c:xVal>
          <c:yVal>
            <c:numRef>
              <c:f>2_Sensores_velocidad!$C$13:$C$22</c:f>
              <c:numCache>
                <c:formatCode>General</c:formatCode>
                <c:ptCount val="10"/>
                <c:pt idx="0">
                  <c:v>0</c:v>
                </c:pt>
                <c:pt idx="1">
                  <c:v>840.223569533914</c:v>
                </c:pt>
                <c:pt idx="2">
                  <c:v>1680.44713906783</c:v>
                </c:pt>
                <c:pt idx="3">
                  <c:v>2520.67070860174</c:v>
                </c:pt>
                <c:pt idx="4">
                  <c:v>3360.89427813566</c:v>
                </c:pt>
                <c:pt idx="5">
                  <c:v>4201.11784766957</c:v>
                </c:pt>
                <c:pt idx="6">
                  <c:v>5041.34141720349</c:v>
                </c:pt>
                <c:pt idx="7">
                  <c:v>5881.5649867374</c:v>
                </c:pt>
                <c:pt idx="8">
                  <c:v>6721.78855627131</c:v>
                </c:pt>
                <c:pt idx="9">
                  <c:v>7562.01212580523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"Turbina 2.ª"</c:f>
              <c:strCache>
                <c:ptCount val="1"/>
                <c:pt idx="0">
                  <c:v>Turbina 2.ª</c:v>
                </c:pt>
              </c:strCache>
            </c:strRef>
          </c:tx>
          <c:spPr>
            <a:solidFill>
              <a:srgbClr val="2e7d32"/>
            </a:solidFill>
            <a:ln w="21960">
              <a:solidFill>
                <a:srgbClr val="2e7d32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2_Sensores_velocidad!$A$13:$A$22</c:f>
              <c:numCache>
                <c:formatCode>General</c:formatCode>
                <c:ptCount val="10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</c:numCache>
            </c:numRef>
          </c:xVal>
          <c:yVal>
            <c:numRef>
              <c:f>2_Sensores_velocidad!$D$13:$D$22</c:f>
              <c:numCache>
                <c:formatCode>General</c:formatCode>
                <c:ptCount val="10"/>
                <c:pt idx="0">
                  <c:v>0</c:v>
                </c:pt>
                <c:pt idx="1">
                  <c:v>495.869647593785</c:v>
                </c:pt>
                <c:pt idx="2">
                  <c:v>991.739295187571</c:v>
                </c:pt>
                <c:pt idx="3">
                  <c:v>1487.60894278136</c:v>
                </c:pt>
                <c:pt idx="4">
                  <c:v>1983.47859037514</c:v>
                </c:pt>
                <c:pt idx="5">
                  <c:v>2479.34823796893</c:v>
                </c:pt>
                <c:pt idx="6">
                  <c:v>2975.21788556271</c:v>
                </c:pt>
                <c:pt idx="7">
                  <c:v>3471.0875331565</c:v>
                </c:pt>
                <c:pt idx="8">
                  <c:v>3966.95718075028</c:v>
                </c:pt>
                <c:pt idx="9">
                  <c:v>4462.82682834407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"Turbina 3.ª"</c:f>
              <c:strCache>
                <c:ptCount val="1"/>
                <c:pt idx="0">
                  <c:v>Turbina 3.ª</c:v>
                </c:pt>
              </c:strCache>
            </c:strRef>
          </c:tx>
          <c:spPr>
            <a:solidFill>
              <a:srgbClr val="ed7d31"/>
            </a:solidFill>
            <a:ln w="2196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2_Sensores_velocidad!$A$13:$A$22</c:f>
              <c:numCache>
                <c:formatCode>General</c:formatCode>
                <c:ptCount val="10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</c:numCache>
            </c:numRef>
          </c:xVal>
          <c:yVal>
            <c:numRef>
              <c:f>2_Sensores_velocidad!$E$13:$E$22</c:f>
              <c:numCache>
                <c:formatCode>General</c:formatCode>
                <c:ptCount val="10"/>
                <c:pt idx="0">
                  <c:v>0</c:v>
                </c:pt>
                <c:pt idx="1">
                  <c:v>344.353921940129</c:v>
                </c:pt>
                <c:pt idx="2">
                  <c:v>688.707843880257</c:v>
                </c:pt>
                <c:pt idx="3">
                  <c:v>1033.06176582039</c:v>
                </c:pt>
                <c:pt idx="4">
                  <c:v>1377.41568776051</c:v>
                </c:pt>
                <c:pt idx="5">
                  <c:v>1721.76960970064</c:v>
                </c:pt>
                <c:pt idx="6">
                  <c:v>2066.12353164077</c:v>
                </c:pt>
                <c:pt idx="7">
                  <c:v>2410.4774535809</c:v>
                </c:pt>
                <c:pt idx="8">
                  <c:v>2754.83137552103</c:v>
                </c:pt>
                <c:pt idx="9">
                  <c:v>3099.18529746116</c:v>
                </c:pt>
              </c:numCache>
            </c:numRef>
          </c:yVal>
          <c:smooth val="0"/>
        </c:ser>
        <c:axId val="40630506"/>
        <c:axId val="91325879"/>
      </c:scatterChart>
      <c:valAx>
        <c:axId val="40630506"/>
        <c:scaling>
          <c:orientation val="minMax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 (km/h)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325879"/>
        <c:crosses val="autoZero"/>
        <c:crossBetween val="midCat"/>
      </c:valAx>
      <c:valAx>
        <c:axId val="91325879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Hz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630506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Tensión de señal del sensor NTC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"Vs"</c:f>
              <c:strCache>
                <c:ptCount val="1"/>
                <c:pt idx="0">
                  <c:v>Vs</c:v>
                </c:pt>
              </c:strCache>
            </c:strRef>
          </c:tx>
          <c:spPr>
            <a:solidFill>
              <a:srgbClr val="1f4e79"/>
            </a:solidFill>
            <a:ln w="2196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3_Sensor_NTC!$A$8:$A$23</c:f>
              <c:numCache>
                <c:formatCode>General</c:formatCode>
                <c:ptCount val="16"/>
                <c:pt idx="0">
                  <c:v>-20</c:v>
                </c:pt>
                <c:pt idx="1">
                  <c:v>-10</c:v>
                </c:pt>
                <c:pt idx="2">
                  <c:v>0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90</c:v>
                </c:pt>
                <c:pt idx="12">
                  <c:v>100</c:v>
                </c:pt>
                <c:pt idx="13">
                  <c:v>110</c:v>
                </c:pt>
                <c:pt idx="14">
                  <c:v>120</c:v>
                </c:pt>
                <c:pt idx="15">
                  <c:v>130</c:v>
                </c:pt>
              </c:numCache>
            </c:numRef>
          </c:xVal>
          <c:yVal>
            <c:numRef>
              <c:f>3_Sensor_NTC!$C$8:$C$23</c:f>
              <c:numCache>
                <c:formatCode>General</c:formatCode>
                <c:ptCount val="16"/>
                <c:pt idx="0">
                  <c:v>4.47851512479108</c:v>
                </c:pt>
                <c:pt idx="1">
                  <c:v>4.16702865682338</c:v>
                </c:pt>
                <c:pt idx="2">
                  <c:v>3.75982556457159</c:v>
                </c:pt>
                <c:pt idx="3">
                  <c:v>3.2778994229395</c:v>
                </c:pt>
                <c:pt idx="4">
                  <c:v>2.76147943892299</c:v>
                </c:pt>
                <c:pt idx="5">
                  <c:v>2.25684377046834</c:v>
                </c:pt>
                <c:pt idx="6">
                  <c:v>1.80115347269582</c:v>
                </c:pt>
                <c:pt idx="7">
                  <c:v>1.41450809827108</c:v>
                </c:pt>
                <c:pt idx="8">
                  <c:v>1.10099431428874</c:v>
                </c:pt>
                <c:pt idx="9">
                  <c:v>0.854393696970808</c:v>
                </c:pt>
                <c:pt idx="10">
                  <c:v>0.663967074559869</c:v>
                </c:pt>
                <c:pt idx="11">
                  <c:v>0.518305265010802</c:v>
                </c:pt>
                <c:pt idx="12">
                  <c:v>0.407231544149447</c:v>
                </c:pt>
                <c:pt idx="13">
                  <c:v>0.322428435038493</c:v>
                </c:pt>
                <c:pt idx="14">
                  <c:v>0.257416780055122</c:v>
                </c:pt>
                <c:pt idx="15">
                  <c:v>0.207282082017408</c:v>
                </c:pt>
              </c:numCache>
            </c:numRef>
          </c:yVal>
          <c:smooth val="0"/>
        </c:ser>
        <c:axId val="21996421"/>
        <c:axId val="8706432"/>
      </c:scatterChart>
      <c:valAx>
        <c:axId val="2199642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 (°C)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06432"/>
        <c:crosses val="autoZero"/>
        <c:crossBetween val="midCat"/>
      </c:valAx>
      <c:valAx>
        <c:axId val="8706432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996421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Resistencia del sensor NTC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"R NTC"</c:f>
              <c:strCache>
                <c:ptCount val="1"/>
                <c:pt idx="0">
                  <c:v>R NTC</c:v>
                </c:pt>
              </c:strCache>
            </c:strRef>
          </c:tx>
          <c:spPr>
            <a:solidFill>
              <a:srgbClr val="1f4e79"/>
            </a:solidFill>
            <a:ln w="2196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3_Sensor_NTC!$A$8:$A$23</c:f>
              <c:numCache>
                <c:formatCode>General</c:formatCode>
                <c:ptCount val="16"/>
                <c:pt idx="0">
                  <c:v>-20</c:v>
                </c:pt>
                <c:pt idx="1">
                  <c:v>-10</c:v>
                </c:pt>
                <c:pt idx="2">
                  <c:v>0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90</c:v>
                </c:pt>
                <c:pt idx="12">
                  <c:v>100</c:v>
                </c:pt>
                <c:pt idx="13">
                  <c:v>110</c:v>
                </c:pt>
                <c:pt idx="14">
                  <c:v>120</c:v>
                </c:pt>
                <c:pt idx="15">
                  <c:v>130</c:v>
                </c:pt>
              </c:numCache>
            </c:numRef>
          </c:xVal>
          <c:yVal>
            <c:numRef>
              <c:f>3_Sensor_NTC!$B$8:$B$23</c:f>
              <c:numCache>
                <c:formatCode>General</c:formatCode>
                <c:ptCount val="16"/>
                <c:pt idx="0">
                  <c:v>21384.1344032505</c:v>
                </c:pt>
                <c:pt idx="1">
                  <c:v>12456.4925798295</c:v>
                </c:pt>
                <c:pt idx="2">
                  <c:v>7548.91036965231</c:v>
                </c:pt>
                <c:pt idx="3">
                  <c:v>4739.5429000153</c:v>
                </c:pt>
                <c:pt idx="4">
                  <c:v>3071.70902178803</c:v>
                </c:pt>
                <c:pt idx="5">
                  <c:v>2048.56760543515</c:v>
                </c:pt>
                <c:pt idx="6">
                  <c:v>1402.02792123079</c:v>
                </c:pt>
                <c:pt idx="7">
                  <c:v>982.326905548612</c:v>
                </c:pt>
                <c:pt idx="8">
                  <c:v>703.121786312261</c:v>
                </c:pt>
                <c:pt idx="9">
                  <c:v>513.179532726683</c:v>
                </c:pt>
                <c:pt idx="10">
                  <c:v>381.288159957009</c:v>
                </c:pt>
                <c:pt idx="11">
                  <c:v>287.966982624042</c:v>
                </c:pt>
                <c:pt idx="12">
                  <c:v>220.783293274979</c:v>
                </c:pt>
                <c:pt idx="13">
                  <c:v>171.637524321331</c:v>
                </c:pt>
                <c:pt idx="14">
                  <c:v>135.15161518762</c:v>
                </c:pt>
                <c:pt idx="15">
                  <c:v>107.690958044241</c:v>
                </c:pt>
              </c:numCache>
            </c:numRef>
          </c:yVal>
          <c:smooth val="0"/>
        </c:ser>
        <c:axId val="43123675"/>
        <c:axId val="23194070"/>
      </c:scatterChart>
      <c:valAx>
        <c:axId val="4312367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 (°C)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194070"/>
        <c:crosses val="autoZero"/>
        <c:crossBetween val="midCat"/>
      </c:valAx>
      <c:valAx>
        <c:axId val="23194070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Ω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123675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0</xdr:rowOff>
    </xdr:from>
    <xdr:to>
      <xdr:col>19</xdr:col>
      <xdr:colOff>581400</xdr:colOff>
      <xdr:row>22</xdr:row>
      <xdr:rowOff>169920</xdr:rowOff>
    </xdr:to>
    <xdr:graphicFrame>
      <xdr:nvGraphicFramePr>
        <xdr:cNvPr id="0" name="Chart 1"/>
        <xdr:cNvGraphicFramePr/>
      </xdr:nvGraphicFramePr>
      <xdr:xfrm>
        <a:off x="4280400" y="3808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0</xdr:rowOff>
    </xdr:from>
    <xdr:to>
      <xdr:col>17</xdr:col>
      <xdr:colOff>581400</xdr:colOff>
      <xdr:row>23</xdr:row>
      <xdr:rowOff>149400</xdr:rowOff>
    </xdr:to>
    <xdr:graphicFrame>
      <xdr:nvGraphicFramePr>
        <xdr:cNvPr id="1" name="Chart 1"/>
        <xdr:cNvGraphicFramePr/>
      </xdr:nvGraphicFramePr>
      <xdr:xfrm>
        <a:off x="3057480" y="3808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26</xdr:row>
      <xdr:rowOff>21240</xdr:rowOff>
    </xdr:from>
    <xdr:to>
      <xdr:col>17</xdr:col>
      <xdr:colOff>581400</xdr:colOff>
      <xdr:row>48</xdr:row>
      <xdr:rowOff>149760</xdr:rowOff>
    </xdr:to>
    <xdr:graphicFrame>
      <xdr:nvGraphicFramePr>
        <xdr:cNvPr id="2" name="Chart 2"/>
        <xdr:cNvGraphicFramePr/>
      </xdr:nvGraphicFramePr>
      <xdr:xfrm>
        <a:off x="3057480" y="51436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2" t="s">
        <v>7</v>
      </c>
    </row>
    <row r="11" customFormat="false" ht="28.3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3" t="s">
        <v>11</v>
      </c>
    </row>
    <row r="16" customFormat="false" ht="41.75" hidden="false" customHeight="false" outlineLevel="0" collapsed="false">
      <c r="A16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55"/>
  </cols>
  <sheetData>
    <row r="1" customFormat="false" ht="15" hidden="false" customHeight="false" outlineLevel="0" collapsed="false">
      <c r="A1" s="4" t="s">
        <v>13</v>
      </c>
    </row>
    <row r="3" customFormat="false" ht="15" hidden="false" customHeight="false" outlineLevel="0" collapsed="false">
      <c r="A3" s="5" t="s">
        <v>14</v>
      </c>
      <c r="B3" s="5" t="s">
        <v>15</v>
      </c>
      <c r="C3" s="5" t="s">
        <v>16</v>
      </c>
      <c r="D3" s="5" t="s">
        <v>17</v>
      </c>
      <c r="E3" s="5" t="s">
        <v>18</v>
      </c>
    </row>
    <row r="4" customFormat="false" ht="15" hidden="false" customHeight="false" outlineLevel="0" collapsed="false">
      <c r="A4" s="0" t="s">
        <v>19</v>
      </c>
      <c r="B4" s="0" t="s">
        <v>20</v>
      </c>
      <c r="C4" s="6" t="n">
        <v>60</v>
      </c>
      <c r="D4" s="7" t="s">
        <v>21</v>
      </c>
      <c r="E4" s="7" t="s">
        <v>22</v>
      </c>
    </row>
    <row r="5" customFormat="false" ht="15" hidden="false" customHeight="false" outlineLevel="0" collapsed="false">
      <c r="A5" s="0" t="s">
        <v>23</v>
      </c>
      <c r="B5" s="0" t="s">
        <v>24</v>
      </c>
      <c r="C5" s="6" t="n">
        <v>0.28</v>
      </c>
      <c r="D5" s="7" t="s">
        <v>25</v>
      </c>
    </row>
    <row r="6" customFormat="false" ht="15" hidden="false" customHeight="false" outlineLevel="0" collapsed="false">
      <c r="A6" s="0" t="s">
        <v>26</v>
      </c>
      <c r="B6" s="0" t="s">
        <v>27</v>
      </c>
      <c r="C6" s="6" t="n">
        <v>3.635</v>
      </c>
      <c r="D6" s="7" t="s">
        <v>28</v>
      </c>
    </row>
    <row r="7" customFormat="false" ht="15" hidden="false" customHeight="false" outlineLevel="0" collapsed="false">
      <c r="A7" s="0" t="s">
        <v>29</v>
      </c>
      <c r="B7" s="0" t="s">
        <v>30</v>
      </c>
      <c r="C7" s="6" t="n">
        <v>36</v>
      </c>
      <c r="D7" s="7" t="s">
        <v>28</v>
      </c>
    </row>
    <row r="8" customFormat="false" ht="15" hidden="false" customHeight="false" outlineLevel="0" collapsed="false">
      <c r="A8" s="0" t="s">
        <v>31</v>
      </c>
      <c r="B8" s="0" t="s">
        <v>32</v>
      </c>
      <c r="C8" s="6" t="n">
        <v>30</v>
      </c>
      <c r="D8" s="7" t="s">
        <v>28</v>
      </c>
    </row>
    <row r="9" customFormat="false" ht="15" hidden="false" customHeight="false" outlineLevel="0" collapsed="false">
      <c r="A9" s="0" t="s">
        <v>33</v>
      </c>
      <c r="B9" s="0" t="s">
        <v>34</v>
      </c>
      <c r="C9" s="6" t="n">
        <v>1033</v>
      </c>
      <c r="D9" s="7" t="s">
        <v>35</v>
      </c>
      <c r="E9" s="7" t="s">
        <v>36</v>
      </c>
    </row>
    <row r="10" customFormat="false" ht="15" hidden="false" customHeight="false" outlineLevel="0" collapsed="false">
      <c r="A10" s="0" t="s">
        <v>37</v>
      </c>
      <c r="B10" s="0" t="s">
        <v>38</v>
      </c>
      <c r="C10" s="6" t="n">
        <v>2150</v>
      </c>
      <c r="D10" s="7" t="s">
        <v>39</v>
      </c>
      <c r="E10" s="7" t="s">
        <v>40</v>
      </c>
    </row>
    <row r="11" customFormat="false" ht="15" hidden="false" customHeight="false" outlineLevel="0" collapsed="false">
      <c r="A11" s="0" t="s">
        <v>41</v>
      </c>
      <c r="B11" s="0" t="s">
        <v>42</v>
      </c>
      <c r="C11" s="6" t="n">
        <v>2.44</v>
      </c>
      <c r="D11" s="7" t="s">
        <v>28</v>
      </c>
      <c r="E11" s="7" t="s">
        <v>43</v>
      </c>
    </row>
    <row r="12" customFormat="false" ht="15" hidden="false" customHeight="false" outlineLevel="0" collapsed="false">
      <c r="A12" s="0" t="s">
        <v>44</v>
      </c>
      <c r="B12" s="0" t="s">
        <v>45</v>
      </c>
      <c r="C12" s="6" t="n">
        <v>1.44</v>
      </c>
      <c r="D12" s="7" t="s">
        <v>28</v>
      </c>
    </row>
    <row r="13" customFormat="false" ht="15" hidden="false" customHeight="false" outlineLevel="0" collapsed="false">
      <c r="A13" s="0" t="s">
        <v>46</v>
      </c>
      <c r="B13" s="0" t="s">
        <v>47</v>
      </c>
      <c r="C13" s="6" t="n">
        <v>1</v>
      </c>
      <c r="D13" s="7" t="s">
        <v>28</v>
      </c>
    </row>
    <row r="14" customFormat="false" ht="15" hidden="false" customHeight="false" outlineLevel="0" collapsed="false">
      <c r="A14" s="0" t="s">
        <v>48</v>
      </c>
      <c r="B14" s="0" t="s">
        <v>49</v>
      </c>
      <c r="C14" s="6" t="n">
        <v>2500</v>
      </c>
      <c r="D14" s="7" t="s">
        <v>50</v>
      </c>
      <c r="E14" s="7" t="s">
        <v>51</v>
      </c>
    </row>
    <row r="15" customFormat="false" ht="15" hidden="false" customHeight="false" outlineLevel="0" collapsed="false">
      <c r="A15" s="0" t="s">
        <v>52</v>
      </c>
      <c r="B15" s="0" t="s">
        <v>53</v>
      </c>
      <c r="C15" s="6" t="n">
        <v>3600</v>
      </c>
      <c r="D15" s="7" t="s">
        <v>54</v>
      </c>
    </row>
    <row r="16" customFormat="false" ht="15" hidden="false" customHeight="false" outlineLevel="0" collapsed="false">
      <c r="A16" s="0" t="s">
        <v>55</v>
      </c>
      <c r="B16" s="0" t="s">
        <v>56</v>
      </c>
      <c r="C16" s="6" t="n">
        <v>2490</v>
      </c>
      <c r="D16" s="7" t="s">
        <v>50</v>
      </c>
      <c r="E16" s="7" t="s">
        <v>57</v>
      </c>
    </row>
    <row r="17" customFormat="false" ht="15" hidden="false" customHeight="false" outlineLevel="0" collapsed="false">
      <c r="A17" s="0" t="s">
        <v>58</v>
      </c>
      <c r="B17" s="0" t="s">
        <v>59</v>
      </c>
      <c r="C17" s="6" t="n">
        <v>5</v>
      </c>
      <c r="D17" s="7" t="s">
        <v>20</v>
      </c>
    </row>
    <row r="18" customFormat="false" ht="15" hidden="false" customHeight="false" outlineLevel="0" collapsed="false">
      <c r="A18" s="0" t="s">
        <v>60</v>
      </c>
      <c r="B18" s="0" t="s">
        <v>61</v>
      </c>
      <c r="C18" s="6" t="n">
        <v>1200</v>
      </c>
      <c r="D18" s="7" t="s">
        <v>50</v>
      </c>
      <c r="E18" s="7" t="s">
        <v>62</v>
      </c>
    </row>
    <row r="19" customFormat="false" ht="15" hidden="false" customHeight="false" outlineLevel="0" collapsed="false">
      <c r="A19" s="0" t="s">
        <v>63</v>
      </c>
      <c r="B19" s="0" t="s">
        <v>64</v>
      </c>
      <c r="C19" s="6" t="n">
        <v>12</v>
      </c>
      <c r="D19" s="7" t="s">
        <v>20</v>
      </c>
    </row>
    <row r="20" customFormat="false" ht="15" hidden="false" customHeight="false" outlineLevel="0" collapsed="false">
      <c r="A20" s="0" t="s">
        <v>65</v>
      </c>
      <c r="B20" s="0" t="s">
        <v>66</v>
      </c>
      <c r="C20" s="6" t="n">
        <v>14</v>
      </c>
      <c r="D20" s="7" t="s">
        <v>50</v>
      </c>
    </row>
    <row r="21" customFormat="false" ht="15" hidden="false" customHeight="false" outlineLevel="0" collapsed="false">
      <c r="A21" s="0" t="s">
        <v>67</v>
      </c>
      <c r="B21" s="0" t="s">
        <v>68</v>
      </c>
      <c r="C21" s="6" t="n">
        <v>5</v>
      </c>
      <c r="D21" s="7" t="s">
        <v>50</v>
      </c>
    </row>
    <row r="22" customFormat="false" ht="15" hidden="false" customHeight="false" outlineLevel="0" collapsed="false">
      <c r="A22" s="0" t="s">
        <v>69</v>
      </c>
      <c r="B22" s="0" t="s">
        <v>70</v>
      </c>
      <c r="C22" s="6" t="n">
        <v>0.4</v>
      </c>
      <c r="D22" s="7" t="s">
        <v>28</v>
      </c>
      <c r="E22" s="7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4" t="s">
        <v>72</v>
      </c>
    </row>
    <row r="3" customFormat="false" ht="15" hidden="false" customHeight="false" outlineLevel="0" collapsed="false">
      <c r="A3" s="8" t="s">
        <v>73</v>
      </c>
    </row>
    <row r="4" customFormat="false" ht="15" hidden="false" customHeight="false" outlineLevel="0" collapsed="false">
      <c r="A4" s="0" t="s">
        <v>74</v>
      </c>
      <c r="B4" s="0" t="s">
        <v>75</v>
      </c>
      <c r="C4" s="9" t="n">
        <f aca="false">Vv*idf/(0.377*rc)</f>
        <v>2066.12353164077</v>
      </c>
      <c r="D4" s="7" t="s">
        <v>39</v>
      </c>
      <c r="E4" s="7" t="s">
        <v>76</v>
      </c>
    </row>
    <row r="5" customFormat="false" ht="15" hidden="false" customHeight="false" outlineLevel="0" collapsed="false">
      <c r="A5" s="0" t="s">
        <v>77</v>
      </c>
      <c r="B5" s="0" t="s">
        <v>78</v>
      </c>
      <c r="C5" s="9" t="n">
        <f aca="false">nS*zS/60</f>
        <v>1239.67411898446</v>
      </c>
      <c r="D5" s="7" t="s">
        <v>35</v>
      </c>
      <c r="E5" s="7" t="s">
        <v>79</v>
      </c>
    </row>
    <row r="6" customFormat="false" ht="15" hidden="false" customHeight="false" outlineLevel="0" collapsed="false">
      <c r="A6" s="0" t="s">
        <v>80</v>
      </c>
      <c r="B6" s="0" t="s">
        <v>81</v>
      </c>
      <c r="C6" s="9" t="n">
        <f aca="false">60*fT/zT</f>
        <v>2066</v>
      </c>
      <c r="D6" s="7" t="s">
        <v>39</v>
      </c>
      <c r="E6" s="7" t="s">
        <v>82</v>
      </c>
    </row>
    <row r="7" customFormat="false" ht="15" hidden="false" customHeight="false" outlineLevel="0" collapsed="false">
      <c r="A7" s="0" t="s">
        <v>83</v>
      </c>
      <c r="B7" s="0" t="s">
        <v>84</v>
      </c>
      <c r="C7" s="9" t="n">
        <f aca="false">nT/nS</f>
        <v>0.999940210912426</v>
      </c>
      <c r="D7" s="7" t="s">
        <v>28</v>
      </c>
      <c r="E7" s="7" t="s">
        <v>85</v>
      </c>
    </row>
    <row r="8" customFormat="false" ht="15" hidden="false" customHeight="false" outlineLevel="0" collapsed="false">
      <c r="A8" s="0" t="s">
        <v>86</v>
      </c>
      <c r="B8" s="0" t="s">
        <v>28</v>
      </c>
      <c r="C8" s="9" t="n">
        <f aca="false">INDEX({1,2,3},MATCH(MIN(ABS(ra1-ireal),ABS(ra2-ireal),ABS(ra3-ireal)),CHOOSE({1,2,3},ABS(ra1-ireal),ABS(ra2-ireal),ABS(ra3-ireal)),0))</f>
        <v>3</v>
      </c>
      <c r="D8" s="7" t="s">
        <v>28</v>
      </c>
      <c r="E8" s="7" t="s">
        <v>87</v>
      </c>
    </row>
    <row r="9" customFormat="false" ht="15" hidden="false" customHeight="false" outlineLevel="0" collapsed="false">
      <c r="A9" s="0" t="s">
        <v>88</v>
      </c>
      <c r="B9" s="0" t="s">
        <v>89</v>
      </c>
      <c r="C9" s="9" t="n">
        <f aca="false">(nMot-nT)/nMot*100</f>
        <v>3.90697674418605</v>
      </c>
      <c r="D9" s="7" t="s">
        <v>90</v>
      </c>
      <c r="E9" s="7" t="s">
        <v>91</v>
      </c>
    </row>
    <row r="12" customFormat="false" ht="41.75" hidden="false" customHeight="false" outlineLevel="0" collapsed="false">
      <c r="A12" s="5" t="s">
        <v>92</v>
      </c>
      <c r="B12" s="5" t="s">
        <v>93</v>
      </c>
      <c r="C12" s="5" t="s">
        <v>94</v>
      </c>
      <c r="D12" s="5" t="s">
        <v>95</v>
      </c>
      <c r="E12" s="5" t="s">
        <v>96</v>
      </c>
    </row>
    <row r="13" customFormat="false" ht="15" hidden="false" customHeight="false" outlineLevel="0" collapsed="false">
      <c r="A13" s="0" t="n">
        <v>0</v>
      </c>
      <c r="B13" s="10" t="n">
        <f aca="false">A13*idf/(0.377*rc)*zS/60</f>
        <v>0</v>
      </c>
      <c r="C13" s="10" t="n">
        <f aca="false">A13*idf/(0.377*rc)*ra1*zT/60</f>
        <v>0</v>
      </c>
      <c r="D13" s="10" t="n">
        <f aca="false">A13*idf/(0.377*rc)*ra2*zT/60</f>
        <v>0</v>
      </c>
      <c r="E13" s="10" t="n">
        <f aca="false">A13*idf/(0.377*rc)*ra3*zT/60</f>
        <v>0</v>
      </c>
    </row>
    <row r="14" customFormat="false" ht="15" hidden="false" customHeight="false" outlineLevel="0" collapsed="false">
      <c r="A14" s="0" t="n">
        <v>20</v>
      </c>
      <c r="B14" s="10" t="n">
        <f aca="false">A14*idf/(0.377*rc)*zS/60</f>
        <v>413.224706328154</v>
      </c>
      <c r="C14" s="10" t="n">
        <f aca="false">A14*idf/(0.377*rc)*ra1*zT/60</f>
        <v>840.223569533914</v>
      </c>
      <c r="D14" s="10" t="n">
        <f aca="false">A14*idf/(0.377*rc)*ra2*zT/60</f>
        <v>495.869647593785</v>
      </c>
      <c r="E14" s="10" t="n">
        <f aca="false">A14*idf/(0.377*rc)*ra3*zT/60</f>
        <v>344.353921940129</v>
      </c>
    </row>
    <row r="15" customFormat="false" ht="15" hidden="false" customHeight="false" outlineLevel="0" collapsed="false">
      <c r="A15" s="0" t="n">
        <v>40</v>
      </c>
      <c r="B15" s="10" t="n">
        <f aca="false">A15*idf/(0.377*rc)*zS/60</f>
        <v>826.449412656309</v>
      </c>
      <c r="C15" s="10" t="n">
        <f aca="false">A15*idf/(0.377*rc)*ra1*zT/60</f>
        <v>1680.44713906783</v>
      </c>
      <c r="D15" s="10" t="n">
        <f aca="false">A15*idf/(0.377*rc)*ra2*zT/60</f>
        <v>991.739295187571</v>
      </c>
      <c r="E15" s="10" t="n">
        <f aca="false">A15*idf/(0.377*rc)*ra3*zT/60</f>
        <v>688.707843880257</v>
      </c>
    </row>
    <row r="16" customFormat="false" ht="15" hidden="false" customHeight="false" outlineLevel="0" collapsed="false">
      <c r="A16" s="0" t="n">
        <v>60</v>
      </c>
      <c r="B16" s="10" t="n">
        <f aca="false">A16*idf/(0.377*rc)*zS/60</f>
        <v>1239.67411898446</v>
      </c>
      <c r="C16" s="10" t="n">
        <f aca="false">A16*idf/(0.377*rc)*ra1*zT/60</f>
        <v>2520.67070860174</v>
      </c>
      <c r="D16" s="10" t="n">
        <f aca="false">A16*idf/(0.377*rc)*ra2*zT/60</f>
        <v>1487.60894278136</v>
      </c>
      <c r="E16" s="10" t="n">
        <f aca="false">A16*idf/(0.377*rc)*ra3*zT/60</f>
        <v>1033.06176582039</v>
      </c>
    </row>
    <row r="17" customFormat="false" ht="15" hidden="false" customHeight="false" outlineLevel="0" collapsed="false">
      <c r="A17" s="0" t="n">
        <v>80</v>
      </c>
      <c r="B17" s="10" t="n">
        <f aca="false">A17*idf/(0.377*rc)*zS/60</f>
        <v>1652.89882531262</v>
      </c>
      <c r="C17" s="10" t="n">
        <f aca="false">A17*idf/(0.377*rc)*ra1*zT/60</f>
        <v>3360.89427813566</v>
      </c>
      <c r="D17" s="10" t="n">
        <f aca="false">A17*idf/(0.377*rc)*ra2*zT/60</f>
        <v>1983.47859037514</v>
      </c>
      <c r="E17" s="10" t="n">
        <f aca="false">A17*idf/(0.377*rc)*ra3*zT/60</f>
        <v>1377.41568776051</v>
      </c>
    </row>
    <row r="18" customFormat="false" ht="15" hidden="false" customHeight="false" outlineLevel="0" collapsed="false">
      <c r="A18" s="0" t="n">
        <v>100</v>
      </c>
      <c r="B18" s="10" t="n">
        <f aca="false">A18*idf/(0.377*rc)*zS/60</f>
        <v>2066.12353164077</v>
      </c>
      <c r="C18" s="10" t="n">
        <f aca="false">A18*idf/(0.377*rc)*ra1*zT/60</f>
        <v>4201.11784766957</v>
      </c>
      <c r="D18" s="10" t="n">
        <f aca="false">A18*idf/(0.377*rc)*ra2*zT/60</f>
        <v>2479.34823796893</v>
      </c>
      <c r="E18" s="10" t="n">
        <f aca="false">A18*idf/(0.377*rc)*ra3*zT/60</f>
        <v>1721.76960970064</v>
      </c>
    </row>
    <row r="19" customFormat="false" ht="15" hidden="false" customHeight="false" outlineLevel="0" collapsed="false">
      <c r="A19" s="0" t="n">
        <v>120</v>
      </c>
      <c r="B19" s="10" t="n">
        <f aca="false">A19*idf/(0.377*rc)*zS/60</f>
        <v>2479.34823796893</v>
      </c>
      <c r="C19" s="10" t="n">
        <f aca="false">A19*idf/(0.377*rc)*ra1*zT/60</f>
        <v>5041.34141720349</v>
      </c>
      <c r="D19" s="10" t="n">
        <f aca="false">A19*idf/(0.377*rc)*ra2*zT/60</f>
        <v>2975.21788556271</v>
      </c>
      <c r="E19" s="10" t="n">
        <f aca="false">A19*idf/(0.377*rc)*ra3*zT/60</f>
        <v>2066.12353164077</v>
      </c>
    </row>
    <row r="20" customFormat="false" ht="15" hidden="false" customHeight="false" outlineLevel="0" collapsed="false">
      <c r="A20" s="0" t="n">
        <v>140</v>
      </c>
      <c r="B20" s="10" t="n">
        <f aca="false">A20*idf/(0.377*rc)*zS/60</f>
        <v>2892.57294429708</v>
      </c>
      <c r="C20" s="10" t="n">
        <f aca="false">A20*idf/(0.377*rc)*ra1*zT/60</f>
        <v>5881.5649867374</v>
      </c>
      <c r="D20" s="10" t="n">
        <f aca="false">A20*idf/(0.377*rc)*ra2*zT/60</f>
        <v>3471.0875331565</v>
      </c>
      <c r="E20" s="10" t="n">
        <f aca="false">A20*idf/(0.377*rc)*ra3*zT/60</f>
        <v>2410.4774535809</v>
      </c>
    </row>
    <row r="21" customFormat="false" ht="15" hidden="false" customHeight="false" outlineLevel="0" collapsed="false">
      <c r="A21" s="0" t="n">
        <v>160</v>
      </c>
      <c r="B21" s="10" t="n">
        <f aca="false">A21*idf/(0.377*rc)*zS/60</f>
        <v>3305.79765062524</v>
      </c>
      <c r="C21" s="10" t="n">
        <f aca="false">A21*idf/(0.377*rc)*ra1*zT/60</f>
        <v>6721.78855627131</v>
      </c>
      <c r="D21" s="10" t="n">
        <f aca="false">A21*idf/(0.377*rc)*ra2*zT/60</f>
        <v>3966.95718075028</v>
      </c>
      <c r="E21" s="10" t="n">
        <f aca="false">A21*idf/(0.377*rc)*ra3*zT/60</f>
        <v>2754.83137552103</v>
      </c>
    </row>
    <row r="22" customFormat="false" ht="15" hidden="false" customHeight="false" outlineLevel="0" collapsed="false">
      <c r="A22" s="0" t="n">
        <v>180</v>
      </c>
      <c r="B22" s="10" t="n">
        <f aca="false">A22*idf/(0.377*rc)*zS/60</f>
        <v>3719.02235695339</v>
      </c>
      <c r="C22" s="10" t="n">
        <f aca="false">A22*idf/(0.377*rc)*ra1*zT/60</f>
        <v>7562.01212580523</v>
      </c>
      <c r="D22" s="10" t="n">
        <f aca="false">A22*idf/(0.377*rc)*ra2*zT/60</f>
        <v>4462.82682834407</v>
      </c>
      <c r="E22" s="10" t="n">
        <f aca="false">A22*idf/(0.377*rc)*ra3*zT/60</f>
        <v>3099.18529746116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4" t="s">
        <v>97</v>
      </c>
    </row>
    <row r="3" customFormat="false" ht="15" hidden="false" customHeight="false" outlineLevel="0" collapsed="false">
      <c r="A3" s="8" t="s">
        <v>73</v>
      </c>
    </row>
    <row r="4" customFormat="false" ht="15" hidden="false" customHeight="false" outlineLevel="0" collapsed="false">
      <c r="A4" s="0" t="s">
        <v>98</v>
      </c>
      <c r="B4" s="0" t="s">
        <v>99</v>
      </c>
      <c r="C4" s="9" t="n">
        <f aca="false">1/(LN(Rmed/R25)/Bn+1/298.15)-273.15</f>
        <v>44.2966009182647</v>
      </c>
      <c r="D4" s="7" t="s">
        <v>100</v>
      </c>
      <c r="E4" s="7" t="s">
        <v>101</v>
      </c>
    </row>
    <row r="5" customFormat="false" ht="15" hidden="false" customHeight="false" outlineLevel="0" collapsed="false">
      <c r="A5" s="0" t="s">
        <v>102</v>
      </c>
      <c r="B5" s="0" t="s">
        <v>103</v>
      </c>
      <c r="C5" s="9" t="n">
        <f aca="false">Vref*Rmed/(Rmed+Rp)</f>
        <v>1.6260162601626</v>
      </c>
      <c r="D5" s="7" t="s">
        <v>20</v>
      </c>
      <c r="E5" s="7" t="s">
        <v>104</v>
      </c>
    </row>
    <row r="7" customFormat="false" ht="28.35" hidden="false" customHeight="false" outlineLevel="0" collapsed="false">
      <c r="A7" s="5" t="s">
        <v>105</v>
      </c>
      <c r="B7" s="5" t="s">
        <v>106</v>
      </c>
      <c r="C7" s="5" t="s">
        <v>107</v>
      </c>
    </row>
    <row r="8" customFormat="false" ht="15" hidden="false" customHeight="false" outlineLevel="0" collapsed="false">
      <c r="A8" s="0" t="n">
        <v>-20</v>
      </c>
      <c r="B8" s="10" t="n">
        <f aca="false">R25*EXP(Bn*(1/(A8+273.15)-1/298.15))</f>
        <v>21384.1344032505</v>
      </c>
      <c r="C8" s="10" t="n">
        <f aca="false">Vref*B8/(B8+Rp)</f>
        <v>4.47851512479108</v>
      </c>
    </row>
    <row r="9" customFormat="false" ht="15" hidden="false" customHeight="false" outlineLevel="0" collapsed="false">
      <c r="A9" s="0" t="n">
        <v>-10</v>
      </c>
      <c r="B9" s="10" t="n">
        <f aca="false">R25*EXP(Bn*(1/(A9+273.15)-1/298.15))</f>
        <v>12456.4925798295</v>
      </c>
      <c r="C9" s="10" t="n">
        <f aca="false">Vref*B9/(B9+Rp)</f>
        <v>4.16702865682338</v>
      </c>
    </row>
    <row r="10" customFormat="false" ht="15" hidden="false" customHeight="false" outlineLevel="0" collapsed="false">
      <c r="A10" s="0" t="n">
        <v>0</v>
      </c>
      <c r="B10" s="10" t="n">
        <f aca="false">R25*EXP(Bn*(1/(A10+273.15)-1/298.15))</f>
        <v>7548.91036965231</v>
      </c>
      <c r="C10" s="10" t="n">
        <f aca="false">Vref*B10/(B10+Rp)</f>
        <v>3.75982556457159</v>
      </c>
    </row>
    <row r="11" customFormat="false" ht="15" hidden="false" customHeight="false" outlineLevel="0" collapsed="false">
      <c r="A11" s="0" t="n">
        <v>10</v>
      </c>
      <c r="B11" s="10" t="n">
        <f aca="false">R25*EXP(Bn*(1/(A11+273.15)-1/298.15))</f>
        <v>4739.5429000153</v>
      </c>
      <c r="C11" s="10" t="n">
        <f aca="false">Vref*B11/(B11+Rp)</f>
        <v>3.2778994229395</v>
      </c>
    </row>
    <row r="12" customFormat="false" ht="15" hidden="false" customHeight="false" outlineLevel="0" collapsed="false">
      <c r="A12" s="0" t="n">
        <v>20</v>
      </c>
      <c r="B12" s="10" t="n">
        <f aca="false">R25*EXP(Bn*(1/(A12+273.15)-1/298.15))</f>
        <v>3071.70902178803</v>
      </c>
      <c r="C12" s="10" t="n">
        <f aca="false">Vref*B12/(B12+Rp)</f>
        <v>2.76147943892299</v>
      </c>
    </row>
    <row r="13" customFormat="false" ht="15" hidden="false" customHeight="false" outlineLevel="0" collapsed="false">
      <c r="A13" s="0" t="n">
        <v>30</v>
      </c>
      <c r="B13" s="10" t="n">
        <f aca="false">R25*EXP(Bn*(1/(A13+273.15)-1/298.15))</f>
        <v>2048.56760543515</v>
      </c>
      <c r="C13" s="10" t="n">
        <f aca="false">Vref*B13/(B13+Rp)</f>
        <v>2.25684377046834</v>
      </c>
    </row>
    <row r="14" customFormat="false" ht="15" hidden="false" customHeight="false" outlineLevel="0" collapsed="false">
      <c r="A14" s="0" t="n">
        <v>40</v>
      </c>
      <c r="B14" s="10" t="n">
        <f aca="false">R25*EXP(Bn*(1/(A14+273.15)-1/298.15))</f>
        <v>1402.02792123079</v>
      </c>
      <c r="C14" s="10" t="n">
        <f aca="false">Vref*B14/(B14+Rp)</f>
        <v>1.80115347269582</v>
      </c>
    </row>
    <row r="15" customFormat="false" ht="15" hidden="false" customHeight="false" outlineLevel="0" collapsed="false">
      <c r="A15" s="0" t="n">
        <v>50</v>
      </c>
      <c r="B15" s="10" t="n">
        <f aca="false">R25*EXP(Bn*(1/(A15+273.15)-1/298.15))</f>
        <v>982.326905548612</v>
      </c>
      <c r="C15" s="10" t="n">
        <f aca="false">Vref*B15/(B15+Rp)</f>
        <v>1.41450809827108</v>
      </c>
    </row>
    <row r="16" customFormat="false" ht="15" hidden="false" customHeight="false" outlineLevel="0" collapsed="false">
      <c r="A16" s="0" t="n">
        <v>60</v>
      </c>
      <c r="B16" s="10" t="n">
        <f aca="false">R25*EXP(Bn*(1/(A16+273.15)-1/298.15))</f>
        <v>703.121786312261</v>
      </c>
      <c r="C16" s="10" t="n">
        <f aca="false">Vref*B16/(B16+Rp)</f>
        <v>1.10099431428874</v>
      </c>
    </row>
    <row r="17" customFormat="false" ht="15" hidden="false" customHeight="false" outlineLevel="0" collapsed="false">
      <c r="A17" s="0" t="n">
        <v>70</v>
      </c>
      <c r="B17" s="10" t="n">
        <f aca="false">R25*EXP(Bn*(1/(A17+273.15)-1/298.15))</f>
        <v>513.179532726683</v>
      </c>
      <c r="C17" s="10" t="n">
        <f aca="false">Vref*B17/(B17+Rp)</f>
        <v>0.854393696970808</v>
      </c>
    </row>
    <row r="18" customFormat="false" ht="15" hidden="false" customHeight="false" outlineLevel="0" collapsed="false">
      <c r="A18" s="0" t="n">
        <v>80</v>
      </c>
      <c r="B18" s="10" t="n">
        <f aca="false">R25*EXP(Bn*(1/(A18+273.15)-1/298.15))</f>
        <v>381.288159957009</v>
      </c>
      <c r="C18" s="10" t="n">
        <f aca="false">Vref*B18/(B18+Rp)</f>
        <v>0.663967074559869</v>
      </c>
    </row>
    <row r="19" customFormat="false" ht="15" hidden="false" customHeight="false" outlineLevel="0" collapsed="false">
      <c r="A19" s="0" t="n">
        <v>90</v>
      </c>
      <c r="B19" s="10" t="n">
        <f aca="false">R25*EXP(Bn*(1/(A19+273.15)-1/298.15))</f>
        <v>287.966982624042</v>
      </c>
      <c r="C19" s="10" t="n">
        <f aca="false">Vref*B19/(B19+Rp)</f>
        <v>0.518305265010802</v>
      </c>
    </row>
    <row r="20" customFormat="false" ht="15" hidden="false" customHeight="false" outlineLevel="0" collapsed="false">
      <c r="A20" s="0" t="n">
        <v>100</v>
      </c>
      <c r="B20" s="10" t="n">
        <f aca="false">R25*EXP(Bn*(1/(A20+273.15)-1/298.15))</f>
        <v>220.783293274979</v>
      </c>
      <c r="C20" s="10" t="n">
        <f aca="false">Vref*B20/(B20+Rp)</f>
        <v>0.407231544149447</v>
      </c>
    </row>
    <row r="21" customFormat="false" ht="15" hidden="false" customHeight="false" outlineLevel="0" collapsed="false">
      <c r="A21" s="0" t="n">
        <v>110</v>
      </c>
      <c r="B21" s="10" t="n">
        <f aca="false">R25*EXP(Bn*(1/(A21+273.15)-1/298.15))</f>
        <v>171.637524321331</v>
      </c>
      <c r="C21" s="10" t="n">
        <f aca="false">Vref*B21/(B21+Rp)</f>
        <v>0.322428435038493</v>
      </c>
    </row>
    <row r="22" customFormat="false" ht="15" hidden="false" customHeight="false" outlineLevel="0" collapsed="false">
      <c r="A22" s="0" t="n">
        <v>120</v>
      </c>
      <c r="B22" s="10" t="n">
        <f aca="false">R25*EXP(Bn*(1/(A22+273.15)-1/298.15))</f>
        <v>135.15161518762</v>
      </c>
      <c r="C22" s="10" t="n">
        <f aca="false">Vref*B22/(B22+Rp)</f>
        <v>0.257416780055122</v>
      </c>
    </row>
    <row r="23" customFormat="false" ht="15" hidden="false" customHeight="false" outlineLevel="0" collapsed="false">
      <c r="A23" s="0" t="n">
        <v>130</v>
      </c>
      <c r="B23" s="10" t="n">
        <f aca="false">R25*EXP(Bn*(1/(A23+273.15)-1/298.15))</f>
        <v>107.690958044241</v>
      </c>
      <c r="C23" s="10" t="n">
        <f aca="false">Vref*B23/(B23+Rp)</f>
        <v>0.207282082017408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4" t="s">
        <v>108</v>
      </c>
    </row>
    <row r="3" customFormat="false" ht="15" hidden="false" customHeight="false" outlineLevel="0" collapsed="false">
      <c r="A3" s="8" t="s">
        <v>73</v>
      </c>
    </row>
    <row r="4" customFormat="false" ht="15" hidden="false" customHeight="false" outlineLevel="0" collapsed="false">
      <c r="A4" s="0" t="s">
        <v>109</v>
      </c>
      <c r="B4" s="0" t="s">
        <v>110</v>
      </c>
      <c r="C4" s="9" t="n">
        <f aca="false">Vb/Ron</f>
        <v>0.857142857142857</v>
      </c>
      <c r="D4" s="7" t="s">
        <v>111</v>
      </c>
      <c r="E4" s="7" t="s">
        <v>112</v>
      </c>
    </row>
    <row r="5" customFormat="false" ht="15" hidden="false" customHeight="false" outlineLevel="0" collapsed="false">
      <c r="A5" s="0" t="s">
        <v>113</v>
      </c>
      <c r="B5" s="0" t="s">
        <v>114</v>
      </c>
      <c r="C5" s="9" t="n">
        <f aca="false">Vb*Ion</f>
        <v>10.2857142857143</v>
      </c>
      <c r="D5" s="7" t="s">
        <v>115</v>
      </c>
      <c r="E5" s="7" t="s">
        <v>112</v>
      </c>
    </row>
    <row r="6" customFormat="false" ht="15" hidden="false" customHeight="false" outlineLevel="0" collapsed="false">
      <c r="A6" s="0" t="s">
        <v>116</v>
      </c>
      <c r="B6" s="0" t="s">
        <v>117</v>
      </c>
      <c r="C6" s="9" t="n">
        <f aca="false">Vb/Rpwm</f>
        <v>2.4</v>
      </c>
      <c r="D6" s="7" t="s">
        <v>111</v>
      </c>
      <c r="E6" s="7" t="s">
        <v>112</v>
      </c>
    </row>
    <row r="7" customFormat="false" ht="15" hidden="false" customHeight="false" outlineLevel="0" collapsed="false">
      <c r="A7" s="0" t="s">
        <v>118</v>
      </c>
      <c r="B7" s="0" t="s">
        <v>119</v>
      </c>
      <c r="C7" s="9" t="n">
        <f aca="false">Dc*Vb/Rpwm</f>
        <v>0.96</v>
      </c>
      <c r="D7" s="7" t="s">
        <v>111</v>
      </c>
      <c r="E7" s="7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2026-09-16T05:48:43Z</dcterms:created>
  <dc:creator>openpyxl</dc:creator>
  <dc:description/>
  <dc:language>en-US</dc:language>
  <cp:lastModifiedBy/>
  <dcterms:modified xsi:type="dcterms:W3CDTF">2026-09-16T05:48:45Z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