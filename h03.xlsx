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 (Parte 1)" sheetId="1" state="visible" r:id="rId3"/>
    <sheet name="Curva (Parte 6)" sheetId="2" state="visible" r:id="rId4"/>
    <sheet name="Rendimiento (Parte 6)" sheetId="3" state="visible" r:id="rId5"/>
    <sheet name="Calibración (Parte 4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<sst xmlns="http://schemas.openxmlformats.org/spreadsheetml/2006/main" count="102" uniqueCount="94">
  <si>
    <t xml:space="preserve">Práctica 22 — Banco probador de alternadores: memoria de cálculo (Parte 1)</t>
  </si>
  <si>
    <t xml:space="preserve">Celdas amarillas con texto azul = datos (se pueden cambiar). El resto son fórmulas. Ecuaciones (1) a (7) de la Parte 1.</t>
  </si>
  <si>
    <t xml:space="preserve">Dato</t>
  </si>
  <si>
    <t xml:space="preserve">Valor</t>
  </si>
  <si>
    <t xml:space="preserve">Comentario</t>
  </si>
  <si>
    <t xml:space="preserve">Tensión de prueba (V)</t>
  </si>
  <si>
    <t xml:space="preserve">Corriente máxima de prueba (A)</t>
  </si>
  <si>
    <t xml:space="preserve">Rendimiento del alternador</t>
  </si>
  <si>
    <t xml:space="preserve">0,5 a 0,6</t>
  </si>
  <si>
    <t xml:space="preserve">Rendimiento de la transmisión</t>
  </si>
  <si>
    <t xml:space="preserve">Correa poly-V</t>
  </si>
  <si>
    <t xml:space="preserve">Potencia nominal del motor elegido (kW)</t>
  </si>
  <si>
    <t xml:space="preserve">5 HP</t>
  </si>
  <si>
    <t xml:space="preserve">Número de polos del motor</t>
  </si>
  <si>
    <t xml:space="preserve">Deslizamiento</t>
  </si>
  <si>
    <t xml:space="preserve">Diámetro polea del motor (mm)</t>
  </si>
  <si>
    <t xml:space="preserve">Diámetro polea del alternador (mm)</t>
  </si>
  <si>
    <t xml:space="preserve">Frecuencia de red (Hz)</t>
  </si>
  <si>
    <t xml:space="preserve">Tensión de red (V)</t>
  </si>
  <si>
    <t xml:space="preserve">Monofásica</t>
  </si>
  <si>
    <t xml:space="preserve">Rendimiento del variador</t>
  </si>
  <si>
    <t xml:space="preserve">Factor de potencia de entrada del variador</t>
  </si>
  <si>
    <t xml:space="preserve">Rectificador monofásico</t>
  </si>
  <si>
    <t xml:space="preserve">Velocidad mínima del alternador (rpm)</t>
  </si>
  <si>
    <t xml:space="preserve">Velocidad máxima del alternador (rpm)</t>
  </si>
  <si>
    <t xml:space="preserve">Velocidad para comprobar el par (rpm)</t>
  </si>
  <si>
    <t xml:space="preserve">Corriente a esa velocidad (A)</t>
  </si>
  <si>
    <t xml:space="preserve">De la curva</t>
  </si>
  <si>
    <t xml:space="preserve">Tensión del shunt (mV)</t>
  </si>
  <si>
    <t xml:space="preserve">Corriente del shunt (A)</t>
  </si>
  <si>
    <t xml:space="preserve">Longitud de un conductor B+ (m)</t>
  </si>
  <si>
    <t xml:space="preserve">Se calcula ida y vuelta</t>
  </si>
  <si>
    <t xml:space="preserve">Sección del cable B+ (mm²)</t>
  </si>
  <si>
    <t xml:space="preserve">Distancia entre ejes de poleas (mm)</t>
  </si>
  <si>
    <t xml:space="preserve">Parte 2</t>
  </si>
  <si>
    <t xml:space="preserve">Resultado</t>
  </si>
  <si>
    <t xml:space="preserve">Ec.</t>
  </si>
  <si>
    <t xml:space="preserve">Comprobación</t>
  </si>
  <si>
    <t xml:space="preserve">Potencia necesaria del motor (W)</t>
  </si>
  <si>
    <t xml:space="preserve">(1)</t>
  </si>
  <si>
    <t xml:space="preserve">Relación de poleas i</t>
  </si>
  <si>
    <t xml:space="preserve">(2)</t>
  </si>
  <si>
    <t xml:space="preserve">Velocidad del motor a la frecuencia de red (rpm)</t>
  </si>
  <si>
    <t xml:space="preserve">(3)</t>
  </si>
  <si>
    <t xml:space="preserve">Velocidad del alternador a la frecuencia de red (rpm)</t>
  </si>
  <si>
    <t xml:space="preserve">—</t>
  </si>
  <si>
    <t xml:space="preserve">Frecuencia para la velocidad mínima (Hz)</t>
  </si>
  <si>
    <t xml:space="preserve">Frecuencia para la velocidad máxima (Hz)</t>
  </si>
  <si>
    <t xml:space="preserve">Par nominal del motor (N·m)</t>
  </si>
  <si>
    <t xml:space="preserve">(4)</t>
  </si>
  <si>
    <t xml:space="preserve">Par pedido a la velocidad de comprobación (N·m)</t>
  </si>
  <si>
    <t xml:space="preserve">Par disponible a la frecuencia máxima (N·m)</t>
  </si>
  <si>
    <t xml:space="preserve">Parte 3 (2)</t>
  </si>
  <si>
    <t xml:space="preserve">Corriente de entrada del variador (A)</t>
  </si>
  <si>
    <t xml:space="preserve">(5)</t>
  </si>
  <si>
    <t xml:space="preserve">Resistencia del shunt (mΩ)</t>
  </si>
  <si>
    <t xml:space="preserve">(6)</t>
  </si>
  <si>
    <t xml:space="preserve">Potencia en el shunt a la corriente máxima (W)</t>
  </si>
  <si>
    <t xml:space="preserve">Caída en el cable B+ (V)</t>
  </si>
  <si>
    <t xml:space="preserve">(7)</t>
  </si>
  <si>
    <t xml:space="preserve">Velocidad de la correa a la velocidad máxima (m/s)</t>
  </si>
  <si>
    <t xml:space="preserve">P2 (1)</t>
  </si>
  <si>
    <t xml:space="preserve">Longitud de la correa (mm)</t>
  </si>
  <si>
    <t xml:space="preserve">P2 (2)</t>
  </si>
  <si>
    <t xml:space="preserve">Curva característica a 13,5 V (Tabla 3 de la Parte 6)</t>
  </si>
  <si>
    <t xml:space="preserve">Ingrese la corriente nominal de placa y las corrientes medidas.</t>
  </si>
  <si>
    <t xml:space="preserve">I nominal de placa (A)</t>
  </si>
  <si>
    <t xml:space="preserve">rpm</t>
  </si>
  <si>
    <t xml:space="preserve">I alt. 1 (A)</t>
  </si>
  <si>
    <t xml:space="preserve">I alt. 2 (A)</t>
  </si>
  <si>
    <t xml:space="preserve">I alt. 3 (A)</t>
  </si>
  <si>
    <t xml:space="preserve">% I nom. (1)</t>
  </si>
  <si>
    <t xml:space="preserve">% I nom. (2)</t>
  </si>
  <si>
    <t xml:space="preserve">% I nom. (3)</t>
  </si>
  <si>
    <t xml:space="preserve">Rendimiento del alternador a plena carga (Tabla 4 de la Parte 6)</t>
  </si>
  <si>
    <t xml:space="preserve">Ecuación (1) de la Parte 6.</t>
  </si>
  <si>
    <t xml:space="preserve">η motor</t>
  </si>
  <si>
    <t xml:space="preserve">η transmisión</t>
  </si>
  <si>
    <t xml:space="preserve">Alternador</t>
  </si>
  <si>
    <t xml:space="preserve">V (V)</t>
  </si>
  <si>
    <t xml:space="preserve">I (A)</t>
  </si>
  <si>
    <t xml:space="preserve">P variador (kW)</t>
  </si>
  <si>
    <t xml:space="preserve">V·I (W)</t>
  </si>
  <si>
    <t xml:space="preserve">P mecánica (W)</t>
  </si>
  <si>
    <t xml:space="preserve">η alternador (%)</t>
  </si>
  <si>
    <t xml:space="preserve">Calibración de los instrumentos del tablero (Tabla 3 de la Parte 4)</t>
  </si>
  <si>
    <t xml:space="preserve">Instrumento</t>
  </si>
  <si>
    <t xml:space="preserve">Referencia</t>
  </si>
  <si>
    <t xml:space="preserve">Lectura del tablero</t>
  </si>
  <si>
    <t xml:space="preserve">Error (%)</t>
  </si>
  <si>
    <t xml:space="preserve">¿Cumple (&lt; 2 %)?</t>
  </si>
  <si>
    <t xml:space="preserve">Amperímetro</t>
  </si>
  <si>
    <t xml:space="preserve">Voltímetro</t>
  </si>
  <si>
    <t xml:space="preserve">Tacómetro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</si>
</sst>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"/>
    <numFmt numFmtId="168" formatCode="0.000"/>
    <numFmt numFmtId="169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característica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'Curva (Parte 6)'!B5</c:f>
              <c:strCache>
                <c:ptCount val="1"/>
                <c:pt idx="0">
                  <c:v>I alt. 1 (A)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 (Parte 6)'!$A$6:$A$13</c:f>
              <c:numCache>
                <c:formatCode>0</c:formatCode>
                <c:ptCount val="8"/>
                <c:pt idx="0">
                  <c:v>1000</c:v>
                </c:pt>
                <c:pt idx="1">
                  <c:v>1500</c:v>
                </c:pt>
                <c:pt idx="2">
                  <c:v>1800</c:v>
                </c:pt>
                <c:pt idx="3">
                  <c:v>2500</c:v>
                </c:pt>
                <c:pt idx="4">
                  <c:v>3000</c:v>
                </c:pt>
                <c:pt idx="5">
                  <c:v>4000</c:v>
                </c:pt>
                <c:pt idx="6">
                  <c:v>5000</c:v>
                </c:pt>
                <c:pt idx="7">
                  <c:v>6000</c:v>
                </c:pt>
              </c:numCache>
            </c:numRef>
          </c:xVal>
          <c:yVal>
            <c:numRef>
              <c:f>'Curva (Parte 6)'!$B$6:$B$13</c:f>
              <c:numCache>
                <c:formatCode>General</c:formatCode>
                <c:ptCount val="8"/>
              </c:numCache>
            </c:numRef>
          </c:yVal>
          <c:smooth val="1"/>
        </c:ser>
        <c:ser>
          <c:idx val="1"/>
          <c:order val="1"/>
          <c:tx>
            <c:strRef>
              <c:f>'Curva (Parte 6)'!C5</c:f>
              <c:strCache>
                <c:ptCount val="1"/>
                <c:pt idx="0">
                  <c:v>I alt. 2 (A)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 (Parte 6)'!$A$6:$A$13</c:f>
              <c:numCache>
                <c:formatCode>0</c:formatCode>
                <c:ptCount val="8"/>
                <c:pt idx="0">
                  <c:v>1000</c:v>
                </c:pt>
                <c:pt idx="1">
                  <c:v>1500</c:v>
                </c:pt>
                <c:pt idx="2">
                  <c:v>1800</c:v>
                </c:pt>
                <c:pt idx="3">
                  <c:v>2500</c:v>
                </c:pt>
                <c:pt idx="4">
                  <c:v>3000</c:v>
                </c:pt>
                <c:pt idx="5">
                  <c:v>4000</c:v>
                </c:pt>
                <c:pt idx="6">
                  <c:v>5000</c:v>
                </c:pt>
                <c:pt idx="7">
                  <c:v>6000</c:v>
                </c:pt>
              </c:numCache>
            </c:numRef>
          </c:xVal>
          <c:yVal>
            <c:numRef>
              <c:f>'Curva (Parte 6)'!$C$6:$C$13</c:f>
              <c:numCache>
                <c:formatCode>General</c:formatCode>
                <c:ptCount val="8"/>
              </c:numCache>
            </c:numRef>
          </c:yVal>
          <c:smooth val="1"/>
        </c:ser>
        <c:ser>
          <c:idx val="2"/>
          <c:order val="2"/>
          <c:tx>
            <c:strRef>
              <c:f>'Curva (Parte 6)'!D5</c:f>
              <c:strCache>
                <c:ptCount val="1"/>
                <c:pt idx="0">
                  <c:v>I alt. 3 (A)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 (Parte 6)'!$A$6:$A$13</c:f>
              <c:numCache>
                <c:formatCode>0</c:formatCode>
                <c:ptCount val="8"/>
                <c:pt idx="0">
                  <c:v>1000</c:v>
                </c:pt>
                <c:pt idx="1">
                  <c:v>1500</c:v>
                </c:pt>
                <c:pt idx="2">
                  <c:v>1800</c:v>
                </c:pt>
                <c:pt idx="3">
                  <c:v>2500</c:v>
                </c:pt>
                <c:pt idx="4">
                  <c:v>3000</c:v>
                </c:pt>
                <c:pt idx="5">
                  <c:v>4000</c:v>
                </c:pt>
                <c:pt idx="6">
                  <c:v>5000</c:v>
                </c:pt>
                <c:pt idx="7">
                  <c:v>6000</c:v>
                </c:pt>
              </c:numCache>
            </c:numRef>
          </c:xVal>
          <c:yVal>
            <c:numRef>
              <c:f>'Curva (Parte 6)'!$D$6:$D$13</c:f>
              <c:numCache>
                <c:formatCode>General</c:formatCode>
                <c:ptCount val="8"/>
              </c:numCache>
            </c:numRef>
          </c:yVal>
          <c:smooth val="1"/>
        </c:ser>
        <c:axId val="71221592"/>
        <c:axId val="32248894"/>
      </c:scatterChart>
      <c:valAx>
        <c:axId val="712215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48894"/>
        <c:crosses val="autoZero"/>
        <c:crossBetween val="midCat"/>
      </c:valAx>
      <c:valAx>
        <c:axId val="32248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215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176040</xdr:rowOff>
    </xdr:from>
    <xdr:to>
      <xdr:col>16</xdr:col>
      <xdr:colOff>147600</xdr:colOff>
      <xdr:row>16</xdr:row>
      <xdr:rowOff>28800</xdr:rowOff>
    </xdr:to>
    <xdr:graphicFrame>
      <xdr:nvGraphicFramePr>
        <xdr:cNvPr id="0" name="Chart 1"/>
        <xdr:cNvGraphicFramePr/>
      </xdr:nvGraphicFramePr>
      <xdr:xfrm>
        <a:off x="766008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4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14</v>
      </c>
      <c r="C5" s="6"/>
    </row>
    <row r="6" customFormat="false" ht="15" hidden="false" customHeight="false" outlineLevel="0" collapsed="false">
      <c r="A6" s="4" t="s">
        <v>6</v>
      </c>
      <c r="B6" s="5" t="n">
        <v>100</v>
      </c>
      <c r="C6" s="6"/>
    </row>
    <row r="7" customFormat="false" ht="15" hidden="false" customHeight="false" outlineLevel="0" collapsed="false">
      <c r="A7" s="4" t="s">
        <v>7</v>
      </c>
      <c r="B7" s="5" t="n">
        <v>0.55</v>
      </c>
      <c r="C7" s="6" t="s">
        <v>8</v>
      </c>
    </row>
    <row r="8" customFormat="false" ht="15" hidden="false" customHeight="false" outlineLevel="0" collapsed="false">
      <c r="A8" s="4" t="s">
        <v>9</v>
      </c>
      <c r="B8" s="5" t="n">
        <v>0.95</v>
      </c>
      <c r="C8" s="6" t="s">
        <v>10</v>
      </c>
    </row>
    <row r="9" customFormat="false" ht="15" hidden="false" customHeight="false" outlineLevel="0" collapsed="false">
      <c r="A9" s="4" t="s">
        <v>11</v>
      </c>
      <c r="B9" s="5" t="n">
        <v>3.7</v>
      </c>
      <c r="C9" s="6" t="s">
        <v>12</v>
      </c>
    </row>
    <row r="10" customFormat="false" ht="15" hidden="false" customHeight="false" outlineLevel="0" collapsed="false">
      <c r="A10" s="4" t="s">
        <v>13</v>
      </c>
      <c r="B10" s="5" t="n">
        <v>4</v>
      </c>
      <c r="C10" s="6"/>
    </row>
    <row r="11" customFormat="false" ht="15" hidden="false" customHeight="false" outlineLevel="0" collapsed="false">
      <c r="A11" s="4" t="s">
        <v>14</v>
      </c>
      <c r="B11" s="5" t="n">
        <v>0.03</v>
      </c>
      <c r="C11" s="6"/>
    </row>
    <row r="12" customFormat="false" ht="15" hidden="false" customHeight="false" outlineLevel="0" collapsed="false">
      <c r="A12" s="4" t="s">
        <v>15</v>
      </c>
      <c r="B12" s="5" t="n">
        <v>150</v>
      </c>
      <c r="C12" s="6"/>
    </row>
    <row r="13" customFormat="false" ht="15" hidden="false" customHeight="false" outlineLevel="0" collapsed="false">
      <c r="A13" s="4" t="s">
        <v>16</v>
      </c>
      <c r="B13" s="5" t="n">
        <v>60</v>
      </c>
      <c r="C13" s="6"/>
    </row>
    <row r="14" customFormat="false" ht="15" hidden="false" customHeight="false" outlineLevel="0" collapsed="false">
      <c r="A14" s="4" t="s">
        <v>17</v>
      </c>
      <c r="B14" s="5" t="n">
        <v>60</v>
      </c>
      <c r="C14" s="6"/>
    </row>
    <row r="15" customFormat="false" ht="15" hidden="false" customHeight="false" outlineLevel="0" collapsed="false">
      <c r="A15" s="4" t="s">
        <v>18</v>
      </c>
      <c r="B15" s="5" t="n">
        <v>220</v>
      </c>
      <c r="C15" s="6" t="s">
        <v>19</v>
      </c>
    </row>
    <row r="16" customFormat="false" ht="15" hidden="false" customHeight="false" outlineLevel="0" collapsed="false">
      <c r="A16" s="4" t="s">
        <v>20</v>
      </c>
      <c r="B16" s="5" t="n">
        <v>0.9</v>
      </c>
      <c r="C16" s="6"/>
    </row>
    <row r="17" customFormat="false" ht="15" hidden="false" customHeight="false" outlineLevel="0" collapsed="false">
      <c r="A17" s="4" t="s">
        <v>21</v>
      </c>
      <c r="B17" s="5" t="n">
        <v>0.6</v>
      </c>
      <c r="C17" s="6" t="s">
        <v>22</v>
      </c>
    </row>
    <row r="18" customFormat="false" ht="15" hidden="false" customHeight="false" outlineLevel="0" collapsed="false">
      <c r="A18" s="4" t="s">
        <v>23</v>
      </c>
      <c r="B18" s="5" t="n">
        <v>1000</v>
      </c>
      <c r="C18" s="6"/>
    </row>
    <row r="19" customFormat="false" ht="15" hidden="false" customHeight="false" outlineLevel="0" collapsed="false">
      <c r="A19" s="4" t="s">
        <v>24</v>
      </c>
      <c r="B19" s="5" t="n">
        <v>6000</v>
      </c>
      <c r="C19" s="6"/>
    </row>
    <row r="20" customFormat="false" ht="15" hidden="false" customHeight="false" outlineLevel="0" collapsed="false">
      <c r="A20" s="4" t="s">
        <v>25</v>
      </c>
      <c r="B20" s="5" t="n">
        <v>3000</v>
      </c>
      <c r="C20" s="6"/>
    </row>
    <row r="21" customFormat="false" ht="15" hidden="false" customHeight="false" outlineLevel="0" collapsed="false">
      <c r="A21" s="4" t="s">
        <v>26</v>
      </c>
      <c r="B21" s="5" t="n">
        <v>75</v>
      </c>
      <c r="C21" s="6" t="s">
        <v>27</v>
      </c>
    </row>
    <row r="22" customFormat="false" ht="15" hidden="false" customHeight="false" outlineLevel="0" collapsed="false">
      <c r="A22" s="4" t="s">
        <v>28</v>
      </c>
      <c r="B22" s="5" t="n">
        <v>75</v>
      </c>
      <c r="C22" s="6"/>
    </row>
    <row r="23" customFormat="false" ht="15" hidden="false" customHeight="false" outlineLevel="0" collapsed="false">
      <c r="A23" s="4" t="s">
        <v>29</v>
      </c>
      <c r="B23" s="5" t="n">
        <v>200</v>
      </c>
      <c r="C23" s="6"/>
    </row>
    <row r="24" customFormat="false" ht="15" hidden="false" customHeight="false" outlineLevel="0" collapsed="false">
      <c r="A24" s="4" t="s">
        <v>30</v>
      </c>
      <c r="B24" s="5" t="n">
        <v>1.5</v>
      </c>
      <c r="C24" s="6" t="s">
        <v>31</v>
      </c>
    </row>
    <row r="25" customFormat="false" ht="15" hidden="false" customHeight="false" outlineLevel="0" collapsed="false">
      <c r="A25" s="4" t="s">
        <v>32</v>
      </c>
      <c r="B25" s="5" t="n">
        <v>25</v>
      </c>
      <c r="C25" s="6"/>
    </row>
    <row r="26" customFormat="false" ht="15" hidden="false" customHeight="false" outlineLevel="0" collapsed="false">
      <c r="A26" s="4" t="s">
        <v>33</v>
      </c>
      <c r="B26" s="5" t="n">
        <v>350</v>
      </c>
      <c r="C26" s="6" t="s">
        <v>34</v>
      </c>
    </row>
    <row r="28" customFormat="false" ht="15" hidden="false" customHeight="false" outlineLevel="0" collapsed="false">
      <c r="A28" s="3" t="s">
        <v>35</v>
      </c>
      <c r="B28" s="3" t="s">
        <v>3</v>
      </c>
      <c r="C28" s="3" t="s">
        <v>36</v>
      </c>
      <c r="D28" s="3" t="s">
        <v>37</v>
      </c>
    </row>
    <row r="29" customFormat="false" ht="15" hidden="false" customHeight="false" outlineLevel="0" collapsed="false">
      <c r="A29" s="4" t="s">
        <v>38</v>
      </c>
      <c r="B29" s="7" t="n">
        <f aca="false">$B$5*$B$6/($B$7*$B$8)</f>
        <v>2679.42583732057</v>
      </c>
      <c r="C29" s="8" t="s">
        <v>39</v>
      </c>
    </row>
    <row r="30" customFormat="false" ht="15" hidden="false" customHeight="false" outlineLevel="0" collapsed="false">
      <c r="A30" s="4" t="s">
        <v>40</v>
      </c>
      <c r="B30" s="9" t="n">
        <f aca="false">$B$12/$B$13</f>
        <v>2.5</v>
      </c>
      <c r="C30" s="8" t="s">
        <v>41</v>
      </c>
    </row>
    <row r="31" customFormat="false" ht="15" hidden="false" customHeight="false" outlineLevel="0" collapsed="false">
      <c r="A31" s="4" t="s">
        <v>42</v>
      </c>
      <c r="B31" s="7" t="n">
        <f aca="false">120*$B$14/$B$10*(1-$B$11)</f>
        <v>1746</v>
      </c>
      <c r="C31" s="8" t="s">
        <v>43</v>
      </c>
    </row>
    <row r="32" customFormat="false" ht="15" hidden="false" customHeight="false" outlineLevel="0" collapsed="false">
      <c r="A32" s="4" t="s">
        <v>44</v>
      </c>
      <c r="B32" s="7" t="n">
        <f aca="false">B31*B30</f>
        <v>4365</v>
      </c>
      <c r="C32" s="8" t="s">
        <v>45</v>
      </c>
    </row>
    <row r="33" customFormat="false" ht="15" hidden="false" customHeight="false" outlineLevel="0" collapsed="false">
      <c r="A33" s="4" t="s">
        <v>46</v>
      </c>
      <c r="B33" s="10" t="n">
        <f aca="false">$B$18/B30/(120/$B$10*(1-$B$11))</f>
        <v>13.745704467354</v>
      </c>
      <c r="C33" s="8" t="s">
        <v>43</v>
      </c>
    </row>
    <row r="34" customFormat="false" ht="15" hidden="false" customHeight="false" outlineLevel="0" collapsed="false">
      <c r="A34" s="4" t="s">
        <v>47</v>
      </c>
      <c r="B34" s="10" t="n">
        <f aca="false">$B$19/B30/(120/$B$10*(1-$B$11))</f>
        <v>82.4742268041237</v>
      </c>
      <c r="C34" s="8" t="s">
        <v>43</v>
      </c>
      <c r="D34" s="11" t="str">
        <f aca="false">IF(B34&lt;=85,"Dentro de 85 Hz","Revisar poleas")</f>
        <v>Dentro de 85 Hz</v>
      </c>
    </row>
    <row r="35" customFormat="false" ht="15" hidden="false" customHeight="false" outlineLevel="0" collapsed="false">
      <c r="A35" s="4" t="s">
        <v>48</v>
      </c>
      <c r="B35" s="10" t="n">
        <f aca="false">9550*$B$9/B31</f>
        <v>20.237686139748</v>
      </c>
      <c r="C35" s="8" t="s">
        <v>49</v>
      </c>
    </row>
    <row r="36" customFormat="false" ht="15" hidden="false" customHeight="false" outlineLevel="0" collapsed="false">
      <c r="A36" s="4" t="s">
        <v>50</v>
      </c>
      <c r="B36" s="10" t="n">
        <f aca="false">9550*($B$5*$B$21/($B$7*$B$8)/1000)/($B$20/B30)</f>
        <v>15.9928229665072</v>
      </c>
      <c r="C36" s="8" t="s">
        <v>49</v>
      </c>
      <c r="D36" s="11" t="str">
        <f aca="false">IF(B36&lt;=B35,"Par suficiente","Par insuficiente")</f>
        <v>Par suficiente</v>
      </c>
    </row>
    <row r="37" customFormat="false" ht="15" hidden="false" customHeight="false" outlineLevel="0" collapsed="false">
      <c r="A37" s="4" t="s">
        <v>51</v>
      </c>
      <c r="B37" s="10" t="n">
        <f aca="false">B35*$B$14/B34</f>
        <v>14.7229166666667</v>
      </c>
      <c r="C37" s="8" t="s">
        <v>52</v>
      </c>
    </row>
    <row r="38" customFormat="false" ht="15" hidden="false" customHeight="false" outlineLevel="0" collapsed="false">
      <c r="A38" s="4" t="s">
        <v>53</v>
      </c>
      <c r="B38" s="10" t="n">
        <f aca="false">$B$9*1000/($B$15*$B$16*$B$17)</f>
        <v>31.1447811447811</v>
      </c>
      <c r="C38" s="8" t="s">
        <v>54</v>
      </c>
      <c r="D38" s="11" t="str">
        <f aca="false">IF(B38&lt;=32,"Interruptor 2P 40 A","Revisar protección")</f>
        <v>Interruptor 2P 40 A</v>
      </c>
    </row>
    <row r="39" customFormat="false" ht="15" hidden="false" customHeight="false" outlineLevel="0" collapsed="false">
      <c r="A39" s="4" t="s">
        <v>55</v>
      </c>
      <c r="B39" s="12" t="n">
        <f aca="false">$B$22/$B$23</f>
        <v>0.375</v>
      </c>
      <c r="C39" s="8" t="s">
        <v>56</v>
      </c>
    </row>
    <row r="40" customFormat="false" ht="15" hidden="false" customHeight="false" outlineLevel="0" collapsed="false">
      <c r="A40" s="4" t="s">
        <v>57</v>
      </c>
      <c r="B40" s="9" t="n">
        <f aca="false">$B$6^2*B39/1000</f>
        <v>3.75</v>
      </c>
      <c r="C40" s="8" t="s">
        <v>45</v>
      </c>
    </row>
    <row r="41" customFormat="false" ht="15" hidden="false" customHeight="false" outlineLevel="0" collapsed="false">
      <c r="A41" s="4" t="s">
        <v>58</v>
      </c>
      <c r="B41" s="9" t="n">
        <f aca="false">2*0.0175*$B$24*$B$6/$B$25</f>
        <v>0.21</v>
      </c>
      <c r="C41" s="8" t="s">
        <v>59</v>
      </c>
      <c r="D41" s="11" t="str">
        <f aca="false">IF(B41&lt;0.3,"&lt; 0,3 V: correcto","Aumentar la sección")</f>
        <v>&lt; 0,3 V: correcto</v>
      </c>
    </row>
    <row r="42" customFormat="false" ht="15" hidden="false" customHeight="false" outlineLevel="0" collapsed="false">
      <c r="A42" s="4" t="s">
        <v>60</v>
      </c>
      <c r="B42" s="10" t="n">
        <f aca="false">PI()*$B$13*$B$19/60000</f>
        <v>18.8495559215388</v>
      </c>
      <c r="C42" s="8" t="s">
        <v>61</v>
      </c>
      <c r="D42" s="11" t="str">
        <f aca="false">IF(B42&lt;=30,"Dentro del límite","Excede 30 m/s")</f>
        <v>Dentro del límite</v>
      </c>
    </row>
    <row r="43" customFormat="false" ht="15" hidden="false" customHeight="false" outlineLevel="0" collapsed="false">
      <c r="A43" s="4" t="s">
        <v>62</v>
      </c>
      <c r="B43" s="7" t="n">
        <f aca="false">2*$B$26+PI()*($B$12+$B$13)/2+($B$12-$B$13)^2/(4*$B$26)</f>
        <v>1035.65294291264</v>
      </c>
      <c r="C43" s="8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3" customFormat="false" ht="15" hidden="false" customHeight="false" outlineLevel="0" collapsed="false">
      <c r="A3" s="4" t="s">
        <v>66</v>
      </c>
      <c r="B3" s="5" t="n">
        <v>90</v>
      </c>
    </row>
    <row r="5" customFormat="false" ht="15" hidden="false" customHeight="false" outlineLevel="0" collapsed="false">
      <c r="A5" s="3" t="s">
        <v>67</v>
      </c>
      <c r="B5" s="3" t="s">
        <v>68</v>
      </c>
      <c r="C5" s="3" t="s">
        <v>69</v>
      </c>
      <c r="D5" s="3" t="s">
        <v>70</v>
      </c>
      <c r="E5" s="3" t="s">
        <v>71</v>
      </c>
      <c r="F5" s="3" t="s">
        <v>72</v>
      </c>
      <c r="G5" s="3" t="s">
        <v>73</v>
      </c>
    </row>
    <row r="6" customFormat="false" ht="15" hidden="false" customHeight="false" outlineLevel="0" collapsed="false">
      <c r="A6" s="7" t="n">
        <v>1000</v>
      </c>
      <c r="B6" s="13"/>
      <c r="C6" s="13"/>
      <c r="D6" s="13"/>
      <c r="E6" s="7" t="str">
        <f aca="false">IF(B6="","",B6/$B$3*100)</f>
        <v/>
      </c>
      <c r="F6" s="7" t="str">
        <f aca="false">IF(C6="","",C6/$B$3*100)</f>
        <v/>
      </c>
      <c r="G6" s="7" t="str">
        <f aca="false">IF(D6="","",D6/$B$3*100)</f>
        <v/>
      </c>
    </row>
    <row r="7" customFormat="false" ht="15" hidden="false" customHeight="false" outlineLevel="0" collapsed="false">
      <c r="A7" s="7" t="n">
        <v>1500</v>
      </c>
      <c r="B7" s="13"/>
      <c r="C7" s="13"/>
      <c r="D7" s="13"/>
      <c r="E7" s="7" t="str">
        <f aca="false">IF(B7="","",B7/$B$3*100)</f>
        <v/>
      </c>
      <c r="F7" s="7" t="str">
        <f aca="false">IF(C7="","",C7/$B$3*100)</f>
        <v/>
      </c>
      <c r="G7" s="7" t="str">
        <f aca="false">IF(D7="","",D7/$B$3*100)</f>
        <v/>
      </c>
    </row>
    <row r="8" customFormat="false" ht="15" hidden="false" customHeight="false" outlineLevel="0" collapsed="false">
      <c r="A8" s="7" t="n">
        <v>1800</v>
      </c>
      <c r="B8" s="13"/>
      <c r="C8" s="13"/>
      <c r="D8" s="13"/>
      <c r="E8" s="7" t="str">
        <f aca="false">IF(B8="","",B8/$B$3*100)</f>
        <v/>
      </c>
      <c r="F8" s="7" t="str">
        <f aca="false">IF(C8="","",C8/$B$3*100)</f>
        <v/>
      </c>
      <c r="G8" s="7" t="str">
        <f aca="false">IF(D8="","",D8/$B$3*100)</f>
        <v/>
      </c>
    </row>
    <row r="9" customFormat="false" ht="15" hidden="false" customHeight="false" outlineLevel="0" collapsed="false">
      <c r="A9" s="7" t="n">
        <v>2500</v>
      </c>
      <c r="B9" s="13"/>
      <c r="C9" s="13"/>
      <c r="D9" s="13"/>
      <c r="E9" s="7" t="str">
        <f aca="false">IF(B9="","",B9/$B$3*100)</f>
        <v/>
      </c>
      <c r="F9" s="7" t="str">
        <f aca="false">IF(C9="","",C9/$B$3*100)</f>
        <v/>
      </c>
      <c r="G9" s="7" t="str">
        <f aca="false">IF(D9="","",D9/$B$3*100)</f>
        <v/>
      </c>
    </row>
    <row r="10" customFormat="false" ht="15" hidden="false" customHeight="false" outlineLevel="0" collapsed="false">
      <c r="A10" s="7" t="n">
        <v>3000</v>
      </c>
      <c r="B10" s="13"/>
      <c r="C10" s="13"/>
      <c r="D10" s="13"/>
      <c r="E10" s="7" t="str">
        <f aca="false">IF(B10="","",B10/$B$3*100)</f>
        <v/>
      </c>
      <c r="F10" s="7" t="str">
        <f aca="false">IF(C10="","",C10/$B$3*100)</f>
        <v/>
      </c>
      <c r="G10" s="7" t="str">
        <f aca="false">IF(D10="","",D10/$B$3*100)</f>
        <v/>
      </c>
    </row>
    <row r="11" customFormat="false" ht="15" hidden="false" customHeight="false" outlineLevel="0" collapsed="false">
      <c r="A11" s="7" t="n">
        <v>4000</v>
      </c>
      <c r="B11" s="13"/>
      <c r="C11" s="13"/>
      <c r="D11" s="13"/>
      <c r="E11" s="7" t="str">
        <f aca="false">IF(B11="","",B11/$B$3*100)</f>
        <v/>
      </c>
      <c r="F11" s="7" t="str">
        <f aca="false">IF(C11="","",C11/$B$3*100)</f>
        <v/>
      </c>
      <c r="G11" s="7" t="str">
        <f aca="false">IF(D11="","",D11/$B$3*100)</f>
        <v/>
      </c>
    </row>
    <row r="12" customFormat="false" ht="15" hidden="false" customHeight="false" outlineLevel="0" collapsed="false">
      <c r="A12" s="7" t="n">
        <v>5000</v>
      </c>
      <c r="B12" s="13"/>
      <c r="C12" s="13"/>
      <c r="D12" s="13"/>
      <c r="E12" s="7" t="str">
        <f aca="false">IF(B12="","",B12/$B$3*100)</f>
        <v/>
      </c>
      <c r="F12" s="7" t="str">
        <f aca="false">IF(C12="","",C12/$B$3*100)</f>
        <v/>
      </c>
      <c r="G12" s="7" t="str">
        <f aca="false">IF(D12="","",D12/$B$3*100)</f>
        <v/>
      </c>
    </row>
    <row r="13" customFormat="false" ht="15" hidden="false" customHeight="false" outlineLevel="0" collapsed="false">
      <c r="A13" s="7" t="n">
        <v>6000</v>
      </c>
      <c r="B13" s="13"/>
      <c r="C13" s="13"/>
      <c r="D13" s="13"/>
      <c r="E13" s="7" t="str">
        <f aca="false">IF(B13="","",B13/$B$3*100)</f>
        <v/>
      </c>
      <c r="F13" s="7" t="str">
        <f aca="false">IF(C13="","",C13/$B$3*100)</f>
        <v/>
      </c>
      <c r="G13" s="7" t="str">
        <f aca="false">IF(D13="","",D13/$B$3*100)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7" min="5" style="0" width="14"/>
  </cols>
  <sheetData>
    <row r="1" customFormat="false" ht="16.1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3" customFormat="false" ht="15" hidden="false" customHeight="false" outlineLevel="0" collapsed="false">
      <c r="A3" s="0" t="s">
        <v>76</v>
      </c>
      <c r="B3" s="5" t="n">
        <v>0.85</v>
      </c>
    </row>
    <row r="4" customFormat="false" ht="15" hidden="false" customHeight="false" outlineLevel="0" collapsed="false">
      <c r="A4" s="0" t="s">
        <v>77</v>
      </c>
      <c r="B4" s="5" t="n">
        <v>0.95</v>
      </c>
    </row>
    <row r="6" customFormat="false" ht="23.85" hidden="false" customHeight="false" outlineLevel="0" collapsed="false">
      <c r="A6" s="3" t="s">
        <v>78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84</v>
      </c>
    </row>
    <row r="7" customFormat="false" ht="15" hidden="false" customHeight="false" outlineLevel="0" collapsed="false">
      <c r="A7" s="7" t="n">
        <v>1</v>
      </c>
      <c r="B7" s="14"/>
      <c r="C7" s="14"/>
      <c r="D7" s="14"/>
      <c r="E7" s="7" t="str">
        <f aca="false">IF(OR(B7="",C7=""),"",B7*C7)</f>
        <v/>
      </c>
      <c r="F7" s="7" t="str">
        <f aca="false">IF(D7="","",D7*1000*$B$3*$B$4)</f>
        <v/>
      </c>
      <c r="G7" s="10" t="str">
        <f aca="false">IF(OR(E7="",F7=""),"",E7/F7*100)</f>
        <v/>
      </c>
    </row>
    <row r="8" customFormat="false" ht="15" hidden="false" customHeight="false" outlineLevel="0" collapsed="false">
      <c r="A8" s="7" t="n">
        <v>2</v>
      </c>
      <c r="B8" s="14"/>
      <c r="C8" s="14"/>
      <c r="D8" s="14"/>
      <c r="E8" s="7" t="str">
        <f aca="false">IF(OR(B8="",C8=""),"",B8*C8)</f>
        <v/>
      </c>
      <c r="F8" s="7" t="str">
        <f aca="false">IF(D8="","",D8*1000*$B$3*$B$4)</f>
        <v/>
      </c>
      <c r="G8" s="10" t="str">
        <f aca="false">IF(OR(E8="",F8=""),"",E8/F8*100)</f>
        <v/>
      </c>
    </row>
    <row r="9" customFormat="false" ht="15" hidden="false" customHeight="false" outlineLevel="0" collapsed="false">
      <c r="A9" s="7" t="n">
        <v>3</v>
      </c>
      <c r="B9" s="14"/>
      <c r="C9" s="14"/>
      <c r="D9" s="14"/>
      <c r="E9" s="7" t="str">
        <f aca="false">IF(OR(B9="",C9=""),"",B9*C9)</f>
        <v/>
      </c>
      <c r="F9" s="7" t="str">
        <f aca="false">IF(D9="","",D9*1000*$B$3*$B$4)</f>
        <v/>
      </c>
      <c r="G9" s="10" t="str">
        <f aca="false">IF(OR(E9="",F9=""),"",E9/F9*100)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" t="s">
        <v>85</v>
      </c>
    </row>
    <row r="3" customFormat="false" ht="15" hidden="false" customHeight="false" outlineLevel="0" collapsed="false">
      <c r="A3" s="3" t="s">
        <v>86</v>
      </c>
      <c r="B3" s="3" t="s">
        <v>87</v>
      </c>
      <c r="C3" s="3" t="s">
        <v>88</v>
      </c>
      <c r="D3" s="3" t="s">
        <v>89</v>
      </c>
      <c r="E3" s="3" t="s">
        <v>90</v>
      </c>
    </row>
    <row r="4" customFormat="false" ht="15" hidden="false" customHeight="false" outlineLevel="0" collapsed="false">
      <c r="A4" s="4" t="s">
        <v>91</v>
      </c>
      <c r="B4" s="14" t="n">
        <v>5</v>
      </c>
      <c r="C4" s="14"/>
      <c r="D4" s="9" t="str">
        <f aca="false">IF(OR(B4="",C4=""),"",(C4-B4)/B4*100)</f>
        <v/>
      </c>
      <c r="E4" s="15" t="str">
        <f aca="false">IF(D4="","",IF(ABS(D4)&lt;2,"Sí","No"))</f>
        <v/>
      </c>
    </row>
    <row r="5" customFormat="false" ht="15" hidden="false" customHeight="false" outlineLevel="0" collapsed="false">
      <c r="A5" s="4" t="s">
        <v>91</v>
      </c>
      <c r="B5" s="14" t="n">
        <v>50</v>
      </c>
      <c r="C5" s="14"/>
      <c r="D5" s="9" t="str">
        <f aca="false">IF(OR(B5="",C5=""),"",(C5-B5)/B5*100)</f>
        <v/>
      </c>
      <c r="E5" s="15" t="str">
        <f aca="false">IF(D5="","",IF(ABS(D5)&lt;2,"Sí","No"))</f>
        <v/>
      </c>
    </row>
    <row r="6" customFormat="false" ht="15" hidden="false" customHeight="false" outlineLevel="0" collapsed="false">
      <c r="A6" s="4" t="s">
        <v>91</v>
      </c>
      <c r="B6" s="14" t="n">
        <v>100</v>
      </c>
      <c r="C6" s="14"/>
      <c r="D6" s="9" t="str">
        <f aca="false">IF(OR(B6="",C6=""),"",(C6-B6)/B6*100)</f>
        <v/>
      </c>
      <c r="E6" s="15" t="str">
        <f aca="false">IF(D6="","",IF(ABS(D6)&lt;2,"Sí","No"))</f>
        <v/>
      </c>
    </row>
    <row r="7" customFormat="false" ht="15" hidden="false" customHeight="false" outlineLevel="0" collapsed="false">
      <c r="A7" s="4" t="s">
        <v>92</v>
      </c>
      <c r="B7" s="14" t="n">
        <v>14</v>
      </c>
      <c r="C7" s="14"/>
      <c r="D7" s="9" t="str">
        <f aca="false">IF(OR(B7="",C7=""),"",(C7-B7)/B7*100)</f>
        <v/>
      </c>
      <c r="E7" s="15" t="str">
        <f aca="false">IF(D7="","",IF(ABS(D7)&lt;2,"Sí","No"))</f>
        <v/>
      </c>
    </row>
    <row r="8" customFormat="false" ht="15" hidden="false" customHeight="false" outlineLevel="0" collapsed="false">
      <c r="A8" s="4" t="s">
        <v>93</v>
      </c>
      <c r="B8" s="14"/>
      <c r="C8" s="14"/>
      <c r="D8" s="9" t="str">
        <f aca="false">IF(OR(B8="",C8=""),"",(C8-B8)/B8*100)</f>
        <v/>
      </c>
      <c r="E8" s="15" t="str">
        <f aca="false">IF(D8="","",IF(ABS(D8)&lt;2,"Sí","No"))</f>
        <v/>
      </c>
    </row>
    <row r="9" customFormat="false" ht="15" hidden="false" customHeight="false" outlineLevel="0" collapsed="false">
      <c r="A9" s="4" t="s">
        <v>93</v>
      </c>
      <c r="B9" s="14"/>
      <c r="C9" s="14"/>
      <c r="D9" s="9" t="str">
        <f aca="false">IF(OR(B9="",C9=""),"",(C9-B9)/B9*100)</f>
        <v/>
      </c>
      <c r="E9" s="15" t="str">
        <f aca="false">IF(D9="","",IF(ABS(D9)&lt;2,"Sí","No"))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2026-09-30T19:28:21Z</dcterms:created>
  <dc:creator>openpyxl</dc:creator>
  <dc:description/>
  <dc:language>en-US</dc:language>
  <cp:lastModifiedBy/>
  <dcterms:modified xsi:type="dcterms:W3CDTF">2026-09-30T19:28:23Z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