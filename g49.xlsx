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charts/chartT1_chart1.xml" ContentType="application/vnd.openxmlformats-officedocument.drawingml.chart+xml"/>
  <Override PartName="/xl/charts/chartT1_chart2.xml" ContentType="application/vnd.openxmlformats-officedocument.drawingml.chart+xml"/>
  <Override PartName="/xl/drawings/drawingT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tor" sheetId="1" state="visible" r:id="rId1"/>
    <sheet xmlns:r="http://schemas.openxmlformats.org/officeDocument/2006/relationships" name="Refrigerante" sheetId="2" state="visible" r:id="rId2"/>
    <sheet xmlns:r="http://schemas.openxmlformats.org/officeDocument/2006/relationships" name="Estanqueidad" sheetId="3" state="visible" r:id="rId3"/>
    <sheet xmlns:r="http://schemas.openxmlformats.org/officeDocument/2006/relationships" name="Termostato" sheetId="4" state="visible" r:id="rId4"/>
    <sheet xmlns:r="http://schemas.openxmlformats.org/officeDocument/2006/relationships" name="Grafica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##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b val="1"/>
      <color rgb="001F3864"/>
      <sz val="13"/>
    </font>
    <font>
      <b val="1"/>
    </font>
    <font>
      <b val="1"/>
      <color rgb="FF0000FF"/>
    </font>
    <font>
      <b val="1"/>
      <color rgb="FFFFFFFF"/>
    </font>
    <font>
      <b val="1"/>
      <color rgb="FF000000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1" fontId="8" fillId="2" borderId="1" applyAlignment="1" pivotButton="0" quotePrefix="0" xfId="0">
      <alignment horizontal="general" vertical="bottom"/>
    </xf>
    <xf numFmtId="164" fontId="8" fillId="2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2" fontId="8" fillId="2" borderId="1" applyAlignment="1" pivotButton="0" quotePrefix="0" xfId="0">
      <alignment horizontal="general" vertical="bottom"/>
    </xf>
    <xf numFmtId="1" fontId="10" fillId="0" borderId="1" applyAlignment="1" pivotButton="0" quotePrefix="0" xfId="0">
      <alignment horizontal="general" vertical="bottom"/>
    </xf>
    <xf numFmtId="2" fontId="10" fillId="0" borderId="1" applyAlignment="1" pivotButton="0" quotePrefix="0" xfId="0">
      <alignment horizontal="general" vertical="bottom"/>
    </xf>
    <xf numFmtId="49" fontId="10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4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vertical="top" wrapText="1"/>
    </xf>
    <xf numFmtId="0" fontId="17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  <xf numFmtId="165" fontId="15" fillId="6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1" fontId="8" fillId="2" borderId="1" applyAlignment="1" pivotButton="0" quotePrefix="0" xfId="0">
      <alignment horizontal="general" vertical="bottom"/>
    </xf>
    <xf numFmtId="164" fontId="8" fillId="2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2" fontId="8" fillId="2" borderId="1" applyAlignment="1" pivotButton="0" quotePrefix="0" xfId="0">
      <alignment horizontal="general" vertical="bottom"/>
    </xf>
    <xf numFmtId="1" fontId="10" fillId="0" borderId="1" applyAlignment="1" pivotButton="0" quotePrefix="0" xfId="0">
      <alignment horizontal="general" vertical="bottom"/>
    </xf>
    <xf numFmtId="2" fontId="10" fillId="0" borderId="1" applyAlignment="1" pivotButton="0" quotePrefix="0" xfId="0">
      <alignment horizontal="general" vertical="bottom"/>
    </xf>
    <xf numFmtId="49" fontId="10" fillId="0" borderId="1" applyAlignment="1" pivotButton="0" quotePrefix="0" xfId="0">
      <alignment horizontal="general" vertical="bottom"/>
    </xf>
    <xf numFmtId="2" fontId="18" fillId="6" borderId="1" applyAlignment="1" pivotButton="0" quotePrefix="0" xfId="0">
      <alignment horizontal="general" vertical="bottom"/>
    </xf>
    <xf numFmtId="164" fontId="18" fillId="6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00FFF2CC"/>
          <bgColor rgb="00FFF2CC"/>
        </patternFill>
      </fill>
    </dxf>
    <dxf>
      <fill>
        <patternFill patternType="solid">
          <fgColor rgb="00C65911"/>
          <bgColor rgb="00C65911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Punto de congelación del refrigerante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scatterChart>
        <scatterStyle val="lineMarker"/>
        <varyColors val="0"/>
        <ser>
          <idx val="0"/>
          <order val="0"/>
          <tx>
            <strRef>
              <f>"Punto de congelación"</f>
              <strCache>
                <ptCount val="1"/>
                <pt idx="0">
                  <v>Punto de congelación</v>
                </pt>
              </strCache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 w="24840">
              <a:solidFill>
                <a:srgbClr val="2f5597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2f5597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Refrigerante!$A$6:$A$12</f>
              <numCache>
                <formatCode>0</formatCode>
                <ptCount val="7"/>
                <pt idx="0">
                  <v>0</v>
                </pt>
                <pt idx="1">
                  <v>10</v>
                </pt>
                <pt idx="2">
                  <v>20</v>
                </pt>
                <pt idx="3">
                  <v>30</v>
                </pt>
                <pt idx="4">
                  <v>40</v>
                </pt>
                <pt idx="5">
                  <v>50</v>
                </pt>
                <pt idx="6">
                  <v>60</v>
                </pt>
              </numCache>
            </numRef>
          </xVal>
          <yVal>
            <numRef>
              <f>Refrigerante!$B$6:$B$12</f>
              <numCache>
                <formatCode>0.0</formatCode>
                <ptCount val="7"/>
                <pt idx="0">
                  <v>0</v>
                </pt>
                <pt idx="1">
                  <v>-3.5</v>
                </pt>
                <pt idx="2">
                  <v>-8</v>
                </pt>
                <pt idx="3">
                  <v>-15</v>
                </pt>
                <pt idx="4">
                  <v>-24</v>
                </pt>
                <pt idx="5">
                  <v>-37</v>
                </pt>
                <pt idx="6">
                  <v>-52</v>
                </pt>
              </numCache>
            </numRef>
          </yVal>
          <smooth val="1"/>
        </ser>
        <axId val="33092190"/>
        <axId val="89895915"/>
      </scatterChart>
      <valAx>
        <axId val="33092190"/>
        <scaling>
          <orientation val="minMax"/>
        </scaling>
        <delete val="0"/>
        <axPos val="b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Concentración de etilenglicol (%)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9895915"/>
        <crosses val="autoZero"/>
        <crossBetween val="midCat"/>
      </valAx>
      <valAx>
        <axId val="8989591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3092190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Calentamiento del motor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scatterChart>
        <scatterStyle val="lineMarker"/>
        <varyColors val="0"/>
        <ser>
          <idx val="0"/>
          <order val="0"/>
          <tx>
            <strRef>
              <f>"Manguera superior"</f>
              <strCache>
                <ptCount val="1"/>
                <pt idx="0">
                  <v>Manguera superior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4840">
              <a:solidFill>
                <a:srgbClr val="c0000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Termostato!$A$14:$A$19</f>
              <numCache>
                <formatCode>0</formatCode>
                <ptCount val="6"/>
                <pt idx="0">
                  <v>0</v>
                </pt>
                <pt idx="1">
                  <v>3</v>
                </pt>
                <pt idx="2">
                  <v>6</v>
                </pt>
                <pt idx="3">
                  <v>9</v>
                </pt>
                <pt idx="4">
                  <v>12</v>
                </pt>
                <pt idx="5">
                  <v>15</v>
                </pt>
              </numCache>
            </numRef>
          </xVal>
          <yVal>
            <numRef>
              <f>Termostato!$B$14:$B$19</f>
              <numCache>
                <formatCode>0.0</formatCode>
                <ptCount val="6"/>
                <pt idx="0">
                  <v>22</v>
                </pt>
                <pt idx="1">
                  <v>55</v>
                </pt>
                <pt idx="2">
                  <v>82</v>
                </pt>
                <pt idx="3">
                  <v>90</v>
                </pt>
                <pt idx="4">
                  <v>93</v>
                </pt>
                <pt idx="5">
                  <v>95</v>
                </pt>
              </numCache>
            </numRef>
          </yVal>
          <smooth val="1"/>
        </ser>
        <ser>
          <idx val="1"/>
          <order val="1"/>
          <tx>
            <strRef>
              <f>"Manguera inferior"</f>
              <strCache>
                <ptCount val="1"/>
                <pt idx="0">
                  <v>Manguera inferior</v>
                </pt>
              </strCache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 w="24840">
              <a:solidFill>
                <a:srgbClr val="2f5597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2f5597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Termostato!$A$14:$A$19</f>
              <numCache>
                <formatCode>0</formatCode>
                <ptCount val="6"/>
                <pt idx="0">
                  <v>0</v>
                </pt>
                <pt idx="1">
                  <v>3</v>
                </pt>
                <pt idx="2">
                  <v>6</v>
                </pt>
                <pt idx="3">
                  <v>9</v>
                </pt>
                <pt idx="4">
                  <v>12</v>
                </pt>
                <pt idx="5">
                  <v>15</v>
                </pt>
              </numCache>
            </numRef>
          </xVal>
          <yVal>
            <numRef>
              <f>Termostato!$C$14:$C$19</f>
              <numCache>
                <formatCode>0.0</formatCode>
                <ptCount val="6"/>
                <pt idx="0">
                  <v>22</v>
                </pt>
                <pt idx="1">
                  <v>24</v>
                </pt>
                <pt idx="2">
                  <v>28</v>
                </pt>
                <pt idx="3">
                  <v>75</v>
                </pt>
                <pt idx="4">
                  <v>80</v>
                </pt>
                <pt idx="5">
                  <v>82</v>
                </pt>
              </numCache>
            </numRef>
          </yVal>
          <smooth val="1"/>
        </ser>
        <axId val="52926800"/>
        <axId val="67087903"/>
      </scatterChart>
      <valAx>
        <axId val="52926800"/>
        <scaling>
          <orientation val="minMax"/>
        </scaling>
        <delete val="0"/>
        <axPos val="b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Tiempo (min)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087903"/>
        <crosses val="autoZero"/>
        <crossBetween val="midCat"/>
      </valAx>
      <valAx>
        <axId val="6708790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Temperatura (°C)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2926800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T1_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Punto de congelación del refrigerante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"Punto de congelación"</c:f>
              <c:strCache>
                <c:ptCount val="1"/>
                <c:pt idx="0">
                  <c:v>Punto de congelación</c:v>
                </c:pt>
              </c:strCache>
            </c:strRef>
          </c:tx>
          <c:spPr>
            <a:solidFill>
              <a:srgbClr val="2f5597"/>
            </a:solidFill>
            <a:ln w="24840">
              <a:solidFill>
                <a:srgbClr val="2f5597"/>
              </a:solidFill>
              <a:round/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Refrigerante!$A$6:$A$12</c:f>
              <c:numCache>
                <c:formatCode>0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Refrigerante!$B$6:$B$12</c:f>
              <c:numCache>
                <c:formatCode>0.0</c:formatCode>
                <c:ptCount val="7"/>
                <c:pt idx="0">
                  <c:v>0</c:v>
                </c:pt>
                <c:pt idx="1">
                  <c:v>-3.5</c:v>
                </c:pt>
                <c:pt idx="2">
                  <c:v>-8</c:v>
                </c:pt>
                <c:pt idx="3">
                  <c:v>-15</c:v>
                </c:pt>
                <c:pt idx="4">
                  <c:v>-24</c:v>
                </c:pt>
                <c:pt idx="5">
                  <c:v>-37</c:v>
                </c:pt>
                <c:pt idx="6">
                  <c:v>-52</c:v>
                </c:pt>
              </c:numCache>
            </c:numRef>
          </c:yVal>
          <c:smooth val="1"/>
        </c:ser>
        <c:axId val="33092190"/>
        <c:axId val="89895915"/>
      </c:scatterChart>
      <c:valAx>
        <c:axId val="330921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Concentración de etilenglicol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95915"/>
        <c:crosses val="autoZero"/>
        <c:crossBetween val="midCat"/>
      </c:valAx>
      <c:valAx>
        <c:axId val="898959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9219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T1_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Calentamiento del motor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"Manguera superior"</c:f>
              <c:strCache>
                <c:ptCount val="1"/>
                <c:pt idx="0">
                  <c:v>Manguera superior</c:v>
                </c:pt>
              </c:strCache>
            </c:strRef>
          </c:tx>
          <c:spPr>
            <a:solidFill>
              <a:srgbClr val="c00000"/>
            </a:solidFill>
            <a:ln w="2484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Termostato!$A$14:$A$19</c:f>
              <c:numCache>
                <c:formatCode>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Termostato!$B$14:$B$19</c:f>
              <c:numCache>
                <c:formatCode>0.0</c:formatCode>
                <c:ptCount val="6"/>
                <c:pt idx="0">
                  <c:v>22</c:v>
                </c:pt>
                <c:pt idx="1">
                  <c:v>55</c:v>
                </c:pt>
                <c:pt idx="2">
                  <c:v>82</c:v>
                </c:pt>
                <c:pt idx="3">
                  <c:v>90</c:v>
                </c:pt>
                <c:pt idx="4">
                  <c:v>93</c:v>
                </c:pt>
                <c:pt idx="5">
                  <c:v>95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"Manguera inferior"</c:f>
              <c:strCache>
                <c:ptCount val="1"/>
                <c:pt idx="0">
                  <c:v>Manguera inferior</c:v>
                </c:pt>
              </c:strCache>
            </c:strRef>
          </c:tx>
          <c:spPr>
            <a:solidFill>
              <a:srgbClr val="2f5597"/>
            </a:solidFill>
            <a:ln w="24840">
              <a:solidFill>
                <a:srgbClr val="2f5597"/>
              </a:solidFill>
              <a:round/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Termostato!$A$14:$A$19</c:f>
              <c:numCache>
                <c:formatCode>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Termostato!$C$14:$C$19</c:f>
              <c:numCache>
                <c:formatCode>0.0</c:formatCode>
                <c:ptCount val="6"/>
                <c:pt idx="0">
                  <c:v>22</c:v>
                </c:pt>
                <c:pt idx="1">
                  <c:v>24</c:v>
                </c:pt>
                <c:pt idx="2">
                  <c:v>28</c:v>
                </c:pt>
                <c:pt idx="3">
                  <c:v>75</c:v>
                </c:pt>
                <c:pt idx="4">
                  <c:v>80</c:v>
                </c:pt>
                <c:pt idx="5">
                  <c:v>82</c:v>
                </c:pt>
              </c:numCache>
            </c:numRef>
          </c:yVal>
          <c:smooth val="1"/>
        </c:ser>
        <c:axId val="52926800"/>
        <c:axId val="67087903"/>
      </c:scatterChart>
      <c:valAx>
        <c:axId val="5292680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(min)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87903"/>
        <c:crosses val="autoZero"/>
        <c:crossBetween val="midCat"/>
      </c:valAx>
      <c:valAx>
        <c:axId val="670879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Temperatura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2680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T1.xml.rels><?xml version="1.0" encoding="UTF-8"?>
<Relationships xmlns="http://schemas.openxmlformats.org/package/2006/relationships"><Relationship Id="rId1" Type="http://schemas.openxmlformats.org/officeDocument/2006/relationships/chart" Target="../charts/chartT1_chart1.xml"/><Relationship Id="rId2" Type="http://schemas.openxmlformats.org/officeDocument/2006/relationships/chart" Target="../charts/chartT1_chart2.xml"/>
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10</col>
      <colOff>4680</colOff>
      <row>16</row>
      <rowOff>11520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18</row>
      <rowOff>0</rowOff>
    </from>
    <to>
      <col>10</col>
      <colOff>4680</colOff>
      <row>34</row>
      <rowOff>11520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T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4680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0" y="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0</xdr:rowOff>
    </xdr:from>
    <xdr:to>
      <xdr:col>10</xdr:col>
      <xdr:colOff>4680</xdr:colOff>
      <xdr:row>34</xdr:row>
      <xdr:rowOff>11520</xdr:rowOff>
    </xdr:to>
    <xdr:graphicFrame>
      <xdr:nvGraphicFramePr>
        <xdr:cNvPr id="1" name="Chart 2"/>
        <xdr:cNvGraphicFramePr/>
      </xdr:nvGraphicFramePr>
      <xdr:xfrm>
        <a:off x="0" y="34290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Relationship Id="rIdDrw1" Type="http://schemas.openxmlformats.org/officeDocument/2006/relationships/drawing" Target="../drawings/drawingT1.xml"/></Relationships>
</file>

<file path=xl/worksheets/sheet1.xml><?xml version="1.0" encoding="utf-8"?>
<worksheet xmlns="http://schemas.openxmlformats.org/spreadsheetml/2006/main">
  <sheetPr>
    <tabColor rgb="00C65911"/>
    <outlinePr summaryBelow="1" summaryRight="1"/>
    <pageSetUpPr/>
  </sheetPr>
  <dimension ref="A1:J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style="15" min="1" max="1"/>
    <col width="8" customWidth="1" style="15" min="2" max="2"/>
    <col width="13" customWidth="1" style="15" min="3" max="3"/>
    <col width="13" customWidth="1" style="15" min="4" max="4"/>
    <col width="13" customWidth="1" style="15" min="5" max="5"/>
    <col width="15" customWidth="1" style="15" min="6" max="6"/>
    <col width="13" customWidth="1" style="15" min="7" max="7"/>
    <col width="13" customWidth="1" style="15" min="8" max="8"/>
    <col width="24" customWidth="1" style="15" min="9" max="9"/>
    <col width="60" customWidth="1" style="15" min="10" max="10"/>
  </cols>
  <sheetData>
    <row r="1">
      <c r="A1" s="16" t="inlineStr">
        <is>
          <t>ESPECIFICACIONES DEL FABRICANTE – MOTOR ASIGNADO</t>
        </is>
      </c>
    </row>
    <row r="3">
      <c r="A3" s="17" t="inlineStr">
        <is>
          <t>Motor asignado (elija de la lista):</t>
        </is>
      </c>
      <c r="C3" s="18" t="inlineStr">
        <is>
          <t>Daihatsu CB-20</t>
        </is>
      </c>
      <c r="D3" s="19" t="n"/>
      <c r="E3" s="20" t="n"/>
    </row>
    <row r="4" ht="45" customHeight="1" s="15">
      <c r="A4" s="21" t="inlineStr">
        <is>
          <t>Las celdas verdes de las demás hojas toman el «Valor aplicado» de esta tabla. Cuando el manual da un límite de servicio, el máximo/mínimo es ese límite. Si el manual del motor no especifica el dato, se aplica el valor orientativo y la columna «Origen» lo indica.</t>
        </is>
      </c>
    </row>
    <row r="6" ht="32" customHeight="1" s="15">
      <c r="A6" s="22" t="inlineStr">
        <is>
          <t>Comprobación</t>
        </is>
      </c>
      <c r="B6" s="22" t="inlineStr">
        <is>
          <t>Unidad</t>
        </is>
      </c>
      <c r="C6" s="22" t="inlineStr">
        <is>
          <t>Daihatsu CB-20</t>
        </is>
      </c>
      <c r="D6" s="22" t="inlineStr">
        <is>
          <t>Nissan A14</t>
        </is>
      </c>
      <c r="E6" s="22" t="inlineStr">
        <is>
          <t>Hyundai G4EC</t>
        </is>
      </c>
      <c r="F6" s="22" t="inlineStr">
        <is>
          <t>Chevrolet Monza 2.0</t>
        </is>
      </c>
      <c r="G6" s="22" t="inlineStr">
        <is>
          <t>Valor orientativo</t>
        </is>
      </c>
      <c r="H6" s="22" t="inlineStr">
        <is>
          <t>Valor aplicado</t>
        </is>
      </c>
      <c r="I6" s="22" t="inlineStr">
        <is>
          <t>Origen</t>
        </is>
      </c>
      <c r="J6" s="22" t="inlineStr">
        <is>
          <t>Fuente en el manual</t>
        </is>
      </c>
    </row>
    <row r="7">
      <c r="A7" s="23" t="inlineStr">
        <is>
          <t>Apertura de la válvula de la tapa del radiador – mín.</t>
        </is>
      </c>
      <c r="B7" s="24" t="inlineStr">
        <is>
          <t>bar</t>
        </is>
      </c>
      <c r="C7" s="25" t="n">
        <v>0.74</v>
      </c>
      <c r="D7" s="25" t="n"/>
      <c r="E7" s="25" t="n">
        <v>0.8100000000000001</v>
      </c>
      <c r="F7" s="25" t="n">
        <v>1.2</v>
      </c>
      <c r="G7" s="25" t="n">
        <v>0.95</v>
      </c>
      <c r="H7" s="26">
        <f>IF(ISNUMBER(INDEX($C7:$F7,MATCH($C$3,$C$6:$F$6,0))),INDEX($C7:$F7,MATCH($C$3,$C$6:$F$6,0)),IF(INDEX($C7:$F7,MATCH($C$3,$C$6:$F$6,0))&lt;&gt;"","",IF($G7="","",$G7)))</f>
        <v/>
      </c>
      <c r="I7" s="23">
        <f>IF(ISNUMBER(INDEX($C7:$F7,MATCH($C$3,$C$6:$F$6,0))),"Manual",IF(INDEX($C7:$F7,MATCH($C$3,$C$6:$F$6,0))&lt;&gt;"","No aplica a este motor",IF($G7="","Sin dato","Orientativo: el manual no lo especifica")))</f>
        <v/>
      </c>
      <c r="J7" s="23" t="inlineStr">
        <is>
          <t>CB 0,75–1,05 kg/cm²; Hyundai 0,83–1,1 kg/cm²; Monza 120–135 kPa. A14: 0,9 kgf/cm² nominal (Haynes p. 37)</t>
        </is>
      </c>
    </row>
    <row r="8">
      <c r="A8" s="23" t="inlineStr">
        <is>
          <t>Apertura de la válvula de la tapa del radiador – máx.</t>
        </is>
      </c>
      <c r="B8" s="24" t="inlineStr">
        <is>
          <t>bar</t>
        </is>
      </c>
      <c r="C8" s="25" t="n">
        <v>1.03</v>
      </c>
      <c r="D8" s="25" t="n"/>
      <c r="E8" s="25" t="n">
        <v>1.08</v>
      </c>
      <c r="F8" s="25" t="n">
        <v>1.35</v>
      </c>
      <c r="G8" s="25" t="n">
        <v>1.25</v>
      </c>
      <c r="H8" s="26">
        <f>IF(ISNUMBER(INDEX($C8:$F8,MATCH($C$3,$C$6:$F$6,0))),INDEX($C8:$F8,MATCH($C$3,$C$6:$F$6,0)),IF(INDEX($C8:$F8,MATCH($C$3,$C$6:$F$6,0))&lt;&gt;"","",IF($G8="","",$G8)))</f>
        <v/>
      </c>
      <c r="I8" s="23">
        <f>IF(ISNUMBER(INDEX($C8:$F8,MATCH($C$3,$C$6:$F$6,0))),"Manual",IF(INDEX($C8:$F8,MATCH($C$3,$C$6:$F$6,0))&lt;&gt;"","No aplica a este motor",IF($G8="","Sin dato","Orientativo: el manual no lo especifica")))</f>
        <v/>
      </c>
      <c r="J8" s="23" t="inlineStr">
        <is>
          <t>CB; Hyundai; Monza</t>
        </is>
      </c>
    </row>
    <row r="9">
      <c r="A9" s="23" t="inlineStr">
        <is>
          <t>Termostato: inicio de apertura</t>
        </is>
      </c>
      <c r="B9" s="24" t="inlineStr">
        <is>
          <t>°C</t>
        </is>
      </c>
      <c r="C9" s="25" t="n">
        <v>82</v>
      </c>
      <c r="D9" s="25" t="n">
        <v>82</v>
      </c>
      <c r="E9" s="25" t="n">
        <v>82</v>
      </c>
      <c r="F9" s="25" t="n">
        <v>92</v>
      </c>
      <c r="G9" s="25" t="n">
        <v>88</v>
      </c>
      <c r="H9" s="26">
        <f>IF(ISNUMBER(INDEX($C9:$F9,MATCH($C$3,$C$6:$F$6,0))),INDEX($C9:$F9,MATCH($C$3,$C$6:$F$6,0)),IF(INDEX($C9:$F9,MATCH($C$3,$C$6:$F$6,0))&lt;&gt;"","",IF($G9="","",$G9)))</f>
        <v/>
      </c>
      <c r="I9" s="23">
        <f>IF(ISNUMBER(INDEX($C9:$F9,MATCH($C$3,$C$6:$F$6,0))),"Manual",IF(INDEX($C9:$F9,MATCH($C$3,$C$6:$F$6,0))&lt;&gt;"","No aplica a este motor",IF($G9="","Sin dato","Orientativo: el manual no lo especifica")))</f>
        <v/>
      </c>
      <c r="J9" s="23" t="inlineStr">
        <is>
          <t>CB 80,5–83,5 °C (p. 8-3, punto medio); Haynes p. 37; Hyundai; Monza p. 6C-02</t>
        </is>
      </c>
    </row>
    <row r="10">
      <c r="A10" s="23" t="inlineStr">
        <is>
          <t>Termostato: apertura total</t>
        </is>
      </c>
      <c r="B10" s="24" t="inlineStr">
        <is>
          <t>°C</t>
        </is>
      </c>
      <c r="C10" s="25" t="n">
        <v>95</v>
      </c>
      <c r="D10" s="25" t="n">
        <v>95</v>
      </c>
      <c r="E10" s="25" t="n">
        <v>95</v>
      </c>
      <c r="F10" s="25" t="n">
        <v>103</v>
      </c>
      <c r="G10" s="25" t="n">
        <v>100</v>
      </c>
      <c r="H10" s="26">
        <f>IF(ISNUMBER(INDEX($C10:$F10,MATCH($C$3,$C$6:$F$6,0))),INDEX($C10:$F10,MATCH($C$3,$C$6:$F$6,0)),IF(INDEX($C10:$F10,MATCH($C$3,$C$6:$F$6,0))&lt;&gt;"","",IF($G10="","",$G10)))</f>
        <v/>
      </c>
      <c r="I10" s="23">
        <f>IF(ISNUMBER(INDEX($C10:$F10,MATCH($C$3,$C$6:$F$6,0))),"Manual",IF(INDEX($C10:$F10,MATCH($C$3,$C$6:$F$6,0))&lt;&gt;"","No aplica a este motor",IF($G10="","Sin dato","Orientativo: el manual no lo especifica")))</f>
        <v/>
      </c>
      <c r="J10" s="23" t="inlineStr">
        <is>
          <t>CB: 8 mm de carrera a 95 °C (p. 8-3); Haynes p. 37; Hyundai; Monza p. 6C-02</t>
        </is>
      </c>
    </row>
    <row r="11">
      <c r="A11" s="23" t="inlineStr">
        <is>
          <t>Electroventilador: conexión</t>
        </is>
      </c>
      <c r="B11" s="24" t="inlineStr">
        <is>
          <t>°C</t>
        </is>
      </c>
      <c r="C11" s="25" t="n">
        <v>92</v>
      </c>
      <c r="D11" s="25" t="n"/>
      <c r="E11" s="25" t="n"/>
      <c r="F11" s="25" t="n">
        <v>91.5</v>
      </c>
      <c r="G11" s="25" t="n">
        <v>95</v>
      </c>
      <c r="H11" s="26">
        <f>IF(ISNUMBER(INDEX($C11:$F11,MATCH($C$3,$C$6:$F$6,0))),INDEX($C11:$F11,MATCH($C$3,$C$6:$F$6,0)),IF(INDEX($C11:$F11,MATCH($C$3,$C$6:$F$6,0))&lt;&gt;"","",IF($G11="","",$G11)))</f>
        <v/>
      </c>
      <c r="I11" s="23">
        <f>IF(ISNUMBER(INDEX($C11:$F11,MATCH($C$3,$C$6:$F$6,0))),"Manual",IF(INDEX($C11:$F11,MATCH($C$3,$C$6:$F$6,0))&lt;&gt;"","No aplica a este motor",IF($G11="","Sin dato","Orientativo: el manual no lo especifica")))</f>
        <v/>
      </c>
      <c r="J11" s="23" t="inlineStr">
        <is>
          <t>CB termocontacto 92 ± 3 °C (p. 8-4); Monza 90–93 °C (punto medio)</t>
        </is>
      </c>
    </row>
    <row r="12">
      <c r="A12" s="23" t="inlineStr">
        <is>
          <t>Electroventilador: desconexión</t>
        </is>
      </c>
      <c r="B12" s="24" t="inlineStr">
        <is>
          <t>°C</t>
        </is>
      </c>
      <c r="C12" s="25" t="n">
        <v>87</v>
      </c>
      <c r="D12" s="25" t="n"/>
      <c r="E12" s="25" t="n"/>
      <c r="F12" s="25" t="n">
        <v>87.5</v>
      </c>
      <c r="G12" s="25" t="n">
        <v>90</v>
      </c>
      <c r="H12" s="26">
        <f>IF(ISNUMBER(INDEX($C12:$F12,MATCH($C$3,$C$6:$F$6,0))),INDEX($C12:$F12,MATCH($C$3,$C$6:$F$6,0)),IF(INDEX($C12:$F12,MATCH($C$3,$C$6:$F$6,0))&lt;&gt;"","",IF($G12="","",$G12)))</f>
        <v/>
      </c>
      <c r="I12" s="23">
        <f>IF(ISNUMBER(INDEX($C12:$F12,MATCH($C$3,$C$6:$F$6,0))),"Manual",IF(INDEX($C12:$F12,MATCH($C$3,$C$6:$F$6,0))&lt;&gt;"","No aplica a este motor",IF($G12="","Sin dato","Orientativo: el manual no lo especifica")))</f>
        <v/>
      </c>
      <c r="J12" s="23" t="inlineStr">
        <is>
          <t>CB termocontacto 87 ± 2 °C (p. 8-4); Monza 85–90 °C (punto medio)</t>
        </is>
      </c>
    </row>
    <row r="14" ht="48" customHeight="1" s="15">
      <c r="A14" s="21" t="inlineStr">
        <is>
          <t>Fuentes: Daihatsu Motor Co. (1987), Workshop manual Type CB engine; Daihatsu Motor Sales (1979), Technical information Charade (CB-20); Jones (1988), Haynes Datsun Sunny (A14); Hyundai Motor Company (2001), Accent LC G 1.6 DOHC (familia Alpha, como el G4EC); General Motors do Brasil (1990), Monza: Manual de reparações. Conversiones: 1 kg/cm² = 0,980665 bar; 1 kg·m = 9,80665 N·m.</t>
        </is>
      </c>
    </row>
  </sheetData>
  <mergeCells count="3">
    <mergeCell ref="C3:E3"/>
    <mergeCell ref="A4:J4"/>
    <mergeCell ref="A14:J14"/>
  </mergeCells>
  <conditionalFormatting sqref="C7:F12">
    <cfRule type="expression" priority="1" dxfId="0">
      <formula>C$6=$C$3</formula>
    </cfRule>
  </conditionalFormatting>
  <conditionalFormatting sqref="C6:F6">
    <cfRule type="expression" priority="2" dxfId="1">
      <formula>C$6=$C$3</formula>
    </cfRule>
  </conditionalFormatting>
  <dataValidations count="1">
    <dataValidation sqref="C3" showDropDown="0" showInputMessage="0" showErrorMessage="1" allowBlank="0" errorTitle="Motor no válido" error="Elija uno de los cuatro motores del laboratorio." type="list">
      <formula1>"Daihatsu CB-20,Nissan A14,Hyundai G4EC,Chevrolet Monza 2.0"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27" min="1" max="1"/>
    <col width="34" customWidth="1" style="27" min="2" max="2"/>
    <col width="16" customWidth="1" style="27" min="3" max="3"/>
    <col width="10" customWidth="1" style="27" min="4" max="4"/>
  </cols>
  <sheetData>
    <row r="1" ht="17.35" customHeight="1" s="15">
      <c r="A1" s="28" t="inlineStr">
        <is>
          <t>SFM GUÍA 14 – SISTEMA DE REFRIGERACIÓN</t>
        </is>
      </c>
    </row>
    <row r="2" ht="15" customHeight="1" s="15">
      <c r="A2" s="29" t="inlineStr">
        <is>
          <t>Punto de congelación por interpolación; ebullición ≈ T_eb,local + ΔT_glicol + 25 °C/bar</t>
        </is>
      </c>
    </row>
    <row r="3" ht="15" customHeight="1" s="15">
      <c r="A3" s="30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/>
    <row r="5" ht="31.5" customHeight="1" s="15">
      <c r="A5" s="31" t="inlineStr">
        <is>
          <t>Concentración de etilenglicol (%)</t>
        </is>
      </c>
      <c r="B5" s="31" t="inlineStr">
        <is>
          <t>Punto de congelación (°C)</t>
        </is>
      </c>
      <c r="C5" s="31" t="inlineStr">
        <is>
          <t>Aumento de ebullición a 1 atm (°C)</t>
        </is>
      </c>
    </row>
    <row r="6" ht="15" customHeight="1" s="15">
      <c r="A6" s="32" t="n">
        <v>0</v>
      </c>
      <c r="B6" s="33" t="n">
        <v>0</v>
      </c>
      <c r="C6" s="33" t="n">
        <v>0</v>
      </c>
    </row>
    <row r="7" ht="15" customHeight="1" s="15">
      <c r="A7" s="32" t="n">
        <v>10</v>
      </c>
      <c r="B7" s="33" t="n">
        <v>-3.5</v>
      </c>
      <c r="C7" s="33" t="n">
        <v>0.5</v>
      </c>
    </row>
    <row r="8" ht="15" customHeight="1" s="15">
      <c r="A8" s="32" t="n">
        <v>20</v>
      </c>
      <c r="B8" s="33" t="n">
        <v>-8</v>
      </c>
      <c r="C8" s="33" t="n">
        <v>1</v>
      </c>
    </row>
    <row r="9" ht="15" customHeight="1" s="15">
      <c r="A9" s="32" t="n">
        <v>30</v>
      </c>
      <c r="B9" s="33" t="n">
        <v>-15</v>
      </c>
      <c r="C9" s="33" t="n">
        <v>2</v>
      </c>
    </row>
    <row r="10" ht="15" customHeight="1" s="15">
      <c r="A10" s="32" t="n">
        <v>40</v>
      </c>
      <c r="B10" s="33" t="n">
        <v>-24</v>
      </c>
      <c r="C10" s="33" t="n">
        <v>3</v>
      </c>
    </row>
    <row r="11" ht="15" customHeight="1" s="15">
      <c r="A11" s="32" t="n">
        <v>50</v>
      </c>
      <c r="B11" s="33" t="n">
        <v>-37</v>
      </c>
      <c r="C11" s="33" t="n">
        <v>6</v>
      </c>
    </row>
    <row r="12" ht="15" customHeight="1" s="15">
      <c r="A12" s="32" t="n">
        <v>60</v>
      </c>
      <c r="B12" s="33" t="n">
        <v>-52</v>
      </c>
      <c r="C12" s="33" t="n">
        <v>8</v>
      </c>
    </row>
    <row r="13" ht="15" customHeight="1" s="15">
      <c r="A13" s="34" t="inlineStr">
        <is>
          <t>Tabla orientativa para mezclas agua–etilenglicol; consulte la ficha técnica del refrigerante utilizado.</t>
        </is>
      </c>
    </row>
    <row r="14"/>
    <row r="15" ht="31.5" customHeight="1" s="15">
      <c r="A15" s="31" t="inlineStr">
        <is>
          <t>Magnitud</t>
        </is>
      </c>
      <c r="B15" s="31" t="inlineStr">
        <is>
          <t>Ecuación / criterio</t>
        </is>
      </c>
      <c r="C15" s="31" t="inlineStr">
        <is>
          <t>Valor</t>
        </is>
      </c>
      <c r="D15" s="31" t="inlineStr">
        <is>
          <t>Unidad</t>
        </is>
      </c>
    </row>
    <row r="16" ht="15" customHeight="1" s="15">
      <c r="A16" s="35" t="inlineStr">
        <is>
          <t>Concentración medida (refractómetro)</t>
        </is>
      </c>
      <c r="B16" s="36" t="inlineStr">
        <is>
          <t>Dato</t>
        </is>
      </c>
      <c r="C16" s="37" t="n"/>
      <c r="D16" s="36" t="inlineStr">
        <is>
          <t>%</t>
        </is>
      </c>
    </row>
    <row r="17" ht="15" customHeight="1" s="15">
      <c r="A17" s="35" t="inlineStr">
        <is>
          <t>Índice de la tabla</t>
        </is>
      </c>
      <c r="B17" s="36" t="inlineStr">
        <is>
          <t>MATCH</t>
        </is>
      </c>
      <c r="C17" s="38">
        <f>IF(COUNTA(C16)=0,"",MATCH(C16,A6:A12,1))</f>
        <v/>
      </c>
      <c r="D17" s="36" t="inlineStr">
        <is>
          <t>—</t>
        </is>
      </c>
    </row>
    <row r="18" ht="15" customHeight="1" s="15">
      <c r="A18" s="35" t="inlineStr">
        <is>
          <t>Punto de congelación de la mezcla</t>
        </is>
      </c>
      <c r="B18" s="36" t="inlineStr">
        <is>
          <t>Interpolación lineal</t>
        </is>
      </c>
      <c r="C18" s="39">
        <f>IF(COUNTA(C16)=0,"",IF(C16&gt;=60,B12,INDEX(B6:B12,C17)+(C16-INDEX(A6:A12,C17))*(INDEX(B6:B12,C17+1)-INDEX(B6:B12,C17))/(INDEX(A6:A12,C17+1)-INDEX(A6:A12,C17))))</f>
        <v/>
      </c>
      <c r="D18" s="36" t="inlineStr">
        <is>
          <t>°C</t>
        </is>
      </c>
    </row>
    <row r="19" ht="15" customHeight="1" s="15">
      <c r="A19" s="35" t="inlineStr">
        <is>
          <t>Temperatura mínima esperada en la zona</t>
        </is>
      </c>
      <c r="B19" s="36" t="inlineStr">
        <is>
          <t>Dato</t>
        </is>
      </c>
      <c r="C19" s="37" t="n">
        <v>0</v>
      </c>
      <c r="D19" s="36" t="inlineStr">
        <is>
          <t>°C</t>
        </is>
      </c>
    </row>
    <row r="20" ht="15" customHeight="1" s="15">
      <c r="A20" s="35" t="inlineStr">
        <is>
          <t>¿Protección suficiente? (margen 10 °C)</t>
        </is>
      </c>
      <c r="B20" s="36" t="inlineStr">
        <is>
          <t>T_cong ≤ T_mín − 10</t>
        </is>
      </c>
      <c r="C20" s="40">
        <f>IF(COUNTA(C16)=0,"",IF(C18&lt;=C19-10,"Sí","No: aumentar concentración"))</f>
        <v/>
      </c>
      <c r="D20" s="36" t="inlineStr">
        <is>
          <t>—</t>
        </is>
      </c>
    </row>
    <row r="21" ht="15" customHeight="1" s="15">
      <c r="A21" s="35" t="inlineStr">
        <is>
          <t>Altitud del lugar</t>
        </is>
      </c>
      <c r="B21" s="36" t="inlineStr">
        <is>
          <t>Dato</t>
        </is>
      </c>
      <c r="C21" s="37" t="n">
        <v>2060</v>
      </c>
      <c r="D21" s="36" t="inlineStr">
        <is>
          <t>m</t>
        </is>
      </c>
    </row>
    <row r="22" ht="15" customHeight="1" s="15">
      <c r="A22" s="35" t="inlineStr">
        <is>
          <t>Ebullición del agua a la altitud</t>
        </is>
      </c>
      <c r="B22" s="36" t="inlineStr">
        <is>
          <t>T_eb ≈ 100 − h/300</t>
        </is>
      </c>
      <c r="C22" s="39">
        <f>100-C21/300</f>
        <v/>
      </c>
      <c r="D22" s="36" t="inlineStr">
        <is>
          <t>°C</t>
        </is>
      </c>
    </row>
    <row r="23" ht="15" customHeight="1" s="15">
      <c r="A23" s="35" t="inlineStr">
        <is>
          <t>Aumento de ebullición por glicol</t>
        </is>
      </c>
      <c r="B23" s="36" t="inlineStr">
        <is>
          <t>Interpolación</t>
        </is>
      </c>
      <c r="C23" s="39">
        <f>IF(COUNTA(C16)=0,"",IF(C16&gt;=60,C12,INDEX(C6:C12,C17)+(C16-INDEX(A6:A12,C17))*(INDEX(C6:C12,C17+1)-INDEX(C6:C12,C17))/(INDEX(A6:A12,C17+1)-INDEX(A6:A12,C17))))</f>
        <v/>
      </c>
      <c r="D23" s="36" t="inlineStr">
        <is>
          <t>°C</t>
        </is>
      </c>
    </row>
    <row r="24" ht="15" customHeight="1" s="15">
      <c r="A24" s="35" t="inlineStr">
        <is>
          <t>Presión de tarado del tapón</t>
        </is>
      </c>
      <c r="B24" s="36" t="inlineStr">
        <is>
          <t>Dato</t>
        </is>
      </c>
      <c r="C24" s="37" t="n">
        <v>1.1</v>
      </c>
      <c r="D24" s="36" t="inlineStr">
        <is>
          <t>bar</t>
        </is>
      </c>
    </row>
    <row r="25" ht="15" customHeight="1" s="15">
      <c r="A25" s="35" t="inlineStr">
        <is>
          <t>Punto de ebullición en el circuito presurizado</t>
        </is>
      </c>
      <c r="B25" s="36" t="inlineStr">
        <is>
          <t>T_eb + ΔT_glicol + 25·P_tapón</t>
        </is>
      </c>
      <c r="C25" s="39">
        <f>IF(COUNTA(C16)=0,"",C22+C23+25*C24)</f>
        <v/>
      </c>
      <c r="D25" s="36" t="inlineStr">
        <is>
          <t>°C</t>
        </is>
      </c>
    </row>
    <row r="26"/>
    <row r="27" ht="15" customHeight="1" s="15">
      <c r="A27" s="34" t="inlineStr">
        <is>
          <t>Estimaciones orientativas (≈ 1 °C menos de ebullición cada 300 m y ≈ 25 °C más por bar de sobrepresión).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0" customWidth="1" style="27" min="1" max="1"/>
    <col width="12" customWidth="1" style="27" min="2" max="2"/>
    <col width="18" customWidth="1" style="27" min="3" max="4"/>
    <col width="8" customWidth="1" style="27" min="5" max="5"/>
    <col width="26" customWidth="1" style="27" min="6" max="6"/>
  </cols>
  <sheetData>
    <row r="1" ht="17.35" customHeight="1" s="15">
      <c r="A1" s="28" t="inlineStr">
        <is>
          <t>Prueba de estanqueidad y del tapón</t>
        </is>
      </c>
    </row>
    <row r="2" ht="15" customHeight="1" s="15">
      <c r="A2" s="29" t="n"/>
    </row>
    <row r="3" ht="15" customHeight="1" s="15">
      <c r="A3" s="30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/>
    <row r="5" ht="31.5" customHeight="1" s="15">
      <c r="A5" s="31" t="inlineStr">
        <is>
          <t>Comprobación</t>
        </is>
      </c>
      <c r="B5" s="31" t="inlineStr">
        <is>
          <t>Medido</t>
        </is>
      </c>
      <c r="C5" s="31" t="inlineStr">
        <is>
          <t>Especificación mín.</t>
        </is>
      </c>
      <c r="D5" s="31" t="inlineStr">
        <is>
          <t>Especificación máx.</t>
        </is>
      </c>
      <c r="E5" s="31" t="inlineStr">
        <is>
          <t>Unidad</t>
        </is>
      </c>
      <c r="F5" s="31" t="inlineStr">
        <is>
          <t>Resultado</t>
        </is>
      </c>
    </row>
    <row r="6" ht="15" customHeight="1" s="15">
      <c r="A6" s="35" t="inlineStr">
        <is>
          <t>Presión inicial de la prueba</t>
        </is>
      </c>
      <c r="B6" s="37" t="n"/>
      <c r="C6" s="37" t="n"/>
      <c r="D6" s="37" t="n"/>
      <c r="E6" s="36" t="inlineStr">
        <is>
          <t>bar</t>
        </is>
      </c>
    </row>
    <row r="7" ht="15" customHeight="1" s="15">
      <c r="A7" s="35" t="inlineStr">
        <is>
          <t>Presión a los 2 min</t>
        </is>
      </c>
      <c r="B7" s="37" t="n"/>
      <c r="C7" s="37" t="n"/>
      <c r="D7" s="37" t="n"/>
      <c r="E7" s="36" t="inlineStr">
        <is>
          <t>bar</t>
        </is>
      </c>
    </row>
    <row r="8" ht="15" customHeight="1" s="15">
      <c r="A8" s="35" t="inlineStr">
        <is>
          <t>Caída de presión en 2 min</t>
        </is>
      </c>
      <c r="B8" s="39">
        <f>IF(COUNTA(B6,B7)=0,"",B6-B7)</f>
        <v/>
      </c>
      <c r="C8" s="37" t="n">
        <v>0</v>
      </c>
      <c r="D8" s="37" t="n">
        <v>0.1</v>
      </c>
      <c r="E8" s="36" t="inlineStr">
        <is>
          <t>bar</t>
        </is>
      </c>
      <c r="F8" s="40">
        <f>IF(COUNTA(B6,B7)=0,"",IF(AND(B8&gt;=C8,B8&lt;=D8),"Correcto","Fuera de especificación"))</f>
        <v/>
      </c>
    </row>
    <row r="9" ht="15" customHeight="1" s="15">
      <c r="A9" s="35" t="inlineStr">
        <is>
          <t>Apertura de la válvula del tapón</t>
        </is>
      </c>
      <c r="B9" s="37" t="n"/>
      <c r="C9" s="41">
        <f>Motor!$H$7</f>
        <v/>
      </c>
      <c r="D9" s="41">
        <f>Motor!$H$8</f>
        <v/>
      </c>
      <c r="E9" s="36" t="inlineStr">
        <is>
          <t>bar</t>
        </is>
      </c>
      <c r="F9" s="40">
        <f>IF(COUNTA(B9)=0,"",IF(AND(B9&gt;=C9,B9&lt;=D9),"Correcto","Fuera de especificación"))</f>
        <v/>
      </c>
    </row>
    <row r="10" ht="15" customHeight="1" s="15">
      <c r="A10" s="35" t="inlineStr">
        <is>
          <t>Nivel en el vaso de expansión (entre marcas: Sí/No)</t>
        </is>
      </c>
      <c r="B10" s="37" t="n"/>
      <c r="C10" s="37" t="n"/>
      <c r="D10" s="37" t="n"/>
      <c r="E10" s="36" t="inlineStr">
        <is>
          <t>—</t>
        </is>
      </c>
      <c r="F10" s="40">
        <f>IF(COUNTA(B10)=0,"",IF(B10="Sí","Correcto","Corregir nivel"))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27" min="1" max="1"/>
    <col width="22" customWidth="1" style="27" min="2" max="3"/>
    <col width="20" customWidth="1" style="27" min="4" max="4"/>
    <col width="18" customWidth="1" style="27" min="5" max="5"/>
    <col width="26" customWidth="1" style="27" min="6" max="6"/>
  </cols>
  <sheetData>
    <row r="1" ht="17.35" customHeight="1" s="15">
      <c r="A1" s="28" t="inlineStr">
        <is>
          <t>Termostato, electroventilador y termocontacto</t>
        </is>
      </c>
    </row>
    <row r="2" ht="15" customHeight="1" s="15">
      <c r="A2" s="29" t="n"/>
    </row>
    <row r="3" ht="15" customHeight="1" s="15">
      <c r="A3" s="30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/>
    <row r="5" ht="31.5" customHeight="1" s="15">
      <c r="A5" s="31" t="inlineStr">
        <is>
          <t>Componente</t>
        </is>
      </c>
      <c r="B5" s="31" t="inlineStr">
        <is>
          <t>Medido (°C)</t>
        </is>
      </c>
      <c r="C5" s="31" t="inlineStr">
        <is>
          <t>Especificado (°C)</t>
        </is>
      </c>
      <c r="D5" s="31" t="inlineStr">
        <is>
          <t>Tolerancia ± (°C)</t>
        </is>
      </c>
      <c r="E5" s="31" t="inlineStr">
        <is>
          <t>Diferencia (°C)</t>
        </is>
      </c>
      <c r="F5" s="31" t="inlineStr">
        <is>
          <t>Estado</t>
        </is>
      </c>
    </row>
    <row r="6" ht="15" customHeight="1" s="15">
      <c r="A6" s="35" t="inlineStr">
        <is>
          <t>Termostato: inicio de apertura</t>
        </is>
      </c>
      <c r="B6" s="33" t="n"/>
      <c r="C6" s="42">
        <f>Motor!$H$9</f>
        <v/>
      </c>
      <c r="D6" s="33" t="n">
        <v>2</v>
      </c>
      <c r="E6" s="43">
        <f>IF(COUNTA(B6)=0,"",B6-C6)</f>
        <v/>
      </c>
      <c r="F6" s="40">
        <f>IF(COUNTA(B6)=0,"",IF(ABS(E6)&lt;=D6,"Correcto",IF(E6&gt;0,"Actúa tarde: sustituir","Actúa pronto: sustituir")))</f>
        <v/>
      </c>
    </row>
    <row r="7" ht="15" customHeight="1" s="15">
      <c r="A7" s="35" t="inlineStr">
        <is>
          <t>Termostato: apertura total</t>
        </is>
      </c>
      <c r="B7" s="33" t="n"/>
      <c r="C7" s="42">
        <f>Motor!$H$10</f>
        <v/>
      </c>
      <c r="D7" s="33" t="n">
        <v>3</v>
      </c>
      <c r="E7" s="43">
        <f>IF(COUNTA(B7)=0,"",B7-C7)</f>
        <v/>
      </c>
      <c r="F7" s="40">
        <f>IF(COUNTA(B7)=0,"",IF(ABS(E7)&lt;=D7,"Correcto",IF(E7&gt;0,"Actúa tarde: sustituir","Actúa pronto: sustituir")))</f>
        <v/>
      </c>
    </row>
    <row r="8" ht="15" customHeight="1" s="15">
      <c r="A8" s="35" t="inlineStr">
        <is>
          <t>Electroventilador: activación</t>
        </is>
      </c>
      <c r="B8" s="33" t="n"/>
      <c r="C8" s="42">
        <f>Motor!$H$11</f>
        <v/>
      </c>
      <c r="D8" s="33" t="n">
        <v>3</v>
      </c>
      <c r="E8" s="43">
        <f>IF(COUNTA(B8)=0,"",B8-C8)</f>
        <v/>
      </c>
      <c r="F8" s="40">
        <f>IF(COUNTA(B8)=0,"",IF(ABS(E8)&lt;=D8,"Correcto",IF(E8&gt;0,"Actúa tarde: sustituir","Actúa pronto: sustituir")))</f>
        <v/>
      </c>
    </row>
    <row r="9" ht="15" customHeight="1" s="15">
      <c r="A9" s="35" t="inlineStr">
        <is>
          <t>Electroventilador: desactivación</t>
        </is>
      </c>
      <c r="B9" s="33" t="n"/>
      <c r="C9" s="42">
        <f>Motor!$H$12</f>
        <v/>
      </c>
      <c r="D9" s="33" t="n">
        <v>3</v>
      </c>
      <c r="E9" s="43">
        <f>IF(COUNTA(B9)=0,"",B9-C9)</f>
        <v/>
      </c>
      <c r="F9" s="40">
        <f>IF(COUNTA(B9)=0,"",IF(ABS(E9)&lt;=D9,"Correcto",IF(E9&gt;0,"Actúa tarde: sustituir","Actúa pronto: sustituir")))</f>
        <v/>
      </c>
    </row>
    <row r="10" ht="15" customHeight="1" s="15">
      <c r="A10" s="35" t="inlineStr">
        <is>
          <t>Termocontacto: cierre</t>
        </is>
      </c>
      <c r="B10" s="33" t="n"/>
      <c r="C10" s="33" t="n">
        <v>95</v>
      </c>
      <c r="D10" s="33" t="n">
        <v>2</v>
      </c>
      <c r="E10" s="43">
        <f>IF(COUNTA(B10)=0,"",B10-C10)</f>
        <v/>
      </c>
      <c r="F10" s="40">
        <f>IF(COUNTA(B10)=0,"",IF(ABS(E10)&lt;=D10,"Correcto",IF(E10&gt;0,"Actúa tarde: sustituir","Actúa pronto: sustituir")))</f>
        <v/>
      </c>
    </row>
    <row r="11" ht="15" customHeight="1" s="15">
      <c r="A11" s="35" t="inlineStr">
        <is>
          <t>Termocontacto: apertura</t>
        </is>
      </c>
      <c r="B11" s="33" t="n"/>
      <c r="C11" s="33" t="n">
        <v>88</v>
      </c>
      <c r="D11" s="33" t="n">
        <v>2</v>
      </c>
      <c r="E11" s="43">
        <f>IF(COUNTA(B11)=0,"",B11-C11)</f>
        <v/>
      </c>
      <c r="F11" s="40">
        <f>IF(COUNTA(B11)=0,"",IF(ABS(E11)&lt;=D11,"Correcto",IF(E11&gt;0,"Actúa tarde: sustituir","Actúa pronto: sustituir")))</f>
        <v/>
      </c>
    </row>
    <row r="12"/>
    <row r="13" ht="31.5" customHeight="1" s="15">
      <c r="A13" s="31" t="inlineStr">
        <is>
          <t>Tiempo (min)</t>
        </is>
      </c>
      <c r="B13" s="31" t="inlineStr">
        <is>
          <t>T manguera superior (°C)</t>
        </is>
      </c>
      <c r="C13" s="31" t="inlineStr">
        <is>
          <t>T manguera inferior (°C)</t>
        </is>
      </c>
      <c r="D13" s="31" t="inlineStr">
        <is>
          <t>ΔT radiador (°C)</t>
        </is>
      </c>
      <c r="E13" s="31" t="inlineStr">
        <is>
          <t>Eficacia del radiador</t>
        </is>
      </c>
    </row>
    <row r="14" ht="15" customHeight="1" s="15">
      <c r="A14" s="32" t="n">
        <v>0</v>
      </c>
      <c r="B14" s="33" t="n"/>
      <c r="C14" s="33" t="n"/>
      <c r="D14" s="43">
        <f>IF(COUNTA(B14,C14)=0,"",B14-C14)</f>
        <v/>
      </c>
      <c r="E14" s="40">
        <f>IF(COUNTA(B14,C14)=0,"",IF(B14&lt;80,"Termostato cerrado",IF(D14&lt;5,"Radiador obstruido (ΔT bajo)",IF(D14&gt;25,"Circulación deficiente (ΔT alto)","Correcta"))))</f>
        <v/>
      </c>
    </row>
    <row r="15" ht="15" customHeight="1" s="15">
      <c r="A15" s="32" t="n">
        <v>3</v>
      </c>
      <c r="B15" s="33" t="n"/>
      <c r="C15" s="33" t="n"/>
      <c r="D15" s="43">
        <f>IF(COUNTA(B15,C15)=0,"",B15-C15)</f>
        <v/>
      </c>
      <c r="E15" s="40">
        <f>IF(COUNTA(B15,C15)=0,"",IF(B15&lt;80,"Termostato cerrado",IF(D15&lt;5,"Radiador obstruido (ΔT bajo)",IF(D15&gt;25,"Circulación deficiente (ΔT alto)","Correcta"))))</f>
        <v/>
      </c>
    </row>
    <row r="16" ht="15" customHeight="1" s="15">
      <c r="A16" s="32" t="n">
        <v>6</v>
      </c>
      <c r="B16" s="33" t="n"/>
      <c r="C16" s="33" t="n"/>
      <c r="D16" s="43">
        <f>IF(COUNTA(B16,C16)=0,"",B16-C16)</f>
        <v/>
      </c>
      <c r="E16" s="40">
        <f>IF(COUNTA(B16,C16)=0,"",IF(B16&lt;80,"Termostato cerrado",IF(D16&lt;5,"Radiador obstruido (ΔT bajo)",IF(D16&gt;25,"Circulación deficiente (ΔT alto)","Correcta"))))</f>
        <v/>
      </c>
    </row>
    <row r="17" ht="15" customHeight="1" s="15">
      <c r="A17" s="32" t="n">
        <v>9</v>
      </c>
      <c r="B17" s="33" t="n"/>
      <c r="C17" s="33" t="n"/>
      <c r="D17" s="43">
        <f>IF(COUNTA(B17,C17)=0,"",B17-C17)</f>
        <v/>
      </c>
      <c r="E17" s="40">
        <f>IF(COUNTA(B17,C17)=0,"",IF(B17&lt;80,"Termostato cerrado",IF(D17&lt;5,"Radiador obstruido (ΔT bajo)",IF(D17&gt;25,"Circulación deficiente (ΔT alto)","Correcta"))))</f>
        <v/>
      </c>
    </row>
    <row r="18" ht="15" customHeight="1" s="15">
      <c r="A18" s="32" t="n">
        <v>12</v>
      </c>
      <c r="B18" s="33" t="n"/>
      <c r="C18" s="33" t="n"/>
      <c r="D18" s="43">
        <f>IF(COUNTA(B18,C18)=0,"",B18-C18)</f>
        <v/>
      </c>
      <c r="E18" s="40">
        <f>IF(COUNTA(B18,C18)=0,"",IF(B18&lt;80,"Termostato cerrado",IF(D18&lt;5,"Radiador obstruido (ΔT bajo)",IF(D18&gt;25,"Circulación deficiente (ΔT alto)","Correcta"))))</f>
        <v/>
      </c>
    </row>
    <row r="19" ht="15" customHeight="1" s="15">
      <c r="A19" s="32" t="n">
        <v>15</v>
      </c>
      <c r="B19" s="33" t="n"/>
      <c r="C19" s="33" t="n"/>
      <c r="D19" s="43">
        <f>IF(COUNTA(B19,C19)=0,"",B19-C19)</f>
        <v/>
      </c>
      <c r="E19" s="40">
        <f>IF(COUNTA(B19,C19)=0,"",IF(B19&lt;80,"Termostato cerrado",IF(D19&lt;5,"Radiador obstruido (ΔT bajo)",IF(D19&gt;25,"Circulación deficiente (ΔT alto)","Correcta"))))</f>
        <v/>
      </c>
    </row>
    <row r="20"/>
    <row r="21" ht="15" customHeight="1" s="15">
      <c r="A21" s="34" t="inlineStr">
        <is>
          <t>Criterios de ΔT del radiador orientativos (con termostato abierto).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3:A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drawing r:id="rIdDrw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2026-09-15T22:08:27Z</dcterms:created>
  <dcterms:modified xmlns:dcterms="http://purl.org/dc/terms/" xmlns:xsi="http://www.w3.org/2001/XMLSchema-instance" xsi:type="dcterms:W3CDTF">2026-10-16T11:46:45Z</dcterms:modified>
  <cp:revision>1</cp:revision>
</cp:coreProperties>
</file>