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T1_chart1.xml" ContentType="application/vnd.openxmlformats-officedocument.drawingml.chart+xml"/>
  <Override PartName="/xl/charts/chartT1_chart2.xml" ContentType="application/vnd.openxmlformats-officedocument.drawingml.chart+xml"/>
  <Override PartName="/xl/drawings/drawingT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brealimentacion" sheetId="1" state="visible" r:id="rId1"/>
    <sheet xmlns:r="http://schemas.openxmlformats.org/officeDocument/2006/relationships" name="Verificacion" sheetId="2" state="visible" r:id="rId2"/>
    <sheet xmlns:r="http://schemas.openxmlformats.org/officeDocument/2006/relationships" name="Grafic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9" fillId="2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" fontId="9" fillId="2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2" fontId="9" fillId="2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Densidad relativa del aire en el colector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"ρ/ρ nivel del mar"</f>
              <strCache>
                <ptCount val="1"/>
                <pt idx="0">
                  <v>ρ/ρ nivel del mar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4840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Sobrealimentacion!$A$19:$A$27</f>
              <numCache>
                <formatCode>0</formatCode>
                <ptCount val="9"/>
                <pt idx="0">
                  <v>0</v>
                </pt>
                <pt idx="1">
                  <v>20</v>
                </pt>
                <pt idx="2">
                  <v>40</v>
                </pt>
                <pt idx="3">
                  <v>60</v>
                </pt>
                <pt idx="4">
                  <v>80</v>
                </pt>
                <pt idx="5">
                  <v>100</v>
                </pt>
                <pt idx="6">
                  <v>120</v>
                </pt>
                <pt idx="7">
                  <v>140</v>
                </pt>
                <pt idx="8">
                  <v>160</v>
                </pt>
              </numCache>
            </numRef>
          </xVal>
          <yVal>
            <numRef>
              <f>Sobrealimentacion!$H$19:$H$27</f>
              <numCache>
                <formatCode>0.000</formatCode>
                <ptCount val="9"/>
                <pt idx="0">
                  <v>0.798414651751295</v>
                </pt>
                <pt idx="1">
                  <v>0.964844719945796</v>
                </pt>
                <pt idx="2">
                  <v>1.12506111689722</v>
                </pt>
                <pt idx="3">
                  <v>1.28020121626962</v>
                </pt>
                <pt idx="4">
                  <v>1.43106362129117</v>
                </pt>
                <pt idx="5">
                  <v>1.57823892731831</v>
                </pt>
                <pt idx="6">
                  <v>1.7221809624534</v>
                </pt>
                <pt idx="7">
                  <v>1.86324890910141</v>
                </pt>
                <pt idx="8">
                  <v>2.00173379475779</v>
                </pt>
              </numCache>
            </numRef>
          </yVal>
          <smooth val="1"/>
        </ser>
        <ser>
          <idx val="1"/>
          <order val="1"/>
          <tx>
            <strRef>
              <f>"ρ/ρ atmosférica local"</f>
              <strCache>
                <ptCount val="1"/>
                <pt idx="0">
                  <v>ρ/ρ atmosférica local</v>
                </pt>
              </strCache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 w="24840">
              <a:solidFill>
                <a:srgbClr val="2f5597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2f5597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Sobrealimentacion!$A$19:$A$27</f>
              <numCache>
                <formatCode>0</formatCode>
                <ptCount val="9"/>
                <pt idx="0">
                  <v>0</v>
                </pt>
                <pt idx="1">
                  <v>20</v>
                </pt>
                <pt idx="2">
                  <v>40</v>
                </pt>
                <pt idx="3">
                  <v>60</v>
                </pt>
                <pt idx="4">
                  <v>80</v>
                </pt>
                <pt idx="5">
                  <v>100</v>
                </pt>
                <pt idx="6">
                  <v>120</v>
                </pt>
                <pt idx="7">
                  <v>140</v>
                </pt>
                <pt idx="8">
                  <v>160</v>
                </pt>
              </numCache>
            </numRef>
          </xVal>
          <yVal>
            <numRef>
              <f>Sobrealimentacion!$G$19:$G$27</f>
              <numCache>
                <formatCode>0.000</formatCode>
                <ptCount val="9"/>
                <pt idx="0">
                  <v>1</v>
                </pt>
                <pt idx="1">
                  <v>1.20845066887167</v>
                </pt>
                <pt idx="2">
                  <v>1.4091188262007</v>
                </pt>
                <pt idx="3">
                  <v>1.60342901205725</v>
                </pt>
                <pt idx="4">
                  <v>1.79238146262995</v>
                </pt>
                <pt idx="5">
                  <v>1.9767158879869</v>
                </pt>
                <pt idx="6">
                  <v>2.15700069966885</v>
                </pt>
                <pt idx="7">
                  <v>2.3336857671818</v>
                </pt>
                <pt idx="8">
                  <v>2.50713559723266</v>
                </pt>
              </numCache>
            </numRef>
          </yVal>
          <smooth val="1"/>
        </ser>
        <axId val="84086363"/>
        <axId val="72502998"/>
      </scatterChart>
      <valAx>
        <axId val="84086363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Presión de soplado (kPa)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502998"/>
        <crosses val="autoZero"/>
        <crossBetween val="midCat"/>
      </valAx>
      <valAx>
        <axId val="7250299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ρ relativa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4086363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Temperatura del aire de admisión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"Salida del compresor"</f>
              <strCache>
                <ptCount val="1"/>
                <pt idx="0">
                  <v>Salida del compresor</v>
                </pt>
              </strCache>
            </strRef>
          </tx>
          <spPr>
            <a:solidFill xmlns:a="http://schemas.openxmlformats.org/drawingml/2006/main">
              <a:srgbClr val="c55a11"/>
            </a:solidFill>
            <a:ln xmlns:a="http://schemas.openxmlformats.org/drawingml/2006/main" w="24840">
              <a:solidFill>
                <a:srgbClr val="c55a1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Sobrealimentacion!$A$19:$A$27</f>
              <numCache>
                <formatCode>0</formatCode>
                <ptCount val="9"/>
                <pt idx="0">
                  <v>0</v>
                </pt>
                <pt idx="1">
                  <v>20</v>
                </pt>
                <pt idx="2">
                  <v>40</v>
                </pt>
                <pt idx="3">
                  <v>60</v>
                </pt>
                <pt idx="4">
                  <v>80</v>
                </pt>
                <pt idx="5">
                  <v>100</v>
                </pt>
                <pt idx="6">
                  <v>120</v>
                </pt>
                <pt idx="7">
                  <v>140</v>
                </pt>
                <pt idx="8">
                  <v>160</v>
                </pt>
              </numCache>
            </numRef>
          </xVal>
          <yVal>
            <numRef>
              <f>Sobrealimentacion!$D$19:$D$27</f>
              <numCache>
                <formatCode>0.0</formatCode>
                <ptCount val="9"/>
                <pt idx="0">
                  <v>18</v>
                </pt>
                <pt idx="1">
                  <v>44.9321058212111</v>
                </pt>
                <pt idx="2">
                  <v>68.21360644752301</v>
                </pt>
                <pt idx="3">
                  <v>88.8453961421604</v>
                </pt>
                <pt idx="4">
                  <v>107.453028736363</v>
                </pt>
                <pt idx="5">
                  <v>124.456210426636</v>
                </pt>
                <pt idx="6">
                  <v>140.151572394664</v>
                </pt>
                <pt idx="7">
                  <v>154.757287545657</v>
                </pt>
                <pt idx="8">
                  <v>168.438968187627</v>
                </pt>
              </numCache>
            </numRef>
          </yVal>
          <smooth val="1"/>
        </ser>
        <ser>
          <idx val="1"/>
          <order val="1"/>
          <tx>
            <strRef>
              <f>"Tras intercooler"</f>
              <strCache>
                <ptCount val="1"/>
                <pt idx="0">
                  <v>Tras intercooler</v>
                </pt>
              </strCache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w="24840">
              <a:solidFill>
                <a:srgbClr val="37562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Sobrealimentacion!$A$19:$A$27</f>
              <numCache>
                <formatCode>0</formatCode>
                <ptCount val="9"/>
                <pt idx="0">
                  <v>0</v>
                </pt>
                <pt idx="1">
                  <v>20</v>
                </pt>
                <pt idx="2">
                  <v>40</v>
                </pt>
                <pt idx="3">
                  <v>60</v>
                </pt>
                <pt idx="4">
                  <v>80</v>
                </pt>
                <pt idx="5">
                  <v>100</v>
                </pt>
                <pt idx="6">
                  <v>120</v>
                </pt>
                <pt idx="7">
                  <v>140</v>
                </pt>
                <pt idx="8">
                  <v>160</v>
                </pt>
              </numCache>
            </numRef>
          </xVal>
          <yVal>
            <numRef>
              <f>Sobrealimentacion!$E$19:$E$27</f>
              <numCache>
                <formatCode>0.0</formatCode>
                <ptCount val="9"/>
                <pt idx="0">
                  <v>18</v>
                </pt>
                <pt idx="1">
                  <v>28.7728423284844</v>
                </pt>
                <pt idx="2">
                  <v>38.0854425790092</v>
                </pt>
                <pt idx="3">
                  <v>46.3381584568642</v>
                </pt>
                <pt idx="4">
                  <v>53.7812114945454</v>
                </pt>
                <pt idx="5">
                  <v>60.5824841706543</v>
                </pt>
                <pt idx="6">
                  <v>66.8606289578658</v>
                </pt>
                <pt idx="7">
                  <v>72.7029150182629</v>
                </pt>
                <pt idx="8">
                  <v>78.175587275051</v>
                </pt>
              </numCache>
            </numRef>
          </yVal>
          <smooth val="1"/>
        </ser>
        <axId val="74844362"/>
        <axId val="58241530"/>
      </scatterChart>
      <valAx>
        <axId val="74844362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Presión de soplado (kPa)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8241530"/>
        <crosses val="autoZero"/>
        <crossBetween val="midCat"/>
      </valAx>
      <valAx>
        <axId val="5824153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4844362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T1_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Densidad relativa del aire en el colector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"ρ/ρ nivel del mar"</c:f>
              <c:strCache>
                <c:ptCount val="1"/>
                <c:pt idx="0">
                  <c:v>ρ/ρ nivel del mar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Sobrealimentacion!$A$19:$A$27</c:f>
              <c:numCache>
                <c:formatCode>0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Sobrealimentacion!$H$19:$H$27</c:f>
              <c:numCache>
                <c:formatCode>0.000</c:formatCode>
                <c:ptCount val="9"/>
                <c:pt idx="0">
                  <c:v>0.798414651751295</c:v>
                </c:pt>
                <c:pt idx="1">
                  <c:v>0.964844719945796</c:v>
                </c:pt>
                <c:pt idx="2">
                  <c:v>1.12506111689722</c:v>
                </c:pt>
                <c:pt idx="3">
                  <c:v>1.28020121626962</c:v>
                </c:pt>
                <c:pt idx="4">
                  <c:v>1.43106362129117</c:v>
                </c:pt>
                <c:pt idx="5">
                  <c:v>1.57823892731831</c:v>
                </c:pt>
                <c:pt idx="6">
                  <c:v>1.7221809624534</c:v>
                </c:pt>
                <c:pt idx="7">
                  <c:v>1.86324890910141</c:v>
                </c:pt>
                <c:pt idx="8">
                  <c:v>2.00173379475779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"ρ/ρ atmosférica local"</c:f>
              <c:strCache>
                <c:ptCount val="1"/>
                <c:pt idx="0">
                  <c:v>ρ/ρ atmosférica local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Sobrealimentacion!$A$19:$A$27</c:f>
              <c:numCache>
                <c:formatCode>0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Sobrealimentacion!$G$19:$G$27</c:f>
              <c:numCache>
                <c:formatCode>0.000</c:formatCode>
                <c:ptCount val="9"/>
                <c:pt idx="0">
                  <c:v>1</c:v>
                </c:pt>
                <c:pt idx="1">
                  <c:v>1.20845066887167</c:v>
                </c:pt>
                <c:pt idx="2">
                  <c:v>1.4091188262007</c:v>
                </c:pt>
                <c:pt idx="3">
                  <c:v>1.60342901205725</c:v>
                </c:pt>
                <c:pt idx="4">
                  <c:v>1.79238146262995</c:v>
                </c:pt>
                <c:pt idx="5">
                  <c:v>1.9767158879869</c:v>
                </c:pt>
                <c:pt idx="6">
                  <c:v>2.15700069966885</c:v>
                </c:pt>
                <c:pt idx="7">
                  <c:v>2.3336857671818</c:v>
                </c:pt>
                <c:pt idx="8">
                  <c:v>2.50713559723266</c:v>
                </c:pt>
              </c:numCache>
            </c:numRef>
          </c:yVal>
          <c:smooth val="1"/>
        </c:ser>
        <c:axId val="84086363"/>
        <c:axId val="72502998"/>
      </c:scatterChart>
      <c:valAx>
        <c:axId val="840863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Presión de soplado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02998"/>
        <c:crosses val="autoZero"/>
        <c:crossBetween val="midCat"/>
      </c:valAx>
      <c:valAx>
        <c:axId val="72502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ρ relativa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8636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T1_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del aire de admisión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"Salida del compresor"</c:f>
              <c:strCache>
                <c:ptCount val="1"/>
                <c:pt idx="0">
                  <c:v>Salida del compresor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Sobrealimentacion!$A$19:$A$27</c:f>
              <c:numCache>
                <c:formatCode>0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Sobrealimentacion!$D$19:$D$27</c:f>
              <c:numCache>
                <c:formatCode>0.0</c:formatCode>
                <c:ptCount val="9"/>
                <c:pt idx="0">
                  <c:v>18</c:v>
                </c:pt>
                <c:pt idx="1">
                  <c:v>44.9321058212111</c:v>
                </c:pt>
                <c:pt idx="2">
                  <c:v>68.213606447523</c:v>
                </c:pt>
                <c:pt idx="3">
                  <c:v>88.8453961421604</c:v>
                </c:pt>
                <c:pt idx="4">
                  <c:v>107.453028736363</c:v>
                </c:pt>
                <c:pt idx="5">
                  <c:v>124.456210426636</c:v>
                </c:pt>
                <c:pt idx="6">
                  <c:v>140.151572394664</c:v>
                </c:pt>
                <c:pt idx="7">
                  <c:v>154.757287545657</c:v>
                </c:pt>
                <c:pt idx="8">
                  <c:v>168.438968187627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"Tras intercooler"</c:f>
              <c:strCache>
                <c:ptCount val="1"/>
                <c:pt idx="0">
                  <c:v>Tras intercooler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circle"/>
            <c:size val="5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Sobrealimentacion!$A$19:$A$27</c:f>
              <c:numCache>
                <c:formatCode>0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xVal>
          <c:yVal>
            <c:numRef>
              <c:f>Sobrealimentacion!$E$19:$E$27</c:f>
              <c:numCache>
                <c:formatCode>0.0</c:formatCode>
                <c:ptCount val="9"/>
                <c:pt idx="0">
                  <c:v>18</c:v>
                </c:pt>
                <c:pt idx="1">
                  <c:v>28.7728423284844</c:v>
                </c:pt>
                <c:pt idx="2">
                  <c:v>38.0854425790092</c:v>
                </c:pt>
                <c:pt idx="3">
                  <c:v>46.3381584568642</c:v>
                </c:pt>
                <c:pt idx="4">
                  <c:v>53.7812114945454</c:v>
                </c:pt>
                <c:pt idx="5">
                  <c:v>60.5824841706543</c:v>
                </c:pt>
                <c:pt idx="6">
                  <c:v>66.8606289578658</c:v>
                </c:pt>
                <c:pt idx="7">
                  <c:v>72.7029150182629</c:v>
                </c:pt>
                <c:pt idx="8">
                  <c:v>78.175587275051</c:v>
                </c:pt>
              </c:numCache>
            </c:numRef>
          </c:yVal>
          <c:smooth val="1"/>
        </c:ser>
        <c:axId val="74844362"/>
        <c:axId val="58241530"/>
      </c:scatterChart>
      <c:valAx>
        <c:axId val="748443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Presión de soplado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41530"/>
        <c:crosses val="autoZero"/>
        <c:crossBetween val="midCat"/>
      </c:valAx>
      <c:valAx>
        <c:axId val="58241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443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T1.xml.rels><?xml version="1.0" encoding="UTF-8"?>
<Relationships xmlns="http://schemas.openxmlformats.org/package/2006/relationships"><Relationship Id="rId1" Type="http://schemas.openxmlformats.org/officeDocument/2006/relationships/chart" Target="../charts/chartT1_chart1.xml"/><Relationship Id="rId2" Type="http://schemas.openxmlformats.org/officeDocument/2006/relationships/chart" Target="../charts/chartT1_chart2.xml"/>
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4680</colOff>
      <row>16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18</row>
      <rowOff>0</rowOff>
    </from>
    <to>
      <col>10</col>
      <colOff>4680</colOff>
      <row>34</row>
      <rowOff>11520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T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4680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4680</xdr:colOff>
      <xdr:row>34</xdr:row>
      <xdr:rowOff>11520</xdr:rowOff>
    </xdr:to>
    <xdr:graphicFrame>
      <xdr:nvGraphicFramePr>
        <xdr:cNvPr id="1" name="Chart 2"/>
        <xdr:cNvGraphicFramePr/>
      </xdr:nvGraphicFramePr>
      <xdr:xfrm>
        <a:off x="0" y="3429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Id="rIdDrw1" Type="http://schemas.openxmlformats.org/officeDocument/2006/relationships/drawing" Target="../drawings/drawingT1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8" min="1" max="1"/>
    <col width="12" customWidth="1" style="18" min="2" max="3"/>
    <col width="22" customWidth="1" style="18" min="4" max="5"/>
    <col width="18" customWidth="1" style="18" min="6" max="6"/>
    <col width="14" customWidth="1" style="18" min="7" max="7"/>
    <col width="16" customWidth="1" style="18" min="8" max="8"/>
    <col width="30" customWidth="1" style="18" min="9" max="9"/>
  </cols>
  <sheetData>
    <row r="1" ht="17.35" customHeight="1" s="19">
      <c r="A1" s="20" t="inlineStr">
        <is>
          <t>SFM GUÍA 17 – TURBOCOMPRESOR: SOBREALIMENTACIÓN Y VERIFICACIÓN</t>
        </is>
      </c>
    </row>
    <row r="2" ht="15" customHeight="1" s="19">
      <c r="A2" s="21" t="inlineStr">
        <is>
          <t>P_abs = P_atm + P_sopl;  π_c = P_abs/P_atm;  T2 = T1·[1 + (π_c^((γ−1)/γ) − 1)/η_c];  ρ = P/(R·T)</t>
        </is>
      </c>
    </row>
    <row r="3" ht="15" customHeight="1" s="19">
      <c r="A3" s="22" t="inlineStr">
        <is>
          <t>Leyenda: celdas amarillas con texto azul = datos de entrada (editar). Texto negro = fórmulas (no editar).</t>
        </is>
      </c>
    </row>
    <row r="5" ht="31.5" customHeight="1" s="19">
      <c r="A5" s="23" t="inlineStr">
        <is>
          <t>Parámetro</t>
        </is>
      </c>
      <c r="B5" s="23" t="inlineStr">
        <is>
          <t>Símbolo</t>
        </is>
      </c>
      <c r="C5" s="23" t="inlineStr">
        <is>
          <t>Valor</t>
        </is>
      </c>
      <c r="D5" s="23" t="inlineStr">
        <is>
          <t>Unidad</t>
        </is>
      </c>
      <c r="E5" s="23" t="inlineStr">
        <is>
          <t>Observación</t>
        </is>
      </c>
    </row>
    <row r="6" ht="15" customHeight="1" s="19">
      <c r="A6" s="24" t="inlineStr">
        <is>
          <t>Presión atmosférica local</t>
        </is>
      </c>
      <c r="B6" s="24" t="inlineStr">
        <is>
          <t>P_atm</t>
        </is>
      </c>
      <c r="C6" s="25" t="n">
        <v>79</v>
      </c>
      <c r="D6" s="24" t="inlineStr">
        <is>
          <t>kPa</t>
        </is>
      </c>
      <c r="E6" s="24" t="inlineStr">
        <is>
          <t>Loja (aprox.)</t>
        </is>
      </c>
    </row>
    <row r="7" ht="15" customHeight="1" s="19">
      <c r="A7" s="24" t="inlineStr">
        <is>
          <t>Temperatura ambiente</t>
        </is>
      </c>
      <c r="B7" s="24" t="inlineStr">
        <is>
          <t>T_atm</t>
        </is>
      </c>
      <c r="C7" s="25" t="n">
        <v>18</v>
      </c>
      <c r="D7" s="24" t="inlineStr">
        <is>
          <t>°C</t>
        </is>
      </c>
      <c r="E7" s="24" t="n"/>
    </row>
    <row r="8" ht="15" customHeight="1" s="19">
      <c r="A8" s="24" t="inlineStr">
        <is>
          <t>Presión atmosférica a nivel del mar</t>
        </is>
      </c>
      <c r="B8" s="24" t="inlineStr">
        <is>
          <t>P0</t>
        </is>
      </c>
      <c r="C8" s="25" t="n">
        <v>101.325</v>
      </c>
      <c r="D8" s="24" t="inlineStr">
        <is>
          <t>kPa</t>
        </is>
      </c>
      <c r="E8" s="24" t="inlineStr">
        <is>
          <t>Referencia</t>
        </is>
      </c>
    </row>
    <row r="9" ht="15" customHeight="1" s="19">
      <c r="A9" s="24" t="inlineStr">
        <is>
          <t>Temperatura de referencia</t>
        </is>
      </c>
      <c r="B9" s="24" t="inlineStr">
        <is>
          <t>T0</t>
        </is>
      </c>
      <c r="C9" s="25" t="n">
        <v>25</v>
      </c>
      <c r="D9" s="24" t="inlineStr">
        <is>
          <t>°C</t>
        </is>
      </c>
      <c r="E9" s="24" t="inlineStr">
        <is>
          <t>Referencia</t>
        </is>
      </c>
    </row>
    <row r="10" ht="15" customHeight="1" s="19">
      <c r="A10" s="24" t="inlineStr">
        <is>
          <t>Rendimiento isentrópico del compresor</t>
        </is>
      </c>
      <c r="B10" s="24" t="inlineStr">
        <is>
          <t>η_c</t>
        </is>
      </c>
      <c r="C10" s="25" t="n">
        <v>0.72</v>
      </c>
      <c r="D10" s="24" t="inlineStr">
        <is>
          <t>—</t>
        </is>
      </c>
      <c r="E10" s="24" t="inlineStr">
        <is>
          <t>Valor típico</t>
        </is>
      </c>
    </row>
    <row r="11" ht="15" customHeight="1" s="19">
      <c r="A11" s="24" t="inlineStr">
        <is>
          <t>Eficacia del intercooler</t>
        </is>
      </c>
      <c r="B11" s="24" t="inlineStr">
        <is>
          <t>ε</t>
        </is>
      </c>
      <c r="C11" s="25" t="n">
        <v>0.6</v>
      </c>
      <c r="D11" s="24" t="inlineStr">
        <is>
          <t>—</t>
        </is>
      </c>
      <c r="E11" s="24" t="inlineStr">
        <is>
          <t>0 = sin intercooler</t>
        </is>
      </c>
    </row>
    <row r="12" ht="15" customHeight="1" s="19">
      <c r="A12" s="24" t="inlineStr">
        <is>
          <t>Relación de calores específicos</t>
        </is>
      </c>
      <c r="B12" s="24" t="inlineStr">
        <is>
          <t>γ</t>
        </is>
      </c>
      <c r="C12" s="25" t="n">
        <v>1.4</v>
      </c>
      <c r="D12" s="24" t="inlineStr">
        <is>
          <t>—</t>
        </is>
      </c>
      <c r="E12" s="24" t="inlineStr">
        <is>
          <t>Aire</t>
        </is>
      </c>
    </row>
    <row r="13" ht="15" customHeight="1" s="19">
      <c r="A13" s="24" t="inlineStr">
        <is>
          <t>Constante del aire</t>
        </is>
      </c>
      <c r="B13" s="24" t="inlineStr">
        <is>
          <t>R</t>
        </is>
      </c>
      <c r="C13" s="25" t="n">
        <v>287</v>
      </c>
      <c r="D13" s="24" t="inlineStr">
        <is>
          <t>J/(kg·K)</t>
        </is>
      </c>
      <c r="E13" s="24" t="n"/>
    </row>
    <row r="15" ht="15" customHeight="1" s="19">
      <c r="A15" s="26" t="inlineStr">
        <is>
          <t>Densidad del aire atmosférico local (kg/m³)</t>
        </is>
      </c>
      <c r="C15" s="27">
        <f>C6*1000/(C13*(C7+273.15))</f>
        <v/>
      </c>
    </row>
    <row r="16" ht="15" customHeight="1" s="19">
      <c r="A16" s="26" t="inlineStr">
        <is>
          <t>Densidad del aire a nivel del mar (kg/m³)</t>
        </is>
      </c>
      <c r="C16" s="27">
        <f>C8*1000/(C13*(C9+273.15))</f>
        <v/>
      </c>
    </row>
    <row r="18" ht="31.5" customHeight="1" s="19">
      <c r="A18" s="23" t="inlineStr">
        <is>
          <t>P_sopl (kPa)</t>
        </is>
      </c>
      <c r="B18" s="23" t="inlineStr">
        <is>
          <t>P_abs (kPa)</t>
        </is>
      </c>
      <c r="C18" s="23" t="inlineStr">
        <is>
          <t>π_c</t>
        </is>
      </c>
      <c r="D18" s="23" t="inlineStr">
        <is>
          <t>T salida compresor (°C)</t>
        </is>
      </c>
      <c r="E18" s="23" t="inlineStr">
        <is>
          <t>T tras intercooler (°C)</t>
        </is>
      </c>
      <c r="F18" s="23" t="inlineStr">
        <is>
          <t>ρ colector (kg/m³)</t>
        </is>
      </c>
      <c r="G18" s="23" t="inlineStr">
        <is>
          <t>ρ/ρ_atm local</t>
        </is>
      </c>
      <c r="H18" s="23" t="inlineStr">
        <is>
          <t>ρ/ρ nivel del mar</t>
        </is>
      </c>
      <c r="I18" s="23" t="inlineStr">
        <is>
          <t>Potencia relativa a nivel del mar (%)</t>
        </is>
      </c>
    </row>
    <row r="19" ht="15" customHeight="1" s="19">
      <c r="A19" s="28" t="n">
        <v>0</v>
      </c>
      <c r="B19" s="29">
        <f>$C$6+A19</f>
        <v/>
      </c>
      <c r="C19" s="27">
        <f>B19/$C$6</f>
        <v/>
      </c>
      <c r="D19" s="29">
        <f>($C$7+273.15)*(1+(C19^(($C$12-1)/$C$12)-1)/$C$10)-273.15</f>
        <v/>
      </c>
      <c r="E19" s="29">
        <f>D19-$C$11*(D19-$C$7)</f>
        <v/>
      </c>
      <c r="F19" s="27">
        <f>B19*1000/($C$13*(E19+273.15))</f>
        <v/>
      </c>
      <c r="G19" s="27">
        <f>F19/$C$15</f>
        <v/>
      </c>
      <c r="H19" s="27">
        <f>F19/$C$16</f>
        <v/>
      </c>
      <c r="I19" s="29">
        <f>H19*100</f>
        <v/>
      </c>
    </row>
    <row r="20" ht="15" customHeight="1" s="19">
      <c r="A20" s="28" t="n">
        <v>20</v>
      </c>
      <c r="B20" s="29">
        <f>$C$6+A20</f>
        <v/>
      </c>
      <c r="C20" s="27">
        <f>B20/$C$6</f>
        <v/>
      </c>
      <c r="D20" s="29">
        <f>($C$7+273.15)*(1+(C20^(($C$12-1)/$C$12)-1)/$C$10)-273.15</f>
        <v/>
      </c>
      <c r="E20" s="29">
        <f>D20-$C$11*(D20-$C$7)</f>
        <v/>
      </c>
      <c r="F20" s="27">
        <f>B20*1000/($C$13*(E20+273.15))</f>
        <v/>
      </c>
      <c r="G20" s="27">
        <f>F20/$C$15</f>
        <v/>
      </c>
      <c r="H20" s="27">
        <f>F20/$C$16</f>
        <v/>
      </c>
      <c r="I20" s="29">
        <f>H20*100</f>
        <v/>
      </c>
    </row>
    <row r="21" ht="15" customHeight="1" s="19">
      <c r="A21" s="28" t="n">
        <v>40</v>
      </c>
      <c r="B21" s="29">
        <f>$C$6+A21</f>
        <v/>
      </c>
      <c r="C21" s="27">
        <f>B21/$C$6</f>
        <v/>
      </c>
      <c r="D21" s="29">
        <f>($C$7+273.15)*(1+(C21^(($C$12-1)/$C$12)-1)/$C$10)-273.15</f>
        <v/>
      </c>
      <c r="E21" s="29">
        <f>D21-$C$11*(D21-$C$7)</f>
        <v/>
      </c>
      <c r="F21" s="27">
        <f>B21*1000/($C$13*(E21+273.15))</f>
        <v/>
      </c>
      <c r="G21" s="27">
        <f>F21/$C$15</f>
        <v/>
      </c>
      <c r="H21" s="27">
        <f>F21/$C$16</f>
        <v/>
      </c>
      <c r="I21" s="29">
        <f>H21*100</f>
        <v/>
      </c>
    </row>
    <row r="22" ht="15" customHeight="1" s="19">
      <c r="A22" s="28" t="n">
        <v>60</v>
      </c>
      <c r="B22" s="29">
        <f>$C$6+A22</f>
        <v/>
      </c>
      <c r="C22" s="27">
        <f>B22/$C$6</f>
        <v/>
      </c>
      <c r="D22" s="29">
        <f>($C$7+273.15)*(1+(C22^(($C$12-1)/$C$12)-1)/$C$10)-273.15</f>
        <v/>
      </c>
      <c r="E22" s="29">
        <f>D22-$C$11*(D22-$C$7)</f>
        <v/>
      </c>
      <c r="F22" s="27">
        <f>B22*1000/($C$13*(E22+273.15))</f>
        <v/>
      </c>
      <c r="G22" s="27">
        <f>F22/$C$15</f>
        <v/>
      </c>
      <c r="H22" s="27">
        <f>F22/$C$16</f>
        <v/>
      </c>
      <c r="I22" s="29">
        <f>H22*100</f>
        <v/>
      </c>
    </row>
    <row r="23" ht="15" customHeight="1" s="19">
      <c r="A23" s="28" t="n">
        <v>80</v>
      </c>
      <c r="B23" s="29">
        <f>$C$6+A23</f>
        <v/>
      </c>
      <c r="C23" s="27">
        <f>B23/$C$6</f>
        <v/>
      </c>
      <c r="D23" s="29">
        <f>($C$7+273.15)*(1+(C23^(($C$12-1)/$C$12)-1)/$C$10)-273.15</f>
        <v/>
      </c>
      <c r="E23" s="29">
        <f>D23-$C$11*(D23-$C$7)</f>
        <v/>
      </c>
      <c r="F23" s="27">
        <f>B23*1000/($C$13*(E23+273.15))</f>
        <v/>
      </c>
      <c r="G23" s="27">
        <f>F23/$C$15</f>
        <v/>
      </c>
      <c r="H23" s="27">
        <f>F23/$C$16</f>
        <v/>
      </c>
      <c r="I23" s="29">
        <f>H23*100</f>
        <v/>
      </c>
    </row>
    <row r="24" ht="15" customHeight="1" s="19">
      <c r="A24" s="28" t="n">
        <v>100</v>
      </c>
      <c r="B24" s="29">
        <f>$C$6+A24</f>
        <v/>
      </c>
      <c r="C24" s="27">
        <f>B24/$C$6</f>
        <v/>
      </c>
      <c r="D24" s="29">
        <f>($C$7+273.15)*(1+(C24^(($C$12-1)/$C$12)-1)/$C$10)-273.15</f>
        <v/>
      </c>
      <c r="E24" s="29">
        <f>D24-$C$11*(D24-$C$7)</f>
        <v/>
      </c>
      <c r="F24" s="27">
        <f>B24*1000/($C$13*(E24+273.15))</f>
        <v/>
      </c>
      <c r="G24" s="27">
        <f>F24/$C$15</f>
        <v/>
      </c>
      <c r="H24" s="27">
        <f>F24/$C$16</f>
        <v/>
      </c>
      <c r="I24" s="29">
        <f>H24*100</f>
        <v/>
      </c>
    </row>
    <row r="25" ht="15" customHeight="1" s="19">
      <c r="A25" s="28" t="n">
        <v>120</v>
      </c>
      <c r="B25" s="29">
        <f>$C$6+A25</f>
        <v/>
      </c>
      <c r="C25" s="27">
        <f>B25/$C$6</f>
        <v/>
      </c>
      <c r="D25" s="29">
        <f>($C$7+273.15)*(1+(C25^(($C$12-1)/$C$12)-1)/$C$10)-273.15</f>
        <v/>
      </c>
      <c r="E25" s="29">
        <f>D25-$C$11*(D25-$C$7)</f>
        <v/>
      </c>
      <c r="F25" s="27">
        <f>B25*1000/($C$13*(E25+273.15))</f>
        <v/>
      </c>
      <c r="G25" s="27">
        <f>F25/$C$15</f>
        <v/>
      </c>
      <c r="H25" s="27">
        <f>F25/$C$16</f>
        <v/>
      </c>
      <c r="I25" s="29">
        <f>H25*100</f>
        <v/>
      </c>
    </row>
    <row r="26" ht="15" customHeight="1" s="19">
      <c r="A26" s="28" t="n">
        <v>140</v>
      </c>
      <c r="B26" s="29">
        <f>$C$6+A26</f>
        <v/>
      </c>
      <c r="C26" s="27">
        <f>B26/$C$6</f>
        <v/>
      </c>
      <c r="D26" s="29">
        <f>($C$7+273.15)*(1+(C26^(($C$12-1)/$C$12)-1)/$C$10)-273.15</f>
        <v/>
      </c>
      <c r="E26" s="29">
        <f>D26-$C$11*(D26-$C$7)</f>
        <v/>
      </c>
      <c r="F26" s="27">
        <f>B26*1000/($C$13*(E26+273.15))</f>
        <v/>
      </c>
      <c r="G26" s="27">
        <f>F26/$C$15</f>
        <v/>
      </c>
      <c r="H26" s="27">
        <f>F26/$C$16</f>
        <v/>
      </c>
      <c r="I26" s="29">
        <f>H26*100</f>
        <v/>
      </c>
    </row>
    <row r="27" ht="15" customHeight="1" s="19">
      <c r="A27" s="28" t="n">
        <v>160</v>
      </c>
      <c r="B27" s="29">
        <f>$C$6+A27</f>
        <v/>
      </c>
      <c r="C27" s="27">
        <f>B27/$C$6</f>
        <v/>
      </c>
      <c r="D27" s="29">
        <f>($C$7+273.15)*(1+(C27^(($C$12-1)/$C$12)-1)/$C$10)-273.15</f>
        <v/>
      </c>
      <c r="E27" s="29">
        <f>D27-$C$11*(D27-$C$7)</f>
        <v/>
      </c>
      <c r="F27" s="27">
        <f>B27*1000/($C$13*(E27+273.15))</f>
        <v/>
      </c>
      <c r="G27" s="27">
        <f>F27/$C$15</f>
        <v/>
      </c>
      <c r="H27" s="27">
        <f>F27/$C$16</f>
        <v/>
      </c>
      <c r="I27" s="29">
        <f>H27*100</f>
        <v/>
      </c>
    </row>
    <row r="29" ht="15" customHeight="1" s="19">
      <c r="A29" s="30" t="inlineStr">
        <is>
          <t>Potencia relativa aproximada, suponiendo que la potencia es proporcional a la masa de aire admitida (misma riqueza y rendimiento).</t>
        </is>
      </c>
    </row>
    <row r="31" ht="15" customHeight="1" s="19">
      <c r="A31" s="26" t="inlineStr">
        <is>
          <t>Presión de soplado necesaria para igualar la densidad a nivel del mar (kPa, aprox.)</t>
        </is>
      </c>
      <c r="F31" s="31">
        <f>INDEX(A19:A27,MATCH(TRUE(),INDEX(H19:H27&gt;=1,0),0))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18" min="1" max="1"/>
    <col width="30" customWidth="1" style="18" min="2" max="2"/>
    <col width="18" customWidth="1" style="18" min="3" max="4"/>
    <col width="8" customWidth="1" style="18" min="5" max="5"/>
    <col width="14" customWidth="1" style="18" min="6" max="6"/>
  </cols>
  <sheetData>
    <row r="1" ht="17.35" customHeight="1" s="19">
      <c r="A1" s="20" t="inlineStr">
        <is>
          <t>Verificación del turbocompresor (práctica 12 del cuaderno)</t>
        </is>
      </c>
    </row>
    <row r="2" ht="15" customHeight="1" s="19">
      <c r="A2" s="21" t="n"/>
    </row>
    <row r="3" ht="15" customHeight="1" s="19">
      <c r="A3" s="22" t="inlineStr">
        <is>
          <t>Leyenda: celdas amarillas con texto azul = datos de entrada (editar). Texto negro = fórmulas (no editar).</t>
        </is>
      </c>
    </row>
    <row r="4"/>
    <row r="5" ht="31.5" customHeight="1" s="19">
      <c r="A5" s="23" t="inlineStr">
        <is>
          <t>Comprobación</t>
        </is>
      </c>
      <c r="B5" s="23" t="inlineStr">
        <is>
          <t>Medido</t>
        </is>
      </c>
      <c r="C5" s="23" t="inlineStr">
        <is>
          <t>Especificación mín.</t>
        </is>
      </c>
      <c r="D5" s="23" t="inlineStr">
        <is>
          <t>Especificación máx.</t>
        </is>
      </c>
      <c r="E5" s="23" t="inlineStr">
        <is>
          <t>Unidad</t>
        </is>
      </c>
      <c r="F5" s="23" t="inlineStr">
        <is>
          <t>Resultado</t>
        </is>
      </c>
    </row>
    <row r="6" ht="15" customHeight="1" s="19">
      <c r="A6" s="32" t="inlineStr">
        <is>
          <t>Presión máxima de soplado</t>
        </is>
      </c>
      <c r="B6" s="33" t="n"/>
      <c r="C6" s="33" t="n">
        <v>80</v>
      </c>
      <c r="D6" s="33" t="n">
        <v>95</v>
      </c>
      <c r="E6" s="24" t="inlineStr">
        <is>
          <t>kPa</t>
        </is>
      </c>
      <c r="F6" s="34">
        <f>IF(COUNTA(B6)=0,"",IF(AND(B6&gt;=C6,B6&lt;=D6),"Correcto",IF(B6&lt;C6,"Bajo","Alto")))</f>
        <v/>
      </c>
    </row>
    <row r="7" ht="15" customHeight="1" s="19">
      <c r="A7" s="32" t="inlineStr">
        <is>
          <t>Juego axial del eje</t>
        </is>
      </c>
      <c r="B7" s="33" t="n"/>
      <c r="C7" s="33" t="n">
        <v>0.02</v>
      </c>
      <c r="D7" s="33" t="n">
        <v>0.09</v>
      </c>
      <c r="E7" s="24" t="inlineStr">
        <is>
          <t>mm</t>
        </is>
      </c>
      <c r="F7" s="34">
        <f>IF(COUNTA(B7)=0,"",IF(AND(B7&gt;=C7,B7&lt;=D7),"Correcto",IF(B7&lt;C7,"Bajo","Alto")))</f>
        <v/>
      </c>
    </row>
    <row r="8" ht="15" customHeight="1" s="19">
      <c r="A8" s="32" t="inlineStr">
        <is>
          <t>Juego radial del eje</t>
        </is>
      </c>
      <c r="B8" s="33" t="n"/>
      <c r="C8" s="33" t="n">
        <v>0.04</v>
      </c>
      <c r="D8" s="33" t="n">
        <v>0.1</v>
      </c>
      <c r="E8" s="24" t="inlineStr">
        <is>
          <t>mm</t>
        </is>
      </c>
      <c r="F8" s="34">
        <f>IF(COUNTA(B8)=0,"",IF(AND(B8&gt;=C8,B8&lt;=D8),"Correcto",IF(B8&lt;C8,"Bajo","Alto")))</f>
        <v/>
      </c>
    </row>
    <row r="9" ht="15" customHeight="1" s="19">
      <c r="A9" s="32" t="inlineStr">
        <is>
          <t>Presión de apertura de la cápsula</t>
        </is>
      </c>
      <c r="B9" s="33" t="n"/>
      <c r="C9" s="33" t="n">
        <v>0.55</v>
      </c>
      <c r="D9" s="33" t="n">
        <v>0.7</v>
      </c>
      <c r="E9" s="24" t="inlineStr">
        <is>
          <t>bar</t>
        </is>
      </c>
      <c r="F9" s="34">
        <f>IF(COUNTA(B9)=0,"",IF(AND(B9&gt;=C9,B9&lt;=D9),"Correcto",IF(B9&lt;C9,"Bajo","Alto")))</f>
        <v/>
      </c>
    </row>
    <row r="10" ht="15" customHeight="1" s="19">
      <c r="A10" s="32" t="inlineStr">
        <is>
          <t>Desplazamiento del vástago a la presión de prueba</t>
        </is>
      </c>
      <c r="B10" s="33" t="n"/>
      <c r="C10" s="33" t="n">
        <v>3</v>
      </c>
      <c r="D10" s="33" t="n">
        <v>5</v>
      </c>
      <c r="E10" s="24" t="inlineStr">
        <is>
          <t>mm</t>
        </is>
      </c>
      <c r="F10" s="34">
        <f>IF(COUNTA(B10)=0,"",IF(AND(B10&gt;=C10,B10&lt;=D10),"Correcto",IF(B10&lt;C10,"Bajo","Alto")))</f>
        <v/>
      </c>
    </row>
    <row r="11" ht="15" customHeight="1" s="19">
      <c r="A11" s="32" t="inlineStr">
        <is>
          <t>Caída de presión en la cápsula (1 min)</t>
        </is>
      </c>
      <c r="B11" s="33" t="n"/>
      <c r="C11" s="33" t="n">
        <v>0</v>
      </c>
      <c r="D11" s="33" t="n">
        <v>0.02</v>
      </c>
      <c r="E11" s="24" t="inlineStr">
        <is>
          <t>bar</t>
        </is>
      </c>
      <c r="F11" s="34">
        <f>IF(COUNTA(B11)=0,"",IF(AND(B11&gt;=C11,B11&lt;=D11),"Correcto",IF(B11&lt;C11,"Bajo","Alto")))</f>
        <v/>
      </c>
    </row>
    <row r="12"/>
    <row r="13" ht="31.5" customHeight="1" s="19">
      <c r="A13" s="23" t="inlineStr">
        <is>
          <t>Inspección visual</t>
        </is>
      </c>
      <c r="B13" s="23" t="inlineStr">
        <is>
          <t>Estado (Bueno/Defecto)</t>
        </is>
      </c>
      <c r="C13" s="23" t="inlineStr">
        <is>
          <t>Acción</t>
        </is>
      </c>
    </row>
    <row r="14" ht="15" customHeight="1" s="19">
      <c r="A14" s="32" t="inlineStr">
        <is>
          <t>Fugas de aceite en carcasas y tubos</t>
        </is>
      </c>
      <c r="B14" s="35" t="n"/>
      <c r="C14" s="34">
        <f>IF(COUNTA(B14)=0,"",IF(B14="Bueno","—","Corregir antes de montar"))</f>
        <v/>
      </c>
    </row>
    <row r="15" ht="15" customHeight="1" s="19">
      <c r="A15" s="32" t="inlineStr">
        <is>
          <t>Carbonilla u obstrucción en el tubo de retorno</t>
        </is>
      </c>
      <c r="B15" s="35" t="n"/>
      <c r="C15" s="34">
        <f>IF(COUNTA(B15)=0,"",IF(B15="Bueno","—","Corregir antes de montar"))</f>
        <v/>
      </c>
    </row>
    <row r="16" ht="15" customHeight="1" s="19">
      <c r="A16" s="32" t="inlineStr">
        <is>
          <t>Álabes del compresor</t>
        </is>
      </c>
      <c r="B16" s="35" t="n"/>
      <c r="C16" s="34">
        <f>IF(COUNTA(B16)=0,"",IF(B16="Bueno","—","Corregir antes de montar"))</f>
        <v/>
      </c>
    </row>
    <row r="17" ht="15" customHeight="1" s="19">
      <c r="A17" s="32" t="inlineStr">
        <is>
          <t>Álabes de la turbina</t>
        </is>
      </c>
      <c r="B17" s="35" t="n"/>
      <c r="C17" s="34">
        <f>IF(COUNTA(B17)=0,"",IF(B17="Bueno","—","Corregir antes de montar"))</f>
        <v/>
      </c>
    </row>
    <row r="18" ht="15" customHeight="1" s="19">
      <c r="A18" s="32" t="inlineStr">
        <is>
          <t>Giro del eje (suave, sin roces)</t>
        </is>
      </c>
      <c r="B18" s="35" t="n"/>
      <c r="C18" s="34">
        <f>IF(COUNTA(B18)=0,"",IF(B18="Bueno","—","Corregir antes de montar"))</f>
        <v/>
      </c>
    </row>
    <row r="19" ht="15" customHeight="1" s="19">
      <c r="A19" s="32" t="inlineStr">
        <is>
          <t>Fugas en manguitos del intercooler</t>
        </is>
      </c>
      <c r="B19" s="35" t="n"/>
      <c r="C19" s="34">
        <f>IF(COUNTA(B19)=0,"",IF(B19="Bueno","—","Corregir antes de montar"))</f>
        <v/>
      </c>
    </row>
    <row r="20"/>
    <row r="21" ht="15" customHeight="1" s="19">
      <c r="A21" s="32" t="inlineStr">
        <is>
          <t>Diagnóstico general</t>
        </is>
      </c>
      <c r="B21" s="36">
        <f>IF(COUNTA(B6,B8,B9,B11,B14,B15,B16,B17,B18,B19)=0,"",IF(F8="Alto","Juego radial excesivo: sustituir o reparar el cartucho central (CHRA)",IF(OR(F6&lt;&gt;"Correcto",F9&lt;&gt;"Correcto",F11&lt;&gt;"Correcto"),"Revisar válvula de descarga y su cápsula",IF(COUNTIF(B14:B19,"Defecto")&gt;0,"Corregir defectos de la inspección visual","Turbocompresor en buen estado"))))</f>
        <v/>
      </c>
    </row>
    <row r="22"/>
    <row r="23" ht="15" customHeight="1" s="19">
      <c r="A23" s="30" t="inlineStr">
        <is>
          <t>Especificaciones de ejemplo. Ninguno de los motores del laboratorio (Daihatsu CB-20, Nissan A14, Hyundai G4EC y Chevrolet Monza 2.0) es turboalimentado: tome los valores del manual del turbocompresor disponible. Juego radial del eje: 0,04–0,10 mm según el cuaderno de prácticas (valores de esta hoja) y 0,07–0,2 mm según González Calleja (2015, p. 570). Como referencia, el Daihatsu CB-61 turbo trabaja con 0,4–0,6 kg/cm² (39–59 kPa) de sobrealimentación (Daihatsu Type CB, p. 9-5).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3:A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drawing r:id="rIdDrw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2026-09-15T22:30:52Z</dcterms:created>
  <dcterms:modified xmlns:dcterms="http://purl.org/dc/terms/" xmlns:xsi="http://www.w3.org/2001/XMLSchema-instance" xsi:type="dcterms:W3CDTF">2026-10-16T11:52:03Z</dcterms:modified>
  <cp:revision>1</cp:revision>
</cp:coreProperties>
</file>