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  <sheet xmlns:r="http://schemas.openxmlformats.org/officeDocument/2006/relationships" name="Diagrama circular" sheetId="2" state="visible" r:id="rId2"/>
    <sheet xmlns:r="http://schemas.openxmlformats.org/officeDocument/2006/relationships" name="Salto de dientes" sheetId="3" state="visible" r:id="rId3"/>
    <sheet xmlns:r="http://schemas.openxmlformats.org/officeDocument/2006/relationships" name="Levas superpuestas" sheetId="4" state="visible" r:id="rId4"/>
    <sheet xmlns:r="http://schemas.openxmlformats.org/officeDocument/2006/relationships" name="Pastillas de reglaje" sheetId="5" state="visible" r:id="rId5"/>
    <sheet xmlns:r="http://schemas.openxmlformats.org/officeDocument/2006/relationships" name="Apriete de culata" sheetId="6" state="visible" r:id="rId6"/>
    <sheet xmlns:r="http://schemas.openxmlformats.org/officeDocument/2006/relationships" name="Muelles de válvula" sheetId="7" state="visible" r:id="rId7"/>
    <sheet xmlns:r="http://schemas.openxmlformats.org/officeDocument/2006/relationships" name="Guía" sheetId="8" state="visible" r:id="rId8"/>
    <sheet xmlns:r="http://schemas.openxmlformats.org/officeDocument/2006/relationships" name="Datos" sheetId="9" state="visible" r:id="rId9"/>
    <sheet xmlns:r="http://schemas.openxmlformats.org/officeDocument/2006/relationships" name="Datos circular" sheetId="10" state="visible" r:id="rId10"/>
    <sheet xmlns:r="http://schemas.openxmlformats.org/officeDocument/2006/relationships" name="Datos apriete" sheetId="11" state="visible" r:id="rId11"/>
    <sheet xmlns:r="http://schemas.openxmlformats.org/officeDocument/2006/relationships" name="Datos muell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  <color rgb="000000FF"/>
    </font>
    <font>
      <name val="Arial"/>
      <b val="1"/>
      <color rgb="00C0392B"/>
    </font>
    <font>
      <name val="Arial"/>
      <b val="1"/>
      <color rgb="001F2A80"/>
    </font>
    <font>
      <name val="Arial"/>
      <b val="1"/>
    </font>
    <font>
      <name val="Arial"/>
      <color rgb="00595959"/>
      <sz val="9"/>
    </font>
    <font>
      <name val="Arial"/>
      <color rgb="00C0392B"/>
      <sz val="9"/>
    </font>
    <font>
      <name val="Arial"/>
      <b val="1"/>
      <color rgb="001F3A5F"/>
    </font>
    <font>
      <name val="Arial"/>
      <color rgb="00008000"/>
    </font>
    <font>
      <name val="Arial"/>
      <b val="1"/>
      <color rgb="00000000"/>
      <sz val="11"/>
    </font>
    <font>
      <name val="Arial"/>
      <b val="1"/>
      <color rgb="00C0392B"/>
      <sz val="10"/>
    </font>
    <font>
      <name val="Arial"/>
      <color rgb="000000FF"/>
    </font>
    <font>
      <name val="Arial"/>
      <i val="1"/>
      <sz val="9"/>
    </font>
    <font>
      <name val="Arial"/>
      <b val="1"/>
      <color rgb="00C0392B"/>
      <sz val="14"/>
    </font>
    <font>
      <name val="Arial"/>
      <b val="1"/>
      <color rgb="001F4FD8"/>
      <sz val="14"/>
    </font>
    <font>
      <name val="Arial"/>
      <b val="1"/>
      <color rgb="001F4FD8"/>
    </font>
    <font>
      <name val="Arial"/>
      <b val="1"/>
      <color rgb="001F3A5F"/>
      <sz val="12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6F0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6" fillId="0" borderId="1" pivotButton="0" quotePrefix="0" xfId="0"/>
    <xf numFmtId="1" fontId="4" fillId="0" borderId="1" applyAlignment="1" pivotButton="0" quotePrefix="0" xfId="0">
      <alignment horizontal="center"/>
    </xf>
    <xf numFmtId="0" fontId="7" fillId="0" borderId="1" pivotButton="0" quotePrefix="0" xfId="0"/>
    <xf numFmtId="2" fontId="5" fillId="3" borderId="1" applyAlignment="1" pivotButton="0" quotePrefix="0" xfId="0">
      <alignment horizontal="center"/>
    </xf>
    <xf numFmtId="0" fontId="8" fillId="4" borderId="1" pivotButton="0" quotePrefix="0" xfId="0"/>
    <xf numFmtId="1" fontId="8" fillId="4" borderId="1" applyAlignment="1" pivotButton="0" quotePrefix="0" xfId="0">
      <alignment horizontal="center"/>
    </xf>
    <xf numFmtId="0" fontId="9" fillId="4" borderId="1" pivotButton="0" quotePrefix="0" xfId="0"/>
    <xf numFmtId="0" fontId="0" fillId="4" borderId="1" pivotButton="0" quotePrefix="0" xfId="0"/>
    <xf numFmtId="0" fontId="8" fillId="0" borderId="0" pivotButton="0" quotePrefix="0" xfId="0"/>
    <xf numFmtId="0" fontId="10" fillId="0" borderId="0" pivotButton="0" quotePrefix="0" xfId="0"/>
    <xf numFmtId="0" fontId="12" fillId="0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164" fontId="8" fillId="4" borderId="1" applyAlignment="1" pivotButton="0" quotePrefix="0" xfId="0">
      <alignment horizontal="center"/>
    </xf>
    <xf numFmtId="0" fontId="9" fillId="0" borderId="0" pivotButton="0" quotePrefix="0" xfId="0"/>
    <xf numFmtId="0" fontId="13" fillId="0" borderId="1" pivotButton="0" quotePrefix="0" xfId="0"/>
    <xf numFmtId="164" fontId="13" fillId="4" borderId="1" applyAlignment="1" pivotButton="0" quotePrefix="0" xfId="0">
      <alignment horizontal="center"/>
    </xf>
    <xf numFmtId="0" fontId="9" fillId="0" borderId="1" pivotButton="0" quotePrefix="0" xfId="0"/>
    <xf numFmtId="2" fontId="13" fillId="4" borderId="1" applyAlignment="1" pivotButton="0" quotePrefix="0" xfId="0">
      <alignment horizontal="center"/>
    </xf>
    <xf numFmtId="0" fontId="14" fillId="0" borderId="0" pivotButton="0" quotePrefix="0" xfId="0"/>
    <xf numFmtId="0" fontId="0" fillId="0" borderId="4" pivotButton="0" quotePrefix="0" xfId="0"/>
    <xf numFmtId="0" fontId="4" fillId="0" borderId="0" pivotButton="0" quotePrefix="0" xfId="0"/>
    <xf numFmtId="0" fontId="4" fillId="0" borderId="1" applyAlignment="1" pivotButton="0" quotePrefix="0" xfId="0">
      <alignment horizontal="center"/>
    </xf>
    <xf numFmtId="2" fontId="15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8" fillId="0" borderId="1" applyAlignment="1" pivotButton="0" quotePrefix="0" xfId="0">
      <alignment horizontal="center"/>
    </xf>
    <xf numFmtId="0" fontId="6" fillId="0" borderId="0" pivotButton="0" quotePrefix="0" xfId="0"/>
    <xf numFmtId="0" fontId="16" fillId="0" borderId="0" pivotButton="0" quotePrefix="0" xfId="0"/>
    <xf numFmtId="0" fontId="17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/>
    </xf>
    <xf numFmtId="0" fontId="19" fillId="0" borderId="0" pivotButton="0" quotePrefix="0" xfId="0"/>
    <xf numFmtId="0" fontId="8" fillId="0" borderId="1" pivotButton="0" quotePrefix="0" xfId="0"/>
    <xf numFmtId="0" fontId="11" fillId="0" borderId="1" pivotButton="0" quotePrefix="0" xfId="0"/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20" fillId="0" borderId="0" pivotButton="0" quotePrefix="0" xfId="0"/>
    <xf numFmtId="0" fontId="3" fillId="2" borderId="0" applyAlignment="1" pivotButton="0" quotePrefix="0" xfId="0">
      <alignment horizontal="center" wrapText="1"/>
    </xf>
    <xf numFmtId="0" fontId="3" fillId="2" borderId="0" pivotButton="0" quotePrefix="0" xfId="0"/>
    <xf numFmtId="2" fontId="4" fillId="0" borderId="0" pivotButton="0" quotePrefix="0" xfId="0"/>
    <xf numFmtId="164" fontId="4" fillId="0" borderId="0" pivotButton="0" quotePrefix="0" xfId="0"/>
    <xf numFmtId="2" fontId="0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Alzado de las válvulas y cruce según la fase del árbol de levas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'Datos'!B1</f>
            </strRef>
          </tx>
          <spPr>
            <a:ln xmlns:a="http://schemas.openxmlformats.org/drawingml/2006/main" w="19050">
              <a:solidFill>
                <a:srgbClr val="E8501E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'Datos'!$A$2:$A$362</f>
            </numRef>
          </xVal>
          <yVal>
            <numRef>
              <f>'Datos'!$B$2:$B$362</f>
            </numRef>
          </yVal>
          <smooth val="1"/>
        </ser>
        <ser>
          <idx val="1"/>
          <order val="1"/>
          <tx>
            <strRef>
              <f>'Datos'!C1</f>
            </strRef>
          </tx>
          <spPr>
            <a:ln xmlns:a="http://schemas.openxmlformats.org/drawingml/2006/main" w="31750">
              <a:solidFill>
                <a:srgbClr val="E8501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'Datos'!$A$2:$A$362</f>
            </numRef>
          </xVal>
          <yVal>
            <numRef>
              <f>'Datos'!$C$2:$C$362</f>
            </numRef>
          </yVal>
          <smooth val="1"/>
        </ser>
        <ser>
          <idx val="2"/>
          <order val="2"/>
          <tx>
            <strRef>
              <f>'Datos'!D1</f>
            </strRef>
          </tx>
          <spPr>
            <a:ln xmlns:a="http://schemas.openxmlformats.org/drawingml/2006/main" w="19050">
              <a:solidFill>
                <a:srgbClr val="E8501E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'Datos'!$A$2:$A$362</f>
            </numRef>
          </xVal>
          <yVal>
            <numRef>
              <f>'Datos'!$D$2:$D$362</f>
            </numRef>
          </yVal>
          <smooth val="1"/>
        </ser>
        <ser>
          <idx val="3"/>
          <order val="3"/>
          <tx>
            <strRef>
              <f>'Datos'!E1</f>
            </strRef>
          </tx>
          <spPr>
            <a:ln xmlns:a="http://schemas.openxmlformats.org/drawingml/2006/main" w="19050">
              <a:solidFill>
                <a:srgbClr val="2B2B8C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'Datos'!$A$2:$A$362</f>
            </numRef>
          </xVal>
          <yVal>
            <numRef>
              <f>'Datos'!$E$2:$E$362</f>
            </numRef>
          </yVal>
          <smooth val="1"/>
        </ser>
        <ser>
          <idx val="4"/>
          <order val="4"/>
          <tx>
            <strRef>
              <f>'Datos'!F1</f>
            </strRef>
          </tx>
          <spPr>
            <a:ln xmlns:a="http://schemas.openxmlformats.org/drawingml/2006/main" w="31750">
              <a:solidFill>
                <a:srgbClr val="2B2B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'Datos'!$A$2:$A$362</f>
            </numRef>
          </xVal>
          <yVal>
            <numRef>
              <f>'Datos'!$F$2:$F$362</f>
            </numRef>
          </yVal>
          <smooth val="1"/>
        </ser>
        <ser>
          <idx val="5"/>
          <order val="5"/>
          <tx>
            <strRef>
              <f>'Datos'!G1</f>
            </strRef>
          </tx>
          <spPr>
            <a:ln xmlns:a="http://schemas.openxmlformats.org/drawingml/2006/main" w="19050">
              <a:solidFill>
                <a:srgbClr val="2B2B8C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'Datos'!$A$2:$A$362</f>
            </numRef>
          </xVal>
          <yVal>
            <numRef>
              <f>'Datos'!$G$2:$G$362</f>
            </numRef>
          </yVal>
          <smooth val="1"/>
        </ser>
        <ser>
          <idx val="6"/>
          <order val="6"/>
          <tx>
            <v>Cruce máximo</v>
          </tx>
          <spPr>
            <a:ln xmlns:a="http://schemas.openxmlformats.org/drawingml/2006/main" w="22225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'Datos'!$I$2:$I$11</f>
            </numRef>
          </xVal>
          <yVal>
            <numRef>
              <f>'Datos'!$J$2:$J$11</f>
            </numRef>
          </yVal>
          <smooth val="0"/>
        </ser>
        <ser>
          <idx val="7"/>
          <order val="7"/>
          <tx>
            <v>Cruce mínimo</v>
          </tx>
          <spPr>
            <a:ln xmlns:a="http://schemas.openxmlformats.org/drawingml/2006/main" w="22225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'Datos'!$K$2:$K$11</f>
            </numRef>
          </xVal>
          <yVal>
            <numRef>
              <f>'Datos'!$L$2:$L$11</f>
            </numRef>
          </yVal>
          <smooth val="0"/>
        </ser>
        <ser>
          <idx val="8"/>
          <order val="8"/>
          <tx>
            <v>PMS de cruce (360°)</v>
          </tx>
          <spPr>
            <a:ln xmlns:a="http://schemas.openxmlformats.org/drawingml/2006/main" w="9525">
              <a:solidFill>
                <a:srgbClr val="8C8C8C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'Datos'!$M$2:$M$3</f>
            </numRef>
          </xVal>
          <yVal>
            <numRef>
              <f>'Datos'!$N$2:$N$3</f>
            </numRef>
          </yVal>
          <smooth val="0"/>
        </ser>
        <axId val="10"/>
        <axId val="20"/>
      </scatterChart>
      <valAx>
        <axId val="10"/>
        <scaling>
          <orientation val="minMax"/>
          <max val="630"/>
          <min val="9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Grados de giro del cigüeñal [°]</a:t>
                </a:r>
              </a:p>
            </rich>
          </tx>
        </title>
        <majorTickMark val="none"/>
        <minorTickMark val="none"/>
        <crossAx val="20"/>
        <majorUnit val="90"/>
      </valAx>
      <valAx>
        <axId val="2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Alzado de la válvula [mm]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Ciclo real</a:t>
            </a:r>
          </a:p>
        </rich>
      </tx>
    </title>
    <plotArea>
      <layout>
        <manualLayout>
          <layoutTarget val="inner"/>
          <xMode val="edge"/>
          <yMode val="edge"/>
          <x val="0.1"/>
          <y val="0.12"/>
          <w val="0.8"/>
          <h val="0.8"/>
        </manualLayout>
      </layout>
      <scatterChart>
        <scatterStyle val="lineMarker"/>
        <ser>
          <idx val="0"/>
          <order val="0"/>
          <tx>
            <v>Eje PMS-PMI</v>
          </tx>
          <spPr>
            <a:ln xmlns:a="http://schemas.openxmlformats.org/drawingml/2006/main" w="9525">
              <a:solidFill>
                <a:srgbClr val="8C8C8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circular'!$AG$12:$AG$13</f>
            </numRef>
          </xVal>
          <yVal>
            <numRef>
              <f>'Datos circular'!$AH$12:$AH$13</f>
            </numRef>
          </yVal>
        </ser>
        <ser>
          <idx val="1"/>
          <order val="1"/>
          <tx>
            <v>Admisión</v>
          </tx>
          <spPr>
            <a:ln xmlns:a="http://schemas.openxmlformats.org/drawingml/2006/main" w="50800">
              <a:solidFill>
                <a:srgbClr val="1F4F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circular'!$C$2:$C$62</f>
            </numRef>
          </xVal>
          <yVal>
            <numRef>
              <f>'Datos circular'!$D$2:$D$62</f>
            </numRef>
          </yVal>
        </ser>
        <ser>
          <idx val="2"/>
          <order val="2"/>
          <tx>
            <v>Compresión</v>
          </tx>
          <spPr>
            <a:ln xmlns:a="http://schemas.openxmlformats.org/drawingml/2006/main" w="50800">
              <a:solidFill>
                <a:srgbClr val="2E9E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circular'!$F$2:$F$62</f>
            </numRef>
          </xVal>
          <yVal>
            <numRef>
              <f>'Datos circular'!$G$2:$G$62</f>
            </numRef>
          </yVal>
        </ser>
        <ser>
          <idx val="3"/>
          <order val="3"/>
          <tx>
            <v>Combustión</v>
          </tx>
          <spPr>
            <a:ln xmlns:a="http://schemas.openxmlformats.org/drawingml/2006/main" w="63500">
              <a:solidFill>
                <a:srgbClr val="E6B8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circular'!$I$2:$I$62</f>
            </numRef>
          </xVal>
          <yVal>
            <numRef>
              <f>'Datos circular'!$J$2:$J$62</f>
            </numRef>
          </yVal>
        </ser>
        <ser>
          <idx val="4"/>
          <order val="4"/>
          <tx>
            <v>Trabajo útil</v>
          </tx>
          <spPr>
            <a:ln xmlns:a="http://schemas.openxmlformats.org/drawingml/2006/main" w="50800">
              <a:solidFill>
                <a:srgbClr val="7B2FA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circular'!$L$2:$L$62</f>
            </numRef>
          </xVal>
          <yVal>
            <numRef>
              <f>'Datos circular'!$M$2:$M$62</f>
            </numRef>
          </yVal>
        </ser>
        <ser>
          <idx val="5"/>
          <order val="5"/>
          <tx>
            <v>Escape</v>
          </tx>
          <spPr>
            <a:ln xmlns:a="http://schemas.openxmlformats.org/drawingml/2006/main" w="50800">
              <a:solidFill>
                <a:srgbClr val="D730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circular'!$O$2:$O$62</f>
            </numRef>
          </xVal>
          <yVal>
            <numRef>
              <f>'Datos circular'!$P$2:$P$62</f>
            </numRef>
          </yVal>
        </ser>
        <ser>
          <idx val="6"/>
          <order val="6"/>
          <tx>
            <v>Cruce</v>
          </tx>
          <spPr>
            <a:ln xmlns:a="http://schemas.openxmlformats.org/drawingml/2006/main" w="7620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circular'!$R$2:$R$62</f>
            </numRef>
          </xVal>
          <yVal>
            <numRef>
              <f>'Datos circular'!$S$2:$S$62</f>
            </numRef>
          </yVal>
        </ser>
        <ser>
          <idx val="7"/>
          <order val="7"/>
          <tx>
            <v>AAA</v>
          </tx>
          <spPr>
            <a:ln xmlns:a="http://schemas.openxmlformats.org/drawingml/2006/main" w="9525">
              <a:solidFill>
                <a:srgbClr val="1F4FD8"/>
              </a:solidFill>
              <a:prstDash val="sysDash"/>
            </a:ln>
          </spPr>
          <marker>
            <symbol val="circle"/>
            <size val="5"/>
            <spPr>
              <a:solidFill xmlns:a="http://schemas.openxmlformats.org/drawingml/2006/main">
                <a:srgbClr val="1F4FD8"/>
              </a:solidFill>
              <a:ln xmlns:a="http://schemas.openxmlformats.org/drawingml/2006/main">
                <a:solidFill>
                  <a:srgbClr val="1F4FD8"/>
                </a:solidFill>
                <a:prstDash val="solid"/>
              </a:ln>
            </spPr>
          </marker>
          <xVal>
            <numRef>
              <f>'Datos circular'!$X$20:$X$21</f>
            </numRef>
          </xVal>
          <yVal>
            <numRef>
              <f>'Datos circular'!$Y$20:$Y$21</f>
            </numRef>
          </yVal>
        </ser>
        <ser>
          <idx val="8"/>
          <order val="8"/>
          <tx>
            <strRef>
              <f>'Datos circular'!$AD$2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1F4FD8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1F4FD8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</dLbls>
          <xVal>
            <numRef>
              <f>'Datos circular'!$AB$2</f>
            </numRef>
          </xVal>
          <yVal>
            <numRef>
              <f>'Datos circular'!$AC$2</f>
            </numRef>
          </yVal>
        </ser>
        <ser>
          <idx val="9"/>
          <order val="9"/>
          <tx>
            <v>RCA</v>
          </tx>
          <spPr>
            <a:ln xmlns:a="http://schemas.openxmlformats.org/drawingml/2006/main" w="9525">
              <a:solidFill>
                <a:srgbClr val="1F4FD8"/>
              </a:solidFill>
              <a:prstDash val="sysDash"/>
            </a:ln>
          </spPr>
          <marker>
            <symbol val="circle"/>
            <size val="5"/>
            <spPr>
              <a:solidFill xmlns:a="http://schemas.openxmlformats.org/drawingml/2006/main">
                <a:srgbClr val="1F4FD8"/>
              </a:solidFill>
              <a:ln xmlns:a="http://schemas.openxmlformats.org/drawingml/2006/main">
                <a:solidFill>
                  <a:srgbClr val="1F4FD8"/>
                </a:solidFill>
                <a:prstDash val="solid"/>
              </a:ln>
            </spPr>
          </marker>
          <xVal>
            <numRef>
              <f>'Datos circular'!$X$22:$X$23</f>
            </numRef>
          </xVal>
          <yVal>
            <numRef>
              <f>'Datos circular'!$Y$22:$Y$23</f>
            </numRef>
          </yVal>
        </ser>
        <ser>
          <idx val="10"/>
          <order val="10"/>
          <tx>
            <strRef>
              <f>'Datos circular'!$AD$3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1F4FD8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1F4FD8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</dLbls>
          <xVal>
            <numRef>
              <f>'Datos circular'!$AB$3</f>
            </numRef>
          </xVal>
          <yVal>
            <numRef>
              <f>'Datos circular'!$AC$3</f>
            </numRef>
          </yVal>
        </ser>
        <ser>
          <idx val="11"/>
          <order val="11"/>
          <tx>
            <v>AE</v>
          </tx>
          <spPr>
            <a:ln xmlns:a="http://schemas.openxmlformats.org/drawingml/2006/main" w="9525">
              <a:solidFill>
                <a:srgbClr val="B8860B"/>
              </a:solidFill>
              <a:prstDash val="sysDash"/>
            </a:ln>
          </spPr>
          <marker>
            <symbol val="circle"/>
            <size val="5"/>
            <spPr>
              <a:solidFill xmlns:a="http://schemas.openxmlformats.org/drawingml/2006/main">
                <a:srgbClr val="B8860B"/>
              </a:solidFill>
              <a:ln xmlns:a="http://schemas.openxmlformats.org/drawingml/2006/main">
                <a:solidFill>
                  <a:srgbClr val="B8860B"/>
                </a:solidFill>
                <a:prstDash val="solid"/>
              </a:ln>
            </spPr>
          </marker>
          <xVal>
            <numRef>
              <f>'Datos circular'!$X$24:$X$25</f>
            </numRef>
          </xVal>
          <yVal>
            <numRef>
              <f>'Datos circular'!$Y$24:$Y$25</f>
            </numRef>
          </yVal>
        </ser>
        <ser>
          <idx val="12"/>
          <order val="12"/>
          <tx>
            <strRef>
              <f>'Datos circular'!$AD$4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B8860B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B8860B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</dLbls>
          <xVal>
            <numRef>
              <f>'Datos circular'!$AB$4</f>
            </numRef>
          </xVal>
          <yVal>
            <numRef>
              <f>'Datos circular'!$AC$4</f>
            </numRef>
          </yVal>
        </ser>
        <ser>
          <idx val="13"/>
          <order val="13"/>
          <tx>
            <v>AAE</v>
          </tx>
          <spPr>
            <a:ln xmlns:a="http://schemas.openxmlformats.org/drawingml/2006/main" w="9525">
              <a:solidFill>
                <a:srgbClr val="D7301F"/>
              </a:solidFill>
              <a:prstDash val="sysDash"/>
            </a:ln>
          </spPr>
          <marker>
            <symbol val="circle"/>
            <size val="5"/>
            <spPr>
              <a:solidFill xmlns:a="http://schemas.openxmlformats.org/drawingml/2006/main">
                <a:srgbClr val="D7301F"/>
              </a:solidFill>
              <a:ln xmlns:a="http://schemas.openxmlformats.org/drawingml/2006/main">
                <a:solidFill>
                  <a:srgbClr val="D7301F"/>
                </a:solidFill>
                <a:prstDash val="solid"/>
              </a:ln>
            </spPr>
          </marker>
          <xVal>
            <numRef>
              <f>'Datos circular'!$X$26:$X$27</f>
            </numRef>
          </xVal>
          <yVal>
            <numRef>
              <f>'Datos circular'!$Y$26:$Y$27</f>
            </numRef>
          </yVal>
        </ser>
        <ser>
          <idx val="14"/>
          <order val="14"/>
          <tx>
            <strRef>
              <f>'Datos circular'!$AD$5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D7301F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D7301F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</dLbls>
          <xVal>
            <numRef>
              <f>'Datos circular'!$AB$5</f>
            </numRef>
          </xVal>
          <yVal>
            <numRef>
              <f>'Datos circular'!$AC$5</f>
            </numRef>
          </yVal>
        </ser>
        <ser>
          <idx val="15"/>
          <order val="15"/>
          <tx>
            <v>RCE</v>
          </tx>
          <spPr>
            <a:ln xmlns:a="http://schemas.openxmlformats.org/drawingml/2006/main" w="9525">
              <a:solidFill>
                <a:srgbClr val="D7301F"/>
              </a:solidFill>
              <a:prstDash val="sysDash"/>
            </a:ln>
          </spPr>
          <marker>
            <symbol val="circle"/>
            <size val="5"/>
            <spPr>
              <a:solidFill xmlns:a="http://schemas.openxmlformats.org/drawingml/2006/main">
                <a:srgbClr val="D7301F"/>
              </a:solidFill>
              <a:ln xmlns:a="http://schemas.openxmlformats.org/drawingml/2006/main">
                <a:solidFill>
                  <a:srgbClr val="D7301F"/>
                </a:solidFill>
                <a:prstDash val="solid"/>
              </a:ln>
            </spPr>
          </marker>
          <xVal>
            <numRef>
              <f>'Datos circular'!$X$28:$X$29</f>
            </numRef>
          </xVal>
          <yVal>
            <numRef>
              <f>'Datos circular'!$Y$28:$Y$29</f>
            </numRef>
          </yVal>
        </ser>
        <ser>
          <idx val="16"/>
          <order val="16"/>
          <tx>
            <strRef>
              <f>'Datos circular'!$AD$6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D7301F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D7301F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</dLbls>
          <xVal>
            <numRef>
              <f>'Datos circular'!$AB$6</f>
            </numRef>
          </xVal>
          <yVal>
            <numRef>
              <f>'Datos circular'!$AC$6</f>
            </numRef>
          </yVal>
        </ser>
        <ser>
          <idx val="17"/>
          <order val="17"/>
          <tx>
            <strRef>
              <f>'Datos circular'!$AF$2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1F4FD8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1F4FD8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</dLbls>
          <xVal>
            <numRef>
              <f>'Datos circular'!$AG$2</f>
            </numRef>
          </xVal>
          <yVal>
            <numRef>
              <f>'Datos circular'!$AH$2</f>
            </numRef>
          </yVal>
        </ser>
        <ser>
          <idx val="18"/>
          <order val="18"/>
          <tx>
            <strRef>
              <f>'Datos circular'!$AF$3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2E9E44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2E9E44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</dLbls>
          <xVal>
            <numRef>
              <f>'Datos circular'!$AG$3</f>
            </numRef>
          </xVal>
          <yVal>
            <numRef>
              <f>'Datos circular'!$AH$3</f>
            </numRef>
          </yVal>
        </ser>
        <ser>
          <idx val="19"/>
          <order val="19"/>
          <tx>
            <strRef>
              <f>'Datos circular'!$AF$4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B8860B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B8860B"/>
                  </a:solidFill>
                  <a:latin typeface="Arial"/>
                </a:endParaRPr>
              </a:p>
            </txPr>
            <dLblPos val="ctr"/>
            <showLegendKey val="0"/>
            <showVal val="0"/>
            <showCatName val="0"/>
            <showSerName val="1"/>
          </dLbls>
          <xVal>
            <numRef>
              <f>'Datos circular'!$AG$4</f>
            </numRef>
          </xVal>
          <yVal>
            <numRef>
              <f>'Datos circular'!$AH$4</f>
            </numRef>
          </yVal>
        </ser>
        <ser>
          <idx val="20"/>
          <order val="20"/>
          <tx>
            <strRef>
              <f>'Datos circular'!$AF$5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7B2FA8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7B2FA8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</dLbls>
          <xVal>
            <numRef>
              <f>'Datos circular'!$AG$5</f>
            </numRef>
          </xVal>
          <yVal>
            <numRef>
              <f>'Datos circular'!$AH$5</f>
            </numRef>
          </yVal>
        </ser>
        <ser>
          <idx val="21"/>
          <order val="21"/>
          <tx>
            <strRef>
              <f>'Datos circular'!$AF$6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D7301F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D7301F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</dLbls>
          <xVal>
            <numRef>
              <f>'Datos circular'!$AG$6</f>
            </numRef>
          </xVal>
          <yVal>
            <numRef>
              <f>'Datos circular'!$AH$6</f>
            </numRef>
          </yVal>
        </ser>
        <ser>
          <idx val="22"/>
          <order val="22"/>
          <tx>
            <strRef>
              <f>'Datos circular'!$AF$7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000000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</dLbls>
          <xVal>
            <numRef>
              <f>'Datos circular'!$AG$7</f>
            </numRef>
          </xVal>
          <yVal>
            <numRef>
              <f>'Datos circular'!$AH$7</f>
            </numRef>
          </yVal>
        </ser>
        <ser>
          <idx val="23"/>
          <order val="23"/>
          <tx>
            <strRef>
              <f>'Datos circular'!$AF$9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100" b="1">
                    <a:solidFill>
                      <a:srgbClr val="404040"/>
                    </a:solidFill>
                    <a:latin typeface="Arial"/>
                  </a:defRPr>
                </a:pPr>
                <a:r>
                  <a:t/>
                </a:r>
                <a:endParaRPr sz="1100" b="1">
                  <a:solidFill>
                    <a:srgbClr val="404040"/>
                  </a:solidFill>
                  <a:latin typeface="Arial"/>
                </a:endParaRPr>
              </a:p>
            </txPr>
            <dLblPos val="ctr"/>
            <showLegendKey val="0"/>
            <showVal val="0"/>
            <showCatName val="0"/>
            <showSerName val="1"/>
          </dLbls>
          <xVal>
            <numRef>
              <f>'Datos circular'!$AG$9</f>
            </numRef>
          </xVal>
          <yVal>
            <numRef>
              <f>'Datos circular'!$AH$9</f>
            </numRef>
          </yVal>
        </ser>
        <ser>
          <idx val="24"/>
          <order val="24"/>
          <tx>
            <strRef>
              <f>'Datos circular'!$AF$10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100" b="1">
                    <a:solidFill>
                      <a:srgbClr val="404040"/>
                    </a:solidFill>
                    <a:latin typeface="Arial"/>
                  </a:defRPr>
                </a:pPr>
                <a:r>
                  <a:t/>
                </a:r>
                <a:endParaRPr sz="1100" b="1">
                  <a:solidFill>
                    <a:srgbClr val="404040"/>
                  </a:solidFill>
                  <a:latin typeface="Arial"/>
                </a:endParaRPr>
              </a:p>
            </txPr>
            <dLblPos val="ctr"/>
            <showLegendKey val="0"/>
            <showVal val="0"/>
            <showCatName val="0"/>
            <showSerName val="1"/>
          </dLbls>
          <xVal>
            <numRef>
              <f>'Datos circular'!$AG$10</f>
            </numRef>
          </xVal>
          <yVal>
            <numRef>
              <f>'Datos circular'!$AH$10</f>
            </numRef>
          </yVal>
        </ser>
        <axId val="10"/>
        <axId val="20"/>
      </scatterChart>
      <valAx>
        <axId val="10"/>
        <scaling>
          <orientation val="minMax"/>
          <max val="1.5"/>
          <min val="-1.5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.5"/>
          <min val="-1.5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Ciclo teórico</a:t>
            </a:r>
          </a:p>
        </rich>
      </tx>
    </title>
    <plotArea>
      <layout>
        <manualLayout>
          <layoutTarget val="inner"/>
          <xMode val="edge"/>
          <yMode val="edge"/>
          <x val="0.1"/>
          <y val="0.12"/>
          <w val="0.8"/>
          <h val="0.8"/>
        </manualLayout>
      </layout>
      <scatterChart>
        <scatterStyle val="lineMarker"/>
        <ser>
          <idx val="0"/>
          <order val="0"/>
          <tx>
            <v>Eje PMS-PMI</v>
          </tx>
          <spPr>
            <a:ln xmlns:a="http://schemas.openxmlformats.org/drawingml/2006/main" w="9525">
              <a:solidFill>
                <a:srgbClr val="8C8C8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circular'!$AG$12:$AG$13</f>
            </numRef>
          </xVal>
          <yVal>
            <numRef>
              <f>'Datos circular'!$AH$12:$AH$13</f>
            </numRef>
          </yVal>
        </ser>
        <ser>
          <idx val="1"/>
          <order val="1"/>
          <tx>
            <v>Admisión</v>
          </tx>
          <spPr>
            <a:ln xmlns:a="http://schemas.openxmlformats.org/drawingml/2006/main" w="50800">
              <a:solidFill>
                <a:srgbClr val="1F4F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circular'!$AN$2:$AN$62</f>
            </numRef>
          </xVal>
          <yVal>
            <numRef>
              <f>'Datos circular'!$AO$2:$AO$62</f>
            </numRef>
          </yVal>
        </ser>
        <ser>
          <idx val="2"/>
          <order val="2"/>
          <tx>
            <strRef>
              <f>'Datos circular'!$AN$66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1F4FD8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1F4FD8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</dLbls>
          <xVal>
            <numRef>
              <f>'Datos circular'!$AO$66</f>
            </numRef>
          </xVal>
          <yVal>
            <numRef>
              <f>'Datos circular'!$AP$66</f>
            </numRef>
          </yVal>
        </ser>
        <ser>
          <idx val="3"/>
          <order val="3"/>
          <tx>
            <v>Compresión</v>
          </tx>
          <spPr>
            <a:ln xmlns:a="http://schemas.openxmlformats.org/drawingml/2006/main" w="50800">
              <a:solidFill>
                <a:srgbClr val="2E9E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circular'!$AP$2:$AP$62</f>
            </numRef>
          </xVal>
          <yVal>
            <numRef>
              <f>'Datos circular'!$AQ$2:$AQ$62</f>
            </numRef>
          </yVal>
        </ser>
        <ser>
          <idx val="4"/>
          <order val="4"/>
          <tx>
            <strRef>
              <f>'Datos circular'!$AN$67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2E9E44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2E9E44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</dLbls>
          <xVal>
            <numRef>
              <f>'Datos circular'!$AO$67</f>
            </numRef>
          </xVal>
          <yVal>
            <numRef>
              <f>'Datos circular'!$AP$67</f>
            </numRef>
          </yVal>
        </ser>
        <ser>
          <idx val="5"/>
          <order val="5"/>
          <tx>
            <v>Expansión</v>
          </tx>
          <spPr>
            <a:ln xmlns:a="http://schemas.openxmlformats.org/drawingml/2006/main" w="50800">
              <a:solidFill>
                <a:srgbClr val="7B2FA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circular'!$AR$2:$AR$62</f>
            </numRef>
          </xVal>
          <yVal>
            <numRef>
              <f>'Datos circular'!$AS$2:$AS$62</f>
            </numRef>
          </yVal>
        </ser>
        <ser>
          <idx val="6"/>
          <order val="6"/>
          <tx>
            <strRef>
              <f>'Datos circular'!$AN$68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7B2FA8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7B2FA8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</dLbls>
          <xVal>
            <numRef>
              <f>'Datos circular'!$AO$68</f>
            </numRef>
          </xVal>
          <yVal>
            <numRef>
              <f>'Datos circular'!$AP$68</f>
            </numRef>
          </yVal>
        </ser>
        <ser>
          <idx val="7"/>
          <order val="7"/>
          <tx>
            <v>Escape</v>
          </tx>
          <spPr>
            <a:ln xmlns:a="http://schemas.openxmlformats.org/drawingml/2006/main" w="50800">
              <a:solidFill>
                <a:srgbClr val="D730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circular'!$AT$2:$AT$62</f>
            </numRef>
          </xVal>
          <yVal>
            <numRef>
              <f>'Datos circular'!$AU$2:$AU$62</f>
            </numRef>
          </yVal>
        </ser>
        <ser>
          <idx val="8"/>
          <order val="8"/>
          <tx>
            <strRef>
              <f>'Datos circular'!$AN$69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D7301F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D7301F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</dLbls>
          <xVal>
            <numRef>
              <f>'Datos circular'!$AO$69</f>
            </numRef>
          </xVal>
          <yVal>
            <numRef>
              <f>'Datos circular'!$AP$69</f>
            </numRef>
          </yVal>
        </ser>
        <ser>
          <idx val="9"/>
          <order val="9"/>
          <tx>
            <strRef>
              <f>'Datos circular'!$AF$9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100" b="1">
                    <a:solidFill>
                      <a:srgbClr val="404040"/>
                    </a:solidFill>
                    <a:latin typeface="Arial"/>
                  </a:defRPr>
                </a:pPr>
                <a:r>
                  <a:t/>
                </a:r>
                <a:endParaRPr sz="1100" b="1">
                  <a:solidFill>
                    <a:srgbClr val="404040"/>
                  </a:solidFill>
                  <a:latin typeface="Arial"/>
                </a:endParaRPr>
              </a:p>
            </txPr>
            <dLblPos val="ctr"/>
            <showLegendKey val="0"/>
            <showVal val="0"/>
            <showCatName val="0"/>
            <showSerName val="1"/>
          </dLbls>
          <xVal>
            <numRef>
              <f>'Datos circular'!$AG$9</f>
            </numRef>
          </xVal>
          <yVal>
            <numRef>
              <f>'Datos circular'!$AH$9</f>
            </numRef>
          </yVal>
        </ser>
        <ser>
          <idx val="10"/>
          <order val="10"/>
          <tx>
            <strRef>
              <f>'Datos circular'!$AF$10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100" b="1">
                    <a:solidFill>
                      <a:srgbClr val="404040"/>
                    </a:solidFill>
                    <a:latin typeface="Arial"/>
                  </a:defRPr>
                </a:pPr>
                <a:r>
                  <a:t/>
                </a:r>
                <a:endParaRPr sz="1100" b="1">
                  <a:solidFill>
                    <a:srgbClr val="404040"/>
                  </a:solidFill>
                  <a:latin typeface="Arial"/>
                </a:endParaRPr>
              </a:p>
            </txPr>
            <dLblPos val="ctr"/>
            <showLegendKey val="0"/>
            <showVal val="0"/>
            <showCatName val="0"/>
            <showSerName val="1"/>
          </dLbls>
          <xVal>
            <numRef>
              <f>'Datos circular'!$AG$10</f>
            </numRef>
          </xVal>
          <yVal>
            <numRef>
              <f>'Datos circular'!$AH$10</f>
            </numRef>
          </yVal>
        </ser>
        <axId val="10"/>
        <axId val="20"/>
      </scatterChart>
      <valAx>
        <axId val="10"/>
        <scaling>
          <orientation val="minMax"/>
          <max val="1.5"/>
          <min val="-1.5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.5"/>
          <min val="-1.5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Alzado de válvulas: distribución en fase y desfasada</a:t>
            </a:r>
          </a:p>
        </rich>
      </tx>
    </title>
    <plotArea>
      <scatterChart>
        <scatterStyle val="smoothMarker"/>
        <ser>
          <idx val="0"/>
          <order val="0"/>
          <tx>
            <v>Escape en fase</v>
          </tx>
          <spPr>
            <a:ln xmlns:a="http://schemas.openxmlformats.org/drawingml/2006/main" w="28575">
              <a:solidFill>
                <a:srgbClr val="E8501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'Datos'!$A$2:$A$362</f>
            </numRef>
          </xVal>
          <yVal>
            <numRef>
              <f>'Datos'!$C$2:$C$362</f>
            </numRef>
          </yVal>
          <smooth val="1"/>
        </ser>
        <ser>
          <idx val="1"/>
          <order val="1"/>
          <tx>
            <v>Admisión en fase</v>
          </tx>
          <spPr>
            <a:ln xmlns:a="http://schemas.openxmlformats.org/drawingml/2006/main" w="28575">
              <a:solidFill>
                <a:srgbClr val="2B2B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'Datos'!$A$2:$A$362</f>
            </numRef>
          </xVal>
          <yVal>
            <numRef>
              <f>'Datos'!$F$2:$F$362</f>
            </numRef>
          </yVal>
          <smooth val="1"/>
        </ser>
        <ser>
          <idx val="2"/>
          <order val="2"/>
          <tx>
            <v>Escape desfasado</v>
          </tx>
          <spPr>
            <a:ln xmlns:a="http://schemas.openxmlformats.org/drawingml/2006/main" w="19050">
              <a:solidFill>
                <a:srgbClr val="E8501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'Datos'!$A$2:$A$362</f>
            </numRef>
          </xVal>
          <yVal>
            <numRef>
              <f>'Datos'!$Q$2:$Q$362</f>
            </numRef>
          </yVal>
          <smooth val="1"/>
        </ser>
        <ser>
          <idx val="3"/>
          <order val="3"/>
          <tx>
            <v>Admisión desfasada</v>
          </tx>
          <spPr>
            <a:ln xmlns:a="http://schemas.openxmlformats.org/drawingml/2006/main" w="19050">
              <a:solidFill>
                <a:srgbClr val="2B2B8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'Datos'!$A$2:$A$362</f>
            </numRef>
          </xVal>
          <yVal>
            <numRef>
              <f>'Datos'!$R$2:$R$362</f>
            </numRef>
          </yVal>
          <smooth val="1"/>
        </ser>
        <ser>
          <idx val="4"/>
          <order val="4"/>
          <tx>
            <v>PMS de cruce (360°)</v>
          </tx>
          <spPr>
            <a:ln xmlns:a="http://schemas.openxmlformats.org/drawingml/2006/main" w="9525">
              <a:solidFill>
                <a:srgbClr val="8C8C8C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'Datos'!$M$2:$M$3</f>
            </numRef>
          </xVal>
          <yVal>
            <numRef>
              <f>'Datos'!$N$2:$N$3</f>
            </numRef>
          </yVal>
          <smooth val="0"/>
        </ser>
        <axId val="10"/>
        <axId val="20"/>
      </scatterChart>
      <valAx>
        <axId val="10"/>
        <scaling>
          <orientation val="minMax"/>
          <max val="630"/>
          <min val="9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Grados de giro del cigüeñal [°]</a:t>
                </a:r>
              </a:p>
            </rich>
          </tx>
        </title>
        <majorTickMark val="none"/>
        <minorTickMark val="none"/>
        <crossAx val="20"/>
        <majorUnit val="9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Alzado [mm]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Levas superpuestas de admisión y escape</a:t>
            </a:r>
          </a:p>
        </rich>
      </tx>
    </title>
    <plotArea>
      <layout>
        <manualLayout>
          <layoutTarget val="inner"/>
          <xMode val="edge"/>
          <yMode val="edge"/>
          <x val="0.1"/>
          <y val="0.12"/>
          <w val="0.8"/>
          <h val="0.8"/>
        </manualLayout>
      </layout>
      <scatterChart>
        <scatterStyle val="lineMarker"/>
        <ser>
          <idx val="0"/>
          <order val="0"/>
          <tx>
            <v>Círculo base</v>
          </tx>
          <spPr>
            <a:ln xmlns:a="http://schemas.openxmlformats.org/drawingml/2006/main" w="9525">
              <a:solidFill>
                <a:srgbClr val="8C8C8C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'Datos'!$AB$2:$AB$122</f>
            </numRef>
          </xVal>
          <yVal>
            <numRef>
              <f>'Datos'!$AC$2:$AC$122</f>
            </numRef>
          </yVal>
          <smooth val="0"/>
        </ser>
        <ser>
          <idx val="1"/>
          <order val="1"/>
          <tx>
            <v>Leva de escape</v>
          </tx>
          <spPr>
            <a:ln xmlns:a="http://schemas.openxmlformats.org/drawingml/2006/main" w="28575">
              <a:solidFill>
                <a:srgbClr val="D730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'Datos'!$X$2:$X$122</f>
            </numRef>
          </xVal>
          <yVal>
            <numRef>
              <f>'Datos'!$Y$2:$Y$122</f>
            </numRef>
          </yVal>
          <smooth val="0"/>
        </ser>
        <ser>
          <idx val="2"/>
          <order val="2"/>
          <tx>
            <v>Leva de admisión</v>
          </tx>
          <spPr>
            <a:ln xmlns:a="http://schemas.openxmlformats.org/drawingml/2006/main" w="28575">
              <a:solidFill>
                <a:srgbClr val="2E9E4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'Datos'!$Z$2:$Z$122</f>
            </numRef>
          </xVal>
          <yVal>
            <numRef>
              <f>'Datos'!$AA$2:$AA$122</f>
            </numRef>
          </yVal>
          <smooth val="0"/>
        </ser>
        <ser>
          <idx val="3"/>
          <order val="3"/>
          <tx>
            <v>Cruce</v>
          </tx>
          <spPr>
            <a:ln xmlns:a="http://schemas.openxmlformats.org/drawingml/2006/main" w="3810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'Datos'!$AL$2:$AL$22</f>
            </numRef>
          </xVal>
          <yVal>
            <numRef>
              <f>'Datos'!$AM$2:$AM$22</f>
            </numRef>
          </yVal>
          <smooth val="0"/>
        </ser>
        <ser>
          <idx val="4"/>
          <order val="4"/>
          <tx>
            <v>MÁXIMA ELEVACIÓN ESCAPE</v>
          </tx>
          <spPr>
            <a:ln xmlns:a="http://schemas.openxmlformats.org/drawingml/2006/main" w="9525">
              <a:solidFill>
                <a:srgbClr val="D7301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'Datos'!$AG$2:$AG$3</f>
            </numRef>
          </xVal>
          <yVal>
            <numRef>
              <f>'Datos'!$AH$2:$AH$3</f>
            </numRef>
          </yVal>
          <smooth val="0"/>
        </ser>
        <ser>
          <idx val="5"/>
          <order val="5"/>
          <tx>
            <strRef>
              <f>Datos!$AE$2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D7301F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D7301F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</dLbls>
          <xVal>
            <numRef>
              <f>'Datos'!$AG$3</f>
            </numRef>
          </xVal>
          <yVal>
            <numRef>
              <f>'Datos'!$AH$3</f>
            </numRef>
          </yVal>
        </ser>
        <ser>
          <idx val="6"/>
          <order val="6"/>
          <tx>
            <v>APERTURA ESCAPE</v>
          </tx>
          <spPr>
            <a:ln xmlns:a="http://schemas.openxmlformats.org/drawingml/2006/main" w="9525">
              <a:solidFill>
                <a:srgbClr val="D7301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'Datos'!$AG$5:$AG$6</f>
            </numRef>
          </xVal>
          <yVal>
            <numRef>
              <f>'Datos'!$AH$5:$AH$6</f>
            </numRef>
          </yVal>
          <smooth val="0"/>
        </ser>
        <ser>
          <idx val="7"/>
          <order val="7"/>
          <tx>
            <strRef>
              <f>Datos!$AE$5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D7301F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D7301F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</dLbls>
          <xVal>
            <numRef>
              <f>'Datos'!$AG$6</f>
            </numRef>
          </xVal>
          <yVal>
            <numRef>
              <f>'Datos'!$AH$6</f>
            </numRef>
          </yVal>
        </ser>
        <ser>
          <idx val="8"/>
          <order val="8"/>
          <tx>
            <v>CIERRE ESCAPE</v>
          </tx>
          <spPr>
            <a:ln xmlns:a="http://schemas.openxmlformats.org/drawingml/2006/main" w="9525">
              <a:solidFill>
                <a:srgbClr val="D7301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'Datos'!$AG$8:$AG$9</f>
            </numRef>
          </xVal>
          <yVal>
            <numRef>
              <f>'Datos'!$AH$8:$AH$9</f>
            </numRef>
          </yVal>
          <smooth val="0"/>
        </ser>
        <ser>
          <idx val="9"/>
          <order val="9"/>
          <tx>
            <strRef>
              <f>Datos!$AE$8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D7301F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D7301F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</dLbls>
          <xVal>
            <numRef>
              <f>'Datos'!$AG$9</f>
            </numRef>
          </xVal>
          <yVal>
            <numRef>
              <f>'Datos'!$AH$9</f>
            </numRef>
          </yVal>
        </ser>
        <ser>
          <idx val="10"/>
          <order val="10"/>
          <tx>
            <v>MÁXIMA ELEVACIÓN ADMISIÓN</v>
          </tx>
          <spPr>
            <a:ln xmlns:a="http://schemas.openxmlformats.org/drawingml/2006/main" w="9525">
              <a:solidFill>
                <a:srgbClr val="2E9E4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'Datos'!$AG$11:$AG$12</f>
            </numRef>
          </xVal>
          <yVal>
            <numRef>
              <f>'Datos'!$AH$11:$AH$12</f>
            </numRef>
          </yVal>
          <smooth val="0"/>
        </ser>
        <ser>
          <idx val="11"/>
          <order val="11"/>
          <tx>
            <strRef>
              <f>Datos!$AE$11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2E9E44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2E9E44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</dLbls>
          <xVal>
            <numRef>
              <f>'Datos'!$AG$12</f>
            </numRef>
          </xVal>
          <yVal>
            <numRef>
              <f>'Datos'!$AH$12</f>
            </numRef>
          </yVal>
        </ser>
        <ser>
          <idx val="12"/>
          <order val="12"/>
          <tx>
            <v>APERTURA ADMISIÓN</v>
          </tx>
          <spPr>
            <a:ln xmlns:a="http://schemas.openxmlformats.org/drawingml/2006/main" w="9525">
              <a:solidFill>
                <a:srgbClr val="2E9E4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'Datos'!$AG$14:$AG$15</f>
            </numRef>
          </xVal>
          <yVal>
            <numRef>
              <f>'Datos'!$AH$14:$AH$15</f>
            </numRef>
          </yVal>
          <smooth val="0"/>
        </ser>
        <ser>
          <idx val="13"/>
          <order val="13"/>
          <tx>
            <strRef>
              <f>Datos!$AE$14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2E9E44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2E9E44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</dLbls>
          <xVal>
            <numRef>
              <f>'Datos'!$AG$15</f>
            </numRef>
          </xVal>
          <yVal>
            <numRef>
              <f>'Datos'!$AH$15</f>
            </numRef>
          </yVal>
        </ser>
        <ser>
          <idx val="14"/>
          <order val="14"/>
          <tx>
            <v>CIERRE ADMISIÓN</v>
          </tx>
          <spPr>
            <a:ln xmlns:a="http://schemas.openxmlformats.org/drawingml/2006/main" w="9525">
              <a:solidFill>
                <a:srgbClr val="2E9E4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'Datos'!$AG$17:$AG$18</f>
            </numRef>
          </xVal>
          <yVal>
            <numRef>
              <f>'Datos'!$AH$17:$AH$18</f>
            </numRef>
          </yVal>
          <smooth val="0"/>
        </ser>
        <ser>
          <idx val="15"/>
          <order val="15"/>
          <tx>
            <strRef>
              <f>Datos!$AE$17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2E9E44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2E9E44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</dLbls>
          <xVal>
            <numRef>
              <f>'Datos'!$AG$18</f>
            </numRef>
          </xVal>
          <yVal>
            <numRef>
              <f>'Datos'!$AH$18</f>
            </numRef>
          </yVal>
        </ser>
        <ser>
          <idx val="16"/>
          <order val="16"/>
          <tx>
            <strRef>
              <f>Datos!$AL$26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000000"/>
                  </a:solidFill>
                  <a:latin typeface="Arial"/>
                </a:endParaRPr>
              </a:p>
            </txPr>
            <dLblPos val="ctr"/>
            <showLegendKey val="0"/>
            <showVal val="0"/>
            <showCatName val="0"/>
            <showSerName val="1"/>
          </dLbls>
          <xVal>
            <numRef>
              <f>'Datos'!$AL$27</f>
            </numRef>
          </xVal>
          <yVal>
            <numRef>
              <f>'Datos'!$AM$27</f>
            </numRef>
          </yVal>
        </ser>
        <axId val="10"/>
        <axId val="20"/>
      </scatterChart>
      <valAx>
        <axId val="10"/>
        <scaling>
          <orientation val="minMax"/>
          <max val="40"/>
          <min val="-4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40"/>
          <min val="-40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Fuerza del muelle según su longitud comprimida</a:t>
            </a:r>
          </a:p>
        </rich>
      </tx>
    </title>
    <plotArea>
      <scatterChart>
        <scatterStyle val="lineMarker"/>
        <ser>
          <idx val="0"/>
          <order val="0"/>
          <tx>
            <v>Especificación</v>
          </tx>
          <spPr>
            <a:ln xmlns:a="http://schemas.openxmlformats.org/drawingml/2006/main" w="28575">
              <a:solidFill>
                <a:srgbClr val="1F4F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muelles'!$A$3:$A$23</f>
            </numRef>
          </xVal>
          <yVal>
            <numRef>
              <f>'Datos muelles'!$B$3:$B$23</f>
            </numRef>
          </yVal>
          <smooth val="0"/>
        </ser>
        <ser>
          <idx val="1"/>
          <order val="1"/>
          <tx>
            <v>Muelle medido</v>
          </tx>
          <spPr>
            <a:ln xmlns:a="http://schemas.openxmlformats.org/drawingml/2006/main" w="28575">
              <a:solidFill>
                <a:srgbClr val="E8501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muelles'!$A$3:$A$23</f>
            </numRef>
          </xVal>
          <yVal>
            <numRef>
              <f>'Datos muelles'!$C$3:$C$23</f>
            </numRef>
          </yVal>
          <smooth val="0"/>
        </ser>
        <ser>
          <idx val="2"/>
          <order val="2"/>
          <tx>
            <v>Montaje y apertura (especif.)</v>
          </tx>
          <spPr>
            <a:ln xmlns:a="http://schemas.openxmlformats.org/drawingml/2006/main" w="6350">
              <a:solidFill>
                <a:srgbClr val="1F4FD8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4FD8"/>
              </a:solidFill>
              <a:ln xmlns:a="http://schemas.openxmlformats.org/drawingml/2006/main">
                <a:solidFill>
                  <a:srgbClr val="1F4FD8"/>
                </a:solidFill>
                <a:prstDash val="solid"/>
              </a:ln>
            </spPr>
          </marker>
          <xVal>
            <numRef>
              <f>'Datos muelles'!$E$3:$E$4</f>
            </numRef>
          </xVal>
          <yVal>
            <numRef>
              <f>'Datos muelles'!$F$3:$F$4</f>
            </numRef>
          </yVal>
          <smooth val="0"/>
        </ser>
        <ser>
          <idx val="3"/>
          <order val="3"/>
          <tx>
            <v>Montaje y apertura (medido)</v>
          </tx>
          <spPr>
            <a:ln xmlns:a="http://schemas.openxmlformats.org/drawingml/2006/main" w="6350">
              <a:solidFill>
                <a:srgbClr val="E8501E"/>
              </a:solidFill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E8501E"/>
              </a:solidFill>
              <a:ln xmlns:a="http://schemas.openxmlformats.org/drawingml/2006/main">
                <a:solidFill>
                  <a:srgbClr val="E8501E"/>
                </a:solidFill>
                <a:prstDash val="solid"/>
              </a:ln>
            </spPr>
          </marker>
          <xVal>
            <numRef>
              <f>'Datos muelles'!$H$3:$H$4</f>
            </numRef>
          </xVal>
          <yVal>
            <numRef>
              <f>'Datos muelles'!$I$3:$I$4</f>
            </numRef>
          </yVal>
          <smooth val="0"/>
        </ser>
        <axId val="10"/>
        <axId val="20"/>
      </scatterChart>
      <valAx>
        <axId val="10"/>
        <scaling>
          <orientation val="maxMin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Longitud del muelle [mm] (comprimido 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Fuerza [N]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Simulador</author>
  </authors>
  <commentList>
    <comment ref="B5" authorId="0" shapeId="0">
      <text>
        <t>Grados antes del PMI (180°) en que abre el escape. Valor de ejemplo típico de motor Otto; use el del manual del motor.</t>
      </text>
    </comment>
    <comment ref="B6" authorId="0" shapeId="0">
      <text>
        <t>Grados después del PMS de cruce (360°) en que cierra el escape.</t>
      </text>
    </comment>
    <comment ref="B7" authorId="0" shapeId="0">
      <text>
        <t>Grados antes del PMS de cruce (360°) en que abre la admisión.</t>
      </text>
    </comment>
    <comment ref="B8" authorId="0" shapeId="0">
      <text>
        <t>Grados después del PMI (540°) en que cierra la admisión.</t>
      </text>
    </comment>
    <comment ref="B9" authorId="0" shapeId="0">
      <text>
        <t>Alzada de la válvula de escape. Valor de ejemplo.</t>
      </text>
    </comment>
    <comment ref="B10" authorId="0" shapeId="0">
      <text>
        <t>Alzada de la válvula de admisión. Valor de ejemplo.</t>
      </text>
    </comment>
    <comment ref="B11" authorId="0" shapeId="0">
      <text>
        <t>Parte de la duración que ocupa cada flanco (subida y bajada). 0,50 = perfil sin meseta; valores menores dan una meseta más larga.</t>
      </text>
    </comment>
    <comment ref="B12" authorId="0" shapeId="0">
      <text>
        <t>Desplazamiento del árbol de escape que produce el variador: se dibujan los perfiles adelantado (−), base y retrasado (+).</t>
      </text>
    </comment>
    <comment ref="B13" authorId="0" shapeId="0">
      <text>
        <t>Desplazamiento del árbol de admisión que produce el variador.</t>
      </text>
    </comment>
    <comment ref="B14" authorId="0" shapeId="0">
      <text>
        <t>Separación entre puntos de la tabla de la hoja Datos. Con 2° se cubren 0–720° en 361 filas.</t>
      </text>
    </comment>
  </commentList>
</comments>
</file>

<file path=xl/comments/comment2.xml><?xml version="1.0" encoding="utf-8"?>
<comments xmlns="http://schemas.openxmlformats.org/spreadsheetml/2006/main">
  <authors>
    <author>Simulador</author>
  </authors>
  <commentList>
    <comment ref="B9" authorId="0" shapeId="0">
      <text>
        <t>Ángulo antes del PMS de combustión en que salta la chispa. Valor de ejemplo; use el del manual.</t>
      </text>
    </comment>
  </commentList>
</comments>
</file>

<file path=xl/comments/comment3.xml><?xml version="1.0" encoding="utf-8"?>
<comments xmlns="http://schemas.openxmlformats.org/spreadsheetml/2006/main">
  <authors>
    <author>Simulador</author>
  </authors>
  <commentList>
    <comment ref="B5" authorId="0" shapeId="0">
      <text>
        <t>Cuente los dientes del piñón del árbol de levas (el del cigüeñal tiene la mitad).</t>
      </text>
    </comment>
    <comment ref="B6" authorId="0" shapeId="0">
      <text>
        <t>Un salto típico de correa floja retrasa el árbol de levas.</t>
      </text>
    </comment>
    <comment ref="B7" authorId="0" shapeId="0">
      <text>
        <t>Para calcular la compresión efectiva.</t>
      </text>
    </comment>
  </commentList>
</comments>
</file>

<file path=xl/comments/comment4.xml><?xml version="1.0" encoding="utf-8"?>
<comments xmlns="http://schemas.openxmlformats.org/spreadsheetml/2006/main">
  <authors>
    <author>Simulador</author>
  </authors>
  <commentList>
    <comment ref="B5" authorId="0" shapeId="0">
      <text>
        <t>Radio de la leva en la zona donde la válvula está cerrada.</t>
      </text>
    </comment>
  </commentList>
</comments>
</file>

<file path=xl/comments/comment5.xml><?xml version="1.0" encoding="utf-8"?>
<comments xmlns="http://schemas.openxmlformats.org/spreadsheetml/2006/main">
  <authors>
    <author>Simulador</author>
  </authors>
  <commentList>
    <comment ref="C5" authorId="0" shapeId="0">
      <text>
        <t>Holguras en frío del manual del motor (Autodata). Valores de ejemplo.</t>
      </text>
    </comment>
    <comment ref="E7" authorId="0" shapeId="0">
      <text>
        <t>Incremento de espesor entre pastillas del juego (0,05 · 0,025 · 0,02).</t>
      </text>
    </comment>
  </commentList>
</comments>
</file>

<file path=xl/comments/comment6.xml><?xml version="1.0" encoding="utf-8"?>
<comments xmlns="http://schemas.openxmlformats.org/spreadsheetml/2006/main">
  <authors>
    <author>Simulador</author>
  </authors>
  <commentList>
    <comment ref="B5" authorId="0" shapeId="0">
      <text>
        <t>Motores de 4 cilindros: 10; de 6 cilindros: 14.</t>
      </text>
    </comment>
    <comment ref="B6" authorId="0" shapeId="0">
      <text>
        <t>Valores de ejemplo de la guía; use los del manual.</t>
      </text>
    </comment>
    <comment ref="B11" authorId="0" shapeId="0">
      <text>
        <t>Si el tornillo mide más que nominal + alargamiento, se sustituye.</t>
      </text>
    </comment>
  </commentList>
</comments>
</file>

<file path=xl/comments/comment7.xml><?xml version="1.0" encoding="utf-8"?>
<comments xmlns="http://schemas.openxmlformats.org/spreadsheetml/2006/main">
  <authors>
    <author>Simulador</author>
  </authors>
  <commentList>
    <comment ref="B7" authorId="0" shapeId="0">
      <text>
        <t>Con pie de rey.</t>
      </text>
    </comment>
    <comment ref="B11" authorId="0" shapeId="0">
      <text>
        <t>Resultado del ejemplo 21 de la guía, aproximadamente.</t>
      </text>
    </comment>
    <comment ref="B13" authorId="0" shapeId="0">
      <text>
        <t>Con escuadra y galgas en el extremo superior.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9000000" cy="41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14</row>
      <rowOff>0</rowOff>
    </from>
    <ext cx="396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3</row>
      <rowOff>0</rowOff>
    </from>
    <ext cx="612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3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3" customWidth="1" min="3" max="3"/>
    <col width="26" customWidth="1" min="4" max="4"/>
    <col width="12" customWidth="1" min="5" max="5"/>
    <col width="12" customWidth="1" min="6" max="6"/>
    <col width="12" customWidth="1" min="7" max="7"/>
    <col width="3" customWidth="1" min="8" max="8"/>
  </cols>
  <sheetData>
    <row r="1">
      <c r="A1" s="1" t="inlineStr">
        <is>
          <t>Simulador del alzado de válvulas y del cruce — Sistema de distribución</t>
        </is>
      </c>
    </row>
    <row r="2">
      <c r="A2" s="2" t="inlineStr">
        <is>
          <t>Sistemas del Funcionamiento del Motor (MA.02.06) · Unidad 3 · Edite solo las celdas amarillas (texto azul); todo lo demás se recalcula.</t>
        </is>
      </c>
    </row>
    <row r="4">
      <c r="A4" s="3" t="inlineStr">
        <is>
          <t>Datos de entrada</t>
        </is>
      </c>
      <c r="B4" s="3" t="inlineStr">
        <is>
          <t>Valor</t>
        </is>
      </c>
      <c r="D4" s="3" t="inlineStr">
        <is>
          <t>Perfil</t>
        </is>
      </c>
      <c r="E4" s="3" t="inlineStr">
        <is>
          <t>Apertura (°)</t>
        </is>
      </c>
      <c r="F4" s="3" t="inlineStr">
        <is>
          <t>Cierre (°)</t>
        </is>
      </c>
      <c r="G4" s="3" t="inlineStr">
        <is>
          <t>Duración (°)</t>
        </is>
      </c>
    </row>
    <row r="5">
      <c r="A5" s="4" t="inlineStr">
        <is>
          <t>Adelanto de apertura de escape AAE (° cigüeñal)</t>
        </is>
      </c>
      <c r="B5" s="5" t="n">
        <v>45</v>
      </c>
      <c r="D5" s="6" t="inlineStr">
        <is>
          <t>Escape adelantado</t>
        </is>
      </c>
      <c r="E5" s="7">
        <f>180-$B$5-$B$12</f>
        <v/>
      </c>
      <c r="F5" s="7">
        <f>360+$B$6-$B$12</f>
        <v/>
      </c>
      <c r="G5" s="7">
        <f>F5-E5</f>
        <v/>
      </c>
    </row>
    <row r="6">
      <c r="A6" s="4" t="inlineStr">
        <is>
          <t>Retraso de cierre de escape RCE (°)</t>
        </is>
      </c>
      <c r="B6" s="5" t="n">
        <v>20</v>
      </c>
      <c r="D6" s="6" t="inlineStr">
        <is>
          <t>Escape base</t>
        </is>
      </c>
      <c r="E6" s="7">
        <f>180-$B$5</f>
        <v/>
      </c>
      <c r="F6" s="7">
        <f>360+$B$6</f>
        <v/>
      </c>
      <c r="G6" s="7">
        <f>F6-E6</f>
        <v/>
      </c>
    </row>
    <row r="7">
      <c r="A7" s="4" t="inlineStr">
        <is>
          <t>Adelanto de apertura de admisión AAA (°)</t>
        </is>
      </c>
      <c r="B7" s="5" t="n">
        <v>20</v>
      </c>
      <c r="D7" s="6" t="inlineStr">
        <is>
          <t>Escape retrasado</t>
        </is>
      </c>
      <c r="E7" s="7">
        <f>180-$B$5+$B$12</f>
        <v/>
      </c>
      <c r="F7" s="7">
        <f>360+$B$6+$B$12</f>
        <v/>
      </c>
      <c r="G7" s="7">
        <f>F7-E7</f>
        <v/>
      </c>
    </row>
    <row r="8">
      <c r="A8" s="4" t="inlineStr">
        <is>
          <t>Retraso de cierre de admisión RCA (°)</t>
        </is>
      </c>
      <c r="B8" s="5" t="n">
        <v>50</v>
      </c>
      <c r="D8" s="8" t="inlineStr">
        <is>
          <t>Admisión adelantada</t>
        </is>
      </c>
      <c r="E8" s="7">
        <f>360-$B$7-$B$13</f>
        <v/>
      </c>
      <c r="F8" s="7">
        <f>540+$B$8-$B$13</f>
        <v/>
      </c>
      <c r="G8" s="7">
        <f>F8-E8</f>
        <v/>
      </c>
    </row>
    <row r="9">
      <c r="A9" s="4" t="inlineStr">
        <is>
          <t>Alzada máxima de escape (mm)</t>
        </is>
      </c>
      <c r="B9" s="5" t="n">
        <v>9.5</v>
      </c>
      <c r="D9" s="8" t="inlineStr">
        <is>
          <t>Admisión base</t>
        </is>
      </c>
      <c r="E9" s="7">
        <f>360-$B$7</f>
        <v/>
      </c>
      <c r="F9" s="7">
        <f>540+$B$8</f>
        <v/>
      </c>
      <c r="G9" s="7">
        <f>F9-E9</f>
        <v/>
      </c>
    </row>
    <row r="10">
      <c r="A10" s="4" t="inlineStr">
        <is>
          <t>Alzada máxima de admisión (mm)</t>
        </is>
      </c>
      <c r="B10" s="5" t="n">
        <v>8.5</v>
      </c>
      <c r="D10" s="8" t="inlineStr">
        <is>
          <t>Admisión retrasada</t>
        </is>
      </c>
      <c r="E10" s="7">
        <f>360-$B$7+$B$13</f>
        <v/>
      </c>
      <c r="F10" s="7">
        <f>540+$B$8+$B$13</f>
        <v/>
      </c>
      <c r="G10" s="7">
        <f>F10-E10</f>
        <v/>
      </c>
    </row>
    <row r="11">
      <c r="A11" s="4" t="inlineStr">
        <is>
          <t>Fracción de rampa del perfil (0,10 – 0,50)</t>
        </is>
      </c>
      <c r="B11" s="9" t="n">
        <v>0.42</v>
      </c>
    </row>
    <row r="12">
      <c r="A12" s="4" t="inlineStr">
        <is>
          <t>Variación de fase del escape (± °)</t>
        </is>
      </c>
      <c r="B12" s="5" t="n">
        <v>15</v>
      </c>
      <c r="D12" s="3" t="inlineStr">
        <is>
          <t>Resultado</t>
        </is>
      </c>
      <c r="E12" s="3" t="inlineStr">
        <is>
          <t>Grados</t>
        </is>
      </c>
      <c r="F12" s="3" t="inlineStr">
        <is>
          <t>Cómo se obtiene</t>
        </is>
      </c>
    </row>
    <row r="13">
      <c r="A13" s="4" t="inlineStr">
        <is>
          <t>Variación de fase de la admisión (± °)</t>
        </is>
      </c>
      <c r="B13" s="5" t="n">
        <v>15</v>
      </c>
      <c r="D13" s="10" t="inlineStr">
        <is>
          <t>Cruce base (°)</t>
        </is>
      </c>
      <c r="E13" s="11">
        <f>MAX(0,F6-E9)</f>
        <v/>
      </c>
      <c r="F13" s="12" t="inlineStr">
        <is>
          <t>RCE + AAA</t>
        </is>
      </c>
      <c r="G13" s="13" t="n"/>
    </row>
    <row r="14">
      <c r="A14" s="4" t="inlineStr">
        <is>
          <t>Paso de cálculo (°)</t>
        </is>
      </c>
      <c r="B14" s="5" t="n">
        <v>2</v>
      </c>
      <c r="D14" s="10" t="inlineStr">
        <is>
          <t>Cruce máximo (°)</t>
        </is>
      </c>
      <c r="E14" s="11">
        <f>MAX(0,F7-E8)</f>
        <v/>
      </c>
      <c r="F14" s="12" t="inlineStr">
        <is>
          <t>Escape retrasado + admisión adelantada</t>
        </is>
      </c>
      <c r="G14" s="13" t="n"/>
    </row>
    <row r="15">
      <c r="D15" s="10" t="inlineStr">
        <is>
          <t>Cruce mínimo (°)</t>
        </is>
      </c>
      <c r="E15" s="11">
        <f>MAX(0,F5-E10)</f>
        <v/>
      </c>
      <c r="F15" s="12" t="inlineStr">
        <is>
          <t>Escape adelantado + admisión retrasada</t>
        </is>
      </c>
      <c r="G15" s="13" t="n"/>
    </row>
    <row r="16">
      <c r="A16" s="14" t="inlineStr">
        <is>
          <t>Comprobación</t>
        </is>
      </c>
      <c r="D16" s="10" t="inlineStr">
        <is>
          <t>Duración de escape (°)</t>
        </is>
      </c>
      <c r="E16" s="11">
        <f>G6</f>
        <v/>
      </c>
      <c r="F16" s="12" t="inlineStr">
        <is>
          <t>AAE + 180 + RCE</t>
        </is>
      </c>
      <c r="G16" s="13" t="n"/>
    </row>
    <row r="17">
      <c r="A17" s="15">
        <f>IF(AND($B$11&gt;=0.1,$B$11&lt;=0.5),"Fracción de rampa válida","Revise: la fracción de rampa debe estar entre 0,10 y 0,50")</f>
        <v/>
      </c>
      <c r="D17" s="10" t="inlineStr">
        <is>
          <t>Duración de admisión (°)</t>
        </is>
      </c>
      <c r="E17" s="11">
        <f>G9</f>
        <v/>
      </c>
      <c r="F17" s="12" t="inlineStr">
        <is>
          <t>AAA + 180 + RCA</t>
        </is>
      </c>
      <c r="G17" s="13" t="n"/>
    </row>
    <row r="18">
      <c r="A18" s="15">
        <f>IF(E15&gt;0,"Hay cruce en todas las fases","Con la admisión retrasada y el escape adelantado desaparece el cruce")</f>
        <v/>
      </c>
      <c r="D18" s="10" t="inlineStr">
        <is>
          <t>Duración de admisión en el árbol de levas (°)</t>
        </is>
      </c>
      <c r="E18" s="11">
        <f>G9/2</f>
        <v/>
      </c>
      <c r="F18" s="12" t="inlineStr">
        <is>
          <t>El árbol gira a la mitad que el cigüeñal</t>
        </is>
      </c>
      <c r="G18" s="13" t="n"/>
    </row>
    <row r="20">
      <c r="A20" s="2" t="inlineStr">
        <is>
          <t>Referencias angulares: PMS de inicio de admisión/cruce = 360°; PMI = 180° y 540°; PMS de combustión = 0° y 720°.</t>
        </is>
      </c>
    </row>
    <row r="21">
      <c r="A21" s="2" t="inlineStr">
        <is>
          <t>Perfil de alzada: flancos en coseno (subida y bajada suaves) con meseta central, modelo didáctico del perfil real de la leva.</t>
        </is>
      </c>
    </row>
  </sheetData>
  <mergeCells count="7">
    <mergeCell ref="F12:G12"/>
    <mergeCell ref="F15:G15"/>
    <mergeCell ref="F16:G16"/>
    <mergeCell ref="F18:G18"/>
    <mergeCell ref="F14:G14"/>
    <mergeCell ref="F13:G13"/>
    <mergeCell ref="F17:G17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3" customWidth="1" min="3" max="3"/>
    <col width="44" customWidth="1" min="4" max="4"/>
    <col width="12" customWidth="1" min="5" max="5"/>
    <col width="40" customWidth="1" min="6" max="6"/>
    <col width="3" customWidth="1" min="7" max="7"/>
    <col width="3" customWidth="1" min="8" max="8"/>
  </cols>
  <sheetData>
    <row r="1">
      <c r="A1" s="1" t="inlineStr">
        <is>
          <t>Diagrama circular de la distribución y cruce de válvulas</t>
        </is>
      </c>
    </row>
    <row r="2">
      <c r="A2" s="2" t="inlineStr">
        <is>
          <t>Usa los ángulos base de la hoja Simulador (sin variador). Edite solo la celda amarilla de esta hoja.</t>
        </is>
      </c>
    </row>
    <row r="4">
      <c r="A4" s="3" t="inlineStr">
        <is>
          <t>Dato</t>
        </is>
      </c>
      <c r="B4" s="3" t="inlineStr">
        <is>
          <t>Valor</t>
        </is>
      </c>
      <c r="D4" s="3" t="inlineStr">
        <is>
          <t>Fase del ciclo real</t>
        </is>
      </c>
      <c r="E4" s="3" t="inlineStr">
        <is>
          <t>Duración (°)</t>
        </is>
      </c>
      <c r="F4" s="3" t="inlineStr">
        <is>
          <t>Desde → hasta</t>
        </is>
      </c>
    </row>
    <row r="5">
      <c r="A5" s="4" t="inlineStr">
        <is>
          <t>AAE (de la hoja Simulador)</t>
        </is>
      </c>
      <c r="B5" s="16">
        <f>Simulador!B5</f>
        <v/>
      </c>
      <c r="D5" s="10" t="inlineStr">
        <is>
          <t>Admisión</t>
        </is>
      </c>
      <c r="E5" s="11">
        <f>B7+180+B8</f>
        <v/>
      </c>
      <c r="F5" s="12">
        <f>"AAA "&amp;B7&amp;"° antes PMS → RCA "&amp;B8&amp;"° después PMI"</f>
        <v/>
      </c>
    </row>
    <row r="6">
      <c r="A6" s="4" t="inlineStr">
        <is>
          <t>RCE</t>
        </is>
      </c>
      <c r="B6" s="16">
        <f>Simulador!B6</f>
        <v/>
      </c>
      <c r="D6" s="10" t="inlineStr">
        <is>
          <t>Compresión</t>
        </is>
      </c>
      <c r="E6" s="11">
        <f>180-B8-B9</f>
        <v/>
      </c>
      <c r="F6" s="12">
        <f>"RCA → chispa "&amp;B9&amp;"° antes PMS"</f>
        <v/>
      </c>
    </row>
    <row r="7">
      <c r="A7" s="4" t="inlineStr">
        <is>
          <t>AAA</t>
        </is>
      </c>
      <c r="B7" s="16">
        <f>Simulador!B7</f>
        <v/>
      </c>
      <c r="D7" s="10" t="inlineStr">
        <is>
          <t>Combustión (explosión)</t>
        </is>
      </c>
      <c r="E7" s="11">
        <f>B9</f>
        <v/>
      </c>
      <c r="F7" s="12">
        <f>"Chispa → PMS"</f>
        <v/>
      </c>
    </row>
    <row r="8">
      <c r="A8" s="4" t="inlineStr">
        <is>
          <t>RCA</t>
        </is>
      </c>
      <c r="B8" s="16">
        <f>Simulador!B8</f>
        <v/>
      </c>
      <c r="D8" s="10" t="inlineStr">
        <is>
          <t>Trabajo útil (expansión)</t>
        </is>
      </c>
      <c r="E8" s="11">
        <f>180-B5</f>
        <v/>
      </c>
      <c r="F8" s="12">
        <f>"PMS → AAE "&amp;B5&amp;"° antes PMI"</f>
        <v/>
      </c>
    </row>
    <row r="9">
      <c r="A9" s="4" t="inlineStr">
        <is>
          <t>Avance de encendido AE (° antes del PMS)</t>
        </is>
      </c>
      <c r="B9" s="5" t="n">
        <v>10</v>
      </c>
      <c r="D9" s="10" t="inlineStr">
        <is>
          <t>Escape</t>
        </is>
      </c>
      <c r="E9" s="11">
        <f>B5+180+B6</f>
        <v/>
      </c>
      <c r="F9" s="12">
        <f>"AAE → RCE "&amp;B6&amp;"° después PMS"</f>
        <v/>
      </c>
    </row>
    <row r="10">
      <c r="D10" s="10" t="inlineStr">
        <is>
          <t>Cruce de válvulas</t>
        </is>
      </c>
      <c r="E10" s="11">
        <f>B7+B6</f>
        <v/>
      </c>
      <c r="F10" s="12">
        <f>"AAA + RCE alrededor del PMS"</f>
        <v/>
      </c>
    </row>
    <row r="11">
      <c r="D11" s="10" t="inlineStr">
        <is>
          <t>Total del ciclo: suma de fases − cruce (= 720°)</t>
        </is>
      </c>
      <c r="E11" s="11">
        <f>SUM(E5:E9)-E10</f>
        <v/>
      </c>
      <c r="F11" s="12">
        <f>"El cruce se cuenta en admisión y en escape"</f>
        <v/>
      </c>
    </row>
    <row r="13">
      <c r="D13" s="15">
        <f>IF(E11=720,"El ciclo suma 720°: diagrama coherente","Revise los ángulos: el ciclo no suma 720°")</f>
        <v/>
      </c>
    </row>
    <row r="37">
      <c r="F37" s="17" t="inlineStr">
        <is>
          <t>En el ciclo teórico las válvulas abren y cierran justo en PMS y PMI; en el real se adelantan las aperturas y se retrasan los cierres, y aparece el cruce alrededor del PMS.</t>
        </is>
      </c>
    </row>
    <row r="38"/>
    <row r="39"/>
    <row r="40"/>
    <row r="41"/>
    <row r="42"/>
  </sheetData>
  <mergeCells count="1">
    <mergeCell ref="F37:F42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4" customWidth="1" min="3" max="3"/>
    <col width="44" customWidth="1" min="4" max="4"/>
  </cols>
  <sheetData>
    <row r="1">
      <c r="A1" s="1" t="inlineStr">
        <is>
          <t>Simulador · Salto de dientes de la correa o cadena de distribución</t>
        </is>
      </c>
    </row>
    <row r="2">
      <c r="A2" s="2" t="inlineStr">
        <is>
          <t>Sistemas del Funcionamiento del Motor (MA.02.06) · Unidad 3 · Edite solo las celdas amarillas (texto azul); todo lo demás se recalcula.</t>
        </is>
      </c>
    </row>
    <row r="4">
      <c r="A4" s="3" t="inlineStr">
        <is>
          <t>Datos de entrada</t>
        </is>
      </c>
      <c r="B4" s="3" t="inlineStr">
        <is>
          <t>Valor</t>
        </is>
      </c>
    </row>
    <row r="5">
      <c r="A5" s="4" t="inlineStr">
        <is>
          <t>Dientes del piñón del árbol de levas</t>
        </is>
      </c>
      <c r="B5" s="5" t="n">
        <v>42</v>
      </c>
    </row>
    <row r="6">
      <c r="A6" s="4" t="inlineStr">
        <is>
          <t>Dientes desfasados (+ árbol retrasado, − adelantado)</t>
        </is>
      </c>
      <c r="B6" s="5" t="n">
        <v>1</v>
      </c>
    </row>
    <row r="7">
      <c r="A7" s="4" t="inlineStr">
        <is>
          <t>Carrera S (mm)</t>
        </is>
      </c>
      <c r="B7" s="5" t="n">
        <v>70</v>
      </c>
    </row>
    <row r="8">
      <c r="A8" s="4" t="inlineStr">
        <is>
          <t>Longitud de la biela L (mm)</t>
        </is>
      </c>
      <c r="B8" s="5" t="n">
        <v>130</v>
      </c>
    </row>
    <row r="9">
      <c r="A9" s="4" t="inlineStr">
        <is>
          <t>Relación de compresión geométrica Rc</t>
        </is>
      </c>
      <c r="B9" s="5" t="n">
        <v>9.5</v>
      </c>
    </row>
    <row r="11">
      <c r="A11" s="10" t="inlineStr">
        <is>
          <t>Desfase por diente (° de cigüeñal)</t>
        </is>
      </c>
      <c r="B11" s="18">
        <f>720/B5</f>
        <v/>
      </c>
      <c r="C11" s="19" t="inlineStr">
        <is>
          <t>Un giro del árbol = 720° de cigüeñal</t>
        </is>
      </c>
    </row>
    <row r="12">
      <c r="A12" s="10" t="inlineStr">
        <is>
          <t>Desfase total δ (° de cigüeñal)</t>
        </is>
      </c>
      <c r="B12" s="18">
        <f>B6*B11</f>
        <v/>
      </c>
    </row>
    <row r="14">
      <c r="A14" s="3" t="inlineStr">
        <is>
          <t>Cota de distribución</t>
        </is>
      </c>
      <c r="B14" s="3" t="inlineStr">
        <is>
          <t>Base</t>
        </is>
      </c>
      <c r="C14" s="3" t="inlineStr">
        <is>
          <t>Desfasado</t>
        </is>
      </c>
      <c r="D14" s="3" t="inlineStr">
        <is>
          <t>Qué significa</t>
        </is>
      </c>
    </row>
    <row r="15">
      <c r="A15" s="20" t="inlineStr">
        <is>
          <t>AAA (° antes del PMS)</t>
        </is>
      </c>
      <c r="B15" s="21">
        <f>Simulador!B7</f>
        <v/>
      </c>
      <c r="C15" s="21">
        <f>B15-$B$12</f>
        <v/>
      </c>
      <c r="D15" s="22" t="inlineStr">
        <is>
          <t>Negativo = la admisión abre después del PMS</t>
        </is>
      </c>
    </row>
    <row r="16">
      <c r="A16" s="20" t="inlineStr">
        <is>
          <t>RCA (° después del PMI)</t>
        </is>
      </c>
      <c r="B16" s="21">
        <f>Simulador!B8</f>
        <v/>
      </c>
      <c r="C16" s="21">
        <f>B16+$B$12</f>
        <v/>
      </c>
      <c r="D16" s="22" t="inlineStr">
        <is>
          <t>Más RCA = el cilindro empieza a comprimir más tarde</t>
        </is>
      </c>
    </row>
    <row r="17">
      <c r="A17" s="20" t="inlineStr">
        <is>
          <t>AAE (° antes del PMI)</t>
        </is>
      </c>
      <c r="B17" s="21">
        <f>Simulador!B5</f>
        <v/>
      </c>
      <c r="C17" s="21">
        <f>B17-$B$12</f>
        <v/>
      </c>
      <c r="D17" s="22" t="inlineStr">
        <is>
          <t>Menos AAE = se aprovecha más la expansión pero cuesta más vaciar</t>
        </is>
      </c>
    </row>
    <row r="18">
      <c r="A18" s="20" t="inlineStr">
        <is>
          <t>RCE (° después del PMS)</t>
        </is>
      </c>
      <c r="B18" s="21">
        <f>Simulador!B6</f>
        <v/>
      </c>
      <c r="C18" s="21">
        <f>B18+$B$12</f>
        <v/>
      </c>
      <c r="D18" s="22" t="n"/>
    </row>
    <row r="19">
      <c r="A19" s="20" t="inlineStr">
        <is>
          <t>Cruce de válvulas (°)</t>
        </is>
      </c>
      <c r="B19" s="21">
        <f>B15+B18</f>
        <v/>
      </c>
      <c r="C19" s="21">
        <f>C15+C18</f>
        <v/>
      </c>
      <c r="D19" s="22" t="inlineStr">
        <is>
          <t>Con un solo árbol el cruce no cambia: se desplaza</t>
        </is>
      </c>
    </row>
    <row r="20">
      <c r="A20" s="20" t="inlineStr">
        <is>
          <t>Centro del cruce (° respecto al PMS, + después)</t>
        </is>
      </c>
      <c r="B20" s="21">
        <f>(B18-B15)/2</f>
        <v/>
      </c>
      <c r="C20" s="21">
        <f>(C18-C15)/2</f>
        <v/>
      </c>
      <c r="D20" s="22" t="inlineStr">
        <is>
          <t>El cruce deja de estar centrado en el PMS</t>
        </is>
      </c>
    </row>
    <row r="21">
      <c r="A21" s="20" t="inlineStr">
        <is>
          <t>Compresión efectiva (Rc desde el cierre de admisión)</t>
        </is>
      </c>
      <c r="B21" s="23">
        <f>1+($B$9-1)*(($B$7/2)*(1-COS(RADIANS(180+B16)))+$B$8*(1-SQRT(1-($B$7/2/$B$8)^2*SIN(RADIANS(180+B16))^2)))/$B$7</f>
        <v/>
      </c>
      <c r="C21" s="23">
        <f>1+($B$9-1)*(($B$7/2)*(1-COS(RADIANS(180+C16)))+$B$8*(1-SQRT(1-($B$7/2/$B$8)^2*SIN(RADIANS(180+C16))^2)))/$B$7</f>
        <v/>
      </c>
      <c r="D21" s="22" t="inlineStr">
        <is>
          <t>Rc_ef = 1 + (Rc − 1)·x(180° + RCA)/S</t>
        </is>
      </c>
    </row>
    <row r="23">
      <c r="A23" s="24">
        <f>IF(C21&lt;B21-0.3,"El retraso del árbol reduce la compresión efectiva: arranque difícil y pérdida de par a bajo régimen",IF(C21&gt;B21+0.3,"El adelanto del árbol aumenta la compresión efectiva: más par abajo, menos llenado arriba","Desfase pequeño: efecto leve en la compresión"))</f>
        <v/>
      </c>
    </row>
    <row r="24">
      <c r="A24" s="24">
        <f>IF(B6&lt;&gt;0,"En motores de interferencia, un desfase puede hacer chocar válvulas y pistones: girar siempre a mano dos vueltas antes de arrancar","Distribución en fase")</f>
        <v/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44" customWidth="1" min="3" max="3"/>
  </cols>
  <sheetData>
    <row r="1">
      <c r="A1" s="1" t="inlineStr">
        <is>
          <t>Simulador · Levas de admisión y escape superpuestas</t>
        </is>
      </c>
    </row>
    <row r="2">
      <c r="A2" s="2" t="inlineStr">
        <is>
          <t>Usa los ángulos base y las alzadas de la hoja Simulador. Edite solo la celda amarilla de esta hoja.</t>
        </is>
      </c>
    </row>
    <row r="4">
      <c r="A4" s="3" t="inlineStr">
        <is>
          <t>Dato</t>
        </is>
      </c>
      <c r="B4" s="3" t="inlineStr">
        <is>
          <t>Valor</t>
        </is>
      </c>
    </row>
    <row r="5">
      <c r="A5" s="4" t="inlineStr">
        <is>
          <t>Radio del círculo base de la leva (mm)</t>
        </is>
      </c>
      <c r="B5" s="5" t="n">
        <v>18</v>
      </c>
    </row>
    <row r="7">
      <c r="A7" s="3" t="inlineStr">
        <is>
          <t>Resultados</t>
        </is>
      </c>
      <c r="B7" s="3" t="inlineStr">
        <is>
          <t>Valor</t>
        </is>
      </c>
      <c r="C7" s="3" t="inlineStr">
        <is>
          <t>Cómo se obtiene</t>
        </is>
      </c>
    </row>
    <row r="8">
      <c r="A8" s="10" t="inlineStr">
        <is>
          <t>Duración de escape (° cigüeñal)</t>
        </is>
      </c>
      <c r="B8" s="11">
        <f>Simulador!G6</f>
        <v/>
      </c>
      <c r="C8" s="19" t="inlineStr">
        <is>
          <t>AAE + 180 + RCE</t>
        </is>
      </c>
    </row>
    <row r="9">
      <c r="A9" s="10" t="inlineStr">
        <is>
          <t>Duración de admisión (° cigüeñal)</t>
        </is>
      </c>
      <c r="B9" s="11">
        <f>Simulador!G9</f>
        <v/>
      </c>
      <c r="C9" s="19" t="inlineStr">
        <is>
          <t>AAA + 180 + RCA</t>
        </is>
      </c>
    </row>
    <row r="10">
      <c r="A10" s="10" t="inlineStr">
        <is>
          <t>Centro de la leva de escape ECL (° antes del PMS)</t>
        </is>
      </c>
      <c r="B10" s="18">
        <f>B8/2-Simulador!B6</f>
        <v/>
      </c>
      <c r="C10" s="19" t="inlineStr">
        <is>
          <t>Duración/2 − RCE</t>
        </is>
      </c>
    </row>
    <row r="11">
      <c r="A11" s="10" t="inlineStr">
        <is>
          <t>Centro de la leva de admisión ICL (° después del PMS)</t>
        </is>
      </c>
      <c r="B11" s="18">
        <f>B9/2-Simulador!B7</f>
        <v/>
      </c>
      <c r="C11" s="19" t="inlineStr">
        <is>
          <t>Duración/2 − AAA</t>
        </is>
      </c>
    </row>
    <row r="12">
      <c r="A12" s="10" t="inlineStr">
        <is>
          <t>Separación entre levas LSA (° de árbol de levas)</t>
        </is>
      </c>
      <c r="B12" s="18">
        <f>(B10+B11)/2</f>
        <v/>
      </c>
      <c r="C12" s="19" t="inlineStr">
        <is>
          <t>(ECL + ICL) / 2</t>
        </is>
      </c>
    </row>
    <row r="13">
      <c r="A13" s="10" t="inlineStr">
        <is>
          <t>Cruce de válvulas (° cigüeñal)</t>
        </is>
      </c>
      <c r="B13" s="11">
        <f>Simulador!B7+Simulador!B6</f>
        <v/>
      </c>
      <c r="C13" s="19" t="inlineStr">
        <is>
          <t>AAA + RCE</t>
        </is>
      </c>
    </row>
    <row r="14">
      <c r="A14" s="10" t="inlineStr">
        <is>
          <t>Ángulo de la nariz de escape (° de árbol, desde el PMS)</t>
        </is>
      </c>
      <c r="B14" s="18">
        <f>-B10/2</f>
        <v/>
      </c>
    </row>
    <row r="15">
      <c r="A15" s="10" t="inlineStr">
        <is>
          <t>Ángulo de la nariz de admisión (° de árbol)</t>
        </is>
      </c>
      <c r="B15" s="18">
        <f>B11/2</f>
        <v/>
      </c>
    </row>
    <row r="17">
      <c r="A17" s="2" t="inlineStr">
        <is>
          <t>Los ángulos de la leva son la mitad de los del cigüeñal porque el árbol gira a la mitad de velocidad.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4" customWidth="1" min="4" max="4"/>
    <col width="22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Simulador · Reglaje de holgura de válvulas con pastillas calibradas</t>
        </is>
      </c>
    </row>
    <row r="2">
      <c r="A2" s="2" t="inlineStr">
        <is>
          <t>Sistemas del Funcionamiento del Motor (MA.02.06) · Unidad 3 · Edite solo las celdas amarillas (texto azul); todo lo demás se recalcula.</t>
        </is>
      </c>
    </row>
    <row r="4">
      <c r="A4" s="3" t="inlineStr">
        <is>
          <t>Especificación</t>
        </is>
      </c>
      <c r="B4" s="25" t="n"/>
      <c r="C4" s="3" t="inlineStr">
        <is>
          <t>Nominal (mm)</t>
        </is>
      </c>
      <c r="D4" s="3" t="inlineStr">
        <is>
          <t>Mínima (mm)</t>
        </is>
      </c>
      <c r="E4" s="3" t="inlineStr">
        <is>
          <t>Máxima (mm)</t>
        </is>
      </c>
    </row>
    <row r="5">
      <c r="A5" s="14" t="inlineStr">
        <is>
          <t>Admisión</t>
        </is>
      </c>
      <c r="C5" s="9" t="n">
        <v>0.25</v>
      </c>
      <c r="D5" s="9" t="n">
        <v>0.2</v>
      </c>
      <c r="E5" s="9" t="n">
        <v>0.3</v>
      </c>
    </row>
    <row r="6">
      <c r="A6" s="14" t="inlineStr">
        <is>
          <t>Escape</t>
        </is>
      </c>
      <c r="C6" s="9" t="n">
        <v>0.3</v>
      </c>
      <c r="D6" s="9" t="n">
        <v>0.25</v>
      </c>
      <c r="E6" s="9" t="n">
        <v>0.35</v>
      </c>
    </row>
    <row r="7">
      <c r="A7" s="26" t="inlineStr">
        <is>
          <t>Paso entre pastillas disponibles (mm)</t>
        </is>
      </c>
      <c r="E7" s="9" t="n">
        <v>0.05</v>
      </c>
    </row>
    <row r="9" ht="46" customHeight="1">
      <c r="A9" s="3" t="inlineStr">
        <is>
          <t>Cilindro</t>
        </is>
      </c>
      <c r="B9" s="3" t="inlineStr">
        <is>
          <t>Válvula</t>
        </is>
      </c>
      <c r="C9" s="3" t="inlineStr">
        <is>
          <t>Holgura medida (mm)</t>
        </is>
      </c>
      <c r="D9" s="3" t="inlineStr">
        <is>
          <t>Pastilla actual (mm)</t>
        </is>
      </c>
      <c r="E9" s="3" t="inlineStr">
        <is>
          <t>¿En tolerancia?</t>
        </is>
      </c>
      <c r="F9" s="3" t="inlineStr">
        <is>
          <t>Pastilla calculada (mm)</t>
        </is>
      </c>
      <c r="G9" s="3" t="inlineStr">
        <is>
          <t>Pastilla a montar (mm)</t>
        </is>
      </c>
      <c r="H9" s="3" t="inlineStr">
        <is>
          <t>Holgura resultante (mm)</t>
        </is>
      </c>
    </row>
    <row r="10">
      <c r="A10" s="27" t="n">
        <v>1</v>
      </c>
      <c r="B10" s="27" t="inlineStr">
        <is>
          <t>ADM</t>
        </is>
      </c>
      <c r="C10" s="28" t="n">
        <v>0.22</v>
      </c>
      <c r="D10" s="28" t="n">
        <v>2.6</v>
      </c>
      <c r="E10" s="29">
        <f>IF(AND(C10&gt;=$D$5,C10&lt;=$E$5),"Sí","No: cambiar")</f>
        <v/>
      </c>
      <c r="F10" s="30">
        <f>D10+C10-$C$5</f>
        <v/>
      </c>
      <c r="G10" s="31">
        <f>IF(E10="Sí",D10,ROUND(F10/$E$7,0)*$E$7)</f>
        <v/>
      </c>
      <c r="H10" s="30">
        <f>C10+D10-G10</f>
        <v/>
      </c>
    </row>
    <row r="11">
      <c r="A11" s="27" t="n">
        <v>1</v>
      </c>
      <c r="B11" s="27" t="inlineStr">
        <is>
          <t>ESC</t>
        </is>
      </c>
      <c r="C11" s="28" t="n">
        <v>0.31</v>
      </c>
      <c r="D11" s="28" t="n">
        <v>2.55</v>
      </c>
      <c r="E11" s="29">
        <f>IF(AND(C11&gt;=$D$6,C11&lt;=$E$6),"Sí","No: cambiar")</f>
        <v/>
      </c>
      <c r="F11" s="30">
        <f>D11+C11-$C$6</f>
        <v/>
      </c>
      <c r="G11" s="31">
        <f>IF(E11="Sí",D11,ROUND(F11/$E$7,0)*$E$7)</f>
        <v/>
      </c>
      <c r="H11" s="30">
        <f>C11+D11-G11</f>
        <v/>
      </c>
    </row>
    <row r="12">
      <c r="A12" s="27" t="n">
        <v>2</v>
      </c>
      <c r="B12" s="27" t="inlineStr">
        <is>
          <t>ADM</t>
        </is>
      </c>
      <c r="C12" s="28" t="n">
        <v>0.18</v>
      </c>
      <c r="D12" s="28" t="n">
        <v>2.65</v>
      </c>
      <c r="E12" s="29">
        <f>IF(AND(C12&gt;=$D$5,C12&lt;=$E$5),"Sí","No: cambiar")</f>
        <v/>
      </c>
      <c r="F12" s="30">
        <f>D12+C12-$C$5</f>
        <v/>
      </c>
      <c r="G12" s="31">
        <f>IF(E12="Sí",D12,ROUND(F12/$E$7,0)*$E$7)</f>
        <v/>
      </c>
      <c r="H12" s="30">
        <f>C12+D12-G12</f>
        <v/>
      </c>
    </row>
    <row r="13">
      <c r="A13" s="27" t="n">
        <v>2</v>
      </c>
      <c r="B13" s="27" t="inlineStr">
        <is>
          <t>ESC</t>
        </is>
      </c>
      <c r="C13" s="28" t="n">
        <v>0.27</v>
      </c>
      <c r="D13" s="28" t="n">
        <v>2.5</v>
      </c>
      <c r="E13" s="29">
        <f>IF(AND(C13&gt;=$D$6,C13&lt;=$E$6),"Sí","No: cambiar")</f>
        <v/>
      </c>
      <c r="F13" s="30">
        <f>D13+C13-$C$6</f>
        <v/>
      </c>
      <c r="G13" s="31">
        <f>IF(E13="Sí",D13,ROUND(F13/$E$7,0)*$E$7)</f>
        <v/>
      </c>
      <c r="H13" s="30">
        <f>C13+D13-G13</f>
        <v/>
      </c>
    </row>
    <row r="14">
      <c r="A14" s="27" t="n">
        <v>3</v>
      </c>
      <c r="B14" s="27" t="inlineStr">
        <is>
          <t>ADM</t>
        </is>
      </c>
      <c r="C14" s="28" t="n">
        <v>0.26</v>
      </c>
      <c r="D14" s="28" t="n">
        <v>2.6</v>
      </c>
      <c r="E14" s="29">
        <f>IF(AND(C14&gt;=$D$5,C14&lt;=$E$5),"Sí","No: cambiar")</f>
        <v/>
      </c>
      <c r="F14" s="30">
        <f>D14+C14-$C$5</f>
        <v/>
      </c>
      <c r="G14" s="31">
        <f>IF(E14="Sí",D14,ROUND(F14/$E$7,0)*$E$7)</f>
        <v/>
      </c>
      <c r="H14" s="30">
        <f>C14+D14-G14</f>
        <v/>
      </c>
    </row>
    <row r="15">
      <c r="A15" s="27" t="n">
        <v>3</v>
      </c>
      <c r="B15" s="27" t="inlineStr">
        <is>
          <t>ESC</t>
        </is>
      </c>
      <c r="C15" s="28" t="n">
        <v>0.4</v>
      </c>
      <c r="D15" s="28" t="n">
        <v>2.45</v>
      </c>
      <c r="E15" s="29">
        <f>IF(AND(C15&gt;=$D$6,C15&lt;=$E$6),"Sí","No: cambiar")</f>
        <v/>
      </c>
      <c r="F15" s="30">
        <f>D15+C15-$C$6</f>
        <v/>
      </c>
      <c r="G15" s="31">
        <f>IF(E15="Sí",D15,ROUND(F15/$E$7,0)*$E$7)</f>
        <v/>
      </c>
      <c r="H15" s="30">
        <f>C15+D15-G15</f>
        <v/>
      </c>
    </row>
    <row r="16">
      <c r="A16" s="27" t="n">
        <v>4</v>
      </c>
      <c r="B16" s="27" t="inlineStr">
        <is>
          <t>ADM</t>
        </is>
      </c>
      <c r="C16" s="28" t="n">
        <v>0.24</v>
      </c>
      <c r="D16" s="28" t="n">
        <v>2.7</v>
      </c>
      <c r="E16" s="29">
        <f>IF(AND(C16&gt;=$D$5,C16&lt;=$E$5),"Sí","No: cambiar")</f>
        <v/>
      </c>
      <c r="F16" s="30">
        <f>D16+C16-$C$5</f>
        <v/>
      </c>
      <c r="G16" s="31">
        <f>IF(E16="Sí",D16,ROUND(F16/$E$7,0)*$E$7)</f>
        <v/>
      </c>
      <c r="H16" s="30">
        <f>C16+D16-G16</f>
        <v/>
      </c>
    </row>
    <row r="17">
      <c r="A17" s="27" t="n">
        <v>4</v>
      </c>
      <c r="B17" s="27" t="inlineStr">
        <is>
          <t>ESC</t>
        </is>
      </c>
      <c r="C17" s="28" t="n">
        <v>0.33</v>
      </c>
      <c r="D17" s="28" t="n">
        <v>2.55</v>
      </c>
      <c r="E17" s="29">
        <f>IF(AND(C17&gt;=$D$6,C17&lt;=$E$6),"Sí","No: cambiar")</f>
        <v/>
      </c>
      <c r="F17" s="30">
        <f>D17+C17-$C$6</f>
        <v/>
      </c>
      <c r="G17" s="31">
        <f>IF(E17="Sí",D17,ROUND(F17/$E$7,0)*$E$7)</f>
        <v/>
      </c>
      <c r="H17" s="30">
        <f>C17+D17-G17</f>
        <v/>
      </c>
    </row>
    <row r="19">
      <c r="A19" s="2" t="inlineStr">
        <is>
          <t>Pastilla nueva = pastilla actual + (holgura medida − holgura nominal), redondeada al espesor disponible. Mida con el motor frío y la leva en su círculo base.</t>
        </is>
      </c>
    </row>
    <row r="20">
      <c r="A20" s="2" t="inlineStr">
        <is>
          <t>Ejemplo: pastilla 2,65 mm, holgura medida 0,18 mm, nominal 0,25 mm → 2,65 + 0,18 − 0,25 = 2,58 → se monta 2,60 mm y queda una holgura de 0,23 mm.</t>
        </is>
      </c>
    </row>
    <row r="22">
      <c r="A22" s="32">
        <f>COUNTIF(E10:E17,"No: cambiar")&amp;" de 8 válvulas necesitan cambio de pastilla"</f>
        <v/>
      </c>
    </row>
  </sheetData>
  <mergeCells count="3">
    <mergeCell ref="A4:B4"/>
    <mergeCell ref="A6:B6"/>
    <mergeCell ref="A5:B5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26" customWidth="1" min="11" max="11"/>
  </cols>
  <sheetData>
    <row r="1">
      <c r="A1" s="1" t="inlineStr">
        <is>
          <t>Simulador · Secuencia y control del apriete de la culata</t>
        </is>
      </c>
    </row>
    <row r="2">
      <c r="A2" s="2" t="inlineStr">
        <is>
          <t>Sistemas del Funcionamiento del Motor (MA.02.06) · Unidad 3 · Edite solo las celdas amarillas (texto azul); todo lo demás se recalcula.</t>
        </is>
      </c>
    </row>
    <row r="4">
      <c r="A4" s="3" t="inlineStr">
        <is>
          <t>Datos de entrada</t>
        </is>
      </c>
      <c r="B4" s="3" t="inlineStr">
        <is>
          <t>Valor</t>
        </is>
      </c>
    </row>
    <row r="5">
      <c r="A5" s="4" t="inlineStr">
        <is>
          <t>Número de tornillos de la culata</t>
        </is>
      </c>
      <c r="B5" s="5" t="n">
        <v>10</v>
      </c>
    </row>
    <row r="6">
      <c r="A6" s="4" t="inlineStr">
        <is>
          <t>Etapa 1: par (N·m)</t>
        </is>
      </c>
      <c r="B6" s="5" t="n">
        <v>30</v>
      </c>
    </row>
    <row r="7">
      <c r="A7" s="4" t="inlineStr">
        <is>
          <t>Etapa 2: par (N·m)</t>
        </is>
      </c>
      <c r="B7" s="5" t="n">
        <v>60</v>
      </c>
    </row>
    <row r="8">
      <c r="A8" s="4" t="inlineStr">
        <is>
          <t>Etapa 3: ángulo (°)</t>
        </is>
      </c>
      <c r="B8" s="5" t="n">
        <v>90</v>
      </c>
    </row>
    <row r="9">
      <c r="A9" s="4" t="inlineStr">
        <is>
          <t>Etapa 4: ángulo (°) (0 si no aplica)</t>
        </is>
      </c>
      <c r="B9" s="5" t="n">
        <v>90</v>
      </c>
    </row>
    <row r="10">
      <c r="A10" s="4" t="inlineStr">
        <is>
          <t>Longitud nominal del tornillo (mm)</t>
        </is>
      </c>
      <c r="B10" s="5" t="n">
        <v>120</v>
      </c>
    </row>
    <row r="11">
      <c r="A11" s="4" t="inlineStr">
        <is>
          <t>Alargamiento máximo admisible (mm)</t>
        </is>
      </c>
      <c r="B11" s="5" t="n">
        <v>0.5</v>
      </c>
    </row>
    <row r="12">
      <c r="A12" s="4" t="inlineStr">
        <is>
          <t>Tolerancia del par (± %)</t>
        </is>
      </c>
      <c r="B12" s="5" t="n">
        <v>5</v>
      </c>
    </row>
    <row r="14">
      <c r="A14" s="3" t="inlineStr">
        <is>
          <t>Orden de APRIETE (vista superior)</t>
        </is>
      </c>
    </row>
    <row r="15" ht="26" customHeight="1">
      <c r="A15" s="33" t="inlineStr">
        <is>
          <t>Lado de admisión</t>
        </is>
      </c>
      <c r="B15" s="34">
        <f>IF(N(INDEX('Datos apriete'!B$3:B$8,MATCH($B$5,'Datos apriete'!$A$3:$A$8,0)))=0,"",INDEX('Datos apriete'!B$3:B$8,MATCH($B$5,'Datos apriete'!$A$3:$A$8,0)))</f>
        <v/>
      </c>
      <c r="C15" s="34">
        <f>IF(N(INDEX('Datos apriete'!C$3:C$8,MATCH($B$5,'Datos apriete'!$A$3:$A$8,0)))=0,"",INDEX('Datos apriete'!C$3:C$8,MATCH($B$5,'Datos apriete'!$A$3:$A$8,0)))</f>
        <v/>
      </c>
      <c r="D15" s="34">
        <f>IF(N(INDEX('Datos apriete'!D$3:D$8,MATCH($B$5,'Datos apriete'!$A$3:$A$8,0)))=0,"",INDEX('Datos apriete'!D$3:D$8,MATCH($B$5,'Datos apriete'!$A$3:$A$8,0)))</f>
        <v/>
      </c>
      <c r="E15" s="34">
        <f>IF(N(INDEX('Datos apriete'!E$3:E$8,MATCH($B$5,'Datos apriete'!$A$3:$A$8,0)))=0,"",INDEX('Datos apriete'!E$3:E$8,MATCH($B$5,'Datos apriete'!$A$3:$A$8,0)))</f>
        <v/>
      </c>
      <c r="F15" s="34">
        <f>IF(N(INDEX('Datos apriete'!F$3:F$8,MATCH($B$5,'Datos apriete'!$A$3:$A$8,0)))=0,"",INDEX('Datos apriete'!F$3:F$8,MATCH($B$5,'Datos apriete'!$A$3:$A$8,0)))</f>
        <v/>
      </c>
      <c r="G15" s="34">
        <f>IF(N(INDEX('Datos apriete'!G$3:G$8,MATCH($B$5,'Datos apriete'!$A$3:$A$8,0)))=0,"",INDEX('Datos apriete'!G$3:G$8,MATCH($B$5,'Datos apriete'!$A$3:$A$8,0)))</f>
        <v/>
      </c>
      <c r="H15" s="34">
        <f>IF(N(INDEX('Datos apriete'!H$3:H$8,MATCH($B$5,'Datos apriete'!$A$3:$A$8,0)))=0,"",INDEX('Datos apriete'!H$3:H$8,MATCH($B$5,'Datos apriete'!$A$3:$A$8,0)))</f>
        <v/>
      </c>
      <c r="I15" s="34">
        <f>IF(N(INDEX('Datos apriete'!I$3:I$8,MATCH($B$5,'Datos apriete'!$A$3:$A$8,0)))=0,"",INDEX('Datos apriete'!I$3:I$8,MATCH($B$5,'Datos apriete'!$A$3:$A$8,0)))</f>
        <v/>
      </c>
      <c r="J15" s="34">
        <f>IF(N(INDEX('Datos apriete'!J$3:J$8,MATCH($B$5,'Datos apriete'!$A$3:$A$8,0)))=0,"",INDEX('Datos apriete'!J$3:J$8,MATCH($B$5,'Datos apriete'!$A$3:$A$8,0)))</f>
        <v/>
      </c>
    </row>
    <row r="16" ht="26" customHeight="1">
      <c r="A16" s="33" t="inlineStr">
        <is>
          <t>Lado de escape</t>
        </is>
      </c>
      <c r="B16" s="34">
        <f>IF(N(INDEX('Datos apriete'!B$12:B$17,MATCH($B$5,'Datos apriete'!$A$12:$A$17,0)))=0,"",INDEX('Datos apriete'!B$12:B$17,MATCH($B$5,'Datos apriete'!$A$12:$A$17,0)))</f>
        <v/>
      </c>
      <c r="C16" s="34">
        <f>IF(N(INDEX('Datos apriete'!C$12:C$17,MATCH($B$5,'Datos apriete'!$A$12:$A$17,0)))=0,"",INDEX('Datos apriete'!C$12:C$17,MATCH($B$5,'Datos apriete'!$A$12:$A$17,0)))</f>
        <v/>
      </c>
      <c r="D16" s="34">
        <f>IF(N(INDEX('Datos apriete'!D$12:D$17,MATCH($B$5,'Datos apriete'!$A$12:$A$17,0)))=0,"",INDEX('Datos apriete'!D$12:D$17,MATCH($B$5,'Datos apriete'!$A$12:$A$17,0)))</f>
        <v/>
      </c>
      <c r="E16" s="34">
        <f>IF(N(INDEX('Datos apriete'!E$12:E$17,MATCH($B$5,'Datos apriete'!$A$12:$A$17,0)))=0,"",INDEX('Datos apriete'!E$12:E$17,MATCH($B$5,'Datos apriete'!$A$12:$A$17,0)))</f>
        <v/>
      </c>
      <c r="F16" s="34">
        <f>IF(N(INDEX('Datos apriete'!F$12:F$17,MATCH($B$5,'Datos apriete'!$A$12:$A$17,0)))=0,"",INDEX('Datos apriete'!F$12:F$17,MATCH($B$5,'Datos apriete'!$A$12:$A$17,0)))</f>
        <v/>
      </c>
      <c r="G16" s="34">
        <f>IF(N(INDEX('Datos apriete'!G$12:G$17,MATCH($B$5,'Datos apriete'!$A$12:$A$17,0)))=0,"",INDEX('Datos apriete'!G$12:G$17,MATCH($B$5,'Datos apriete'!$A$12:$A$17,0)))</f>
        <v/>
      </c>
      <c r="H16" s="34">
        <f>IF(N(INDEX('Datos apriete'!H$12:H$17,MATCH($B$5,'Datos apriete'!$A$12:$A$17,0)))=0,"",INDEX('Datos apriete'!H$12:H$17,MATCH($B$5,'Datos apriete'!$A$12:$A$17,0)))</f>
        <v/>
      </c>
      <c r="I16" s="34">
        <f>IF(N(INDEX('Datos apriete'!I$12:I$17,MATCH($B$5,'Datos apriete'!$A$12:$A$17,0)))=0,"",INDEX('Datos apriete'!I$12:I$17,MATCH($B$5,'Datos apriete'!$A$12:$A$17,0)))</f>
        <v/>
      </c>
      <c r="J16" s="34">
        <f>IF(N(INDEX('Datos apriete'!J$12:J$17,MATCH($B$5,'Datos apriete'!$A$12:$A$17,0)))=0,"",INDEX('Datos apriete'!J$12:J$17,MATCH($B$5,'Datos apriete'!$A$12:$A$17,0)))</f>
        <v/>
      </c>
    </row>
    <row r="18">
      <c r="A18" s="3" t="inlineStr">
        <is>
          <t>Orden de AFLOJADO (inverso)</t>
        </is>
      </c>
    </row>
    <row r="19" ht="26" customHeight="1">
      <c r="A19" s="33" t="inlineStr">
        <is>
          <t>Lado de admisión</t>
        </is>
      </c>
      <c r="B19" s="35">
        <f>IF(IF(N(INDEX('Datos apriete'!B$3:B$8,MATCH($B$5,'Datos apriete'!$A$3:$A$8,0)))=0,"",INDEX('Datos apriete'!B$3:B$8,MATCH($B$5,'Datos apriete'!$A$3:$A$8,0)))="","",$B$5+1-IF(N(INDEX('Datos apriete'!B$3:B$8,MATCH($B$5,'Datos apriete'!$A$3:$A$8,0)))=0,"",INDEX('Datos apriete'!B$3:B$8,MATCH($B$5,'Datos apriete'!$A$3:$A$8,0))))</f>
        <v/>
      </c>
      <c r="C19" s="35">
        <f>IF(IF(N(INDEX('Datos apriete'!C$3:C$8,MATCH($B$5,'Datos apriete'!$A$3:$A$8,0)))=0,"",INDEX('Datos apriete'!C$3:C$8,MATCH($B$5,'Datos apriete'!$A$3:$A$8,0)))="","",$B$5+1-IF(N(INDEX('Datos apriete'!C$3:C$8,MATCH($B$5,'Datos apriete'!$A$3:$A$8,0)))=0,"",INDEX('Datos apriete'!C$3:C$8,MATCH($B$5,'Datos apriete'!$A$3:$A$8,0))))</f>
        <v/>
      </c>
      <c r="D19" s="35">
        <f>IF(IF(N(INDEX('Datos apriete'!D$3:D$8,MATCH($B$5,'Datos apriete'!$A$3:$A$8,0)))=0,"",INDEX('Datos apriete'!D$3:D$8,MATCH($B$5,'Datos apriete'!$A$3:$A$8,0)))="","",$B$5+1-IF(N(INDEX('Datos apriete'!D$3:D$8,MATCH($B$5,'Datos apriete'!$A$3:$A$8,0)))=0,"",INDEX('Datos apriete'!D$3:D$8,MATCH($B$5,'Datos apriete'!$A$3:$A$8,0))))</f>
        <v/>
      </c>
      <c r="E19" s="35">
        <f>IF(IF(N(INDEX('Datos apriete'!E$3:E$8,MATCH($B$5,'Datos apriete'!$A$3:$A$8,0)))=0,"",INDEX('Datos apriete'!E$3:E$8,MATCH($B$5,'Datos apriete'!$A$3:$A$8,0)))="","",$B$5+1-IF(N(INDEX('Datos apriete'!E$3:E$8,MATCH($B$5,'Datos apriete'!$A$3:$A$8,0)))=0,"",INDEX('Datos apriete'!E$3:E$8,MATCH($B$5,'Datos apriete'!$A$3:$A$8,0))))</f>
        <v/>
      </c>
      <c r="F19" s="35">
        <f>IF(IF(N(INDEX('Datos apriete'!F$3:F$8,MATCH($B$5,'Datos apriete'!$A$3:$A$8,0)))=0,"",INDEX('Datos apriete'!F$3:F$8,MATCH($B$5,'Datos apriete'!$A$3:$A$8,0)))="","",$B$5+1-IF(N(INDEX('Datos apriete'!F$3:F$8,MATCH($B$5,'Datos apriete'!$A$3:$A$8,0)))=0,"",INDEX('Datos apriete'!F$3:F$8,MATCH($B$5,'Datos apriete'!$A$3:$A$8,0))))</f>
        <v/>
      </c>
      <c r="G19" s="35">
        <f>IF(IF(N(INDEX('Datos apriete'!G$3:G$8,MATCH($B$5,'Datos apriete'!$A$3:$A$8,0)))=0,"",INDEX('Datos apriete'!G$3:G$8,MATCH($B$5,'Datos apriete'!$A$3:$A$8,0)))="","",$B$5+1-IF(N(INDEX('Datos apriete'!G$3:G$8,MATCH($B$5,'Datos apriete'!$A$3:$A$8,0)))=0,"",INDEX('Datos apriete'!G$3:G$8,MATCH($B$5,'Datos apriete'!$A$3:$A$8,0))))</f>
        <v/>
      </c>
      <c r="H19" s="35">
        <f>IF(IF(N(INDEX('Datos apriete'!H$3:H$8,MATCH($B$5,'Datos apriete'!$A$3:$A$8,0)))=0,"",INDEX('Datos apriete'!H$3:H$8,MATCH($B$5,'Datos apriete'!$A$3:$A$8,0)))="","",$B$5+1-IF(N(INDEX('Datos apriete'!H$3:H$8,MATCH($B$5,'Datos apriete'!$A$3:$A$8,0)))=0,"",INDEX('Datos apriete'!H$3:H$8,MATCH($B$5,'Datos apriete'!$A$3:$A$8,0))))</f>
        <v/>
      </c>
      <c r="I19" s="35">
        <f>IF(IF(N(INDEX('Datos apriete'!I$3:I$8,MATCH($B$5,'Datos apriete'!$A$3:$A$8,0)))=0,"",INDEX('Datos apriete'!I$3:I$8,MATCH($B$5,'Datos apriete'!$A$3:$A$8,0)))="","",$B$5+1-IF(N(INDEX('Datos apriete'!I$3:I$8,MATCH($B$5,'Datos apriete'!$A$3:$A$8,0)))=0,"",INDEX('Datos apriete'!I$3:I$8,MATCH($B$5,'Datos apriete'!$A$3:$A$8,0))))</f>
        <v/>
      </c>
      <c r="J19" s="35">
        <f>IF(IF(N(INDEX('Datos apriete'!J$3:J$8,MATCH($B$5,'Datos apriete'!$A$3:$A$8,0)))=0,"",INDEX('Datos apriete'!J$3:J$8,MATCH($B$5,'Datos apriete'!$A$3:$A$8,0)))="","",$B$5+1-IF(N(INDEX('Datos apriete'!J$3:J$8,MATCH($B$5,'Datos apriete'!$A$3:$A$8,0)))=0,"",INDEX('Datos apriete'!J$3:J$8,MATCH($B$5,'Datos apriete'!$A$3:$A$8,0))))</f>
        <v/>
      </c>
    </row>
    <row r="20" ht="26" customHeight="1">
      <c r="A20" s="33" t="inlineStr">
        <is>
          <t>Lado de escape</t>
        </is>
      </c>
      <c r="B20" s="35">
        <f>IF(IF(N(INDEX('Datos apriete'!B$12:B$17,MATCH($B$5,'Datos apriete'!$A$12:$A$17,0)))=0,"",INDEX('Datos apriete'!B$12:B$17,MATCH($B$5,'Datos apriete'!$A$12:$A$17,0)))="","",$B$5+1-IF(N(INDEX('Datos apriete'!B$12:B$17,MATCH($B$5,'Datos apriete'!$A$12:$A$17,0)))=0,"",INDEX('Datos apriete'!B$12:B$17,MATCH($B$5,'Datos apriete'!$A$12:$A$17,0))))</f>
        <v/>
      </c>
      <c r="C20" s="35">
        <f>IF(IF(N(INDEX('Datos apriete'!C$12:C$17,MATCH($B$5,'Datos apriete'!$A$12:$A$17,0)))=0,"",INDEX('Datos apriete'!C$12:C$17,MATCH($B$5,'Datos apriete'!$A$12:$A$17,0)))="","",$B$5+1-IF(N(INDEX('Datos apriete'!C$12:C$17,MATCH($B$5,'Datos apriete'!$A$12:$A$17,0)))=0,"",INDEX('Datos apriete'!C$12:C$17,MATCH($B$5,'Datos apriete'!$A$12:$A$17,0))))</f>
        <v/>
      </c>
      <c r="D20" s="35">
        <f>IF(IF(N(INDEX('Datos apriete'!D$12:D$17,MATCH($B$5,'Datos apriete'!$A$12:$A$17,0)))=0,"",INDEX('Datos apriete'!D$12:D$17,MATCH($B$5,'Datos apriete'!$A$12:$A$17,0)))="","",$B$5+1-IF(N(INDEX('Datos apriete'!D$12:D$17,MATCH($B$5,'Datos apriete'!$A$12:$A$17,0)))=0,"",INDEX('Datos apriete'!D$12:D$17,MATCH($B$5,'Datos apriete'!$A$12:$A$17,0))))</f>
        <v/>
      </c>
      <c r="E20" s="35">
        <f>IF(IF(N(INDEX('Datos apriete'!E$12:E$17,MATCH($B$5,'Datos apriete'!$A$12:$A$17,0)))=0,"",INDEX('Datos apriete'!E$12:E$17,MATCH($B$5,'Datos apriete'!$A$12:$A$17,0)))="","",$B$5+1-IF(N(INDEX('Datos apriete'!E$12:E$17,MATCH($B$5,'Datos apriete'!$A$12:$A$17,0)))=0,"",INDEX('Datos apriete'!E$12:E$17,MATCH($B$5,'Datos apriete'!$A$12:$A$17,0))))</f>
        <v/>
      </c>
      <c r="F20" s="35">
        <f>IF(IF(N(INDEX('Datos apriete'!F$12:F$17,MATCH($B$5,'Datos apriete'!$A$12:$A$17,0)))=0,"",INDEX('Datos apriete'!F$12:F$17,MATCH($B$5,'Datos apriete'!$A$12:$A$17,0)))="","",$B$5+1-IF(N(INDEX('Datos apriete'!F$12:F$17,MATCH($B$5,'Datos apriete'!$A$12:$A$17,0)))=0,"",INDEX('Datos apriete'!F$12:F$17,MATCH($B$5,'Datos apriete'!$A$12:$A$17,0))))</f>
        <v/>
      </c>
      <c r="G20" s="35">
        <f>IF(IF(N(INDEX('Datos apriete'!G$12:G$17,MATCH($B$5,'Datos apriete'!$A$12:$A$17,0)))=0,"",INDEX('Datos apriete'!G$12:G$17,MATCH($B$5,'Datos apriete'!$A$12:$A$17,0)))="","",$B$5+1-IF(N(INDEX('Datos apriete'!G$12:G$17,MATCH($B$5,'Datos apriete'!$A$12:$A$17,0)))=0,"",INDEX('Datos apriete'!G$12:G$17,MATCH($B$5,'Datos apriete'!$A$12:$A$17,0))))</f>
        <v/>
      </c>
      <c r="H20" s="35">
        <f>IF(IF(N(INDEX('Datos apriete'!H$12:H$17,MATCH($B$5,'Datos apriete'!$A$12:$A$17,0)))=0,"",INDEX('Datos apriete'!H$12:H$17,MATCH($B$5,'Datos apriete'!$A$12:$A$17,0)))="","",$B$5+1-IF(N(INDEX('Datos apriete'!H$12:H$17,MATCH($B$5,'Datos apriete'!$A$12:$A$17,0)))=0,"",INDEX('Datos apriete'!H$12:H$17,MATCH($B$5,'Datos apriete'!$A$12:$A$17,0))))</f>
        <v/>
      </c>
      <c r="I20" s="35">
        <f>IF(IF(N(INDEX('Datos apriete'!I$12:I$17,MATCH($B$5,'Datos apriete'!$A$12:$A$17,0)))=0,"",INDEX('Datos apriete'!I$12:I$17,MATCH($B$5,'Datos apriete'!$A$12:$A$17,0)))="","",$B$5+1-IF(N(INDEX('Datos apriete'!I$12:I$17,MATCH($B$5,'Datos apriete'!$A$12:$A$17,0)))=0,"",INDEX('Datos apriete'!I$12:I$17,MATCH($B$5,'Datos apriete'!$A$12:$A$17,0))))</f>
        <v/>
      </c>
      <c r="J20" s="35">
        <f>IF(IF(N(INDEX('Datos apriete'!J$12:J$17,MATCH($B$5,'Datos apriete'!$A$12:$A$17,0)))=0,"",INDEX('Datos apriete'!J$12:J$17,MATCH($B$5,'Datos apriete'!$A$12:$A$17,0)))="","",$B$5+1-IF(N(INDEX('Datos apriete'!J$12:J$17,MATCH($B$5,'Datos apriete'!$A$12:$A$17,0)))=0,"",INDEX('Datos apriete'!J$12:J$17,MATCH($B$5,'Datos apriete'!$A$12:$A$17,0))))</f>
        <v/>
      </c>
    </row>
    <row r="21">
      <c r="A21" s="2" t="inlineStr">
        <is>
          <t>Secuencia genérica en espiral desde el centro hacia los extremos y en cruz; prevalece siempre la secuencia del manual del motor.</t>
        </is>
      </c>
    </row>
    <row r="23">
      <c r="A23" s="3" t="inlineStr">
        <is>
          <t>Paso</t>
        </is>
      </c>
      <c r="B23" s="3" t="inlineStr">
        <is>
          <t>Fila</t>
        </is>
      </c>
      <c r="C23" s="3" t="inlineStr">
        <is>
          <t>Columna</t>
        </is>
      </c>
      <c r="D23" s="3" t="inlineStr">
        <is>
          <t>Etapa 1 (N·m)</t>
        </is>
      </c>
      <c r="E23" s="3" t="inlineStr">
        <is>
          <t>Etapa 2 (N·m)</t>
        </is>
      </c>
      <c r="F23" s="3" t="inlineStr">
        <is>
          <t>Etapa 3 (°)</t>
        </is>
      </c>
      <c r="G23" s="3" t="inlineStr">
        <is>
          <t>Etapa 4 (°)</t>
        </is>
      </c>
      <c r="H23" s="3" t="inlineStr">
        <is>
          <t>Long. medida (mm)</t>
        </is>
      </c>
      <c r="I23" s="3" t="inlineStr">
        <is>
          <t>Estado del apriete</t>
        </is>
      </c>
      <c r="J23" s="3" t="inlineStr">
        <is>
          <t>Tornillo</t>
        </is>
      </c>
    </row>
    <row r="24">
      <c r="A24" s="27">
        <f>IF(1&gt;$B$5,"",1)</f>
        <v/>
      </c>
      <c r="B24" s="27">
        <f>IF(A24="","",IF(COUNTIF($B$15:$J$15,A24)&gt;0,"Superior","Inferior"))</f>
        <v/>
      </c>
      <c r="C24" s="27">
        <f>IF(A24="","",IFERROR(MATCH(A24,$B$15:$J$15,0),MATCH(A24,$B$16:$J$16,0)))</f>
        <v/>
      </c>
      <c r="D24" s="36" t="n">
        <v>30</v>
      </c>
      <c r="E24" s="36" t="n">
        <v>60</v>
      </c>
      <c r="F24" s="36" t="n">
        <v>90</v>
      </c>
      <c r="G24" s="36" t="n">
        <v>90</v>
      </c>
      <c r="H24" s="36" t="n">
        <v>120.2</v>
      </c>
      <c r="I24" s="27">
        <f>IF(A24="","",IF(COUNT(D24:G24)&lt;IF($B$9&gt;0,4,3),"Pendiente",IF(AND(ABS(D24-$B$6)&lt;=$B$6*$B$12/100,ABS(E24-$B$7)&lt;=$B$7*$B$12/100,ABS(F24-$B$8)&lt;=3,OR($B$9=0,ABS(G24-$B$9)&lt;=3)),"Correcto","Revisar")))</f>
        <v/>
      </c>
      <c r="J24" s="27">
        <f>IF(OR(A24="",H24=""),"",IF(H24&gt;$B$10+$B$11,"Sustituir (alargado)","Reutilizable"))</f>
        <v/>
      </c>
    </row>
    <row r="25">
      <c r="A25" s="27">
        <f>IF(2&gt;$B$5,"",2)</f>
        <v/>
      </c>
      <c r="B25" s="27">
        <f>IF(A25="","",IF(COUNTIF($B$15:$J$15,A25)&gt;0,"Superior","Inferior"))</f>
        <v/>
      </c>
      <c r="C25" s="27">
        <f>IF(A25="","",IFERROR(MATCH(A25,$B$15:$J$15,0),MATCH(A25,$B$16:$J$16,0)))</f>
        <v/>
      </c>
      <c r="D25" s="36" t="n">
        <v>31</v>
      </c>
      <c r="E25" s="36" t="n">
        <v>59</v>
      </c>
      <c r="F25" s="36" t="n">
        <v>90</v>
      </c>
      <c r="G25" s="36" t="n">
        <v>90</v>
      </c>
      <c r="H25" s="36" t="n">
        <v>120.6</v>
      </c>
      <c r="I25" s="27">
        <f>IF(A25="","",IF(COUNT(D25:G25)&lt;IF($B$9&gt;0,4,3),"Pendiente",IF(AND(ABS(D25-$B$6)&lt;=$B$6*$B$12/100,ABS(E25-$B$7)&lt;=$B$7*$B$12/100,ABS(F25-$B$8)&lt;=3,OR($B$9=0,ABS(G25-$B$9)&lt;=3)),"Correcto","Revisar")))</f>
        <v/>
      </c>
      <c r="J25" s="27">
        <f>IF(OR(A25="",H25=""),"",IF(H25&gt;$B$10+$B$11,"Sustituir (alargado)","Reutilizable"))</f>
        <v/>
      </c>
    </row>
    <row r="26">
      <c r="A26" s="27">
        <f>IF(3&gt;$B$5,"",3)</f>
        <v/>
      </c>
      <c r="B26" s="27">
        <f>IF(A26="","",IF(COUNTIF($B$15:$J$15,A26)&gt;0,"Superior","Inferior"))</f>
        <v/>
      </c>
      <c r="C26" s="27">
        <f>IF(A26="","",IFERROR(MATCH(A26,$B$15:$J$15,0),MATCH(A26,$B$16:$J$16,0)))</f>
        <v/>
      </c>
      <c r="D26" s="36" t="n"/>
      <c r="E26" s="36" t="n"/>
      <c r="F26" s="36" t="n"/>
      <c r="G26" s="36" t="n"/>
      <c r="H26" s="36" t="n"/>
      <c r="I26" s="27">
        <f>IF(A26="","",IF(COUNT(D26:G26)&lt;IF($B$9&gt;0,4,3),"Pendiente",IF(AND(ABS(D26-$B$6)&lt;=$B$6*$B$12/100,ABS(E26-$B$7)&lt;=$B$7*$B$12/100,ABS(F26-$B$8)&lt;=3,OR($B$9=0,ABS(G26-$B$9)&lt;=3)),"Correcto","Revisar")))</f>
        <v/>
      </c>
      <c r="J26" s="27">
        <f>IF(OR(A26="",H26=""),"",IF(H26&gt;$B$10+$B$11,"Sustituir (alargado)","Reutilizable"))</f>
        <v/>
      </c>
    </row>
    <row r="27">
      <c r="A27" s="27">
        <f>IF(4&gt;$B$5,"",4)</f>
        <v/>
      </c>
      <c r="B27" s="27">
        <f>IF(A27="","",IF(COUNTIF($B$15:$J$15,A27)&gt;0,"Superior","Inferior"))</f>
        <v/>
      </c>
      <c r="C27" s="27">
        <f>IF(A27="","",IFERROR(MATCH(A27,$B$15:$J$15,0),MATCH(A27,$B$16:$J$16,0)))</f>
        <v/>
      </c>
      <c r="D27" s="36" t="n"/>
      <c r="E27" s="36" t="n"/>
      <c r="F27" s="36" t="n"/>
      <c r="G27" s="36" t="n"/>
      <c r="H27" s="36" t="n"/>
      <c r="I27" s="27">
        <f>IF(A27="","",IF(COUNT(D27:G27)&lt;IF($B$9&gt;0,4,3),"Pendiente",IF(AND(ABS(D27-$B$6)&lt;=$B$6*$B$12/100,ABS(E27-$B$7)&lt;=$B$7*$B$12/100,ABS(F27-$B$8)&lt;=3,OR($B$9=0,ABS(G27-$B$9)&lt;=3)),"Correcto","Revisar")))</f>
        <v/>
      </c>
      <c r="J27" s="27">
        <f>IF(OR(A27="",H27=""),"",IF(H27&gt;$B$10+$B$11,"Sustituir (alargado)","Reutilizable"))</f>
        <v/>
      </c>
    </row>
    <row r="28">
      <c r="A28" s="27">
        <f>IF(5&gt;$B$5,"",5)</f>
        <v/>
      </c>
      <c r="B28" s="27">
        <f>IF(A28="","",IF(COUNTIF($B$15:$J$15,A28)&gt;0,"Superior","Inferior"))</f>
        <v/>
      </c>
      <c r="C28" s="27">
        <f>IF(A28="","",IFERROR(MATCH(A28,$B$15:$J$15,0),MATCH(A28,$B$16:$J$16,0)))</f>
        <v/>
      </c>
      <c r="D28" s="36" t="n"/>
      <c r="E28" s="36" t="n"/>
      <c r="F28" s="36" t="n"/>
      <c r="G28" s="36" t="n"/>
      <c r="H28" s="36" t="n"/>
      <c r="I28" s="27">
        <f>IF(A28="","",IF(COUNT(D28:G28)&lt;IF($B$9&gt;0,4,3),"Pendiente",IF(AND(ABS(D28-$B$6)&lt;=$B$6*$B$12/100,ABS(E28-$B$7)&lt;=$B$7*$B$12/100,ABS(F28-$B$8)&lt;=3,OR($B$9=0,ABS(G28-$B$9)&lt;=3)),"Correcto","Revisar")))</f>
        <v/>
      </c>
      <c r="J28" s="27">
        <f>IF(OR(A28="",H28=""),"",IF(H28&gt;$B$10+$B$11,"Sustituir (alargado)","Reutilizable"))</f>
        <v/>
      </c>
    </row>
    <row r="29">
      <c r="A29" s="27">
        <f>IF(6&gt;$B$5,"",6)</f>
        <v/>
      </c>
      <c r="B29" s="27">
        <f>IF(A29="","",IF(COUNTIF($B$15:$J$15,A29)&gt;0,"Superior","Inferior"))</f>
        <v/>
      </c>
      <c r="C29" s="27">
        <f>IF(A29="","",IFERROR(MATCH(A29,$B$15:$J$15,0),MATCH(A29,$B$16:$J$16,0)))</f>
        <v/>
      </c>
      <c r="D29" s="36" t="n"/>
      <c r="E29" s="36" t="n"/>
      <c r="F29" s="36" t="n"/>
      <c r="G29" s="36" t="n"/>
      <c r="H29" s="36" t="n"/>
      <c r="I29" s="27">
        <f>IF(A29="","",IF(COUNT(D29:G29)&lt;IF($B$9&gt;0,4,3),"Pendiente",IF(AND(ABS(D29-$B$6)&lt;=$B$6*$B$12/100,ABS(E29-$B$7)&lt;=$B$7*$B$12/100,ABS(F29-$B$8)&lt;=3,OR($B$9=0,ABS(G29-$B$9)&lt;=3)),"Correcto","Revisar")))</f>
        <v/>
      </c>
      <c r="J29" s="27">
        <f>IF(OR(A29="",H29=""),"",IF(H29&gt;$B$10+$B$11,"Sustituir (alargado)","Reutilizable"))</f>
        <v/>
      </c>
    </row>
    <row r="30">
      <c r="A30" s="27">
        <f>IF(7&gt;$B$5,"",7)</f>
        <v/>
      </c>
      <c r="B30" s="27">
        <f>IF(A30="","",IF(COUNTIF($B$15:$J$15,A30)&gt;0,"Superior","Inferior"))</f>
        <v/>
      </c>
      <c r="C30" s="27">
        <f>IF(A30="","",IFERROR(MATCH(A30,$B$15:$J$15,0),MATCH(A30,$B$16:$J$16,0)))</f>
        <v/>
      </c>
      <c r="D30" s="36" t="n"/>
      <c r="E30" s="36" t="n"/>
      <c r="F30" s="36" t="n"/>
      <c r="G30" s="36" t="n"/>
      <c r="H30" s="36" t="n"/>
      <c r="I30" s="27">
        <f>IF(A30="","",IF(COUNT(D30:G30)&lt;IF($B$9&gt;0,4,3),"Pendiente",IF(AND(ABS(D30-$B$6)&lt;=$B$6*$B$12/100,ABS(E30-$B$7)&lt;=$B$7*$B$12/100,ABS(F30-$B$8)&lt;=3,OR($B$9=0,ABS(G30-$B$9)&lt;=3)),"Correcto","Revisar")))</f>
        <v/>
      </c>
      <c r="J30" s="27">
        <f>IF(OR(A30="",H30=""),"",IF(H30&gt;$B$10+$B$11,"Sustituir (alargado)","Reutilizable"))</f>
        <v/>
      </c>
    </row>
    <row r="31">
      <c r="A31" s="27">
        <f>IF(8&gt;$B$5,"",8)</f>
        <v/>
      </c>
      <c r="B31" s="27">
        <f>IF(A31="","",IF(COUNTIF($B$15:$J$15,A31)&gt;0,"Superior","Inferior"))</f>
        <v/>
      </c>
      <c r="C31" s="27">
        <f>IF(A31="","",IFERROR(MATCH(A31,$B$15:$J$15,0),MATCH(A31,$B$16:$J$16,0)))</f>
        <v/>
      </c>
      <c r="D31" s="36" t="n"/>
      <c r="E31" s="36" t="n"/>
      <c r="F31" s="36" t="n"/>
      <c r="G31" s="36" t="n"/>
      <c r="H31" s="36" t="n"/>
      <c r="I31" s="27">
        <f>IF(A31="","",IF(COUNT(D31:G31)&lt;IF($B$9&gt;0,4,3),"Pendiente",IF(AND(ABS(D31-$B$6)&lt;=$B$6*$B$12/100,ABS(E31-$B$7)&lt;=$B$7*$B$12/100,ABS(F31-$B$8)&lt;=3,OR($B$9=0,ABS(G31-$B$9)&lt;=3)),"Correcto","Revisar")))</f>
        <v/>
      </c>
      <c r="J31" s="27">
        <f>IF(OR(A31="",H31=""),"",IF(H31&gt;$B$10+$B$11,"Sustituir (alargado)","Reutilizable"))</f>
        <v/>
      </c>
    </row>
    <row r="32">
      <c r="A32" s="27">
        <f>IF(9&gt;$B$5,"",9)</f>
        <v/>
      </c>
      <c r="B32" s="27">
        <f>IF(A32="","",IF(COUNTIF($B$15:$J$15,A32)&gt;0,"Superior","Inferior"))</f>
        <v/>
      </c>
      <c r="C32" s="27">
        <f>IF(A32="","",IFERROR(MATCH(A32,$B$15:$J$15,0),MATCH(A32,$B$16:$J$16,0)))</f>
        <v/>
      </c>
      <c r="D32" s="36" t="n"/>
      <c r="E32" s="36" t="n"/>
      <c r="F32" s="36" t="n"/>
      <c r="G32" s="36" t="n"/>
      <c r="H32" s="36" t="n"/>
      <c r="I32" s="27">
        <f>IF(A32="","",IF(COUNT(D32:G32)&lt;IF($B$9&gt;0,4,3),"Pendiente",IF(AND(ABS(D32-$B$6)&lt;=$B$6*$B$12/100,ABS(E32-$B$7)&lt;=$B$7*$B$12/100,ABS(F32-$B$8)&lt;=3,OR($B$9=0,ABS(G32-$B$9)&lt;=3)),"Correcto","Revisar")))</f>
        <v/>
      </c>
      <c r="J32" s="27">
        <f>IF(OR(A32="",H32=""),"",IF(H32&gt;$B$10+$B$11,"Sustituir (alargado)","Reutilizable"))</f>
        <v/>
      </c>
    </row>
    <row r="33">
      <c r="A33" s="27">
        <f>IF(10&gt;$B$5,"",10)</f>
        <v/>
      </c>
      <c r="B33" s="27">
        <f>IF(A33="","",IF(COUNTIF($B$15:$J$15,A33)&gt;0,"Superior","Inferior"))</f>
        <v/>
      </c>
      <c r="C33" s="27">
        <f>IF(A33="","",IFERROR(MATCH(A33,$B$15:$J$15,0),MATCH(A33,$B$16:$J$16,0)))</f>
        <v/>
      </c>
      <c r="D33" s="36" t="n"/>
      <c r="E33" s="36" t="n"/>
      <c r="F33" s="36" t="n"/>
      <c r="G33" s="36" t="n"/>
      <c r="H33" s="36" t="n"/>
      <c r="I33" s="27">
        <f>IF(A33="","",IF(COUNT(D33:G33)&lt;IF($B$9&gt;0,4,3),"Pendiente",IF(AND(ABS(D33-$B$6)&lt;=$B$6*$B$12/100,ABS(E33-$B$7)&lt;=$B$7*$B$12/100,ABS(F33-$B$8)&lt;=3,OR($B$9=0,ABS(G33-$B$9)&lt;=3)),"Correcto","Revisar")))</f>
        <v/>
      </c>
      <c r="J33" s="27">
        <f>IF(OR(A33="",H33=""),"",IF(H33&gt;$B$10+$B$11,"Sustituir (alargado)","Reutilizable"))</f>
        <v/>
      </c>
    </row>
    <row r="34">
      <c r="A34" s="27">
        <f>IF(11&gt;$B$5,"",11)</f>
        <v/>
      </c>
      <c r="B34" s="27">
        <f>IF(A34="","",IF(COUNTIF($B$15:$J$15,A34)&gt;0,"Superior","Inferior"))</f>
        <v/>
      </c>
      <c r="C34" s="27">
        <f>IF(A34="","",IFERROR(MATCH(A34,$B$15:$J$15,0),MATCH(A34,$B$16:$J$16,0)))</f>
        <v/>
      </c>
      <c r="D34" s="36" t="n"/>
      <c r="E34" s="36" t="n"/>
      <c r="F34" s="36" t="n"/>
      <c r="G34" s="36" t="n"/>
      <c r="H34" s="36" t="n"/>
      <c r="I34" s="27">
        <f>IF(A34="","",IF(COUNT(D34:G34)&lt;IF($B$9&gt;0,4,3),"Pendiente",IF(AND(ABS(D34-$B$6)&lt;=$B$6*$B$12/100,ABS(E34-$B$7)&lt;=$B$7*$B$12/100,ABS(F34-$B$8)&lt;=3,OR($B$9=0,ABS(G34-$B$9)&lt;=3)),"Correcto","Revisar")))</f>
        <v/>
      </c>
      <c r="J34" s="27">
        <f>IF(OR(A34="",H34=""),"",IF(H34&gt;$B$10+$B$11,"Sustituir (alargado)","Reutilizable"))</f>
        <v/>
      </c>
    </row>
    <row r="35">
      <c r="A35" s="27">
        <f>IF(12&gt;$B$5,"",12)</f>
        <v/>
      </c>
      <c r="B35" s="27">
        <f>IF(A35="","",IF(COUNTIF($B$15:$J$15,A35)&gt;0,"Superior","Inferior"))</f>
        <v/>
      </c>
      <c r="C35" s="27">
        <f>IF(A35="","",IFERROR(MATCH(A35,$B$15:$J$15,0),MATCH(A35,$B$16:$J$16,0)))</f>
        <v/>
      </c>
      <c r="D35" s="36" t="n"/>
      <c r="E35" s="36" t="n"/>
      <c r="F35" s="36" t="n"/>
      <c r="G35" s="36" t="n"/>
      <c r="H35" s="36" t="n"/>
      <c r="I35" s="27">
        <f>IF(A35="","",IF(COUNT(D35:G35)&lt;IF($B$9&gt;0,4,3),"Pendiente",IF(AND(ABS(D35-$B$6)&lt;=$B$6*$B$12/100,ABS(E35-$B$7)&lt;=$B$7*$B$12/100,ABS(F35-$B$8)&lt;=3,OR($B$9=0,ABS(G35-$B$9)&lt;=3)),"Correcto","Revisar")))</f>
        <v/>
      </c>
      <c r="J35" s="27">
        <f>IF(OR(A35="",H35=""),"",IF(H35&gt;$B$10+$B$11,"Sustituir (alargado)","Reutilizable"))</f>
        <v/>
      </c>
    </row>
    <row r="36">
      <c r="A36" s="27">
        <f>IF(13&gt;$B$5,"",13)</f>
        <v/>
      </c>
      <c r="B36" s="27">
        <f>IF(A36="","",IF(COUNTIF($B$15:$J$15,A36)&gt;0,"Superior","Inferior"))</f>
        <v/>
      </c>
      <c r="C36" s="27">
        <f>IF(A36="","",IFERROR(MATCH(A36,$B$15:$J$15,0),MATCH(A36,$B$16:$J$16,0)))</f>
        <v/>
      </c>
      <c r="D36" s="36" t="n"/>
      <c r="E36" s="36" t="n"/>
      <c r="F36" s="36" t="n"/>
      <c r="G36" s="36" t="n"/>
      <c r="H36" s="36" t="n"/>
      <c r="I36" s="27">
        <f>IF(A36="","",IF(COUNT(D36:G36)&lt;IF($B$9&gt;0,4,3),"Pendiente",IF(AND(ABS(D36-$B$6)&lt;=$B$6*$B$12/100,ABS(E36-$B$7)&lt;=$B$7*$B$12/100,ABS(F36-$B$8)&lt;=3,OR($B$9=0,ABS(G36-$B$9)&lt;=3)),"Correcto","Revisar")))</f>
        <v/>
      </c>
      <c r="J36" s="27">
        <f>IF(OR(A36="",H36=""),"",IF(H36&gt;$B$10+$B$11,"Sustituir (alargado)","Reutilizable"))</f>
        <v/>
      </c>
    </row>
    <row r="37">
      <c r="A37" s="27">
        <f>IF(14&gt;$B$5,"",14)</f>
        <v/>
      </c>
      <c r="B37" s="27">
        <f>IF(A37="","",IF(COUNTIF($B$15:$J$15,A37)&gt;0,"Superior","Inferior"))</f>
        <v/>
      </c>
      <c r="C37" s="27">
        <f>IF(A37="","",IFERROR(MATCH(A37,$B$15:$J$15,0),MATCH(A37,$B$16:$J$16,0)))</f>
        <v/>
      </c>
      <c r="D37" s="36" t="n"/>
      <c r="E37" s="36" t="n"/>
      <c r="F37" s="36" t="n"/>
      <c r="G37" s="36" t="n"/>
      <c r="H37" s="36" t="n"/>
      <c r="I37" s="27">
        <f>IF(A37="","",IF(COUNT(D37:G37)&lt;IF($B$9&gt;0,4,3),"Pendiente",IF(AND(ABS(D37-$B$6)&lt;=$B$6*$B$12/100,ABS(E37-$B$7)&lt;=$B$7*$B$12/100,ABS(F37-$B$8)&lt;=3,OR($B$9=0,ABS(G37-$B$9)&lt;=3)),"Correcto","Revisar")))</f>
        <v/>
      </c>
      <c r="J37" s="27">
        <f>IF(OR(A37="",H37=""),"",IF(H37&gt;$B$10+$B$11,"Sustituir (alargado)","Reutilizable"))</f>
        <v/>
      </c>
    </row>
    <row r="38">
      <c r="A38" s="27">
        <f>IF(15&gt;$B$5,"",15)</f>
        <v/>
      </c>
      <c r="B38" s="27">
        <f>IF(A38="","",IF(COUNTIF($B$15:$J$15,A38)&gt;0,"Superior","Inferior"))</f>
        <v/>
      </c>
      <c r="C38" s="27">
        <f>IF(A38="","",IFERROR(MATCH(A38,$B$15:$J$15,0),MATCH(A38,$B$16:$J$16,0)))</f>
        <v/>
      </c>
      <c r="D38" s="36" t="n"/>
      <c r="E38" s="36" t="n"/>
      <c r="F38" s="36" t="n"/>
      <c r="G38" s="36" t="n"/>
      <c r="H38" s="36" t="n"/>
      <c r="I38" s="27">
        <f>IF(A38="","",IF(COUNT(D38:G38)&lt;IF($B$9&gt;0,4,3),"Pendiente",IF(AND(ABS(D38-$B$6)&lt;=$B$6*$B$12/100,ABS(E38-$B$7)&lt;=$B$7*$B$12/100,ABS(F38-$B$8)&lt;=3,OR($B$9=0,ABS(G38-$B$9)&lt;=3)),"Correcto","Revisar")))</f>
        <v/>
      </c>
      <c r="J38" s="27">
        <f>IF(OR(A38="",H38=""),"",IF(H38&gt;$B$10+$B$11,"Sustituir (alargado)","Reutilizable"))</f>
        <v/>
      </c>
    </row>
    <row r="39">
      <c r="A39" s="27">
        <f>IF(16&gt;$B$5,"",16)</f>
        <v/>
      </c>
      <c r="B39" s="27">
        <f>IF(A39="","",IF(COUNTIF($B$15:$J$15,A39)&gt;0,"Superior","Inferior"))</f>
        <v/>
      </c>
      <c r="C39" s="27">
        <f>IF(A39="","",IFERROR(MATCH(A39,$B$15:$J$15,0),MATCH(A39,$B$16:$J$16,0)))</f>
        <v/>
      </c>
      <c r="D39" s="36" t="n"/>
      <c r="E39" s="36" t="n"/>
      <c r="F39" s="36" t="n"/>
      <c r="G39" s="36" t="n"/>
      <c r="H39" s="36" t="n"/>
      <c r="I39" s="27">
        <f>IF(A39="","",IF(COUNT(D39:G39)&lt;IF($B$9&gt;0,4,3),"Pendiente",IF(AND(ABS(D39-$B$6)&lt;=$B$6*$B$12/100,ABS(E39-$B$7)&lt;=$B$7*$B$12/100,ABS(F39-$B$8)&lt;=3,OR($B$9=0,ABS(G39-$B$9)&lt;=3)),"Correcto","Revisar")))</f>
        <v/>
      </c>
      <c r="J39" s="27">
        <f>IF(OR(A39="",H39=""),"",IF(H39&gt;$B$10+$B$11,"Sustituir (alargado)","Reutilizable"))</f>
        <v/>
      </c>
    </row>
    <row r="40">
      <c r="A40" s="27">
        <f>IF(17&gt;$B$5,"",17)</f>
        <v/>
      </c>
      <c r="B40" s="27">
        <f>IF(A40="","",IF(COUNTIF($B$15:$J$15,A40)&gt;0,"Superior","Inferior"))</f>
        <v/>
      </c>
      <c r="C40" s="27">
        <f>IF(A40="","",IFERROR(MATCH(A40,$B$15:$J$15,0),MATCH(A40,$B$16:$J$16,0)))</f>
        <v/>
      </c>
      <c r="D40" s="36" t="n"/>
      <c r="E40" s="36" t="n"/>
      <c r="F40" s="36" t="n"/>
      <c r="G40" s="36" t="n"/>
      <c r="H40" s="36" t="n"/>
      <c r="I40" s="27">
        <f>IF(A40="","",IF(COUNT(D40:G40)&lt;IF($B$9&gt;0,4,3),"Pendiente",IF(AND(ABS(D40-$B$6)&lt;=$B$6*$B$12/100,ABS(E40-$B$7)&lt;=$B$7*$B$12/100,ABS(F40-$B$8)&lt;=3,OR($B$9=0,ABS(G40-$B$9)&lt;=3)),"Correcto","Revisar")))</f>
        <v/>
      </c>
      <c r="J40" s="27">
        <f>IF(OR(A40="",H40=""),"",IF(H40&gt;$B$10+$B$11,"Sustituir (alargado)","Reutilizable"))</f>
        <v/>
      </c>
    </row>
    <row r="41">
      <c r="A41" s="27">
        <f>IF(18&gt;$B$5,"",18)</f>
        <v/>
      </c>
      <c r="B41" s="27">
        <f>IF(A41="","",IF(COUNTIF($B$15:$J$15,A41)&gt;0,"Superior","Inferior"))</f>
        <v/>
      </c>
      <c r="C41" s="27">
        <f>IF(A41="","",IFERROR(MATCH(A41,$B$15:$J$15,0),MATCH(A41,$B$16:$J$16,0)))</f>
        <v/>
      </c>
      <c r="D41" s="36" t="n"/>
      <c r="E41" s="36" t="n"/>
      <c r="F41" s="36" t="n"/>
      <c r="G41" s="36" t="n"/>
      <c r="H41" s="36" t="n"/>
      <c r="I41" s="27">
        <f>IF(A41="","",IF(COUNT(D41:G41)&lt;IF($B$9&gt;0,4,3),"Pendiente",IF(AND(ABS(D41-$B$6)&lt;=$B$6*$B$12/100,ABS(E41-$B$7)&lt;=$B$7*$B$12/100,ABS(F41-$B$8)&lt;=3,OR($B$9=0,ABS(G41-$B$9)&lt;=3)),"Correcto","Revisar")))</f>
        <v/>
      </c>
      <c r="J41" s="27">
        <f>IF(OR(A41="",H41=""),"",IF(H41&gt;$B$10+$B$11,"Sustituir (alargado)","Reutilizable"))</f>
        <v/>
      </c>
    </row>
    <row r="43">
      <c r="A43" s="37">
        <f>COUNTIF(I24:I41,"Correcto")&amp;" de "&amp;B5&amp;" tornillos con el apriete completo y correcto · "&amp;COUNTIF(J24:J41,"Sustituir*")&amp;" tornillos para sustituir"</f>
        <v/>
      </c>
    </row>
  </sheetData>
  <dataValidations count="1">
    <dataValidation sqref="B5" showDropDown="0" showInputMessage="0" showErrorMessage="0" allowBlank="0" type="list">
      <formula1>'Datos apriete'!$A$3:$A$8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52" customWidth="1" min="3" max="3"/>
  </cols>
  <sheetData>
    <row r="1">
      <c r="A1" s="1" t="inlineStr">
        <is>
          <t>Simulador · Comprobación de los muelles de válvula (ley de Hooke)</t>
        </is>
      </c>
    </row>
    <row r="2">
      <c r="A2" s="2" t="inlineStr">
        <is>
          <t>Sistemas del Funcionamiento del Motor (MA.02.06) · Unidad 3 · Edite solo las celdas amarillas (texto azul); todo lo demás se recalcula.</t>
        </is>
      </c>
    </row>
    <row r="4">
      <c r="A4" s="3" t="inlineStr">
        <is>
          <t>Datos de entrada</t>
        </is>
      </c>
      <c r="B4" s="3" t="inlineStr">
        <is>
          <t>Valor</t>
        </is>
      </c>
    </row>
    <row r="5">
      <c r="A5" s="4" t="inlineStr">
        <is>
          <t>Longitud libre especificada (mm)</t>
        </is>
      </c>
      <c r="B5" s="5" t="n">
        <v>45</v>
      </c>
    </row>
    <row r="6">
      <c r="A6" s="4" t="inlineStr">
        <is>
          <t>Longitud libre mínima admisible (mm)</t>
        </is>
      </c>
      <c r="B6" s="5" t="n">
        <v>43.8</v>
      </c>
    </row>
    <row r="7">
      <c r="A7" s="4" t="inlineStr">
        <is>
          <t>Longitud libre medida (mm)</t>
        </is>
      </c>
      <c r="B7" s="5" t="n">
        <v>44.5</v>
      </c>
    </row>
    <row r="8">
      <c r="A8" s="4" t="inlineStr">
        <is>
          <t>Altura de montaje, válvula cerrada (mm)</t>
        </is>
      </c>
      <c r="B8" s="5" t="n">
        <v>38</v>
      </c>
    </row>
    <row r="9">
      <c r="A9" s="4" t="inlineStr">
        <is>
          <t>Fuerza especificada a la altura de montaje (N)</t>
        </is>
      </c>
      <c r="B9" s="5" t="n">
        <v>230</v>
      </c>
    </row>
    <row r="10">
      <c r="A10" s="4" t="inlineStr">
        <is>
          <t>Fuerza medida en el probador a la altura de montaje (N)</t>
        </is>
      </c>
      <c r="B10" s="5" t="n">
        <v>214</v>
      </c>
    </row>
    <row r="11">
      <c r="A11" s="4" t="inlineStr">
        <is>
          <t>Alzada de la válvula (mm)</t>
        </is>
      </c>
      <c r="B11" s="5" t="n">
        <v>9</v>
      </c>
    </row>
    <row r="12">
      <c r="A12" s="4" t="inlineStr">
        <is>
          <t>Altura sólida, espiras juntas (mm)</t>
        </is>
      </c>
      <c r="B12" s="5" t="n">
        <v>26.5</v>
      </c>
    </row>
    <row r="13">
      <c r="A13" s="4" t="inlineStr">
        <is>
          <t>Falta de perpendicularidad medida (mm)</t>
        </is>
      </c>
      <c r="B13" s="5" t="n">
        <v>0.9</v>
      </c>
    </row>
    <row r="14">
      <c r="A14" s="4" t="inlineStr">
        <is>
          <t>Falta de perpendicularidad máxima (mm)</t>
        </is>
      </c>
      <c r="B14" s="5" t="n">
        <v>1.5</v>
      </c>
    </row>
    <row r="15">
      <c r="A15" s="4" t="inlineStr">
        <is>
          <t>Pérdida de fuerza admisible (%)</t>
        </is>
      </c>
      <c r="B15" s="5" t="n">
        <v>10</v>
      </c>
    </row>
    <row r="17">
      <c r="A17" s="3" t="inlineStr">
        <is>
          <t>Resultados</t>
        </is>
      </c>
      <c r="B17" s="3" t="inlineStr">
        <is>
          <t>Valor</t>
        </is>
      </c>
      <c r="C17" s="3" t="inlineStr">
        <is>
          <t>Cómo se obtiene</t>
        </is>
      </c>
    </row>
    <row r="18">
      <c r="A18" s="10" t="inlineStr">
        <is>
          <t>Rigidez especificada k (N/mm)</t>
        </is>
      </c>
      <c r="B18" s="18">
        <f>B9/(B5-B8)</f>
        <v/>
      </c>
      <c r="C18" s="19" t="inlineStr">
        <is>
          <t>k = F/(L libre − L montaje)</t>
        </is>
      </c>
    </row>
    <row r="19">
      <c r="A19" s="10" t="inlineStr">
        <is>
          <t>Rigidez del muelle medido (N/mm)</t>
        </is>
      </c>
      <c r="B19" s="18">
        <f>B10/(B7-B8)</f>
        <v/>
      </c>
    </row>
    <row r="20">
      <c r="A20" s="10" t="inlineStr">
        <is>
          <t>Altura con la válvula abierta (mm)</t>
        </is>
      </c>
      <c r="B20" s="18">
        <f>B8-B11</f>
        <v/>
      </c>
    </row>
    <row r="21">
      <c r="A21" s="10" t="inlineStr">
        <is>
          <t>Fuerza especificada con la válvula abierta (N)</t>
        </is>
      </c>
      <c r="B21" s="11">
        <f>B18*(B5-B20)</f>
        <v/>
      </c>
      <c r="C21" s="19" t="inlineStr">
        <is>
          <t>F = k·(L libre − L abierta)</t>
        </is>
      </c>
    </row>
    <row r="22">
      <c r="A22" s="10" t="inlineStr">
        <is>
          <t>Fuerza del muelle medido con la válvula abierta (N)</t>
        </is>
      </c>
      <c r="B22" s="11">
        <f>B19*(B7-B20)</f>
        <v/>
      </c>
    </row>
    <row r="23">
      <c r="A23" s="10" t="inlineStr">
        <is>
          <t>Pérdida de fuerza a la altura de montaje (%)</t>
        </is>
      </c>
      <c r="B23" s="18">
        <f>(1-B10/B9)*100</f>
        <v/>
      </c>
    </row>
    <row r="24">
      <c r="A24" s="10" t="inlineStr">
        <is>
          <t>Margen hasta el bloqueo de espiras (mm)</t>
        </is>
      </c>
      <c r="B24" s="18">
        <f>B20-B12</f>
        <v/>
      </c>
      <c r="C24" s="19" t="inlineStr">
        <is>
          <t>Debe quedar holgura con la válvula abierta</t>
        </is>
      </c>
    </row>
    <row r="26">
      <c r="A26" s="38" t="inlineStr">
        <is>
          <t>Longitud libre</t>
        </is>
      </c>
      <c r="B26" s="39">
        <f>IF(B7&gt;=B6,"Correcta","Sustituir: muelle vencido")</f>
        <v/>
      </c>
      <c r="C26" s="25" t="n"/>
    </row>
    <row r="27">
      <c r="A27" s="38" t="inlineStr">
        <is>
          <t>Fuerza</t>
        </is>
      </c>
      <c r="B27" s="39">
        <f>IF(B23&lt;=B15,"Correcta","Sustituir: el muelle perdió fuerza (riesgo de flotación de la válvula)")</f>
        <v/>
      </c>
      <c r="C27" s="25" t="n"/>
    </row>
    <row r="28">
      <c r="A28" s="38" t="inlineStr">
        <is>
          <t>Perpendicularidad</t>
        </is>
      </c>
      <c r="B28" s="39">
        <f>IF(B13&lt;=B14,"Correcta","Sustituir: muelle deformado")</f>
        <v/>
      </c>
      <c r="C28" s="25" t="n"/>
    </row>
    <row r="29">
      <c r="A29" s="38" t="inlineStr">
        <is>
          <t>Bloqueo de espiras</t>
        </is>
      </c>
      <c r="B29" s="39">
        <f>IF(B24&gt;=1,"Correcto","Peligro: el muelle llega a espiras juntas con la válvula abierta")</f>
        <v/>
      </c>
      <c r="C29" s="25" t="n"/>
    </row>
    <row r="31">
      <c r="A31" s="32">
        <f>IF(AND(B7&gt;=B6,B23&lt;=B15,B13&lt;=B14,B24&gt;=1),"Conclusión: el muelle puede volver a montarse","Conclusión: sustituir el muelle (y comprobar los demás del juego)")</f>
        <v/>
      </c>
    </row>
  </sheetData>
  <mergeCells count="4">
    <mergeCell ref="B27:C27"/>
    <mergeCell ref="B29:C29"/>
    <mergeCell ref="B28:C28"/>
    <mergeCell ref="B26:C26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40" t="inlineStr">
        <is>
          <t>Guía de uso del simulador</t>
        </is>
      </c>
    </row>
    <row r="3" ht="30" customHeight="1">
      <c r="B3" s="41" t="inlineStr">
        <is>
          <t>Objetivo: relacionar los ángulos del diagrama de distribución (AAE, RCE, AAA, RCA) con la curva de alzado de las válvulas y observar cómo un variador de fase modifica el cruce.</t>
        </is>
      </c>
    </row>
    <row r="4">
      <c r="B4" s="42" t="inlineStr">
        <is>
          <t>Cómo usarlo</t>
        </is>
      </c>
    </row>
    <row r="5" ht="30" customHeight="1">
      <c r="B5" s="41" t="inlineStr">
        <is>
          <t>1. En la hoja Simulador escriba los ángulos del motor en las celdas amarillas (tómelos del manual o de Autodata).</t>
        </is>
      </c>
    </row>
    <row r="6" ht="30" customHeight="1">
      <c r="B6" s="41" t="inlineStr">
        <is>
          <t>2. Ajuste la alzada máxima de cada válvula y la fracción de rampa para que el perfil se parezca al de la leva real.</t>
        </is>
      </c>
    </row>
    <row r="7">
      <c r="B7" s="41" t="inlineStr">
        <is>
          <t>3. Indique cuántos grados desplaza el variador cada árbol. Con 0° las tres curvas de cada válvula coinciden.</t>
        </is>
      </c>
    </row>
    <row r="8">
      <c r="B8" s="41" t="inlineStr">
        <is>
          <t>4. Lea en la tabla de resultados el cruce base, máximo y mínimo, y compárelo con los corchetes del gráfico.</t>
        </is>
      </c>
    </row>
    <row r="9">
      <c r="B9" s="42" t="inlineStr">
        <is>
          <t>Actividades propuestas (Unidad 3)</t>
        </is>
      </c>
    </row>
    <row r="10" ht="30" customHeight="1">
      <c r="B10" s="41" t="inlineStr">
        <is>
          <t>a) Con AAE = 45°, RCE = 20°, AAA = 20° y RCA = 50°, calcule a mano la duración de admisión y de escape y verifíquelas con el simulador.</t>
        </is>
      </c>
    </row>
    <row r="11" ht="30" customHeight="1">
      <c r="B11" s="41" t="inlineStr">
        <is>
          <t>b) Ponga la variación de fase de la admisión en 0° y aumente la del escape de 5° en 5°. ¿Cómo cambia el cruce máximo?</t>
        </is>
      </c>
    </row>
    <row r="12" ht="30" customHeight="1">
      <c r="B12" s="41" t="inlineStr">
        <is>
          <t>c) Simule un salto de un diente de la correa (en un piñón de 21 dientes, 360°/21 × 2 ≈ 34° de cigüeñal) desplazando ambas fases. ¿Qué ocurre con el cruce?</t>
        </is>
      </c>
    </row>
    <row r="13">
      <c r="B13" s="41" t="inlineStr">
        <is>
          <t>d) Explique por qué a bajo régimen conviene el cruce mínimo y a alto régimen el cruce máximo.</t>
        </is>
      </c>
    </row>
    <row r="14">
      <c r="B14" s="42" t="inlineStr">
        <is>
          <t>Modelo utilizado</t>
        </is>
      </c>
    </row>
    <row r="15" ht="30" customHeight="1">
      <c r="B15" s="41" t="inlineStr">
        <is>
          <t>La alzada se calcula con flancos en forma de coseno y una meseta central: h = H·(1 − cos(π·u/r))/2 en la subida, H en la meseta y simétrico en la bajada, con u = (θ − apertura)/duración y r = fracción de rampa. Es un modelo didáctico; el perfil real lo define la leva de cada fabricante.</t>
        </is>
      </c>
    </row>
    <row r="16" ht="30" customHeight="1">
      <c r="B16" s="41" t="inlineStr">
        <is>
          <t>Basado en la figura de perfiles posibles de las válvulas de escape y admisión con cruce máximo y mínimo de González Calleja, D. (2018). Motores (2.ª ed.). Paraninfo.</t>
        </is>
      </c>
    </row>
    <row r="18" ht="15" customHeight="1">
      <c r="B18" s="42" t="inlineStr">
        <is>
          <t>Simulador · Salto de dientes</t>
        </is>
      </c>
    </row>
    <row r="19" ht="30" customHeight="1">
      <c r="B19" s="41" t="inlineStr">
        <is>
          <t>Indique cuántos dientes saltó la correa. Compare las curvas en fase y desfasadas y la compresión efectiva. Actividad: ¿por qué un motor con la correa retrasada un diente arranca con dificultad?</t>
        </is>
      </c>
    </row>
    <row r="20" ht="15" customHeight="1">
      <c r="B20" s="42" t="inlineStr">
        <is>
          <t>Simulador · Levas superpuestas</t>
        </is>
      </c>
    </row>
    <row r="21" ht="30" customHeight="1">
      <c r="B21" s="41" t="inlineStr">
        <is>
          <t>Dibuja las dos levas con los ángulos de la hoja Simulador: nariz de cada leva (máxima elevación), apertura, cierre y el arco de cruce. Actividad: aumente el RCE y observe cómo crece el cruce y cambia la separación entre levas (LSA).</t>
        </is>
      </c>
    </row>
    <row r="22" ht="15" customHeight="1">
      <c r="B22" s="42" t="inlineStr">
        <is>
          <t>Simulador · Pastillas de reglaje</t>
        </is>
      </c>
    </row>
    <row r="23" ht="30" customHeight="1">
      <c r="B23" s="41" t="inlineStr">
        <is>
          <t>Registre la holgura medida con galgas y el espesor de la pastilla actual de cada válvula; la hoja calcula la pastilla que hay que montar. Sirve como ficha de la práctica de reglaje del cabezote.</t>
        </is>
      </c>
    </row>
    <row r="25">
      <c r="B25" s="43" t="inlineStr">
        <is>
          <t>Simuladores añadidos (octubre 2026)</t>
        </is>
      </c>
    </row>
    <row r="26">
      <c r="B26" s="42" t="inlineStr">
        <is>
          <t>Simulador · Apriete de culata</t>
        </is>
      </c>
    </row>
    <row r="27" ht="45" customHeight="1">
      <c r="B27" s="41" t="inlineStr">
        <is>
          <t>Seleccione el número de tornillos para ver la secuencia de apriete en espiral y la de aflojado. La tabla de control es la ficha de la práctica: registre el par y el ángulo de cada etapa y la longitud de cada tornillo; la hoja marca los pasos correctos y los tornillos alargados que hay que sustituir.</t>
        </is>
      </c>
    </row>
    <row r="28">
      <c r="B28" s="42" t="inlineStr">
        <is>
          <t>Simulador · Muelles de válvula</t>
        </is>
      </c>
    </row>
    <row r="29" ht="45" customHeight="1">
      <c r="B29" s="41" t="inlineStr">
        <is>
          <t>Registre la longitud libre, la fuerza en el probador, la perpendicularidad y la altura sólida. La hoja calcula la rigidez, la fuerza con la válvula abierta y el margen hasta el bloqueo de espiras, y decide si el muelle se reutiliza.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C8C8C"/>
    <outlinePr summaryBelow="1" summaryRight="1"/>
    <pageSetUpPr/>
  </sheetPr>
  <dimension ref="A1:AM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44" t="inlineStr">
        <is>
          <t>Ángulo cigüeñal (°)</t>
        </is>
      </c>
      <c r="B1" s="44" t="inlineStr">
        <is>
          <t>Escape adelantado</t>
        </is>
      </c>
      <c r="C1" s="44" t="inlineStr">
        <is>
          <t>Escape base</t>
        </is>
      </c>
      <c r="D1" s="44" t="inlineStr">
        <is>
          <t>Escape retrasado</t>
        </is>
      </c>
      <c r="E1" s="44" t="inlineStr">
        <is>
          <t>Admisión adelantada</t>
        </is>
      </c>
      <c r="F1" s="44" t="inlineStr">
        <is>
          <t>Admisión base</t>
        </is>
      </c>
      <c r="G1" s="44" t="inlineStr">
        <is>
          <t>Admisión retrasada</t>
        </is>
      </c>
      <c r="I1" s="44" t="inlineStr">
        <is>
          <t>Cruce máximo x</t>
        </is>
      </c>
      <c r="J1" s="44" t="inlineStr">
        <is>
          <t>Cruce máximo y</t>
        </is>
      </c>
      <c r="K1" s="44" t="inlineStr">
        <is>
          <t>Cruce mínimo x</t>
        </is>
      </c>
      <c r="L1" s="44" t="inlineStr">
        <is>
          <t>Cruce mínimo y</t>
        </is>
      </c>
      <c r="M1" s="44" t="inlineStr">
        <is>
          <t>PMS x</t>
        </is>
      </c>
      <c r="N1" s="44" t="inlineStr">
        <is>
          <t>PMS y</t>
        </is>
      </c>
      <c r="Q1" s="44" t="inlineStr">
        <is>
          <t>Escape desfasado</t>
        </is>
      </c>
      <c r="R1" s="44" t="inlineStr">
        <is>
          <t>Admisión desfasada</t>
        </is>
      </c>
      <c r="W1" s="45" t="inlineStr">
        <is>
          <t>φ árbol (°)</t>
        </is>
      </c>
      <c r="X1" s="45" t="inlineStr">
        <is>
          <t>Esc x</t>
        </is>
      </c>
      <c r="Y1" s="45" t="inlineStr">
        <is>
          <t>Esc y</t>
        </is>
      </c>
      <c r="Z1" s="45" t="inlineStr">
        <is>
          <t>Adm x</t>
        </is>
      </c>
      <c r="AA1" s="45" t="inlineStr">
        <is>
          <t>Adm y</t>
        </is>
      </c>
      <c r="AB1" s="45" t="inlineStr">
        <is>
          <t>Base x</t>
        </is>
      </c>
      <c r="AC1" s="45" t="inlineStr">
        <is>
          <t>Base y</t>
        </is>
      </c>
      <c r="AE1" s="45" t="inlineStr">
        <is>
          <t>Evento</t>
        </is>
      </c>
      <c r="AF1" s="45" t="inlineStr">
        <is>
          <t>φ</t>
        </is>
      </c>
      <c r="AG1" s="45" t="inlineStr">
        <is>
          <t>x0</t>
        </is>
      </c>
      <c r="AH1" s="45" t="inlineStr">
        <is>
          <t>y0</t>
        </is>
      </c>
      <c r="AI1" s="45" t="inlineStr">
        <is>
          <t>x1</t>
        </is>
      </c>
      <c r="AJ1" s="45" t="inlineStr">
        <is>
          <t>y1</t>
        </is>
      </c>
      <c r="AL1" s="45" t="inlineStr">
        <is>
          <t>Cruce x</t>
        </is>
      </c>
      <c r="AM1" s="45" t="inlineStr">
        <is>
          <t>Cruce y</t>
        </is>
      </c>
    </row>
    <row r="2">
      <c r="A2" s="26" t="n">
        <v>0</v>
      </c>
      <c r="B2" s="46">
        <f>IF(OR((($A2-Simulador!$E$5)/Simulador!$G$5)&lt;=0,(($A2-Simulador!$E$5)/Simulador!$G$5)&gt;=1),0,IF((($A2-Simulador!$E$5)/Simulador!$G$5)&lt;Simulador!$B$11,Simulador!$B$9*(1-COS(PI()*(($A2-Simulador!$E$5)/Simulador!$G$5)/Simulador!$B$11))/2,IF((($A2-Simulador!$E$5)/Simulador!$G$5)&gt;1-Simulador!$B$11,Simulador!$B$9*(1-COS(PI()*(1-(($A2-Simulador!$E$5)/Simulador!$G$5))/Simulador!$B$11))/2,Simulador!$B$9)))</f>
        <v/>
      </c>
      <c r="C2" s="46">
        <f>IF(OR((($A2-Simulador!$E$6)/Simulador!$G$6)&lt;=0,(($A2-Simulador!$E$6)/Simulador!$G$6)&gt;=1),0,IF((($A2-Simulador!$E$6)/Simulador!$G$6)&lt;Simulador!$B$11,Simulador!$B$9*(1-COS(PI()*(($A2-Simulador!$E$6)/Simulador!$G$6)/Simulador!$B$11))/2,IF((($A2-Simulador!$E$6)/Simulador!$G$6)&gt;1-Simulador!$B$11,Simulador!$B$9*(1-COS(PI()*(1-(($A2-Simulador!$E$6)/Simulador!$G$6))/Simulador!$B$11))/2,Simulador!$B$9)))</f>
        <v/>
      </c>
      <c r="D2" s="46">
        <f>IF(OR((($A2-Simulador!$E$7)/Simulador!$G$7)&lt;=0,(($A2-Simulador!$E$7)/Simulador!$G$7)&gt;=1),0,IF((($A2-Simulador!$E$7)/Simulador!$G$7)&lt;Simulador!$B$11,Simulador!$B$9*(1-COS(PI()*(($A2-Simulador!$E$7)/Simulador!$G$7)/Simulador!$B$11))/2,IF((($A2-Simulador!$E$7)/Simulador!$G$7)&gt;1-Simulador!$B$11,Simulador!$B$9*(1-COS(PI()*(1-(($A2-Simulador!$E$7)/Simulador!$G$7))/Simulador!$B$11))/2,Simulador!$B$9)))</f>
        <v/>
      </c>
      <c r="E2" s="46">
        <f>IF(OR((($A2-Simulador!$E$8)/Simulador!$G$8)&lt;=0,(($A2-Simulador!$E$8)/Simulador!$G$8)&gt;=1),0,IF((($A2-Simulador!$E$8)/Simulador!$G$8)&lt;Simulador!$B$11,Simulador!$B$10*(1-COS(PI()*(($A2-Simulador!$E$8)/Simulador!$G$8)/Simulador!$B$11))/2,IF((($A2-Simulador!$E$8)/Simulador!$G$8)&gt;1-Simulador!$B$11,Simulador!$B$10*(1-COS(PI()*(1-(($A2-Simulador!$E$8)/Simulador!$G$8))/Simulador!$B$11))/2,Simulador!$B$10)))</f>
        <v/>
      </c>
      <c r="F2" s="46">
        <f>IF(OR((($A2-Simulador!$E$9)/Simulador!$G$9)&lt;=0,(($A2-Simulador!$E$9)/Simulador!$G$9)&gt;=1),0,IF((($A2-Simulador!$E$9)/Simulador!$G$9)&lt;Simulador!$B$11,Simulador!$B$10*(1-COS(PI()*(($A2-Simulador!$E$9)/Simulador!$G$9)/Simulador!$B$11))/2,IF((($A2-Simulador!$E$9)/Simulador!$G$9)&gt;1-Simulador!$B$11,Simulador!$B$10*(1-COS(PI()*(1-(($A2-Simulador!$E$9)/Simulador!$G$9))/Simulador!$B$11))/2,Simulador!$B$10)))</f>
        <v/>
      </c>
      <c r="G2" s="46">
        <f>IF(OR((($A2-Simulador!$E$10)/Simulador!$G$10)&lt;=0,(($A2-Simulador!$E$10)/Simulador!$G$10)&gt;=1),0,IF((($A2-Simulador!$E$10)/Simulador!$G$10)&lt;Simulador!$B$11,Simulador!$B$10*(1-COS(PI()*(($A2-Simulador!$E$10)/Simulador!$G$10)/Simulador!$B$11))/2,IF((($A2-Simulador!$E$10)/Simulador!$G$10)&gt;1-Simulador!$B$11,Simulador!$B$10*(1-COS(PI()*(1-(($A2-Simulador!$E$10)/Simulador!$G$10))/Simulador!$B$11))/2,Simulador!$B$10)))</f>
        <v/>
      </c>
      <c r="I2" s="47">
        <f>Simulador!$E$8</f>
        <v/>
      </c>
      <c r="J2" s="47" t="n">
        <v>0</v>
      </c>
      <c r="K2" s="47">
        <f>Simulador!$E$10</f>
        <v/>
      </c>
      <c r="L2" s="47" t="n">
        <v>0</v>
      </c>
      <c r="M2" s="47" t="n">
        <v>360</v>
      </c>
      <c r="N2" s="47" t="n">
        <v>0</v>
      </c>
      <c r="Q2" s="48">
        <f>IF(OR((($A2-(Simulador!$E$6+'Salto de dientes'!$B$12))/Simulador!$G$6)&lt;=0,(($A2-(Simulador!$E$6+'Salto de dientes'!$B$12))/Simulador!$G$6)&gt;=1),0,IF((($A2-(Simulador!$E$6+'Salto de dientes'!$B$12))/Simulador!$G$6)&lt;Simulador!$B$11,Simulador!$B$9*(1-COS(PI()*(($A2-(Simulador!$E$6+'Salto de dientes'!$B$12))/Simulador!$G$6)/Simulador!$B$11))/2,IF((($A2-(Simulador!$E$6+'Salto de dientes'!$B$12))/Simulador!$G$6)&gt;1-Simulador!$B$11,Simulador!$B$9*(1-COS(PI()*(1-(($A2-(Simulador!$E$6+'Salto de dientes'!$B$12))/Simulador!$G$6))/Simulador!$B$11))/2,Simulador!$B$9)))</f>
        <v/>
      </c>
      <c r="R2" s="48">
        <f>IF(OR((($A2-(Simulador!$E$9+'Salto de dientes'!$B$12))/Simulador!$G$9)&lt;=0,(($A2-(Simulador!$E$9+'Salto de dientes'!$B$12))/Simulador!$G$9)&gt;=1),0,IF((($A2-(Simulador!$E$9+'Salto de dientes'!$B$12))/Simulador!$G$9)&lt;Simulador!$B$11,Simulador!$B$10*(1-COS(PI()*(($A2-(Simulador!$E$9+'Salto de dientes'!$B$12))/Simulador!$G$9)/Simulador!$B$11))/2,IF((($A2-(Simulador!$E$9+'Salto de dientes'!$B$12))/Simulador!$G$9)&gt;1-Simulador!$B$11,Simulador!$B$10*(1-COS(PI()*(1-(($A2-(Simulador!$E$9+'Salto de dientes'!$B$12))/Simulador!$G$9))/Simulador!$B$11))/2,Simulador!$B$10)))</f>
        <v/>
      </c>
      <c r="W2" t="n">
        <v>-180</v>
      </c>
      <c r="X2" s="48">
        <f>('Levas superpuestas'!$B$5+IF(OR(((W2-('Levas superpuestas'!$B$14-'Levas superpuestas'!$B$8/4))/('Levas superpuestas'!$B$8/2))&lt;=0,((W2-('Levas superpuestas'!$B$14-'Levas superpuestas'!$B$8/4))/('Levas superpuestas'!$B$8/2))&gt;=1),0,IF(((W2-('Levas superpuestas'!$B$14-'Levas superpuestas'!$B$8/4))/('Levas superpuestas'!$B$8/2))&lt;Simulador!$B$11,Simulador!$B$9*(1-COS(PI()*((W2-('Levas superpuestas'!$B$14-'Levas superpuestas'!$B$8/4))/('Levas superpuestas'!$B$8/2))/Simulador!$B$11))/2,IF(((W2-('Levas superpuestas'!$B$14-'Levas superpuestas'!$B$8/4))/('Levas superpuestas'!$B$8/2))&gt;1-Simulador!$B$11,Simulador!$B$9*(1-COS(PI()*(1-((W2-('Levas superpuestas'!$B$14-'Levas superpuestas'!$B$8/4))/('Levas superpuestas'!$B$8/2)))/Simulador!$B$11))/2,Simulador!$B$9))))*SIN(RADIANS(W2))</f>
        <v/>
      </c>
      <c r="Y2" s="48">
        <f>('Levas superpuestas'!$B$5+IF(OR(((W2-('Levas superpuestas'!$B$14-'Levas superpuestas'!$B$8/4))/('Levas superpuestas'!$B$8/2))&lt;=0,((W2-('Levas superpuestas'!$B$14-'Levas superpuestas'!$B$8/4))/('Levas superpuestas'!$B$8/2))&gt;=1),0,IF(((W2-('Levas superpuestas'!$B$14-'Levas superpuestas'!$B$8/4))/('Levas superpuestas'!$B$8/2))&lt;Simulador!$B$11,Simulador!$B$9*(1-COS(PI()*((W2-('Levas superpuestas'!$B$14-'Levas superpuestas'!$B$8/4))/('Levas superpuestas'!$B$8/2))/Simulador!$B$11))/2,IF(((W2-('Levas superpuestas'!$B$14-'Levas superpuestas'!$B$8/4))/('Levas superpuestas'!$B$8/2))&gt;1-Simulador!$B$11,Simulador!$B$9*(1-COS(PI()*(1-((W2-('Levas superpuestas'!$B$14-'Levas superpuestas'!$B$8/4))/('Levas superpuestas'!$B$8/2)))/Simulador!$B$11))/2,Simulador!$B$9))))*COS(RADIANS(W2))</f>
        <v/>
      </c>
      <c r="Z2" s="48">
        <f>('Levas superpuestas'!$B$5+IF(OR(((W2-('Levas superpuestas'!$B$15-'Levas superpuestas'!$B$9/4))/('Levas superpuestas'!$B$9/2))&lt;=0,((W2-('Levas superpuestas'!$B$15-'Levas superpuestas'!$B$9/4))/('Levas superpuestas'!$B$9/2))&gt;=1),0,IF(((W2-('Levas superpuestas'!$B$15-'Levas superpuestas'!$B$9/4))/('Levas superpuestas'!$B$9/2))&lt;Simulador!$B$11,Simulador!$B$10*(1-COS(PI()*((W2-('Levas superpuestas'!$B$15-'Levas superpuestas'!$B$9/4))/('Levas superpuestas'!$B$9/2))/Simulador!$B$11))/2,IF(((W2-('Levas superpuestas'!$B$15-'Levas superpuestas'!$B$9/4))/('Levas superpuestas'!$B$9/2))&gt;1-Simulador!$B$11,Simulador!$B$10*(1-COS(PI()*(1-((W2-('Levas superpuestas'!$B$15-'Levas superpuestas'!$B$9/4))/('Levas superpuestas'!$B$9/2)))/Simulador!$B$11))/2,Simulador!$B$10))))*SIN(RADIANS(W2))</f>
        <v/>
      </c>
      <c r="AA2" s="48">
        <f>('Levas superpuestas'!$B$5+IF(OR(((W2-('Levas superpuestas'!$B$15-'Levas superpuestas'!$B$9/4))/('Levas superpuestas'!$B$9/2))&lt;=0,((W2-('Levas superpuestas'!$B$15-'Levas superpuestas'!$B$9/4))/('Levas superpuestas'!$B$9/2))&gt;=1),0,IF(((W2-('Levas superpuestas'!$B$15-'Levas superpuestas'!$B$9/4))/('Levas superpuestas'!$B$9/2))&lt;Simulador!$B$11,Simulador!$B$10*(1-COS(PI()*((W2-('Levas superpuestas'!$B$15-'Levas superpuestas'!$B$9/4))/('Levas superpuestas'!$B$9/2))/Simulador!$B$11))/2,IF(((W2-('Levas superpuestas'!$B$15-'Levas superpuestas'!$B$9/4))/('Levas superpuestas'!$B$9/2))&gt;1-Simulador!$B$11,Simulador!$B$10*(1-COS(PI()*(1-((W2-('Levas superpuestas'!$B$15-'Levas superpuestas'!$B$9/4))/('Levas superpuestas'!$B$9/2)))/Simulador!$B$11))/2,Simulador!$B$10))))*COS(RADIANS(W2))</f>
        <v/>
      </c>
      <c r="AB2">
        <f>'Levas superpuestas'!$B$5*SIN(RADIANS(W2))</f>
        <v/>
      </c>
      <c r="AC2">
        <f>'Levas superpuestas'!$B$5*COS(RADIANS(W2))</f>
        <v/>
      </c>
      <c r="AE2" t="inlineStr">
        <is>
          <t>MÁXIMA ELEVACIÓN ESCAPE</t>
        </is>
      </c>
      <c r="AF2">
        <f>'Levas superpuestas'!$B$14</f>
        <v/>
      </c>
      <c r="AG2" t="n">
        <v>0</v>
      </c>
      <c r="AH2" t="n">
        <v>0</v>
      </c>
      <c r="AL2">
        <f>0.55*'Levas superpuestas'!$B$5*SIN(RADIANS((('Levas superpuestas'!$B$15-'Levas superpuestas'!$B$9/4)+0/20*(('Levas superpuestas'!$B$14+'Levas superpuestas'!$B$8/4)-('Levas superpuestas'!$B$15-'Levas superpuestas'!$B$9/4)))))</f>
        <v/>
      </c>
      <c r="AM2">
        <f>0.55*'Levas superpuestas'!$B$5*COS(RADIANS((('Levas superpuestas'!$B$15-'Levas superpuestas'!$B$9/4)+0/20*(('Levas superpuestas'!$B$14+'Levas superpuestas'!$B$8/4)-('Levas superpuestas'!$B$15-'Levas superpuestas'!$B$9/4)))))</f>
        <v/>
      </c>
    </row>
    <row r="3">
      <c r="A3" s="26">
        <f>A2+Simulador!$B$14</f>
        <v/>
      </c>
      <c r="B3" s="46">
        <f>IF(OR((($A3-Simulador!$E$5)/Simulador!$G$5)&lt;=0,(($A3-Simulador!$E$5)/Simulador!$G$5)&gt;=1),0,IF((($A3-Simulador!$E$5)/Simulador!$G$5)&lt;Simulador!$B$11,Simulador!$B$9*(1-COS(PI()*(($A3-Simulador!$E$5)/Simulador!$G$5)/Simulador!$B$11))/2,IF((($A3-Simulador!$E$5)/Simulador!$G$5)&gt;1-Simulador!$B$11,Simulador!$B$9*(1-COS(PI()*(1-(($A3-Simulador!$E$5)/Simulador!$G$5))/Simulador!$B$11))/2,Simulador!$B$9)))</f>
        <v/>
      </c>
      <c r="C3" s="46">
        <f>IF(OR((($A3-Simulador!$E$6)/Simulador!$G$6)&lt;=0,(($A3-Simulador!$E$6)/Simulador!$G$6)&gt;=1),0,IF((($A3-Simulador!$E$6)/Simulador!$G$6)&lt;Simulador!$B$11,Simulador!$B$9*(1-COS(PI()*(($A3-Simulador!$E$6)/Simulador!$G$6)/Simulador!$B$11))/2,IF((($A3-Simulador!$E$6)/Simulador!$G$6)&gt;1-Simulador!$B$11,Simulador!$B$9*(1-COS(PI()*(1-(($A3-Simulador!$E$6)/Simulador!$G$6))/Simulador!$B$11))/2,Simulador!$B$9)))</f>
        <v/>
      </c>
      <c r="D3" s="46">
        <f>IF(OR((($A3-Simulador!$E$7)/Simulador!$G$7)&lt;=0,(($A3-Simulador!$E$7)/Simulador!$G$7)&gt;=1),0,IF((($A3-Simulador!$E$7)/Simulador!$G$7)&lt;Simulador!$B$11,Simulador!$B$9*(1-COS(PI()*(($A3-Simulador!$E$7)/Simulador!$G$7)/Simulador!$B$11))/2,IF((($A3-Simulador!$E$7)/Simulador!$G$7)&gt;1-Simulador!$B$11,Simulador!$B$9*(1-COS(PI()*(1-(($A3-Simulador!$E$7)/Simulador!$G$7))/Simulador!$B$11))/2,Simulador!$B$9)))</f>
        <v/>
      </c>
      <c r="E3" s="46">
        <f>IF(OR((($A3-Simulador!$E$8)/Simulador!$G$8)&lt;=0,(($A3-Simulador!$E$8)/Simulador!$G$8)&gt;=1),0,IF((($A3-Simulador!$E$8)/Simulador!$G$8)&lt;Simulador!$B$11,Simulador!$B$10*(1-COS(PI()*(($A3-Simulador!$E$8)/Simulador!$G$8)/Simulador!$B$11))/2,IF((($A3-Simulador!$E$8)/Simulador!$G$8)&gt;1-Simulador!$B$11,Simulador!$B$10*(1-COS(PI()*(1-(($A3-Simulador!$E$8)/Simulador!$G$8))/Simulador!$B$11))/2,Simulador!$B$10)))</f>
        <v/>
      </c>
      <c r="F3" s="46">
        <f>IF(OR((($A3-Simulador!$E$9)/Simulador!$G$9)&lt;=0,(($A3-Simulador!$E$9)/Simulador!$G$9)&gt;=1),0,IF((($A3-Simulador!$E$9)/Simulador!$G$9)&lt;Simulador!$B$11,Simulador!$B$10*(1-COS(PI()*(($A3-Simulador!$E$9)/Simulador!$G$9)/Simulador!$B$11))/2,IF((($A3-Simulador!$E$9)/Simulador!$G$9)&gt;1-Simulador!$B$11,Simulador!$B$10*(1-COS(PI()*(1-(($A3-Simulador!$E$9)/Simulador!$G$9))/Simulador!$B$11))/2,Simulador!$B$10)))</f>
        <v/>
      </c>
      <c r="G3" s="46">
        <f>IF(OR((($A3-Simulador!$E$10)/Simulador!$G$10)&lt;=0,(($A3-Simulador!$E$10)/Simulador!$G$10)&gt;=1),0,IF((($A3-Simulador!$E$10)/Simulador!$G$10)&lt;Simulador!$B$11,Simulador!$B$10*(1-COS(PI()*(($A3-Simulador!$E$10)/Simulador!$G$10)/Simulador!$B$11))/2,IF((($A3-Simulador!$E$10)/Simulador!$G$10)&gt;1-Simulador!$B$11,Simulador!$B$10*(1-COS(PI()*(1-(($A3-Simulador!$E$10)/Simulador!$G$10))/Simulador!$B$11))/2,Simulador!$B$10)))</f>
        <v/>
      </c>
      <c r="I3" s="47">
        <f>Simulador!$E$8</f>
        <v/>
      </c>
      <c r="J3" s="47" t="n">
        <v>0.05</v>
      </c>
      <c r="K3" s="47">
        <f>Simulador!$E$10</f>
        <v/>
      </c>
      <c r="L3" s="47" t="n">
        <v>0.05</v>
      </c>
      <c r="M3" s="47" t="n">
        <v>360</v>
      </c>
      <c r="N3" s="47">
        <f>MAX(Simulador!$B$9,Simulador!$B$10)*1.05</f>
        <v/>
      </c>
      <c r="Q3" s="48">
        <f>IF(OR((($A3-(Simulador!$E$6+'Salto de dientes'!$B$12))/Simulador!$G$6)&lt;=0,(($A3-(Simulador!$E$6+'Salto de dientes'!$B$12))/Simulador!$G$6)&gt;=1),0,IF((($A3-(Simulador!$E$6+'Salto de dientes'!$B$12))/Simulador!$G$6)&lt;Simulador!$B$11,Simulador!$B$9*(1-COS(PI()*(($A3-(Simulador!$E$6+'Salto de dientes'!$B$12))/Simulador!$G$6)/Simulador!$B$11))/2,IF((($A3-(Simulador!$E$6+'Salto de dientes'!$B$12))/Simulador!$G$6)&gt;1-Simulador!$B$11,Simulador!$B$9*(1-COS(PI()*(1-(($A3-(Simulador!$E$6+'Salto de dientes'!$B$12))/Simulador!$G$6))/Simulador!$B$11))/2,Simulador!$B$9)))</f>
        <v/>
      </c>
      <c r="R3" s="48">
        <f>IF(OR((($A3-(Simulador!$E$9+'Salto de dientes'!$B$12))/Simulador!$G$9)&lt;=0,(($A3-(Simulador!$E$9+'Salto de dientes'!$B$12))/Simulador!$G$9)&gt;=1),0,IF((($A3-(Simulador!$E$9+'Salto de dientes'!$B$12))/Simulador!$G$9)&lt;Simulador!$B$11,Simulador!$B$10*(1-COS(PI()*(($A3-(Simulador!$E$9+'Salto de dientes'!$B$12))/Simulador!$G$9)/Simulador!$B$11))/2,IF((($A3-(Simulador!$E$9+'Salto de dientes'!$B$12))/Simulador!$G$9)&gt;1-Simulador!$B$11,Simulador!$B$10*(1-COS(PI()*(1-(($A3-(Simulador!$E$9+'Salto de dientes'!$B$12))/Simulador!$G$9))/Simulador!$B$11))/2,Simulador!$B$10)))</f>
        <v/>
      </c>
      <c r="W3" t="n">
        <v>-177</v>
      </c>
      <c r="X3" s="48">
        <f>('Levas superpuestas'!$B$5+IF(OR(((W3-('Levas superpuestas'!$B$14-'Levas superpuestas'!$B$8/4))/('Levas superpuestas'!$B$8/2))&lt;=0,((W3-('Levas superpuestas'!$B$14-'Levas superpuestas'!$B$8/4))/('Levas superpuestas'!$B$8/2))&gt;=1),0,IF(((W3-('Levas superpuestas'!$B$14-'Levas superpuestas'!$B$8/4))/('Levas superpuestas'!$B$8/2))&lt;Simulador!$B$11,Simulador!$B$9*(1-COS(PI()*((W3-('Levas superpuestas'!$B$14-'Levas superpuestas'!$B$8/4))/('Levas superpuestas'!$B$8/2))/Simulador!$B$11))/2,IF(((W3-('Levas superpuestas'!$B$14-'Levas superpuestas'!$B$8/4))/('Levas superpuestas'!$B$8/2))&gt;1-Simulador!$B$11,Simulador!$B$9*(1-COS(PI()*(1-((W3-('Levas superpuestas'!$B$14-'Levas superpuestas'!$B$8/4))/('Levas superpuestas'!$B$8/2)))/Simulador!$B$11))/2,Simulador!$B$9))))*SIN(RADIANS(W3))</f>
        <v/>
      </c>
      <c r="Y3" s="48">
        <f>('Levas superpuestas'!$B$5+IF(OR(((W3-('Levas superpuestas'!$B$14-'Levas superpuestas'!$B$8/4))/('Levas superpuestas'!$B$8/2))&lt;=0,((W3-('Levas superpuestas'!$B$14-'Levas superpuestas'!$B$8/4))/('Levas superpuestas'!$B$8/2))&gt;=1),0,IF(((W3-('Levas superpuestas'!$B$14-'Levas superpuestas'!$B$8/4))/('Levas superpuestas'!$B$8/2))&lt;Simulador!$B$11,Simulador!$B$9*(1-COS(PI()*((W3-('Levas superpuestas'!$B$14-'Levas superpuestas'!$B$8/4))/('Levas superpuestas'!$B$8/2))/Simulador!$B$11))/2,IF(((W3-('Levas superpuestas'!$B$14-'Levas superpuestas'!$B$8/4))/('Levas superpuestas'!$B$8/2))&gt;1-Simulador!$B$11,Simulador!$B$9*(1-COS(PI()*(1-((W3-('Levas superpuestas'!$B$14-'Levas superpuestas'!$B$8/4))/('Levas superpuestas'!$B$8/2)))/Simulador!$B$11))/2,Simulador!$B$9))))*COS(RADIANS(W3))</f>
        <v/>
      </c>
      <c r="Z3" s="48">
        <f>('Levas superpuestas'!$B$5+IF(OR(((W3-('Levas superpuestas'!$B$15-'Levas superpuestas'!$B$9/4))/('Levas superpuestas'!$B$9/2))&lt;=0,((W3-('Levas superpuestas'!$B$15-'Levas superpuestas'!$B$9/4))/('Levas superpuestas'!$B$9/2))&gt;=1),0,IF(((W3-('Levas superpuestas'!$B$15-'Levas superpuestas'!$B$9/4))/('Levas superpuestas'!$B$9/2))&lt;Simulador!$B$11,Simulador!$B$10*(1-COS(PI()*((W3-('Levas superpuestas'!$B$15-'Levas superpuestas'!$B$9/4))/('Levas superpuestas'!$B$9/2))/Simulador!$B$11))/2,IF(((W3-('Levas superpuestas'!$B$15-'Levas superpuestas'!$B$9/4))/('Levas superpuestas'!$B$9/2))&gt;1-Simulador!$B$11,Simulador!$B$10*(1-COS(PI()*(1-((W3-('Levas superpuestas'!$B$15-'Levas superpuestas'!$B$9/4))/('Levas superpuestas'!$B$9/2)))/Simulador!$B$11))/2,Simulador!$B$10))))*SIN(RADIANS(W3))</f>
        <v/>
      </c>
      <c r="AA3" s="48">
        <f>('Levas superpuestas'!$B$5+IF(OR(((W3-('Levas superpuestas'!$B$15-'Levas superpuestas'!$B$9/4))/('Levas superpuestas'!$B$9/2))&lt;=0,((W3-('Levas superpuestas'!$B$15-'Levas superpuestas'!$B$9/4))/('Levas superpuestas'!$B$9/2))&gt;=1),0,IF(((W3-('Levas superpuestas'!$B$15-'Levas superpuestas'!$B$9/4))/('Levas superpuestas'!$B$9/2))&lt;Simulador!$B$11,Simulador!$B$10*(1-COS(PI()*((W3-('Levas superpuestas'!$B$15-'Levas superpuestas'!$B$9/4))/('Levas superpuestas'!$B$9/2))/Simulador!$B$11))/2,IF(((W3-('Levas superpuestas'!$B$15-'Levas superpuestas'!$B$9/4))/('Levas superpuestas'!$B$9/2))&gt;1-Simulador!$B$11,Simulador!$B$10*(1-COS(PI()*(1-((W3-('Levas superpuestas'!$B$15-'Levas superpuestas'!$B$9/4))/('Levas superpuestas'!$B$9/2)))/Simulador!$B$11))/2,Simulador!$B$10))))*COS(RADIANS(W3))</f>
        <v/>
      </c>
      <c r="AB3">
        <f>'Levas superpuestas'!$B$5*SIN(RADIANS(W3))</f>
        <v/>
      </c>
      <c r="AC3">
        <f>'Levas superpuestas'!$B$5*COS(RADIANS(W3))</f>
        <v/>
      </c>
      <c r="AG3">
        <f>('Levas superpuestas'!$B$5+MAX(Simulador!$B$9,Simulador!$B$10)+9)*SIN(RADIANS(AF2))</f>
        <v/>
      </c>
      <c r="AH3">
        <f>('Levas superpuestas'!$B$5+MAX(Simulador!$B$9,Simulador!$B$10)+9)*COS(RADIANS(AF2))</f>
        <v/>
      </c>
      <c r="AL3">
        <f>0.55*'Levas superpuestas'!$B$5*SIN(RADIANS((('Levas superpuestas'!$B$15-'Levas superpuestas'!$B$9/4)+1/20*(('Levas superpuestas'!$B$14+'Levas superpuestas'!$B$8/4)-('Levas superpuestas'!$B$15-'Levas superpuestas'!$B$9/4)))))</f>
        <v/>
      </c>
      <c r="AM3">
        <f>0.55*'Levas superpuestas'!$B$5*COS(RADIANS((('Levas superpuestas'!$B$15-'Levas superpuestas'!$B$9/4)+1/20*(('Levas superpuestas'!$B$14+'Levas superpuestas'!$B$8/4)-('Levas superpuestas'!$B$15-'Levas superpuestas'!$B$9/4)))))</f>
        <v/>
      </c>
    </row>
    <row r="4">
      <c r="A4" s="26">
        <f>A3+Simulador!$B$14</f>
        <v/>
      </c>
      <c r="B4" s="46">
        <f>IF(OR((($A4-Simulador!$E$5)/Simulador!$G$5)&lt;=0,(($A4-Simulador!$E$5)/Simulador!$G$5)&gt;=1),0,IF((($A4-Simulador!$E$5)/Simulador!$G$5)&lt;Simulador!$B$11,Simulador!$B$9*(1-COS(PI()*(($A4-Simulador!$E$5)/Simulador!$G$5)/Simulador!$B$11))/2,IF((($A4-Simulador!$E$5)/Simulador!$G$5)&gt;1-Simulador!$B$11,Simulador!$B$9*(1-COS(PI()*(1-(($A4-Simulador!$E$5)/Simulador!$G$5))/Simulador!$B$11))/2,Simulador!$B$9)))</f>
        <v/>
      </c>
      <c r="C4" s="46">
        <f>IF(OR((($A4-Simulador!$E$6)/Simulador!$G$6)&lt;=0,(($A4-Simulador!$E$6)/Simulador!$G$6)&gt;=1),0,IF((($A4-Simulador!$E$6)/Simulador!$G$6)&lt;Simulador!$B$11,Simulador!$B$9*(1-COS(PI()*(($A4-Simulador!$E$6)/Simulador!$G$6)/Simulador!$B$11))/2,IF((($A4-Simulador!$E$6)/Simulador!$G$6)&gt;1-Simulador!$B$11,Simulador!$B$9*(1-COS(PI()*(1-(($A4-Simulador!$E$6)/Simulador!$G$6))/Simulador!$B$11))/2,Simulador!$B$9)))</f>
        <v/>
      </c>
      <c r="D4" s="46">
        <f>IF(OR((($A4-Simulador!$E$7)/Simulador!$G$7)&lt;=0,(($A4-Simulador!$E$7)/Simulador!$G$7)&gt;=1),0,IF((($A4-Simulador!$E$7)/Simulador!$G$7)&lt;Simulador!$B$11,Simulador!$B$9*(1-COS(PI()*(($A4-Simulador!$E$7)/Simulador!$G$7)/Simulador!$B$11))/2,IF((($A4-Simulador!$E$7)/Simulador!$G$7)&gt;1-Simulador!$B$11,Simulador!$B$9*(1-COS(PI()*(1-(($A4-Simulador!$E$7)/Simulador!$G$7))/Simulador!$B$11))/2,Simulador!$B$9)))</f>
        <v/>
      </c>
      <c r="E4" s="46">
        <f>IF(OR((($A4-Simulador!$E$8)/Simulador!$G$8)&lt;=0,(($A4-Simulador!$E$8)/Simulador!$G$8)&gt;=1),0,IF((($A4-Simulador!$E$8)/Simulador!$G$8)&lt;Simulador!$B$11,Simulador!$B$10*(1-COS(PI()*(($A4-Simulador!$E$8)/Simulador!$G$8)/Simulador!$B$11))/2,IF((($A4-Simulador!$E$8)/Simulador!$G$8)&gt;1-Simulador!$B$11,Simulador!$B$10*(1-COS(PI()*(1-(($A4-Simulador!$E$8)/Simulador!$G$8))/Simulador!$B$11))/2,Simulador!$B$10)))</f>
        <v/>
      </c>
      <c r="F4" s="46">
        <f>IF(OR((($A4-Simulador!$E$9)/Simulador!$G$9)&lt;=0,(($A4-Simulador!$E$9)/Simulador!$G$9)&gt;=1),0,IF((($A4-Simulador!$E$9)/Simulador!$G$9)&lt;Simulador!$B$11,Simulador!$B$10*(1-COS(PI()*(($A4-Simulador!$E$9)/Simulador!$G$9)/Simulador!$B$11))/2,IF((($A4-Simulador!$E$9)/Simulador!$G$9)&gt;1-Simulador!$B$11,Simulador!$B$10*(1-COS(PI()*(1-(($A4-Simulador!$E$9)/Simulador!$G$9))/Simulador!$B$11))/2,Simulador!$B$10)))</f>
        <v/>
      </c>
      <c r="G4" s="46">
        <f>IF(OR((($A4-Simulador!$E$10)/Simulador!$G$10)&lt;=0,(($A4-Simulador!$E$10)/Simulador!$G$10)&gt;=1),0,IF((($A4-Simulador!$E$10)/Simulador!$G$10)&lt;Simulador!$B$11,Simulador!$B$10*(1-COS(PI()*(($A4-Simulador!$E$10)/Simulador!$G$10)/Simulador!$B$11))/2,IF((($A4-Simulador!$E$10)/Simulador!$G$10)&gt;1-Simulador!$B$11,Simulador!$B$10*(1-COS(PI()*(1-(($A4-Simulador!$E$10)/Simulador!$G$10))/Simulador!$B$11))/2,Simulador!$B$10)))</f>
        <v/>
      </c>
      <c r="I4" s="47">
        <f>Simulador!$E$8</f>
        <v/>
      </c>
      <c r="J4" s="47">
        <f>MAX(Simulador!$B$9,Simulador!$B$10)*1.32-0.05</f>
        <v/>
      </c>
      <c r="K4" s="47">
        <f>Simulador!$E$10</f>
        <v/>
      </c>
      <c r="L4" s="47">
        <f>MAX(Simulador!$B$9,Simulador!$B$10)*1.16-0.05</f>
        <v/>
      </c>
      <c r="M4" s="47" t="n"/>
      <c r="N4" s="47" t="n"/>
      <c r="Q4" s="48">
        <f>IF(OR((($A4-(Simulador!$E$6+'Salto de dientes'!$B$12))/Simulador!$G$6)&lt;=0,(($A4-(Simulador!$E$6+'Salto de dientes'!$B$12))/Simulador!$G$6)&gt;=1),0,IF((($A4-(Simulador!$E$6+'Salto de dientes'!$B$12))/Simulador!$G$6)&lt;Simulador!$B$11,Simulador!$B$9*(1-COS(PI()*(($A4-(Simulador!$E$6+'Salto de dientes'!$B$12))/Simulador!$G$6)/Simulador!$B$11))/2,IF((($A4-(Simulador!$E$6+'Salto de dientes'!$B$12))/Simulador!$G$6)&gt;1-Simulador!$B$11,Simulador!$B$9*(1-COS(PI()*(1-(($A4-(Simulador!$E$6+'Salto de dientes'!$B$12))/Simulador!$G$6))/Simulador!$B$11))/2,Simulador!$B$9)))</f>
        <v/>
      </c>
      <c r="R4" s="48">
        <f>IF(OR((($A4-(Simulador!$E$9+'Salto de dientes'!$B$12))/Simulador!$G$9)&lt;=0,(($A4-(Simulador!$E$9+'Salto de dientes'!$B$12))/Simulador!$G$9)&gt;=1),0,IF((($A4-(Simulador!$E$9+'Salto de dientes'!$B$12))/Simulador!$G$9)&lt;Simulador!$B$11,Simulador!$B$10*(1-COS(PI()*(($A4-(Simulador!$E$9+'Salto de dientes'!$B$12))/Simulador!$G$9)/Simulador!$B$11))/2,IF((($A4-(Simulador!$E$9+'Salto de dientes'!$B$12))/Simulador!$G$9)&gt;1-Simulador!$B$11,Simulador!$B$10*(1-COS(PI()*(1-(($A4-(Simulador!$E$9+'Salto de dientes'!$B$12))/Simulador!$G$9))/Simulador!$B$11))/2,Simulador!$B$10)))</f>
        <v/>
      </c>
      <c r="W4" t="n">
        <v>-174</v>
      </c>
      <c r="X4" s="48">
        <f>('Levas superpuestas'!$B$5+IF(OR(((W4-('Levas superpuestas'!$B$14-'Levas superpuestas'!$B$8/4))/('Levas superpuestas'!$B$8/2))&lt;=0,((W4-('Levas superpuestas'!$B$14-'Levas superpuestas'!$B$8/4))/('Levas superpuestas'!$B$8/2))&gt;=1),0,IF(((W4-('Levas superpuestas'!$B$14-'Levas superpuestas'!$B$8/4))/('Levas superpuestas'!$B$8/2))&lt;Simulador!$B$11,Simulador!$B$9*(1-COS(PI()*((W4-('Levas superpuestas'!$B$14-'Levas superpuestas'!$B$8/4))/('Levas superpuestas'!$B$8/2))/Simulador!$B$11))/2,IF(((W4-('Levas superpuestas'!$B$14-'Levas superpuestas'!$B$8/4))/('Levas superpuestas'!$B$8/2))&gt;1-Simulador!$B$11,Simulador!$B$9*(1-COS(PI()*(1-((W4-('Levas superpuestas'!$B$14-'Levas superpuestas'!$B$8/4))/('Levas superpuestas'!$B$8/2)))/Simulador!$B$11))/2,Simulador!$B$9))))*SIN(RADIANS(W4))</f>
        <v/>
      </c>
      <c r="Y4" s="48">
        <f>('Levas superpuestas'!$B$5+IF(OR(((W4-('Levas superpuestas'!$B$14-'Levas superpuestas'!$B$8/4))/('Levas superpuestas'!$B$8/2))&lt;=0,((W4-('Levas superpuestas'!$B$14-'Levas superpuestas'!$B$8/4))/('Levas superpuestas'!$B$8/2))&gt;=1),0,IF(((W4-('Levas superpuestas'!$B$14-'Levas superpuestas'!$B$8/4))/('Levas superpuestas'!$B$8/2))&lt;Simulador!$B$11,Simulador!$B$9*(1-COS(PI()*((W4-('Levas superpuestas'!$B$14-'Levas superpuestas'!$B$8/4))/('Levas superpuestas'!$B$8/2))/Simulador!$B$11))/2,IF(((W4-('Levas superpuestas'!$B$14-'Levas superpuestas'!$B$8/4))/('Levas superpuestas'!$B$8/2))&gt;1-Simulador!$B$11,Simulador!$B$9*(1-COS(PI()*(1-((W4-('Levas superpuestas'!$B$14-'Levas superpuestas'!$B$8/4))/('Levas superpuestas'!$B$8/2)))/Simulador!$B$11))/2,Simulador!$B$9))))*COS(RADIANS(W4))</f>
        <v/>
      </c>
      <c r="Z4" s="48">
        <f>('Levas superpuestas'!$B$5+IF(OR(((W4-('Levas superpuestas'!$B$15-'Levas superpuestas'!$B$9/4))/('Levas superpuestas'!$B$9/2))&lt;=0,((W4-('Levas superpuestas'!$B$15-'Levas superpuestas'!$B$9/4))/('Levas superpuestas'!$B$9/2))&gt;=1),0,IF(((W4-('Levas superpuestas'!$B$15-'Levas superpuestas'!$B$9/4))/('Levas superpuestas'!$B$9/2))&lt;Simulador!$B$11,Simulador!$B$10*(1-COS(PI()*((W4-('Levas superpuestas'!$B$15-'Levas superpuestas'!$B$9/4))/('Levas superpuestas'!$B$9/2))/Simulador!$B$11))/2,IF(((W4-('Levas superpuestas'!$B$15-'Levas superpuestas'!$B$9/4))/('Levas superpuestas'!$B$9/2))&gt;1-Simulador!$B$11,Simulador!$B$10*(1-COS(PI()*(1-((W4-('Levas superpuestas'!$B$15-'Levas superpuestas'!$B$9/4))/('Levas superpuestas'!$B$9/2)))/Simulador!$B$11))/2,Simulador!$B$10))))*SIN(RADIANS(W4))</f>
        <v/>
      </c>
      <c r="AA4" s="48">
        <f>('Levas superpuestas'!$B$5+IF(OR(((W4-('Levas superpuestas'!$B$15-'Levas superpuestas'!$B$9/4))/('Levas superpuestas'!$B$9/2))&lt;=0,((W4-('Levas superpuestas'!$B$15-'Levas superpuestas'!$B$9/4))/('Levas superpuestas'!$B$9/2))&gt;=1),0,IF(((W4-('Levas superpuestas'!$B$15-'Levas superpuestas'!$B$9/4))/('Levas superpuestas'!$B$9/2))&lt;Simulador!$B$11,Simulador!$B$10*(1-COS(PI()*((W4-('Levas superpuestas'!$B$15-'Levas superpuestas'!$B$9/4))/('Levas superpuestas'!$B$9/2))/Simulador!$B$11))/2,IF(((W4-('Levas superpuestas'!$B$15-'Levas superpuestas'!$B$9/4))/('Levas superpuestas'!$B$9/2))&gt;1-Simulador!$B$11,Simulador!$B$10*(1-COS(PI()*(1-((W4-('Levas superpuestas'!$B$15-'Levas superpuestas'!$B$9/4))/('Levas superpuestas'!$B$9/2)))/Simulador!$B$11))/2,Simulador!$B$10))))*COS(RADIANS(W4))</f>
        <v/>
      </c>
      <c r="AB4">
        <f>'Levas superpuestas'!$B$5*SIN(RADIANS(W4))</f>
        <v/>
      </c>
      <c r="AC4">
        <f>'Levas superpuestas'!$B$5*COS(RADIANS(W4))</f>
        <v/>
      </c>
      <c r="AL4">
        <f>0.55*'Levas superpuestas'!$B$5*SIN(RADIANS((('Levas superpuestas'!$B$15-'Levas superpuestas'!$B$9/4)+2/20*(('Levas superpuestas'!$B$14+'Levas superpuestas'!$B$8/4)-('Levas superpuestas'!$B$15-'Levas superpuestas'!$B$9/4)))))</f>
        <v/>
      </c>
      <c r="AM4">
        <f>0.55*'Levas superpuestas'!$B$5*COS(RADIANS((('Levas superpuestas'!$B$15-'Levas superpuestas'!$B$9/4)+2/20*(('Levas superpuestas'!$B$14+'Levas superpuestas'!$B$8/4)-('Levas superpuestas'!$B$15-'Levas superpuestas'!$B$9/4)))))</f>
        <v/>
      </c>
    </row>
    <row r="5">
      <c r="A5" s="26">
        <f>A4+Simulador!$B$14</f>
        <v/>
      </c>
      <c r="B5" s="46">
        <f>IF(OR((($A5-Simulador!$E$5)/Simulador!$G$5)&lt;=0,(($A5-Simulador!$E$5)/Simulador!$G$5)&gt;=1),0,IF((($A5-Simulador!$E$5)/Simulador!$G$5)&lt;Simulador!$B$11,Simulador!$B$9*(1-COS(PI()*(($A5-Simulador!$E$5)/Simulador!$G$5)/Simulador!$B$11))/2,IF((($A5-Simulador!$E$5)/Simulador!$G$5)&gt;1-Simulador!$B$11,Simulador!$B$9*(1-COS(PI()*(1-(($A5-Simulador!$E$5)/Simulador!$G$5))/Simulador!$B$11))/2,Simulador!$B$9)))</f>
        <v/>
      </c>
      <c r="C5" s="46">
        <f>IF(OR((($A5-Simulador!$E$6)/Simulador!$G$6)&lt;=0,(($A5-Simulador!$E$6)/Simulador!$G$6)&gt;=1),0,IF((($A5-Simulador!$E$6)/Simulador!$G$6)&lt;Simulador!$B$11,Simulador!$B$9*(1-COS(PI()*(($A5-Simulador!$E$6)/Simulador!$G$6)/Simulador!$B$11))/2,IF((($A5-Simulador!$E$6)/Simulador!$G$6)&gt;1-Simulador!$B$11,Simulador!$B$9*(1-COS(PI()*(1-(($A5-Simulador!$E$6)/Simulador!$G$6))/Simulador!$B$11))/2,Simulador!$B$9)))</f>
        <v/>
      </c>
      <c r="D5" s="46">
        <f>IF(OR((($A5-Simulador!$E$7)/Simulador!$G$7)&lt;=0,(($A5-Simulador!$E$7)/Simulador!$G$7)&gt;=1),0,IF((($A5-Simulador!$E$7)/Simulador!$G$7)&lt;Simulador!$B$11,Simulador!$B$9*(1-COS(PI()*(($A5-Simulador!$E$7)/Simulador!$G$7)/Simulador!$B$11))/2,IF((($A5-Simulador!$E$7)/Simulador!$G$7)&gt;1-Simulador!$B$11,Simulador!$B$9*(1-COS(PI()*(1-(($A5-Simulador!$E$7)/Simulador!$G$7))/Simulador!$B$11))/2,Simulador!$B$9)))</f>
        <v/>
      </c>
      <c r="E5" s="46">
        <f>IF(OR((($A5-Simulador!$E$8)/Simulador!$G$8)&lt;=0,(($A5-Simulador!$E$8)/Simulador!$G$8)&gt;=1),0,IF((($A5-Simulador!$E$8)/Simulador!$G$8)&lt;Simulador!$B$11,Simulador!$B$10*(1-COS(PI()*(($A5-Simulador!$E$8)/Simulador!$G$8)/Simulador!$B$11))/2,IF((($A5-Simulador!$E$8)/Simulador!$G$8)&gt;1-Simulador!$B$11,Simulador!$B$10*(1-COS(PI()*(1-(($A5-Simulador!$E$8)/Simulador!$G$8))/Simulador!$B$11))/2,Simulador!$B$10)))</f>
        <v/>
      </c>
      <c r="F5" s="46">
        <f>IF(OR((($A5-Simulador!$E$9)/Simulador!$G$9)&lt;=0,(($A5-Simulador!$E$9)/Simulador!$G$9)&gt;=1),0,IF((($A5-Simulador!$E$9)/Simulador!$G$9)&lt;Simulador!$B$11,Simulador!$B$10*(1-COS(PI()*(($A5-Simulador!$E$9)/Simulador!$G$9)/Simulador!$B$11))/2,IF((($A5-Simulador!$E$9)/Simulador!$G$9)&gt;1-Simulador!$B$11,Simulador!$B$10*(1-COS(PI()*(1-(($A5-Simulador!$E$9)/Simulador!$G$9))/Simulador!$B$11))/2,Simulador!$B$10)))</f>
        <v/>
      </c>
      <c r="G5" s="46">
        <f>IF(OR((($A5-Simulador!$E$10)/Simulador!$G$10)&lt;=0,(($A5-Simulador!$E$10)/Simulador!$G$10)&gt;=1),0,IF((($A5-Simulador!$E$10)/Simulador!$G$10)&lt;Simulador!$B$11,Simulador!$B$10*(1-COS(PI()*(($A5-Simulador!$E$10)/Simulador!$G$10)/Simulador!$B$11))/2,IF((($A5-Simulador!$E$10)/Simulador!$G$10)&gt;1-Simulador!$B$11,Simulador!$B$10*(1-COS(PI()*(1-(($A5-Simulador!$E$10)/Simulador!$G$10))/Simulador!$B$11))/2,Simulador!$B$10)))</f>
        <v/>
      </c>
      <c r="I5" s="47">
        <f>Simulador!$E$8</f>
        <v/>
      </c>
      <c r="J5" s="47">
        <f>MAX(Simulador!$B$9,Simulador!$B$10)*1.32</f>
        <v/>
      </c>
      <c r="K5" s="47">
        <f>Simulador!$E$10</f>
        <v/>
      </c>
      <c r="L5" s="47">
        <f>MAX(Simulador!$B$9,Simulador!$B$10)*1.16</f>
        <v/>
      </c>
      <c r="M5" s="47" t="n"/>
      <c r="N5" s="47" t="n"/>
      <c r="Q5" s="48">
        <f>IF(OR((($A5-(Simulador!$E$6+'Salto de dientes'!$B$12))/Simulador!$G$6)&lt;=0,(($A5-(Simulador!$E$6+'Salto de dientes'!$B$12))/Simulador!$G$6)&gt;=1),0,IF((($A5-(Simulador!$E$6+'Salto de dientes'!$B$12))/Simulador!$G$6)&lt;Simulador!$B$11,Simulador!$B$9*(1-COS(PI()*(($A5-(Simulador!$E$6+'Salto de dientes'!$B$12))/Simulador!$G$6)/Simulador!$B$11))/2,IF((($A5-(Simulador!$E$6+'Salto de dientes'!$B$12))/Simulador!$G$6)&gt;1-Simulador!$B$11,Simulador!$B$9*(1-COS(PI()*(1-(($A5-(Simulador!$E$6+'Salto de dientes'!$B$12))/Simulador!$G$6))/Simulador!$B$11))/2,Simulador!$B$9)))</f>
        <v/>
      </c>
      <c r="R5" s="48">
        <f>IF(OR((($A5-(Simulador!$E$9+'Salto de dientes'!$B$12))/Simulador!$G$9)&lt;=0,(($A5-(Simulador!$E$9+'Salto de dientes'!$B$12))/Simulador!$G$9)&gt;=1),0,IF((($A5-(Simulador!$E$9+'Salto de dientes'!$B$12))/Simulador!$G$9)&lt;Simulador!$B$11,Simulador!$B$10*(1-COS(PI()*(($A5-(Simulador!$E$9+'Salto de dientes'!$B$12))/Simulador!$G$9)/Simulador!$B$11))/2,IF((($A5-(Simulador!$E$9+'Salto de dientes'!$B$12))/Simulador!$G$9)&gt;1-Simulador!$B$11,Simulador!$B$10*(1-COS(PI()*(1-(($A5-(Simulador!$E$9+'Salto de dientes'!$B$12))/Simulador!$G$9))/Simulador!$B$11))/2,Simulador!$B$10)))</f>
        <v/>
      </c>
      <c r="W5" t="n">
        <v>-171</v>
      </c>
      <c r="X5" s="48">
        <f>('Levas superpuestas'!$B$5+IF(OR(((W5-('Levas superpuestas'!$B$14-'Levas superpuestas'!$B$8/4))/('Levas superpuestas'!$B$8/2))&lt;=0,((W5-('Levas superpuestas'!$B$14-'Levas superpuestas'!$B$8/4))/('Levas superpuestas'!$B$8/2))&gt;=1),0,IF(((W5-('Levas superpuestas'!$B$14-'Levas superpuestas'!$B$8/4))/('Levas superpuestas'!$B$8/2))&lt;Simulador!$B$11,Simulador!$B$9*(1-COS(PI()*((W5-('Levas superpuestas'!$B$14-'Levas superpuestas'!$B$8/4))/('Levas superpuestas'!$B$8/2))/Simulador!$B$11))/2,IF(((W5-('Levas superpuestas'!$B$14-'Levas superpuestas'!$B$8/4))/('Levas superpuestas'!$B$8/2))&gt;1-Simulador!$B$11,Simulador!$B$9*(1-COS(PI()*(1-((W5-('Levas superpuestas'!$B$14-'Levas superpuestas'!$B$8/4))/('Levas superpuestas'!$B$8/2)))/Simulador!$B$11))/2,Simulador!$B$9))))*SIN(RADIANS(W5))</f>
        <v/>
      </c>
      <c r="Y5" s="48">
        <f>('Levas superpuestas'!$B$5+IF(OR(((W5-('Levas superpuestas'!$B$14-'Levas superpuestas'!$B$8/4))/('Levas superpuestas'!$B$8/2))&lt;=0,((W5-('Levas superpuestas'!$B$14-'Levas superpuestas'!$B$8/4))/('Levas superpuestas'!$B$8/2))&gt;=1),0,IF(((W5-('Levas superpuestas'!$B$14-'Levas superpuestas'!$B$8/4))/('Levas superpuestas'!$B$8/2))&lt;Simulador!$B$11,Simulador!$B$9*(1-COS(PI()*((W5-('Levas superpuestas'!$B$14-'Levas superpuestas'!$B$8/4))/('Levas superpuestas'!$B$8/2))/Simulador!$B$11))/2,IF(((W5-('Levas superpuestas'!$B$14-'Levas superpuestas'!$B$8/4))/('Levas superpuestas'!$B$8/2))&gt;1-Simulador!$B$11,Simulador!$B$9*(1-COS(PI()*(1-((W5-('Levas superpuestas'!$B$14-'Levas superpuestas'!$B$8/4))/('Levas superpuestas'!$B$8/2)))/Simulador!$B$11))/2,Simulador!$B$9))))*COS(RADIANS(W5))</f>
        <v/>
      </c>
      <c r="Z5" s="48">
        <f>('Levas superpuestas'!$B$5+IF(OR(((W5-('Levas superpuestas'!$B$15-'Levas superpuestas'!$B$9/4))/('Levas superpuestas'!$B$9/2))&lt;=0,((W5-('Levas superpuestas'!$B$15-'Levas superpuestas'!$B$9/4))/('Levas superpuestas'!$B$9/2))&gt;=1),0,IF(((W5-('Levas superpuestas'!$B$15-'Levas superpuestas'!$B$9/4))/('Levas superpuestas'!$B$9/2))&lt;Simulador!$B$11,Simulador!$B$10*(1-COS(PI()*((W5-('Levas superpuestas'!$B$15-'Levas superpuestas'!$B$9/4))/('Levas superpuestas'!$B$9/2))/Simulador!$B$11))/2,IF(((W5-('Levas superpuestas'!$B$15-'Levas superpuestas'!$B$9/4))/('Levas superpuestas'!$B$9/2))&gt;1-Simulador!$B$11,Simulador!$B$10*(1-COS(PI()*(1-((W5-('Levas superpuestas'!$B$15-'Levas superpuestas'!$B$9/4))/('Levas superpuestas'!$B$9/2)))/Simulador!$B$11))/2,Simulador!$B$10))))*SIN(RADIANS(W5))</f>
        <v/>
      </c>
      <c r="AA5" s="48">
        <f>('Levas superpuestas'!$B$5+IF(OR(((W5-('Levas superpuestas'!$B$15-'Levas superpuestas'!$B$9/4))/('Levas superpuestas'!$B$9/2))&lt;=0,((W5-('Levas superpuestas'!$B$15-'Levas superpuestas'!$B$9/4))/('Levas superpuestas'!$B$9/2))&gt;=1),0,IF(((W5-('Levas superpuestas'!$B$15-'Levas superpuestas'!$B$9/4))/('Levas superpuestas'!$B$9/2))&lt;Simulador!$B$11,Simulador!$B$10*(1-COS(PI()*((W5-('Levas superpuestas'!$B$15-'Levas superpuestas'!$B$9/4))/('Levas superpuestas'!$B$9/2))/Simulador!$B$11))/2,IF(((W5-('Levas superpuestas'!$B$15-'Levas superpuestas'!$B$9/4))/('Levas superpuestas'!$B$9/2))&gt;1-Simulador!$B$11,Simulador!$B$10*(1-COS(PI()*(1-((W5-('Levas superpuestas'!$B$15-'Levas superpuestas'!$B$9/4))/('Levas superpuestas'!$B$9/2)))/Simulador!$B$11))/2,Simulador!$B$10))))*COS(RADIANS(W5))</f>
        <v/>
      </c>
      <c r="AB5">
        <f>'Levas superpuestas'!$B$5*SIN(RADIANS(W5))</f>
        <v/>
      </c>
      <c r="AC5">
        <f>'Levas superpuestas'!$B$5*COS(RADIANS(W5))</f>
        <v/>
      </c>
      <c r="AE5" t="inlineStr">
        <is>
          <t>APERTURA ESCAPE</t>
        </is>
      </c>
      <c r="AF5">
        <f>'Levas superpuestas'!$B$14-'Levas superpuestas'!$B$8/4</f>
        <v/>
      </c>
      <c r="AG5" t="n">
        <v>0</v>
      </c>
      <c r="AH5" t="n">
        <v>0</v>
      </c>
      <c r="AL5">
        <f>0.55*'Levas superpuestas'!$B$5*SIN(RADIANS((('Levas superpuestas'!$B$15-'Levas superpuestas'!$B$9/4)+3/20*(('Levas superpuestas'!$B$14+'Levas superpuestas'!$B$8/4)-('Levas superpuestas'!$B$15-'Levas superpuestas'!$B$9/4)))))</f>
        <v/>
      </c>
      <c r="AM5">
        <f>0.55*'Levas superpuestas'!$B$5*COS(RADIANS((('Levas superpuestas'!$B$15-'Levas superpuestas'!$B$9/4)+3/20*(('Levas superpuestas'!$B$14+'Levas superpuestas'!$B$8/4)-('Levas superpuestas'!$B$15-'Levas superpuestas'!$B$9/4)))))</f>
        <v/>
      </c>
    </row>
    <row r="6">
      <c r="A6" s="26">
        <f>A5+Simulador!$B$14</f>
        <v/>
      </c>
      <c r="B6" s="46">
        <f>IF(OR((($A6-Simulador!$E$5)/Simulador!$G$5)&lt;=0,(($A6-Simulador!$E$5)/Simulador!$G$5)&gt;=1),0,IF((($A6-Simulador!$E$5)/Simulador!$G$5)&lt;Simulador!$B$11,Simulador!$B$9*(1-COS(PI()*(($A6-Simulador!$E$5)/Simulador!$G$5)/Simulador!$B$11))/2,IF((($A6-Simulador!$E$5)/Simulador!$G$5)&gt;1-Simulador!$B$11,Simulador!$B$9*(1-COS(PI()*(1-(($A6-Simulador!$E$5)/Simulador!$G$5))/Simulador!$B$11))/2,Simulador!$B$9)))</f>
        <v/>
      </c>
      <c r="C6" s="46">
        <f>IF(OR((($A6-Simulador!$E$6)/Simulador!$G$6)&lt;=0,(($A6-Simulador!$E$6)/Simulador!$G$6)&gt;=1),0,IF((($A6-Simulador!$E$6)/Simulador!$G$6)&lt;Simulador!$B$11,Simulador!$B$9*(1-COS(PI()*(($A6-Simulador!$E$6)/Simulador!$G$6)/Simulador!$B$11))/2,IF((($A6-Simulador!$E$6)/Simulador!$G$6)&gt;1-Simulador!$B$11,Simulador!$B$9*(1-COS(PI()*(1-(($A6-Simulador!$E$6)/Simulador!$G$6))/Simulador!$B$11))/2,Simulador!$B$9)))</f>
        <v/>
      </c>
      <c r="D6" s="46">
        <f>IF(OR((($A6-Simulador!$E$7)/Simulador!$G$7)&lt;=0,(($A6-Simulador!$E$7)/Simulador!$G$7)&gt;=1),0,IF((($A6-Simulador!$E$7)/Simulador!$G$7)&lt;Simulador!$B$11,Simulador!$B$9*(1-COS(PI()*(($A6-Simulador!$E$7)/Simulador!$G$7)/Simulador!$B$11))/2,IF((($A6-Simulador!$E$7)/Simulador!$G$7)&gt;1-Simulador!$B$11,Simulador!$B$9*(1-COS(PI()*(1-(($A6-Simulador!$E$7)/Simulador!$G$7))/Simulador!$B$11))/2,Simulador!$B$9)))</f>
        <v/>
      </c>
      <c r="E6" s="46">
        <f>IF(OR((($A6-Simulador!$E$8)/Simulador!$G$8)&lt;=0,(($A6-Simulador!$E$8)/Simulador!$G$8)&gt;=1),0,IF((($A6-Simulador!$E$8)/Simulador!$G$8)&lt;Simulador!$B$11,Simulador!$B$10*(1-COS(PI()*(($A6-Simulador!$E$8)/Simulador!$G$8)/Simulador!$B$11))/2,IF((($A6-Simulador!$E$8)/Simulador!$G$8)&gt;1-Simulador!$B$11,Simulador!$B$10*(1-COS(PI()*(1-(($A6-Simulador!$E$8)/Simulador!$G$8))/Simulador!$B$11))/2,Simulador!$B$10)))</f>
        <v/>
      </c>
      <c r="F6" s="46">
        <f>IF(OR((($A6-Simulador!$E$9)/Simulador!$G$9)&lt;=0,(($A6-Simulador!$E$9)/Simulador!$G$9)&gt;=1),0,IF((($A6-Simulador!$E$9)/Simulador!$G$9)&lt;Simulador!$B$11,Simulador!$B$10*(1-COS(PI()*(($A6-Simulador!$E$9)/Simulador!$G$9)/Simulador!$B$11))/2,IF((($A6-Simulador!$E$9)/Simulador!$G$9)&gt;1-Simulador!$B$11,Simulador!$B$10*(1-COS(PI()*(1-(($A6-Simulador!$E$9)/Simulador!$G$9))/Simulador!$B$11))/2,Simulador!$B$10)))</f>
        <v/>
      </c>
      <c r="G6" s="46">
        <f>IF(OR((($A6-Simulador!$E$10)/Simulador!$G$10)&lt;=0,(($A6-Simulador!$E$10)/Simulador!$G$10)&gt;=1),0,IF((($A6-Simulador!$E$10)/Simulador!$G$10)&lt;Simulador!$B$11,Simulador!$B$10*(1-COS(PI()*(($A6-Simulador!$E$10)/Simulador!$G$10)/Simulador!$B$11))/2,IF((($A6-Simulador!$E$10)/Simulador!$G$10)&gt;1-Simulador!$B$11,Simulador!$B$10*(1-COS(PI()*(1-(($A6-Simulador!$E$10)/Simulador!$G$10))/Simulador!$B$11))/2,Simulador!$B$10)))</f>
        <v/>
      </c>
      <c r="I6" s="47">
        <f>Simulador!$E$8+0.5</f>
        <v/>
      </c>
      <c r="J6" s="47">
        <f>MAX(Simulador!$B$9,Simulador!$B$10)*1.32</f>
        <v/>
      </c>
      <c r="K6" s="47">
        <f>Simulador!$E$10+0.5</f>
        <v/>
      </c>
      <c r="L6" s="47">
        <f>MAX(Simulador!$B$9,Simulador!$B$10)*1.16</f>
        <v/>
      </c>
      <c r="M6" s="47" t="n"/>
      <c r="N6" s="47" t="n"/>
      <c r="Q6" s="48">
        <f>IF(OR((($A6-(Simulador!$E$6+'Salto de dientes'!$B$12))/Simulador!$G$6)&lt;=0,(($A6-(Simulador!$E$6+'Salto de dientes'!$B$12))/Simulador!$G$6)&gt;=1),0,IF((($A6-(Simulador!$E$6+'Salto de dientes'!$B$12))/Simulador!$G$6)&lt;Simulador!$B$11,Simulador!$B$9*(1-COS(PI()*(($A6-(Simulador!$E$6+'Salto de dientes'!$B$12))/Simulador!$G$6)/Simulador!$B$11))/2,IF((($A6-(Simulador!$E$6+'Salto de dientes'!$B$12))/Simulador!$G$6)&gt;1-Simulador!$B$11,Simulador!$B$9*(1-COS(PI()*(1-(($A6-(Simulador!$E$6+'Salto de dientes'!$B$12))/Simulador!$G$6))/Simulador!$B$11))/2,Simulador!$B$9)))</f>
        <v/>
      </c>
      <c r="R6" s="48">
        <f>IF(OR((($A6-(Simulador!$E$9+'Salto de dientes'!$B$12))/Simulador!$G$9)&lt;=0,(($A6-(Simulador!$E$9+'Salto de dientes'!$B$12))/Simulador!$G$9)&gt;=1),0,IF((($A6-(Simulador!$E$9+'Salto de dientes'!$B$12))/Simulador!$G$9)&lt;Simulador!$B$11,Simulador!$B$10*(1-COS(PI()*(($A6-(Simulador!$E$9+'Salto de dientes'!$B$12))/Simulador!$G$9)/Simulador!$B$11))/2,IF((($A6-(Simulador!$E$9+'Salto de dientes'!$B$12))/Simulador!$G$9)&gt;1-Simulador!$B$11,Simulador!$B$10*(1-COS(PI()*(1-(($A6-(Simulador!$E$9+'Salto de dientes'!$B$12))/Simulador!$G$9))/Simulador!$B$11))/2,Simulador!$B$10)))</f>
        <v/>
      </c>
      <c r="W6" t="n">
        <v>-168</v>
      </c>
      <c r="X6" s="48">
        <f>('Levas superpuestas'!$B$5+IF(OR(((W6-('Levas superpuestas'!$B$14-'Levas superpuestas'!$B$8/4))/('Levas superpuestas'!$B$8/2))&lt;=0,((W6-('Levas superpuestas'!$B$14-'Levas superpuestas'!$B$8/4))/('Levas superpuestas'!$B$8/2))&gt;=1),0,IF(((W6-('Levas superpuestas'!$B$14-'Levas superpuestas'!$B$8/4))/('Levas superpuestas'!$B$8/2))&lt;Simulador!$B$11,Simulador!$B$9*(1-COS(PI()*((W6-('Levas superpuestas'!$B$14-'Levas superpuestas'!$B$8/4))/('Levas superpuestas'!$B$8/2))/Simulador!$B$11))/2,IF(((W6-('Levas superpuestas'!$B$14-'Levas superpuestas'!$B$8/4))/('Levas superpuestas'!$B$8/2))&gt;1-Simulador!$B$11,Simulador!$B$9*(1-COS(PI()*(1-((W6-('Levas superpuestas'!$B$14-'Levas superpuestas'!$B$8/4))/('Levas superpuestas'!$B$8/2)))/Simulador!$B$11))/2,Simulador!$B$9))))*SIN(RADIANS(W6))</f>
        <v/>
      </c>
      <c r="Y6" s="48">
        <f>('Levas superpuestas'!$B$5+IF(OR(((W6-('Levas superpuestas'!$B$14-'Levas superpuestas'!$B$8/4))/('Levas superpuestas'!$B$8/2))&lt;=0,((W6-('Levas superpuestas'!$B$14-'Levas superpuestas'!$B$8/4))/('Levas superpuestas'!$B$8/2))&gt;=1),0,IF(((W6-('Levas superpuestas'!$B$14-'Levas superpuestas'!$B$8/4))/('Levas superpuestas'!$B$8/2))&lt;Simulador!$B$11,Simulador!$B$9*(1-COS(PI()*((W6-('Levas superpuestas'!$B$14-'Levas superpuestas'!$B$8/4))/('Levas superpuestas'!$B$8/2))/Simulador!$B$11))/2,IF(((W6-('Levas superpuestas'!$B$14-'Levas superpuestas'!$B$8/4))/('Levas superpuestas'!$B$8/2))&gt;1-Simulador!$B$11,Simulador!$B$9*(1-COS(PI()*(1-((W6-('Levas superpuestas'!$B$14-'Levas superpuestas'!$B$8/4))/('Levas superpuestas'!$B$8/2)))/Simulador!$B$11))/2,Simulador!$B$9))))*COS(RADIANS(W6))</f>
        <v/>
      </c>
      <c r="Z6" s="48">
        <f>('Levas superpuestas'!$B$5+IF(OR(((W6-('Levas superpuestas'!$B$15-'Levas superpuestas'!$B$9/4))/('Levas superpuestas'!$B$9/2))&lt;=0,((W6-('Levas superpuestas'!$B$15-'Levas superpuestas'!$B$9/4))/('Levas superpuestas'!$B$9/2))&gt;=1),0,IF(((W6-('Levas superpuestas'!$B$15-'Levas superpuestas'!$B$9/4))/('Levas superpuestas'!$B$9/2))&lt;Simulador!$B$11,Simulador!$B$10*(1-COS(PI()*((W6-('Levas superpuestas'!$B$15-'Levas superpuestas'!$B$9/4))/('Levas superpuestas'!$B$9/2))/Simulador!$B$11))/2,IF(((W6-('Levas superpuestas'!$B$15-'Levas superpuestas'!$B$9/4))/('Levas superpuestas'!$B$9/2))&gt;1-Simulador!$B$11,Simulador!$B$10*(1-COS(PI()*(1-((W6-('Levas superpuestas'!$B$15-'Levas superpuestas'!$B$9/4))/('Levas superpuestas'!$B$9/2)))/Simulador!$B$11))/2,Simulador!$B$10))))*SIN(RADIANS(W6))</f>
        <v/>
      </c>
      <c r="AA6" s="48">
        <f>('Levas superpuestas'!$B$5+IF(OR(((W6-('Levas superpuestas'!$B$15-'Levas superpuestas'!$B$9/4))/('Levas superpuestas'!$B$9/2))&lt;=0,((W6-('Levas superpuestas'!$B$15-'Levas superpuestas'!$B$9/4))/('Levas superpuestas'!$B$9/2))&gt;=1),0,IF(((W6-('Levas superpuestas'!$B$15-'Levas superpuestas'!$B$9/4))/('Levas superpuestas'!$B$9/2))&lt;Simulador!$B$11,Simulador!$B$10*(1-COS(PI()*((W6-('Levas superpuestas'!$B$15-'Levas superpuestas'!$B$9/4))/('Levas superpuestas'!$B$9/2))/Simulador!$B$11))/2,IF(((W6-('Levas superpuestas'!$B$15-'Levas superpuestas'!$B$9/4))/('Levas superpuestas'!$B$9/2))&gt;1-Simulador!$B$11,Simulador!$B$10*(1-COS(PI()*(1-((W6-('Levas superpuestas'!$B$15-'Levas superpuestas'!$B$9/4))/('Levas superpuestas'!$B$9/2)))/Simulador!$B$11))/2,Simulador!$B$10))))*COS(RADIANS(W6))</f>
        <v/>
      </c>
      <c r="AB6">
        <f>'Levas superpuestas'!$B$5*SIN(RADIANS(W6))</f>
        <v/>
      </c>
      <c r="AC6">
        <f>'Levas superpuestas'!$B$5*COS(RADIANS(W6))</f>
        <v/>
      </c>
      <c r="AG6">
        <f>('Levas superpuestas'!$B$5+MAX(Simulador!$B$9,Simulador!$B$10)+9)*SIN(RADIANS(AF5))</f>
        <v/>
      </c>
      <c r="AH6">
        <f>('Levas superpuestas'!$B$5+MAX(Simulador!$B$9,Simulador!$B$10)+9)*COS(RADIANS(AF5))</f>
        <v/>
      </c>
      <c r="AL6">
        <f>0.55*'Levas superpuestas'!$B$5*SIN(RADIANS((('Levas superpuestas'!$B$15-'Levas superpuestas'!$B$9/4)+4/20*(('Levas superpuestas'!$B$14+'Levas superpuestas'!$B$8/4)-('Levas superpuestas'!$B$15-'Levas superpuestas'!$B$9/4)))))</f>
        <v/>
      </c>
      <c r="AM6">
        <f>0.55*'Levas superpuestas'!$B$5*COS(RADIANS((('Levas superpuestas'!$B$15-'Levas superpuestas'!$B$9/4)+4/20*(('Levas superpuestas'!$B$14+'Levas superpuestas'!$B$8/4)-('Levas superpuestas'!$B$15-'Levas superpuestas'!$B$9/4)))))</f>
        <v/>
      </c>
    </row>
    <row r="7">
      <c r="A7" s="26">
        <f>A6+Simulador!$B$14</f>
        <v/>
      </c>
      <c r="B7" s="46">
        <f>IF(OR((($A7-Simulador!$E$5)/Simulador!$G$5)&lt;=0,(($A7-Simulador!$E$5)/Simulador!$G$5)&gt;=1),0,IF((($A7-Simulador!$E$5)/Simulador!$G$5)&lt;Simulador!$B$11,Simulador!$B$9*(1-COS(PI()*(($A7-Simulador!$E$5)/Simulador!$G$5)/Simulador!$B$11))/2,IF((($A7-Simulador!$E$5)/Simulador!$G$5)&gt;1-Simulador!$B$11,Simulador!$B$9*(1-COS(PI()*(1-(($A7-Simulador!$E$5)/Simulador!$G$5))/Simulador!$B$11))/2,Simulador!$B$9)))</f>
        <v/>
      </c>
      <c r="C7" s="46">
        <f>IF(OR((($A7-Simulador!$E$6)/Simulador!$G$6)&lt;=0,(($A7-Simulador!$E$6)/Simulador!$G$6)&gt;=1),0,IF((($A7-Simulador!$E$6)/Simulador!$G$6)&lt;Simulador!$B$11,Simulador!$B$9*(1-COS(PI()*(($A7-Simulador!$E$6)/Simulador!$G$6)/Simulador!$B$11))/2,IF((($A7-Simulador!$E$6)/Simulador!$G$6)&gt;1-Simulador!$B$11,Simulador!$B$9*(1-COS(PI()*(1-(($A7-Simulador!$E$6)/Simulador!$G$6))/Simulador!$B$11))/2,Simulador!$B$9)))</f>
        <v/>
      </c>
      <c r="D7" s="46">
        <f>IF(OR((($A7-Simulador!$E$7)/Simulador!$G$7)&lt;=0,(($A7-Simulador!$E$7)/Simulador!$G$7)&gt;=1),0,IF((($A7-Simulador!$E$7)/Simulador!$G$7)&lt;Simulador!$B$11,Simulador!$B$9*(1-COS(PI()*(($A7-Simulador!$E$7)/Simulador!$G$7)/Simulador!$B$11))/2,IF((($A7-Simulador!$E$7)/Simulador!$G$7)&gt;1-Simulador!$B$11,Simulador!$B$9*(1-COS(PI()*(1-(($A7-Simulador!$E$7)/Simulador!$G$7))/Simulador!$B$11))/2,Simulador!$B$9)))</f>
        <v/>
      </c>
      <c r="E7" s="46">
        <f>IF(OR((($A7-Simulador!$E$8)/Simulador!$G$8)&lt;=0,(($A7-Simulador!$E$8)/Simulador!$G$8)&gt;=1),0,IF((($A7-Simulador!$E$8)/Simulador!$G$8)&lt;Simulador!$B$11,Simulador!$B$10*(1-COS(PI()*(($A7-Simulador!$E$8)/Simulador!$G$8)/Simulador!$B$11))/2,IF((($A7-Simulador!$E$8)/Simulador!$G$8)&gt;1-Simulador!$B$11,Simulador!$B$10*(1-COS(PI()*(1-(($A7-Simulador!$E$8)/Simulador!$G$8))/Simulador!$B$11))/2,Simulador!$B$10)))</f>
        <v/>
      </c>
      <c r="F7" s="46">
        <f>IF(OR((($A7-Simulador!$E$9)/Simulador!$G$9)&lt;=0,(($A7-Simulador!$E$9)/Simulador!$G$9)&gt;=1),0,IF((($A7-Simulador!$E$9)/Simulador!$G$9)&lt;Simulador!$B$11,Simulador!$B$10*(1-COS(PI()*(($A7-Simulador!$E$9)/Simulador!$G$9)/Simulador!$B$11))/2,IF((($A7-Simulador!$E$9)/Simulador!$G$9)&gt;1-Simulador!$B$11,Simulador!$B$10*(1-COS(PI()*(1-(($A7-Simulador!$E$9)/Simulador!$G$9))/Simulador!$B$11))/2,Simulador!$B$10)))</f>
        <v/>
      </c>
      <c r="G7" s="46">
        <f>IF(OR((($A7-Simulador!$E$10)/Simulador!$G$10)&lt;=0,(($A7-Simulador!$E$10)/Simulador!$G$10)&gt;=1),0,IF((($A7-Simulador!$E$10)/Simulador!$G$10)&lt;Simulador!$B$11,Simulador!$B$10*(1-COS(PI()*(($A7-Simulador!$E$10)/Simulador!$G$10)/Simulador!$B$11))/2,IF((($A7-Simulador!$E$10)/Simulador!$G$10)&gt;1-Simulador!$B$11,Simulador!$B$10*(1-COS(PI()*(1-(($A7-Simulador!$E$10)/Simulador!$G$10))/Simulador!$B$11))/2,Simulador!$B$10)))</f>
        <v/>
      </c>
      <c r="I7" s="47">
        <f>Simulador!$F$7-0.5</f>
        <v/>
      </c>
      <c r="J7" s="47">
        <f>MAX(Simulador!$B$9,Simulador!$B$10)*1.32</f>
        <v/>
      </c>
      <c r="K7" s="47">
        <f>Simulador!$F$5-0.5</f>
        <v/>
      </c>
      <c r="L7" s="47">
        <f>MAX(Simulador!$B$9,Simulador!$B$10)*1.16</f>
        <v/>
      </c>
      <c r="M7" s="47" t="n"/>
      <c r="N7" s="47" t="n"/>
      <c r="Q7" s="48">
        <f>IF(OR((($A7-(Simulador!$E$6+'Salto de dientes'!$B$12))/Simulador!$G$6)&lt;=0,(($A7-(Simulador!$E$6+'Salto de dientes'!$B$12))/Simulador!$G$6)&gt;=1),0,IF((($A7-(Simulador!$E$6+'Salto de dientes'!$B$12))/Simulador!$G$6)&lt;Simulador!$B$11,Simulador!$B$9*(1-COS(PI()*(($A7-(Simulador!$E$6+'Salto de dientes'!$B$12))/Simulador!$G$6)/Simulador!$B$11))/2,IF((($A7-(Simulador!$E$6+'Salto de dientes'!$B$12))/Simulador!$G$6)&gt;1-Simulador!$B$11,Simulador!$B$9*(1-COS(PI()*(1-(($A7-(Simulador!$E$6+'Salto de dientes'!$B$12))/Simulador!$G$6))/Simulador!$B$11))/2,Simulador!$B$9)))</f>
        <v/>
      </c>
      <c r="R7" s="48">
        <f>IF(OR((($A7-(Simulador!$E$9+'Salto de dientes'!$B$12))/Simulador!$G$9)&lt;=0,(($A7-(Simulador!$E$9+'Salto de dientes'!$B$12))/Simulador!$G$9)&gt;=1),0,IF((($A7-(Simulador!$E$9+'Salto de dientes'!$B$12))/Simulador!$G$9)&lt;Simulador!$B$11,Simulador!$B$10*(1-COS(PI()*(($A7-(Simulador!$E$9+'Salto de dientes'!$B$12))/Simulador!$G$9)/Simulador!$B$11))/2,IF((($A7-(Simulador!$E$9+'Salto de dientes'!$B$12))/Simulador!$G$9)&gt;1-Simulador!$B$11,Simulador!$B$10*(1-COS(PI()*(1-(($A7-(Simulador!$E$9+'Salto de dientes'!$B$12))/Simulador!$G$9))/Simulador!$B$11))/2,Simulador!$B$10)))</f>
        <v/>
      </c>
      <c r="W7" t="n">
        <v>-165</v>
      </c>
      <c r="X7" s="48">
        <f>('Levas superpuestas'!$B$5+IF(OR(((W7-('Levas superpuestas'!$B$14-'Levas superpuestas'!$B$8/4))/('Levas superpuestas'!$B$8/2))&lt;=0,((W7-('Levas superpuestas'!$B$14-'Levas superpuestas'!$B$8/4))/('Levas superpuestas'!$B$8/2))&gt;=1),0,IF(((W7-('Levas superpuestas'!$B$14-'Levas superpuestas'!$B$8/4))/('Levas superpuestas'!$B$8/2))&lt;Simulador!$B$11,Simulador!$B$9*(1-COS(PI()*((W7-('Levas superpuestas'!$B$14-'Levas superpuestas'!$B$8/4))/('Levas superpuestas'!$B$8/2))/Simulador!$B$11))/2,IF(((W7-('Levas superpuestas'!$B$14-'Levas superpuestas'!$B$8/4))/('Levas superpuestas'!$B$8/2))&gt;1-Simulador!$B$11,Simulador!$B$9*(1-COS(PI()*(1-((W7-('Levas superpuestas'!$B$14-'Levas superpuestas'!$B$8/4))/('Levas superpuestas'!$B$8/2)))/Simulador!$B$11))/2,Simulador!$B$9))))*SIN(RADIANS(W7))</f>
        <v/>
      </c>
      <c r="Y7" s="48">
        <f>('Levas superpuestas'!$B$5+IF(OR(((W7-('Levas superpuestas'!$B$14-'Levas superpuestas'!$B$8/4))/('Levas superpuestas'!$B$8/2))&lt;=0,((W7-('Levas superpuestas'!$B$14-'Levas superpuestas'!$B$8/4))/('Levas superpuestas'!$B$8/2))&gt;=1),0,IF(((W7-('Levas superpuestas'!$B$14-'Levas superpuestas'!$B$8/4))/('Levas superpuestas'!$B$8/2))&lt;Simulador!$B$11,Simulador!$B$9*(1-COS(PI()*((W7-('Levas superpuestas'!$B$14-'Levas superpuestas'!$B$8/4))/('Levas superpuestas'!$B$8/2))/Simulador!$B$11))/2,IF(((W7-('Levas superpuestas'!$B$14-'Levas superpuestas'!$B$8/4))/('Levas superpuestas'!$B$8/2))&gt;1-Simulador!$B$11,Simulador!$B$9*(1-COS(PI()*(1-((W7-('Levas superpuestas'!$B$14-'Levas superpuestas'!$B$8/4))/('Levas superpuestas'!$B$8/2)))/Simulador!$B$11))/2,Simulador!$B$9))))*COS(RADIANS(W7))</f>
        <v/>
      </c>
      <c r="Z7" s="48">
        <f>('Levas superpuestas'!$B$5+IF(OR(((W7-('Levas superpuestas'!$B$15-'Levas superpuestas'!$B$9/4))/('Levas superpuestas'!$B$9/2))&lt;=0,((W7-('Levas superpuestas'!$B$15-'Levas superpuestas'!$B$9/4))/('Levas superpuestas'!$B$9/2))&gt;=1),0,IF(((W7-('Levas superpuestas'!$B$15-'Levas superpuestas'!$B$9/4))/('Levas superpuestas'!$B$9/2))&lt;Simulador!$B$11,Simulador!$B$10*(1-COS(PI()*((W7-('Levas superpuestas'!$B$15-'Levas superpuestas'!$B$9/4))/('Levas superpuestas'!$B$9/2))/Simulador!$B$11))/2,IF(((W7-('Levas superpuestas'!$B$15-'Levas superpuestas'!$B$9/4))/('Levas superpuestas'!$B$9/2))&gt;1-Simulador!$B$11,Simulador!$B$10*(1-COS(PI()*(1-((W7-('Levas superpuestas'!$B$15-'Levas superpuestas'!$B$9/4))/('Levas superpuestas'!$B$9/2)))/Simulador!$B$11))/2,Simulador!$B$10))))*SIN(RADIANS(W7))</f>
        <v/>
      </c>
      <c r="AA7" s="48">
        <f>('Levas superpuestas'!$B$5+IF(OR(((W7-('Levas superpuestas'!$B$15-'Levas superpuestas'!$B$9/4))/('Levas superpuestas'!$B$9/2))&lt;=0,((W7-('Levas superpuestas'!$B$15-'Levas superpuestas'!$B$9/4))/('Levas superpuestas'!$B$9/2))&gt;=1),0,IF(((W7-('Levas superpuestas'!$B$15-'Levas superpuestas'!$B$9/4))/('Levas superpuestas'!$B$9/2))&lt;Simulador!$B$11,Simulador!$B$10*(1-COS(PI()*((W7-('Levas superpuestas'!$B$15-'Levas superpuestas'!$B$9/4))/('Levas superpuestas'!$B$9/2))/Simulador!$B$11))/2,IF(((W7-('Levas superpuestas'!$B$15-'Levas superpuestas'!$B$9/4))/('Levas superpuestas'!$B$9/2))&gt;1-Simulador!$B$11,Simulador!$B$10*(1-COS(PI()*(1-((W7-('Levas superpuestas'!$B$15-'Levas superpuestas'!$B$9/4))/('Levas superpuestas'!$B$9/2)))/Simulador!$B$11))/2,Simulador!$B$10))))*COS(RADIANS(W7))</f>
        <v/>
      </c>
      <c r="AB7">
        <f>'Levas superpuestas'!$B$5*SIN(RADIANS(W7))</f>
        <v/>
      </c>
      <c r="AC7">
        <f>'Levas superpuestas'!$B$5*COS(RADIANS(W7))</f>
        <v/>
      </c>
      <c r="AL7">
        <f>0.55*'Levas superpuestas'!$B$5*SIN(RADIANS((('Levas superpuestas'!$B$15-'Levas superpuestas'!$B$9/4)+5/20*(('Levas superpuestas'!$B$14+'Levas superpuestas'!$B$8/4)-('Levas superpuestas'!$B$15-'Levas superpuestas'!$B$9/4)))))</f>
        <v/>
      </c>
      <c r="AM7">
        <f>0.55*'Levas superpuestas'!$B$5*COS(RADIANS((('Levas superpuestas'!$B$15-'Levas superpuestas'!$B$9/4)+5/20*(('Levas superpuestas'!$B$14+'Levas superpuestas'!$B$8/4)-('Levas superpuestas'!$B$15-'Levas superpuestas'!$B$9/4)))))</f>
        <v/>
      </c>
    </row>
    <row r="8">
      <c r="A8" s="26">
        <f>A7+Simulador!$B$14</f>
        <v/>
      </c>
      <c r="B8" s="46">
        <f>IF(OR((($A8-Simulador!$E$5)/Simulador!$G$5)&lt;=0,(($A8-Simulador!$E$5)/Simulador!$G$5)&gt;=1),0,IF((($A8-Simulador!$E$5)/Simulador!$G$5)&lt;Simulador!$B$11,Simulador!$B$9*(1-COS(PI()*(($A8-Simulador!$E$5)/Simulador!$G$5)/Simulador!$B$11))/2,IF((($A8-Simulador!$E$5)/Simulador!$G$5)&gt;1-Simulador!$B$11,Simulador!$B$9*(1-COS(PI()*(1-(($A8-Simulador!$E$5)/Simulador!$G$5))/Simulador!$B$11))/2,Simulador!$B$9)))</f>
        <v/>
      </c>
      <c r="C8" s="46">
        <f>IF(OR((($A8-Simulador!$E$6)/Simulador!$G$6)&lt;=0,(($A8-Simulador!$E$6)/Simulador!$G$6)&gt;=1),0,IF((($A8-Simulador!$E$6)/Simulador!$G$6)&lt;Simulador!$B$11,Simulador!$B$9*(1-COS(PI()*(($A8-Simulador!$E$6)/Simulador!$G$6)/Simulador!$B$11))/2,IF((($A8-Simulador!$E$6)/Simulador!$G$6)&gt;1-Simulador!$B$11,Simulador!$B$9*(1-COS(PI()*(1-(($A8-Simulador!$E$6)/Simulador!$G$6))/Simulador!$B$11))/2,Simulador!$B$9)))</f>
        <v/>
      </c>
      <c r="D8" s="46">
        <f>IF(OR((($A8-Simulador!$E$7)/Simulador!$G$7)&lt;=0,(($A8-Simulador!$E$7)/Simulador!$G$7)&gt;=1),0,IF((($A8-Simulador!$E$7)/Simulador!$G$7)&lt;Simulador!$B$11,Simulador!$B$9*(1-COS(PI()*(($A8-Simulador!$E$7)/Simulador!$G$7)/Simulador!$B$11))/2,IF((($A8-Simulador!$E$7)/Simulador!$G$7)&gt;1-Simulador!$B$11,Simulador!$B$9*(1-COS(PI()*(1-(($A8-Simulador!$E$7)/Simulador!$G$7))/Simulador!$B$11))/2,Simulador!$B$9)))</f>
        <v/>
      </c>
      <c r="E8" s="46">
        <f>IF(OR((($A8-Simulador!$E$8)/Simulador!$G$8)&lt;=0,(($A8-Simulador!$E$8)/Simulador!$G$8)&gt;=1),0,IF((($A8-Simulador!$E$8)/Simulador!$G$8)&lt;Simulador!$B$11,Simulador!$B$10*(1-COS(PI()*(($A8-Simulador!$E$8)/Simulador!$G$8)/Simulador!$B$11))/2,IF((($A8-Simulador!$E$8)/Simulador!$G$8)&gt;1-Simulador!$B$11,Simulador!$B$10*(1-COS(PI()*(1-(($A8-Simulador!$E$8)/Simulador!$G$8))/Simulador!$B$11))/2,Simulador!$B$10)))</f>
        <v/>
      </c>
      <c r="F8" s="46">
        <f>IF(OR((($A8-Simulador!$E$9)/Simulador!$G$9)&lt;=0,(($A8-Simulador!$E$9)/Simulador!$G$9)&gt;=1),0,IF((($A8-Simulador!$E$9)/Simulador!$G$9)&lt;Simulador!$B$11,Simulador!$B$10*(1-COS(PI()*(($A8-Simulador!$E$9)/Simulador!$G$9)/Simulador!$B$11))/2,IF((($A8-Simulador!$E$9)/Simulador!$G$9)&gt;1-Simulador!$B$11,Simulador!$B$10*(1-COS(PI()*(1-(($A8-Simulador!$E$9)/Simulador!$G$9))/Simulador!$B$11))/2,Simulador!$B$10)))</f>
        <v/>
      </c>
      <c r="G8" s="46">
        <f>IF(OR((($A8-Simulador!$E$10)/Simulador!$G$10)&lt;=0,(($A8-Simulador!$E$10)/Simulador!$G$10)&gt;=1),0,IF((($A8-Simulador!$E$10)/Simulador!$G$10)&lt;Simulador!$B$11,Simulador!$B$10*(1-COS(PI()*(($A8-Simulador!$E$10)/Simulador!$G$10)/Simulador!$B$11))/2,IF((($A8-Simulador!$E$10)/Simulador!$G$10)&gt;1-Simulador!$B$11,Simulador!$B$10*(1-COS(PI()*(1-(($A8-Simulador!$E$10)/Simulador!$G$10))/Simulador!$B$11))/2,Simulador!$B$10)))</f>
        <v/>
      </c>
      <c r="I8" s="47">
        <f>Simulador!$F$7</f>
        <v/>
      </c>
      <c r="J8" s="47">
        <f>MAX(Simulador!$B$9,Simulador!$B$10)*1.32</f>
        <v/>
      </c>
      <c r="K8" s="47">
        <f>Simulador!$F$5</f>
        <v/>
      </c>
      <c r="L8" s="47">
        <f>MAX(Simulador!$B$9,Simulador!$B$10)*1.16</f>
        <v/>
      </c>
      <c r="M8" s="47" t="n"/>
      <c r="N8" s="47" t="n"/>
      <c r="Q8" s="48">
        <f>IF(OR((($A8-(Simulador!$E$6+'Salto de dientes'!$B$12))/Simulador!$G$6)&lt;=0,(($A8-(Simulador!$E$6+'Salto de dientes'!$B$12))/Simulador!$G$6)&gt;=1),0,IF((($A8-(Simulador!$E$6+'Salto de dientes'!$B$12))/Simulador!$G$6)&lt;Simulador!$B$11,Simulador!$B$9*(1-COS(PI()*(($A8-(Simulador!$E$6+'Salto de dientes'!$B$12))/Simulador!$G$6)/Simulador!$B$11))/2,IF((($A8-(Simulador!$E$6+'Salto de dientes'!$B$12))/Simulador!$G$6)&gt;1-Simulador!$B$11,Simulador!$B$9*(1-COS(PI()*(1-(($A8-(Simulador!$E$6+'Salto de dientes'!$B$12))/Simulador!$G$6))/Simulador!$B$11))/2,Simulador!$B$9)))</f>
        <v/>
      </c>
      <c r="R8" s="48">
        <f>IF(OR((($A8-(Simulador!$E$9+'Salto de dientes'!$B$12))/Simulador!$G$9)&lt;=0,(($A8-(Simulador!$E$9+'Salto de dientes'!$B$12))/Simulador!$G$9)&gt;=1),0,IF((($A8-(Simulador!$E$9+'Salto de dientes'!$B$12))/Simulador!$G$9)&lt;Simulador!$B$11,Simulador!$B$10*(1-COS(PI()*(($A8-(Simulador!$E$9+'Salto de dientes'!$B$12))/Simulador!$G$9)/Simulador!$B$11))/2,IF((($A8-(Simulador!$E$9+'Salto de dientes'!$B$12))/Simulador!$G$9)&gt;1-Simulador!$B$11,Simulador!$B$10*(1-COS(PI()*(1-(($A8-(Simulador!$E$9+'Salto de dientes'!$B$12))/Simulador!$G$9))/Simulador!$B$11))/2,Simulador!$B$10)))</f>
        <v/>
      </c>
      <c r="W8" t="n">
        <v>-162</v>
      </c>
      <c r="X8" s="48">
        <f>('Levas superpuestas'!$B$5+IF(OR(((W8-('Levas superpuestas'!$B$14-'Levas superpuestas'!$B$8/4))/('Levas superpuestas'!$B$8/2))&lt;=0,((W8-('Levas superpuestas'!$B$14-'Levas superpuestas'!$B$8/4))/('Levas superpuestas'!$B$8/2))&gt;=1),0,IF(((W8-('Levas superpuestas'!$B$14-'Levas superpuestas'!$B$8/4))/('Levas superpuestas'!$B$8/2))&lt;Simulador!$B$11,Simulador!$B$9*(1-COS(PI()*((W8-('Levas superpuestas'!$B$14-'Levas superpuestas'!$B$8/4))/('Levas superpuestas'!$B$8/2))/Simulador!$B$11))/2,IF(((W8-('Levas superpuestas'!$B$14-'Levas superpuestas'!$B$8/4))/('Levas superpuestas'!$B$8/2))&gt;1-Simulador!$B$11,Simulador!$B$9*(1-COS(PI()*(1-((W8-('Levas superpuestas'!$B$14-'Levas superpuestas'!$B$8/4))/('Levas superpuestas'!$B$8/2)))/Simulador!$B$11))/2,Simulador!$B$9))))*SIN(RADIANS(W8))</f>
        <v/>
      </c>
      <c r="Y8" s="48">
        <f>('Levas superpuestas'!$B$5+IF(OR(((W8-('Levas superpuestas'!$B$14-'Levas superpuestas'!$B$8/4))/('Levas superpuestas'!$B$8/2))&lt;=0,((W8-('Levas superpuestas'!$B$14-'Levas superpuestas'!$B$8/4))/('Levas superpuestas'!$B$8/2))&gt;=1),0,IF(((W8-('Levas superpuestas'!$B$14-'Levas superpuestas'!$B$8/4))/('Levas superpuestas'!$B$8/2))&lt;Simulador!$B$11,Simulador!$B$9*(1-COS(PI()*((W8-('Levas superpuestas'!$B$14-'Levas superpuestas'!$B$8/4))/('Levas superpuestas'!$B$8/2))/Simulador!$B$11))/2,IF(((W8-('Levas superpuestas'!$B$14-'Levas superpuestas'!$B$8/4))/('Levas superpuestas'!$B$8/2))&gt;1-Simulador!$B$11,Simulador!$B$9*(1-COS(PI()*(1-((W8-('Levas superpuestas'!$B$14-'Levas superpuestas'!$B$8/4))/('Levas superpuestas'!$B$8/2)))/Simulador!$B$11))/2,Simulador!$B$9))))*COS(RADIANS(W8))</f>
        <v/>
      </c>
      <c r="Z8" s="48">
        <f>('Levas superpuestas'!$B$5+IF(OR(((W8-('Levas superpuestas'!$B$15-'Levas superpuestas'!$B$9/4))/('Levas superpuestas'!$B$9/2))&lt;=0,((W8-('Levas superpuestas'!$B$15-'Levas superpuestas'!$B$9/4))/('Levas superpuestas'!$B$9/2))&gt;=1),0,IF(((W8-('Levas superpuestas'!$B$15-'Levas superpuestas'!$B$9/4))/('Levas superpuestas'!$B$9/2))&lt;Simulador!$B$11,Simulador!$B$10*(1-COS(PI()*((W8-('Levas superpuestas'!$B$15-'Levas superpuestas'!$B$9/4))/('Levas superpuestas'!$B$9/2))/Simulador!$B$11))/2,IF(((W8-('Levas superpuestas'!$B$15-'Levas superpuestas'!$B$9/4))/('Levas superpuestas'!$B$9/2))&gt;1-Simulador!$B$11,Simulador!$B$10*(1-COS(PI()*(1-((W8-('Levas superpuestas'!$B$15-'Levas superpuestas'!$B$9/4))/('Levas superpuestas'!$B$9/2)))/Simulador!$B$11))/2,Simulador!$B$10))))*SIN(RADIANS(W8))</f>
        <v/>
      </c>
      <c r="AA8" s="48">
        <f>('Levas superpuestas'!$B$5+IF(OR(((W8-('Levas superpuestas'!$B$15-'Levas superpuestas'!$B$9/4))/('Levas superpuestas'!$B$9/2))&lt;=0,((W8-('Levas superpuestas'!$B$15-'Levas superpuestas'!$B$9/4))/('Levas superpuestas'!$B$9/2))&gt;=1),0,IF(((W8-('Levas superpuestas'!$B$15-'Levas superpuestas'!$B$9/4))/('Levas superpuestas'!$B$9/2))&lt;Simulador!$B$11,Simulador!$B$10*(1-COS(PI()*((W8-('Levas superpuestas'!$B$15-'Levas superpuestas'!$B$9/4))/('Levas superpuestas'!$B$9/2))/Simulador!$B$11))/2,IF(((W8-('Levas superpuestas'!$B$15-'Levas superpuestas'!$B$9/4))/('Levas superpuestas'!$B$9/2))&gt;1-Simulador!$B$11,Simulador!$B$10*(1-COS(PI()*(1-((W8-('Levas superpuestas'!$B$15-'Levas superpuestas'!$B$9/4))/('Levas superpuestas'!$B$9/2)))/Simulador!$B$11))/2,Simulador!$B$10))))*COS(RADIANS(W8))</f>
        <v/>
      </c>
      <c r="AB8">
        <f>'Levas superpuestas'!$B$5*SIN(RADIANS(W8))</f>
        <v/>
      </c>
      <c r="AC8">
        <f>'Levas superpuestas'!$B$5*COS(RADIANS(W8))</f>
        <v/>
      </c>
      <c r="AE8" t="inlineStr">
        <is>
          <t>CIERRE ESCAPE</t>
        </is>
      </c>
      <c r="AF8">
        <f>'Levas superpuestas'!$B$14+'Levas superpuestas'!$B$8/4</f>
        <v/>
      </c>
      <c r="AG8" t="n">
        <v>0</v>
      </c>
      <c r="AH8" t="n">
        <v>0</v>
      </c>
      <c r="AL8">
        <f>0.55*'Levas superpuestas'!$B$5*SIN(RADIANS((('Levas superpuestas'!$B$15-'Levas superpuestas'!$B$9/4)+6/20*(('Levas superpuestas'!$B$14+'Levas superpuestas'!$B$8/4)-('Levas superpuestas'!$B$15-'Levas superpuestas'!$B$9/4)))))</f>
        <v/>
      </c>
      <c r="AM8">
        <f>0.55*'Levas superpuestas'!$B$5*COS(RADIANS((('Levas superpuestas'!$B$15-'Levas superpuestas'!$B$9/4)+6/20*(('Levas superpuestas'!$B$14+'Levas superpuestas'!$B$8/4)-('Levas superpuestas'!$B$15-'Levas superpuestas'!$B$9/4)))))</f>
        <v/>
      </c>
    </row>
    <row r="9">
      <c r="A9" s="26">
        <f>A8+Simulador!$B$14</f>
        <v/>
      </c>
      <c r="B9" s="46">
        <f>IF(OR((($A9-Simulador!$E$5)/Simulador!$G$5)&lt;=0,(($A9-Simulador!$E$5)/Simulador!$G$5)&gt;=1),0,IF((($A9-Simulador!$E$5)/Simulador!$G$5)&lt;Simulador!$B$11,Simulador!$B$9*(1-COS(PI()*(($A9-Simulador!$E$5)/Simulador!$G$5)/Simulador!$B$11))/2,IF((($A9-Simulador!$E$5)/Simulador!$G$5)&gt;1-Simulador!$B$11,Simulador!$B$9*(1-COS(PI()*(1-(($A9-Simulador!$E$5)/Simulador!$G$5))/Simulador!$B$11))/2,Simulador!$B$9)))</f>
        <v/>
      </c>
      <c r="C9" s="46">
        <f>IF(OR((($A9-Simulador!$E$6)/Simulador!$G$6)&lt;=0,(($A9-Simulador!$E$6)/Simulador!$G$6)&gt;=1),0,IF((($A9-Simulador!$E$6)/Simulador!$G$6)&lt;Simulador!$B$11,Simulador!$B$9*(1-COS(PI()*(($A9-Simulador!$E$6)/Simulador!$G$6)/Simulador!$B$11))/2,IF((($A9-Simulador!$E$6)/Simulador!$G$6)&gt;1-Simulador!$B$11,Simulador!$B$9*(1-COS(PI()*(1-(($A9-Simulador!$E$6)/Simulador!$G$6))/Simulador!$B$11))/2,Simulador!$B$9)))</f>
        <v/>
      </c>
      <c r="D9" s="46">
        <f>IF(OR((($A9-Simulador!$E$7)/Simulador!$G$7)&lt;=0,(($A9-Simulador!$E$7)/Simulador!$G$7)&gt;=1),0,IF((($A9-Simulador!$E$7)/Simulador!$G$7)&lt;Simulador!$B$11,Simulador!$B$9*(1-COS(PI()*(($A9-Simulador!$E$7)/Simulador!$G$7)/Simulador!$B$11))/2,IF((($A9-Simulador!$E$7)/Simulador!$G$7)&gt;1-Simulador!$B$11,Simulador!$B$9*(1-COS(PI()*(1-(($A9-Simulador!$E$7)/Simulador!$G$7))/Simulador!$B$11))/2,Simulador!$B$9)))</f>
        <v/>
      </c>
      <c r="E9" s="46">
        <f>IF(OR((($A9-Simulador!$E$8)/Simulador!$G$8)&lt;=0,(($A9-Simulador!$E$8)/Simulador!$G$8)&gt;=1),0,IF((($A9-Simulador!$E$8)/Simulador!$G$8)&lt;Simulador!$B$11,Simulador!$B$10*(1-COS(PI()*(($A9-Simulador!$E$8)/Simulador!$G$8)/Simulador!$B$11))/2,IF((($A9-Simulador!$E$8)/Simulador!$G$8)&gt;1-Simulador!$B$11,Simulador!$B$10*(1-COS(PI()*(1-(($A9-Simulador!$E$8)/Simulador!$G$8))/Simulador!$B$11))/2,Simulador!$B$10)))</f>
        <v/>
      </c>
      <c r="F9" s="46">
        <f>IF(OR((($A9-Simulador!$E$9)/Simulador!$G$9)&lt;=0,(($A9-Simulador!$E$9)/Simulador!$G$9)&gt;=1),0,IF((($A9-Simulador!$E$9)/Simulador!$G$9)&lt;Simulador!$B$11,Simulador!$B$10*(1-COS(PI()*(($A9-Simulador!$E$9)/Simulador!$G$9)/Simulador!$B$11))/2,IF((($A9-Simulador!$E$9)/Simulador!$G$9)&gt;1-Simulador!$B$11,Simulador!$B$10*(1-COS(PI()*(1-(($A9-Simulador!$E$9)/Simulador!$G$9))/Simulador!$B$11))/2,Simulador!$B$10)))</f>
        <v/>
      </c>
      <c r="G9" s="46">
        <f>IF(OR((($A9-Simulador!$E$10)/Simulador!$G$10)&lt;=0,(($A9-Simulador!$E$10)/Simulador!$G$10)&gt;=1),0,IF((($A9-Simulador!$E$10)/Simulador!$G$10)&lt;Simulador!$B$11,Simulador!$B$10*(1-COS(PI()*(($A9-Simulador!$E$10)/Simulador!$G$10)/Simulador!$B$11))/2,IF((($A9-Simulador!$E$10)/Simulador!$G$10)&gt;1-Simulador!$B$11,Simulador!$B$10*(1-COS(PI()*(1-(($A9-Simulador!$E$10)/Simulador!$G$10))/Simulador!$B$11))/2,Simulador!$B$10)))</f>
        <v/>
      </c>
      <c r="I9" s="47">
        <f>Simulador!$F$7</f>
        <v/>
      </c>
      <c r="J9" s="47">
        <f>MAX(Simulador!$B$9,Simulador!$B$10)*1.32-0.05</f>
        <v/>
      </c>
      <c r="K9" s="47">
        <f>Simulador!$F$5</f>
        <v/>
      </c>
      <c r="L9" s="47">
        <f>MAX(Simulador!$B$9,Simulador!$B$10)*1.16-0.05</f>
        <v/>
      </c>
      <c r="M9" s="47" t="n"/>
      <c r="N9" s="47" t="n"/>
      <c r="Q9" s="48">
        <f>IF(OR((($A9-(Simulador!$E$6+'Salto de dientes'!$B$12))/Simulador!$G$6)&lt;=0,(($A9-(Simulador!$E$6+'Salto de dientes'!$B$12))/Simulador!$G$6)&gt;=1),0,IF((($A9-(Simulador!$E$6+'Salto de dientes'!$B$12))/Simulador!$G$6)&lt;Simulador!$B$11,Simulador!$B$9*(1-COS(PI()*(($A9-(Simulador!$E$6+'Salto de dientes'!$B$12))/Simulador!$G$6)/Simulador!$B$11))/2,IF((($A9-(Simulador!$E$6+'Salto de dientes'!$B$12))/Simulador!$G$6)&gt;1-Simulador!$B$11,Simulador!$B$9*(1-COS(PI()*(1-(($A9-(Simulador!$E$6+'Salto de dientes'!$B$12))/Simulador!$G$6))/Simulador!$B$11))/2,Simulador!$B$9)))</f>
        <v/>
      </c>
      <c r="R9" s="48">
        <f>IF(OR((($A9-(Simulador!$E$9+'Salto de dientes'!$B$12))/Simulador!$G$9)&lt;=0,(($A9-(Simulador!$E$9+'Salto de dientes'!$B$12))/Simulador!$G$9)&gt;=1),0,IF((($A9-(Simulador!$E$9+'Salto de dientes'!$B$12))/Simulador!$G$9)&lt;Simulador!$B$11,Simulador!$B$10*(1-COS(PI()*(($A9-(Simulador!$E$9+'Salto de dientes'!$B$12))/Simulador!$G$9)/Simulador!$B$11))/2,IF((($A9-(Simulador!$E$9+'Salto de dientes'!$B$12))/Simulador!$G$9)&gt;1-Simulador!$B$11,Simulador!$B$10*(1-COS(PI()*(1-(($A9-(Simulador!$E$9+'Salto de dientes'!$B$12))/Simulador!$G$9))/Simulador!$B$11))/2,Simulador!$B$10)))</f>
        <v/>
      </c>
      <c r="W9" t="n">
        <v>-159</v>
      </c>
      <c r="X9" s="48">
        <f>('Levas superpuestas'!$B$5+IF(OR(((W9-('Levas superpuestas'!$B$14-'Levas superpuestas'!$B$8/4))/('Levas superpuestas'!$B$8/2))&lt;=0,((W9-('Levas superpuestas'!$B$14-'Levas superpuestas'!$B$8/4))/('Levas superpuestas'!$B$8/2))&gt;=1),0,IF(((W9-('Levas superpuestas'!$B$14-'Levas superpuestas'!$B$8/4))/('Levas superpuestas'!$B$8/2))&lt;Simulador!$B$11,Simulador!$B$9*(1-COS(PI()*((W9-('Levas superpuestas'!$B$14-'Levas superpuestas'!$B$8/4))/('Levas superpuestas'!$B$8/2))/Simulador!$B$11))/2,IF(((W9-('Levas superpuestas'!$B$14-'Levas superpuestas'!$B$8/4))/('Levas superpuestas'!$B$8/2))&gt;1-Simulador!$B$11,Simulador!$B$9*(1-COS(PI()*(1-((W9-('Levas superpuestas'!$B$14-'Levas superpuestas'!$B$8/4))/('Levas superpuestas'!$B$8/2)))/Simulador!$B$11))/2,Simulador!$B$9))))*SIN(RADIANS(W9))</f>
        <v/>
      </c>
      <c r="Y9" s="48">
        <f>('Levas superpuestas'!$B$5+IF(OR(((W9-('Levas superpuestas'!$B$14-'Levas superpuestas'!$B$8/4))/('Levas superpuestas'!$B$8/2))&lt;=0,((W9-('Levas superpuestas'!$B$14-'Levas superpuestas'!$B$8/4))/('Levas superpuestas'!$B$8/2))&gt;=1),0,IF(((W9-('Levas superpuestas'!$B$14-'Levas superpuestas'!$B$8/4))/('Levas superpuestas'!$B$8/2))&lt;Simulador!$B$11,Simulador!$B$9*(1-COS(PI()*((W9-('Levas superpuestas'!$B$14-'Levas superpuestas'!$B$8/4))/('Levas superpuestas'!$B$8/2))/Simulador!$B$11))/2,IF(((W9-('Levas superpuestas'!$B$14-'Levas superpuestas'!$B$8/4))/('Levas superpuestas'!$B$8/2))&gt;1-Simulador!$B$11,Simulador!$B$9*(1-COS(PI()*(1-((W9-('Levas superpuestas'!$B$14-'Levas superpuestas'!$B$8/4))/('Levas superpuestas'!$B$8/2)))/Simulador!$B$11))/2,Simulador!$B$9))))*COS(RADIANS(W9))</f>
        <v/>
      </c>
      <c r="Z9" s="48">
        <f>('Levas superpuestas'!$B$5+IF(OR(((W9-('Levas superpuestas'!$B$15-'Levas superpuestas'!$B$9/4))/('Levas superpuestas'!$B$9/2))&lt;=0,((W9-('Levas superpuestas'!$B$15-'Levas superpuestas'!$B$9/4))/('Levas superpuestas'!$B$9/2))&gt;=1),0,IF(((W9-('Levas superpuestas'!$B$15-'Levas superpuestas'!$B$9/4))/('Levas superpuestas'!$B$9/2))&lt;Simulador!$B$11,Simulador!$B$10*(1-COS(PI()*((W9-('Levas superpuestas'!$B$15-'Levas superpuestas'!$B$9/4))/('Levas superpuestas'!$B$9/2))/Simulador!$B$11))/2,IF(((W9-('Levas superpuestas'!$B$15-'Levas superpuestas'!$B$9/4))/('Levas superpuestas'!$B$9/2))&gt;1-Simulador!$B$11,Simulador!$B$10*(1-COS(PI()*(1-((W9-('Levas superpuestas'!$B$15-'Levas superpuestas'!$B$9/4))/('Levas superpuestas'!$B$9/2)))/Simulador!$B$11))/2,Simulador!$B$10))))*SIN(RADIANS(W9))</f>
        <v/>
      </c>
      <c r="AA9" s="48">
        <f>('Levas superpuestas'!$B$5+IF(OR(((W9-('Levas superpuestas'!$B$15-'Levas superpuestas'!$B$9/4))/('Levas superpuestas'!$B$9/2))&lt;=0,((W9-('Levas superpuestas'!$B$15-'Levas superpuestas'!$B$9/4))/('Levas superpuestas'!$B$9/2))&gt;=1),0,IF(((W9-('Levas superpuestas'!$B$15-'Levas superpuestas'!$B$9/4))/('Levas superpuestas'!$B$9/2))&lt;Simulador!$B$11,Simulador!$B$10*(1-COS(PI()*((W9-('Levas superpuestas'!$B$15-'Levas superpuestas'!$B$9/4))/('Levas superpuestas'!$B$9/2))/Simulador!$B$11))/2,IF(((W9-('Levas superpuestas'!$B$15-'Levas superpuestas'!$B$9/4))/('Levas superpuestas'!$B$9/2))&gt;1-Simulador!$B$11,Simulador!$B$10*(1-COS(PI()*(1-((W9-('Levas superpuestas'!$B$15-'Levas superpuestas'!$B$9/4))/('Levas superpuestas'!$B$9/2)))/Simulador!$B$11))/2,Simulador!$B$10))))*COS(RADIANS(W9))</f>
        <v/>
      </c>
      <c r="AB9">
        <f>'Levas superpuestas'!$B$5*SIN(RADIANS(W9))</f>
        <v/>
      </c>
      <c r="AC9">
        <f>'Levas superpuestas'!$B$5*COS(RADIANS(W9))</f>
        <v/>
      </c>
      <c r="AG9">
        <f>('Levas superpuestas'!$B$5+MAX(Simulador!$B$9,Simulador!$B$10)+9)*SIN(RADIANS(AF8))</f>
        <v/>
      </c>
      <c r="AH9">
        <f>('Levas superpuestas'!$B$5+MAX(Simulador!$B$9,Simulador!$B$10)+9)*COS(RADIANS(AF8))</f>
        <v/>
      </c>
      <c r="AL9">
        <f>0.55*'Levas superpuestas'!$B$5*SIN(RADIANS((('Levas superpuestas'!$B$15-'Levas superpuestas'!$B$9/4)+7/20*(('Levas superpuestas'!$B$14+'Levas superpuestas'!$B$8/4)-('Levas superpuestas'!$B$15-'Levas superpuestas'!$B$9/4)))))</f>
        <v/>
      </c>
      <c r="AM9">
        <f>0.55*'Levas superpuestas'!$B$5*COS(RADIANS((('Levas superpuestas'!$B$15-'Levas superpuestas'!$B$9/4)+7/20*(('Levas superpuestas'!$B$14+'Levas superpuestas'!$B$8/4)-('Levas superpuestas'!$B$15-'Levas superpuestas'!$B$9/4)))))</f>
        <v/>
      </c>
    </row>
    <row r="10">
      <c r="A10" s="26">
        <f>A9+Simulador!$B$14</f>
        <v/>
      </c>
      <c r="B10" s="46">
        <f>IF(OR((($A10-Simulador!$E$5)/Simulador!$G$5)&lt;=0,(($A10-Simulador!$E$5)/Simulador!$G$5)&gt;=1),0,IF((($A10-Simulador!$E$5)/Simulador!$G$5)&lt;Simulador!$B$11,Simulador!$B$9*(1-COS(PI()*(($A10-Simulador!$E$5)/Simulador!$G$5)/Simulador!$B$11))/2,IF((($A10-Simulador!$E$5)/Simulador!$G$5)&gt;1-Simulador!$B$11,Simulador!$B$9*(1-COS(PI()*(1-(($A10-Simulador!$E$5)/Simulador!$G$5))/Simulador!$B$11))/2,Simulador!$B$9)))</f>
        <v/>
      </c>
      <c r="C10" s="46">
        <f>IF(OR((($A10-Simulador!$E$6)/Simulador!$G$6)&lt;=0,(($A10-Simulador!$E$6)/Simulador!$G$6)&gt;=1),0,IF((($A10-Simulador!$E$6)/Simulador!$G$6)&lt;Simulador!$B$11,Simulador!$B$9*(1-COS(PI()*(($A10-Simulador!$E$6)/Simulador!$G$6)/Simulador!$B$11))/2,IF((($A10-Simulador!$E$6)/Simulador!$G$6)&gt;1-Simulador!$B$11,Simulador!$B$9*(1-COS(PI()*(1-(($A10-Simulador!$E$6)/Simulador!$G$6))/Simulador!$B$11))/2,Simulador!$B$9)))</f>
        <v/>
      </c>
      <c r="D10" s="46">
        <f>IF(OR((($A10-Simulador!$E$7)/Simulador!$G$7)&lt;=0,(($A10-Simulador!$E$7)/Simulador!$G$7)&gt;=1),0,IF((($A10-Simulador!$E$7)/Simulador!$G$7)&lt;Simulador!$B$11,Simulador!$B$9*(1-COS(PI()*(($A10-Simulador!$E$7)/Simulador!$G$7)/Simulador!$B$11))/2,IF((($A10-Simulador!$E$7)/Simulador!$G$7)&gt;1-Simulador!$B$11,Simulador!$B$9*(1-COS(PI()*(1-(($A10-Simulador!$E$7)/Simulador!$G$7))/Simulador!$B$11))/2,Simulador!$B$9)))</f>
        <v/>
      </c>
      <c r="E10" s="46">
        <f>IF(OR((($A10-Simulador!$E$8)/Simulador!$G$8)&lt;=0,(($A10-Simulador!$E$8)/Simulador!$G$8)&gt;=1),0,IF((($A10-Simulador!$E$8)/Simulador!$G$8)&lt;Simulador!$B$11,Simulador!$B$10*(1-COS(PI()*(($A10-Simulador!$E$8)/Simulador!$G$8)/Simulador!$B$11))/2,IF((($A10-Simulador!$E$8)/Simulador!$G$8)&gt;1-Simulador!$B$11,Simulador!$B$10*(1-COS(PI()*(1-(($A10-Simulador!$E$8)/Simulador!$G$8))/Simulador!$B$11))/2,Simulador!$B$10)))</f>
        <v/>
      </c>
      <c r="F10" s="46">
        <f>IF(OR((($A10-Simulador!$E$9)/Simulador!$G$9)&lt;=0,(($A10-Simulador!$E$9)/Simulador!$G$9)&gt;=1),0,IF((($A10-Simulador!$E$9)/Simulador!$G$9)&lt;Simulador!$B$11,Simulador!$B$10*(1-COS(PI()*(($A10-Simulador!$E$9)/Simulador!$G$9)/Simulador!$B$11))/2,IF((($A10-Simulador!$E$9)/Simulador!$G$9)&gt;1-Simulador!$B$11,Simulador!$B$10*(1-COS(PI()*(1-(($A10-Simulador!$E$9)/Simulador!$G$9))/Simulador!$B$11))/2,Simulador!$B$10)))</f>
        <v/>
      </c>
      <c r="G10" s="46">
        <f>IF(OR((($A10-Simulador!$E$10)/Simulador!$G$10)&lt;=0,(($A10-Simulador!$E$10)/Simulador!$G$10)&gt;=1),0,IF((($A10-Simulador!$E$10)/Simulador!$G$10)&lt;Simulador!$B$11,Simulador!$B$10*(1-COS(PI()*(($A10-Simulador!$E$10)/Simulador!$G$10)/Simulador!$B$11))/2,IF((($A10-Simulador!$E$10)/Simulador!$G$10)&gt;1-Simulador!$B$11,Simulador!$B$10*(1-COS(PI()*(1-(($A10-Simulador!$E$10)/Simulador!$G$10))/Simulador!$B$11))/2,Simulador!$B$10)))</f>
        <v/>
      </c>
      <c r="I10" s="47">
        <f>Simulador!$F$7</f>
        <v/>
      </c>
      <c r="J10" s="47" t="n">
        <v>0.05</v>
      </c>
      <c r="K10" s="47">
        <f>Simulador!$F$5</f>
        <v/>
      </c>
      <c r="L10" s="47" t="n">
        <v>0.05</v>
      </c>
      <c r="M10" s="47" t="n"/>
      <c r="N10" s="47" t="n"/>
      <c r="Q10" s="48">
        <f>IF(OR((($A10-(Simulador!$E$6+'Salto de dientes'!$B$12))/Simulador!$G$6)&lt;=0,(($A10-(Simulador!$E$6+'Salto de dientes'!$B$12))/Simulador!$G$6)&gt;=1),0,IF((($A10-(Simulador!$E$6+'Salto de dientes'!$B$12))/Simulador!$G$6)&lt;Simulador!$B$11,Simulador!$B$9*(1-COS(PI()*(($A10-(Simulador!$E$6+'Salto de dientes'!$B$12))/Simulador!$G$6)/Simulador!$B$11))/2,IF((($A10-(Simulador!$E$6+'Salto de dientes'!$B$12))/Simulador!$G$6)&gt;1-Simulador!$B$11,Simulador!$B$9*(1-COS(PI()*(1-(($A10-(Simulador!$E$6+'Salto de dientes'!$B$12))/Simulador!$G$6))/Simulador!$B$11))/2,Simulador!$B$9)))</f>
        <v/>
      </c>
      <c r="R10" s="48">
        <f>IF(OR((($A10-(Simulador!$E$9+'Salto de dientes'!$B$12))/Simulador!$G$9)&lt;=0,(($A10-(Simulador!$E$9+'Salto de dientes'!$B$12))/Simulador!$G$9)&gt;=1),0,IF((($A10-(Simulador!$E$9+'Salto de dientes'!$B$12))/Simulador!$G$9)&lt;Simulador!$B$11,Simulador!$B$10*(1-COS(PI()*(($A10-(Simulador!$E$9+'Salto de dientes'!$B$12))/Simulador!$G$9)/Simulador!$B$11))/2,IF((($A10-(Simulador!$E$9+'Salto de dientes'!$B$12))/Simulador!$G$9)&gt;1-Simulador!$B$11,Simulador!$B$10*(1-COS(PI()*(1-(($A10-(Simulador!$E$9+'Salto de dientes'!$B$12))/Simulador!$G$9))/Simulador!$B$11))/2,Simulador!$B$10)))</f>
        <v/>
      </c>
      <c r="W10" t="n">
        <v>-156</v>
      </c>
      <c r="X10" s="48">
        <f>('Levas superpuestas'!$B$5+IF(OR(((W10-('Levas superpuestas'!$B$14-'Levas superpuestas'!$B$8/4))/('Levas superpuestas'!$B$8/2))&lt;=0,((W10-('Levas superpuestas'!$B$14-'Levas superpuestas'!$B$8/4))/('Levas superpuestas'!$B$8/2))&gt;=1),0,IF(((W10-('Levas superpuestas'!$B$14-'Levas superpuestas'!$B$8/4))/('Levas superpuestas'!$B$8/2))&lt;Simulador!$B$11,Simulador!$B$9*(1-COS(PI()*((W10-('Levas superpuestas'!$B$14-'Levas superpuestas'!$B$8/4))/('Levas superpuestas'!$B$8/2))/Simulador!$B$11))/2,IF(((W10-('Levas superpuestas'!$B$14-'Levas superpuestas'!$B$8/4))/('Levas superpuestas'!$B$8/2))&gt;1-Simulador!$B$11,Simulador!$B$9*(1-COS(PI()*(1-((W10-('Levas superpuestas'!$B$14-'Levas superpuestas'!$B$8/4))/('Levas superpuestas'!$B$8/2)))/Simulador!$B$11))/2,Simulador!$B$9))))*SIN(RADIANS(W10))</f>
        <v/>
      </c>
      <c r="Y10" s="48">
        <f>('Levas superpuestas'!$B$5+IF(OR(((W10-('Levas superpuestas'!$B$14-'Levas superpuestas'!$B$8/4))/('Levas superpuestas'!$B$8/2))&lt;=0,((W10-('Levas superpuestas'!$B$14-'Levas superpuestas'!$B$8/4))/('Levas superpuestas'!$B$8/2))&gt;=1),0,IF(((W10-('Levas superpuestas'!$B$14-'Levas superpuestas'!$B$8/4))/('Levas superpuestas'!$B$8/2))&lt;Simulador!$B$11,Simulador!$B$9*(1-COS(PI()*((W10-('Levas superpuestas'!$B$14-'Levas superpuestas'!$B$8/4))/('Levas superpuestas'!$B$8/2))/Simulador!$B$11))/2,IF(((W10-('Levas superpuestas'!$B$14-'Levas superpuestas'!$B$8/4))/('Levas superpuestas'!$B$8/2))&gt;1-Simulador!$B$11,Simulador!$B$9*(1-COS(PI()*(1-((W10-('Levas superpuestas'!$B$14-'Levas superpuestas'!$B$8/4))/('Levas superpuestas'!$B$8/2)))/Simulador!$B$11))/2,Simulador!$B$9))))*COS(RADIANS(W10))</f>
        <v/>
      </c>
      <c r="Z10" s="48">
        <f>('Levas superpuestas'!$B$5+IF(OR(((W10-('Levas superpuestas'!$B$15-'Levas superpuestas'!$B$9/4))/('Levas superpuestas'!$B$9/2))&lt;=0,((W10-('Levas superpuestas'!$B$15-'Levas superpuestas'!$B$9/4))/('Levas superpuestas'!$B$9/2))&gt;=1),0,IF(((W10-('Levas superpuestas'!$B$15-'Levas superpuestas'!$B$9/4))/('Levas superpuestas'!$B$9/2))&lt;Simulador!$B$11,Simulador!$B$10*(1-COS(PI()*((W10-('Levas superpuestas'!$B$15-'Levas superpuestas'!$B$9/4))/('Levas superpuestas'!$B$9/2))/Simulador!$B$11))/2,IF(((W10-('Levas superpuestas'!$B$15-'Levas superpuestas'!$B$9/4))/('Levas superpuestas'!$B$9/2))&gt;1-Simulador!$B$11,Simulador!$B$10*(1-COS(PI()*(1-((W10-('Levas superpuestas'!$B$15-'Levas superpuestas'!$B$9/4))/('Levas superpuestas'!$B$9/2)))/Simulador!$B$11))/2,Simulador!$B$10))))*SIN(RADIANS(W10))</f>
        <v/>
      </c>
      <c r="AA10" s="48">
        <f>('Levas superpuestas'!$B$5+IF(OR(((W10-('Levas superpuestas'!$B$15-'Levas superpuestas'!$B$9/4))/('Levas superpuestas'!$B$9/2))&lt;=0,((W10-('Levas superpuestas'!$B$15-'Levas superpuestas'!$B$9/4))/('Levas superpuestas'!$B$9/2))&gt;=1),0,IF(((W10-('Levas superpuestas'!$B$15-'Levas superpuestas'!$B$9/4))/('Levas superpuestas'!$B$9/2))&lt;Simulador!$B$11,Simulador!$B$10*(1-COS(PI()*((W10-('Levas superpuestas'!$B$15-'Levas superpuestas'!$B$9/4))/('Levas superpuestas'!$B$9/2))/Simulador!$B$11))/2,IF(((W10-('Levas superpuestas'!$B$15-'Levas superpuestas'!$B$9/4))/('Levas superpuestas'!$B$9/2))&gt;1-Simulador!$B$11,Simulador!$B$10*(1-COS(PI()*(1-((W10-('Levas superpuestas'!$B$15-'Levas superpuestas'!$B$9/4))/('Levas superpuestas'!$B$9/2)))/Simulador!$B$11))/2,Simulador!$B$10))))*COS(RADIANS(W10))</f>
        <v/>
      </c>
      <c r="AB10">
        <f>'Levas superpuestas'!$B$5*SIN(RADIANS(W10))</f>
        <v/>
      </c>
      <c r="AC10">
        <f>'Levas superpuestas'!$B$5*COS(RADIANS(W10))</f>
        <v/>
      </c>
      <c r="AL10">
        <f>0.55*'Levas superpuestas'!$B$5*SIN(RADIANS((('Levas superpuestas'!$B$15-'Levas superpuestas'!$B$9/4)+8/20*(('Levas superpuestas'!$B$14+'Levas superpuestas'!$B$8/4)-('Levas superpuestas'!$B$15-'Levas superpuestas'!$B$9/4)))))</f>
        <v/>
      </c>
      <c r="AM10">
        <f>0.55*'Levas superpuestas'!$B$5*COS(RADIANS((('Levas superpuestas'!$B$15-'Levas superpuestas'!$B$9/4)+8/20*(('Levas superpuestas'!$B$14+'Levas superpuestas'!$B$8/4)-('Levas superpuestas'!$B$15-'Levas superpuestas'!$B$9/4)))))</f>
        <v/>
      </c>
    </row>
    <row r="11">
      <c r="A11" s="26">
        <f>A10+Simulador!$B$14</f>
        <v/>
      </c>
      <c r="B11" s="46">
        <f>IF(OR((($A11-Simulador!$E$5)/Simulador!$G$5)&lt;=0,(($A11-Simulador!$E$5)/Simulador!$G$5)&gt;=1),0,IF((($A11-Simulador!$E$5)/Simulador!$G$5)&lt;Simulador!$B$11,Simulador!$B$9*(1-COS(PI()*(($A11-Simulador!$E$5)/Simulador!$G$5)/Simulador!$B$11))/2,IF((($A11-Simulador!$E$5)/Simulador!$G$5)&gt;1-Simulador!$B$11,Simulador!$B$9*(1-COS(PI()*(1-(($A11-Simulador!$E$5)/Simulador!$G$5))/Simulador!$B$11))/2,Simulador!$B$9)))</f>
        <v/>
      </c>
      <c r="C11" s="46">
        <f>IF(OR((($A11-Simulador!$E$6)/Simulador!$G$6)&lt;=0,(($A11-Simulador!$E$6)/Simulador!$G$6)&gt;=1),0,IF((($A11-Simulador!$E$6)/Simulador!$G$6)&lt;Simulador!$B$11,Simulador!$B$9*(1-COS(PI()*(($A11-Simulador!$E$6)/Simulador!$G$6)/Simulador!$B$11))/2,IF((($A11-Simulador!$E$6)/Simulador!$G$6)&gt;1-Simulador!$B$11,Simulador!$B$9*(1-COS(PI()*(1-(($A11-Simulador!$E$6)/Simulador!$G$6))/Simulador!$B$11))/2,Simulador!$B$9)))</f>
        <v/>
      </c>
      <c r="D11" s="46">
        <f>IF(OR((($A11-Simulador!$E$7)/Simulador!$G$7)&lt;=0,(($A11-Simulador!$E$7)/Simulador!$G$7)&gt;=1),0,IF((($A11-Simulador!$E$7)/Simulador!$G$7)&lt;Simulador!$B$11,Simulador!$B$9*(1-COS(PI()*(($A11-Simulador!$E$7)/Simulador!$G$7)/Simulador!$B$11))/2,IF((($A11-Simulador!$E$7)/Simulador!$G$7)&gt;1-Simulador!$B$11,Simulador!$B$9*(1-COS(PI()*(1-(($A11-Simulador!$E$7)/Simulador!$G$7))/Simulador!$B$11))/2,Simulador!$B$9)))</f>
        <v/>
      </c>
      <c r="E11" s="46">
        <f>IF(OR((($A11-Simulador!$E$8)/Simulador!$G$8)&lt;=0,(($A11-Simulador!$E$8)/Simulador!$G$8)&gt;=1),0,IF((($A11-Simulador!$E$8)/Simulador!$G$8)&lt;Simulador!$B$11,Simulador!$B$10*(1-COS(PI()*(($A11-Simulador!$E$8)/Simulador!$G$8)/Simulador!$B$11))/2,IF((($A11-Simulador!$E$8)/Simulador!$G$8)&gt;1-Simulador!$B$11,Simulador!$B$10*(1-COS(PI()*(1-(($A11-Simulador!$E$8)/Simulador!$G$8))/Simulador!$B$11))/2,Simulador!$B$10)))</f>
        <v/>
      </c>
      <c r="F11" s="46">
        <f>IF(OR((($A11-Simulador!$E$9)/Simulador!$G$9)&lt;=0,(($A11-Simulador!$E$9)/Simulador!$G$9)&gt;=1),0,IF((($A11-Simulador!$E$9)/Simulador!$G$9)&lt;Simulador!$B$11,Simulador!$B$10*(1-COS(PI()*(($A11-Simulador!$E$9)/Simulador!$G$9)/Simulador!$B$11))/2,IF((($A11-Simulador!$E$9)/Simulador!$G$9)&gt;1-Simulador!$B$11,Simulador!$B$10*(1-COS(PI()*(1-(($A11-Simulador!$E$9)/Simulador!$G$9))/Simulador!$B$11))/2,Simulador!$B$10)))</f>
        <v/>
      </c>
      <c r="G11" s="46">
        <f>IF(OR((($A11-Simulador!$E$10)/Simulador!$G$10)&lt;=0,(($A11-Simulador!$E$10)/Simulador!$G$10)&gt;=1),0,IF((($A11-Simulador!$E$10)/Simulador!$G$10)&lt;Simulador!$B$11,Simulador!$B$10*(1-COS(PI()*(($A11-Simulador!$E$10)/Simulador!$G$10)/Simulador!$B$11))/2,IF((($A11-Simulador!$E$10)/Simulador!$G$10)&gt;1-Simulador!$B$11,Simulador!$B$10*(1-COS(PI()*(1-(($A11-Simulador!$E$10)/Simulador!$G$10))/Simulador!$B$11))/2,Simulador!$B$10)))</f>
        <v/>
      </c>
      <c r="I11" s="47">
        <f>Simulador!$F$7</f>
        <v/>
      </c>
      <c r="J11" s="47" t="n">
        <v>0</v>
      </c>
      <c r="K11" s="47">
        <f>Simulador!$F$5</f>
        <v/>
      </c>
      <c r="L11" s="47" t="n">
        <v>0</v>
      </c>
      <c r="M11" s="47" t="n"/>
      <c r="N11" s="47" t="n"/>
      <c r="Q11" s="48">
        <f>IF(OR((($A11-(Simulador!$E$6+'Salto de dientes'!$B$12))/Simulador!$G$6)&lt;=0,(($A11-(Simulador!$E$6+'Salto de dientes'!$B$12))/Simulador!$G$6)&gt;=1),0,IF((($A11-(Simulador!$E$6+'Salto de dientes'!$B$12))/Simulador!$G$6)&lt;Simulador!$B$11,Simulador!$B$9*(1-COS(PI()*(($A11-(Simulador!$E$6+'Salto de dientes'!$B$12))/Simulador!$G$6)/Simulador!$B$11))/2,IF((($A11-(Simulador!$E$6+'Salto de dientes'!$B$12))/Simulador!$G$6)&gt;1-Simulador!$B$11,Simulador!$B$9*(1-COS(PI()*(1-(($A11-(Simulador!$E$6+'Salto de dientes'!$B$12))/Simulador!$G$6))/Simulador!$B$11))/2,Simulador!$B$9)))</f>
        <v/>
      </c>
      <c r="R11" s="48">
        <f>IF(OR((($A11-(Simulador!$E$9+'Salto de dientes'!$B$12))/Simulador!$G$9)&lt;=0,(($A11-(Simulador!$E$9+'Salto de dientes'!$B$12))/Simulador!$G$9)&gt;=1),0,IF((($A11-(Simulador!$E$9+'Salto de dientes'!$B$12))/Simulador!$G$9)&lt;Simulador!$B$11,Simulador!$B$10*(1-COS(PI()*(($A11-(Simulador!$E$9+'Salto de dientes'!$B$12))/Simulador!$G$9)/Simulador!$B$11))/2,IF((($A11-(Simulador!$E$9+'Salto de dientes'!$B$12))/Simulador!$G$9)&gt;1-Simulador!$B$11,Simulador!$B$10*(1-COS(PI()*(1-(($A11-(Simulador!$E$9+'Salto de dientes'!$B$12))/Simulador!$G$9))/Simulador!$B$11))/2,Simulador!$B$10)))</f>
        <v/>
      </c>
      <c r="W11" t="n">
        <v>-153</v>
      </c>
      <c r="X11" s="48">
        <f>('Levas superpuestas'!$B$5+IF(OR(((W11-('Levas superpuestas'!$B$14-'Levas superpuestas'!$B$8/4))/('Levas superpuestas'!$B$8/2))&lt;=0,((W11-('Levas superpuestas'!$B$14-'Levas superpuestas'!$B$8/4))/('Levas superpuestas'!$B$8/2))&gt;=1),0,IF(((W11-('Levas superpuestas'!$B$14-'Levas superpuestas'!$B$8/4))/('Levas superpuestas'!$B$8/2))&lt;Simulador!$B$11,Simulador!$B$9*(1-COS(PI()*((W11-('Levas superpuestas'!$B$14-'Levas superpuestas'!$B$8/4))/('Levas superpuestas'!$B$8/2))/Simulador!$B$11))/2,IF(((W11-('Levas superpuestas'!$B$14-'Levas superpuestas'!$B$8/4))/('Levas superpuestas'!$B$8/2))&gt;1-Simulador!$B$11,Simulador!$B$9*(1-COS(PI()*(1-((W11-('Levas superpuestas'!$B$14-'Levas superpuestas'!$B$8/4))/('Levas superpuestas'!$B$8/2)))/Simulador!$B$11))/2,Simulador!$B$9))))*SIN(RADIANS(W11))</f>
        <v/>
      </c>
      <c r="Y11" s="48">
        <f>('Levas superpuestas'!$B$5+IF(OR(((W11-('Levas superpuestas'!$B$14-'Levas superpuestas'!$B$8/4))/('Levas superpuestas'!$B$8/2))&lt;=0,((W11-('Levas superpuestas'!$B$14-'Levas superpuestas'!$B$8/4))/('Levas superpuestas'!$B$8/2))&gt;=1),0,IF(((W11-('Levas superpuestas'!$B$14-'Levas superpuestas'!$B$8/4))/('Levas superpuestas'!$B$8/2))&lt;Simulador!$B$11,Simulador!$B$9*(1-COS(PI()*((W11-('Levas superpuestas'!$B$14-'Levas superpuestas'!$B$8/4))/('Levas superpuestas'!$B$8/2))/Simulador!$B$11))/2,IF(((W11-('Levas superpuestas'!$B$14-'Levas superpuestas'!$B$8/4))/('Levas superpuestas'!$B$8/2))&gt;1-Simulador!$B$11,Simulador!$B$9*(1-COS(PI()*(1-((W11-('Levas superpuestas'!$B$14-'Levas superpuestas'!$B$8/4))/('Levas superpuestas'!$B$8/2)))/Simulador!$B$11))/2,Simulador!$B$9))))*COS(RADIANS(W11))</f>
        <v/>
      </c>
      <c r="Z11" s="48">
        <f>('Levas superpuestas'!$B$5+IF(OR(((W11-('Levas superpuestas'!$B$15-'Levas superpuestas'!$B$9/4))/('Levas superpuestas'!$B$9/2))&lt;=0,((W11-('Levas superpuestas'!$B$15-'Levas superpuestas'!$B$9/4))/('Levas superpuestas'!$B$9/2))&gt;=1),0,IF(((W11-('Levas superpuestas'!$B$15-'Levas superpuestas'!$B$9/4))/('Levas superpuestas'!$B$9/2))&lt;Simulador!$B$11,Simulador!$B$10*(1-COS(PI()*((W11-('Levas superpuestas'!$B$15-'Levas superpuestas'!$B$9/4))/('Levas superpuestas'!$B$9/2))/Simulador!$B$11))/2,IF(((W11-('Levas superpuestas'!$B$15-'Levas superpuestas'!$B$9/4))/('Levas superpuestas'!$B$9/2))&gt;1-Simulador!$B$11,Simulador!$B$10*(1-COS(PI()*(1-((W11-('Levas superpuestas'!$B$15-'Levas superpuestas'!$B$9/4))/('Levas superpuestas'!$B$9/2)))/Simulador!$B$11))/2,Simulador!$B$10))))*SIN(RADIANS(W11))</f>
        <v/>
      </c>
      <c r="AA11" s="48">
        <f>('Levas superpuestas'!$B$5+IF(OR(((W11-('Levas superpuestas'!$B$15-'Levas superpuestas'!$B$9/4))/('Levas superpuestas'!$B$9/2))&lt;=0,((W11-('Levas superpuestas'!$B$15-'Levas superpuestas'!$B$9/4))/('Levas superpuestas'!$B$9/2))&gt;=1),0,IF(((W11-('Levas superpuestas'!$B$15-'Levas superpuestas'!$B$9/4))/('Levas superpuestas'!$B$9/2))&lt;Simulador!$B$11,Simulador!$B$10*(1-COS(PI()*((W11-('Levas superpuestas'!$B$15-'Levas superpuestas'!$B$9/4))/('Levas superpuestas'!$B$9/2))/Simulador!$B$11))/2,IF(((W11-('Levas superpuestas'!$B$15-'Levas superpuestas'!$B$9/4))/('Levas superpuestas'!$B$9/2))&gt;1-Simulador!$B$11,Simulador!$B$10*(1-COS(PI()*(1-((W11-('Levas superpuestas'!$B$15-'Levas superpuestas'!$B$9/4))/('Levas superpuestas'!$B$9/2)))/Simulador!$B$11))/2,Simulador!$B$10))))*COS(RADIANS(W11))</f>
        <v/>
      </c>
      <c r="AB11">
        <f>'Levas superpuestas'!$B$5*SIN(RADIANS(W11))</f>
        <v/>
      </c>
      <c r="AC11">
        <f>'Levas superpuestas'!$B$5*COS(RADIANS(W11))</f>
        <v/>
      </c>
      <c r="AE11" t="inlineStr">
        <is>
          <t>MÁXIMA ELEVACIÓN ADMISIÓN</t>
        </is>
      </c>
      <c r="AF11">
        <f>'Levas superpuestas'!$B$15</f>
        <v/>
      </c>
      <c r="AG11" t="n">
        <v>0</v>
      </c>
      <c r="AH11" t="n">
        <v>0</v>
      </c>
      <c r="AL11">
        <f>0.55*'Levas superpuestas'!$B$5*SIN(RADIANS((('Levas superpuestas'!$B$15-'Levas superpuestas'!$B$9/4)+9/20*(('Levas superpuestas'!$B$14+'Levas superpuestas'!$B$8/4)-('Levas superpuestas'!$B$15-'Levas superpuestas'!$B$9/4)))))</f>
        <v/>
      </c>
      <c r="AM11">
        <f>0.55*'Levas superpuestas'!$B$5*COS(RADIANS((('Levas superpuestas'!$B$15-'Levas superpuestas'!$B$9/4)+9/20*(('Levas superpuestas'!$B$14+'Levas superpuestas'!$B$8/4)-('Levas superpuestas'!$B$15-'Levas superpuestas'!$B$9/4)))))</f>
        <v/>
      </c>
    </row>
    <row r="12">
      <c r="A12" s="26">
        <f>A11+Simulador!$B$14</f>
        <v/>
      </c>
      <c r="B12" s="46">
        <f>IF(OR((($A12-Simulador!$E$5)/Simulador!$G$5)&lt;=0,(($A12-Simulador!$E$5)/Simulador!$G$5)&gt;=1),0,IF((($A12-Simulador!$E$5)/Simulador!$G$5)&lt;Simulador!$B$11,Simulador!$B$9*(1-COS(PI()*(($A12-Simulador!$E$5)/Simulador!$G$5)/Simulador!$B$11))/2,IF((($A12-Simulador!$E$5)/Simulador!$G$5)&gt;1-Simulador!$B$11,Simulador!$B$9*(1-COS(PI()*(1-(($A12-Simulador!$E$5)/Simulador!$G$5))/Simulador!$B$11))/2,Simulador!$B$9)))</f>
        <v/>
      </c>
      <c r="C12" s="46">
        <f>IF(OR((($A12-Simulador!$E$6)/Simulador!$G$6)&lt;=0,(($A12-Simulador!$E$6)/Simulador!$G$6)&gt;=1),0,IF((($A12-Simulador!$E$6)/Simulador!$G$6)&lt;Simulador!$B$11,Simulador!$B$9*(1-COS(PI()*(($A12-Simulador!$E$6)/Simulador!$G$6)/Simulador!$B$11))/2,IF((($A12-Simulador!$E$6)/Simulador!$G$6)&gt;1-Simulador!$B$11,Simulador!$B$9*(1-COS(PI()*(1-(($A12-Simulador!$E$6)/Simulador!$G$6))/Simulador!$B$11))/2,Simulador!$B$9)))</f>
        <v/>
      </c>
      <c r="D12" s="46">
        <f>IF(OR((($A12-Simulador!$E$7)/Simulador!$G$7)&lt;=0,(($A12-Simulador!$E$7)/Simulador!$G$7)&gt;=1),0,IF((($A12-Simulador!$E$7)/Simulador!$G$7)&lt;Simulador!$B$11,Simulador!$B$9*(1-COS(PI()*(($A12-Simulador!$E$7)/Simulador!$G$7)/Simulador!$B$11))/2,IF((($A12-Simulador!$E$7)/Simulador!$G$7)&gt;1-Simulador!$B$11,Simulador!$B$9*(1-COS(PI()*(1-(($A12-Simulador!$E$7)/Simulador!$G$7))/Simulador!$B$11))/2,Simulador!$B$9)))</f>
        <v/>
      </c>
      <c r="E12" s="46">
        <f>IF(OR((($A12-Simulador!$E$8)/Simulador!$G$8)&lt;=0,(($A12-Simulador!$E$8)/Simulador!$G$8)&gt;=1),0,IF((($A12-Simulador!$E$8)/Simulador!$G$8)&lt;Simulador!$B$11,Simulador!$B$10*(1-COS(PI()*(($A12-Simulador!$E$8)/Simulador!$G$8)/Simulador!$B$11))/2,IF((($A12-Simulador!$E$8)/Simulador!$G$8)&gt;1-Simulador!$B$11,Simulador!$B$10*(1-COS(PI()*(1-(($A12-Simulador!$E$8)/Simulador!$G$8))/Simulador!$B$11))/2,Simulador!$B$10)))</f>
        <v/>
      </c>
      <c r="F12" s="46">
        <f>IF(OR((($A12-Simulador!$E$9)/Simulador!$G$9)&lt;=0,(($A12-Simulador!$E$9)/Simulador!$G$9)&gt;=1),0,IF((($A12-Simulador!$E$9)/Simulador!$G$9)&lt;Simulador!$B$11,Simulador!$B$10*(1-COS(PI()*(($A12-Simulador!$E$9)/Simulador!$G$9)/Simulador!$B$11))/2,IF((($A12-Simulador!$E$9)/Simulador!$G$9)&gt;1-Simulador!$B$11,Simulador!$B$10*(1-COS(PI()*(1-(($A12-Simulador!$E$9)/Simulador!$G$9))/Simulador!$B$11))/2,Simulador!$B$10)))</f>
        <v/>
      </c>
      <c r="G12" s="46">
        <f>IF(OR((($A12-Simulador!$E$10)/Simulador!$G$10)&lt;=0,(($A12-Simulador!$E$10)/Simulador!$G$10)&gt;=1),0,IF((($A12-Simulador!$E$10)/Simulador!$G$10)&lt;Simulador!$B$11,Simulador!$B$10*(1-COS(PI()*(($A12-Simulador!$E$10)/Simulador!$G$10)/Simulador!$B$11))/2,IF((($A12-Simulador!$E$10)/Simulador!$G$10)&gt;1-Simulador!$B$11,Simulador!$B$10*(1-COS(PI()*(1-(($A12-Simulador!$E$10)/Simulador!$G$10))/Simulador!$B$11))/2,Simulador!$B$10)))</f>
        <v/>
      </c>
      <c r="Q12" s="48">
        <f>IF(OR((($A12-(Simulador!$E$6+'Salto de dientes'!$B$12))/Simulador!$G$6)&lt;=0,(($A12-(Simulador!$E$6+'Salto de dientes'!$B$12))/Simulador!$G$6)&gt;=1),0,IF((($A12-(Simulador!$E$6+'Salto de dientes'!$B$12))/Simulador!$G$6)&lt;Simulador!$B$11,Simulador!$B$9*(1-COS(PI()*(($A12-(Simulador!$E$6+'Salto de dientes'!$B$12))/Simulador!$G$6)/Simulador!$B$11))/2,IF((($A12-(Simulador!$E$6+'Salto de dientes'!$B$12))/Simulador!$G$6)&gt;1-Simulador!$B$11,Simulador!$B$9*(1-COS(PI()*(1-(($A12-(Simulador!$E$6+'Salto de dientes'!$B$12))/Simulador!$G$6))/Simulador!$B$11))/2,Simulador!$B$9)))</f>
        <v/>
      </c>
      <c r="R12" s="48">
        <f>IF(OR((($A12-(Simulador!$E$9+'Salto de dientes'!$B$12))/Simulador!$G$9)&lt;=0,(($A12-(Simulador!$E$9+'Salto de dientes'!$B$12))/Simulador!$G$9)&gt;=1),0,IF((($A12-(Simulador!$E$9+'Salto de dientes'!$B$12))/Simulador!$G$9)&lt;Simulador!$B$11,Simulador!$B$10*(1-COS(PI()*(($A12-(Simulador!$E$9+'Salto de dientes'!$B$12))/Simulador!$G$9)/Simulador!$B$11))/2,IF((($A12-(Simulador!$E$9+'Salto de dientes'!$B$12))/Simulador!$G$9)&gt;1-Simulador!$B$11,Simulador!$B$10*(1-COS(PI()*(1-(($A12-(Simulador!$E$9+'Salto de dientes'!$B$12))/Simulador!$G$9))/Simulador!$B$11))/2,Simulador!$B$10)))</f>
        <v/>
      </c>
      <c r="W12" t="n">
        <v>-150</v>
      </c>
      <c r="X12" s="48">
        <f>('Levas superpuestas'!$B$5+IF(OR(((W12-('Levas superpuestas'!$B$14-'Levas superpuestas'!$B$8/4))/('Levas superpuestas'!$B$8/2))&lt;=0,((W12-('Levas superpuestas'!$B$14-'Levas superpuestas'!$B$8/4))/('Levas superpuestas'!$B$8/2))&gt;=1),0,IF(((W12-('Levas superpuestas'!$B$14-'Levas superpuestas'!$B$8/4))/('Levas superpuestas'!$B$8/2))&lt;Simulador!$B$11,Simulador!$B$9*(1-COS(PI()*((W12-('Levas superpuestas'!$B$14-'Levas superpuestas'!$B$8/4))/('Levas superpuestas'!$B$8/2))/Simulador!$B$11))/2,IF(((W12-('Levas superpuestas'!$B$14-'Levas superpuestas'!$B$8/4))/('Levas superpuestas'!$B$8/2))&gt;1-Simulador!$B$11,Simulador!$B$9*(1-COS(PI()*(1-((W12-('Levas superpuestas'!$B$14-'Levas superpuestas'!$B$8/4))/('Levas superpuestas'!$B$8/2)))/Simulador!$B$11))/2,Simulador!$B$9))))*SIN(RADIANS(W12))</f>
        <v/>
      </c>
      <c r="Y12" s="48">
        <f>('Levas superpuestas'!$B$5+IF(OR(((W12-('Levas superpuestas'!$B$14-'Levas superpuestas'!$B$8/4))/('Levas superpuestas'!$B$8/2))&lt;=0,((W12-('Levas superpuestas'!$B$14-'Levas superpuestas'!$B$8/4))/('Levas superpuestas'!$B$8/2))&gt;=1),0,IF(((W12-('Levas superpuestas'!$B$14-'Levas superpuestas'!$B$8/4))/('Levas superpuestas'!$B$8/2))&lt;Simulador!$B$11,Simulador!$B$9*(1-COS(PI()*((W12-('Levas superpuestas'!$B$14-'Levas superpuestas'!$B$8/4))/('Levas superpuestas'!$B$8/2))/Simulador!$B$11))/2,IF(((W12-('Levas superpuestas'!$B$14-'Levas superpuestas'!$B$8/4))/('Levas superpuestas'!$B$8/2))&gt;1-Simulador!$B$11,Simulador!$B$9*(1-COS(PI()*(1-((W12-('Levas superpuestas'!$B$14-'Levas superpuestas'!$B$8/4))/('Levas superpuestas'!$B$8/2)))/Simulador!$B$11))/2,Simulador!$B$9))))*COS(RADIANS(W12))</f>
        <v/>
      </c>
      <c r="Z12" s="48">
        <f>('Levas superpuestas'!$B$5+IF(OR(((W12-('Levas superpuestas'!$B$15-'Levas superpuestas'!$B$9/4))/('Levas superpuestas'!$B$9/2))&lt;=0,((W12-('Levas superpuestas'!$B$15-'Levas superpuestas'!$B$9/4))/('Levas superpuestas'!$B$9/2))&gt;=1),0,IF(((W12-('Levas superpuestas'!$B$15-'Levas superpuestas'!$B$9/4))/('Levas superpuestas'!$B$9/2))&lt;Simulador!$B$11,Simulador!$B$10*(1-COS(PI()*((W12-('Levas superpuestas'!$B$15-'Levas superpuestas'!$B$9/4))/('Levas superpuestas'!$B$9/2))/Simulador!$B$11))/2,IF(((W12-('Levas superpuestas'!$B$15-'Levas superpuestas'!$B$9/4))/('Levas superpuestas'!$B$9/2))&gt;1-Simulador!$B$11,Simulador!$B$10*(1-COS(PI()*(1-((W12-('Levas superpuestas'!$B$15-'Levas superpuestas'!$B$9/4))/('Levas superpuestas'!$B$9/2)))/Simulador!$B$11))/2,Simulador!$B$10))))*SIN(RADIANS(W12))</f>
        <v/>
      </c>
      <c r="AA12" s="48">
        <f>('Levas superpuestas'!$B$5+IF(OR(((W12-('Levas superpuestas'!$B$15-'Levas superpuestas'!$B$9/4))/('Levas superpuestas'!$B$9/2))&lt;=0,((W12-('Levas superpuestas'!$B$15-'Levas superpuestas'!$B$9/4))/('Levas superpuestas'!$B$9/2))&gt;=1),0,IF(((W12-('Levas superpuestas'!$B$15-'Levas superpuestas'!$B$9/4))/('Levas superpuestas'!$B$9/2))&lt;Simulador!$B$11,Simulador!$B$10*(1-COS(PI()*((W12-('Levas superpuestas'!$B$15-'Levas superpuestas'!$B$9/4))/('Levas superpuestas'!$B$9/2))/Simulador!$B$11))/2,IF(((W12-('Levas superpuestas'!$B$15-'Levas superpuestas'!$B$9/4))/('Levas superpuestas'!$B$9/2))&gt;1-Simulador!$B$11,Simulador!$B$10*(1-COS(PI()*(1-((W12-('Levas superpuestas'!$B$15-'Levas superpuestas'!$B$9/4))/('Levas superpuestas'!$B$9/2)))/Simulador!$B$11))/2,Simulador!$B$10))))*COS(RADIANS(W12))</f>
        <v/>
      </c>
      <c r="AB12">
        <f>'Levas superpuestas'!$B$5*SIN(RADIANS(W12))</f>
        <v/>
      </c>
      <c r="AC12">
        <f>'Levas superpuestas'!$B$5*COS(RADIANS(W12))</f>
        <v/>
      </c>
      <c r="AG12">
        <f>('Levas superpuestas'!$B$5+MAX(Simulador!$B$9,Simulador!$B$10)+9)*SIN(RADIANS(AF11))</f>
        <v/>
      </c>
      <c r="AH12">
        <f>('Levas superpuestas'!$B$5+MAX(Simulador!$B$9,Simulador!$B$10)+9)*COS(RADIANS(AF11))</f>
        <v/>
      </c>
      <c r="AL12">
        <f>0.55*'Levas superpuestas'!$B$5*SIN(RADIANS((('Levas superpuestas'!$B$15-'Levas superpuestas'!$B$9/4)+10/20*(('Levas superpuestas'!$B$14+'Levas superpuestas'!$B$8/4)-('Levas superpuestas'!$B$15-'Levas superpuestas'!$B$9/4)))))</f>
        <v/>
      </c>
      <c r="AM12">
        <f>0.55*'Levas superpuestas'!$B$5*COS(RADIANS((('Levas superpuestas'!$B$15-'Levas superpuestas'!$B$9/4)+10/20*(('Levas superpuestas'!$B$14+'Levas superpuestas'!$B$8/4)-('Levas superpuestas'!$B$15-'Levas superpuestas'!$B$9/4)))))</f>
        <v/>
      </c>
    </row>
    <row r="13">
      <c r="A13" s="26">
        <f>A12+Simulador!$B$14</f>
        <v/>
      </c>
      <c r="B13" s="46">
        <f>IF(OR((($A13-Simulador!$E$5)/Simulador!$G$5)&lt;=0,(($A13-Simulador!$E$5)/Simulador!$G$5)&gt;=1),0,IF((($A13-Simulador!$E$5)/Simulador!$G$5)&lt;Simulador!$B$11,Simulador!$B$9*(1-COS(PI()*(($A13-Simulador!$E$5)/Simulador!$G$5)/Simulador!$B$11))/2,IF((($A13-Simulador!$E$5)/Simulador!$G$5)&gt;1-Simulador!$B$11,Simulador!$B$9*(1-COS(PI()*(1-(($A13-Simulador!$E$5)/Simulador!$G$5))/Simulador!$B$11))/2,Simulador!$B$9)))</f>
        <v/>
      </c>
      <c r="C13" s="46">
        <f>IF(OR((($A13-Simulador!$E$6)/Simulador!$G$6)&lt;=0,(($A13-Simulador!$E$6)/Simulador!$G$6)&gt;=1),0,IF((($A13-Simulador!$E$6)/Simulador!$G$6)&lt;Simulador!$B$11,Simulador!$B$9*(1-COS(PI()*(($A13-Simulador!$E$6)/Simulador!$G$6)/Simulador!$B$11))/2,IF((($A13-Simulador!$E$6)/Simulador!$G$6)&gt;1-Simulador!$B$11,Simulador!$B$9*(1-COS(PI()*(1-(($A13-Simulador!$E$6)/Simulador!$G$6))/Simulador!$B$11))/2,Simulador!$B$9)))</f>
        <v/>
      </c>
      <c r="D13" s="46">
        <f>IF(OR((($A13-Simulador!$E$7)/Simulador!$G$7)&lt;=0,(($A13-Simulador!$E$7)/Simulador!$G$7)&gt;=1),0,IF((($A13-Simulador!$E$7)/Simulador!$G$7)&lt;Simulador!$B$11,Simulador!$B$9*(1-COS(PI()*(($A13-Simulador!$E$7)/Simulador!$G$7)/Simulador!$B$11))/2,IF((($A13-Simulador!$E$7)/Simulador!$G$7)&gt;1-Simulador!$B$11,Simulador!$B$9*(1-COS(PI()*(1-(($A13-Simulador!$E$7)/Simulador!$G$7))/Simulador!$B$11))/2,Simulador!$B$9)))</f>
        <v/>
      </c>
      <c r="E13" s="46">
        <f>IF(OR((($A13-Simulador!$E$8)/Simulador!$G$8)&lt;=0,(($A13-Simulador!$E$8)/Simulador!$G$8)&gt;=1),0,IF((($A13-Simulador!$E$8)/Simulador!$G$8)&lt;Simulador!$B$11,Simulador!$B$10*(1-COS(PI()*(($A13-Simulador!$E$8)/Simulador!$G$8)/Simulador!$B$11))/2,IF((($A13-Simulador!$E$8)/Simulador!$G$8)&gt;1-Simulador!$B$11,Simulador!$B$10*(1-COS(PI()*(1-(($A13-Simulador!$E$8)/Simulador!$G$8))/Simulador!$B$11))/2,Simulador!$B$10)))</f>
        <v/>
      </c>
      <c r="F13" s="46">
        <f>IF(OR((($A13-Simulador!$E$9)/Simulador!$G$9)&lt;=0,(($A13-Simulador!$E$9)/Simulador!$G$9)&gt;=1),0,IF((($A13-Simulador!$E$9)/Simulador!$G$9)&lt;Simulador!$B$11,Simulador!$B$10*(1-COS(PI()*(($A13-Simulador!$E$9)/Simulador!$G$9)/Simulador!$B$11))/2,IF((($A13-Simulador!$E$9)/Simulador!$G$9)&gt;1-Simulador!$B$11,Simulador!$B$10*(1-COS(PI()*(1-(($A13-Simulador!$E$9)/Simulador!$G$9))/Simulador!$B$11))/2,Simulador!$B$10)))</f>
        <v/>
      </c>
      <c r="G13" s="46">
        <f>IF(OR((($A13-Simulador!$E$10)/Simulador!$G$10)&lt;=0,(($A13-Simulador!$E$10)/Simulador!$G$10)&gt;=1),0,IF((($A13-Simulador!$E$10)/Simulador!$G$10)&lt;Simulador!$B$11,Simulador!$B$10*(1-COS(PI()*(($A13-Simulador!$E$10)/Simulador!$G$10)/Simulador!$B$11))/2,IF((($A13-Simulador!$E$10)/Simulador!$G$10)&gt;1-Simulador!$B$11,Simulador!$B$10*(1-COS(PI()*(1-(($A13-Simulador!$E$10)/Simulador!$G$10))/Simulador!$B$11))/2,Simulador!$B$10)))</f>
        <v/>
      </c>
      <c r="I13" s="2" t="inlineStr">
        <is>
          <t>Las columnas I–N dibujan los corchetes de cruce y la línea del PMS en el gráfico.</t>
        </is>
      </c>
      <c r="Q13" s="48">
        <f>IF(OR((($A13-(Simulador!$E$6+'Salto de dientes'!$B$12))/Simulador!$G$6)&lt;=0,(($A13-(Simulador!$E$6+'Salto de dientes'!$B$12))/Simulador!$G$6)&gt;=1),0,IF((($A13-(Simulador!$E$6+'Salto de dientes'!$B$12))/Simulador!$G$6)&lt;Simulador!$B$11,Simulador!$B$9*(1-COS(PI()*(($A13-(Simulador!$E$6+'Salto de dientes'!$B$12))/Simulador!$G$6)/Simulador!$B$11))/2,IF((($A13-(Simulador!$E$6+'Salto de dientes'!$B$12))/Simulador!$G$6)&gt;1-Simulador!$B$11,Simulador!$B$9*(1-COS(PI()*(1-(($A13-(Simulador!$E$6+'Salto de dientes'!$B$12))/Simulador!$G$6))/Simulador!$B$11))/2,Simulador!$B$9)))</f>
        <v/>
      </c>
      <c r="R13" s="48">
        <f>IF(OR((($A13-(Simulador!$E$9+'Salto de dientes'!$B$12))/Simulador!$G$9)&lt;=0,(($A13-(Simulador!$E$9+'Salto de dientes'!$B$12))/Simulador!$G$9)&gt;=1),0,IF((($A13-(Simulador!$E$9+'Salto de dientes'!$B$12))/Simulador!$G$9)&lt;Simulador!$B$11,Simulador!$B$10*(1-COS(PI()*(($A13-(Simulador!$E$9+'Salto de dientes'!$B$12))/Simulador!$G$9)/Simulador!$B$11))/2,IF((($A13-(Simulador!$E$9+'Salto de dientes'!$B$12))/Simulador!$G$9)&gt;1-Simulador!$B$11,Simulador!$B$10*(1-COS(PI()*(1-(($A13-(Simulador!$E$9+'Salto de dientes'!$B$12))/Simulador!$G$9))/Simulador!$B$11))/2,Simulador!$B$10)))</f>
        <v/>
      </c>
      <c r="W13" t="n">
        <v>-147</v>
      </c>
      <c r="X13" s="48">
        <f>('Levas superpuestas'!$B$5+IF(OR(((W13-('Levas superpuestas'!$B$14-'Levas superpuestas'!$B$8/4))/('Levas superpuestas'!$B$8/2))&lt;=0,((W13-('Levas superpuestas'!$B$14-'Levas superpuestas'!$B$8/4))/('Levas superpuestas'!$B$8/2))&gt;=1),0,IF(((W13-('Levas superpuestas'!$B$14-'Levas superpuestas'!$B$8/4))/('Levas superpuestas'!$B$8/2))&lt;Simulador!$B$11,Simulador!$B$9*(1-COS(PI()*((W13-('Levas superpuestas'!$B$14-'Levas superpuestas'!$B$8/4))/('Levas superpuestas'!$B$8/2))/Simulador!$B$11))/2,IF(((W13-('Levas superpuestas'!$B$14-'Levas superpuestas'!$B$8/4))/('Levas superpuestas'!$B$8/2))&gt;1-Simulador!$B$11,Simulador!$B$9*(1-COS(PI()*(1-((W13-('Levas superpuestas'!$B$14-'Levas superpuestas'!$B$8/4))/('Levas superpuestas'!$B$8/2)))/Simulador!$B$11))/2,Simulador!$B$9))))*SIN(RADIANS(W13))</f>
        <v/>
      </c>
      <c r="Y13" s="48">
        <f>('Levas superpuestas'!$B$5+IF(OR(((W13-('Levas superpuestas'!$B$14-'Levas superpuestas'!$B$8/4))/('Levas superpuestas'!$B$8/2))&lt;=0,((W13-('Levas superpuestas'!$B$14-'Levas superpuestas'!$B$8/4))/('Levas superpuestas'!$B$8/2))&gt;=1),0,IF(((W13-('Levas superpuestas'!$B$14-'Levas superpuestas'!$B$8/4))/('Levas superpuestas'!$B$8/2))&lt;Simulador!$B$11,Simulador!$B$9*(1-COS(PI()*((W13-('Levas superpuestas'!$B$14-'Levas superpuestas'!$B$8/4))/('Levas superpuestas'!$B$8/2))/Simulador!$B$11))/2,IF(((W13-('Levas superpuestas'!$B$14-'Levas superpuestas'!$B$8/4))/('Levas superpuestas'!$B$8/2))&gt;1-Simulador!$B$11,Simulador!$B$9*(1-COS(PI()*(1-((W13-('Levas superpuestas'!$B$14-'Levas superpuestas'!$B$8/4))/('Levas superpuestas'!$B$8/2)))/Simulador!$B$11))/2,Simulador!$B$9))))*COS(RADIANS(W13))</f>
        <v/>
      </c>
      <c r="Z13" s="48">
        <f>('Levas superpuestas'!$B$5+IF(OR(((W13-('Levas superpuestas'!$B$15-'Levas superpuestas'!$B$9/4))/('Levas superpuestas'!$B$9/2))&lt;=0,((W13-('Levas superpuestas'!$B$15-'Levas superpuestas'!$B$9/4))/('Levas superpuestas'!$B$9/2))&gt;=1),0,IF(((W13-('Levas superpuestas'!$B$15-'Levas superpuestas'!$B$9/4))/('Levas superpuestas'!$B$9/2))&lt;Simulador!$B$11,Simulador!$B$10*(1-COS(PI()*((W13-('Levas superpuestas'!$B$15-'Levas superpuestas'!$B$9/4))/('Levas superpuestas'!$B$9/2))/Simulador!$B$11))/2,IF(((W13-('Levas superpuestas'!$B$15-'Levas superpuestas'!$B$9/4))/('Levas superpuestas'!$B$9/2))&gt;1-Simulador!$B$11,Simulador!$B$10*(1-COS(PI()*(1-((W13-('Levas superpuestas'!$B$15-'Levas superpuestas'!$B$9/4))/('Levas superpuestas'!$B$9/2)))/Simulador!$B$11))/2,Simulador!$B$10))))*SIN(RADIANS(W13))</f>
        <v/>
      </c>
      <c r="AA13" s="48">
        <f>('Levas superpuestas'!$B$5+IF(OR(((W13-('Levas superpuestas'!$B$15-'Levas superpuestas'!$B$9/4))/('Levas superpuestas'!$B$9/2))&lt;=0,((W13-('Levas superpuestas'!$B$15-'Levas superpuestas'!$B$9/4))/('Levas superpuestas'!$B$9/2))&gt;=1),0,IF(((W13-('Levas superpuestas'!$B$15-'Levas superpuestas'!$B$9/4))/('Levas superpuestas'!$B$9/2))&lt;Simulador!$B$11,Simulador!$B$10*(1-COS(PI()*((W13-('Levas superpuestas'!$B$15-'Levas superpuestas'!$B$9/4))/('Levas superpuestas'!$B$9/2))/Simulador!$B$11))/2,IF(((W13-('Levas superpuestas'!$B$15-'Levas superpuestas'!$B$9/4))/('Levas superpuestas'!$B$9/2))&gt;1-Simulador!$B$11,Simulador!$B$10*(1-COS(PI()*(1-((W13-('Levas superpuestas'!$B$15-'Levas superpuestas'!$B$9/4))/('Levas superpuestas'!$B$9/2)))/Simulador!$B$11))/2,Simulador!$B$10))))*COS(RADIANS(W13))</f>
        <v/>
      </c>
      <c r="AB13">
        <f>'Levas superpuestas'!$B$5*SIN(RADIANS(W13))</f>
        <v/>
      </c>
      <c r="AC13">
        <f>'Levas superpuestas'!$B$5*COS(RADIANS(W13))</f>
        <v/>
      </c>
      <c r="AL13">
        <f>0.55*'Levas superpuestas'!$B$5*SIN(RADIANS((('Levas superpuestas'!$B$15-'Levas superpuestas'!$B$9/4)+11/20*(('Levas superpuestas'!$B$14+'Levas superpuestas'!$B$8/4)-('Levas superpuestas'!$B$15-'Levas superpuestas'!$B$9/4)))))</f>
        <v/>
      </c>
      <c r="AM13">
        <f>0.55*'Levas superpuestas'!$B$5*COS(RADIANS((('Levas superpuestas'!$B$15-'Levas superpuestas'!$B$9/4)+11/20*(('Levas superpuestas'!$B$14+'Levas superpuestas'!$B$8/4)-('Levas superpuestas'!$B$15-'Levas superpuestas'!$B$9/4)))))</f>
        <v/>
      </c>
    </row>
    <row r="14">
      <c r="A14" s="26">
        <f>A13+Simulador!$B$14</f>
        <v/>
      </c>
      <c r="B14" s="46">
        <f>IF(OR((($A14-Simulador!$E$5)/Simulador!$G$5)&lt;=0,(($A14-Simulador!$E$5)/Simulador!$G$5)&gt;=1),0,IF((($A14-Simulador!$E$5)/Simulador!$G$5)&lt;Simulador!$B$11,Simulador!$B$9*(1-COS(PI()*(($A14-Simulador!$E$5)/Simulador!$G$5)/Simulador!$B$11))/2,IF((($A14-Simulador!$E$5)/Simulador!$G$5)&gt;1-Simulador!$B$11,Simulador!$B$9*(1-COS(PI()*(1-(($A14-Simulador!$E$5)/Simulador!$G$5))/Simulador!$B$11))/2,Simulador!$B$9)))</f>
        <v/>
      </c>
      <c r="C14" s="46">
        <f>IF(OR((($A14-Simulador!$E$6)/Simulador!$G$6)&lt;=0,(($A14-Simulador!$E$6)/Simulador!$G$6)&gt;=1),0,IF((($A14-Simulador!$E$6)/Simulador!$G$6)&lt;Simulador!$B$11,Simulador!$B$9*(1-COS(PI()*(($A14-Simulador!$E$6)/Simulador!$G$6)/Simulador!$B$11))/2,IF((($A14-Simulador!$E$6)/Simulador!$G$6)&gt;1-Simulador!$B$11,Simulador!$B$9*(1-COS(PI()*(1-(($A14-Simulador!$E$6)/Simulador!$G$6))/Simulador!$B$11))/2,Simulador!$B$9)))</f>
        <v/>
      </c>
      <c r="D14" s="46">
        <f>IF(OR((($A14-Simulador!$E$7)/Simulador!$G$7)&lt;=0,(($A14-Simulador!$E$7)/Simulador!$G$7)&gt;=1),0,IF((($A14-Simulador!$E$7)/Simulador!$G$7)&lt;Simulador!$B$11,Simulador!$B$9*(1-COS(PI()*(($A14-Simulador!$E$7)/Simulador!$G$7)/Simulador!$B$11))/2,IF((($A14-Simulador!$E$7)/Simulador!$G$7)&gt;1-Simulador!$B$11,Simulador!$B$9*(1-COS(PI()*(1-(($A14-Simulador!$E$7)/Simulador!$G$7))/Simulador!$B$11))/2,Simulador!$B$9)))</f>
        <v/>
      </c>
      <c r="E14" s="46">
        <f>IF(OR((($A14-Simulador!$E$8)/Simulador!$G$8)&lt;=0,(($A14-Simulador!$E$8)/Simulador!$G$8)&gt;=1),0,IF((($A14-Simulador!$E$8)/Simulador!$G$8)&lt;Simulador!$B$11,Simulador!$B$10*(1-COS(PI()*(($A14-Simulador!$E$8)/Simulador!$G$8)/Simulador!$B$11))/2,IF((($A14-Simulador!$E$8)/Simulador!$G$8)&gt;1-Simulador!$B$11,Simulador!$B$10*(1-COS(PI()*(1-(($A14-Simulador!$E$8)/Simulador!$G$8))/Simulador!$B$11))/2,Simulador!$B$10)))</f>
        <v/>
      </c>
      <c r="F14" s="46">
        <f>IF(OR((($A14-Simulador!$E$9)/Simulador!$G$9)&lt;=0,(($A14-Simulador!$E$9)/Simulador!$G$9)&gt;=1),0,IF((($A14-Simulador!$E$9)/Simulador!$G$9)&lt;Simulador!$B$11,Simulador!$B$10*(1-COS(PI()*(($A14-Simulador!$E$9)/Simulador!$G$9)/Simulador!$B$11))/2,IF((($A14-Simulador!$E$9)/Simulador!$G$9)&gt;1-Simulador!$B$11,Simulador!$B$10*(1-COS(PI()*(1-(($A14-Simulador!$E$9)/Simulador!$G$9))/Simulador!$B$11))/2,Simulador!$B$10)))</f>
        <v/>
      </c>
      <c r="G14" s="46">
        <f>IF(OR((($A14-Simulador!$E$10)/Simulador!$G$10)&lt;=0,(($A14-Simulador!$E$10)/Simulador!$G$10)&gt;=1),0,IF((($A14-Simulador!$E$10)/Simulador!$G$10)&lt;Simulador!$B$11,Simulador!$B$10*(1-COS(PI()*(($A14-Simulador!$E$10)/Simulador!$G$10)/Simulador!$B$11))/2,IF((($A14-Simulador!$E$10)/Simulador!$G$10)&gt;1-Simulador!$B$11,Simulador!$B$10*(1-COS(PI()*(1-(($A14-Simulador!$E$10)/Simulador!$G$10))/Simulador!$B$11))/2,Simulador!$B$10)))</f>
        <v/>
      </c>
      <c r="Q14" s="48">
        <f>IF(OR((($A14-(Simulador!$E$6+'Salto de dientes'!$B$12))/Simulador!$G$6)&lt;=0,(($A14-(Simulador!$E$6+'Salto de dientes'!$B$12))/Simulador!$G$6)&gt;=1),0,IF((($A14-(Simulador!$E$6+'Salto de dientes'!$B$12))/Simulador!$G$6)&lt;Simulador!$B$11,Simulador!$B$9*(1-COS(PI()*(($A14-(Simulador!$E$6+'Salto de dientes'!$B$12))/Simulador!$G$6)/Simulador!$B$11))/2,IF((($A14-(Simulador!$E$6+'Salto de dientes'!$B$12))/Simulador!$G$6)&gt;1-Simulador!$B$11,Simulador!$B$9*(1-COS(PI()*(1-(($A14-(Simulador!$E$6+'Salto de dientes'!$B$12))/Simulador!$G$6))/Simulador!$B$11))/2,Simulador!$B$9)))</f>
        <v/>
      </c>
      <c r="R14" s="48">
        <f>IF(OR((($A14-(Simulador!$E$9+'Salto de dientes'!$B$12))/Simulador!$G$9)&lt;=0,(($A14-(Simulador!$E$9+'Salto de dientes'!$B$12))/Simulador!$G$9)&gt;=1),0,IF((($A14-(Simulador!$E$9+'Salto de dientes'!$B$12))/Simulador!$G$9)&lt;Simulador!$B$11,Simulador!$B$10*(1-COS(PI()*(($A14-(Simulador!$E$9+'Salto de dientes'!$B$12))/Simulador!$G$9)/Simulador!$B$11))/2,IF((($A14-(Simulador!$E$9+'Salto de dientes'!$B$12))/Simulador!$G$9)&gt;1-Simulador!$B$11,Simulador!$B$10*(1-COS(PI()*(1-(($A14-(Simulador!$E$9+'Salto de dientes'!$B$12))/Simulador!$G$9))/Simulador!$B$11))/2,Simulador!$B$10)))</f>
        <v/>
      </c>
      <c r="W14" t="n">
        <v>-144</v>
      </c>
      <c r="X14" s="48">
        <f>('Levas superpuestas'!$B$5+IF(OR(((W14-('Levas superpuestas'!$B$14-'Levas superpuestas'!$B$8/4))/('Levas superpuestas'!$B$8/2))&lt;=0,((W14-('Levas superpuestas'!$B$14-'Levas superpuestas'!$B$8/4))/('Levas superpuestas'!$B$8/2))&gt;=1),0,IF(((W14-('Levas superpuestas'!$B$14-'Levas superpuestas'!$B$8/4))/('Levas superpuestas'!$B$8/2))&lt;Simulador!$B$11,Simulador!$B$9*(1-COS(PI()*((W14-('Levas superpuestas'!$B$14-'Levas superpuestas'!$B$8/4))/('Levas superpuestas'!$B$8/2))/Simulador!$B$11))/2,IF(((W14-('Levas superpuestas'!$B$14-'Levas superpuestas'!$B$8/4))/('Levas superpuestas'!$B$8/2))&gt;1-Simulador!$B$11,Simulador!$B$9*(1-COS(PI()*(1-((W14-('Levas superpuestas'!$B$14-'Levas superpuestas'!$B$8/4))/('Levas superpuestas'!$B$8/2)))/Simulador!$B$11))/2,Simulador!$B$9))))*SIN(RADIANS(W14))</f>
        <v/>
      </c>
      <c r="Y14" s="48">
        <f>('Levas superpuestas'!$B$5+IF(OR(((W14-('Levas superpuestas'!$B$14-'Levas superpuestas'!$B$8/4))/('Levas superpuestas'!$B$8/2))&lt;=0,((W14-('Levas superpuestas'!$B$14-'Levas superpuestas'!$B$8/4))/('Levas superpuestas'!$B$8/2))&gt;=1),0,IF(((W14-('Levas superpuestas'!$B$14-'Levas superpuestas'!$B$8/4))/('Levas superpuestas'!$B$8/2))&lt;Simulador!$B$11,Simulador!$B$9*(1-COS(PI()*((W14-('Levas superpuestas'!$B$14-'Levas superpuestas'!$B$8/4))/('Levas superpuestas'!$B$8/2))/Simulador!$B$11))/2,IF(((W14-('Levas superpuestas'!$B$14-'Levas superpuestas'!$B$8/4))/('Levas superpuestas'!$B$8/2))&gt;1-Simulador!$B$11,Simulador!$B$9*(1-COS(PI()*(1-((W14-('Levas superpuestas'!$B$14-'Levas superpuestas'!$B$8/4))/('Levas superpuestas'!$B$8/2)))/Simulador!$B$11))/2,Simulador!$B$9))))*COS(RADIANS(W14))</f>
        <v/>
      </c>
      <c r="Z14" s="48">
        <f>('Levas superpuestas'!$B$5+IF(OR(((W14-('Levas superpuestas'!$B$15-'Levas superpuestas'!$B$9/4))/('Levas superpuestas'!$B$9/2))&lt;=0,((W14-('Levas superpuestas'!$B$15-'Levas superpuestas'!$B$9/4))/('Levas superpuestas'!$B$9/2))&gt;=1),0,IF(((W14-('Levas superpuestas'!$B$15-'Levas superpuestas'!$B$9/4))/('Levas superpuestas'!$B$9/2))&lt;Simulador!$B$11,Simulador!$B$10*(1-COS(PI()*((W14-('Levas superpuestas'!$B$15-'Levas superpuestas'!$B$9/4))/('Levas superpuestas'!$B$9/2))/Simulador!$B$11))/2,IF(((W14-('Levas superpuestas'!$B$15-'Levas superpuestas'!$B$9/4))/('Levas superpuestas'!$B$9/2))&gt;1-Simulador!$B$11,Simulador!$B$10*(1-COS(PI()*(1-((W14-('Levas superpuestas'!$B$15-'Levas superpuestas'!$B$9/4))/('Levas superpuestas'!$B$9/2)))/Simulador!$B$11))/2,Simulador!$B$10))))*SIN(RADIANS(W14))</f>
        <v/>
      </c>
      <c r="AA14" s="48">
        <f>('Levas superpuestas'!$B$5+IF(OR(((W14-('Levas superpuestas'!$B$15-'Levas superpuestas'!$B$9/4))/('Levas superpuestas'!$B$9/2))&lt;=0,((W14-('Levas superpuestas'!$B$15-'Levas superpuestas'!$B$9/4))/('Levas superpuestas'!$B$9/2))&gt;=1),0,IF(((W14-('Levas superpuestas'!$B$15-'Levas superpuestas'!$B$9/4))/('Levas superpuestas'!$B$9/2))&lt;Simulador!$B$11,Simulador!$B$10*(1-COS(PI()*((W14-('Levas superpuestas'!$B$15-'Levas superpuestas'!$B$9/4))/('Levas superpuestas'!$B$9/2))/Simulador!$B$11))/2,IF(((W14-('Levas superpuestas'!$B$15-'Levas superpuestas'!$B$9/4))/('Levas superpuestas'!$B$9/2))&gt;1-Simulador!$B$11,Simulador!$B$10*(1-COS(PI()*(1-((W14-('Levas superpuestas'!$B$15-'Levas superpuestas'!$B$9/4))/('Levas superpuestas'!$B$9/2)))/Simulador!$B$11))/2,Simulador!$B$10))))*COS(RADIANS(W14))</f>
        <v/>
      </c>
      <c r="AB14">
        <f>'Levas superpuestas'!$B$5*SIN(RADIANS(W14))</f>
        <v/>
      </c>
      <c r="AC14">
        <f>'Levas superpuestas'!$B$5*COS(RADIANS(W14))</f>
        <v/>
      </c>
      <c r="AE14" t="inlineStr">
        <is>
          <t>APERTURA ADMISIÓN</t>
        </is>
      </c>
      <c r="AF14">
        <f>'Levas superpuestas'!$B$15-'Levas superpuestas'!$B$9/4</f>
        <v/>
      </c>
      <c r="AG14" t="n">
        <v>0</v>
      </c>
      <c r="AH14" t="n">
        <v>0</v>
      </c>
      <c r="AL14">
        <f>0.55*'Levas superpuestas'!$B$5*SIN(RADIANS((('Levas superpuestas'!$B$15-'Levas superpuestas'!$B$9/4)+12/20*(('Levas superpuestas'!$B$14+'Levas superpuestas'!$B$8/4)-('Levas superpuestas'!$B$15-'Levas superpuestas'!$B$9/4)))))</f>
        <v/>
      </c>
      <c r="AM14">
        <f>0.55*'Levas superpuestas'!$B$5*COS(RADIANS((('Levas superpuestas'!$B$15-'Levas superpuestas'!$B$9/4)+12/20*(('Levas superpuestas'!$B$14+'Levas superpuestas'!$B$8/4)-('Levas superpuestas'!$B$15-'Levas superpuestas'!$B$9/4)))))</f>
        <v/>
      </c>
    </row>
    <row r="15">
      <c r="A15" s="26">
        <f>A14+Simulador!$B$14</f>
        <v/>
      </c>
      <c r="B15" s="46">
        <f>IF(OR((($A15-Simulador!$E$5)/Simulador!$G$5)&lt;=0,(($A15-Simulador!$E$5)/Simulador!$G$5)&gt;=1),0,IF((($A15-Simulador!$E$5)/Simulador!$G$5)&lt;Simulador!$B$11,Simulador!$B$9*(1-COS(PI()*(($A15-Simulador!$E$5)/Simulador!$G$5)/Simulador!$B$11))/2,IF((($A15-Simulador!$E$5)/Simulador!$G$5)&gt;1-Simulador!$B$11,Simulador!$B$9*(1-COS(PI()*(1-(($A15-Simulador!$E$5)/Simulador!$G$5))/Simulador!$B$11))/2,Simulador!$B$9)))</f>
        <v/>
      </c>
      <c r="C15" s="46">
        <f>IF(OR((($A15-Simulador!$E$6)/Simulador!$G$6)&lt;=0,(($A15-Simulador!$E$6)/Simulador!$G$6)&gt;=1),0,IF((($A15-Simulador!$E$6)/Simulador!$G$6)&lt;Simulador!$B$11,Simulador!$B$9*(1-COS(PI()*(($A15-Simulador!$E$6)/Simulador!$G$6)/Simulador!$B$11))/2,IF((($A15-Simulador!$E$6)/Simulador!$G$6)&gt;1-Simulador!$B$11,Simulador!$B$9*(1-COS(PI()*(1-(($A15-Simulador!$E$6)/Simulador!$G$6))/Simulador!$B$11))/2,Simulador!$B$9)))</f>
        <v/>
      </c>
      <c r="D15" s="46">
        <f>IF(OR((($A15-Simulador!$E$7)/Simulador!$G$7)&lt;=0,(($A15-Simulador!$E$7)/Simulador!$G$7)&gt;=1),0,IF((($A15-Simulador!$E$7)/Simulador!$G$7)&lt;Simulador!$B$11,Simulador!$B$9*(1-COS(PI()*(($A15-Simulador!$E$7)/Simulador!$G$7)/Simulador!$B$11))/2,IF((($A15-Simulador!$E$7)/Simulador!$G$7)&gt;1-Simulador!$B$11,Simulador!$B$9*(1-COS(PI()*(1-(($A15-Simulador!$E$7)/Simulador!$G$7))/Simulador!$B$11))/2,Simulador!$B$9)))</f>
        <v/>
      </c>
      <c r="E15" s="46">
        <f>IF(OR((($A15-Simulador!$E$8)/Simulador!$G$8)&lt;=0,(($A15-Simulador!$E$8)/Simulador!$G$8)&gt;=1),0,IF((($A15-Simulador!$E$8)/Simulador!$G$8)&lt;Simulador!$B$11,Simulador!$B$10*(1-COS(PI()*(($A15-Simulador!$E$8)/Simulador!$G$8)/Simulador!$B$11))/2,IF((($A15-Simulador!$E$8)/Simulador!$G$8)&gt;1-Simulador!$B$11,Simulador!$B$10*(1-COS(PI()*(1-(($A15-Simulador!$E$8)/Simulador!$G$8))/Simulador!$B$11))/2,Simulador!$B$10)))</f>
        <v/>
      </c>
      <c r="F15" s="46">
        <f>IF(OR((($A15-Simulador!$E$9)/Simulador!$G$9)&lt;=0,(($A15-Simulador!$E$9)/Simulador!$G$9)&gt;=1),0,IF((($A15-Simulador!$E$9)/Simulador!$G$9)&lt;Simulador!$B$11,Simulador!$B$10*(1-COS(PI()*(($A15-Simulador!$E$9)/Simulador!$G$9)/Simulador!$B$11))/2,IF((($A15-Simulador!$E$9)/Simulador!$G$9)&gt;1-Simulador!$B$11,Simulador!$B$10*(1-COS(PI()*(1-(($A15-Simulador!$E$9)/Simulador!$G$9))/Simulador!$B$11))/2,Simulador!$B$10)))</f>
        <v/>
      </c>
      <c r="G15" s="46">
        <f>IF(OR((($A15-Simulador!$E$10)/Simulador!$G$10)&lt;=0,(($A15-Simulador!$E$10)/Simulador!$G$10)&gt;=1),0,IF((($A15-Simulador!$E$10)/Simulador!$G$10)&lt;Simulador!$B$11,Simulador!$B$10*(1-COS(PI()*(($A15-Simulador!$E$10)/Simulador!$G$10)/Simulador!$B$11))/2,IF((($A15-Simulador!$E$10)/Simulador!$G$10)&gt;1-Simulador!$B$11,Simulador!$B$10*(1-COS(PI()*(1-(($A15-Simulador!$E$10)/Simulador!$G$10))/Simulador!$B$11))/2,Simulador!$B$10)))</f>
        <v/>
      </c>
      <c r="Q15" s="48">
        <f>IF(OR((($A15-(Simulador!$E$6+'Salto de dientes'!$B$12))/Simulador!$G$6)&lt;=0,(($A15-(Simulador!$E$6+'Salto de dientes'!$B$12))/Simulador!$G$6)&gt;=1),0,IF((($A15-(Simulador!$E$6+'Salto de dientes'!$B$12))/Simulador!$G$6)&lt;Simulador!$B$11,Simulador!$B$9*(1-COS(PI()*(($A15-(Simulador!$E$6+'Salto de dientes'!$B$12))/Simulador!$G$6)/Simulador!$B$11))/2,IF((($A15-(Simulador!$E$6+'Salto de dientes'!$B$12))/Simulador!$G$6)&gt;1-Simulador!$B$11,Simulador!$B$9*(1-COS(PI()*(1-(($A15-(Simulador!$E$6+'Salto de dientes'!$B$12))/Simulador!$G$6))/Simulador!$B$11))/2,Simulador!$B$9)))</f>
        <v/>
      </c>
      <c r="R15" s="48">
        <f>IF(OR((($A15-(Simulador!$E$9+'Salto de dientes'!$B$12))/Simulador!$G$9)&lt;=0,(($A15-(Simulador!$E$9+'Salto de dientes'!$B$12))/Simulador!$G$9)&gt;=1),0,IF((($A15-(Simulador!$E$9+'Salto de dientes'!$B$12))/Simulador!$G$9)&lt;Simulador!$B$11,Simulador!$B$10*(1-COS(PI()*(($A15-(Simulador!$E$9+'Salto de dientes'!$B$12))/Simulador!$G$9)/Simulador!$B$11))/2,IF((($A15-(Simulador!$E$9+'Salto de dientes'!$B$12))/Simulador!$G$9)&gt;1-Simulador!$B$11,Simulador!$B$10*(1-COS(PI()*(1-(($A15-(Simulador!$E$9+'Salto de dientes'!$B$12))/Simulador!$G$9))/Simulador!$B$11))/2,Simulador!$B$10)))</f>
        <v/>
      </c>
      <c r="W15" t="n">
        <v>-141</v>
      </c>
      <c r="X15" s="48">
        <f>('Levas superpuestas'!$B$5+IF(OR(((W15-('Levas superpuestas'!$B$14-'Levas superpuestas'!$B$8/4))/('Levas superpuestas'!$B$8/2))&lt;=0,((W15-('Levas superpuestas'!$B$14-'Levas superpuestas'!$B$8/4))/('Levas superpuestas'!$B$8/2))&gt;=1),0,IF(((W15-('Levas superpuestas'!$B$14-'Levas superpuestas'!$B$8/4))/('Levas superpuestas'!$B$8/2))&lt;Simulador!$B$11,Simulador!$B$9*(1-COS(PI()*((W15-('Levas superpuestas'!$B$14-'Levas superpuestas'!$B$8/4))/('Levas superpuestas'!$B$8/2))/Simulador!$B$11))/2,IF(((W15-('Levas superpuestas'!$B$14-'Levas superpuestas'!$B$8/4))/('Levas superpuestas'!$B$8/2))&gt;1-Simulador!$B$11,Simulador!$B$9*(1-COS(PI()*(1-((W15-('Levas superpuestas'!$B$14-'Levas superpuestas'!$B$8/4))/('Levas superpuestas'!$B$8/2)))/Simulador!$B$11))/2,Simulador!$B$9))))*SIN(RADIANS(W15))</f>
        <v/>
      </c>
      <c r="Y15" s="48">
        <f>('Levas superpuestas'!$B$5+IF(OR(((W15-('Levas superpuestas'!$B$14-'Levas superpuestas'!$B$8/4))/('Levas superpuestas'!$B$8/2))&lt;=0,((W15-('Levas superpuestas'!$B$14-'Levas superpuestas'!$B$8/4))/('Levas superpuestas'!$B$8/2))&gt;=1),0,IF(((W15-('Levas superpuestas'!$B$14-'Levas superpuestas'!$B$8/4))/('Levas superpuestas'!$B$8/2))&lt;Simulador!$B$11,Simulador!$B$9*(1-COS(PI()*((W15-('Levas superpuestas'!$B$14-'Levas superpuestas'!$B$8/4))/('Levas superpuestas'!$B$8/2))/Simulador!$B$11))/2,IF(((W15-('Levas superpuestas'!$B$14-'Levas superpuestas'!$B$8/4))/('Levas superpuestas'!$B$8/2))&gt;1-Simulador!$B$11,Simulador!$B$9*(1-COS(PI()*(1-((W15-('Levas superpuestas'!$B$14-'Levas superpuestas'!$B$8/4))/('Levas superpuestas'!$B$8/2)))/Simulador!$B$11))/2,Simulador!$B$9))))*COS(RADIANS(W15))</f>
        <v/>
      </c>
      <c r="Z15" s="48">
        <f>('Levas superpuestas'!$B$5+IF(OR(((W15-('Levas superpuestas'!$B$15-'Levas superpuestas'!$B$9/4))/('Levas superpuestas'!$B$9/2))&lt;=0,((W15-('Levas superpuestas'!$B$15-'Levas superpuestas'!$B$9/4))/('Levas superpuestas'!$B$9/2))&gt;=1),0,IF(((W15-('Levas superpuestas'!$B$15-'Levas superpuestas'!$B$9/4))/('Levas superpuestas'!$B$9/2))&lt;Simulador!$B$11,Simulador!$B$10*(1-COS(PI()*((W15-('Levas superpuestas'!$B$15-'Levas superpuestas'!$B$9/4))/('Levas superpuestas'!$B$9/2))/Simulador!$B$11))/2,IF(((W15-('Levas superpuestas'!$B$15-'Levas superpuestas'!$B$9/4))/('Levas superpuestas'!$B$9/2))&gt;1-Simulador!$B$11,Simulador!$B$10*(1-COS(PI()*(1-((W15-('Levas superpuestas'!$B$15-'Levas superpuestas'!$B$9/4))/('Levas superpuestas'!$B$9/2)))/Simulador!$B$11))/2,Simulador!$B$10))))*SIN(RADIANS(W15))</f>
        <v/>
      </c>
      <c r="AA15" s="48">
        <f>('Levas superpuestas'!$B$5+IF(OR(((W15-('Levas superpuestas'!$B$15-'Levas superpuestas'!$B$9/4))/('Levas superpuestas'!$B$9/2))&lt;=0,((W15-('Levas superpuestas'!$B$15-'Levas superpuestas'!$B$9/4))/('Levas superpuestas'!$B$9/2))&gt;=1),0,IF(((W15-('Levas superpuestas'!$B$15-'Levas superpuestas'!$B$9/4))/('Levas superpuestas'!$B$9/2))&lt;Simulador!$B$11,Simulador!$B$10*(1-COS(PI()*((W15-('Levas superpuestas'!$B$15-'Levas superpuestas'!$B$9/4))/('Levas superpuestas'!$B$9/2))/Simulador!$B$11))/2,IF(((W15-('Levas superpuestas'!$B$15-'Levas superpuestas'!$B$9/4))/('Levas superpuestas'!$B$9/2))&gt;1-Simulador!$B$11,Simulador!$B$10*(1-COS(PI()*(1-((W15-('Levas superpuestas'!$B$15-'Levas superpuestas'!$B$9/4))/('Levas superpuestas'!$B$9/2)))/Simulador!$B$11))/2,Simulador!$B$10))))*COS(RADIANS(W15))</f>
        <v/>
      </c>
      <c r="AB15">
        <f>'Levas superpuestas'!$B$5*SIN(RADIANS(W15))</f>
        <v/>
      </c>
      <c r="AC15">
        <f>'Levas superpuestas'!$B$5*COS(RADIANS(W15))</f>
        <v/>
      </c>
      <c r="AG15">
        <f>('Levas superpuestas'!$B$5+MAX(Simulador!$B$9,Simulador!$B$10)+9)*SIN(RADIANS(AF14))</f>
        <v/>
      </c>
      <c r="AH15">
        <f>('Levas superpuestas'!$B$5+MAX(Simulador!$B$9,Simulador!$B$10)+9)*COS(RADIANS(AF14))</f>
        <v/>
      </c>
      <c r="AL15">
        <f>0.55*'Levas superpuestas'!$B$5*SIN(RADIANS((('Levas superpuestas'!$B$15-'Levas superpuestas'!$B$9/4)+13/20*(('Levas superpuestas'!$B$14+'Levas superpuestas'!$B$8/4)-('Levas superpuestas'!$B$15-'Levas superpuestas'!$B$9/4)))))</f>
        <v/>
      </c>
      <c r="AM15">
        <f>0.55*'Levas superpuestas'!$B$5*COS(RADIANS((('Levas superpuestas'!$B$15-'Levas superpuestas'!$B$9/4)+13/20*(('Levas superpuestas'!$B$14+'Levas superpuestas'!$B$8/4)-('Levas superpuestas'!$B$15-'Levas superpuestas'!$B$9/4)))))</f>
        <v/>
      </c>
    </row>
    <row r="16">
      <c r="A16" s="26">
        <f>A15+Simulador!$B$14</f>
        <v/>
      </c>
      <c r="B16" s="46">
        <f>IF(OR((($A16-Simulador!$E$5)/Simulador!$G$5)&lt;=0,(($A16-Simulador!$E$5)/Simulador!$G$5)&gt;=1),0,IF((($A16-Simulador!$E$5)/Simulador!$G$5)&lt;Simulador!$B$11,Simulador!$B$9*(1-COS(PI()*(($A16-Simulador!$E$5)/Simulador!$G$5)/Simulador!$B$11))/2,IF((($A16-Simulador!$E$5)/Simulador!$G$5)&gt;1-Simulador!$B$11,Simulador!$B$9*(1-COS(PI()*(1-(($A16-Simulador!$E$5)/Simulador!$G$5))/Simulador!$B$11))/2,Simulador!$B$9)))</f>
        <v/>
      </c>
      <c r="C16" s="46">
        <f>IF(OR((($A16-Simulador!$E$6)/Simulador!$G$6)&lt;=0,(($A16-Simulador!$E$6)/Simulador!$G$6)&gt;=1),0,IF((($A16-Simulador!$E$6)/Simulador!$G$6)&lt;Simulador!$B$11,Simulador!$B$9*(1-COS(PI()*(($A16-Simulador!$E$6)/Simulador!$G$6)/Simulador!$B$11))/2,IF((($A16-Simulador!$E$6)/Simulador!$G$6)&gt;1-Simulador!$B$11,Simulador!$B$9*(1-COS(PI()*(1-(($A16-Simulador!$E$6)/Simulador!$G$6))/Simulador!$B$11))/2,Simulador!$B$9)))</f>
        <v/>
      </c>
      <c r="D16" s="46">
        <f>IF(OR((($A16-Simulador!$E$7)/Simulador!$G$7)&lt;=0,(($A16-Simulador!$E$7)/Simulador!$G$7)&gt;=1),0,IF((($A16-Simulador!$E$7)/Simulador!$G$7)&lt;Simulador!$B$11,Simulador!$B$9*(1-COS(PI()*(($A16-Simulador!$E$7)/Simulador!$G$7)/Simulador!$B$11))/2,IF((($A16-Simulador!$E$7)/Simulador!$G$7)&gt;1-Simulador!$B$11,Simulador!$B$9*(1-COS(PI()*(1-(($A16-Simulador!$E$7)/Simulador!$G$7))/Simulador!$B$11))/2,Simulador!$B$9)))</f>
        <v/>
      </c>
      <c r="E16" s="46">
        <f>IF(OR((($A16-Simulador!$E$8)/Simulador!$G$8)&lt;=0,(($A16-Simulador!$E$8)/Simulador!$G$8)&gt;=1),0,IF((($A16-Simulador!$E$8)/Simulador!$G$8)&lt;Simulador!$B$11,Simulador!$B$10*(1-COS(PI()*(($A16-Simulador!$E$8)/Simulador!$G$8)/Simulador!$B$11))/2,IF((($A16-Simulador!$E$8)/Simulador!$G$8)&gt;1-Simulador!$B$11,Simulador!$B$10*(1-COS(PI()*(1-(($A16-Simulador!$E$8)/Simulador!$G$8))/Simulador!$B$11))/2,Simulador!$B$10)))</f>
        <v/>
      </c>
      <c r="F16" s="46">
        <f>IF(OR((($A16-Simulador!$E$9)/Simulador!$G$9)&lt;=0,(($A16-Simulador!$E$9)/Simulador!$G$9)&gt;=1),0,IF((($A16-Simulador!$E$9)/Simulador!$G$9)&lt;Simulador!$B$11,Simulador!$B$10*(1-COS(PI()*(($A16-Simulador!$E$9)/Simulador!$G$9)/Simulador!$B$11))/2,IF((($A16-Simulador!$E$9)/Simulador!$G$9)&gt;1-Simulador!$B$11,Simulador!$B$10*(1-COS(PI()*(1-(($A16-Simulador!$E$9)/Simulador!$G$9))/Simulador!$B$11))/2,Simulador!$B$10)))</f>
        <v/>
      </c>
      <c r="G16" s="46">
        <f>IF(OR((($A16-Simulador!$E$10)/Simulador!$G$10)&lt;=0,(($A16-Simulador!$E$10)/Simulador!$G$10)&gt;=1),0,IF((($A16-Simulador!$E$10)/Simulador!$G$10)&lt;Simulador!$B$11,Simulador!$B$10*(1-COS(PI()*(($A16-Simulador!$E$10)/Simulador!$G$10)/Simulador!$B$11))/2,IF((($A16-Simulador!$E$10)/Simulador!$G$10)&gt;1-Simulador!$B$11,Simulador!$B$10*(1-COS(PI()*(1-(($A16-Simulador!$E$10)/Simulador!$G$10))/Simulador!$B$11))/2,Simulador!$B$10)))</f>
        <v/>
      </c>
      <c r="Q16" s="48">
        <f>IF(OR((($A16-(Simulador!$E$6+'Salto de dientes'!$B$12))/Simulador!$G$6)&lt;=0,(($A16-(Simulador!$E$6+'Salto de dientes'!$B$12))/Simulador!$G$6)&gt;=1),0,IF((($A16-(Simulador!$E$6+'Salto de dientes'!$B$12))/Simulador!$G$6)&lt;Simulador!$B$11,Simulador!$B$9*(1-COS(PI()*(($A16-(Simulador!$E$6+'Salto de dientes'!$B$12))/Simulador!$G$6)/Simulador!$B$11))/2,IF((($A16-(Simulador!$E$6+'Salto de dientes'!$B$12))/Simulador!$G$6)&gt;1-Simulador!$B$11,Simulador!$B$9*(1-COS(PI()*(1-(($A16-(Simulador!$E$6+'Salto de dientes'!$B$12))/Simulador!$G$6))/Simulador!$B$11))/2,Simulador!$B$9)))</f>
        <v/>
      </c>
      <c r="R16" s="48">
        <f>IF(OR((($A16-(Simulador!$E$9+'Salto de dientes'!$B$12))/Simulador!$G$9)&lt;=0,(($A16-(Simulador!$E$9+'Salto de dientes'!$B$12))/Simulador!$G$9)&gt;=1),0,IF((($A16-(Simulador!$E$9+'Salto de dientes'!$B$12))/Simulador!$G$9)&lt;Simulador!$B$11,Simulador!$B$10*(1-COS(PI()*(($A16-(Simulador!$E$9+'Salto de dientes'!$B$12))/Simulador!$G$9)/Simulador!$B$11))/2,IF((($A16-(Simulador!$E$9+'Salto de dientes'!$B$12))/Simulador!$G$9)&gt;1-Simulador!$B$11,Simulador!$B$10*(1-COS(PI()*(1-(($A16-(Simulador!$E$9+'Salto de dientes'!$B$12))/Simulador!$G$9))/Simulador!$B$11))/2,Simulador!$B$10)))</f>
        <v/>
      </c>
      <c r="W16" t="n">
        <v>-138</v>
      </c>
      <c r="X16" s="48">
        <f>('Levas superpuestas'!$B$5+IF(OR(((W16-('Levas superpuestas'!$B$14-'Levas superpuestas'!$B$8/4))/('Levas superpuestas'!$B$8/2))&lt;=0,((W16-('Levas superpuestas'!$B$14-'Levas superpuestas'!$B$8/4))/('Levas superpuestas'!$B$8/2))&gt;=1),0,IF(((W16-('Levas superpuestas'!$B$14-'Levas superpuestas'!$B$8/4))/('Levas superpuestas'!$B$8/2))&lt;Simulador!$B$11,Simulador!$B$9*(1-COS(PI()*((W16-('Levas superpuestas'!$B$14-'Levas superpuestas'!$B$8/4))/('Levas superpuestas'!$B$8/2))/Simulador!$B$11))/2,IF(((W16-('Levas superpuestas'!$B$14-'Levas superpuestas'!$B$8/4))/('Levas superpuestas'!$B$8/2))&gt;1-Simulador!$B$11,Simulador!$B$9*(1-COS(PI()*(1-((W16-('Levas superpuestas'!$B$14-'Levas superpuestas'!$B$8/4))/('Levas superpuestas'!$B$8/2)))/Simulador!$B$11))/2,Simulador!$B$9))))*SIN(RADIANS(W16))</f>
        <v/>
      </c>
      <c r="Y16" s="48">
        <f>('Levas superpuestas'!$B$5+IF(OR(((W16-('Levas superpuestas'!$B$14-'Levas superpuestas'!$B$8/4))/('Levas superpuestas'!$B$8/2))&lt;=0,((W16-('Levas superpuestas'!$B$14-'Levas superpuestas'!$B$8/4))/('Levas superpuestas'!$B$8/2))&gt;=1),0,IF(((W16-('Levas superpuestas'!$B$14-'Levas superpuestas'!$B$8/4))/('Levas superpuestas'!$B$8/2))&lt;Simulador!$B$11,Simulador!$B$9*(1-COS(PI()*((W16-('Levas superpuestas'!$B$14-'Levas superpuestas'!$B$8/4))/('Levas superpuestas'!$B$8/2))/Simulador!$B$11))/2,IF(((W16-('Levas superpuestas'!$B$14-'Levas superpuestas'!$B$8/4))/('Levas superpuestas'!$B$8/2))&gt;1-Simulador!$B$11,Simulador!$B$9*(1-COS(PI()*(1-((W16-('Levas superpuestas'!$B$14-'Levas superpuestas'!$B$8/4))/('Levas superpuestas'!$B$8/2)))/Simulador!$B$11))/2,Simulador!$B$9))))*COS(RADIANS(W16))</f>
        <v/>
      </c>
      <c r="Z16" s="48">
        <f>('Levas superpuestas'!$B$5+IF(OR(((W16-('Levas superpuestas'!$B$15-'Levas superpuestas'!$B$9/4))/('Levas superpuestas'!$B$9/2))&lt;=0,((W16-('Levas superpuestas'!$B$15-'Levas superpuestas'!$B$9/4))/('Levas superpuestas'!$B$9/2))&gt;=1),0,IF(((W16-('Levas superpuestas'!$B$15-'Levas superpuestas'!$B$9/4))/('Levas superpuestas'!$B$9/2))&lt;Simulador!$B$11,Simulador!$B$10*(1-COS(PI()*((W16-('Levas superpuestas'!$B$15-'Levas superpuestas'!$B$9/4))/('Levas superpuestas'!$B$9/2))/Simulador!$B$11))/2,IF(((W16-('Levas superpuestas'!$B$15-'Levas superpuestas'!$B$9/4))/('Levas superpuestas'!$B$9/2))&gt;1-Simulador!$B$11,Simulador!$B$10*(1-COS(PI()*(1-((W16-('Levas superpuestas'!$B$15-'Levas superpuestas'!$B$9/4))/('Levas superpuestas'!$B$9/2)))/Simulador!$B$11))/2,Simulador!$B$10))))*SIN(RADIANS(W16))</f>
        <v/>
      </c>
      <c r="AA16" s="48">
        <f>('Levas superpuestas'!$B$5+IF(OR(((W16-('Levas superpuestas'!$B$15-'Levas superpuestas'!$B$9/4))/('Levas superpuestas'!$B$9/2))&lt;=0,((W16-('Levas superpuestas'!$B$15-'Levas superpuestas'!$B$9/4))/('Levas superpuestas'!$B$9/2))&gt;=1),0,IF(((W16-('Levas superpuestas'!$B$15-'Levas superpuestas'!$B$9/4))/('Levas superpuestas'!$B$9/2))&lt;Simulador!$B$11,Simulador!$B$10*(1-COS(PI()*((W16-('Levas superpuestas'!$B$15-'Levas superpuestas'!$B$9/4))/('Levas superpuestas'!$B$9/2))/Simulador!$B$11))/2,IF(((W16-('Levas superpuestas'!$B$15-'Levas superpuestas'!$B$9/4))/('Levas superpuestas'!$B$9/2))&gt;1-Simulador!$B$11,Simulador!$B$10*(1-COS(PI()*(1-((W16-('Levas superpuestas'!$B$15-'Levas superpuestas'!$B$9/4))/('Levas superpuestas'!$B$9/2)))/Simulador!$B$11))/2,Simulador!$B$10))))*COS(RADIANS(W16))</f>
        <v/>
      </c>
      <c r="AB16">
        <f>'Levas superpuestas'!$B$5*SIN(RADIANS(W16))</f>
        <v/>
      </c>
      <c r="AC16">
        <f>'Levas superpuestas'!$B$5*COS(RADIANS(W16))</f>
        <v/>
      </c>
      <c r="AL16">
        <f>0.55*'Levas superpuestas'!$B$5*SIN(RADIANS((('Levas superpuestas'!$B$15-'Levas superpuestas'!$B$9/4)+14/20*(('Levas superpuestas'!$B$14+'Levas superpuestas'!$B$8/4)-('Levas superpuestas'!$B$15-'Levas superpuestas'!$B$9/4)))))</f>
        <v/>
      </c>
      <c r="AM16">
        <f>0.55*'Levas superpuestas'!$B$5*COS(RADIANS((('Levas superpuestas'!$B$15-'Levas superpuestas'!$B$9/4)+14/20*(('Levas superpuestas'!$B$14+'Levas superpuestas'!$B$8/4)-('Levas superpuestas'!$B$15-'Levas superpuestas'!$B$9/4)))))</f>
        <v/>
      </c>
    </row>
    <row r="17">
      <c r="A17" s="26">
        <f>A16+Simulador!$B$14</f>
        <v/>
      </c>
      <c r="B17" s="46">
        <f>IF(OR((($A17-Simulador!$E$5)/Simulador!$G$5)&lt;=0,(($A17-Simulador!$E$5)/Simulador!$G$5)&gt;=1),0,IF((($A17-Simulador!$E$5)/Simulador!$G$5)&lt;Simulador!$B$11,Simulador!$B$9*(1-COS(PI()*(($A17-Simulador!$E$5)/Simulador!$G$5)/Simulador!$B$11))/2,IF((($A17-Simulador!$E$5)/Simulador!$G$5)&gt;1-Simulador!$B$11,Simulador!$B$9*(1-COS(PI()*(1-(($A17-Simulador!$E$5)/Simulador!$G$5))/Simulador!$B$11))/2,Simulador!$B$9)))</f>
        <v/>
      </c>
      <c r="C17" s="46">
        <f>IF(OR((($A17-Simulador!$E$6)/Simulador!$G$6)&lt;=0,(($A17-Simulador!$E$6)/Simulador!$G$6)&gt;=1),0,IF((($A17-Simulador!$E$6)/Simulador!$G$6)&lt;Simulador!$B$11,Simulador!$B$9*(1-COS(PI()*(($A17-Simulador!$E$6)/Simulador!$G$6)/Simulador!$B$11))/2,IF((($A17-Simulador!$E$6)/Simulador!$G$6)&gt;1-Simulador!$B$11,Simulador!$B$9*(1-COS(PI()*(1-(($A17-Simulador!$E$6)/Simulador!$G$6))/Simulador!$B$11))/2,Simulador!$B$9)))</f>
        <v/>
      </c>
      <c r="D17" s="46">
        <f>IF(OR((($A17-Simulador!$E$7)/Simulador!$G$7)&lt;=0,(($A17-Simulador!$E$7)/Simulador!$G$7)&gt;=1),0,IF((($A17-Simulador!$E$7)/Simulador!$G$7)&lt;Simulador!$B$11,Simulador!$B$9*(1-COS(PI()*(($A17-Simulador!$E$7)/Simulador!$G$7)/Simulador!$B$11))/2,IF((($A17-Simulador!$E$7)/Simulador!$G$7)&gt;1-Simulador!$B$11,Simulador!$B$9*(1-COS(PI()*(1-(($A17-Simulador!$E$7)/Simulador!$G$7))/Simulador!$B$11))/2,Simulador!$B$9)))</f>
        <v/>
      </c>
      <c r="E17" s="46">
        <f>IF(OR((($A17-Simulador!$E$8)/Simulador!$G$8)&lt;=0,(($A17-Simulador!$E$8)/Simulador!$G$8)&gt;=1),0,IF((($A17-Simulador!$E$8)/Simulador!$G$8)&lt;Simulador!$B$11,Simulador!$B$10*(1-COS(PI()*(($A17-Simulador!$E$8)/Simulador!$G$8)/Simulador!$B$11))/2,IF((($A17-Simulador!$E$8)/Simulador!$G$8)&gt;1-Simulador!$B$11,Simulador!$B$10*(1-COS(PI()*(1-(($A17-Simulador!$E$8)/Simulador!$G$8))/Simulador!$B$11))/2,Simulador!$B$10)))</f>
        <v/>
      </c>
      <c r="F17" s="46">
        <f>IF(OR((($A17-Simulador!$E$9)/Simulador!$G$9)&lt;=0,(($A17-Simulador!$E$9)/Simulador!$G$9)&gt;=1),0,IF((($A17-Simulador!$E$9)/Simulador!$G$9)&lt;Simulador!$B$11,Simulador!$B$10*(1-COS(PI()*(($A17-Simulador!$E$9)/Simulador!$G$9)/Simulador!$B$11))/2,IF((($A17-Simulador!$E$9)/Simulador!$G$9)&gt;1-Simulador!$B$11,Simulador!$B$10*(1-COS(PI()*(1-(($A17-Simulador!$E$9)/Simulador!$G$9))/Simulador!$B$11))/2,Simulador!$B$10)))</f>
        <v/>
      </c>
      <c r="G17" s="46">
        <f>IF(OR((($A17-Simulador!$E$10)/Simulador!$G$10)&lt;=0,(($A17-Simulador!$E$10)/Simulador!$G$10)&gt;=1),0,IF((($A17-Simulador!$E$10)/Simulador!$G$10)&lt;Simulador!$B$11,Simulador!$B$10*(1-COS(PI()*(($A17-Simulador!$E$10)/Simulador!$G$10)/Simulador!$B$11))/2,IF((($A17-Simulador!$E$10)/Simulador!$G$10)&gt;1-Simulador!$B$11,Simulador!$B$10*(1-COS(PI()*(1-(($A17-Simulador!$E$10)/Simulador!$G$10))/Simulador!$B$11))/2,Simulador!$B$10)))</f>
        <v/>
      </c>
      <c r="Q17" s="48">
        <f>IF(OR((($A17-(Simulador!$E$6+'Salto de dientes'!$B$12))/Simulador!$G$6)&lt;=0,(($A17-(Simulador!$E$6+'Salto de dientes'!$B$12))/Simulador!$G$6)&gt;=1),0,IF((($A17-(Simulador!$E$6+'Salto de dientes'!$B$12))/Simulador!$G$6)&lt;Simulador!$B$11,Simulador!$B$9*(1-COS(PI()*(($A17-(Simulador!$E$6+'Salto de dientes'!$B$12))/Simulador!$G$6)/Simulador!$B$11))/2,IF((($A17-(Simulador!$E$6+'Salto de dientes'!$B$12))/Simulador!$G$6)&gt;1-Simulador!$B$11,Simulador!$B$9*(1-COS(PI()*(1-(($A17-(Simulador!$E$6+'Salto de dientes'!$B$12))/Simulador!$G$6))/Simulador!$B$11))/2,Simulador!$B$9)))</f>
        <v/>
      </c>
      <c r="R17" s="48">
        <f>IF(OR((($A17-(Simulador!$E$9+'Salto de dientes'!$B$12))/Simulador!$G$9)&lt;=0,(($A17-(Simulador!$E$9+'Salto de dientes'!$B$12))/Simulador!$G$9)&gt;=1),0,IF((($A17-(Simulador!$E$9+'Salto de dientes'!$B$12))/Simulador!$G$9)&lt;Simulador!$B$11,Simulador!$B$10*(1-COS(PI()*(($A17-(Simulador!$E$9+'Salto de dientes'!$B$12))/Simulador!$G$9)/Simulador!$B$11))/2,IF((($A17-(Simulador!$E$9+'Salto de dientes'!$B$12))/Simulador!$G$9)&gt;1-Simulador!$B$11,Simulador!$B$10*(1-COS(PI()*(1-(($A17-(Simulador!$E$9+'Salto de dientes'!$B$12))/Simulador!$G$9))/Simulador!$B$11))/2,Simulador!$B$10)))</f>
        <v/>
      </c>
      <c r="W17" t="n">
        <v>-135</v>
      </c>
      <c r="X17" s="48">
        <f>('Levas superpuestas'!$B$5+IF(OR(((W17-('Levas superpuestas'!$B$14-'Levas superpuestas'!$B$8/4))/('Levas superpuestas'!$B$8/2))&lt;=0,((W17-('Levas superpuestas'!$B$14-'Levas superpuestas'!$B$8/4))/('Levas superpuestas'!$B$8/2))&gt;=1),0,IF(((W17-('Levas superpuestas'!$B$14-'Levas superpuestas'!$B$8/4))/('Levas superpuestas'!$B$8/2))&lt;Simulador!$B$11,Simulador!$B$9*(1-COS(PI()*((W17-('Levas superpuestas'!$B$14-'Levas superpuestas'!$B$8/4))/('Levas superpuestas'!$B$8/2))/Simulador!$B$11))/2,IF(((W17-('Levas superpuestas'!$B$14-'Levas superpuestas'!$B$8/4))/('Levas superpuestas'!$B$8/2))&gt;1-Simulador!$B$11,Simulador!$B$9*(1-COS(PI()*(1-((W17-('Levas superpuestas'!$B$14-'Levas superpuestas'!$B$8/4))/('Levas superpuestas'!$B$8/2)))/Simulador!$B$11))/2,Simulador!$B$9))))*SIN(RADIANS(W17))</f>
        <v/>
      </c>
      <c r="Y17" s="48">
        <f>('Levas superpuestas'!$B$5+IF(OR(((W17-('Levas superpuestas'!$B$14-'Levas superpuestas'!$B$8/4))/('Levas superpuestas'!$B$8/2))&lt;=0,((W17-('Levas superpuestas'!$B$14-'Levas superpuestas'!$B$8/4))/('Levas superpuestas'!$B$8/2))&gt;=1),0,IF(((W17-('Levas superpuestas'!$B$14-'Levas superpuestas'!$B$8/4))/('Levas superpuestas'!$B$8/2))&lt;Simulador!$B$11,Simulador!$B$9*(1-COS(PI()*((W17-('Levas superpuestas'!$B$14-'Levas superpuestas'!$B$8/4))/('Levas superpuestas'!$B$8/2))/Simulador!$B$11))/2,IF(((W17-('Levas superpuestas'!$B$14-'Levas superpuestas'!$B$8/4))/('Levas superpuestas'!$B$8/2))&gt;1-Simulador!$B$11,Simulador!$B$9*(1-COS(PI()*(1-((W17-('Levas superpuestas'!$B$14-'Levas superpuestas'!$B$8/4))/('Levas superpuestas'!$B$8/2)))/Simulador!$B$11))/2,Simulador!$B$9))))*COS(RADIANS(W17))</f>
        <v/>
      </c>
      <c r="Z17" s="48">
        <f>('Levas superpuestas'!$B$5+IF(OR(((W17-('Levas superpuestas'!$B$15-'Levas superpuestas'!$B$9/4))/('Levas superpuestas'!$B$9/2))&lt;=0,((W17-('Levas superpuestas'!$B$15-'Levas superpuestas'!$B$9/4))/('Levas superpuestas'!$B$9/2))&gt;=1),0,IF(((W17-('Levas superpuestas'!$B$15-'Levas superpuestas'!$B$9/4))/('Levas superpuestas'!$B$9/2))&lt;Simulador!$B$11,Simulador!$B$10*(1-COS(PI()*((W17-('Levas superpuestas'!$B$15-'Levas superpuestas'!$B$9/4))/('Levas superpuestas'!$B$9/2))/Simulador!$B$11))/2,IF(((W17-('Levas superpuestas'!$B$15-'Levas superpuestas'!$B$9/4))/('Levas superpuestas'!$B$9/2))&gt;1-Simulador!$B$11,Simulador!$B$10*(1-COS(PI()*(1-((W17-('Levas superpuestas'!$B$15-'Levas superpuestas'!$B$9/4))/('Levas superpuestas'!$B$9/2)))/Simulador!$B$11))/2,Simulador!$B$10))))*SIN(RADIANS(W17))</f>
        <v/>
      </c>
      <c r="AA17" s="48">
        <f>('Levas superpuestas'!$B$5+IF(OR(((W17-('Levas superpuestas'!$B$15-'Levas superpuestas'!$B$9/4))/('Levas superpuestas'!$B$9/2))&lt;=0,((W17-('Levas superpuestas'!$B$15-'Levas superpuestas'!$B$9/4))/('Levas superpuestas'!$B$9/2))&gt;=1),0,IF(((W17-('Levas superpuestas'!$B$15-'Levas superpuestas'!$B$9/4))/('Levas superpuestas'!$B$9/2))&lt;Simulador!$B$11,Simulador!$B$10*(1-COS(PI()*((W17-('Levas superpuestas'!$B$15-'Levas superpuestas'!$B$9/4))/('Levas superpuestas'!$B$9/2))/Simulador!$B$11))/2,IF(((W17-('Levas superpuestas'!$B$15-'Levas superpuestas'!$B$9/4))/('Levas superpuestas'!$B$9/2))&gt;1-Simulador!$B$11,Simulador!$B$10*(1-COS(PI()*(1-((W17-('Levas superpuestas'!$B$15-'Levas superpuestas'!$B$9/4))/('Levas superpuestas'!$B$9/2)))/Simulador!$B$11))/2,Simulador!$B$10))))*COS(RADIANS(W17))</f>
        <v/>
      </c>
      <c r="AB17">
        <f>'Levas superpuestas'!$B$5*SIN(RADIANS(W17))</f>
        <v/>
      </c>
      <c r="AC17">
        <f>'Levas superpuestas'!$B$5*COS(RADIANS(W17))</f>
        <v/>
      </c>
      <c r="AE17" t="inlineStr">
        <is>
          <t>CIERRE ADMISIÓN</t>
        </is>
      </c>
      <c r="AF17">
        <f>'Levas superpuestas'!$B$15+'Levas superpuestas'!$B$9/4</f>
        <v/>
      </c>
      <c r="AG17" t="n">
        <v>0</v>
      </c>
      <c r="AH17" t="n">
        <v>0</v>
      </c>
      <c r="AL17">
        <f>0.55*'Levas superpuestas'!$B$5*SIN(RADIANS((('Levas superpuestas'!$B$15-'Levas superpuestas'!$B$9/4)+15/20*(('Levas superpuestas'!$B$14+'Levas superpuestas'!$B$8/4)-('Levas superpuestas'!$B$15-'Levas superpuestas'!$B$9/4)))))</f>
        <v/>
      </c>
      <c r="AM17">
        <f>0.55*'Levas superpuestas'!$B$5*COS(RADIANS((('Levas superpuestas'!$B$15-'Levas superpuestas'!$B$9/4)+15/20*(('Levas superpuestas'!$B$14+'Levas superpuestas'!$B$8/4)-('Levas superpuestas'!$B$15-'Levas superpuestas'!$B$9/4)))))</f>
        <v/>
      </c>
    </row>
    <row r="18">
      <c r="A18" s="26">
        <f>A17+Simulador!$B$14</f>
        <v/>
      </c>
      <c r="B18" s="46">
        <f>IF(OR((($A18-Simulador!$E$5)/Simulador!$G$5)&lt;=0,(($A18-Simulador!$E$5)/Simulador!$G$5)&gt;=1),0,IF((($A18-Simulador!$E$5)/Simulador!$G$5)&lt;Simulador!$B$11,Simulador!$B$9*(1-COS(PI()*(($A18-Simulador!$E$5)/Simulador!$G$5)/Simulador!$B$11))/2,IF((($A18-Simulador!$E$5)/Simulador!$G$5)&gt;1-Simulador!$B$11,Simulador!$B$9*(1-COS(PI()*(1-(($A18-Simulador!$E$5)/Simulador!$G$5))/Simulador!$B$11))/2,Simulador!$B$9)))</f>
        <v/>
      </c>
      <c r="C18" s="46">
        <f>IF(OR((($A18-Simulador!$E$6)/Simulador!$G$6)&lt;=0,(($A18-Simulador!$E$6)/Simulador!$G$6)&gt;=1),0,IF((($A18-Simulador!$E$6)/Simulador!$G$6)&lt;Simulador!$B$11,Simulador!$B$9*(1-COS(PI()*(($A18-Simulador!$E$6)/Simulador!$G$6)/Simulador!$B$11))/2,IF((($A18-Simulador!$E$6)/Simulador!$G$6)&gt;1-Simulador!$B$11,Simulador!$B$9*(1-COS(PI()*(1-(($A18-Simulador!$E$6)/Simulador!$G$6))/Simulador!$B$11))/2,Simulador!$B$9)))</f>
        <v/>
      </c>
      <c r="D18" s="46">
        <f>IF(OR((($A18-Simulador!$E$7)/Simulador!$G$7)&lt;=0,(($A18-Simulador!$E$7)/Simulador!$G$7)&gt;=1),0,IF((($A18-Simulador!$E$7)/Simulador!$G$7)&lt;Simulador!$B$11,Simulador!$B$9*(1-COS(PI()*(($A18-Simulador!$E$7)/Simulador!$G$7)/Simulador!$B$11))/2,IF((($A18-Simulador!$E$7)/Simulador!$G$7)&gt;1-Simulador!$B$11,Simulador!$B$9*(1-COS(PI()*(1-(($A18-Simulador!$E$7)/Simulador!$G$7))/Simulador!$B$11))/2,Simulador!$B$9)))</f>
        <v/>
      </c>
      <c r="E18" s="46">
        <f>IF(OR((($A18-Simulador!$E$8)/Simulador!$G$8)&lt;=0,(($A18-Simulador!$E$8)/Simulador!$G$8)&gt;=1),0,IF((($A18-Simulador!$E$8)/Simulador!$G$8)&lt;Simulador!$B$11,Simulador!$B$10*(1-COS(PI()*(($A18-Simulador!$E$8)/Simulador!$G$8)/Simulador!$B$11))/2,IF((($A18-Simulador!$E$8)/Simulador!$G$8)&gt;1-Simulador!$B$11,Simulador!$B$10*(1-COS(PI()*(1-(($A18-Simulador!$E$8)/Simulador!$G$8))/Simulador!$B$11))/2,Simulador!$B$10)))</f>
        <v/>
      </c>
      <c r="F18" s="46">
        <f>IF(OR((($A18-Simulador!$E$9)/Simulador!$G$9)&lt;=0,(($A18-Simulador!$E$9)/Simulador!$G$9)&gt;=1),0,IF((($A18-Simulador!$E$9)/Simulador!$G$9)&lt;Simulador!$B$11,Simulador!$B$10*(1-COS(PI()*(($A18-Simulador!$E$9)/Simulador!$G$9)/Simulador!$B$11))/2,IF((($A18-Simulador!$E$9)/Simulador!$G$9)&gt;1-Simulador!$B$11,Simulador!$B$10*(1-COS(PI()*(1-(($A18-Simulador!$E$9)/Simulador!$G$9))/Simulador!$B$11))/2,Simulador!$B$10)))</f>
        <v/>
      </c>
      <c r="G18" s="46">
        <f>IF(OR((($A18-Simulador!$E$10)/Simulador!$G$10)&lt;=0,(($A18-Simulador!$E$10)/Simulador!$G$10)&gt;=1),0,IF((($A18-Simulador!$E$10)/Simulador!$G$10)&lt;Simulador!$B$11,Simulador!$B$10*(1-COS(PI()*(($A18-Simulador!$E$10)/Simulador!$G$10)/Simulador!$B$11))/2,IF((($A18-Simulador!$E$10)/Simulador!$G$10)&gt;1-Simulador!$B$11,Simulador!$B$10*(1-COS(PI()*(1-(($A18-Simulador!$E$10)/Simulador!$G$10))/Simulador!$B$11))/2,Simulador!$B$10)))</f>
        <v/>
      </c>
      <c r="Q18" s="48">
        <f>IF(OR((($A18-(Simulador!$E$6+'Salto de dientes'!$B$12))/Simulador!$G$6)&lt;=0,(($A18-(Simulador!$E$6+'Salto de dientes'!$B$12))/Simulador!$G$6)&gt;=1),0,IF((($A18-(Simulador!$E$6+'Salto de dientes'!$B$12))/Simulador!$G$6)&lt;Simulador!$B$11,Simulador!$B$9*(1-COS(PI()*(($A18-(Simulador!$E$6+'Salto de dientes'!$B$12))/Simulador!$G$6)/Simulador!$B$11))/2,IF((($A18-(Simulador!$E$6+'Salto de dientes'!$B$12))/Simulador!$G$6)&gt;1-Simulador!$B$11,Simulador!$B$9*(1-COS(PI()*(1-(($A18-(Simulador!$E$6+'Salto de dientes'!$B$12))/Simulador!$G$6))/Simulador!$B$11))/2,Simulador!$B$9)))</f>
        <v/>
      </c>
      <c r="R18" s="48">
        <f>IF(OR((($A18-(Simulador!$E$9+'Salto de dientes'!$B$12))/Simulador!$G$9)&lt;=0,(($A18-(Simulador!$E$9+'Salto de dientes'!$B$12))/Simulador!$G$9)&gt;=1),0,IF((($A18-(Simulador!$E$9+'Salto de dientes'!$B$12))/Simulador!$G$9)&lt;Simulador!$B$11,Simulador!$B$10*(1-COS(PI()*(($A18-(Simulador!$E$9+'Salto de dientes'!$B$12))/Simulador!$G$9)/Simulador!$B$11))/2,IF((($A18-(Simulador!$E$9+'Salto de dientes'!$B$12))/Simulador!$G$9)&gt;1-Simulador!$B$11,Simulador!$B$10*(1-COS(PI()*(1-(($A18-(Simulador!$E$9+'Salto de dientes'!$B$12))/Simulador!$G$9))/Simulador!$B$11))/2,Simulador!$B$10)))</f>
        <v/>
      </c>
      <c r="W18" t="n">
        <v>-132</v>
      </c>
      <c r="X18" s="48">
        <f>('Levas superpuestas'!$B$5+IF(OR(((W18-('Levas superpuestas'!$B$14-'Levas superpuestas'!$B$8/4))/('Levas superpuestas'!$B$8/2))&lt;=0,((W18-('Levas superpuestas'!$B$14-'Levas superpuestas'!$B$8/4))/('Levas superpuestas'!$B$8/2))&gt;=1),0,IF(((W18-('Levas superpuestas'!$B$14-'Levas superpuestas'!$B$8/4))/('Levas superpuestas'!$B$8/2))&lt;Simulador!$B$11,Simulador!$B$9*(1-COS(PI()*((W18-('Levas superpuestas'!$B$14-'Levas superpuestas'!$B$8/4))/('Levas superpuestas'!$B$8/2))/Simulador!$B$11))/2,IF(((W18-('Levas superpuestas'!$B$14-'Levas superpuestas'!$B$8/4))/('Levas superpuestas'!$B$8/2))&gt;1-Simulador!$B$11,Simulador!$B$9*(1-COS(PI()*(1-((W18-('Levas superpuestas'!$B$14-'Levas superpuestas'!$B$8/4))/('Levas superpuestas'!$B$8/2)))/Simulador!$B$11))/2,Simulador!$B$9))))*SIN(RADIANS(W18))</f>
        <v/>
      </c>
      <c r="Y18" s="48">
        <f>('Levas superpuestas'!$B$5+IF(OR(((W18-('Levas superpuestas'!$B$14-'Levas superpuestas'!$B$8/4))/('Levas superpuestas'!$B$8/2))&lt;=0,((W18-('Levas superpuestas'!$B$14-'Levas superpuestas'!$B$8/4))/('Levas superpuestas'!$B$8/2))&gt;=1),0,IF(((W18-('Levas superpuestas'!$B$14-'Levas superpuestas'!$B$8/4))/('Levas superpuestas'!$B$8/2))&lt;Simulador!$B$11,Simulador!$B$9*(1-COS(PI()*((W18-('Levas superpuestas'!$B$14-'Levas superpuestas'!$B$8/4))/('Levas superpuestas'!$B$8/2))/Simulador!$B$11))/2,IF(((W18-('Levas superpuestas'!$B$14-'Levas superpuestas'!$B$8/4))/('Levas superpuestas'!$B$8/2))&gt;1-Simulador!$B$11,Simulador!$B$9*(1-COS(PI()*(1-((W18-('Levas superpuestas'!$B$14-'Levas superpuestas'!$B$8/4))/('Levas superpuestas'!$B$8/2)))/Simulador!$B$11))/2,Simulador!$B$9))))*COS(RADIANS(W18))</f>
        <v/>
      </c>
      <c r="Z18" s="48">
        <f>('Levas superpuestas'!$B$5+IF(OR(((W18-('Levas superpuestas'!$B$15-'Levas superpuestas'!$B$9/4))/('Levas superpuestas'!$B$9/2))&lt;=0,((W18-('Levas superpuestas'!$B$15-'Levas superpuestas'!$B$9/4))/('Levas superpuestas'!$B$9/2))&gt;=1),0,IF(((W18-('Levas superpuestas'!$B$15-'Levas superpuestas'!$B$9/4))/('Levas superpuestas'!$B$9/2))&lt;Simulador!$B$11,Simulador!$B$10*(1-COS(PI()*((W18-('Levas superpuestas'!$B$15-'Levas superpuestas'!$B$9/4))/('Levas superpuestas'!$B$9/2))/Simulador!$B$11))/2,IF(((W18-('Levas superpuestas'!$B$15-'Levas superpuestas'!$B$9/4))/('Levas superpuestas'!$B$9/2))&gt;1-Simulador!$B$11,Simulador!$B$10*(1-COS(PI()*(1-((W18-('Levas superpuestas'!$B$15-'Levas superpuestas'!$B$9/4))/('Levas superpuestas'!$B$9/2)))/Simulador!$B$11))/2,Simulador!$B$10))))*SIN(RADIANS(W18))</f>
        <v/>
      </c>
      <c r="AA18" s="48">
        <f>('Levas superpuestas'!$B$5+IF(OR(((W18-('Levas superpuestas'!$B$15-'Levas superpuestas'!$B$9/4))/('Levas superpuestas'!$B$9/2))&lt;=0,((W18-('Levas superpuestas'!$B$15-'Levas superpuestas'!$B$9/4))/('Levas superpuestas'!$B$9/2))&gt;=1),0,IF(((W18-('Levas superpuestas'!$B$15-'Levas superpuestas'!$B$9/4))/('Levas superpuestas'!$B$9/2))&lt;Simulador!$B$11,Simulador!$B$10*(1-COS(PI()*((W18-('Levas superpuestas'!$B$15-'Levas superpuestas'!$B$9/4))/('Levas superpuestas'!$B$9/2))/Simulador!$B$11))/2,IF(((W18-('Levas superpuestas'!$B$15-'Levas superpuestas'!$B$9/4))/('Levas superpuestas'!$B$9/2))&gt;1-Simulador!$B$11,Simulador!$B$10*(1-COS(PI()*(1-((W18-('Levas superpuestas'!$B$15-'Levas superpuestas'!$B$9/4))/('Levas superpuestas'!$B$9/2)))/Simulador!$B$11))/2,Simulador!$B$10))))*COS(RADIANS(W18))</f>
        <v/>
      </c>
      <c r="AB18">
        <f>'Levas superpuestas'!$B$5*SIN(RADIANS(W18))</f>
        <v/>
      </c>
      <c r="AC18">
        <f>'Levas superpuestas'!$B$5*COS(RADIANS(W18))</f>
        <v/>
      </c>
      <c r="AG18">
        <f>('Levas superpuestas'!$B$5+MAX(Simulador!$B$9,Simulador!$B$10)+9)*SIN(RADIANS(AF17))</f>
        <v/>
      </c>
      <c r="AH18">
        <f>('Levas superpuestas'!$B$5+MAX(Simulador!$B$9,Simulador!$B$10)+9)*COS(RADIANS(AF17))</f>
        <v/>
      </c>
      <c r="AL18">
        <f>0.55*'Levas superpuestas'!$B$5*SIN(RADIANS((('Levas superpuestas'!$B$15-'Levas superpuestas'!$B$9/4)+16/20*(('Levas superpuestas'!$B$14+'Levas superpuestas'!$B$8/4)-('Levas superpuestas'!$B$15-'Levas superpuestas'!$B$9/4)))))</f>
        <v/>
      </c>
      <c r="AM18">
        <f>0.55*'Levas superpuestas'!$B$5*COS(RADIANS((('Levas superpuestas'!$B$15-'Levas superpuestas'!$B$9/4)+16/20*(('Levas superpuestas'!$B$14+'Levas superpuestas'!$B$8/4)-('Levas superpuestas'!$B$15-'Levas superpuestas'!$B$9/4)))))</f>
        <v/>
      </c>
    </row>
    <row r="19">
      <c r="A19" s="26">
        <f>A18+Simulador!$B$14</f>
        <v/>
      </c>
      <c r="B19" s="46">
        <f>IF(OR((($A19-Simulador!$E$5)/Simulador!$G$5)&lt;=0,(($A19-Simulador!$E$5)/Simulador!$G$5)&gt;=1),0,IF((($A19-Simulador!$E$5)/Simulador!$G$5)&lt;Simulador!$B$11,Simulador!$B$9*(1-COS(PI()*(($A19-Simulador!$E$5)/Simulador!$G$5)/Simulador!$B$11))/2,IF((($A19-Simulador!$E$5)/Simulador!$G$5)&gt;1-Simulador!$B$11,Simulador!$B$9*(1-COS(PI()*(1-(($A19-Simulador!$E$5)/Simulador!$G$5))/Simulador!$B$11))/2,Simulador!$B$9)))</f>
        <v/>
      </c>
      <c r="C19" s="46">
        <f>IF(OR((($A19-Simulador!$E$6)/Simulador!$G$6)&lt;=0,(($A19-Simulador!$E$6)/Simulador!$G$6)&gt;=1),0,IF((($A19-Simulador!$E$6)/Simulador!$G$6)&lt;Simulador!$B$11,Simulador!$B$9*(1-COS(PI()*(($A19-Simulador!$E$6)/Simulador!$G$6)/Simulador!$B$11))/2,IF((($A19-Simulador!$E$6)/Simulador!$G$6)&gt;1-Simulador!$B$11,Simulador!$B$9*(1-COS(PI()*(1-(($A19-Simulador!$E$6)/Simulador!$G$6))/Simulador!$B$11))/2,Simulador!$B$9)))</f>
        <v/>
      </c>
      <c r="D19" s="46">
        <f>IF(OR((($A19-Simulador!$E$7)/Simulador!$G$7)&lt;=0,(($A19-Simulador!$E$7)/Simulador!$G$7)&gt;=1),0,IF((($A19-Simulador!$E$7)/Simulador!$G$7)&lt;Simulador!$B$11,Simulador!$B$9*(1-COS(PI()*(($A19-Simulador!$E$7)/Simulador!$G$7)/Simulador!$B$11))/2,IF((($A19-Simulador!$E$7)/Simulador!$G$7)&gt;1-Simulador!$B$11,Simulador!$B$9*(1-COS(PI()*(1-(($A19-Simulador!$E$7)/Simulador!$G$7))/Simulador!$B$11))/2,Simulador!$B$9)))</f>
        <v/>
      </c>
      <c r="E19" s="46">
        <f>IF(OR((($A19-Simulador!$E$8)/Simulador!$G$8)&lt;=0,(($A19-Simulador!$E$8)/Simulador!$G$8)&gt;=1),0,IF((($A19-Simulador!$E$8)/Simulador!$G$8)&lt;Simulador!$B$11,Simulador!$B$10*(1-COS(PI()*(($A19-Simulador!$E$8)/Simulador!$G$8)/Simulador!$B$11))/2,IF((($A19-Simulador!$E$8)/Simulador!$G$8)&gt;1-Simulador!$B$11,Simulador!$B$10*(1-COS(PI()*(1-(($A19-Simulador!$E$8)/Simulador!$G$8))/Simulador!$B$11))/2,Simulador!$B$10)))</f>
        <v/>
      </c>
      <c r="F19" s="46">
        <f>IF(OR((($A19-Simulador!$E$9)/Simulador!$G$9)&lt;=0,(($A19-Simulador!$E$9)/Simulador!$G$9)&gt;=1),0,IF((($A19-Simulador!$E$9)/Simulador!$G$9)&lt;Simulador!$B$11,Simulador!$B$10*(1-COS(PI()*(($A19-Simulador!$E$9)/Simulador!$G$9)/Simulador!$B$11))/2,IF((($A19-Simulador!$E$9)/Simulador!$G$9)&gt;1-Simulador!$B$11,Simulador!$B$10*(1-COS(PI()*(1-(($A19-Simulador!$E$9)/Simulador!$G$9))/Simulador!$B$11))/2,Simulador!$B$10)))</f>
        <v/>
      </c>
      <c r="G19" s="46">
        <f>IF(OR((($A19-Simulador!$E$10)/Simulador!$G$10)&lt;=0,(($A19-Simulador!$E$10)/Simulador!$G$10)&gt;=1),0,IF((($A19-Simulador!$E$10)/Simulador!$G$10)&lt;Simulador!$B$11,Simulador!$B$10*(1-COS(PI()*(($A19-Simulador!$E$10)/Simulador!$G$10)/Simulador!$B$11))/2,IF((($A19-Simulador!$E$10)/Simulador!$G$10)&gt;1-Simulador!$B$11,Simulador!$B$10*(1-COS(PI()*(1-(($A19-Simulador!$E$10)/Simulador!$G$10))/Simulador!$B$11))/2,Simulador!$B$10)))</f>
        <v/>
      </c>
      <c r="Q19" s="48">
        <f>IF(OR((($A19-(Simulador!$E$6+'Salto de dientes'!$B$12))/Simulador!$G$6)&lt;=0,(($A19-(Simulador!$E$6+'Salto de dientes'!$B$12))/Simulador!$G$6)&gt;=1),0,IF((($A19-(Simulador!$E$6+'Salto de dientes'!$B$12))/Simulador!$G$6)&lt;Simulador!$B$11,Simulador!$B$9*(1-COS(PI()*(($A19-(Simulador!$E$6+'Salto de dientes'!$B$12))/Simulador!$G$6)/Simulador!$B$11))/2,IF((($A19-(Simulador!$E$6+'Salto de dientes'!$B$12))/Simulador!$G$6)&gt;1-Simulador!$B$11,Simulador!$B$9*(1-COS(PI()*(1-(($A19-(Simulador!$E$6+'Salto de dientes'!$B$12))/Simulador!$G$6))/Simulador!$B$11))/2,Simulador!$B$9)))</f>
        <v/>
      </c>
      <c r="R19" s="48">
        <f>IF(OR((($A19-(Simulador!$E$9+'Salto de dientes'!$B$12))/Simulador!$G$9)&lt;=0,(($A19-(Simulador!$E$9+'Salto de dientes'!$B$12))/Simulador!$G$9)&gt;=1),0,IF((($A19-(Simulador!$E$9+'Salto de dientes'!$B$12))/Simulador!$G$9)&lt;Simulador!$B$11,Simulador!$B$10*(1-COS(PI()*(($A19-(Simulador!$E$9+'Salto de dientes'!$B$12))/Simulador!$G$9)/Simulador!$B$11))/2,IF((($A19-(Simulador!$E$9+'Salto de dientes'!$B$12))/Simulador!$G$9)&gt;1-Simulador!$B$11,Simulador!$B$10*(1-COS(PI()*(1-(($A19-(Simulador!$E$9+'Salto de dientes'!$B$12))/Simulador!$G$9))/Simulador!$B$11))/2,Simulador!$B$10)))</f>
        <v/>
      </c>
      <c r="W19" t="n">
        <v>-129</v>
      </c>
      <c r="X19" s="48">
        <f>('Levas superpuestas'!$B$5+IF(OR(((W19-('Levas superpuestas'!$B$14-'Levas superpuestas'!$B$8/4))/('Levas superpuestas'!$B$8/2))&lt;=0,((W19-('Levas superpuestas'!$B$14-'Levas superpuestas'!$B$8/4))/('Levas superpuestas'!$B$8/2))&gt;=1),0,IF(((W19-('Levas superpuestas'!$B$14-'Levas superpuestas'!$B$8/4))/('Levas superpuestas'!$B$8/2))&lt;Simulador!$B$11,Simulador!$B$9*(1-COS(PI()*((W19-('Levas superpuestas'!$B$14-'Levas superpuestas'!$B$8/4))/('Levas superpuestas'!$B$8/2))/Simulador!$B$11))/2,IF(((W19-('Levas superpuestas'!$B$14-'Levas superpuestas'!$B$8/4))/('Levas superpuestas'!$B$8/2))&gt;1-Simulador!$B$11,Simulador!$B$9*(1-COS(PI()*(1-((W19-('Levas superpuestas'!$B$14-'Levas superpuestas'!$B$8/4))/('Levas superpuestas'!$B$8/2)))/Simulador!$B$11))/2,Simulador!$B$9))))*SIN(RADIANS(W19))</f>
        <v/>
      </c>
      <c r="Y19" s="48">
        <f>('Levas superpuestas'!$B$5+IF(OR(((W19-('Levas superpuestas'!$B$14-'Levas superpuestas'!$B$8/4))/('Levas superpuestas'!$B$8/2))&lt;=0,((W19-('Levas superpuestas'!$B$14-'Levas superpuestas'!$B$8/4))/('Levas superpuestas'!$B$8/2))&gt;=1),0,IF(((W19-('Levas superpuestas'!$B$14-'Levas superpuestas'!$B$8/4))/('Levas superpuestas'!$B$8/2))&lt;Simulador!$B$11,Simulador!$B$9*(1-COS(PI()*((W19-('Levas superpuestas'!$B$14-'Levas superpuestas'!$B$8/4))/('Levas superpuestas'!$B$8/2))/Simulador!$B$11))/2,IF(((W19-('Levas superpuestas'!$B$14-'Levas superpuestas'!$B$8/4))/('Levas superpuestas'!$B$8/2))&gt;1-Simulador!$B$11,Simulador!$B$9*(1-COS(PI()*(1-((W19-('Levas superpuestas'!$B$14-'Levas superpuestas'!$B$8/4))/('Levas superpuestas'!$B$8/2)))/Simulador!$B$11))/2,Simulador!$B$9))))*COS(RADIANS(W19))</f>
        <v/>
      </c>
      <c r="Z19" s="48">
        <f>('Levas superpuestas'!$B$5+IF(OR(((W19-('Levas superpuestas'!$B$15-'Levas superpuestas'!$B$9/4))/('Levas superpuestas'!$B$9/2))&lt;=0,((W19-('Levas superpuestas'!$B$15-'Levas superpuestas'!$B$9/4))/('Levas superpuestas'!$B$9/2))&gt;=1),0,IF(((W19-('Levas superpuestas'!$B$15-'Levas superpuestas'!$B$9/4))/('Levas superpuestas'!$B$9/2))&lt;Simulador!$B$11,Simulador!$B$10*(1-COS(PI()*((W19-('Levas superpuestas'!$B$15-'Levas superpuestas'!$B$9/4))/('Levas superpuestas'!$B$9/2))/Simulador!$B$11))/2,IF(((W19-('Levas superpuestas'!$B$15-'Levas superpuestas'!$B$9/4))/('Levas superpuestas'!$B$9/2))&gt;1-Simulador!$B$11,Simulador!$B$10*(1-COS(PI()*(1-((W19-('Levas superpuestas'!$B$15-'Levas superpuestas'!$B$9/4))/('Levas superpuestas'!$B$9/2)))/Simulador!$B$11))/2,Simulador!$B$10))))*SIN(RADIANS(W19))</f>
        <v/>
      </c>
      <c r="AA19" s="48">
        <f>('Levas superpuestas'!$B$5+IF(OR(((W19-('Levas superpuestas'!$B$15-'Levas superpuestas'!$B$9/4))/('Levas superpuestas'!$B$9/2))&lt;=0,((W19-('Levas superpuestas'!$B$15-'Levas superpuestas'!$B$9/4))/('Levas superpuestas'!$B$9/2))&gt;=1),0,IF(((W19-('Levas superpuestas'!$B$15-'Levas superpuestas'!$B$9/4))/('Levas superpuestas'!$B$9/2))&lt;Simulador!$B$11,Simulador!$B$10*(1-COS(PI()*((W19-('Levas superpuestas'!$B$15-'Levas superpuestas'!$B$9/4))/('Levas superpuestas'!$B$9/2))/Simulador!$B$11))/2,IF(((W19-('Levas superpuestas'!$B$15-'Levas superpuestas'!$B$9/4))/('Levas superpuestas'!$B$9/2))&gt;1-Simulador!$B$11,Simulador!$B$10*(1-COS(PI()*(1-((W19-('Levas superpuestas'!$B$15-'Levas superpuestas'!$B$9/4))/('Levas superpuestas'!$B$9/2)))/Simulador!$B$11))/2,Simulador!$B$10))))*COS(RADIANS(W19))</f>
        <v/>
      </c>
      <c r="AB19">
        <f>'Levas superpuestas'!$B$5*SIN(RADIANS(W19))</f>
        <v/>
      </c>
      <c r="AC19">
        <f>'Levas superpuestas'!$B$5*COS(RADIANS(W19))</f>
        <v/>
      </c>
      <c r="AL19">
        <f>0.55*'Levas superpuestas'!$B$5*SIN(RADIANS((('Levas superpuestas'!$B$15-'Levas superpuestas'!$B$9/4)+17/20*(('Levas superpuestas'!$B$14+'Levas superpuestas'!$B$8/4)-('Levas superpuestas'!$B$15-'Levas superpuestas'!$B$9/4)))))</f>
        <v/>
      </c>
      <c r="AM19">
        <f>0.55*'Levas superpuestas'!$B$5*COS(RADIANS((('Levas superpuestas'!$B$15-'Levas superpuestas'!$B$9/4)+17/20*(('Levas superpuestas'!$B$14+'Levas superpuestas'!$B$8/4)-('Levas superpuestas'!$B$15-'Levas superpuestas'!$B$9/4)))))</f>
        <v/>
      </c>
    </row>
    <row r="20">
      <c r="A20" s="26">
        <f>A19+Simulador!$B$14</f>
        <v/>
      </c>
      <c r="B20" s="46">
        <f>IF(OR((($A20-Simulador!$E$5)/Simulador!$G$5)&lt;=0,(($A20-Simulador!$E$5)/Simulador!$G$5)&gt;=1),0,IF((($A20-Simulador!$E$5)/Simulador!$G$5)&lt;Simulador!$B$11,Simulador!$B$9*(1-COS(PI()*(($A20-Simulador!$E$5)/Simulador!$G$5)/Simulador!$B$11))/2,IF((($A20-Simulador!$E$5)/Simulador!$G$5)&gt;1-Simulador!$B$11,Simulador!$B$9*(1-COS(PI()*(1-(($A20-Simulador!$E$5)/Simulador!$G$5))/Simulador!$B$11))/2,Simulador!$B$9)))</f>
        <v/>
      </c>
      <c r="C20" s="46">
        <f>IF(OR((($A20-Simulador!$E$6)/Simulador!$G$6)&lt;=0,(($A20-Simulador!$E$6)/Simulador!$G$6)&gt;=1),0,IF((($A20-Simulador!$E$6)/Simulador!$G$6)&lt;Simulador!$B$11,Simulador!$B$9*(1-COS(PI()*(($A20-Simulador!$E$6)/Simulador!$G$6)/Simulador!$B$11))/2,IF((($A20-Simulador!$E$6)/Simulador!$G$6)&gt;1-Simulador!$B$11,Simulador!$B$9*(1-COS(PI()*(1-(($A20-Simulador!$E$6)/Simulador!$G$6))/Simulador!$B$11))/2,Simulador!$B$9)))</f>
        <v/>
      </c>
      <c r="D20" s="46">
        <f>IF(OR((($A20-Simulador!$E$7)/Simulador!$G$7)&lt;=0,(($A20-Simulador!$E$7)/Simulador!$G$7)&gt;=1),0,IF((($A20-Simulador!$E$7)/Simulador!$G$7)&lt;Simulador!$B$11,Simulador!$B$9*(1-COS(PI()*(($A20-Simulador!$E$7)/Simulador!$G$7)/Simulador!$B$11))/2,IF((($A20-Simulador!$E$7)/Simulador!$G$7)&gt;1-Simulador!$B$11,Simulador!$B$9*(1-COS(PI()*(1-(($A20-Simulador!$E$7)/Simulador!$G$7))/Simulador!$B$11))/2,Simulador!$B$9)))</f>
        <v/>
      </c>
      <c r="E20" s="46">
        <f>IF(OR((($A20-Simulador!$E$8)/Simulador!$G$8)&lt;=0,(($A20-Simulador!$E$8)/Simulador!$G$8)&gt;=1),0,IF((($A20-Simulador!$E$8)/Simulador!$G$8)&lt;Simulador!$B$11,Simulador!$B$10*(1-COS(PI()*(($A20-Simulador!$E$8)/Simulador!$G$8)/Simulador!$B$11))/2,IF((($A20-Simulador!$E$8)/Simulador!$G$8)&gt;1-Simulador!$B$11,Simulador!$B$10*(1-COS(PI()*(1-(($A20-Simulador!$E$8)/Simulador!$G$8))/Simulador!$B$11))/2,Simulador!$B$10)))</f>
        <v/>
      </c>
      <c r="F20" s="46">
        <f>IF(OR((($A20-Simulador!$E$9)/Simulador!$G$9)&lt;=0,(($A20-Simulador!$E$9)/Simulador!$G$9)&gt;=1),0,IF((($A20-Simulador!$E$9)/Simulador!$G$9)&lt;Simulador!$B$11,Simulador!$B$10*(1-COS(PI()*(($A20-Simulador!$E$9)/Simulador!$G$9)/Simulador!$B$11))/2,IF((($A20-Simulador!$E$9)/Simulador!$G$9)&gt;1-Simulador!$B$11,Simulador!$B$10*(1-COS(PI()*(1-(($A20-Simulador!$E$9)/Simulador!$G$9))/Simulador!$B$11))/2,Simulador!$B$10)))</f>
        <v/>
      </c>
      <c r="G20" s="46">
        <f>IF(OR((($A20-Simulador!$E$10)/Simulador!$G$10)&lt;=0,(($A20-Simulador!$E$10)/Simulador!$G$10)&gt;=1),0,IF((($A20-Simulador!$E$10)/Simulador!$G$10)&lt;Simulador!$B$11,Simulador!$B$10*(1-COS(PI()*(($A20-Simulador!$E$10)/Simulador!$G$10)/Simulador!$B$11))/2,IF((($A20-Simulador!$E$10)/Simulador!$G$10)&gt;1-Simulador!$B$11,Simulador!$B$10*(1-COS(PI()*(1-(($A20-Simulador!$E$10)/Simulador!$G$10))/Simulador!$B$11))/2,Simulador!$B$10)))</f>
        <v/>
      </c>
      <c r="Q20" s="48">
        <f>IF(OR((($A20-(Simulador!$E$6+'Salto de dientes'!$B$12))/Simulador!$G$6)&lt;=0,(($A20-(Simulador!$E$6+'Salto de dientes'!$B$12))/Simulador!$G$6)&gt;=1),0,IF((($A20-(Simulador!$E$6+'Salto de dientes'!$B$12))/Simulador!$G$6)&lt;Simulador!$B$11,Simulador!$B$9*(1-COS(PI()*(($A20-(Simulador!$E$6+'Salto de dientes'!$B$12))/Simulador!$G$6)/Simulador!$B$11))/2,IF((($A20-(Simulador!$E$6+'Salto de dientes'!$B$12))/Simulador!$G$6)&gt;1-Simulador!$B$11,Simulador!$B$9*(1-COS(PI()*(1-(($A20-(Simulador!$E$6+'Salto de dientes'!$B$12))/Simulador!$G$6))/Simulador!$B$11))/2,Simulador!$B$9)))</f>
        <v/>
      </c>
      <c r="R20" s="48">
        <f>IF(OR((($A20-(Simulador!$E$9+'Salto de dientes'!$B$12))/Simulador!$G$9)&lt;=0,(($A20-(Simulador!$E$9+'Salto de dientes'!$B$12))/Simulador!$G$9)&gt;=1),0,IF((($A20-(Simulador!$E$9+'Salto de dientes'!$B$12))/Simulador!$G$9)&lt;Simulador!$B$11,Simulador!$B$10*(1-COS(PI()*(($A20-(Simulador!$E$9+'Salto de dientes'!$B$12))/Simulador!$G$9)/Simulador!$B$11))/2,IF((($A20-(Simulador!$E$9+'Salto de dientes'!$B$12))/Simulador!$G$9)&gt;1-Simulador!$B$11,Simulador!$B$10*(1-COS(PI()*(1-(($A20-(Simulador!$E$9+'Salto de dientes'!$B$12))/Simulador!$G$9))/Simulador!$B$11))/2,Simulador!$B$10)))</f>
        <v/>
      </c>
      <c r="W20" t="n">
        <v>-126</v>
      </c>
      <c r="X20" s="48">
        <f>('Levas superpuestas'!$B$5+IF(OR(((W20-('Levas superpuestas'!$B$14-'Levas superpuestas'!$B$8/4))/('Levas superpuestas'!$B$8/2))&lt;=0,((W20-('Levas superpuestas'!$B$14-'Levas superpuestas'!$B$8/4))/('Levas superpuestas'!$B$8/2))&gt;=1),0,IF(((W20-('Levas superpuestas'!$B$14-'Levas superpuestas'!$B$8/4))/('Levas superpuestas'!$B$8/2))&lt;Simulador!$B$11,Simulador!$B$9*(1-COS(PI()*((W20-('Levas superpuestas'!$B$14-'Levas superpuestas'!$B$8/4))/('Levas superpuestas'!$B$8/2))/Simulador!$B$11))/2,IF(((W20-('Levas superpuestas'!$B$14-'Levas superpuestas'!$B$8/4))/('Levas superpuestas'!$B$8/2))&gt;1-Simulador!$B$11,Simulador!$B$9*(1-COS(PI()*(1-((W20-('Levas superpuestas'!$B$14-'Levas superpuestas'!$B$8/4))/('Levas superpuestas'!$B$8/2)))/Simulador!$B$11))/2,Simulador!$B$9))))*SIN(RADIANS(W20))</f>
        <v/>
      </c>
      <c r="Y20" s="48">
        <f>('Levas superpuestas'!$B$5+IF(OR(((W20-('Levas superpuestas'!$B$14-'Levas superpuestas'!$B$8/4))/('Levas superpuestas'!$B$8/2))&lt;=0,((W20-('Levas superpuestas'!$B$14-'Levas superpuestas'!$B$8/4))/('Levas superpuestas'!$B$8/2))&gt;=1),0,IF(((W20-('Levas superpuestas'!$B$14-'Levas superpuestas'!$B$8/4))/('Levas superpuestas'!$B$8/2))&lt;Simulador!$B$11,Simulador!$B$9*(1-COS(PI()*((W20-('Levas superpuestas'!$B$14-'Levas superpuestas'!$B$8/4))/('Levas superpuestas'!$B$8/2))/Simulador!$B$11))/2,IF(((W20-('Levas superpuestas'!$B$14-'Levas superpuestas'!$B$8/4))/('Levas superpuestas'!$B$8/2))&gt;1-Simulador!$B$11,Simulador!$B$9*(1-COS(PI()*(1-((W20-('Levas superpuestas'!$B$14-'Levas superpuestas'!$B$8/4))/('Levas superpuestas'!$B$8/2)))/Simulador!$B$11))/2,Simulador!$B$9))))*COS(RADIANS(W20))</f>
        <v/>
      </c>
      <c r="Z20" s="48">
        <f>('Levas superpuestas'!$B$5+IF(OR(((W20-('Levas superpuestas'!$B$15-'Levas superpuestas'!$B$9/4))/('Levas superpuestas'!$B$9/2))&lt;=0,((W20-('Levas superpuestas'!$B$15-'Levas superpuestas'!$B$9/4))/('Levas superpuestas'!$B$9/2))&gt;=1),0,IF(((W20-('Levas superpuestas'!$B$15-'Levas superpuestas'!$B$9/4))/('Levas superpuestas'!$B$9/2))&lt;Simulador!$B$11,Simulador!$B$10*(1-COS(PI()*((W20-('Levas superpuestas'!$B$15-'Levas superpuestas'!$B$9/4))/('Levas superpuestas'!$B$9/2))/Simulador!$B$11))/2,IF(((W20-('Levas superpuestas'!$B$15-'Levas superpuestas'!$B$9/4))/('Levas superpuestas'!$B$9/2))&gt;1-Simulador!$B$11,Simulador!$B$10*(1-COS(PI()*(1-((W20-('Levas superpuestas'!$B$15-'Levas superpuestas'!$B$9/4))/('Levas superpuestas'!$B$9/2)))/Simulador!$B$11))/2,Simulador!$B$10))))*SIN(RADIANS(W20))</f>
        <v/>
      </c>
      <c r="AA20" s="48">
        <f>('Levas superpuestas'!$B$5+IF(OR(((W20-('Levas superpuestas'!$B$15-'Levas superpuestas'!$B$9/4))/('Levas superpuestas'!$B$9/2))&lt;=0,((W20-('Levas superpuestas'!$B$15-'Levas superpuestas'!$B$9/4))/('Levas superpuestas'!$B$9/2))&gt;=1),0,IF(((W20-('Levas superpuestas'!$B$15-'Levas superpuestas'!$B$9/4))/('Levas superpuestas'!$B$9/2))&lt;Simulador!$B$11,Simulador!$B$10*(1-COS(PI()*((W20-('Levas superpuestas'!$B$15-'Levas superpuestas'!$B$9/4))/('Levas superpuestas'!$B$9/2))/Simulador!$B$11))/2,IF(((W20-('Levas superpuestas'!$B$15-'Levas superpuestas'!$B$9/4))/('Levas superpuestas'!$B$9/2))&gt;1-Simulador!$B$11,Simulador!$B$10*(1-COS(PI()*(1-((W20-('Levas superpuestas'!$B$15-'Levas superpuestas'!$B$9/4))/('Levas superpuestas'!$B$9/2)))/Simulador!$B$11))/2,Simulador!$B$10))))*COS(RADIANS(W20))</f>
        <v/>
      </c>
      <c r="AB20">
        <f>'Levas superpuestas'!$B$5*SIN(RADIANS(W20))</f>
        <v/>
      </c>
      <c r="AC20">
        <f>'Levas superpuestas'!$B$5*COS(RADIANS(W20))</f>
        <v/>
      </c>
      <c r="AL20">
        <f>0.55*'Levas superpuestas'!$B$5*SIN(RADIANS((('Levas superpuestas'!$B$15-'Levas superpuestas'!$B$9/4)+18/20*(('Levas superpuestas'!$B$14+'Levas superpuestas'!$B$8/4)-('Levas superpuestas'!$B$15-'Levas superpuestas'!$B$9/4)))))</f>
        <v/>
      </c>
      <c r="AM20">
        <f>0.55*'Levas superpuestas'!$B$5*COS(RADIANS((('Levas superpuestas'!$B$15-'Levas superpuestas'!$B$9/4)+18/20*(('Levas superpuestas'!$B$14+'Levas superpuestas'!$B$8/4)-('Levas superpuestas'!$B$15-'Levas superpuestas'!$B$9/4)))))</f>
        <v/>
      </c>
    </row>
    <row r="21">
      <c r="A21" s="26">
        <f>A20+Simulador!$B$14</f>
        <v/>
      </c>
      <c r="B21" s="46">
        <f>IF(OR((($A21-Simulador!$E$5)/Simulador!$G$5)&lt;=0,(($A21-Simulador!$E$5)/Simulador!$G$5)&gt;=1),0,IF((($A21-Simulador!$E$5)/Simulador!$G$5)&lt;Simulador!$B$11,Simulador!$B$9*(1-COS(PI()*(($A21-Simulador!$E$5)/Simulador!$G$5)/Simulador!$B$11))/2,IF((($A21-Simulador!$E$5)/Simulador!$G$5)&gt;1-Simulador!$B$11,Simulador!$B$9*(1-COS(PI()*(1-(($A21-Simulador!$E$5)/Simulador!$G$5))/Simulador!$B$11))/2,Simulador!$B$9)))</f>
        <v/>
      </c>
      <c r="C21" s="46">
        <f>IF(OR((($A21-Simulador!$E$6)/Simulador!$G$6)&lt;=0,(($A21-Simulador!$E$6)/Simulador!$G$6)&gt;=1),0,IF((($A21-Simulador!$E$6)/Simulador!$G$6)&lt;Simulador!$B$11,Simulador!$B$9*(1-COS(PI()*(($A21-Simulador!$E$6)/Simulador!$G$6)/Simulador!$B$11))/2,IF((($A21-Simulador!$E$6)/Simulador!$G$6)&gt;1-Simulador!$B$11,Simulador!$B$9*(1-COS(PI()*(1-(($A21-Simulador!$E$6)/Simulador!$G$6))/Simulador!$B$11))/2,Simulador!$B$9)))</f>
        <v/>
      </c>
      <c r="D21" s="46">
        <f>IF(OR((($A21-Simulador!$E$7)/Simulador!$G$7)&lt;=0,(($A21-Simulador!$E$7)/Simulador!$G$7)&gt;=1),0,IF((($A21-Simulador!$E$7)/Simulador!$G$7)&lt;Simulador!$B$11,Simulador!$B$9*(1-COS(PI()*(($A21-Simulador!$E$7)/Simulador!$G$7)/Simulador!$B$11))/2,IF((($A21-Simulador!$E$7)/Simulador!$G$7)&gt;1-Simulador!$B$11,Simulador!$B$9*(1-COS(PI()*(1-(($A21-Simulador!$E$7)/Simulador!$G$7))/Simulador!$B$11))/2,Simulador!$B$9)))</f>
        <v/>
      </c>
      <c r="E21" s="46">
        <f>IF(OR((($A21-Simulador!$E$8)/Simulador!$G$8)&lt;=0,(($A21-Simulador!$E$8)/Simulador!$G$8)&gt;=1),0,IF((($A21-Simulador!$E$8)/Simulador!$G$8)&lt;Simulador!$B$11,Simulador!$B$10*(1-COS(PI()*(($A21-Simulador!$E$8)/Simulador!$G$8)/Simulador!$B$11))/2,IF((($A21-Simulador!$E$8)/Simulador!$G$8)&gt;1-Simulador!$B$11,Simulador!$B$10*(1-COS(PI()*(1-(($A21-Simulador!$E$8)/Simulador!$G$8))/Simulador!$B$11))/2,Simulador!$B$10)))</f>
        <v/>
      </c>
      <c r="F21" s="46">
        <f>IF(OR((($A21-Simulador!$E$9)/Simulador!$G$9)&lt;=0,(($A21-Simulador!$E$9)/Simulador!$G$9)&gt;=1),0,IF((($A21-Simulador!$E$9)/Simulador!$G$9)&lt;Simulador!$B$11,Simulador!$B$10*(1-COS(PI()*(($A21-Simulador!$E$9)/Simulador!$G$9)/Simulador!$B$11))/2,IF((($A21-Simulador!$E$9)/Simulador!$G$9)&gt;1-Simulador!$B$11,Simulador!$B$10*(1-COS(PI()*(1-(($A21-Simulador!$E$9)/Simulador!$G$9))/Simulador!$B$11))/2,Simulador!$B$10)))</f>
        <v/>
      </c>
      <c r="G21" s="46">
        <f>IF(OR((($A21-Simulador!$E$10)/Simulador!$G$10)&lt;=0,(($A21-Simulador!$E$10)/Simulador!$G$10)&gt;=1),0,IF((($A21-Simulador!$E$10)/Simulador!$G$10)&lt;Simulador!$B$11,Simulador!$B$10*(1-COS(PI()*(($A21-Simulador!$E$10)/Simulador!$G$10)/Simulador!$B$11))/2,IF((($A21-Simulador!$E$10)/Simulador!$G$10)&gt;1-Simulador!$B$11,Simulador!$B$10*(1-COS(PI()*(1-(($A21-Simulador!$E$10)/Simulador!$G$10))/Simulador!$B$11))/2,Simulador!$B$10)))</f>
        <v/>
      </c>
      <c r="Q21" s="48">
        <f>IF(OR((($A21-(Simulador!$E$6+'Salto de dientes'!$B$12))/Simulador!$G$6)&lt;=0,(($A21-(Simulador!$E$6+'Salto de dientes'!$B$12))/Simulador!$G$6)&gt;=1),0,IF((($A21-(Simulador!$E$6+'Salto de dientes'!$B$12))/Simulador!$G$6)&lt;Simulador!$B$11,Simulador!$B$9*(1-COS(PI()*(($A21-(Simulador!$E$6+'Salto de dientes'!$B$12))/Simulador!$G$6)/Simulador!$B$11))/2,IF((($A21-(Simulador!$E$6+'Salto de dientes'!$B$12))/Simulador!$G$6)&gt;1-Simulador!$B$11,Simulador!$B$9*(1-COS(PI()*(1-(($A21-(Simulador!$E$6+'Salto de dientes'!$B$12))/Simulador!$G$6))/Simulador!$B$11))/2,Simulador!$B$9)))</f>
        <v/>
      </c>
      <c r="R21" s="48">
        <f>IF(OR((($A21-(Simulador!$E$9+'Salto de dientes'!$B$12))/Simulador!$G$9)&lt;=0,(($A21-(Simulador!$E$9+'Salto de dientes'!$B$12))/Simulador!$G$9)&gt;=1),0,IF((($A21-(Simulador!$E$9+'Salto de dientes'!$B$12))/Simulador!$G$9)&lt;Simulador!$B$11,Simulador!$B$10*(1-COS(PI()*(($A21-(Simulador!$E$9+'Salto de dientes'!$B$12))/Simulador!$G$9)/Simulador!$B$11))/2,IF((($A21-(Simulador!$E$9+'Salto de dientes'!$B$12))/Simulador!$G$9)&gt;1-Simulador!$B$11,Simulador!$B$10*(1-COS(PI()*(1-(($A21-(Simulador!$E$9+'Salto de dientes'!$B$12))/Simulador!$G$9))/Simulador!$B$11))/2,Simulador!$B$10)))</f>
        <v/>
      </c>
      <c r="W21" t="n">
        <v>-123</v>
      </c>
      <c r="X21" s="48">
        <f>('Levas superpuestas'!$B$5+IF(OR(((W21-('Levas superpuestas'!$B$14-'Levas superpuestas'!$B$8/4))/('Levas superpuestas'!$B$8/2))&lt;=0,((W21-('Levas superpuestas'!$B$14-'Levas superpuestas'!$B$8/4))/('Levas superpuestas'!$B$8/2))&gt;=1),0,IF(((W21-('Levas superpuestas'!$B$14-'Levas superpuestas'!$B$8/4))/('Levas superpuestas'!$B$8/2))&lt;Simulador!$B$11,Simulador!$B$9*(1-COS(PI()*((W21-('Levas superpuestas'!$B$14-'Levas superpuestas'!$B$8/4))/('Levas superpuestas'!$B$8/2))/Simulador!$B$11))/2,IF(((W21-('Levas superpuestas'!$B$14-'Levas superpuestas'!$B$8/4))/('Levas superpuestas'!$B$8/2))&gt;1-Simulador!$B$11,Simulador!$B$9*(1-COS(PI()*(1-((W21-('Levas superpuestas'!$B$14-'Levas superpuestas'!$B$8/4))/('Levas superpuestas'!$B$8/2)))/Simulador!$B$11))/2,Simulador!$B$9))))*SIN(RADIANS(W21))</f>
        <v/>
      </c>
      <c r="Y21" s="48">
        <f>('Levas superpuestas'!$B$5+IF(OR(((W21-('Levas superpuestas'!$B$14-'Levas superpuestas'!$B$8/4))/('Levas superpuestas'!$B$8/2))&lt;=0,((W21-('Levas superpuestas'!$B$14-'Levas superpuestas'!$B$8/4))/('Levas superpuestas'!$B$8/2))&gt;=1),0,IF(((W21-('Levas superpuestas'!$B$14-'Levas superpuestas'!$B$8/4))/('Levas superpuestas'!$B$8/2))&lt;Simulador!$B$11,Simulador!$B$9*(1-COS(PI()*((W21-('Levas superpuestas'!$B$14-'Levas superpuestas'!$B$8/4))/('Levas superpuestas'!$B$8/2))/Simulador!$B$11))/2,IF(((W21-('Levas superpuestas'!$B$14-'Levas superpuestas'!$B$8/4))/('Levas superpuestas'!$B$8/2))&gt;1-Simulador!$B$11,Simulador!$B$9*(1-COS(PI()*(1-((W21-('Levas superpuestas'!$B$14-'Levas superpuestas'!$B$8/4))/('Levas superpuestas'!$B$8/2)))/Simulador!$B$11))/2,Simulador!$B$9))))*COS(RADIANS(W21))</f>
        <v/>
      </c>
      <c r="Z21" s="48">
        <f>('Levas superpuestas'!$B$5+IF(OR(((W21-('Levas superpuestas'!$B$15-'Levas superpuestas'!$B$9/4))/('Levas superpuestas'!$B$9/2))&lt;=0,((W21-('Levas superpuestas'!$B$15-'Levas superpuestas'!$B$9/4))/('Levas superpuestas'!$B$9/2))&gt;=1),0,IF(((W21-('Levas superpuestas'!$B$15-'Levas superpuestas'!$B$9/4))/('Levas superpuestas'!$B$9/2))&lt;Simulador!$B$11,Simulador!$B$10*(1-COS(PI()*((W21-('Levas superpuestas'!$B$15-'Levas superpuestas'!$B$9/4))/('Levas superpuestas'!$B$9/2))/Simulador!$B$11))/2,IF(((W21-('Levas superpuestas'!$B$15-'Levas superpuestas'!$B$9/4))/('Levas superpuestas'!$B$9/2))&gt;1-Simulador!$B$11,Simulador!$B$10*(1-COS(PI()*(1-((W21-('Levas superpuestas'!$B$15-'Levas superpuestas'!$B$9/4))/('Levas superpuestas'!$B$9/2)))/Simulador!$B$11))/2,Simulador!$B$10))))*SIN(RADIANS(W21))</f>
        <v/>
      </c>
      <c r="AA21" s="48">
        <f>('Levas superpuestas'!$B$5+IF(OR(((W21-('Levas superpuestas'!$B$15-'Levas superpuestas'!$B$9/4))/('Levas superpuestas'!$B$9/2))&lt;=0,((W21-('Levas superpuestas'!$B$15-'Levas superpuestas'!$B$9/4))/('Levas superpuestas'!$B$9/2))&gt;=1),0,IF(((W21-('Levas superpuestas'!$B$15-'Levas superpuestas'!$B$9/4))/('Levas superpuestas'!$B$9/2))&lt;Simulador!$B$11,Simulador!$B$10*(1-COS(PI()*((W21-('Levas superpuestas'!$B$15-'Levas superpuestas'!$B$9/4))/('Levas superpuestas'!$B$9/2))/Simulador!$B$11))/2,IF(((W21-('Levas superpuestas'!$B$15-'Levas superpuestas'!$B$9/4))/('Levas superpuestas'!$B$9/2))&gt;1-Simulador!$B$11,Simulador!$B$10*(1-COS(PI()*(1-((W21-('Levas superpuestas'!$B$15-'Levas superpuestas'!$B$9/4))/('Levas superpuestas'!$B$9/2)))/Simulador!$B$11))/2,Simulador!$B$10))))*COS(RADIANS(W21))</f>
        <v/>
      </c>
      <c r="AB21">
        <f>'Levas superpuestas'!$B$5*SIN(RADIANS(W21))</f>
        <v/>
      </c>
      <c r="AC21">
        <f>'Levas superpuestas'!$B$5*COS(RADIANS(W21))</f>
        <v/>
      </c>
      <c r="AL21">
        <f>0.55*'Levas superpuestas'!$B$5*SIN(RADIANS((('Levas superpuestas'!$B$15-'Levas superpuestas'!$B$9/4)+19/20*(('Levas superpuestas'!$B$14+'Levas superpuestas'!$B$8/4)-('Levas superpuestas'!$B$15-'Levas superpuestas'!$B$9/4)))))</f>
        <v/>
      </c>
      <c r="AM21">
        <f>0.55*'Levas superpuestas'!$B$5*COS(RADIANS((('Levas superpuestas'!$B$15-'Levas superpuestas'!$B$9/4)+19/20*(('Levas superpuestas'!$B$14+'Levas superpuestas'!$B$8/4)-('Levas superpuestas'!$B$15-'Levas superpuestas'!$B$9/4)))))</f>
        <v/>
      </c>
    </row>
    <row r="22">
      <c r="A22" s="26">
        <f>A21+Simulador!$B$14</f>
        <v/>
      </c>
      <c r="B22" s="46">
        <f>IF(OR((($A22-Simulador!$E$5)/Simulador!$G$5)&lt;=0,(($A22-Simulador!$E$5)/Simulador!$G$5)&gt;=1),0,IF((($A22-Simulador!$E$5)/Simulador!$G$5)&lt;Simulador!$B$11,Simulador!$B$9*(1-COS(PI()*(($A22-Simulador!$E$5)/Simulador!$G$5)/Simulador!$B$11))/2,IF((($A22-Simulador!$E$5)/Simulador!$G$5)&gt;1-Simulador!$B$11,Simulador!$B$9*(1-COS(PI()*(1-(($A22-Simulador!$E$5)/Simulador!$G$5))/Simulador!$B$11))/2,Simulador!$B$9)))</f>
        <v/>
      </c>
      <c r="C22" s="46">
        <f>IF(OR((($A22-Simulador!$E$6)/Simulador!$G$6)&lt;=0,(($A22-Simulador!$E$6)/Simulador!$G$6)&gt;=1),0,IF((($A22-Simulador!$E$6)/Simulador!$G$6)&lt;Simulador!$B$11,Simulador!$B$9*(1-COS(PI()*(($A22-Simulador!$E$6)/Simulador!$G$6)/Simulador!$B$11))/2,IF((($A22-Simulador!$E$6)/Simulador!$G$6)&gt;1-Simulador!$B$11,Simulador!$B$9*(1-COS(PI()*(1-(($A22-Simulador!$E$6)/Simulador!$G$6))/Simulador!$B$11))/2,Simulador!$B$9)))</f>
        <v/>
      </c>
      <c r="D22" s="46">
        <f>IF(OR((($A22-Simulador!$E$7)/Simulador!$G$7)&lt;=0,(($A22-Simulador!$E$7)/Simulador!$G$7)&gt;=1),0,IF((($A22-Simulador!$E$7)/Simulador!$G$7)&lt;Simulador!$B$11,Simulador!$B$9*(1-COS(PI()*(($A22-Simulador!$E$7)/Simulador!$G$7)/Simulador!$B$11))/2,IF((($A22-Simulador!$E$7)/Simulador!$G$7)&gt;1-Simulador!$B$11,Simulador!$B$9*(1-COS(PI()*(1-(($A22-Simulador!$E$7)/Simulador!$G$7))/Simulador!$B$11))/2,Simulador!$B$9)))</f>
        <v/>
      </c>
      <c r="E22" s="46">
        <f>IF(OR((($A22-Simulador!$E$8)/Simulador!$G$8)&lt;=0,(($A22-Simulador!$E$8)/Simulador!$G$8)&gt;=1),0,IF((($A22-Simulador!$E$8)/Simulador!$G$8)&lt;Simulador!$B$11,Simulador!$B$10*(1-COS(PI()*(($A22-Simulador!$E$8)/Simulador!$G$8)/Simulador!$B$11))/2,IF((($A22-Simulador!$E$8)/Simulador!$G$8)&gt;1-Simulador!$B$11,Simulador!$B$10*(1-COS(PI()*(1-(($A22-Simulador!$E$8)/Simulador!$G$8))/Simulador!$B$11))/2,Simulador!$B$10)))</f>
        <v/>
      </c>
      <c r="F22" s="46">
        <f>IF(OR((($A22-Simulador!$E$9)/Simulador!$G$9)&lt;=0,(($A22-Simulador!$E$9)/Simulador!$G$9)&gt;=1),0,IF((($A22-Simulador!$E$9)/Simulador!$G$9)&lt;Simulador!$B$11,Simulador!$B$10*(1-COS(PI()*(($A22-Simulador!$E$9)/Simulador!$G$9)/Simulador!$B$11))/2,IF((($A22-Simulador!$E$9)/Simulador!$G$9)&gt;1-Simulador!$B$11,Simulador!$B$10*(1-COS(PI()*(1-(($A22-Simulador!$E$9)/Simulador!$G$9))/Simulador!$B$11))/2,Simulador!$B$10)))</f>
        <v/>
      </c>
      <c r="G22" s="46">
        <f>IF(OR((($A22-Simulador!$E$10)/Simulador!$G$10)&lt;=0,(($A22-Simulador!$E$10)/Simulador!$G$10)&gt;=1),0,IF((($A22-Simulador!$E$10)/Simulador!$G$10)&lt;Simulador!$B$11,Simulador!$B$10*(1-COS(PI()*(($A22-Simulador!$E$10)/Simulador!$G$10)/Simulador!$B$11))/2,IF((($A22-Simulador!$E$10)/Simulador!$G$10)&gt;1-Simulador!$B$11,Simulador!$B$10*(1-COS(PI()*(1-(($A22-Simulador!$E$10)/Simulador!$G$10))/Simulador!$B$11))/2,Simulador!$B$10)))</f>
        <v/>
      </c>
      <c r="Q22" s="48">
        <f>IF(OR((($A22-(Simulador!$E$6+'Salto de dientes'!$B$12))/Simulador!$G$6)&lt;=0,(($A22-(Simulador!$E$6+'Salto de dientes'!$B$12))/Simulador!$G$6)&gt;=1),0,IF((($A22-(Simulador!$E$6+'Salto de dientes'!$B$12))/Simulador!$G$6)&lt;Simulador!$B$11,Simulador!$B$9*(1-COS(PI()*(($A22-(Simulador!$E$6+'Salto de dientes'!$B$12))/Simulador!$G$6)/Simulador!$B$11))/2,IF((($A22-(Simulador!$E$6+'Salto de dientes'!$B$12))/Simulador!$G$6)&gt;1-Simulador!$B$11,Simulador!$B$9*(1-COS(PI()*(1-(($A22-(Simulador!$E$6+'Salto de dientes'!$B$12))/Simulador!$G$6))/Simulador!$B$11))/2,Simulador!$B$9)))</f>
        <v/>
      </c>
      <c r="R22" s="48">
        <f>IF(OR((($A22-(Simulador!$E$9+'Salto de dientes'!$B$12))/Simulador!$G$9)&lt;=0,(($A22-(Simulador!$E$9+'Salto de dientes'!$B$12))/Simulador!$G$9)&gt;=1),0,IF((($A22-(Simulador!$E$9+'Salto de dientes'!$B$12))/Simulador!$G$9)&lt;Simulador!$B$11,Simulador!$B$10*(1-COS(PI()*(($A22-(Simulador!$E$9+'Salto de dientes'!$B$12))/Simulador!$G$9)/Simulador!$B$11))/2,IF((($A22-(Simulador!$E$9+'Salto de dientes'!$B$12))/Simulador!$G$9)&gt;1-Simulador!$B$11,Simulador!$B$10*(1-COS(PI()*(1-(($A22-(Simulador!$E$9+'Salto de dientes'!$B$12))/Simulador!$G$9))/Simulador!$B$11))/2,Simulador!$B$10)))</f>
        <v/>
      </c>
      <c r="W22" t="n">
        <v>-120</v>
      </c>
      <c r="X22" s="48">
        <f>('Levas superpuestas'!$B$5+IF(OR(((W22-('Levas superpuestas'!$B$14-'Levas superpuestas'!$B$8/4))/('Levas superpuestas'!$B$8/2))&lt;=0,((W22-('Levas superpuestas'!$B$14-'Levas superpuestas'!$B$8/4))/('Levas superpuestas'!$B$8/2))&gt;=1),0,IF(((W22-('Levas superpuestas'!$B$14-'Levas superpuestas'!$B$8/4))/('Levas superpuestas'!$B$8/2))&lt;Simulador!$B$11,Simulador!$B$9*(1-COS(PI()*((W22-('Levas superpuestas'!$B$14-'Levas superpuestas'!$B$8/4))/('Levas superpuestas'!$B$8/2))/Simulador!$B$11))/2,IF(((W22-('Levas superpuestas'!$B$14-'Levas superpuestas'!$B$8/4))/('Levas superpuestas'!$B$8/2))&gt;1-Simulador!$B$11,Simulador!$B$9*(1-COS(PI()*(1-((W22-('Levas superpuestas'!$B$14-'Levas superpuestas'!$B$8/4))/('Levas superpuestas'!$B$8/2)))/Simulador!$B$11))/2,Simulador!$B$9))))*SIN(RADIANS(W22))</f>
        <v/>
      </c>
      <c r="Y22" s="48">
        <f>('Levas superpuestas'!$B$5+IF(OR(((W22-('Levas superpuestas'!$B$14-'Levas superpuestas'!$B$8/4))/('Levas superpuestas'!$B$8/2))&lt;=0,((W22-('Levas superpuestas'!$B$14-'Levas superpuestas'!$B$8/4))/('Levas superpuestas'!$B$8/2))&gt;=1),0,IF(((W22-('Levas superpuestas'!$B$14-'Levas superpuestas'!$B$8/4))/('Levas superpuestas'!$B$8/2))&lt;Simulador!$B$11,Simulador!$B$9*(1-COS(PI()*((W22-('Levas superpuestas'!$B$14-'Levas superpuestas'!$B$8/4))/('Levas superpuestas'!$B$8/2))/Simulador!$B$11))/2,IF(((W22-('Levas superpuestas'!$B$14-'Levas superpuestas'!$B$8/4))/('Levas superpuestas'!$B$8/2))&gt;1-Simulador!$B$11,Simulador!$B$9*(1-COS(PI()*(1-((W22-('Levas superpuestas'!$B$14-'Levas superpuestas'!$B$8/4))/('Levas superpuestas'!$B$8/2)))/Simulador!$B$11))/2,Simulador!$B$9))))*COS(RADIANS(W22))</f>
        <v/>
      </c>
      <c r="Z22" s="48">
        <f>('Levas superpuestas'!$B$5+IF(OR(((W22-('Levas superpuestas'!$B$15-'Levas superpuestas'!$B$9/4))/('Levas superpuestas'!$B$9/2))&lt;=0,((W22-('Levas superpuestas'!$B$15-'Levas superpuestas'!$B$9/4))/('Levas superpuestas'!$B$9/2))&gt;=1),0,IF(((W22-('Levas superpuestas'!$B$15-'Levas superpuestas'!$B$9/4))/('Levas superpuestas'!$B$9/2))&lt;Simulador!$B$11,Simulador!$B$10*(1-COS(PI()*((W22-('Levas superpuestas'!$B$15-'Levas superpuestas'!$B$9/4))/('Levas superpuestas'!$B$9/2))/Simulador!$B$11))/2,IF(((W22-('Levas superpuestas'!$B$15-'Levas superpuestas'!$B$9/4))/('Levas superpuestas'!$B$9/2))&gt;1-Simulador!$B$11,Simulador!$B$10*(1-COS(PI()*(1-((W22-('Levas superpuestas'!$B$15-'Levas superpuestas'!$B$9/4))/('Levas superpuestas'!$B$9/2)))/Simulador!$B$11))/2,Simulador!$B$10))))*SIN(RADIANS(W22))</f>
        <v/>
      </c>
      <c r="AA22" s="48">
        <f>('Levas superpuestas'!$B$5+IF(OR(((W22-('Levas superpuestas'!$B$15-'Levas superpuestas'!$B$9/4))/('Levas superpuestas'!$B$9/2))&lt;=0,((W22-('Levas superpuestas'!$B$15-'Levas superpuestas'!$B$9/4))/('Levas superpuestas'!$B$9/2))&gt;=1),0,IF(((W22-('Levas superpuestas'!$B$15-'Levas superpuestas'!$B$9/4))/('Levas superpuestas'!$B$9/2))&lt;Simulador!$B$11,Simulador!$B$10*(1-COS(PI()*((W22-('Levas superpuestas'!$B$15-'Levas superpuestas'!$B$9/4))/('Levas superpuestas'!$B$9/2))/Simulador!$B$11))/2,IF(((W22-('Levas superpuestas'!$B$15-'Levas superpuestas'!$B$9/4))/('Levas superpuestas'!$B$9/2))&gt;1-Simulador!$B$11,Simulador!$B$10*(1-COS(PI()*(1-((W22-('Levas superpuestas'!$B$15-'Levas superpuestas'!$B$9/4))/('Levas superpuestas'!$B$9/2)))/Simulador!$B$11))/2,Simulador!$B$10))))*COS(RADIANS(W22))</f>
        <v/>
      </c>
      <c r="AB22">
        <f>'Levas superpuestas'!$B$5*SIN(RADIANS(W22))</f>
        <v/>
      </c>
      <c r="AC22">
        <f>'Levas superpuestas'!$B$5*COS(RADIANS(W22))</f>
        <v/>
      </c>
      <c r="AL22">
        <f>0.55*'Levas superpuestas'!$B$5*SIN(RADIANS((('Levas superpuestas'!$B$15-'Levas superpuestas'!$B$9/4)+20/20*(('Levas superpuestas'!$B$14+'Levas superpuestas'!$B$8/4)-('Levas superpuestas'!$B$15-'Levas superpuestas'!$B$9/4)))))</f>
        <v/>
      </c>
      <c r="AM22">
        <f>0.55*'Levas superpuestas'!$B$5*COS(RADIANS((('Levas superpuestas'!$B$15-'Levas superpuestas'!$B$9/4)+20/20*(('Levas superpuestas'!$B$14+'Levas superpuestas'!$B$8/4)-('Levas superpuestas'!$B$15-'Levas superpuestas'!$B$9/4)))))</f>
        <v/>
      </c>
    </row>
    <row r="23">
      <c r="A23" s="26">
        <f>A22+Simulador!$B$14</f>
        <v/>
      </c>
      <c r="B23" s="46">
        <f>IF(OR((($A23-Simulador!$E$5)/Simulador!$G$5)&lt;=0,(($A23-Simulador!$E$5)/Simulador!$G$5)&gt;=1),0,IF((($A23-Simulador!$E$5)/Simulador!$G$5)&lt;Simulador!$B$11,Simulador!$B$9*(1-COS(PI()*(($A23-Simulador!$E$5)/Simulador!$G$5)/Simulador!$B$11))/2,IF((($A23-Simulador!$E$5)/Simulador!$G$5)&gt;1-Simulador!$B$11,Simulador!$B$9*(1-COS(PI()*(1-(($A23-Simulador!$E$5)/Simulador!$G$5))/Simulador!$B$11))/2,Simulador!$B$9)))</f>
        <v/>
      </c>
      <c r="C23" s="46">
        <f>IF(OR((($A23-Simulador!$E$6)/Simulador!$G$6)&lt;=0,(($A23-Simulador!$E$6)/Simulador!$G$6)&gt;=1),0,IF((($A23-Simulador!$E$6)/Simulador!$G$6)&lt;Simulador!$B$11,Simulador!$B$9*(1-COS(PI()*(($A23-Simulador!$E$6)/Simulador!$G$6)/Simulador!$B$11))/2,IF((($A23-Simulador!$E$6)/Simulador!$G$6)&gt;1-Simulador!$B$11,Simulador!$B$9*(1-COS(PI()*(1-(($A23-Simulador!$E$6)/Simulador!$G$6))/Simulador!$B$11))/2,Simulador!$B$9)))</f>
        <v/>
      </c>
      <c r="D23" s="46">
        <f>IF(OR((($A23-Simulador!$E$7)/Simulador!$G$7)&lt;=0,(($A23-Simulador!$E$7)/Simulador!$G$7)&gt;=1),0,IF((($A23-Simulador!$E$7)/Simulador!$G$7)&lt;Simulador!$B$11,Simulador!$B$9*(1-COS(PI()*(($A23-Simulador!$E$7)/Simulador!$G$7)/Simulador!$B$11))/2,IF((($A23-Simulador!$E$7)/Simulador!$G$7)&gt;1-Simulador!$B$11,Simulador!$B$9*(1-COS(PI()*(1-(($A23-Simulador!$E$7)/Simulador!$G$7))/Simulador!$B$11))/2,Simulador!$B$9)))</f>
        <v/>
      </c>
      <c r="E23" s="46">
        <f>IF(OR((($A23-Simulador!$E$8)/Simulador!$G$8)&lt;=0,(($A23-Simulador!$E$8)/Simulador!$G$8)&gt;=1),0,IF((($A23-Simulador!$E$8)/Simulador!$G$8)&lt;Simulador!$B$11,Simulador!$B$10*(1-COS(PI()*(($A23-Simulador!$E$8)/Simulador!$G$8)/Simulador!$B$11))/2,IF((($A23-Simulador!$E$8)/Simulador!$G$8)&gt;1-Simulador!$B$11,Simulador!$B$10*(1-COS(PI()*(1-(($A23-Simulador!$E$8)/Simulador!$G$8))/Simulador!$B$11))/2,Simulador!$B$10)))</f>
        <v/>
      </c>
      <c r="F23" s="46">
        <f>IF(OR((($A23-Simulador!$E$9)/Simulador!$G$9)&lt;=0,(($A23-Simulador!$E$9)/Simulador!$G$9)&gt;=1),0,IF((($A23-Simulador!$E$9)/Simulador!$G$9)&lt;Simulador!$B$11,Simulador!$B$10*(1-COS(PI()*(($A23-Simulador!$E$9)/Simulador!$G$9)/Simulador!$B$11))/2,IF((($A23-Simulador!$E$9)/Simulador!$G$9)&gt;1-Simulador!$B$11,Simulador!$B$10*(1-COS(PI()*(1-(($A23-Simulador!$E$9)/Simulador!$G$9))/Simulador!$B$11))/2,Simulador!$B$10)))</f>
        <v/>
      </c>
      <c r="G23" s="46">
        <f>IF(OR((($A23-Simulador!$E$10)/Simulador!$G$10)&lt;=0,(($A23-Simulador!$E$10)/Simulador!$G$10)&gt;=1),0,IF((($A23-Simulador!$E$10)/Simulador!$G$10)&lt;Simulador!$B$11,Simulador!$B$10*(1-COS(PI()*(($A23-Simulador!$E$10)/Simulador!$G$10)/Simulador!$B$11))/2,IF((($A23-Simulador!$E$10)/Simulador!$G$10)&gt;1-Simulador!$B$11,Simulador!$B$10*(1-COS(PI()*(1-(($A23-Simulador!$E$10)/Simulador!$G$10))/Simulador!$B$11))/2,Simulador!$B$10)))</f>
        <v/>
      </c>
      <c r="Q23" s="48">
        <f>IF(OR((($A23-(Simulador!$E$6+'Salto de dientes'!$B$12))/Simulador!$G$6)&lt;=0,(($A23-(Simulador!$E$6+'Salto de dientes'!$B$12))/Simulador!$G$6)&gt;=1),0,IF((($A23-(Simulador!$E$6+'Salto de dientes'!$B$12))/Simulador!$G$6)&lt;Simulador!$B$11,Simulador!$B$9*(1-COS(PI()*(($A23-(Simulador!$E$6+'Salto de dientes'!$B$12))/Simulador!$G$6)/Simulador!$B$11))/2,IF((($A23-(Simulador!$E$6+'Salto de dientes'!$B$12))/Simulador!$G$6)&gt;1-Simulador!$B$11,Simulador!$B$9*(1-COS(PI()*(1-(($A23-(Simulador!$E$6+'Salto de dientes'!$B$12))/Simulador!$G$6))/Simulador!$B$11))/2,Simulador!$B$9)))</f>
        <v/>
      </c>
      <c r="R23" s="48">
        <f>IF(OR((($A23-(Simulador!$E$9+'Salto de dientes'!$B$12))/Simulador!$G$9)&lt;=0,(($A23-(Simulador!$E$9+'Salto de dientes'!$B$12))/Simulador!$G$9)&gt;=1),0,IF((($A23-(Simulador!$E$9+'Salto de dientes'!$B$12))/Simulador!$G$9)&lt;Simulador!$B$11,Simulador!$B$10*(1-COS(PI()*(($A23-(Simulador!$E$9+'Salto de dientes'!$B$12))/Simulador!$G$9)/Simulador!$B$11))/2,IF((($A23-(Simulador!$E$9+'Salto de dientes'!$B$12))/Simulador!$G$9)&gt;1-Simulador!$B$11,Simulador!$B$10*(1-COS(PI()*(1-(($A23-(Simulador!$E$9+'Salto de dientes'!$B$12))/Simulador!$G$9))/Simulador!$B$11))/2,Simulador!$B$10)))</f>
        <v/>
      </c>
      <c r="W23" t="n">
        <v>-117</v>
      </c>
      <c r="X23" s="48">
        <f>('Levas superpuestas'!$B$5+IF(OR(((W23-('Levas superpuestas'!$B$14-'Levas superpuestas'!$B$8/4))/('Levas superpuestas'!$B$8/2))&lt;=0,((W23-('Levas superpuestas'!$B$14-'Levas superpuestas'!$B$8/4))/('Levas superpuestas'!$B$8/2))&gt;=1),0,IF(((W23-('Levas superpuestas'!$B$14-'Levas superpuestas'!$B$8/4))/('Levas superpuestas'!$B$8/2))&lt;Simulador!$B$11,Simulador!$B$9*(1-COS(PI()*((W23-('Levas superpuestas'!$B$14-'Levas superpuestas'!$B$8/4))/('Levas superpuestas'!$B$8/2))/Simulador!$B$11))/2,IF(((W23-('Levas superpuestas'!$B$14-'Levas superpuestas'!$B$8/4))/('Levas superpuestas'!$B$8/2))&gt;1-Simulador!$B$11,Simulador!$B$9*(1-COS(PI()*(1-((W23-('Levas superpuestas'!$B$14-'Levas superpuestas'!$B$8/4))/('Levas superpuestas'!$B$8/2)))/Simulador!$B$11))/2,Simulador!$B$9))))*SIN(RADIANS(W23))</f>
        <v/>
      </c>
      <c r="Y23" s="48">
        <f>('Levas superpuestas'!$B$5+IF(OR(((W23-('Levas superpuestas'!$B$14-'Levas superpuestas'!$B$8/4))/('Levas superpuestas'!$B$8/2))&lt;=0,((W23-('Levas superpuestas'!$B$14-'Levas superpuestas'!$B$8/4))/('Levas superpuestas'!$B$8/2))&gt;=1),0,IF(((W23-('Levas superpuestas'!$B$14-'Levas superpuestas'!$B$8/4))/('Levas superpuestas'!$B$8/2))&lt;Simulador!$B$11,Simulador!$B$9*(1-COS(PI()*((W23-('Levas superpuestas'!$B$14-'Levas superpuestas'!$B$8/4))/('Levas superpuestas'!$B$8/2))/Simulador!$B$11))/2,IF(((W23-('Levas superpuestas'!$B$14-'Levas superpuestas'!$B$8/4))/('Levas superpuestas'!$B$8/2))&gt;1-Simulador!$B$11,Simulador!$B$9*(1-COS(PI()*(1-((W23-('Levas superpuestas'!$B$14-'Levas superpuestas'!$B$8/4))/('Levas superpuestas'!$B$8/2)))/Simulador!$B$11))/2,Simulador!$B$9))))*COS(RADIANS(W23))</f>
        <v/>
      </c>
      <c r="Z23" s="48">
        <f>('Levas superpuestas'!$B$5+IF(OR(((W23-('Levas superpuestas'!$B$15-'Levas superpuestas'!$B$9/4))/('Levas superpuestas'!$B$9/2))&lt;=0,((W23-('Levas superpuestas'!$B$15-'Levas superpuestas'!$B$9/4))/('Levas superpuestas'!$B$9/2))&gt;=1),0,IF(((W23-('Levas superpuestas'!$B$15-'Levas superpuestas'!$B$9/4))/('Levas superpuestas'!$B$9/2))&lt;Simulador!$B$11,Simulador!$B$10*(1-COS(PI()*((W23-('Levas superpuestas'!$B$15-'Levas superpuestas'!$B$9/4))/('Levas superpuestas'!$B$9/2))/Simulador!$B$11))/2,IF(((W23-('Levas superpuestas'!$B$15-'Levas superpuestas'!$B$9/4))/('Levas superpuestas'!$B$9/2))&gt;1-Simulador!$B$11,Simulador!$B$10*(1-COS(PI()*(1-((W23-('Levas superpuestas'!$B$15-'Levas superpuestas'!$B$9/4))/('Levas superpuestas'!$B$9/2)))/Simulador!$B$11))/2,Simulador!$B$10))))*SIN(RADIANS(W23))</f>
        <v/>
      </c>
      <c r="AA23" s="48">
        <f>('Levas superpuestas'!$B$5+IF(OR(((W23-('Levas superpuestas'!$B$15-'Levas superpuestas'!$B$9/4))/('Levas superpuestas'!$B$9/2))&lt;=0,((W23-('Levas superpuestas'!$B$15-'Levas superpuestas'!$B$9/4))/('Levas superpuestas'!$B$9/2))&gt;=1),0,IF(((W23-('Levas superpuestas'!$B$15-'Levas superpuestas'!$B$9/4))/('Levas superpuestas'!$B$9/2))&lt;Simulador!$B$11,Simulador!$B$10*(1-COS(PI()*((W23-('Levas superpuestas'!$B$15-'Levas superpuestas'!$B$9/4))/('Levas superpuestas'!$B$9/2))/Simulador!$B$11))/2,IF(((W23-('Levas superpuestas'!$B$15-'Levas superpuestas'!$B$9/4))/('Levas superpuestas'!$B$9/2))&gt;1-Simulador!$B$11,Simulador!$B$10*(1-COS(PI()*(1-((W23-('Levas superpuestas'!$B$15-'Levas superpuestas'!$B$9/4))/('Levas superpuestas'!$B$9/2)))/Simulador!$B$11))/2,Simulador!$B$10))))*COS(RADIANS(W23))</f>
        <v/>
      </c>
      <c r="AB23">
        <f>'Levas superpuestas'!$B$5*SIN(RADIANS(W23))</f>
        <v/>
      </c>
      <c r="AC23">
        <f>'Levas superpuestas'!$B$5*COS(RADIANS(W23))</f>
        <v/>
      </c>
    </row>
    <row r="24">
      <c r="A24" s="26">
        <f>A23+Simulador!$B$14</f>
        <v/>
      </c>
      <c r="B24" s="46">
        <f>IF(OR((($A24-Simulador!$E$5)/Simulador!$G$5)&lt;=0,(($A24-Simulador!$E$5)/Simulador!$G$5)&gt;=1),0,IF((($A24-Simulador!$E$5)/Simulador!$G$5)&lt;Simulador!$B$11,Simulador!$B$9*(1-COS(PI()*(($A24-Simulador!$E$5)/Simulador!$G$5)/Simulador!$B$11))/2,IF((($A24-Simulador!$E$5)/Simulador!$G$5)&gt;1-Simulador!$B$11,Simulador!$B$9*(1-COS(PI()*(1-(($A24-Simulador!$E$5)/Simulador!$G$5))/Simulador!$B$11))/2,Simulador!$B$9)))</f>
        <v/>
      </c>
      <c r="C24" s="46">
        <f>IF(OR((($A24-Simulador!$E$6)/Simulador!$G$6)&lt;=0,(($A24-Simulador!$E$6)/Simulador!$G$6)&gt;=1),0,IF((($A24-Simulador!$E$6)/Simulador!$G$6)&lt;Simulador!$B$11,Simulador!$B$9*(1-COS(PI()*(($A24-Simulador!$E$6)/Simulador!$G$6)/Simulador!$B$11))/2,IF((($A24-Simulador!$E$6)/Simulador!$G$6)&gt;1-Simulador!$B$11,Simulador!$B$9*(1-COS(PI()*(1-(($A24-Simulador!$E$6)/Simulador!$G$6))/Simulador!$B$11))/2,Simulador!$B$9)))</f>
        <v/>
      </c>
      <c r="D24" s="46">
        <f>IF(OR((($A24-Simulador!$E$7)/Simulador!$G$7)&lt;=0,(($A24-Simulador!$E$7)/Simulador!$G$7)&gt;=1),0,IF((($A24-Simulador!$E$7)/Simulador!$G$7)&lt;Simulador!$B$11,Simulador!$B$9*(1-COS(PI()*(($A24-Simulador!$E$7)/Simulador!$G$7)/Simulador!$B$11))/2,IF((($A24-Simulador!$E$7)/Simulador!$G$7)&gt;1-Simulador!$B$11,Simulador!$B$9*(1-COS(PI()*(1-(($A24-Simulador!$E$7)/Simulador!$G$7))/Simulador!$B$11))/2,Simulador!$B$9)))</f>
        <v/>
      </c>
      <c r="E24" s="46">
        <f>IF(OR((($A24-Simulador!$E$8)/Simulador!$G$8)&lt;=0,(($A24-Simulador!$E$8)/Simulador!$G$8)&gt;=1),0,IF((($A24-Simulador!$E$8)/Simulador!$G$8)&lt;Simulador!$B$11,Simulador!$B$10*(1-COS(PI()*(($A24-Simulador!$E$8)/Simulador!$G$8)/Simulador!$B$11))/2,IF((($A24-Simulador!$E$8)/Simulador!$G$8)&gt;1-Simulador!$B$11,Simulador!$B$10*(1-COS(PI()*(1-(($A24-Simulador!$E$8)/Simulador!$G$8))/Simulador!$B$11))/2,Simulador!$B$10)))</f>
        <v/>
      </c>
      <c r="F24" s="46">
        <f>IF(OR((($A24-Simulador!$E$9)/Simulador!$G$9)&lt;=0,(($A24-Simulador!$E$9)/Simulador!$G$9)&gt;=1),0,IF((($A24-Simulador!$E$9)/Simulador!$G$9)&lt;Simulador!$B$11,Simulador!$B$10*(1-COS(PI()*(($A24-Simulador!$E$9)/Simulador!$G$9)/Simulador!$B$11))/2,IF((($A24-Simulador!$E$9)/Simulador!$G$9)&gt;1-Simulador!$B$11,Simulador!$B$10*(1-COS(PI()*(1-(($A24-Simulador!$E$9)/Simulador!$G$9))/Simulador!$B$11))/2,Simulador!$B$10)))</f>
        <v/>
      </c>
      <c r="G24" s="46">
        <f>IF(OR((($A24-Simulador!$E$10)/Simulador!$G$10)&lt;=0,(($A24-Simulador!$E$10)/Simulador!$G$10)&gt;=1),0,IF((($A24-Simulador!$E$10)/Simulador!$G$10)&lt;Simulador!$B$11,Simulador!$B$10*(1-COS(PI()*(($A24-Simulador!$E$10)/Simulador!$G$10)/Simulador!$B$11))/2,IF((($A24-Simulador!$E$10)/Simulador!$G$10)&gt;1-Simulador!$B$11,Simulador!$B$10*(1-COS(PI()*(1-(($A24-Simulador!$E$10)/Simulador!$G$10))/Simulador!$B$11))/2,Simulador!$B$10)))</f>
        <v/>
      </c>
      <c r="Q24" s="48">
        <f>IF(OR((($A24-(Simulador!$E$6+'Salto de dientes'!$B$12))/Simulador!$G$6)&lt;=0,(($A24-(Simulador!$E$6+'Salto de dientes'!$B$12))/Simulador!$G$6)&gt;=1),0,IF((($A24-(Simulador!$E$6+'Salto de dientes'!$B$12))/Simulador!$G$6)&lt;Simulador!$B$11,Simulador!$B$9*(1-COS(PI()*(($A24-(Simulador!$E$6+'Salto de dientes'!$B$12))/Simulador!$G$6)/Simulador!$B$11))/2,IF((($A24-(Simulador!$E$6+'Salto de dientes'!$B$12))/Simulador!$G$6)&gt;1-Simulador!$B$11,Simulador!$B$9*(1-COS(PI()*(1-(($A24-(Simulador!$E$6+'Salto de dientes'!$B$12))/Simulador!$G$6))/Simulador!$B$11))/2,Simulador!$B$9)))</f>
        <v/>
      </c>
      <c r="R24" s="48">
        <f>IF(OR((($A24-(Simulador!$E$9+'Salto de dientes'!$B$12))/Simulador!$G$9)&lt;=0,(($A24-(Simulador!$E$9+'Salto de dientes'!$B$12))/Simulador!$G$9)&gt;=1),0,IF((($A24-(Simulador!$E$9+'Salto de dientes'!$B$12))/Simulador!$G$9)&lt;Simulador!$B$11,Simulador!$B$10*(1-COS(PI()*(($A24-(Simulador!$E$9+'Salto de dientes'!$B$12))/Simulador!$G$9)/Simulador!$B$11))/2,IF((($A24-(Simulador!$E$9+'Salto de dientes'!$B$12))/Simulador!$G$9)&gt;1-Simulador!$B$11,Simulador!$B$10*(1-COS(PI()*(1-(($A24-(Simulador!$E$9+'Salto de dientes'!$B$12))/Simulador!$G$9))/Simulador!$B$11))/2,Simulador!$B$10)))</f>
        <v/>
      </c>
      <c r="W24" t="n">
        <v>-114</v>
      </c>
      <c r="X24" s="48">
        <f>('Levas superpuestas'!$B$5+IF(OR(((W24-('Levas superpuestas'!$B$14-'Levas superpuestas'!$B$8/4))/('Levas superpuestas'!$B$8/2))&lt;=0,((W24-('Levas superpuestas'!$B$14-'Levas superpuestas'!$B$8/4))/('Levas superpuestas'!$B$8/2))&gt;=1),0,IF(((W24-('Levas superpuestas'!$B$14-'Levas superpuestas'!$B$8/4))/('Levas superpuestas'!$B$8/2))&lt;Simulador!$B$11,Simulador!$B$9*(1-COS(PI()*((W24-('Levas superpuestas'!$B$14-'Levas superpuestas'!$B$8/4))/('Levas superpuestas'!$B$8/2))/Simulador!$B$11))/2,IF(((W24-('Levas superpuestas'!$B$14-'Levas superpuestas'!$B$8/4))/('Levas superpuestas'!$B$8/2))&gt;1-Simulador!$B$11,Simulador!$B$9*(1-COS(PI()*(1-((W24-('Levas superpuestas'!$B$14-'Levas superpuestas'!$B$8/4))/('Levas superpuestas'!$B$8/2)))/Simulador!$B$11))/2,Simulador!$B$9))))*SIN(RADIANS(W24))</f>
        <v/>
      </c>
      <c r="Y24" s="48">
        <f>('Levas superpuestas'!$B$5+IF(OR(((W24-('Levas superpuestas'!$B$14-'Levas superpuestas'!$B$8/4))/('Levas superpuestas'!$B$8/2))&lt;=0,((W24-('Levas superpuestas'!$B$14-'Levas superpuestas'!$B$8/4))/('Levas superpuestas'!$B$8/2))&gt;=1),0,IF(((W24-('Levas superpuestas'!$B$14-'Levas superpuestas'!$B$8/4))/('Levas superpuestas'!$B$8/2))&lt;Simulador!$B$11,Simulador!$B$9*(1-COS(PI()*((W24-('Levas superpuestas'!$B$14-'Levas superpuestas'!$B$8/4))/('Levas superpuestas'!$B$8/2))/Simulador!$B$11))/2,IF(((W24-('Levas superpuestas'!$B$14-'Levas superpuestas'!$B$8/4))/('Levas superpuestas'!$B$8/2))&gt;1-Simulador!$B$11,Simulador!$B$9*(1-COS(PI()*(1-((W24-('Levas superpuestas'!$B$14-'Levas superpuestas'!$B$8/4))/('Levas superpuestas'!$B$8/2)))/Simulador!$B$11))/2,Simulador!$B$9))))*COS(RADIANS(W24))</f>
        <v/>
      </c>
      <c r="Z24" s="48">
        <f>('Levas superpuestas'!$B$5+IF(OR(((W24-('Levas superpuestas'!$B$15-'Levas superpuestas'!$B$9/4))/('Levas superpuestas'!$B$9/2))&lt;=0,((W24-('Levas superpuestas'!$B$15-'Levas superpuestas'!$B$9/4))/('Levas superpuestas'!$B$9/2))&gt;=1),0,IF(((W24-('Levas superpuestas'!$B$15-'Levas superpuestas'!$B$9/4))/('Levas superpuestas'!$B$9/2))&lt;Simulador!$B$11,Simulador!$B$10*(1-COS(PI()*((W24-('Levas superpuestas'!$B$15-'Levas superpuestas'!$B$9/4))/('Levas superpuestas'!$B$9/2))/Simulador!$B$11))/2,IF(((W24-('Levas superpuestas'!$B$15-'Levas superpuestas'!$B$9/4))/('Levas superpuestas'!$B$9/2))&gt;1-Simulador!$B$11,Simulador!$B$10*(1-COS(PI()*(1-((W24-('Levas superpuestas'!$B$15-'Levas superpuestas'!$B$9/4))/('Levas superpuestas'!$B$9/2)))/Simulador!$B$11))/2,Simulador!$B$10))))*SIN(RADIANS(W24))</f>
        <v/>
      </c>
      <c r="AA24" s="48">
        <f>('Levas superpuestas'!$B$5+IF(OR(((W24-('Levas superpuestas'!$B$15-'Levas superpuestas'!$B$9/4))/('Levas superpuestas'!$B$9/2))&lt;=0,((W24-('Levas superpuestas'!$B$15-'Levas superpuestas'!$B$9/4))/('Levas superpuestas'!$B$9/2))&gt;=1),0,IF(((W24-('Levas superpuestas'!$B$15-'Levas superpuestas'!$B$9/4))/('Levas superpuestas'!$B$9/2))&lt;Simulador!$B$11,Simulador!$B$10*(1-COS(PI()*((W24-('Levas superpuestas'!$B$15-'Levas superpuestas'!$B$9/4))/('Levas superpuestas'!$B$9/2))/Simulador!$B$11))/2,IF(((W24-('Levas superpuestas'!$B$15-'Levas superpuestas'!$B$9/4))/('Levas superpuestas'!$B$9/2))&gt;1-Simulador!$B$11,Simulador!$B$10*(1-COS(PI()*(1-((W24-('Levas superpuestas'!$B$15-'Levas superpuestas'!$B$9/4))/('Levas superpuestas'!$B$9/2)))/Simulador!$B$11))/2,Simulador!$B$10))))*COS(RADIANS(W24))</f>
        <v/>
      </c>
      <c r="AB24">
        <f>'Levas superpuestas'!$B$5*SIN(RADIANS(W24))</f>
        <v/>
      </c>
      <c r="AC24">
        <f>'Levas superpuestas'!$B$5*COS(RADIANS(W24))</f>
        <v/>
      </c>
    </row>
    <row r="25">
      <c r="A25" s="26">
        <f>A24+Simulador!$B$14</f>
        <v/>
      </c>
      <c r="B25" s="46">
        <f>IF(OR((($A25-Simulador!$E$5)/Simulador!$G$5)&lt;=0,(($A25-Simulador!$E$5)/Simulador!$G$5)&gt;=1),0,IF((($A25-Simulador!$E$5)/Simulador!$G$5)&lt;Simulador!$B$11,Simulador!$B$9*(1-COS(PI()*(($A25-Simulador!$E$5)/Simulador!$G$5)/Simulador!$B$11))/2,IF((($A25-Simulador!$E$5)/Simulador!$G$5)&gt;1-Simulador!$B$11,Simulador!$B$9*(1-COS(PI()*(1-(($A25-Simulador!$E$5)/Simulador!$G$5))/Simulador!$B$11))/2,Simulador!$B$9)))</f>
        <v/>
      </c>
      <c r="C25" s="46">
        <f>IF(OR((($A25-Simulador!$E$6)/Simulador!$G$6)&lt;=0,(($A25-Simulador!$E$6)/Simulador!$G$6)&gt;=1),0,IF((($A25-Simulador!$E$6)/Simulador!$G$6)&lt;Simulador!$B$11,Simulador!$B$9*(1-COS(PI()*(($A25-Simulador!$E$6)/Simulador!$G$6)/Simulador!$B$11))/2,IF((($A25-Simulador!$E$6)/Simulador!$G$6)&gt;1-Simulador!$B$11,Simulador!$B$9*(1-COS(PI()*(1-(($A25-Simulador!$E$6)/Simulador!$G$6))/Simulador!$B$11))/2,Simulador!$B$9)))</f>
        <v/>
      </c>
      <c r="D25" s="46">
        <f>IF(OR((($A25-Simulador!$E$7)/Simulador!$G$7)&lt;=0,(($A25-Simulador!$E$7)/Simulador!$G$7)&gt;=1),0,IF((($A25-Simulador!$E$7)/Simulador!$G$7)&lt;Simulador!$B$11,Simulador!$B$9*(1-COS(PI()*(($A25-Simulador!$E$7)/Simulador!$G$7)/Simulador!$B$11))/2,IF((($A25-Simulador!$E$7)/Simulador!$G$7)&gt;1-Simulador!$B$11,Simulador!$B$9*(1-COS(PI()*(1-(($A25-Simulador!$E$7)/Simulador!$G$7))/Simulador!$B$11))/2,Simulador!$B$9)))</f>
        <v/>
      </c>
      <c r="E25" s="46">
        <f>IF(OR((($A25-Simulador!$E$8)/Simulador!$G$8)&lt;=0,(($A25-Simulador!$E$8)/Simulador!$G$8)&gt;=1),0,IF((($A25-Simulador!$E$8)/Simulador!$G$8)&lt;Simulador!$B$11,Simulador!$B$10*(1-COS(PI()*(($A25-Simulador!$E$8)/Simulador!$G$8)/Simulador!$B$11))/2,IF((($A25-Simulador!$E$8)/Simulador!$G$8)&gt;1-Simulador!$B$11,Simulador!$B$10*(1-COS(PI()*(1-(($A25-Simulador!$E$8)/Simulador!$G$8))/Simulador!$B$11))/2,Simulador!$B$10)))</f>
        <v/>
      </c>
      <c r="F25" s="46">
        <f>IF(OR((($A25-Simulador!$E$9)/Simulador!$G$9)&lt;=0,(($A25-Simulador!$E$9)/Simulador!$G$9)&gt;=1),0,IF((($A25-Simulador!$E$9)/Simulador!$G$9)&lt;Simulador!$B$11,Simulador!$B$10*(1-COS(PI()*(($A25-Simulador!$E$9)/Simulador!$G$9)/Simulador!$B$11))/2,IF((($A25-Simulador!$E$9)/Simulador!$G$9)&gt;1-Simulador!$B$11,Simulador!$B$10*(1-COS(PI()*(1-(($A25-Simulador!$E$9)/Simulador!$G$9))/Simulador!$B$11))/2,Simulador!$B$10)))</f>
        <v/>
      </c>
      <c r="G25" s="46">
        <f>IF(OR((($A25-Simulador!$E$10)/Simulador!$G$10)&lt;=0,(($A25-Simulador!$E$10)/Simulador!$G$10)&gt;=1),0,IF((($A25-Simulador!$E$10)/Simulador!$G$10)&lt;Simulador!$B$11,Simulador!$B$10*(1-COS(PI()*(($A25-Simulador!$E$10)/Simulador!$G$10)/Simulador!$B$11))/2,IF((($A25-Simulador!$E$10)/Simulador!$G$10)&gt;1-Simulador!$B$11,Simulador!$B$10*(1-COS(PI()*(1-(($A25-Simulador!$E$10)/Simulador!$G$10))/Simulador!$B$11))/2,Simulador!$B$10)))</f>
        <v/>
      </c>
      <c r="Q25" s="48">
        <f>IF(OR((($A25-(Simulador!$E$6+'Salto de dientes'!$B$12))/Simulador!$G$6)&lt;=0,(($A25-(Simulador!$E$6+'Salto de dientes'!$B$12))/Simulador!$G$6)&gt;=1),0,IF((($A25-(Simulador!$E$6+'Salto de dientes'!$B$12))/Simulador!$G$6)&lt;Simulador!$B$11,Simulador!$B$9*(1-COS(PI()*(($A25-(Simulador!$E$6+'Salto de dientes'!$B$12))/Simulador!$G$6)/Simulador!$B$11))/2,IF((($A25-(Simulador!$E$6+'Salto de dientes'!$B$12))/Simulador!$G$6)&gt;1-Simulador!$B$11,Simulador!$B$9*(1-COS(PI()*(1-(($A25-(Simulador!$E$6+'Salto de dientes'!$B$12))/Simulador!$G$6))/Simulador!$B$11))/2,Simulador!$B$9)))</f>
        <v/>
      </c>
      <c r="R25" s="48">
        <f>IF(OR((($A25-(Simulador!$E$9+'Salto de dientes'!$B$12))/Simulador!$G$9)&lt;=0,(($A25-(Simulador!$E$9+'Salto de dientes'!$B$12))/Simulador!$G$9)&gt;=1),0,IF((($A25-(Simulador!$E$9+'Salto de dientes'!$B$12))/Simulador!$G$9)&lt;Simulador!$B$11,Simulador!$B$10*(1-COS(PI()*(($A25-(Simulador!$E$9+'Salto de dientes'!$B$12))/Simulador!$G$9)/Simulador!$B$11))/2,IF((($A25-(Simulador!$E$9+'Salto de dientes'!$B$12))/Simulador!$G$9)&gt;1-Simulador!$B$11,Simulador!$B$10*(1-COS(PI()*(1-(($A25-(Simulador!$E$9+'Salto de dientes'!$B$12))/Simulador!$G$9))/Simulador!$B$11))/2,Simulador!$B$10)))</f>
        <v/>
      </c>
      <c r="W25" t="n">
        <v>-111</v>
      </c>
      <c r="X25" s="48">
        <f>('Levas superpuestas'!$B$5+IF(OR(((W25-('Levas superpuestas'!$B$14-'Levas superpuestas'!$B$8/4))/('Levas superpuestas'!$B$8/2))&lt;=0,((W25-('Levas superpuestas'!$B$14-'Levas superpuestas'!$B$8/4))/('Levas superpuestas'!$B$8/2))&gt;=1),0,IF(((W25-('Levas superpuestas'!$B$14-'Levas superpuestas'!$B$8/4))/('Levas superpuestas'!$B$8/2))&lt;Simulador!$B$11,Simulador!$B$9*(1-COS(PI()*((W25-('Levas superpuestas'!$B$14-'Levas superpuestas'!$B$8/4))/('Levas superpuestas'!$B$8/2))/Simulador!$B$11))/2,IF(((W25-('Levas superpuestas'!$B$14-'Levas superpuestas'!$B$8/4))/('Levas superpuestas'!$B$8/2))&gt;1-Simulador!$B$11,Simulador!$B$9*(1-COS(PI()*(1-((W25-('Levas superpuestas'!$B$14-'Levas superpuestas'!$B$8/4))/('Levas superpuestas'!$B$8/2)))/Simulador!$B$11))/2,Simulador!$B$9))))*SIN(RADIANS(W25))</f>
        <v/>
      </c>
      <c r="Y25" s="48">
        <f>('Levas superpuestas'!$B$5+IF(OR(((W25-('Levas superpuestas'!$B$14-'Levas superpuestas'!$B$8/4))/('Levas superpuestas'!$B$8/2))&lt;=0,((W25-('Levas superpuestas'!$B$14-'Levas superpuestas'!$B$8/4))/('Levas superpuestas'!$B$8/2))&gt;=1),0,IF(((W25-('Levas superpuestas'!$B$14-'Levas superpuestas'!$B$8/4))/('Levas superpuestas'!$B$8/2))&lt;Simulador!$B$11,Simulador!$B$9*(1-COS(PI()*((W25-('Levas superpuestas'!$B$14-'Levas superpuestas'!$B$8/4))/('Levas superpuestas'!$B$8/2))/Simulador!$B$11))/2,IF(((W25-('Levas superpuestas'!$B$14-'Levas superpuestas'!$B$8/4))/('Levas superpuestas'!$B$8/2))&gt;1-Simulador!$B$11,Simulador!$B$9*(1-COS(PI()*(1-((W25-('Levas superpuestas'!$B$14-'Levas superpuestas'!$B$8/4))/('Levas superpuestas'!$B$8/2)))/Simulador!$B$11))/2,Simulador!$B$9))))*COS(RADIANS(W25))</f>
        <v/>
      </c>
      <c r="Z25" s="48">
        <f>('Levas superpuestas'!$B$5+IF(OR(((W25-('Levas superpuestas'!$B$15-'Levas superpuestas'!$B$9/4))/('Levas superpuestas'!$B$9/2))&lt;=0,((W25-('Levas superpuestas'!$B$15-'Levas superpuestas'!$B$9/4))/('Levas superpuestas'!$B$9/2))&gt;=1),0,IF(((W25-('Levas superpuestas'!$B$15-'Levas superpuestas'!$B$9/4))/('Levas superpuestas'!$B$9/2))&lt;Simulador!$B$11,Simulador!$B$10*(1-COS(PI()*((W25-('Levas superpuestas'!$B$15-'Levas superpuestas'!$B$9/4))/('Levas superpuestas'!$B$9/2))/Simulador!$B$11))/2,IF(((W25-('Levas superpuestas'!$B$15-'Levas superpuestas'!$B$9/4))/('Levas superpuestas'!$B$9/2))&gt;1-Simulador!$B$11,Simulador!$B$10*(1-COS(PI()*(1-((W25-('Levas superpuestas'!$B$15-'Levas superpuestas'!$B$9/4))/('Levas superpuestas'!$B$9/2)))/Simulador!$B$11))/2,Simulador!$B$10))))*SIN(RADIANS(W25))</f>
        <v/>
      </c>
      <c r="AA25" s="48">
        <f>('Levas superpuestas'!$B$5+IF(OR(((W25-('Levas superpuestas'!$B$15-'Levas superpuestas'!$B$9/4))/('Levas superpuestas'!$B$9/2))&lt;=0,((W25-('Levas superpuestas'!$B$15-'Levas superpuestas'!$B$9/4))/('Levas superpuestas'!$B$9/2))&gt;=1),0,IF(((W25-('Levas superpuestas'!$B$15-'Levas superpuestas'!$B$9/4))/('Levas superpuestas'!$B$9/2))&lt;Simulador!$B$11,Simulador!$B$10*(1-COS(PI()*((W25-('Levas superpuestas'!$B$15-'Levas superpuestas'!$B$9/4))/('Levas superpuestas'!$B$9/2))/Simulador!$B$11))/2,IF(((W25-('Levas superpuestas'!$B$15-'Levas superpuestas'!$B$9/4))/('Levas superpuestas'!$B$9/2))&gt;1-Simulador!$B$11,Simulador!$B$10*(1-COS(PI()*(1-((W25-('Levas superpuestas'!$B$15-'Levas superpuestas'!$B$9/4))/('Levas superpuestas'!$B$9/2)))/Simulador!$B$11))/2,Simulador!$B$10))))*COS(RADIANS(W25))</f>
        <v/>
      </c>
      <c r="AB25">
        <f>'Levas superpuestas'!$B$5*SIN(RADIANS(W25))</f>
        <v/>
      </c>
      <c r="AC25">
        <f>'Levas superpuestas'!$B$5*COS(RADIANS(W25))</f>
        <v/>
      </c>
      <c r="AL25" t="inlineStr">
        <is>
          <t>Rótulo cruce</t>
        </is>
      </c>
    </row>
    <row r="26">
      <c r="A26" s="26">
        <f>A25+Simulador!$B$14</f>
        <v/>
      </c>
      <c r="B26" s="46">
        <f>IF(OR((($A26-Simulador!$E$5)/Simulador!$G$5)&lt;=0,(($A26-Simulador!$E$5)/Simulador!$G$5)&gt;=1),0,IF((($A26-Simulador!$E$5)/Simulador!$G$5)&lt;Simulador!$B$11,Simulador!$B$9*(1-COS(PI()*(($A26-Simulador!$E$5)/Simulador!$G$5)/Simulador!$B$11))/2,IF((($A26-Simulador!$E$5)/Simulador!$G$5)&gt;1-Simulador!$B$11,Simulador!$B$9*(1-COS(PI()*(1-(($A26-Simulador!$E$5)/Simulador!$G$5))/Simulador!$B$11))/2,Simulador!$B$9)))</f>
        <v/>
      </c>
      <c r="C26" s="46">
        <f>IF(OR((($A26-Simulador!$E$6)/Simulador!$G$6)&lt;=0,(($A26-Simulador!$E$6)/Simulador!$G$6)&gt;=1),0,IF((($A26-Simulador!$E$6)/Simulador!$G$6)&lt;Simulador!$B$11,Simulador!$B$9*(1-COS(PI()*(($A26-Simulador!$E$6)/Simulador!$G$6)/Simulador!$B$11))/2,IF((($A26-Simulador!$E$6)/Simulador!$G$6)&gt;1-Simulador!$B$11,Simulador!$B$9*(1-COS(PI()*(1-(($A26-Simulador!$E$6)/Simulador!$G$6))/Simulador!$B$11))/2,Simulador!$B$9)))</f>
        <v/>
      </c>
      <c r="D26" s="46">
        <f>IF(OR((($A26-Simulador!$E$7)/Simulador!$G$7)&lt;=0,(($A26-Simulador!$E$7)/Simulador!$G$7)&gt;=1),0,IF((($A26-Simulador!$E$7)/Simulador!$G$7)&lt;Simulador!$B$11,Simulador!$B$9*(1-COS(PI()*(($A26-Simulador!$E$7)/Simulador!$G$7)/Simulador!$B$11))/2,IF((($A26-Simulador!$E$7)/Simulador!$G$7)&gt;1-Simulador!$B$11,Simulador!$B$9*(1-COS(PI()*(1-(($A26-Simulador!$E$7)/Simulador!$G$7))/Simulador!$B$11))/2,Simulador!$B$9)))</f>
        <v/>
      </c>
      <c r="E26" s="46">
        <f>IF(OR((($A26-Simulador!$E$8)/Simulador!$G$8)&lt;=0,(($A26-Simulador!$E$8)/Simulador!$G$8)&gt;=1),0,IF((($A26-Simulador!$E$8)/Simulador!$G$8)&lt;Simulador!$B$11,Simulador!$B$10*(1-COS(PI()*(($A26-Simulador!$E$8)/Simulador!$G$8)/Simulador!$B$11))/2,IF((($A26-Simulador!$E$8)/Simulador!$G$8)&gt;1-Simulador!$B$11,Simulador!$B$10*(1-COS(PI()*(1-(($A26-Simulador!$E$8)/Simulador!$G$8))/Simulador!$B$11))/2,Simulador!$B$10)))</f>
        <v/>
      </c>
      <c r="F26" s="46">
        <f>IF(OR((($A26-Simulador!$E$9)/Simulador!$G$9)&lt;=0,(($A26-Simulador!$E$9)/Simulador!$G$9)&gt;=1),0,IF((($A26-Simulador!$E$9)/Simulador!$G$9)&lt;Simulador!$B$11,Simulador!$B$10*(1-COS(PI()*(($A26-Simulador!$E$9)/Simulador!$G$9)/Simulador!$B$11))/2,IF((($A26-Simulador!$E$9)/Simulador!$G$9)&gt;1-Simulador!$B$11,Simulador!$B$10*(1-COS(PI()*(1-(($A26-Simulador!$E$9)/Simulador!$G$9))/Simulador!$B$11))/2,Simulador!$B$10)))</f>
        <v/>
      </c>
      <c r="G26" s="46">
        <f>IF(OR((($A26-Simulador!$E$10)/Simulador!$G$10)&lt;=0,(($A26-Simulador!$E$10)/Simulador!$G$10)&gt;=1),0,IF((($A26-Simulador!$E$10)/Simulador!$G$10)&lt;Simulador!$B$11,Simulador!$B$10*(1-COS(PI()*(($A26-Simulador!$E$10)/Simulador!$G$10)/Simulador!$B$11))/2,IF((($A26-Simulador!$E$10)/Simulador!$G$10)&gt;1-Simulador!$B$11,Simulador!$B$10*(1-COS(PI()*(1-(($A26-Simulador!$E$10)/Simulador!$G$10))/Simulador!$B$11))/2,Simulador!$B$10)))</f>
        <v/>
      </c>
      <c r="Q26" s="48">
        <f>IF(OR((($A26-(Simulador!$E$6+'Salto de dientes'!$B$12))/Simulador!$G$6)&lt;=0,(($A26-(Simulador!$E$6+'Salto de dientes'!$B$12))/Simulador!$G$6)&gt;=1),0,IF((($A26-(Simulador!$E$6+'Salto de dientes'!$B$12))/Simulador!$G$6)&lt;Simulador!$B$11,Simulador!$B$9*(1-COS(PI()*(($A26-(Simulador!$E$6+'Salto de dientes'!$B$12))/Simulador!$G$6)/Simulador!$B$11))/2,IF((($A26-(Simulador!$E$6+'Salto de dientes'!$B$12))/Simulador!$G$6)&gt;1-Simulador!$B$11,Simulador!$B$9*(1-COS(PI()*(1-(($A26-(Simulador!$E$6+'Salto de dientes'!$B$12))/Simulador!$G$6))/Simulador!$B$11))/2,Simulador!$B$9)))</f>
        <v/>
      </c>
      <c r="R26" s="48">
        <f>IF(OR((($A26-(Simulador!$E$9+'Salto de dientes'!$B$12))/Simulador!$G$9)&lt;=0,(($A26-(Simulador!$E$9+'Salto de dientes'!$B$12))/Simulador!$G$9)&gt;=1),0,IF((($A26-(Simulador!$E$9+'Salto de dientes'!$B$12))/Simulador!$G$9)&lt;Simulador!$B$11,Simulador!$B$10*(1-COS(PI()*(($A26-(Simulador!$E$9+'Salto de dientes'!$B$12))/Simulador!$G$9)/Simulador!$B$11))/2,IF((($A26-(Simulador!$E$9+'Salto de dientes'!$B$12))/Simulador!$G$9)&gt;1-Simulador!$B$11,Simulador!$B$10*(1-COS(PI()*(1-(($A26-(Simulador!$E$9+'Salto de dientes'!$B$12))/Simulador!$G$9))/Simulador!$B$11))/2,Simulador!$B$10)))</f>
        <v/>
      </c>
      <c r="W26" t="n">
        <v>-108</v>
      </c>
      <c r="X26" s="48">
        <f>('Levas superpuestas'!$B$5+IF(OR(((W26-('Levas superpuestas'!$B$14-'Levas superpuestas'!$B$8/4))/('Levas superpuestas'!$B$8/2))&lt;=0,((W26-('Levas superpuestas'!$B$14-'Levas superpuestas'!$B$8/4))/('Levas superpuestas'!$B$8/2))&gt;=1),0,IF(((W26-('Levas superpuestas'!$B$14-'Levas superpuestas'!$B$8/4))/('Levas superpuestas'!$B$8/2))&lt;Simulador!$B$11,Simulador!$B$9*(1-COS(PI()*((W26-('Levas superpuestas'!$B$14-'Levas superpuestas'!$B$8/4))/('Levas superpuestas'!$B$8/2))/Simulador!$B$11))/2,IF(((W26-('Levas superpuestas'!$B$14-'Levas superpuestas'!$B$8/4))/('Levas superpuestas'!$B$8/2))&gt;1-Simulador!$B$11,Simulador!$B$9*(1-COS(PI()*(1-((W26-('Levas superpuestas'!$B$14-'Levas superpuestas'!$B$8/4))/('Levas superpuestas'!$B$8/2)))/Simulador!$B$11))/2,Simulador!$B$9))))*SIN(RADIANS(W26))</f>
        <v/>
      </c>
      <c r="Y26" s="48">
        <f>('Levas superpuestas'!$B$5+IF(OR(((W26-('Levas superpuestas'!$B$14-'Levas superpuestas'!$B$8/4))/('Levas superpuestas'!$B$8/2))&lt;=0,((W26-('Levas superpuestas'!$B$14-'Levas superpuestas'!$B$8/4))/('Levas superpuestas'!$B$8/2))&gt;=1),0,IF(((W26-('Levas superpuestas'!$B$14-'Levas superpuestas'!$B$8/4))/('Levas superpuestas'!$B$8/2))&lt;Simulador!$B$11,Simulador!$B$9*(1-COS(PI()*((W26-('Levas superpuestas'!$B$14-'Levas superpuestas'!$B$8/4))/('Levas superpuestas'!$B$8/2))/Simulador!$B$11))/2,IF(((W26-('Levas superpuestas'!$B$14-'Levas superpuestas'!$B$8/4))/('Levas superpuestas'!$B$8/2))&gt;1-Simulador!$B$11,Simulador!$B$9*(1-COS(PI()*(1-((W26-('Levas superpuestas'!$B$14-'Levas superpuestas'!$B$8/4))/('Levas superpuestas'!$B$8/2)))/Simulador!$B$11))/2,Simulador!$B$9))))*COS(RADIANS(W26))</f>
        <v/>
      </c>
      <c r="Z26" s="48">
        <f>('Levas superpuestas'!$B$5+IF(OR(((W26-('Levas superpuestas'!$B$15-'Levas superpuestas'!$B$9/4))/('Levas superpuestas'!$B$9/2))&lt;=0,((W26-('Levas superpuestas'!$B$15-'Levas superpuestas'!$B$9/4))/('Levas superpuestas'!$B$9/2))&gt;=1),0,IF(((W26-('Levas superpuestas'!$B$15-'Levas superpuestas'!$B$9/4))/('Levas superpuestas'!$B$9/2))&lt;Simulador!$B$11,Simulador!$B$10*(1-COS(PI()*((W26-('Levas superpuestas'!$B$15-'Levas superpuestas'!$B$9/4))/('Levas superpuestas'!$B$9/2))/Simulador!$B$11))/2,IF(((W26-('Levas superpuestas'!$B$15-'Levas superpuestas'!$B$9/4))/('Levas superpuestas'!$B$9/2))&gt;1-Simulador!$B$11,Simulador!$B$10*(1-COS(PI()*(1-((W26-('Levas superpuestas'!$B$15-'Levas superpuestas'!$B$9/4))/('Levas superpuestas'!$B$9/2)))/Simulador!$B$11))/2,Simulador!$B$10))))*SIN(RADIANS(W26))</f>
        <v/>
      </c>
      <c r="AA26" s="48">
        <f>('Levas superpuestas'!$B$5+IF(OR(((W26-('Levas superpuestas'!$B$15-'Levas superpuestas'!$B$9/4))/('Levas superpuestas'!$B$9/2))&lt;=0,((W26-('Levas superpuestas'!$B$15-'Levas superpuestas'!$B$9/4))/('Levas superpuestas'!$B$9/2))&gt;=1),0,IF(((W26-('Levas superpuestas'!$B$15-'Levas superpuestas'!$B$9/4))/('Levas superpuestas'!$B$9/2))&lt;Simulador!$B$11,Simulador!$B$10*(1-COS(PI()*((W26-('Levas superpuestas'!$B$15-'Levas superpuestas'!$B$9/4))/('Levas superpuestas'!$B$9/2))/Simulador!$B$11))/2,IF(((W26-('Levas superpuestas'!$B$15-'Levas superpuestas'!$B$9/4))/('Levas superpuestas'!$B$9/2))&gt;1-Simulador!$B$11,Simulador!$B$10*(1-COS(PI()*(1-((W26-('Levas superpuestas'!$B$15-'Levas superpuestas'!$B$9/4))/('Levas superpuestas'!$B$9/2)))/Simulador!$B$11))/2,Simulador!$B$10))))*COS(RADIANS(W26))</f>
        <v/>
      </c>
      <c r="AB26">
        <f>'Levas superpuestas'!$B$5*SIN(RADIANS(W26))</f>
        <v/>
      </c>
      <c r="AC26">
        <f>'Levas superpuestas'!$B$5*COS(RADIANS(W26))</f>
        <v/>
      </c>
      <c r="AL26">
        <f>"CRUCE "&amp;Simulador!$B$7+Simulador!$B$6&amp;"°"</f>
        <v/>
      </c>
    </row>
    <row r="27">
      <c r="A27" s="26">
        <f>A26+Simulador!$B$14</f>
        <v/>
      </c>
      <c r="B27" s="46">
        <f>IF(OR((($A27-Simulador!$E$5)/Simulador!$G$5)&lt;=0,(($A27-Simulador!$E$5)/Simulador!$G$5)&gt;=1),0,IF((($A27-Simulador!$E$5)/Simulador!$G$5)&lt;Simulador!$B$11,Simulador!$B$9*(1-COS(PI()*(($A27-Simulador!$E$5)/Simulador!$G$5)/Simulador!$B$11))/2,IF((($A27-Simulador!$E$5)/Simulador!$G$5)&gt;1-Simulador!$B$11,Simulador!$B$9*(1-COS(PI()*(1-(($A27-Simulador!$E$5)/Simulador!$G$5))/Simulador!$B$11))/2,Simulador!$B$9)))</f>
        <v/>
      </c>
      <c r="C27" s="46">
        <f>IF(OR((($A27-Simulador!$E$6)/Simulador!$G$6)&lt;=0,(($A27-Simulador!$E$6)/Simulador!$G$6)&gt;=1),0,IF((($A27-Simulador!$E$6)/Simulador!$G$6)&lt;Simulador!$B$11,Simulador!$B$9*(1-COS(PI()*(($A27-Simulador!$E$6)/Simulador!$G$6)/Simulador!$B$11))/2,IF((($A27-Simulador!$E$6)/Simulador!$G$6)&gt;1-Simulador!$B$11,Simulador!$B$9*(1-COS(PI()*(1-(($A27-Simulador!$E$6)/Simulador!$G$6))/Simulador!$B$11))/2,Simulador!$B$9)))</f>
        <v/>
      </c>
      <c r="D27" s="46">
        <f>IF(OR((($A27-Simulador!$E$7)/Simulador!$G$7)&lt;=0,(($A27-Simulador!$E$7)/Simulador!$G$7)&gt;=1),0,IF((($A27-Simulador!$E$7)/Simulador!$G$7)&lt;Simulador!$B$11,Simulador!$B$9*(1-COS(PI()*(($A27-Simulador!$E$7)/Simulador!$G$7)/Simulador!$B$11))/2,IF((($A27-Simulador!$E$7)/Simulador!$G$7)&gt;1-Simulador!$B$11,Simulador!$B$9*(1-COS(PI()*(1-(($A27-Simulador!$E$7)/Simulador!$G$7))/Simulador!$B$11))/2,Simulador!$B$9)))</f>
        <v/>
      </c>
      <c r="E27" s="46">
        <f>IF(OR((($A27-Simulador!$E$8)/Simulador!$G$8)&lt;=0,(($A27-Simulador!$E$8)/Simulador!$G$8)&gt;=1),0,IF((($A27-Simulador!$E$8)/Simulador!$G$8)&lt;Simulador!$B$11,Simulador!$B$10*(1-COS(PI()*(($A27-Simulador!$E$8)/Simulador!$G$8)/Simulador!$B$11))/2,IF((($A27-Simulador!$E$8)/Simulador!$G$8)&gt;1-Simulador!$B$11,Simulador!$B$10*(1-COS(PI()*(1-(($A27-Simulador!$E$8)/Simulador!$G$8))/Simulador!$B$11))/2,Simulador!$B$10)))</f>
        <v/>
      </c>
      <c r="F27" s="46">
        <f>IF(OR((($A27-Simulador!$E$9)/Simulador!$G$9)&lt;=0,(($A27-Simulador!$E$9)/Simulador!$G$9)&gt;=1),0,IF((($A27-Simulador!$E$9)/Simulador!$G$9)&lt;Simulador!$B$11,Simulador!$B$10*(1-COS(PI()*(($A27-Simulador!$E$9)/Simulador!$G$9)/Simulador!$B$11))/2,IF((($A27-Simulador!$E$9)/Simulador!$G$9)&gt;1-Simulador!$B$11,Simulador!$B$10*(1-COS(PI()*(1-(($A27-Simulador!$E$9)/Simulador!$G$9))/Simulador!$B$11))/2,Simulador!$B$10)))</f>
        <v/>
      </c>
      <c r="G27" s="46">
        <f>IF(OR((($A27-Simulador!$E$10)/Simulador!$G$10)&lt;=0,(($A27-Simulador!$E$10)/Simulador!$G$10)&gt;=1),0,IF((($A27-Simulador!$E$10)/Simulador!$G$10)&lt;Simulador!$B$11,Simulador!$B$10*(1-COS(PI()*(($A27-Simulador!$E$10)/Simulador!$G$10)/Simulador!$B$11))/2,IF((($A27-Simulador!$E$10)/Simulador!$G$10)&gt;1-Simulador!$B$11,Simulador!$B$10*(1-COS(PI()*(1-(($A27-Simulador!$E$10)/Simulador!$G$10))/Simulador!$B$11))/2,Simulador!$B$10)))</f>
        <v/>
      </c>
      <c r="Q27" s="48">
        <f>IF(OR((($A27-(Simulador!$E$6+'Salto de dientes'!$B$12))/Simulador!$G$6)&lt;=0,(($A27-(Simulador!$E$6+'Salto de dientes'!$B$12))/Simulador!$G$6)&gt;=1),0,IF((($A27-(Simulador!$E$6+'Salto de dientes'!$B$12))/Simulador!$G$6)&lt;Simulador!$B$11,Simulador!$B$9*(1-COS(PI()*(($A27-(Simulador!$E$6+'Salto de dientes'!$B$12))/Simulador!$G$6)/Simulador!$B$11))/2,IF((($A27-(Simulador!$E$6+'Salto de dientes'!$B$12))/Simulador!$G$6)&gt;1-Simulador!$B$11,Simulador!$B$9*(1-COS(PI()*(1-(($A27-(Simulador!$E$6+'Salto de dientes'!$B$12))/Simulador!$G$6))/Simulador!$B$11))/2,Simulador!$B$9)))</f>
        <v/>
      </c>
      <c r="R27" s="48">
        <f>IF(OR((($A27-(Simulador!$E$9+'Salto de dientes'!$B$12))/Simulador!$G$9)&lt;=0,(($A27-(Simulador!$E$9+'Salto de dientes'!$B$12))/Simulador!$G$9)&gt;=1),0,IF((($A27-(Simulador!$E$9+'Salto de dientes'!$B$12))/Simulador!$G$9)&lt;Simulador!$B$11,Simulador!$B$10*(1-COS(PI()*(($A27-(Simulador!$E$9+'Salto de dientes'!$B$12))/Simulador!$G$9)/Simulador!$B$11))/2,IF((($A27-(Simulador!$E$9+'Salto de dientes'!$B$12))/Simulador!$G$9)&gt;1-Simulador!$B$11,Simulador!$B$10*(1-COS(PI()*(1-(($A27-(Simulador!$E$9+'Salto de dientes'!$B$12))/Simulador!$G$9))/Simulador!$B$11))/2,Simulador!$B$10)))</f>
        <v/>
      </c>
      <c r="W27" t="n">
        <v>-105</v>
      </c>
      <c r="X27" s="48">
        <f>('Levas superpuestas'!$B$5+IF(OR(((W27-('Levas superpuestas'!$B$14-'Levas superpuestas'!$B$8/4))/('Levas superpuestas'!$B$8/2))&lt;=0,((W27-('Levas superpuestas'!$B$14-'Levas superpuestas'!$B$8/4))/('Levas superpuestas'!$B$8/2))&gt;=1),0,IF(((W27-('Levas superpuestas'!$B$14-'Levas superpuestas'!$B$8/4))/('Levas superpuestas'!$B$8/2))&lt;Simulador!$B$11,Simulador!$B$9*(1-COS(PI()*((W27-('Levas superpuestas'!$B$14-'Levas superpuestas'!$B$8/4))/('Levas superpuestas'!$B$8/2))/Simulador!$B$11))/2,IF(((W27-('Levas superpuestas'!$B$14-'Levas superpuestas'!$B$8/4))/('Levas superpuestas'!$B$8/2))&gt;1-Simulador!$B$11,Simulador!$B$9*(1-COS(PI()*(1-((W27-('Levas superpuestas'!$B$14-'Levas superpuestas'!$B$8/4))/('Levas superpuestas'!$B$8/2)))/Simulador!$B$11))/2,Simulador!$B$9))))*SIN(RADIANS(W27))</f>
        <v/>
      </c>
      <c r="Y27" s="48">
        <f>('Levas superpuestas'!$B$5+IF(OR(((W27-('Levas superpuestas'!$B$14-'Levas superpuestas'!$B$8/4))/('Levas superpuestas'!$B$8/2))&lt;=0,((W27-('Levas superpuestas'!$B$14-'Levas superpuestas'!$B$8/4))/('Levas superpuestas'!$B$8/2))&gt;=1),0,IF(((W27-('Levas superpuestas'!$B$14-'Levas superpuestas'!$B$8/4))/('Levas superpuestas'!$B$8/2))&lt;Simulador!$B$11,Simulador!$B$9*(1-COS(PI()*((W27-('Levas superpuestas'!$B$14-'Levas superpuestas'!$B$8/4))/('Levas superpuestas'!$B$8/2))/Simulador!$B$11))/2,IF(((W27-('Levas superpuestas'!$B$14-'Levas superpuestas'!$B$8/4))/('Levas superpuestas'!$B$8/2))&gt;1-Simulador!$B$11,Simulador!$B$9*(1-COS(PI()*(1-((W27-('Levas superpuestas'!$B$14-'Levas superpuestas'!$B$8/4))/('Levas superpuestas'!$B$8/2)))/Simulador!$B$11))/2,Simulador!$B$9))))*COS(RADIANS(W27))</f>
        <v/>
      </c>
      <c r="Z27" s="48">
        <f>('Levas superpuestas'!$B$5+IF(OR(((W27-('Levas superpuestas'!$B$15-'Levas superpuestas'!$B$9/4))/('Levas superpuestas'!$B$9/2))&lt;=0,((W27-('Levas superpuestas'!$B$15-'Levas superpuestas'!$B$9/4))/('Levas superpuestas'!$B$9/2))&gt;=1),0,IF(((W27-('Levas superpuestas'!$B$15-'Levas superpuestas'!$B$9/4))/('Levas superpuestas'!$B$9/2))&lt;Simulador!$B$11,Simulador!$B$10*(1-COS(PI()*((W27-('Levas superpuestas'!$B$15-'Levas superpuestas'!$B$9/4))/('Levas superpuestas'!$B$9/2))/Simulador!$B$11))/2,IF(((W27-('Levas superpuestas'!$B$15-'Levas superpuestas'!$B$9/4))/('Levas superpuestas'!$B$9/2))&gt;1-Simulador!$B$11,Simulador!$B$10*(1-COS(PI()*(1-((W27-('Levas superpuestas'!$B$15-'Levas superpuestas'!$B$9/4))/('Levas superpuestas'!$B$9/2)))/Simulador!$B$11))/2,Simulador!$B$10))))*SIN(RADIANS(W27))</f>
        <v/>
      </c>
      <c r="AA27" s="48">
        <f>('Levas superpuestas'!$B$5+IF(OR(((W27-('Levas superpuestas'!$B$15-'Levas superpuestas'!$B$9/4))/('Levas superpuestas'!$B$9/2))&lt;=0,((W27-('Levas superpuestas'!$B$15-'Levas superpuestas'!$B$9/4))/('Levas superpuestas'!$B$9/2))&gt;=1),0,IF(((W27-('Levas superpuestas'!$B$15-'Levas superpuestas'!$B$9/4))/('Levas superpuestas'!$B$9/2))&lt;Simulador!$B$11,Simulador!$B$10*(1-COS(PI()*((W27-('Levas superpuestas'!$B$15-'Levas superpuestas'!$B$9/4))/('Levas superpuestas'!$B$9/2))/Simulador!$B$11))/2,IF(((W27-('Levas superpuestas'!$B$15-'Levas superpuestas'!$B$9/4))/('Levas superpuestas'!$B$9/2))&gt;1-Simulador!$B$11,Simulador!$B$10*(1-COS(PI()*(1-((W27-('Levas superpuestas'!$B$15-'Levas superpuestas'!$B$9/4))/('Levas superpuestas'!$B$9/2)))/Simulador!$B$11))/2,Simulador!$B$10))))*COS(RADIANS(W27))</f>
        <v/>
      </c>
      <c r="AB27">
        <f>'Levas superpuestas'!$B$5*SIN(RADIANS(W27))</f>
        <v/>
      </c>
      <c r="AC27">
        <f>'Levas superpuestas'!$B$5*COS(RADIANS(W27))</f>
        <v/>
      </c>
      <c r="AL27" t="n">
        <v>0</v>
      </c>
      <c r="AM27">
        <f>0.30*'Levas superpuestas'!$B$5</f>
        <v/>
      </c>
    </row>
    <row r="28">
      <c r="A28" s="26">
        <f>A27+Simulador!$B$14</f>
        <v/>
      </c>
      <c r="B28" s="46">
        <f>IF(OR((($A28-Simulador!$E$5)/Simulador!$G$5)&lt;=0,(($A28-Simulador!$E$5)/Simulador!$G$5)&gt;=1),0,IF((($A28-Simulador!$E$5)/Simulador!$G$5)&lt;Simulador!$B$11,Simulador!$B$9*(1-COS(PI()*(($A28-Simulador!$E$5)/Simulador!$G$5)/Simulador!$B$11))/2,IF((($A28-Simulador!$E$5)/Simulador!$G$5)&gt;1-Simulador!$B$11,Simulador!$B$9*(1-COS(PI()*(1-(($A28-Simulador!$E$5)/Simulador!$G$5))/Simulador!$B$11))/2,Simulador!$B$9)))</f>
        <v/>
      </c>
      <c r="C28" s="46">
        <f>IF(OR((($A28-Simulador!$E$6)/Simulador!$G$6)&lt;=0,(($A28-Simulador!$E$6)/Simulador!$G$6)&gt;=1),0,IF((($A28-Simulador!$E$6)/Simulador!$G$6)&lt;Simulador!$B$11,Simulador!$B$9*(1-COS(PI()*(($A28-Simulador!$E$6)/Simulador!$G$6)/Simulador!$B$11))/2,IF((($A28-Simulador!$E$6)/Simulador!$G$6)&gt;1-Simulador!$B$11,Simulador!$B$9*(1-COS(PI()*(1-(($A28-Simulador!$E$6)/Simulador!$G$6))/Simulador!$B$11))/2,Simulador!$B$9)))</f>
        <v/>
      </c>
      <c r="D28" s="46">
        <f>IF(OR((($A28-Simulador!$E$7)/Simulador!$G$7)&lt;=0,(($A28-Simulador!$E$7)/Simulador!$G$7)&gt;=1),0,IF((($A28-Simulador!$E$7)/Simulador!$G$7)&lt;Simulador!$B$11,Simulador!$B$9*(1-COS(PI()*(($A28-Simulador!$E$7)/Simulador!$G$7)/Simulador!$B$11))/2,IF((($A28-Simulador!$E$7)/Simulador!$G$7)&gt;1-Simulador!$B$11,Simulador!$B$9*(1-COS(PI()*(1-(($A28-Simulador!$E$7)/Simulador!$G$7))/Simulador!$B$11))/2,Simulador!$B$9)))</f>
        <v/>
      </c>
      <c r="E28" s="46">
        <f>IF(OR((($A28-Simulador!$E$8)/Simulador!$G$8)&lt;=0,(($A28-Simulador!$E$8)/Simulador!$G$8)&gt;=1),0,IF((($A28-Simulador!$E$8)/Simulador!$G$8)&lt;Simulador!$B$11,Simulador!$B$10*(1-COS(PI()*(($A28-Simulador!$E$8)/Simulador!$G$8)/Simulador!$B$11))/2,IF((($A28-Simulador!$E$8)/Simulador!$G$8)&gt;1-Simulador!$B$11,Simulador!$B$10*(1-COS(PI()*(1-(($A28-Simulador!$E$8)/Simulador!$G$8))/Simulador!$B$11))/2,Simulador!$B$10)))</f>
        <v/>
      </c>
      <c r="F28" s="46">
        <f>IF(OR((($A28-Simulador!$E$9)/Simulador!$G$9)&lt;=0,(($A28-Simulador!$E$9)/Simulador!$G$9)&gt;=1),0,IF((($A28-Simulador!$E$9)/Simulador!$G$9)&lt;Simulador!$B$11,Simulador!$B$10*(1-COS(PI()*(($A28-Simulador!$E$9)/Simulador!$G$9)/Simulador!$B$11))/2,IF((($A28-Simulador!$E$9)/Simulador!$G$9)&gt;1-Simulador!$B$11,Simulador!$B$10*(1-COS(PI()*(1-(($A28-Simulador!$E$9)/Simulador!$G$9))/Simulador!$B$11))/2,Simulador!$B$10)))</f>
        <v/>
      </c>
      <c r="G28" s="46">
        <f>IF(OR((($A28-Simulador!$E$10)/Simulador!$G$10)&lt;=0,(($A28-Simulador!$E$10)/Simulador!$G$10)&gt;=1),0,IF((($A28-Simulador!$E$10)/Simulador!$G$10)&lt;Simulador!$B$11,Simulador!$B$10*(1-COS(PI()*(($A28-Simulador!$E$10)/Simulador!$G$10)/Simulador!$B$11))/2,IF((($A28-Simulador!$E$10)/Simulador!$G$10)&gt;1-Simulador!$B$11,Simulador!$B$10*(1-COS(PI()*(1-(($A28-Simulador!$E$10)/Simulador!$G$10))/Simulador!$B$11))/2,Simulador!$B$10)))</f>
        <v/>
      </c>
      <c r="Q28" s="48">
        <f>IF(OR((($A28-(Simulador!$E$6+'Salto de dientes'!$B$12))/Simulador!$G$6)&lt;=0,(($A28-(Simulador!$E$6+'Salto de dientes'!$B$12))/Simulador!$G$6)&gt;=1),0,IF((($A28-(Simulador!$E$6+'Salto de dientes'!$B$12))/Simulador!$G$6)&lt;Simulador!$B$11,Simulador!$B$9*(1-COS(PI()*(($A28-(Simulador!$E$6+'Salto de dientes'!$B$12))/Simulador!$G$6)/Simulador!$B$11))/2,IF((($A28-(Simulador!$E$6+'Salto de dientes'!$B$12))/Simulador!$G$6)&gt;1-Simulador!$B$11,Simulador!$B$9*(1-COS(PI()*(1-(($A28-(Simulador!$E$6+'Salto de dientes'!$B$12))/Simulador!$G$6))/Simulador!$B$11))/2,Simulador!$B$9)))</f>
        <v/>
      </c>
      <c r="R28" s="48">
        <f>IF(OR((($A28-(Simulador!$E$9+'Salto de dientes'!$B$12))/Simulador!$G$9)&lt;=0,(($A28-(Simulador!$E$9+'Salto de dientes'!$B$12))/Simulador!$G$9)&gt;=1),0,IF((($A28-(Simulador!$E$9+'Salto de dientes'!$B$12))/Simulador!$G$9)&lt;Simulador!$B$11,Simulador!$B$10*(1-COS(PI()*(($A28-(Simulador!$E$9+'Salto de dientes'!$B$12))/Simulador!$G$9)/Simulador!$B$11))/2,IF((($A28-(Simulador!$E$9+'Salto de dientes'!$B$12))/Simulador!$G$9)&gt;1-Simulador!$B$11,Simulador!$B$10*(1-COS(PI()*(1-(($A28-(Simulador!$E$9+'Salto de dientes'!$B$12))/Simulador!$G$9))/Simulador!$B$11))/2,Simulador!$B$10)))</f>
        <v/>
      </c>
      <c r="W28" t="n">
        <v>-102</v>
      </c>
      <c r="X28" s="48">
        <f>('Levas superpuestas'!$B$5+IF(OR(((W28-('Levas superpuestas'!$B$14-'Levas superpuestas'!$B$8/4))/('Levas superpuestas'!$B$8/2))&lt;=0,((W28-('Levas superpuestas'!$B$14-'Levas superpuestas'!$B$8/4))/('Levas superpuestas'!$B$8/2))&gt;=1),0,IF(((W28-('Levas superpuestas'!$B$14-'Levas superpuestas'!$B$8/4))/('Levas superpuestas'!$B$8/2))&lt;Simulador!$B$11,Simulador!$B$9*(1-COS(PI()*((W28-('Levas superpuestas'!$B$14-'Levas superpuestas'!$B$8/4))/('Levas superpuestas'!$B$8/2))/Simulador!$B$11))/2,IF(((W28-('Levas superpuestas'!$B$14-'Levas superpuestas'!$B$8/4))/('Levas superpuestas'!$B$8/2))&gt;1-Simulador!$B$11,Simulador!$B$9*(1-COS(PI()*(1-((W28-('Levas superpuestas'!$B$14-'Levas superpuestas'!$B$8/4))/('Levas superpuestas'!$B$8/2)))/Simulador!$B$11))/2,Simulador!$B$9))))*SIN(RADIANS(W28))</f>
        <v/>
      </c>
      <c r="Y28" s="48">
        <f>('Levas superpuestas'!$B$5+IF(OR(((W28-('Levas superpuestas'!$B$14-'Levas superpuestas'!$B$8/4))/('Levas superpuestas'!$B$8/2))&lt;=0,((W28-('Levas superpuestas'!$B$14-'Levas superpuestas'!$B$8/4))/('Levas superpuestas'!$B$8/2))&gt;=1),0,IF(((W28-('Levas superpuestas'!$B$14-'Levas superpuestas'!$B$8/4))/('Levas superpuestas'!$B$8/2))&lt;Simulador!$B$11,Simulador!$B$9*(1-COS(PI()*((W28-('Levas superpuestas'!$B$14-'Levas superpuestas'!$B$8/4))/('Levas superpuestas'!$B$8/2))/Simulador!$B$11))/2,IF(((W28-('Levas superpuestas'!$B$14-'Levas superpuestas'!$B$8/4))/('Levas superpuestas'!$B$8/2))&gt;1-Simulador!$B$11,Simulador!$B$9*(1-COS(PI()*(1-((W28-('Levas superpuestas'!$B$14-'Levas superpuestas'!$B$8/4))/('Levas superpuestas'!$B$8/2)))/Simulador!$B$11))/2,Simulador!$B$9))))*COS(RADIANS(W28))</f>
        <v/>
      </c>
      <c r="Z28" s="48">
        <f>('Levas superpuestas'!$B$5+IF(OR(((W28-('Levas superpuestas'!$B$15-'Levas superpuestas'!$B$9/4))/('Levas superpuestas'!$B$9/2))&lt;=0,((W28-('Levas superpuestas'!$B$15-'Levas superpuestas'!$B$9/4))/('Levas superpuestas'!$B$9/2))&gt;=1),0,IF(((W28-('Levas superpuestas'!$B$15-'Levas superpuestas'!$B$9/4))/('Levas superpuestas'!$B$9/2))&lt;Simulador!$B$11,Simulador!$B$10*(1-COS(PI()*((W28-('Levas superpuestas'!$B$15-'Levas superpuestas'!$B$9/4))/('Levas superpuestas'!$B$9/2))/Simulador!$B$11))/2,IF(((W28-('Levas superpuestas'!$B$15-'Levas superpuestas'!$B$9/4))/('Levas superpuestas'!$B$9/2))&gt;1-Simulador!$B$11,Simulador!$B$10*(1-COS(PI()*(1-((W28-('Levas superpuestas'!$B$15-'Levas superpuestas'!$B$9/4))/('Levas superpuestas'!$B$9/2)))/Simulador!$B$11))/2,Simulador!$B$10))))*SIN(RADIANS(W28))</f>
        <v/>
      </c>
      <c r="AA28" s="48">
        <f>('Levas superpuestas'!$B$5+IF(OR(((W28-('Levas superpuestas'!$B$15-'Levas superpuestas'!$B$9/4))/('Levas superpuestas'!$B$9/2))&lt;=0,((W28-('Levas superpuestas'!$B$15-'Levas superpuestas'!$B$9/4))/('Levas superpuestas'!$B$9/2))&gt;=1),0,IF(((W28-('Levas superpuestas'!$B$15-'Levas superpuestas'!$B$9/4))/('Levas superpuestas'!$B$9/2))&lt;Simulador!$B$11,Simulador!$B$10*(1-COS(PI()*((W28-('Levas superpuestas'!$B$15-'Levas superpuestas'!$B$9/4))/('Levas superpuestas'!$B$9/2))/Simulador!$B$11))/2,IF(((W28-('Levas superpuestas'!$B$15-'Levas superpuestas'!$B$9/4))/('Levas superpuestas'!$B$9/2))&gt;1-Simulador!$B$11,Simulador!$B$10*(1-COS(PI()*(1-((W28-('Levas superpuestas'!$B$15-'Levas superpuestas'!$B$9/4))/('Levas superpuestas'!$B$9/2)))/Simulador!$B$11))/2,Simulador!$B$10))))*COS(RADIANS(W28))</f>
        <v/>
      </c>
      <c r="AB28">
        <f>'Levas superpuestas'!$B$5*SIN(RADIANS(W28))</f>
        <v/>
      </c>
      <c r="AC28">
        <f>'Levas superpuestas'!$B$5*COS(RADIANS(W28))</f>
        <v/>
      </c>
    </row>
    <row r="29">
      <c r="A29" s="26">
        <f>A28+Simulador!$B$14</f>
        <v/>
      </c>
      <c r="B29" s="46">
        <f>IF(OR((($A29-Simulador!$E$5)/Simulador!$G$5)&lt;=0,(($A29-Simulador!$E$5)/Simulador!$G$5)&gt;=1),0,IF((($A29-Simulador!$E$5)/Simulador!$G$5)&lt;Simulador!$B$11,Simulador!$B$9*(1-COS(PI()*(($A29-Simulador!$E$5)/Simulador!$G$5)/Simulador!$B$11))/2,IF((($A29-Simulador!$E$5)/Simulador!$G$5)&gt;1-Simulador!$B$11,Simulador!$B$9*(1-COS(PI()*(1-(($A29-Simulador!$E$5)/Simulador!$G$5))/Simulador!$B$11))/2,Simulador!$B$9)))</f>
        <v/>
      </c>
      <c r="C29" s="46">
        <f>IF(OR((($A29-Simulador!$E$6)/Simulador!$G$6)&lt;=0,(($A29-Simulador!$E$6)/Simulador!$G$6)&gt;=1),0,IF((($A29-Simulador!$E$6)/Simulador!$G$6)&lt;Simulador!$B$11,Simulador!$B$9*(1-COS(PI()*(($A29-Simulador!$E$6)/Simulador!$G$6)/Simulador!$B$11))/2,IF((($A29-Simulador!$E$6)/Simulador!$G$6)&gt;1-Simulador!$B$11,Simulador!$B$9*(1-COS(PI()*(1-(($A29-Simulador!$E$6)/Simulador!$G$6))/Simulador!$B$11))/2,Simulador!$B$9)))</f>
        <v/>
      </c>
      <c r="D29" s="46">
        <f>IF(OR((($A29-Simulador!$E$7)/Simulador!$G$7)&lt;=0,(($A29-Simulador!$E$7)/Simulador!$G$7)&gt;=1),0,IF((($A29-Simulador!$E$7)/Simulador!$G$7)&lt;Simulador!$B$11,Simulador!$B$9*(1-COS(PI()*(($A29-Simulador!$E$7)/Simulador!$G$7)/Simulador!$B$11))/2,IF((($A29-Simulador!$E$7)/Simulador!$G$7)&gt;1-Simulador!$B$11,Simulador!$B$9*(1-COS(PI()*(1-(($A29-Simulador!$E$7)/Simulador!$G$7))/Simulador!$B$11))/2,Simulador!$B$9)))</f>
        <v/>
      </c>
      <c r="E29" s="46">
        <f>IF(OR((($A29-Simulador!$E$8)/Simulador!$G$8)&lt;=0,(($A29-Simulador!$E$8)/Simulador!$G$8)&gt;=1),0,IF((($A29-Simulador!$E$8)/Simulador!$G$8)&lt;Simulador!$B$11,Simulador!$B$10*(1-COS(PI()*(($A29-Simulador!$E$8)/Simulador!$G$8)/Simulador!$B$11))/2,IF((($A29-Simulador!$E$8)/Simulador!$G$8)&gt;1-Simulador!$B$11,Simulador!$B$10*(1-COS(PI()*(1-(($A29-Simulador!$E$8)/Simulador!$G$8))/Simulador!$B$11))/2,Simulador!$B$10)))</f>
        <v/>
      </c>
      <c r="F29" s="46">
        <f>IF(OR((($A29-Simulador!$E$9)/Simulador!$G$9)&lt;=0,(($A29-Simulador!$E$9)/Simulador!$G$9)&gt;=1),0,IF((($A29-Simulador!$E$9)/Simulador!$G$9)&lt;Simulador!$B$11,Simulador!$B$10*(1-COS(PI()*(($A29-Simulador!$E$9)/Simulador!$G$9)/Simulador!$B$11))/2,IF((($A29-Simulador!$E$9)/Simulador!$G$9)&gt;1-Simulador!$B$11,Simulador!$B$10*(1-COS(PI()*(1-(($A29-Simulador!$E$9)/Simulador!$G$9))/Simulador!$B$11))/2,Simulador!$B$10)))</f>
        <v/>
      </c>
      <c r="G29" s="46">
        <f>IF(OR((($A29-Simulador!$E$10)/Simulador!$G$10)&lt;=0,(($A29-Simulador!$E$10)/Simulador!$G$10)&gt;=1),0,IF((($A29-Simulador!$E$10)/Simulador!$G$10)&lt;Simulador!$B$11,Simulador!$B$10*(1-COS(PI()*(($A29-Simulador!$E$10)/Simulador!$G$10)/Simulador!$B$11))/2,IF((($A29-Simulador!$E$10)/Simulador!$G$10)&gt;1-Simulador!$B$11,Simulador!$B$10*(1-COS(PI()*(1-(($A29-Simulador!$E$10)/Simulador!$G$10))/Simulador!$B$11))/2,Simulador!$B$10)))</f>
        <v/>
      </c>
      <c r="Q29" s="48">
        <f>IF(OR((($A29-(Simulador!$E$6+'Salto de dientes'!$B$12))/Simulador!$G$6)&lt;=0,(($A29-(Simulador!$E$6+'Salto de dientes'!$B$12))/Simulador!$G$6)&gt;=1),0,IF((($A29-(Simulador!$E$6+'Salto de dientes'!$B$12))/Simulador!$G$6)&lt;Simulador!$B$11,Simulador!$B$9*(1-COS(PI()*(($A29-(Simulador!$E$6+'Salto de dientes'!$B$12))/Simulador!$G$6)/Simulador!$B$11))/2,IF((($A29-(Simulador!$E$6+'Salto de dientes'!$B$12))/Simulador!$G$6)&gt;1-Simulador!$B$11,Simulador!$B$9*(1-COS(PI()*(1-(($A29-(Simulador!$E$6+'Salto de dientes'!$B$12))/Simulador!$G$6))/Simulador!$B$11))/2,Simulador!$B$9)))</f>
        <v/>
      </c>
      <c r="R29" s="48">
        <f>IF(OR((($A29-(Simulador!$E$9+'Salto de dientes'!$B$12))/Simulador!$G$9)&lt;=0,(($A29-(Simulador!$E$9+'Salto de dientes'!$B$12))/Simulador!$G$9)&gt;=1),0,IF((($A29-(Simulador!$E$9+'Salto de dientes'!$B$12))/Simulador!$G$9)&lt;Simulador!$B$11,Simulador!$B$10*(1-COS(PI()*(($A29-(Simulador!$E$9+'Salto de dientes'!$B$12))/Simulador!$G$9)/Simulador!$B$11))/2,IF((($A29-(Simulador!$E$9+'Salto de dientes'!$B$12))/Simulador!$G$9)&gt;1-Simulador!$B$11,Simulador!$B$10*(1-COS(PI()*(1-(($A29-(Simulador!$E$9+'Salto de dientes'!$B$12))/Simulador!$G$9))/Simulador!$B$11))/2,Simulador!$B$10)))</f>
        <v/>
      </c>
      <c r="W29" t="n">
        <v>-99</v>
      </c>
      <c r="X29" s="48">
        <f>('Levas superpuestas'!$B$5+IF(OR(((W29-('Levas superpuestas'!$B$14-'Levas superpuestas'!$B$8/4))/('Levas superpuestas'!$B$8/2))&lt;=0,((W29-('Levas superpuestas'!$B$14-'Levas superpuestas'!$B$8/4))/('Levas superpuestas'!$B$8/2))&gt;=1),0,IF(((W29-('Levas superpuestas'!$B$14-'Levas superpuestas'!$B$8/4))/('Levas superpuestas'!$B$8/2))&lt;Simulador!$B$11,Simulador!$B$9*(1-COS(PI()*((W29-('Levas superpuestas'!$B$14-'Levas superpuestas'!$B$8/4))/('Levas superpuestas'!$B$8/2))/Simulador!$B$11))/2,IF(((W29-('Levas superpuestas'!$B$14-'Levas superpuestas'!$B$8/4))/('Levas superpuestas'!$B$8/2))&gt;1-Simulador!$B$11,Simulador!$B$9*(1-COS(PI()*(1-((W29-('Levas superpuestas'!$B$14-'Levas superpuestas'!$B$8/4))/('Levas superpuestas'!$B$8/2)))/Simulador!$B$11))/2,Simulador!$B$9))))*SIN(RADIANS(W29))</f>
        <v/>
      </c>
      <c r="Y29" s="48">
        <f>('Levas superpuestas'!$B$5+IF(OR(((W29-('Levas superpuestas'!$B$14-'Levas superpuestas'!$B$8/4))/('Levas superpuestas'!$B$8/2))&lt;=0,((W29-('Levas superpuestas'!$B$14-'Levas superpuestas'!$B$8/4))/('Levas superpuestas'!$B$8/2))&gt;=1),0,IF(((W29-('Levas superpuestas'!$B$14-'Levas superpuestas'!$B$8/4))/('Levas superpuestas'!$B$8/2))&lt;Simulador!$B$11,Simulador!$B$9*(1-COS(PI()*((W29-('Levas superpuestas'!$B$14-'Levas superpuestas'!$B$8/4))/('Levas superpuestas'!$B$8/2))/Simulador!$B$11))/2,IF(((W29-('Levas superpuestas'!$B$14-'Levas superpuestas'!$B$8/4))/('Levas superpuestas'!$B$8/2))&gt;1-Simulador!$B$11,Simulador!$B$9*(1-COS(PI()*(1-((W29-('Levas superpuestas'!$B$14-'Levas superpuestas'!$B$8/4))/('Levas superpuestas'!$B$8/2)))/Simulador!$B$11))/2,Simulador!$B$9))))*COS(RADIANS(W29))</f>
        <v/>
      </c>
      <c r="Z29" s="48">
        <f>('Levas superpuestas'!$B$5+IF(OR(((W29-('Levas superpuestas'!$B$15-'Levas superpuestas'!$B$9/4))/('Levas superpuestas'!$B$9/2))&lt;=0,((W29-('Levas superpuestas'!$B$15-'Levas superpuestas'!$B$9/4))/('Levas superpuestas'!$B$9/2))&gt;=1),0,IF(((W29-('Levas superpuestas'!$B$15-'Levas superpuestas'!$B$9/4))/('Levas superpuestas'!$B$9/2))&lt;Simulador!$B$11,Simulador!$B$10*(1-COS(PI()*((W29-('Levas superpuestas'!$B$15-'Levas superpuestas'!$B$9/4))/('Levas superpuestas'!$B$9/2))/Simulador!$B$11))/2,IF(((W29-('Levas superpuestas'!$B$15-'Levas superpuestas'!$B$9/4))/('Levas superpuestas'!$B$9/2))&gt;1-Simulador!$B$11,Simulador!$B$10*(1-COS(PI()*(1-((W29-('Levas superpuestas'!$B$15-'Levas superpuestas'!$B$9/4))/('Levas superpuestas'!$B$9/2)))/Simulador!$B$11))/2,Simulador!$B$10))))*SIN(RADIANS(W29))</f>
        <v/>
      </c>
      <c r="AA29" s="48">
        <f>('Levas superpuestas'!$B$5+IF(OR(((W29-('Levas superpuestas'!$B$15-'Levas superpuestas'!$B$9/4))/('Levas superpuestas'!$B$9/2))&lt;=0,((W29-('Levas superpuestas'!$B$15-'Levas superpuestas'!$B$9/4))/('Levas superpuestas'!$B$9/2))&gt;=1),0,IF(((W29-('Levas superpuestas'!$B$15-'Levas superpuestas'!$B$9/4))/('Levas superpuestas'!$B$9/2))&lt;Simulador!$B$11,Simulador!$B$10*(1-COS(PI()*((W29-('Levas superpuestas'!$B$15-'Levas superpuestas'!$B$9/4))/('Levas superpuestas'!$B$9/2))/Simulador!$B$11))/2,IF(((W29-('Levas superpuestas'!$B$15-'Levas superpuestas'!$B$9/4))/('Levas superpuestas'!$B$9/2))&gt;1-Simulador!$B$11,Simulador!$B$10*(1-COS(PI()*(1-((W29-('Levas superpuestas'!$B$15-'Levas superpuestas'!$B$9/4))/('Levas superpuestas'!$B$9/2)))/Simulador!$B$11))/2,Simulador!$B$10))))*COS(RADIANS(W29))</f>
        <v/>
      </c>
      <c r="AB29">
        <f>'Levas superpuestas'!$B$5*SIN(RADIANS(W29))</f>
        <v/>
      </c>
      <c r="AC29">
        <f>'Levas superpuestas'!$B$5*COS(RADIANS(W29))</f>
        <v/>
      </c>
    </row>
    <row r="30">
      <c r="A30" s="26">
        <f>A29+Simulador!$B$14</f>
        <v/>
      </c>
      <c r="B30" s="46">
        <f>IF(OR((($A30-Simulador!$E$5)/Simulador!$G$5)&lt;=0,(($A30-Simulador!$E$5)/Simulador!$G$5)&gt;=1),0,IF((($A30-Simulador!$E$5)/Simulador!$G$5)&lt;Simulador!$B$11,Simulador!$B$9*(1-COS(PI()*(($A30-Simulador!$E$5)/Simulador!$G$5)/Simulador!$B$11))/2,IF((($A30-Simulador!$E$5)/Simulador!$G$5)&gt;1-Simulador!$B$11,Simulador!$B$9*(1-COS(PI()*(1-(($A30-Simulador!$E$5)/Simulador!$G$5))/Simulador!$B$11))/2,Simulador!$B$9)))</f>
        <v/>
      </c>
      <c r="C30" s="46">
        <f>IF(OR((($A30-Simulador!$E$6)/Simulador!$G$6)&lt;=0,(($A30-Simulador!$E$6)/Simulador!$G$6)&gt;=1),0,IF((($A30-Simulador!$E$6)/Simulador!$G$6)&lt;Simulador!$B$11,Simulador!$B$9*(1-COS(PI()*(($A30-Simulador!$E$6)/Simulador!$G$6)/Simulador!$B$11))/2,IF((($A30-Simulador!$E$6)/Simulador!$G$6)&gt;1-Simulador!$B$11,Simulador!$B$9*(1-COS(PI()*(1-(($A30-Simulador!$E$6)/Simulador!$G$6))/Simulador!$B$11))/2,Simulador!$B$9)))</f>
        <v/>
      </c>
      <c r="D30" s="46">
        <f>IF(OR((($A30-Simulador!$E$7)/Simulador!$G$7)&lt;=0,(($A30-Simulador!$E$7)/Simulador!$G$7)&gt;=1),0,IF((($A30-Simulador!$E$7)/Simulador!$G$7)&lt;Simulador!$B$11,Simulador!$B$9*(1-COS(PI()*(($A30-Simulador!$E$7)/Simulador!$G$7)/Simulador!$B$11))/2,IF((($A30-Simulador!$E$7)/Simulador!$G$7)&gt;1-Simulador!$B$11,Simulador!$B$9*(1-COS(PI()*(1-(($A30-Simulador!$E$7)/Simulador!$G$7))/Simulador!$B$11))/2,Simulador!$B$9)))</f>
        <v/>
      </c>
      <c r="E30" s="46">
        <f>IF(OR((($A30-Simulador!$E$8)/Simulador!$G$8)&lt;=0,(($A30-Simulador!$E$8)/Simulador!$G$8)&gt;=1),0,IF((($A30-Simulador!$E$8)/Simulador!$G$8)&lt;Simulador!$B$11,Simulador!$B$10*(1-COS(PI()*(($A30-Simulador!$E$8)/Simulador!$G$8)/Simulador!$B$11))/2,IF((($A30-Simulador!$E$8)/Simulador!$G$8)&gt;1-Simulador!$B$11,Simulador!$B$10*(1-COS(PI()*(1-(($A30-Simulador!$E$8)/Simulador!$G$8))/Simulador!$B$11))/2,Simulador!$B$10)))</f>
        <v/>
      </c>
      <c r="F30" s="46">
        <f>IF(OR((($A30-Simulador!$E$9)/Simulador!$G$9)&lt;=0,(($A30-Simulador!$E$9)/Simulador!$G$9)&gt;=1),0,IF((($A30-Simulador!$E$9)/Simulador!$G$9)&lt;Simulador!$B$11,Simulador!$B$10*(1-COS(PI()*(($A30-Simulador!$E$9)/Simulador!$G$9)/Simulador!$B$11))/2,IF((($A30-Simulador!$E$9)/Simulador!$G$9)&gt;1-Simulador!$B$11,Simulador!$B$10*(1-COS(PI()*(1-(($A30-Simulador!$E$9)/Simulador!$G$9))/Simulador!$B$11))/2,Simulador!$B$10)))</f>
        <v/>
      </c>
      <c r="G30" s="46">
        <f>IF(OR((($A30-Simulador!$E$10)/Simulador!$G$10)&lt;=0,(($A30-Simulador!$E$10)/Simulador!$G$10)&gt;=1),0,IF((($A30-Simulador!$E$10)/Simulador!$G$10)&lt;Simulador!$B$11,Simulador!$B$10*(1-COS(PI()*(($A30-Simulador!$E$10)/Simulador!$G$10)/Simulador!$B$11))/2,IF((($A30-Simulador!$E$10)/Simulador!$G$10)&gt;1-Simulador!$B$11,Simulador!$B$10*(1-COS(PI()*(1-(($A30-Simulador!$E$10)/Simulador!$G$10))/Simulador!$B$11))/2,Simulador!$B$10)))</f>
        <v/>
      </c>
      <c r="Q30" s="48">
        <f>IF(OR((($A30-(Simulador!$E$6+'Salto de dientes'!$B$12))/Simulador!$G$6)&lt;=0,(($A30-(Simulador!$E$6+'Salto de dientes'!$B$12))/Simulador!$G$6)&gt;=1),0,IF((($A30-(Simulador!$E$6+'Salto de dientes'!$B$12))/Simulador!$G$6)&lt;Simulador!$B$11,Simulador!$B$9*(1-COS(PI()*(($A30-(Simulador!$E$6+'Salto de dientes'!$B$12))/Simulador!$G$6)/Simulador!$B$11))/2,IF((($A30-(Simulador!$E$6+'Salto de dientes'!$B$12))/Simulador!$G$6)&gt;1-Simulador!$B$11,Simulador!$B$9*(1-COS(PI()*(1-(($A30-(Simulador!$E$6+'Salto de dientes'!$B$12))/Simulador!$G$6))/Simulador!$B$11))/2,Simulador!$B$9)))</f>
        <v/>
      </c>
      <c r="R30" s="48">
        <f>IF(OR((($A30-(Simulador!$E$9+'Salto de dientes'!$B$12))/Simulador!$G$9)&lt;=0,(($A30-(Simulador!$E$9+'Salto de dientes'!$B$12))/Simulador!$G$9)&gt;=1),0,IF((($A30-(Simulador!$E$9+'Salto de dientes'!$B$12))/Simulador!$G$9)&lt;Simulador!$B$11,Simulador!$B$10*(1-COS(PI()*(($A30-(Simulador!$E$9+'Salto de dientes'!$B$12))/Simulador!$G$9)/Simulador!$B$11))/2,IF((($A30-(Simulador!$E$9+'Salto de dientes'!$B$12))/Simulador!$G$9)&gt;1-Simulador!$B$11,Simulador!$B$10*(1-COS(PI()*(1-(($A30-(Simulador!$E$9+'Salto de dientes'!$B$12))/Simulador!$G$9))/Simulador!$B$11))/2,Simulador!$B$10)))</f>
        <v/>
      </c>
      <c r="W30" t="n">
        <v>-96</v>
      </c>
      <c r="X30" s="48">
        <f>('Levas superpuestas'!$B$5+IF(OR(((W30-('Levas superpuestas'!$B$14-'Levas superpuestas'!$B$8/4))/('Levas superpuestas'!$B$8/2))&lt;=0,((W30-('Levas superpuestas'!$B$14-'Levas superpuestas'!$B$8/4))/('Levas superpuestas'!$B$8/2))&gt;=1),0,IF(((W30-('Levas superpuestas'!$B$14-'Levas superpuestas'!$B$8/4))/('Levas superpuestas'!$B$8/2))&lt;Simulador!$B$11,Simulador!$B$9*(1-COS(PI()*((W30-('Levas superpuestas'!$B$14-'Levas superpuestas'!$B$8/4))/('Levas superpuestas'!$B$8/2))/Simulador!$B$11))/2,IF(((W30-('Levas superpuestas'!$B$14-'Levas superpuestas'!$B$8/4))/('Levas superpuestas'!$B$8/2))&gt;1-Simulador!$B$11,Simulador!$B$9*(1-COS(PI()*(1-((W30-('Levas superpuestas'!$B$14-'Levas superpuestas'!$B$8/4))/('Levas superpuestas'!$B$8/2)))/Simulador!$B$11))/2,Simulador!$B$9))))*SIN(RADIANS(W30))</f>
        <v/>
      </c>
      <c r="Y30" s="48">
        <f>('Levas superpuestas'!$B$5+IF(OR(((W30-('Levas superpuestas'!$B$14-'Levas superpuestas'!$B$8/4))/('Levas superpuestas'!$B$8/2))&lt;=0,((W30-('Levas superpuestas'!$B$14-'Levas superpuestas'!$B$8/4))/('Levas superpuestas'!$B$8/2))&gt;=1),0,IF(((W30-('Levas superpuestas'!$B$14-'Levas superpuestas'!$B$8/4))/('Levas superpuestas'!$B$8/2))&lt;Simulador!$B$11,Simulador!$B$9*(1-COS(PI()*((W30-('Levas superpuestas'!$B$14-'Levas superpuestas'!$B$8/4))/('Levas superpuestas'!$B$8/2))/Simulador!$B$11))/2,IF(((W30-('Levas superpuestas'!$B$14-'Levas superpuestas'!$B$8/4))/('Levas superpuestas'!$B$8/2))&gt;1-Simulador!$B$11,Simulador!$B$9*(1-COS(PI()*(1-((W30-('Levas superpuestas'!$B$14-'Levas superpuestas'!$B$8/4))/('Levas superpuestas'!$B$8/2)))/Simulador!$B$11))/2,Simulador!$B$9))))*COS(RADIANS(W30))</f>
        <v/>
      </c>
      <c r="Z30" s="48">
        <f>('Levas superpuestas'!$B$5+IF(OR(((W30-('Levas superpuestas'!$B$15-'Levas superpuestas'!$B$9/4))/('Levas superpuestas'!$B$9/2))&lt;=0,((W30-('Levas superpuestas'!$B$15-'Levas superpuestas'!$B$9/4))/('Levas superpuestas'!$B$9/2))&gt;=1),0,IF(((W30-('Levas superpuestas'!$B$15-'Levas superpuestas'!$B$9/4))/('Levas superpuestas'!$B$9/2))&lt;Simulador!$B$11,Simulador!$B$10*(1-COS(PI()*((W30-('Levas superpuestas'!$B$15-'Levas superpuestas'!$B$9/4))/('Levas superpuestas'!$B$9/2))/Simulador!$B$11))/2,IF(((W30-('Levas superpuestas'!$B$15-'Levas superpuestas'!$B$9/4))/('Levas superpuestas'!$B$9/2))&gt;1-Simulador!$B$11,Simulador!$B$10*(1-COS(PI()*(1-((W30-('Levas superpuestas'!$B$15-'Levas superpuestas'!$B$9/4))/('Levas superpuestas'!$B$9/2)))/Simulador!$B$11))/2,Simulador!$B$10))))*SIN(RADIANS(W30))</f>
        <v/>
      </c>
      <c r="AA30" s="48">
        <f>('Levas superpuestas'!$B$5+IF(OR(((W30-('Levas superpuestas'!$B$15-'Levas superpuestas'!$B$9/4))/('Levas superpuestas'!$B$9/2))&lt;=0,((W30-('Levas superpuestas'!$B$15-'Levas superpuestas'!$B$9/4))/('Levas superpuestas'!$B$9/2))&gt;=1),0,IF(((W30-('Levas superpuestas'!$B$15-'Levas superpuestas'!$B$9/4))/('Levas superpuestas'!$B$9/2))&lt;Simulador!$B$11,Simulador!$B$10*(1-COS(PI()*((W30-('Levas superpuestas'!$B$15-'Levas superpuestas'!$B$9/4))/('Levas superpuestas'!$B$9/2))/Simulador!$B$11))/2,IF(((W30-('Levas superpuestas'!$B$15-'Levas superpuestas'!$B$9/4))/('Levas superpuestas'!$B$9/2))&gt;1-Simulador!$B$11,Simulador!$B$10*(1-COS(PI()*(1-((W30-('Levas superpuestas'!$B$15-'Levas superpuestas'!$B$9/4))/('Levas superpuestas'!$B$9/2)))/Simulador!$B$11))/2,Simulador!$B$10))))*COS(RADIANS(W30))</f>
        <v/>
      </c>
      <c r="AB30">
        <f>'Levas superpuestas'!$B$5*SIN(RADIANS(W30))</f>
        <v/>
      </c>
      <c r="AC30">
        <f>'Levas superpuestas'!$B$5*COS(RADIANS(W30))</f>
        <v/>
      </c>
    </row>
    <row r="31">
      <c r="A31" s="26">
        <f>A30+Simulador!$B$14</f>
        <v/>
      </c>
      <c r="B31" s="46">
        <f>IF(OR((($A31-Simulador!$E$5)/Simulador!$G$5)&lt;=0,(($A31-Simulador!$E$5)/Simulador!$G$5)&gt;=1),0,IF((($A31-Simulador!$E$5)/Simulador!$G$5)&lt;Simulador!$B$11,Simulador!$B$9*(1-COS(PI()*(($A31-Simulador!$E$5)/Simulador!$G$5)/Simulador!$B$11))/2,IF((($A31-Simulador!$E$5)/Simulador!$G$5)&gt;1-Simulador!$B$11,Simulador!$B$9*(1-COS(PI()*(1-(($A31-Simulador!$E$5)/Simulador!$G$5))/Simulador!$B$11))/2,Simulador!$B$9)))</f>
        <v/>
      </c>
      <c r="C31" s="46">
        <f>IF(OR((($A31-Simulador!$E$6)/Simulador!$G$6)&lt;=0,(($A31-Simulador!$E$6)/Simulador!$G$6)&gt;=1),0,IF((($A31-Simulador!$E$6)/Simulador!$G$6)&lt;Simulador!$B$11,Simulador!$B$9*(1-COS(PI()*(($A31-Simulador!$E$6)/Simulador!$G$6)/Simulador!$B$11))/2,IF((($A31-Simulador!$E$6)/Simulador!$G$6)&gt;1-Simulador!$B$11,Simulador!$B$9*(1-COS(PI()*(1-(($A31-Simulador!$E$6)/Simulador!$G$6))/Simulador!$B$11))/2,Simulador!$B$9)))</f>
        <v/>
      </c>
      <c r="D31" s="46">
        <f>IF(OR((($A31-Simulador!$E$7)/Simulador!$G$7)&lt;=0,(($A31-Simulador!$E$7)/Simulador!$G$7)&gt;=1),0,IF((($A31-Simulador!$E$7)/Simulador!$G$7)&lt;Simulador!$B$11,Simulador!$B$9*(1-COS(PI()*(($A31-Simulador!$E$7)/Simulador!$G$7)/Simulador!$B$11))/2,IF((($A31-Simulador!$E$7)/Simulador!$G$7)&gt;1-Simulador!$B$11,Simulador!$B$9*(1-COS(PI()*(1-(($A31-Simulador!$E$7)/Simulador!$G$7))/Simulador!$B$11))/2,Simulador!$B$9)))</f>
        <v/>
      </c>
      <c r="E31" s="46">
        <f>IF(OR((($A31-Simulador!$E$8)/Simulador!$G$8)&lt;=0,(($A31-Simulador!$E$8)/Simulador!$G$8)&gt;=1),0,IF((($A31-Simulador!$E$8)/Simulador!$G$8)&lt;Simulador!$B$11,Simulador!$B$10*(1-COS(PI()*(($A31-Simulador!$E$8)/Simulador!$G$8)/Simulador!$B$11))/2,IF((($A31-Simulador!$E$8)/Simulador!$G$8)&gt;1-Simulador!$B$11,Simulador!$B$10*(1-COS(PI()*(1-(($A31-Simulador!$E$8)/Simulador!$G$8))/Simulador!$B$11))/2,Simulador!$B$10)))</f>
        <v/>
      </c>
      <c r="F31" s="46">
        <f>IF(OR((($A31-Simulador!$E$9)/Simulador!$G$9)&lt;=0,(($A31-Simulador!$E$9)/Simulador!$G$9)&gt;=1),0,IF((($A31-Simulador!$E$9)/Simulador!$G$9)&lt;Simulador!$B$11,Simulador!$B$10*(1-COS(PI()*(($A31-Simulador!$E$9)/Simulador!$G$9)/Simulador!$B$11))/2,IF((($A31-Simulador!$E$9)/Simulador!$G$9)&gt;1-Simulador!$B$11,Simulador!$B$10*(1-COS(PI()*(1-(($A31-Simulador!$E$9)/Simulador!$G$9))/Simulador!$B$11))/2,Simulador!$B$10)))</f>
        <v/>
      </c>
      <c r="G31" s="46">
        <f>IF(OR((($A31-Simulador!$E$10)/Simulador!$G$10)&lt;=0,(($A31-Simulador!$E$10)/Simulador!$G$10)&gt;=1),0,IF((($A31-Simulador!$E$10)/Simulador!$G$10)&lt;Simulador!$B$11,Simulador!$B$10*(1-COS(PI()*(($A31-Simulador!$E$10)/Simulador!$G$10)/Simulador!$B$11))/2,IF((($A31-Simulador!$E$10)/Simulador!$G$10)&gt;1-Simulador!$B$11,Simulador!$B$10*(1-COS(PI()*(1-(($A31-Simulador!$E$10)/Simulador!$G$10))/Simulador!$B$11))/2,Simulador!$B$10)))</f>
        <v/>
      </c>
      <c r="Q31" s="48">
        <f>IF(OR((($A31-(Simulador!$E$6+'Salto de dientes'!$B$12))/Simulador!$G$6)&lt;=0,(($A31-(Simulador!$E$6+'Salto de dientes'!$B$12))/Simulador!$G$6)&gt;=1),0,IF((($A31-(Simulador!$E$6+'Salto de dientes'!$B$12))/Simulador!$G$6)&lt;Simulador!$B$11,Simulador!$B$9*(1-COS(PI()*(($A31-(Simulador!$E$6+'Salto de dientes'!$B$12))/Simulador!$G$6)/Simulador!$B$11))/2,IF((($A31-(Simulador!$E$6+'Salto de dientes'!$B$12))/Simulador!$G$6)&gt;1-Simulador!$B$11,Simulador!$B$9*(1-COS(PI()*(1-(($A31-(Simulador!$E$6+'Salto de dientes'!$B$12))/Simulador!$G$6))/Simulador!$B$11))/2,Simulador!$B$9)))</f>
        <v/>
      </c>
      <c r="R31" s="48">
        <f>IF(OR((($A31-(Simulador!$E$9+'Salto de dientes'!$B$12))/Simulador!$G$9)&lt;=0,(($A31-(Simulador!$E$9+'Salto de dientes'!$B$12))/Simulador!$G$9)&gt;=1),0,IF((($A31-(Simulador!$E$9+'Salto de dientes'!$B$12))/Simulador!$G$9)&lt;Simulador!$B$11,Simulador!$B$10*(1-COS(PI()*(($A31-(Simulador!$E$9+'Salto de dientes'!$B$12))/Simulador!$G$9)/Simulador!$B$11))/2,IF((($A31-(Simulador!$E$9+'Salto de dientes'!$B$12))/Simulador!$G$9)&gt;1-Simulador!$B$11,Simulador!$B$10*(1-COS(PI()*(1-(($A31-(Simulador!$E$9+'Salto de dientes'!$B$12))/Simulador!$G$9))/Simulador!$B$11))/2,Simulador!$B$10)))</f>
        <v/>
      </c>
      <c r="W31" t="n">
        <v>-93</v>
      </c>
      <c r="X31" s="48">
        <f>('Levas superpuestas'!$B$5+IF(OR(((W31-('Levas superpuestas'!$B$14-'Levas superpuestas'!$B$8/4))/('Levas superpuestas'!$B$8/2))&lt;=0,((W31-('Levas superpuestas'!$B$14-'Levas superpuestas'!$B$8/4))/('Levas superpuestas'!$B$8/2))&gt;=1),0,IF(((W31-('Levas superpuestas'!$B$14-'Levas superpuestas'!$B$8/4))/('Levas superpuestas'!$B$8/2))&lt;Simulador!$B$11,Simulador!$B$9*(1-COS(PI()*((W31-('Levas superpuestas'!$B$14-'Levas superpuestas'!$B$8/4))/('Levas superpuestas'!$B$8/2))/Simulador!$B$11))/2,IF(((W31-('Levas superpuestas'!$B$14-'Levas superpuestas'!$B$8/4))/('Levas superpuestas'!$B$8/2))&gt;1-Simulador!$B$11,Simulador!$B$9*(1-COS(PI()*(1-((W31-('Levas superpuestas'!$B$14-'Levas superpuestas'!$B$8/4))/('Levas superpuestas'!$B$8/2)))/Simulador!$B$11))/2,Simulador!$B$9))))*SIN(RADIANS(W31))</f>
        <v/>
      </c>
      <c r="Y31" s="48">
        <f>('Levas superpuestas'!$B$5+IF(OR(((W31-('Levas superpuestas'!$B$14-'Levas superpuestas'!$B$8/4))/('Levas superpuestas'!$B$8/2))&lt;=0,((W31-('Levas superpuestas'!$B$14-'Levas superpuestas'!$B$8/4))/('Levas superpuestas'!$B$8/2))&gt;=1),0,IF(((W31-('Levas superpuestas'!$B$14-'Levas superpuestas'!$B$8/4))/('Levas superpuestas'!$B$8/2))&lt;Simulador!$B$11,Simulador!$B$9*(1-COS(PI()*((W31-('Levas superpuestas'!$B$14-'Levas superpuestas'!$B$8/4))/('Levas superpuestas'!$B$8/2))/Simulador!$B$11))/2,IF(((W31-('Levas superpuestas'!$B$14-'Levas superpuestas'!$B$8/4))/('Levas superpuestas'!$B$8/2))&gt;1-Simulador!$B$11,Simulador!$B$9*(1-COS(PI()*(1-((W31-('Levas superpuestas'!$B$14-'Levas superpuestas'!$B$8/4))/('Levas superpuestas'!$B$8/2)))/Simulador!$B$11))/2,Simulador!$B$9))))*COS(RADIANS(W31))</f>
        <v/>
      </c>
      <c r="Z31" s="48">
        <f>('Levas superpuestas'!$B$5+IF(OR(((W31-('Levas superpuestas'!$B$15-'Levas superpuestas'!$B$9/4))/('Levas superpuestas'!$B$9/2))&lt;=0,((W31-('Levas superpuestas'!$B$15-'Levas superpuestas'!$B$9/4))/('Levas superpuestas'!$B$9/2))&gt;=1),0,IF(((W31-('Levas superpuestas'!$B$15-'Levas superpuestas'!$B$9/4))/('Levas superpuestas'!$B$9/2))&lt;Simulador!$B$11,Simulador!$B$10*(1-COS(PI()*((W31-('Levas superpuestas'!$B$15-'Levas superpuestas'!$B$9/4))/('Levas superpuestas'!$B$9/2))/Simulador!$B$11))/2,IF(((W31-('Levas superpuestas'!$B$15-'Levas superpuestas'!$B$9/4))/('Levas superpuestas'!$B$9/2))&gt;1-Simulador!$B$11,Simulador!$B$10*(1-COS(PI()*(1-((W31-('Levas superpuestas'!$B$15-'Levas superpuestas'!$B$9/4))/('Levas superpuestas'!$B$9/2)))/Simulador!$B$11))/2,Simulador!$B$10))))*SIN(RADIANS(W31))</f>
        <v/>
      </c>
      <c r="AA31" s="48">
        <f>('Levas superpuestas'!$B$5+IF(OR(((W31-('Levas superpuestas'!$B$15-'Levas superpuestas'!$B$9/4))/('Levas superpuestas'!$B$9/2))&lt;=0,((W31-('Levas superpuestas'!$B$15-'Levas superpuestas'!$B$9/4))/('Levas superpuestas'!$B$9/2))&gt;=1),0,IF(((W31-('Levas superpuestas'!$B$15-'Levas superpuestas'!$B$9/4))/('Levas superpuestas'!$B$9/2))&lt;Simulador!$B$11,Simulador!$B$10*(1-COS(PI()*((W31-('Levas superpuestas'!$B$15-'Levas superpuestas'!$B$9/4))/('Levas superpuestas'!$B$9/2))/Simulador!$B$11))/2,IF(((W31-('Levas superpuestas'!$B$15-'Levas superpuestas'!$B$9/4))/('Levas superpuestas'!$B$9/2))&gt;1-Simulador!$B$11,Simulador!$B$10*(1-COS(PI()*(1-((W31-('Levas superpuestas'!$B$15-'Levas superpuestas'!$B$9/4))/('Levas superpuestas'!$B$9/2)))/Simulador!$B$11))/2,Simulador!$B$10))))*COS(RADIANS(W31))</f>
        <v/>
      </c>
      <c r="AB31">
        <f>'Levas superpuestas'!$B$5*SIN(RADIANS(W31))</f>
        <v/>
      </c>
      <c r="AC31">
        <f>'Levas superpuestas'!$B$5*COS(RADIANS(W31))</f>
        <v/>
      </c>
    </row>
    <row r="32">
      <c r="A32" s="26">
        <f>A31+Simulador!$B$14</f>
        <v/>
      </c>
      <c r="B32" s="46">
        <f>IF(OR((($A32-Simulador!$E$5)/Simulador!$G$5)&lt;=0,(($A32-Simulador!$E$5)/Simulador!$G$5)&gt;=1),0,IF((($A32-Simulador!$E$5)/Simulador!$G$5)&lt;Simulador!$B$11,Simulador!$B$9*(1-COS(PI()*(($A32-Simulador!$E$5)/Simulador!$G$5)/Simulador!$B$11))/2,IF((($A32-Simulador!$E$5)/Simulador!$G$5)&gt;1-Simulador!$B$11,Simulador!$B$9*(1-COS(PI()*(1-(($A32-Simulador!$E$5)/Simulador!$G$5))/Simulador!$B$11))/2,Simulador!$B$9)))</f>
        <v/>
      </c>
      <c r="C32" s="46">
        <f>IF(OR((($A32-Simulador!$E$6)/Simulador!$G$6)&lt;=0,(($A32-Simulador!$E$6)/Simulador!$G$6)&gt;=1),0,IF((($A32-Simulador!$E$6)/Simulador!$G$6)&lt;Simulador!$B$11,Simulador!$B$9*(1-COS(PI()*(($A32-Simulador!$E$6)/Simulador!$G$6)/Simulador!$B$11))/2,IF((($A32-Simulador!$E$6)/Simulador!$G$6)&gt;1-Simulador!$B$11,Simulador!$B$9*(1-COS(PI()*(1-(($A32-Simulador!$E$6)/Simulador!$G$6))/Simulador!$B$11))/2,Simulador!$B$9)))</f>
        <v/>
      </c>
      <c r="D32" s="46">
        <f>IF(OR((($A32-Simulador!$E$7)/Simulador!$G$7)&lt;=0,(($A32-Simulador!$E$7)/Simulador!$G$7)&gt;=1),0,IF((($A32-Simulador!$E$7)/Simulador!$G$7)&lt;Simulador!$B$11,Simulador!$B$9*(1-COS(PI()*(($A32-Simulador!$E$7)/Simulador!$G$7)/Simulador!$B$11))/2,IF((($A32-Simulador!$E$7)/Simulador!$G$7)&gt;1-Simulador!$B$11,Simulador!$B$9*(1-COS(PI()*(1-(($A32-Simulador!$E$7)/Simulador!$G$7))/Simulador!$B$11))/2,Simulador!$B$9)))</f>
        <v/>
      </c>
      <c r="E32" s="46">
        <f>IF(OR((($A32-Simulador!$E$8)/Simulador!$G$8)&lt;=0,(($A32-Simulador!$E$8)/Simulador!$G$8)&gt;=1),0,IF((($A32-Simulador!$E$8)/Simulador!$G$8)&lt;Simulador!$B$11,Simulador!$B$10*(1-COS(PI()*(($A32-Simulador!$E$8)/Simulador!$G$8)/Simulador!$B$11))/2,IF((($A32-Simulador!$E$8)/Simulador!$G$8)&gt;1-Simulador!$B$11,Simulador!$B$10*(1-COS(PI()*(1-(($A32-Simulador!$E$8)/Simulador!$G$8))/Simulador!$B$11))/2,Simulador!$B$10)))</f>
        <v/>
      </c>
      <c r="F32" s="46">
        <f>IF(OR((($A32-Simulador!$E$9)/Simulador!$G$9)&lt;=0,(($A32-Simulador!$E$9)/Simulador!$G$9)&gt;=1),0,IF((($A32-Simulador!$E$9)/Simulador!$G$9)&lt;Simulador!$B$11,Simulador!$B$10*(1-COS(PI()*(($A32-Simulador!$E$9)/Simulador!$G$9)/Simulador!$B$11))/2,IF((($A32-Simulador!$E$9)/Simulador!$G$9)&gt;1-Simulador!$B$11,Simulador!$B$10*(1-COS(PI()*(1-(($A32-Simulador!$E$9)/Simulador!$G$9))/Simulador!$B$11))/2,Simulador!$B$10)))</f>
        <v/>
      </c>
      <c r="G32" s="46">
        <f>IF(OR((($A32-Simulador!$E$10)/Simulador!$G$10)&lt;=0,(($A32-Simulador!$E$10)/Simulador!$G$10)&gt;=1),0,IF((($A32-Simulador!$E$10)/Simulador!$G$10)&lt;Simulador!$B$11,Simulador!$B$10*(1-COS(PI()*(($A32-Simulador!$E$10)/Simulador!$G$10)/Simulador!$B$11))/2,IF((($A32-Simulador!$E$10)/Simulador!$G$10)&gt;1-Simulador!$B$11,Simulador!$B$10*(1-COS(PI()*(1-(($A32-Simulador!$E$10)/Simulador!$G$10))/Simulador!$B$11))/2,Simulador!$B$10)))</f>
        <v/>
      </c>
      <c r="Q32" s="48">
        <f>IF(OR((($A32-(Simulador!$E$6+'Salto de dientes'!$B$12))/Simulador!$G$6)&lt;=0,(($A32-(Simulador!$E$6+'Salto de dientes'!$B$12))/Simulador!$G$6)&gt;=1),0,IF((($A32-(Simulador!$E$6+'Salto de dientes'!$B$12))/Simulador!$G$6)&lt;Simulador!$B$11,Simulador!$B$9*(1-COS(PI()*(($A32-(Simulador!$E$6+'Salto de dientes'!$B$12))/Simulador!$G$6)/Simulador!$B$11))/2,IF((($A32-(Simulador!$E$6+'Salto de dientes'!$B$12))/Simulador!$G$6)&gt;1-Simulador!$B$11,Simulador!$B$9*(1-COS(PI()*(1-(($A32-(Simulador!$E$6+'Salto de dientes'!$B$12))/Simulador!$G$6))/Simulador!$B$11))/2,Simulador!$B$9)))</f>
        <v/>
      </c>
      <c r="R32" s="48">
        <f>IF(OR((($A32-(Simulador!$E$9+'Salto de dientes'!$B$12))/Simulador!$G$9)&lt;=0,(($A32-(Simulador!$E$9+'Salto de dientes'!$B$12))/Simulador!$G$9)&gt;=1),0,IF((($A32-(Simulador!$E$9+'Salto de dientes'!$B$12))/Simulador!$G$9)&lt;Simulador!$B$11,Simulador!$B$10*(1-COS(PI()*(($A32-(Simulador!$E$9+'Salto de dientes'!$B$12))/Simulador!$G$9)/Simulador!$B$11))/2,IF((($A32-(Simulador!$E$9+'Salto de dientes'!$B$12))/Simulador!$G$9)&gt;1-Simulador!$B$11,Simulador!$B$10*(1-COS(PI()*(1-(($A32-(Simulador!$E$9+'Salto de dientes'!$B$12))/Simulador!$G$9))/Simulador!$B$11))/2,Simulador!$B$10)))</f>
        <v/>
      </c>
      <c r="W32" t="n">
        <v>-90</v>
      </c>
      <c r="X32" s="48">
        <f>('Levas superpuestas'!$B$5+IF(OR(((W32-('Levas superpuestas'!$B$14-'Levas superpuestas'!$B$8/4))/('Levas superpuestas'!$B$8/2))&lt;=0,((W32-('Levas superpuestas'!$B$14-'Levas superpuestas'!$B$8/4))/('Levas superpuestas'!$B$8/2))&gt;=1),0,IF(((W32-('Levas superpuestas'!$B$14-'Levas superpuestas'!$B$8/4))/('Levas superpuestas'!$B$8/2))&lt;Simulador!$B$11,Simulador!$B$9*(1-COS(PI()*((W32-('Levas superpuestas'!$B$14-'Levas superpuestas'!$B$8/4))/('Levas superpuestas'!$B$8/2))/Simulador!$B$11))/2,IF(((W32-('Levas superpuestas'!$B$14-'Levas superpuestas'!$B$8/4))/('Levas superpuestas'!$B$8/2))&gt;1-Simulador!$B$11,Simulador!$B$9*(1-COS(PI()*(1-((W32-('Levas superpuestas'!$B$14-'Levas superpuestas'!$B$8/4))/('Levas superpuestas'!$B$8/2)))/Simulador!$B$11))/2,Simulador!$B$9))))*SIN(RADIANS(W32))</f>
        <v/>
      </c>
      <c r="Y32" s="48">
        <f>('Levas superpuestas'!$B$5+IF(OR(((W32-('Levas superpuestas'!$B$14-'Levas superpuestas'!$B$8/4))/('Levas superpuestas'!$B$8/2))&lt;=0,((W32-('Levas superpuestas'!$B$14-'Levas superpuestas'!$B$8/4))/('Levas superpuestas'!$B$8/2))&gt;=1),0,IF(((W32-('Levas superpuestas'!$B$14-'Levas superpuestas'!$B$8/4))/('Levas superpuestas'!$B$8/2))&lt;Simulador!$B$11,Simulador!$B$9*(1-COS(PI()*((W32-('Levas superpuestas'!$B$14-'Levas superpuestas'!$B$8/4))/('Levas superpuestas'!$B$8/2))/Simulador!$B$11))/2,IF(((W32-('Levas superpuestas'!$B$14-'Levas superpuestas'!$B$8/4))/('Levas superpuestas'!$B$8/2))&gt;1-Simulador!$B$11,Simulador!$B$9*(1-COS(PI()*(1-((W32-('Levas superpuestas'!$B$14-'Levas superpuestas'!$B$8/4))/('Levas superpuestas'!$B$8/2)))/Simulador!$B$11))/2,Simulador!$B$9))))*COS(RADIANS(W32))</f>
        <v/>
      </c>
      <c r="Z32" s="48">
        <f>('Levas superpuestas'!$B$5+IF(OR(((W32-('Levas superpuestas'!$B$15-'Levas superpuestas'!$B$9/4))/('Levas superpuestas'!$B$9/2))&lt;=0,((W32-('Levas superpuestas'!$B$15-'Levas superpuestas'!$B$9/4))/('Levas superpuestas'!$B$9/2))&gt;=1),0,IF(((W32-('Levas superpuestas'!$B$15-'Levas superpuestas'!$B$9/4))/('Levas superpuestas'!$B$9/2))&lt;Simulador!$B$11,Simulador!$B$10*(1-COS(PI()*((W32-('Levas superpuestas'!$B$15-'Levas superpuestas'!$B$9/4))/('Levas superpuestas'!$B$9/2))/Simulador!$B$11))/2,IF(((W32-('Levas superpuestas'!$B$15-'Levas superpuestas'!$B$9/4))/('Levas superpuestas'!$B$9/2))&gt;1-Simulador!$B$11,Simulador!$B$10*(1-COS(PI()*(1-((W32-('Levas superpuestas'!$B$15-'Levas superpuestas'!$B$9/4))/('Levas superpuestas'!$B$9/2)))/Simulador!$B$11))/2,Simulador!$B$10))))*SIN(RADIANS(W32))</f>
        <v/>
      </c>
      <c r="AA32" s="48">
        <f>('Levas superpuestas'!$B$5+IF(OR(((W32-('Levas superpuestas'!$B$15-'Levas superpuestas'!$B$9/4))/('Levas superpuestas'!$B$9/2))&lt;=0,((W32-('Levas superpuestas'!$B$15-'Levas superpuestas'!$B$9/4))/('Levas superpuestas'!$B$9/2))&gt;=1),0,IF(((W32-('Levas superpuestas'!$B$15-'Levas superpuestas'!$B$9/4))/('Levas superpuestas'!$B$9/2))&lt;Simulador!$B$11,Simulador!$B$10*(1-COS(PI()*((W32-('Levas superpuestas'!$B$15-'Levas superpuestas'!$B$9/4))/('Levas superpuestas'!$B$9/2))/Simulador!$B$11))/2,IF(((W32-('Levas superpuestas'!$B$15-'Levas superpuestas'!$B$9/4))/('Levas superpuestas'!$B$9/2))&gt;1-Simulador!$B$11,Simulador!$B$10*(1-COS(PI()*(1-((W32-('Levas superpuestas'!$B$15-'Levas superpuestas'!$B$9/4))/('Levas superpuestas'!$B$9/2)))/Simulador!$B$11))/2,Simulador!$B$10))))*COS(RADIANS(W32))</f>
        <v/>
      </c>
      <c r="AB32">
        <f>'Levas superpuestas'!$B$5*SIN(RADIANS(W32))</f>
        <v/>
      </c>
      <c r="AC32">
        <f>'Levas superpuestas'!$B$5*COS(RADIANS(W32))</f>
        <v/>
      </c>
    </row>
    <row r="33">
      <c r="A33" s="26">
        <f>A32+Simulador!$B$14</f>
        <v/>
      </c>
      <c r="B33" s="46">
        <f>IF(OR((($A33-Simulador!$E$5)/Simulador!$G$5)&lt;=0,(($A33-Simulador!$E$5)/Simulador!$G$5)&gt;=1),0,IF((($A33-Simulador!$E$5)/Simulador!$G$5)&lt;Simulador!$B$11,Simulador!$B$9*(1-COS(PI()*(($A33-Simulador!$E$5)/Simulador!$G$5)/Simulador!$B$11))/2,IF((($A33-Simulador!$E$5)/Simulador!$G$5)&gt;1-Simulador!$B$11,Simulador!$B$9*(1-COS(PI()*(1-(($A33-Simulador!$E$5)/Simulador!$G$5))/Simulador!$B$11))/2,Simulador!$B$9)))</f>
        <v/>
      </c>
      <c r="C33" s="46">
        <f>IF(OR((($A33-Simulador!$E$6)/Simulador!$G$6)&lt;=0,(($A33-Simulador!$E$6)/Simulador!$G$6)&gt;=1),0,IF((($A33-Simulador!$E$6)/Simulador!$G$6)&lt;Simulador!$B$11,Simulador!$B$9*(1-COS(PI()*(($A33-Simulador!$E$6)/Simulador!$G$6)/Simulador!$B$11))/2,IF((($A33-Simulador!$E$6)/Simulador!$G$6)&gt;1-Simulador!$B$11,Simulador!$B$9*(1-COS(PI()*(1-(($A33-Simulador!$E$6)/Simulador!$G$6))/Simulador!$B$11))/2,Simulador!$B$9)))</f>
        <v/>
      </c>
      <c r="D33" s="46">
        <f>IF(OR((($A33-Simulador!$E$7)/Simulador!$G$7)&lt;=0,(($A33-Simulador!$E$7)/Simulador!$G$7)&gt;=1),0,IF((($A33-Simulador!$E$7)/Simulador!$G$7)&lt;Simulador!$B$11,Simulador!$B$9*(1-COS(PI()*(($A33-Simulador!$E$7)/Simulador!$G$7)/Simulador!$B$11))/2,IF((($A33-Simulador!$E$7)/Simulador!$G$7)&gt;1-Simulador!$B$11,Simulador!$B$9*(1-COS(PI()*(1-(($A33-Simulador!$E$7)/Simulador!$G$7))/Simulador!$B$11))/2,Simulador!$B$9)))</f>
        <v/>
      </c>
      <c r="E33" s="46">
        <f>IF(OR((($A33-Simulador!$E$8)/Simulador!$G$8)&lt;=0,(($A33-Simulador!$E$8)/Simulador!$G$8)&gt;=1),0,IF((($A33-Simulador!$E$8)/Simulador!$G$8)&lt;Simulador!$B$11,Simulador!$B$10*(1-COS(PI()*(($A33-Simulador!$E$8)/Simulador!$G$8)/Simulador!$B$11))/2,IF((($A33-Simulador!$E$8)/Simulador!$G$8)&gt;1-Simulador!$B$11,Simulador!$B$10*(1-COS(PI()*(1-(($A33-Simulador!$E$8)/Simulador!$G$8))/Simulador!$B$11))/2,Simulador!$B$10)))</f>
        <v/>
      </c>
      <c r="F33" s="46">
        <f>IF(OR((($A33-Simulador!$E$9)/Simulador!$G$9)&lt;=0,(($A33-Simulador!$E$9)/Simulador!$G$9)&gt;=1),0,IF((($A33-Simulador!$E$9)/Simulador!$G$9)&lt;Simulador!$B$11,Simulador!$B$10*(1-COS(PI()*(($A33-Simulador!$E$9)/Simulador!$G$9)/Simulador!$B$11))/2,IF((($A33-Simulador!$E$9)/Simulador!$G$9)&gt;1-Simulador!$B$11,Simulador!$B$10*(1-COS(PI()*(1-(($A33-Simulador!$E$9)/Simulador!$G$9))/Simulador!$B$11))/2,Simulador!$B$10)))</f>
        <v/>
      </c>
      <c r="G33" s="46">
        <f>IF(OR((($A33-Simulador!$E$10)/Simulador!$G$10)&lt;=0,(($A33-Simulador!$E$10)/Simulador!$G$10)&gt;=1),0,IF((($A33-Simulador!$E$10)/Simulador!$G$10)&lt;Simulador!$B$11,Simulador!$B$10*(1-COS(PI()*(($A33-Simulador!$E$10)/Simulador!$G$10)/Simulador!$B$11))/2,IF((($A33-Simulador!$E$10)/Simulador!$G$10)&gt;1-Simulador!$B$11,Simulador!$B$10*(1-COS(PI()*(1-(($A33-Simulador!$E$10)/Simulador!$G$10))/Simulador!$B$11))/2,Simulador!$B$10)))</f>
        <v/>
      </c>
      <c r="Q33" s="48">
        <f>IF(OR((($A33-(Simulador!$E$6+'Salto de dientes'!$B$12))/Simulador!$G$6)&lt;=0,(($A33-(Simulador!$E$6+'Salto de dientes'!$B$12))/Simulador!$G$6)&gt;=1),0,IF((($A33-(Simulador!$E$6+'Salto de dientes'!$B$12))/Simulador!$G$6)&lt;Simulador!$B$11,Simulador!$B$9*(1-COS(PI()*(($A33-(Simulador!$E$6+'Salto de dientes'!$B$12))/Simulador!$G$6)/Simulador!$B$11))/2,IF((($A33-(Simulador!$E$6+'Salto de dientes'!$B$12))/Simulador!$G$6)&gt;1-Simulador!$B$11,Simulador!$B$9*(1-COS(PI()*(1-(($A33-(Simulador!$E$6+'Salto de dientes'!$B$12))/Simulador!$G$6))/Simulador!$B$11))/2,Simulador!$B$9)))</f>
        <v/>
      </c>
      <c r="R33" s="48">
        <f>IF(OR((($A33-(Simulador!$E$9+'Salto de dientes'!$B$12))/Simulador!$G$9)&lt;=0,(($A33-(Simulador!$E$9+'Salto de dientes'!$B$12))/Simulador!$G$9)&gt;=1),0,IF((($A33-(Simulador!$E$9+'Salto de dientes'!$B$12))/Simulador!$G$9)&lt;Simulador!$B$11,Simulador!$B$10*(1-COS(PI()*(($A33-(Simulador!$E$9+'Salto de dientes'!$B$12))/Simulador!$G$9)/Simulador!$B$11))/2,IF((($A33-(Simulador!$E$9+'Salto de dientes'!$B$12))/Simulador!$G$9)&gt;1-Simulador!$B$11,Simulador!$B$10*(1-COS(PI()*(1-(($A33-(Simulador!$E$9+'Salto de dientes'!$B$12))/Simulador!$G$9))/Simulador!$B$11))/2,Simulador!$B$10)))</f>
        <v/>
      </c>
      <c r="W33" t="n">
        <v>-87</v>
      </c>
      <c r="X33" s="48">
        <f>('Levas superpuestas'!$B$5+IF(OR(((W33-('Levas superpuestas'!$B$14-'Levas superpuestas'!$B$8/4))/('Levas superpuestas'!$B$8/2))&lt;=0,((W33-('Levas superpuestas'!$B$14-'Levas superpuestas'!$B$8/4))/('Levas superpuestas'!$B$8/2))&gt;=1),0,IF(((W33-('Levas superpuestas'!$B$14-'Levas superpuestas'!$B$8/4))/('Levas superpuestas'!$B$8/2))&lt;Simulador!$B$11,Simulador!$B$9*(1-COS(PI()*((W33-('Levas superpuestas'!$B$14-'Levas superpuestas'!$B$8/4))/('Levas superpuestas'!$B$8/2))/Simulador!$B$11))/2,IF(((W33-('Levas superpuestas'!$B$14-'Levas superpuestas'!$B$8/4))/('Levas superpuestas'!$B$8/2))&gt;1-Simulador!$B$11,Simulador!$B$9*(1-COS(PI()*(1-((W33-('Levas superpuestas'!$B$14-'Levas superpuestas'!$B$8/4))/('Levas superpuestas'!$B$8/2)))/Simulador!$B$11))/2,Simulador!$B$9))))*SIN(RADIANS(W33))</f>
        <v/>
      </c>
      <c r="Y33" s="48">
        <f>('Levas superpuestas'!$B$5+IF(OR(((W33-('Levas superpuestas'!$B$14-'Levas superpuestas'!$B$8/4))/('Levas superpuestas'!$B$8/2))&lt;=0,((W33-('Levas superpuestas'!$B$14-'Levas superpuestas'!$B$8/4))/('Levas superpuestas'!$B$8/2))&gt;=1),0,IF(((W33-('Levas superpuestas'!$B$14-'Levas superpuestas'!$B$8/4))/('Levas superpuestas'!$B$8/2))&lt;Simulador!$B$11,Simulador!$B$9*(1-COS(PI()*((W33-('Levas superpuestas'!$B$14-'Levas superpuestas'!$B$8/4))/('Levas superpuestas'!$B$8/2))/Simulador!$B$11))/2,IF(((W33-('Levas superpuestas'!$B$14-'Levas superpuestas'!$B$8/4))/('Levas superpuestas'!$B$8/2))&gt;1-Simulador!$B$11,Simulador!$B$9*(1-COS(PI()*(1-((W33-('Levas superpuestas'!$B$14-'Levas superpuestas'!$B$8/4))/('Levas superpuestas'!$B$8/2)))/Simulador!$B$11))/2,Simulador!$B$9))))*COS(RADIANS(W33))</f>
        <v/>
      </c>
      <c r="Z33" s="48">
        <f>('Levas superpuestas'!$B$5+IF(OR(((W33-('Levas superpuestas'!$B$15-'Levas superpuestas'!$B$9/4))/('Levas superpuestas'!$B$9/2))&lt;=0,((W33-('Levas superpuestas'!$B$15-'Levas superpuestas'!$B$9/4))/('Levas superpuestas'!$B$9/2))&gt;=1),0,IF(((W33-('Levas superpuestas'!$B$15-'Levas superpuestas'!$B$9/4))/('Levas superpuestas'!$B$9/2))&lt;Simulador!$B$11,Simulador!$B$10*(1-COS(PI()*((W33-('Levas superpuestas'!$B$15-'Levas superpuestas'!$B$9/4))/('Levas superpuestas'!$B$9/2))/Simulador!$B$11))/2,IF(((W33-('Levas superpuestas'!$B$15-'Levas superpuestas'!$B$9/4))/('Levas superpuestas'!$B$9/2))&gt;1-Simulador!$B$11,Simulador!$B$10*(1-COS(PI()*(1-((W33-('Levas superpuestas'!$B$15-'Levas superpuestas'!$B$9/4))/('Levas superpuestas'!$B$9/2)))/Simulador!$B$11))/2,Simulador!$B$10))))*SIN(RADIANS(W33))</f>
        <v/>
      </c>
      <c r="AA33" s="48">
        <f>('Levas superpuestas'!$B$5+IF(OR(((W33-('Levas superpuestas'!$B$15-'Levas superpuestas'!$B$9/4))/('Levas superpuestas'!$B$9/2))&lt;=0,((W33-('Levas superpuestas'!$B$15-'Levas superpuestas'!$B$9/4))/('Levas superpuestas'!$B$9/2))&gt;=1),0,IF(((W33-('Levas superpuestas'!$B$15-'Levas superpuestas'!$B$9/4))/('Levas superpuestas'!$B$9/2))&lt;Simulador!$B$11,Simulador!$B$10*(1-COS(PI()*((W33-('Levas superpuestas'!$B$15-'Levas superpuestas'!$B$9/4))/('Levas superpuestas'!$B$9/2))/Simulador!$B$11))/2,IF(((W33-('Levas superpuestas'!$B$15-'Levas superpuestas'!$B$9/4))/('Levas superpuestas'!$B$9/2))&gt;1-Simulador!$B$11,Simulador!$B$10*(1-COS(PI()*(1-((W33-('Levas superpuestas'!$B$15-'Levas superpuestas'!$B$9/4))/('Levas superpuestas'!$B$9/2)))/Simulador!$B$11))/2,Simulador!$B$10))))*COS(RADIANS(W33))</f>
        <v/>
      </c>
      <c r="AB33">
        <f>'Levas superpuestas'!$B$5*SIN(RADIANS(W33))</f>
        <v/>
      </c>
      <c r="AC33">
        <f>'Levas superpuestas'!$B$5*COS(RADIANS(W33))</f>
        <v/>
      </c>
    </row>
    <row r="34">
      <c r="A34" s="26">
        <f>A33+Simulador!$B$14</f>
        <v/>
      </c>
      <c r="B34" s="46">
        <f>IF(OR((($A34-Simulador!$E$5)/Simulador!$G$5)&lt;=0,(($A34-Simulador!$E$5)/Simulador!$G$5)&gt;=1),0,IF((($A34-Simulador!$E$5)/Simulador!$G$5)&lt;Simulador!$B$11,Simulador!$B$9*(1-COS(PI()*(($A34-Simulador!$E$5)/Simulador!$G$5)/Simulador!$B$11))/2,IF((($A34-Simulador!$E$5)/Simulador!$G$5)&gt;1-Simulador!$B$11,Simulador!$B$9*(1-COS(PI()*(1-(($A34-Simulador!$E$5)/Simulador!$G$5))/Simulador!$B$11))/2,Simulador!$B$9)))</f>
        <v/>
      </c>
      <c r="C34" s="46">
        <f>IF(OR((($A34-Simulador!$E$6)/Simulador!$G$6)&lt;=0,(($A34-Simulador!$E$6)/Simulador!$G$6)&gt;=1),0,IF((($A34-Simulador!$E$6)/Simulador!$G$6)&lt;Simulador!$B$11,Simulador!$B$9*(1-COS(PI()*(($A34-Simulador!$E$6)/Simulador!$G$6)/Simulador!$B$11))/2,IF((($A34-Simulador!$E$6)/Simulador!$G$6)&gt;1-Simulador!$B$11,Simulador!$B$9*(1-COS(PI()*(1-(($A34-Simulador!$E$6)/Simulador!$G$6))/Simulador!$B$11))/2,Simulador!$B$9)))</f>
        <v/>
      </c>
      <c r="D34" s="46">
        <f>IF(OR((($A34-Simulador!$E$7)/Simulador!$G$7)&lt;=0,(($A34-Simulador!$E$7)/Simulador!$G$7)&gt;=1),0,IF((($A34-Simulador!$E$7)/Simulador!$G$7)&lt;Simulador!$B$11,Simulador!$B$9*(1-COS(PI()*(($A34-Simulador!$E$7)/Simulador!$G$7)/Simulador!$B$11))/2,IF((($A34-Simulador!$E$7)/Simulador!$G$7)&gt;1-Simulador!$B$11,Simulador!$B$9*(1-COS(PI()*(1-(($A34-Simulador!$E$7)/Simulador!$G$7))/Simulador!$B$11))/2,Simulador!$B$9)))</f>
        <v/>
      </c>
      <c r="E34" s="46">
        <f>IF(OR((($A34-Simulador!$E$8)/Simulador!$G$8)&lt;=0,(($A34-Simulador!$E$8)/Simulador!$G$8)&gt;=1),0,IF((($A34-Simulador!$E$8)/Simulador!$G$8)&lt;Simulador!$B$11,Simulador!$B$10*(1-COS(PI()*(($A34-Simulador!$E$8)/Simulador!$G$8)/Simulador!$B$11))/2,IF((($A34-Simulador!$E$8)/Simulador!$G$8)&gt;1-Simulador!$B$11,Simulador!$B$10*(1-COS(PI()*(1-(($A34-Simulador!$E$8)/Simulador!$G$8))/Simulador!$B$11))/2,Simulador!$B$10)))</f>
        <v/>
      </c>
      <c r="F34" s="46">
        <f>IF(OR((($A34-Simulador!$E$9)/Simulador!$G$9)&lt;=0,(($A34-Simulador!$E$9)/Simulador!$G$9)&gt;=1),0,IF((($A34-Simulador!$E$9)/Simulador!$G$9)&lt;Simulador!$B$11,Simulador!$B$10*(1-COS(PI()*(($A34-Simulador!$E$9)/Simulador!$G$9)/Simulador!$B$11))/2,IF((($A34-Simulador!$E$9)/Simulador!$G$9)&gt;1-Simulador!$B$11,Simulador!$B$10*(1-COS(PI()*(1-(($A34-Simulador!$E$9)/Simulador!$G$9))/Simulador!$B$11))/2,Simulador!$B$10)))</f>
        <v/>
      </c>
      <c r="G34" s="46">
        <f>IF(OR((($A34-Simulador!$E$10)/Simulador!$G$10)&lt;=0,(($A34-Simulador!$E$10)/Simulador!$G$10)&gt;=1),0,IF((($A34-Simulador!$E$10)/Simulador!$G$10)&lt;Simulador!$B$11,Simulador!$B$10*(1-COS(PI()*(($A34-Simulador!$E$10)/Simulador!$G$10)/Simulador!$B$11))/2,IF((($A34-Simulador!$E$10)/Simulador!$G$10)&gt;1-Simulador!$B$11,Simulador!$B$10*(1-COS(PI()*(1-(($A34-Simulador!$E$10)/Simulador!$G$10))/Simulador!$B$11))/2,Simulador!$B$10)))</f>
        <v/>
      </c>
      <c r="Q34" s="48">
        <f>IF(OR((($A34-(Simulador!$E$6+'Salto de dientes'!$B$12))/Simulador!$G$6)&lt;=0,(($A34-(Simulador!$E$6+'Salto de dientes'!$B$12))/Simulador!$G$6)&gt;=1),0,IF((($A34-(Simulador!$E$6+'Salto de dientes'!$B$12))/Simulador!$G$6)&lt;Simulador!$B$11,Simulador!$B$9*(1-COS(PI()*(($A34-(Simulador!$E$6+'Salto de dientes'!$B$12))/Simulador!$G$6)/Simulador!$B$11))/2,IF((($A34-(Simulador!$E$6+'Salto de dientes'!$B$12))/Simulador!$G$6)&gt;1-Simulador!$B$11,Simulador!$B$9*(1-COS(PI()*(1-(($A34-(Simulador!$E$6+'Salto de dientes'!$B$12))/Simulador!$G$6))/Simulador!$B$11))/2,Simulador!$B$9)))</f>
        <v/>
      </c>
      <c r="R34" s="48">
        <f>IF(OR((($A34-(Simulador!$E$9+'Salto de dientes'!$B$12))/Simulador!$G$9)&lt;=0,(($A34-(Simulador!$E$9+'Salto de dientes'!$B$12))/Simulador!$G$9)&gt;=1),0,IF((($A34-(Simulador!$E$9+'Salto de dientes'!$B$12))/Simulador!$G$9)&lt;Simulador!$B$11,Simulador!$B$10*(1-COS(PI()*(($A34-(Simulador!$E$9+'Salto de dientes'!$B$12))/Simulador!$G$9)/Simulador!$B$11))/2,IF((($A34-(Simulador!$E$9+'Salto de dientes'!$B$12))/Simulador!$G$9)&gt;1-Simulador!$B$11,Simulador!$B$10*(1-COS(PI()*(1-(($A34-(Simulador!$E$9+'Salto de dientes'!$B$12))/Simulador!$G$9))/Simulador!$B$11))/2,Simulador!$B$10)))</f>
        <v/>
      </c>
      <c r="W34" t="n">
        <v>-84</v>
      </c>
      <c r="X34" s="48">
        <f>('Levas superpuestas'!$B$5+IF(OR(((W34-('Levas superpuestas'!$B$14-'Levas superpuestas'!$B$8/4))/('Levas superpuestas'!$B$8/2))&lt;=0,((W34-('Levas superpuestas'!$B$14-'Levas superpuestas'!$B$8/4))/('Levas superpuestas'!$B$8/2))&gt;=1),0,IF(((W34-('Levas superpuestas'!$B$14-'Levas superpuestas'!$B$8/4))/('Levas superpuestas'!$B$8/2))&lt;Simulador!$B$11,Simulador!$B$9*(1-COS(PI()*((W34-('Levas superpuestas'!$B$14-'Levas superpuestas'!$B$8/4))/('Levas superpuestas'!$B$8/2))/Simulador!$B$11))/2,IF(((W34-('Levas superpuestas'!$B$14-'Levas superpuestas'!$B$8/4))/('Levas superpuestas'!$B$8/2))&gt;1-Simulador!$B$11,Simulador!$B$9*(1-COS(PI()*(1-((W34-('Levas superpuestas'!$B$14-'Levas superpuestas'!$B$8/4))/('Levas superpuestas'!$B$8/2)))/Simulador!$B$11))/2,Simulador!$B$9))))*SIN(RADIANS(W34))</f>
        <v/>
      </c>
      <c r="Y34" s="48">
        <f>('Levas superpuestas'!$B$5+IF(OR(((W34-('Levas superpuestas'!$B$14-'Levas superpuestas'!$B$8/4))/('Levas superpuestas'!$B$8/2))&lt;=0,((W34-('Levas superpuestas'!$B$14-'Levas superpuestas'!$B$8/4))/('Levas superpuestas'!$B$8/2))&gt;=1),0,IF(((W34-('Levas superpuestas'!$B$14-'Levas superpuestas'!$B$8/4))/('Levas superpuestas'!$B$8/2))&lt;Simulador!$B$11,Simulador!$B$9*(1-COS(PI()*((W34-('Levas superpuestas'!$B$14-'Levas superpuestas'!$B$8/4))/('Levas superpuestas'!$B$8/2))/Simulador!$B$11))/2,IF(((W34-('Levas superpuestas'!$B$14-'Levas superpuestas'!$B$8/4))/('Levas superpuestas'!$B$8/2))&gt;1-Simulador!$B$11,Simulador!$B$9*(1-COS(PI()*(1-((W34-('Levas superpuestas'!$B$14-'Levas superpuestas'!$B$8/4))/('Levas superpuestas'!$B$8/2)))/Simulador!$B$11))/2,Simulador!$B$9))))*COS(RADIANS(W34))</f>
        <v/>
      </c>
      <c r="Z34" s="48">
        <f>('Levas superpuestas'!$B$5+IF(OR(((W34-('Levas superpuestas'!$B$15-'Levas superpuestas'!$B$9/4))/('Levas superpuestas'!$B$9/2))&lt;=0,((W34-('Levas superpuestas'!$B$15-'Levas superpuestas'!$B$9/4))/('Levas superpuestas'!$B$9/2))&gt;=1),0,IF(((W34-('Levas superpuestas'!$B$15-'Levas superpuestas'!$B$9/4))/('Levas superpuestas'!$B$9/2))&lt;Simulador!$B$11,Simulador!$B$10*(1-COS(PI()*((W34-('Levas superpuestas'!$B$15-'Levas superpuestas'!$B$9/4))/('Levas superpuestas'!$B$9/2))/Simulador!$B$11))/2,IF(((W34-('Levas superpuestas'!$B$15-'Levas superpuestas'!$B$9/4))/('Levas superpuestas'!$B$9/2))&gt;1-Simulador!$B$11,Simulador!$B$10*(1-COS(PI()*(1-((W34-('Levas superpuestas'!$B$15-'Levas superpuestas'!$B$9/4))/('Levas superpuestas'!$B$9/2)))/Simulador!$B$11))/2,Simulador!$B$10))))*SIN(RADIANS(W34))</f>
        <v/>
      </c>
      <c r="AA34" s="48">
        <f>('Levas superpuestas'!$B$5+IF(OR(((W34-('Levas superpuestas'!$B$15-'Levas superpuestas'!$B$9/4))/('Levas superpuestas'!$B$9/2))&lt;=0,((W34-('Levas superpuestas'!$B$15-'Levas superpuestas'!$B$9/4))/('Levas superpuestas'!$B$9/2))&gt;=1),0,IF(((W34-('Levas superpuestas'!$B$15-'Levas superpuestas'!$B$9/4))/('Levas superpuestas'!$B$9/2))&lt;Simulador!$B$11,Simulador!$B$10*(1-COS(PI()*((W34-('Levas superpuestas'!$B$15-'Levas superpuestas'!$B$9/4))/('Levas superpuestas'!$B$9/2))/Simulador!$B$11))/2,IF(((W34-('Levas superpuestas'!$B$15-'Levas superpuestas'!$B$9/4))/('Levas superpuestas'!$B$9/2))&gt;1-Simulador!$B$11,Simulador!$B$10*(1-COS(PI()*(1-((W34-('Levas superpuestas'!$B$15-'Levas superpuestas'!$B$9/4))/('Levas superpuestas'!$B$9/2)))/Simulador!$B$11))/2,Simulador!$B$10))))*COS(RADIANS(W34))</f>
        <v/>
      </c>
      <c r="AB34">
        <f>'Levas superpuestas'!$B$5*SIN(RADIANS(W34))</f>
        <v/>
      </c>
      <c r="AC34">
        <f>'Levas superpuestas'!$B$5*COS(RADIANS(W34))</f>
        <v/>
      </c>
    </row>
    <row r="35">
      <c r="A35" s="26">
        <f>A34+Simulador!$B$14</f>
        <v/>
      </c>
      <c r="B35" s="46">
        <f>IF(OR((($A35-Simulador!$E$5)/Simulador!$G$5)&lt;=0,(($A35-Simulador!$E$5)/Simulador!$G$5)&gt;=1),0,IF((($A35-Simulador!$E$5)/Simulador!$G$5)&lt;Simulador!$B$11,Simulador!$B$9*(1-COS(PI()*(($A35-Simulador!$E$5)/Simulador!$G$5)/Simulador!$B$11))/2,IF((($A35-Simulador!$E$5)/Simulador!$G$5)&gt;1-Simulador!$B$11,Simulador!$B$9*(1-COS(PI()*(1-(($A35-Simulador!$E$5)/Simulador!$G$5))/Simulador!$B$11))/2,Simulador!$B$9)))</f>
        <v/>
      </c>
      <c r="C35" s="46">
        <f>IF(OR((($A35-Simulador!$E$6)/Simulador!$G$6)&lt;=0,(($A35-Simulador!$E$6)/Simulador!$G$6)&gt;=1),0,IF((($A35-Simulador!$E$6)/Simulador!$G$6)&lt;Simulador!$B$11,Simulador!$B$9*(1-COS(PI()*(($A35-Simulador!$E$6)/Simulador!$G$6)/Simulador!$B$11))/2,IF((($A35-Simulador!$E$6)/Simulador!$G$6)&gt;1-Simulador!$B$11,Simulador!$B$9*(1-COS(PI()*(1-(($A35-Simulador!$E$6)/Simulador!$G$6))/Simulador!$B$11))/2,Simulador!$B$9)))</f>
        <v/>
      </c>
      <c r="D35" s="46">
        <f>IF(OR((($A35-Simulador!$E$7)/Simulador!$G$7)&lt;=0,(($A35-Simulador!$E$7)/Simulador!$G$7)&gt;=1),0,IF((($A35-Simulador!$E$7)/Simulador!$G$7)&lt;Simulador!$B$11,Simulador!$B$9*(1-COS(PI()*(($A35-Simulador!$E$7)/Simulador!$G$7)/Simulador!$B$11))/2,IF((($A35-Simulador!$E$7)/Simulador!$G$7)&gt;1-Simulador!$B$11,Simulador!$B$9*(1-COS(PI()*(1-(($A35-Simulador!$E$7)/Simulador!$G$7))/Simulador!$B$11))/2,Simulador!$B$9)))</f>
        <v/>
      </c>
      <c r="E35" s="46">
        <f>IF(OR((($A35-Simulador!$E$8)/Simulador!$G$8)&lt;=0,(($A35-Simulador!$E$8)/Simulador!$G$8)&gt;=1),0,IF((($A35-Simulador!$E$8)/Simulador!$G$8)&lt;Simulador!$B$11,Simulador!$B$10*(1-COS(PI()*(($A35-Simulador!$E$8)/Simulador!$G$8)/Simulador!$B$11))/2,IF((($A35-Simulador!$E$8)/Simulador!$G$8)&gt;1-Simulador!$B$11,Simulador!$B$10*(1-COS(PI()*(1-(($A35-Simulador!$E$8)/Simulador!$G$8))/Simulador!$B$11))/2,Simulador!$B$10)))</f>
        <v/>
      </c>
      <c r="F35" s="46">
        <f>IF(OR((($A35-Simulador!$E$9)/Simulador!$G$9)&lt;=0,(($A35-Simulador!$E$9)/Simulador!$G$9)&gt;=1),0,IF((($A35-Simulador!$E$9)/Simulador!$G$9)&lt;Simulador!$B$11,Simulador!$B$10*(1-COS(PI()*(($A35-Simulador!$E$9)/Simulador!$G$9)/Simulador!$B$11))/2,IF((($A35-Simulador!$E$9)/Simulador!$G$9)&gt;1-Simulador!$B$11,Simulador!$B$10*(1-COS(PI()*(1-(($A35-Simulador!$E$9)/Simulador!$G$9))/Simulador!$B$11))/2,Simulador!$B$10)))</f>
        <v/>
      </c>
      <c r="G35" s="46">
        <f>IF(OR((($A35-Simulador!$E$10)/Simulador!$G$10)&lt;=0,(($A35-Simulador!$E$10)/Simulador!$G$10)&gt;=1),0,IF((($A35-Simulador!$E$10)/Simulador!$G$10)&lt;Simulador!$B$11,Simulador!$B$10*(1-COS(PI()*(($A35-Simulador!$E$10)/Simulador!$G$10)/Simulador!$B$11))/2,IF((($A35-Simulador!$E$10)/Simulador!$G$10)&gt;1-Simulador!$B$11,Simulador!$B$10*(1-COS(PI()*(1-(($A35-Simulador!$E$10)/Simulador!$G$10))/Simulador!$B$11))/2,Simulador!$B$10)))</f>
        <v/>
      </c>
      <c r="Q35" s="48">
        <f>IF(OR((($A35-(Simulador!$E$6+'Salto de dientes'!$B$12))/Simulador!$G$6)&lt;=0,(($A35-(Simulador!$E$6+'Salto de dientes'!$B$12))/Simulador!$G$6)&gt;=1),0,IF((($A35-(Simulador!$E$6+'Salto de dientes'!$B$12))/Simulador!$G$6)&lt;Simulador!$B$11,Simulador!$B$9*(1-COS(PI()*(($A35-(Simulador!$E$6+'Salto de dientes'!$B$12))/Simulador!$G$6)/Simulador!$B$11))/2,IF((($A35-(Simulador!$E$6+'Salto de dientes'!$B$12))/Simulador!$G$6)&gt;1-Simulador!$B$11,Simulador!$B$9*(1-COS(PI()*(1-(($A35-(Simulador!$E$6+'Salto de dientes'!$B$12))/Simulador!$G$6))/Simulador!$B$11))/2,Simulador!$B$9)))</f>
        <v/>
      </c>
      <c r="R35" s="48">
        <f>IF(OR((($A35-(Simulador!$E$9+'Salto de dientes'!$B$12))/Simulador!$G$9)&lt;=0,(($A35-(Simulador!$E$9+'Salto de dientes'!$B$12))/Simulador!$G$9)&gt;=1),0,IF((($A35-(Simulador!$E$9+'Salto de dientes'!$B$12))/Simulador!$G$9)&lt;Simulador!$B$11,Simulador!$B$10*(1-COS(PI()*(($A35-(Simulador!$E$9+'Salto de dientes'!$B$12))/Simulador!$G$9)/Simulador!$B$11))/2,IF((($A35-(Simulador!$E$9+'Salto de dientes'!$B$12))/Simulador!$G$9)&gt;1-Simulador!$B$11,Simulador!$B$10*(1-COS(PI()*(1-(($A35-(Simulador!$E$9+'Salto de dientes'!$B$12))/Simulador!$G$9))/Simulador!$B$11))/2,Simulador!$B$10)))</f>
        <v/>
      </c>
      <c r="W35" t="n">
        <v>-81</v>
      </c>
      <c r="X35" s="48">
        <f>('Levas superpuestas'!$B$5+IF(OR(((W35-('Levas superpuestas'!$B$14-'Levas superpuestas'!$B$8/4))/('Levas superpuestas'!$B$8/2))&lt;=0,((W35-('Levas superpuestas'!$B$14-'Levas superpuestas'!$B$8/4))/('Levas superpuestas'!$B$8/2))&gt;=1),0,IF(((W35-('Levas superpuestas'!$B$14-'Levas superpuestas'!$B$8/4))/('Levas superpuestas'!$B$8/2))&lt;Simulador!$B$11,Simulador!$B$9*(1-COS(PI()*((W35-('Levas superpuestas'!$B$14-'Levas superpuestas'!$B$8/4))/('Levas superpuestas'!$B$8/2))/Simulador!$B$11))/2,IF(((W35-('Levas superpuestas'!$B$14-'Levas superpuestas'!$B$8/4))/('Levas superpuestas'!$B$8/2))&gt;1-Simulador!$B$11,Simulador!$B$9*(1-COS(PI()*(1-((W35-('Levas superpuestas'!$B$14-'Levas superpuestas'!$B$8/4))/('Levas superpuestas'!$B$8/2)))/Simulador!$B$11))/2,Simulador!$B$9))))*SIN(RADIANS(W35))</f>
        <v/>
      </c>
      <c r="Y35" s="48">
        <f>('Levas superpuestas'!$B$5+IF(OR(((W35-('Levas superpuestas'!$B$14-'Levas superpuestas'!$B$8/4))/('Levas superpuestas'!$B$8/2))&lt;=0,((W35-('Levas superpuestas'!$B$14-'Levas superpuestas'!$B$8/4))/('Levas superpuestas'!$B$8/2))&gt;=1),0,IF(((W35-('Levas superpuestas'!$B$14-'Levas superpuestas'!$B$8/4))/('Levas superpuestas'!$B$8/2))&lt;Simulador!$B$11,Simulador!$B$9*(1-COS(PI()*((W35-('Levas superpuestas'!$B$14-'Levas superpuestas'!$B$8/4))/('Levas superpuestas'!$B$8/2))/Simulador!$B$11))/2,IF(((W35-('Levas superpuestas'!$B$14-'Levas superpuestas'!$B$8/4))/('Levas superpuestas'!$B$8/2))&gt;1-Simulador!$B$11,Simulador!$B$9*(1-COS(PI()*(1-((W35-('Levas superpuestas'!$B$14-'Levas superpuestas'!$B$8/4))/('Levas superpuestas'!$B$8/2)))/Simulador!$B$11))/2,Simulador!$B$9))))*COS(RADIANS(W35))</f>
        <v/>
      </c>
      <c r="Z35" s="48">
        <f>('Levas superpuestas'!$B$5+IF(OR(((W35-('Levas superpuestas'!$B$15-'Levas superpuestas'!$B$9/4))/('Levas superpuestas'!$B$9/2))&lt;=0,((W35-('Levas superpuestas'!$B$15-'Levas superpuestas'!$B$9/4))/('Levas superpuestas'!$B$9/2))&gt;=1),0,IF(((W35-('Levas superpuestas'!$B$15-'Levas superpuestas'!$B$9/4))/('Levas superpuestas'!$B$9/2))&lt;Simulador!$B$11,Simulador!$B$10*(1-COS(PI()*((W35-('Levas superpuestas'!$B$15-'Levas superpuestas'!$B$9/4))/('Levas superpuestas'!$B$9/2))/Simulador!$B$11))/2,IF(((W35-('Levas superpuestas'!$B$15-'Levas superpuestas'!$B$9/4))/('Levas superpuestas'!$B$9/2))&gt;1-Simulador!$B$11,Simulador!$B$10*(1-COS(PI()*(1-((W35-('Levas superpuestas'!$B$15-'Levas superpuestas'!$B$9/4))/('Levas superpuestas'!$B$9/2)))/Simulador!$B$11))/2,Simulador!$B$10))))*SIN(RADIANS(W35))</f>
        <v/>
      </c>
      <c r="AA35" s="48">
        <f>('Levas superpuestas'!$B$5+IF(OR(((W35-('Levas superpuestas'!$B$15-'Levas superpuestas'!$B$9/4))/('Levas superpuestas'!$B$9/2))&lt;=0,((W35-('Levas superpuestas'!$B$15-'Levas superpuestas'!$B$9/4))/('Levas superpuestas'!$B$9/2))&gt;=1),0,IF(((W35-('Levas superpuestas'!$B$15-'Levas superpuestas'!$B$9/4))/('Levas superpuestas'!$B$9/2))&lt;Simulador!$B$11,Simulador!$B$10*(1-COS(PI()*((W35-('Levas superpuestas'!$B$15-'Levas superpuestas'!$B$9/4))/('Levas superpuestas'!$B$9/2))/Simulador!$B$11))/2,IF(((W35-('Levas superpuestas'!$B$15-'Levas superpuestas'!$B$9/4))/('Levas superpuestas'!$B$9/2))&gt;1-Simulador!$B$11,Simulador!$B$10*(1-COS(PI()*(1-((W35-('Levas superpuestas'!$B$15-'Levas superpuestas'!$B$9/4))/('Levas superpuestas'!$B$9/2)))/Simulador!$B$11))/2,Simulador!$B$10))))*COS(RADIANS(W35))</f>
        <v/>
      </c>
      <c r="AB35">
        <f>'Levas superpuestas'!$B$5*SIN(RADIANS(W35))</f>
        <v/>
      </c>
      <c r="AC35">
        <f>'Levas superpuestas'!$B$5*COS(RADIANS(W35))</f>
        <v/>
      </c>
    </row>
    <row r="36">
      <c r="A36" s="26">
        <f>A35+Simulador!$B$14</f>
        <v/>
      </c>
      <c r="B36" s="46">
        <f>IF(OR((($A36-Simulador!$E$5)/Simulador!$G$5)&lt;=0,(($A36-Simulador!$E$5)/Simulador!$G$5)&gt;=1),0,IF((($A36-Simulador!$E$5)/Simulador!$G$5)&lt;Simulador!$B$11,Simulador!$B$9*(1-COS(PI()*(($A36-Simulador!$E$5)/Simulador!$G$5)/Simulador!$B$11))/2,IF((($A36-Simulador!$E$5)/Simulador!$G$5)&gt;1-Simulador!$B$11,Simulador!$B$9*(1-COS(PI()*(1-(($A36-Simulador!$E$5)/Simulador!$G$5))/Simulador!$B$11))/2,Simulador!$B$9)))</f>
        <v/>
      </c>
      <c r="C36" s="46">
        <f>IF(OR((($A36-Simulador!$E$6)/Simulador!$G$6)&lt;=0,(($A36-Simulador!$E$6)/Simulador!$G$6)&gt;=1),0,IF((($A36-Simulador!$E$6)/Simulador!$G$6)&lt;Simulador!$B$11,Simulador!$B$9*(1-COS(PI()*(($A36-Simulador!$E$6)/Simulador!$G$6)/Simulador!$B$11))/2,IF((($A36-Simulador!$E$6)/Simulador!$G$6)&gt;1-Simulador!$B$11,Simulador!$B$9*(1-COS(PI()*(1-(($A36-Simulador!$E$6)/Simulador!$G$6))/Simulador!$B$11))/2,Simulador!$B$9)))</f>
        <v/>
      </c>
      <c r="D36" s="46">
        <f>IF(OR((($A36-Simulador!$E$7)/Simulador!$G$7)&lt;=0,(($A36-Simulador!$E$7)/Simulador!$G$7)&gt;=1),0,IF((($A36-Simulador!$E$7)/Simulador!$G$7)&lt;Simulador!$B$11,Simulador!$B$9*(1-COS(PI()*(($A36-Simulador!$E$7)/Simulador!$G$7)/Simulador!$B$11))/2,IF((($A36-Simulador!$E$7)/Simulador!$G$7)&gt;1-Simulador!$B$11,Simulador!$B$9*(1-COS(PI()*(1-(($A36-Simulador!$E$7)/Simulador!$G$7))/Simulador!$B$11))/2,Simulador!$B$9)))</f>
        <v/>
      </c>
      <c r="E36" s="46">
        <f>IF(OR((($A36-Simulador!$E$8)/Simulador!$G$8)&lt;=0,(($A36-Simulador!$E$8)/Simulador!$G$8)&gt;=1),0,IF((($A36-Simulador!$E$8)/Simulador!$G$8)&lt;Simulador!$B$11,Simulador!$B$10*(1-COS(PI()*(($A36-Simulador!$E$8)/Simulador!$G$8)/Simulador!$B$11))/2,IF((($A36-Simulador!$E$8)/Simulador!$G$8)&gt;1-Simulador!$B$11,Simulador!$B$10*(1-COS(PI()*(1-(($A36-Simulador!$E$8)/Simulador!$G$8))/Simulador!$B$11))/2,Simulador!$B$10)))</f>
        <v/>
      </c>
      <c r="F36" s="46">
        <f>IF(OR((($A36-Simulador!$E$9)/Simulador!$G$9)&lt;=0,(($A36-Simulador!$E$9)/Simulador!$G$9)&gt;=1),0,IF((($A36-Simulador!$E$9)/Simulador!$G$9)&lt;Simulador!$B$11,Simulador!$B$10*(1-COS(PI()*(($A36-Simulador!$E$9)/Simulador!$G$9)/Simulador!$B$11))/2,IF((($A36-Simulador!$E$9)/Simulador!$G$9)&gt;1-Simulador!$B$11,Simulador!$B$10*(1-COS(PI()*(1-(($A36-Simulador!$E$9)/Simulador!$G$9))/Simulador!$B$11))/2,Simulador!$B$10)))</f>
        <v/>
      </c>
      <c r="G36" s="46">
        <f>IF(OR((($A36-Simulador!$E$10)/Simulador!$G$10)&lt;=0,(($A36-Simulador!$E$10)/Simulador!$G$10)&gt;=1),0,IF((($A36-Simulador!$E$10)/Simulador!$G$10)&lt;Simulador!$B$11,Simulador!$B$10*(1-COS(PI()*(($A36-Simulador!$E$10)/Simulador!$G$10)/Simulador!$B$11))/2,IF((($A36-Simulador!$E$10)/Simulador!$G$10)&gt;1-Simulador!$B$11,Simulador!$B$10*(1-COS(PI()*(1-(($A36-Simulador!$E$10)/Simulador!$G$10))/Simulador!$B$11))/2,Simulador!$B$10)))</f>
        <v/>
      </c>
      <c r="Q36" s="48">
        <f>IF(OR((($A36-(Simulador!$E$6+'Salto de dientes'!$B$12))/Simulador!$G$6)&lt;=0,(($A36-(Simulador!$E$6+'Salto de dientes'!$B$12))/Simulador!$G$6)&gt;=1),0,IF((($A36-(Simulador!$E$6+'Salto de dientes'!$B$12))/Simulador!$G$6)&lt;Simulador!$B$11,Simulador!$B$9*(1-COS(PI()*(($A36-(Simulador!$E$6+'Salto de dientes'!$B$12))/Simulador!$G$6)/Simulador!$B$11))/2,IF((($A36-(Simulador!$E$6+'Salto de dientes'!$B$12))/Simulador!$G$6)&gt;1-Simulador!$B$11,Simulador!$B$9*(1-COS(PI()*(1-(($A36-(Simulador!$E$6+'Salto de dientes'!$B$12))/Simulador!$G$6))/Simulador!$B$11))/2,Simulador!$B$9)))</f>
        <v/>
      </c>
      <c r="R36" s="48">
        <f>IF(OR((($A36-(Simulador!$E$9+'Salto de dientes'!$B$12))/Simulador!$G$9)&lt;=0,(($A36-(Simulador!$E$9+'Salto de dientes'!$B$12))/Simulador!$G$9)&gt;=1),0,IF((($A36-(Simulador!$E$9+'Salto de dientes'!$B$12))/Simulador!$G$9)&lt;Simulador!$B$11,Simulador!$B$10*(1-COS(PI()*(($A36-(Simulador!$E$9+'Salto de dientes'!$B$12))/Simulador!$G$9)/Simulador!$B$11))/2,IF((($A36-(Simulador!$E$9+'Salto de dientes'!$B$12))/Simulador!$G$9)&gt;1-Simulador!$B$11,Simulador!$B$10*(1-COS(PI()*(1-(($A36-(Simulador!$E$9+'Salto de dientes'!$B$12))/Simulador!$G$9))/Simulador!$B$11))/2,Simulador!$B$10)))</f>
        <v/>
      </c>
      <c r="W36" t="n">
        <v>-78</v>
      </c>
      <c r="X36" s="48">
        <f>('Levas superpuestas'!$B$5+IF(OR(((W36-('Levas superpuestas'!$B$14-'Levas superpuestas'!$B$8/4))/('Levas superpuestas'!$B$8/2))&lt;=0,((W36-('Levas superpuestas'!$B$14-'Levas superpuestas'!$B$8/4))/('Levas superpuestas'!$B$8/2))&gt;=1),0,IF(((W36-('Levas superpuestas'!$B$14-'Levas superpuestas'!$B$8/4))/('Levas superpuestas'!$B$8/2))&lt;Simulador!$B$11,Simulador!$B$9*(1-COS(PI()*((W36-('Levas superpuestas'!$B$14-'Levas superpuestas'!$B$8/4))/('Levas superpuestas'!$B$8/2))/Simulador!$B$11))/2,IF(((W36-('Levas superpuestas'!$B$14-'Levas superpuestas'!$B$8/4))/('Levas superpuestas'!$B$8/2))&gt;1-Simulador!$B$11,Simulador!$B$9*(1-COS(PI()*(1-((W36-('Levas superpuestas'!$B$14-'Levas superpuestas'!$B$8/4))/('Levas superpuestas'!$B$8/2)))/Simulador!$B$11))/2,Simulador!$B$9))))*SIN(RADIANS(W36))</f>
        <v/>
      </c>
      <c r="Y36" s="48">
        <f>('Levas superpuestas'!$B$5+IF(OR(((W36-('Levas superpuestas'!$B$14-'Levas superpuestas'!$B$8/4))/('Levas superpuestas'!$B$8/2))&lt;=0,((W36-('Levas superpuestas'!$B$14-'Levas superpuestas'!$B$8/4))/('Levas superpuestas'!$B$8/2))&gt;=1),0,IF(((W36-('Levas superpuestas'!$B$14-'Levas superpuestas'!$B$8/4))/('Levas superpuestas'!$B$8/2))&lt;Simulador!$B$11,Simulador!$B$9*(1-COS(PI()*((W36-('Levas superpuestas'!$B$14-'Levas superpuestas'!$B$8/4))/('Levas superpuestas'!$B$8/2))/Simulador!$B$11))/2,IF(((W36-('Levas superpuestas'!$B$14-'Levas superpuestas'!$B$8/4))/('Levas superpuestas'!$B$8/2))&gt;1-Simulador!$B$11,Simulador!$B$9*(1-COS(PI()*(1-((W36-('Levas superpuestas'!$B$14-'Levas superpuestas'!$B$8/4))/('Levas superpuestas'!$B$8/2)))/Simulador!$B$11))/2,Simulador!$B$9))))*COS(RADIANS(W36))</f>
        <v/>
      </c>
      <c r="Z36" s="48">
        <f>('Levas superpuestas'!$B$5+IF(OR(((W36-('Levas superpuestas'!$B$15-'Levas superpuestas'!$B$9/4))/('Levas superpuestas'!$B$9/2))&lt;=0,((W36-('Levas superpuestas'!$B$15-'Levas superpuestas'!$B$9/4))/('Levas superpuestas'!$B$9/2))&gt;=1),0,IF(((W36-('Levas superpuestas'!$B$15-'Levas superpuestas'!$B$9/4))/('Levas superpuestas'!$B$9/2))&lt;Simulador!$B$11,Simulador!$B$10*(1-COS(PI()*((W36-('Levas superpuestas'!$B$15-'Levas superpuestas'!$B$9/4))/('Levas superpuestas'!$B$9/2))/Simulador!$B$11))/2,IF(((W36-('Levas superpuestas'!$B$15-'Levas superpuestas'!$B$9/4))/('Levas superpuestas'!$B$9/2))&gt;1-Simulador!$B$11,Simulador!$B$10*(1-COS(PI()*(1-((W36-('Levas superpuestas'!$B$15-'Levas superpuestas'!$B$9/4))/('Levas superpuestas'!$B$9/2)))/Simulador!$B$11))/2,Simulador!$B$10))))*SIN(RADIANS(W36))</f>
        <v/>
      </c>
      <c r="AA36" s="48">
        <f>('Levas superpuestas'!$B$5+IF(OR(((W36-('Levas superpuestas'!$B$15-'Levas superpuestas'!$B$9/4))/('Levas superpuestas'!$B$9/2))&lt;=0,((W36-('Levas superpuestas'!$B$15-'Levas superpuestas'!$B$9/4))/('Levas superpuestas'!$B$9/2))&gt;=1),0,IF(((W36-('Levas superpuestas'!$B$15-'Levas superpuestas'!$B$9/4))/('Levas superpuestas'!$B$9/2))&lt;Simulador!$B$11,Simulador!$B$10*(1-COS(PI()*((W36-('Levas superpuestas'!$B$15-'Levas superpuestas'!$B$9/4))/('Levas superpuestas'!$B$9/2))/Simulador!$B$11))/2,IF(((W36-('Levas superpuestas'!$B$15-'Levas superpuestas'!$B$9/4))/('Levas superpuestas'!$B$9/2))&gt;1-Simulador!$B$11,Simulador!$B$10*(1-COS(PI()*(1-((W36-('Levas superpuestas'!$B$15-'Levas superpuestas'!$B$9/4))/('Levas superpuestas'!$B$9/2)))/Simulador!$B$11))/2,Simulador!$B$10))))*COS(RADIANS(W36))</f>
        <v/>
      </c>
      <c r="AB36">
        <f>'Levas superpuestas'!$B$5*SIN(RADIANS(W36))</f>
        <v/>
      </c>
      <c r="AC36">
        <f>'Levas superpuestas'!$B$5*COS(RADIANS(W36))</f>
        <v/>
      </c>
    </row>
    <row r="37">
      <c r="A37" s="26">
        <f>A36+Simulador!$B$14</f>
        <v/>
      </c>
      <c r="B37" s="46">
        <f>IF(OR((($A37-Simulador!$E$5)/Simulador!$G$5)&lt;=0,(($A37-Simulador!$E$5)/Simulador!$G$5)&gt;=1),0,IF((($A37-Simulador!$E$5)/Simulador!$G$5)&lt;Simulador!$B$11,Simulador!$B$9*(1-COS(PI()*(($A37-Simulador!$E$5)/Simulador!$G$5)/Simulador!$B$11))/2,IF((($A37-Simulador!$E$5)/Simulador!$G$5)&gt;1-Simulador!$B$11,Simulador!$B$9*(1-COS(PI()*(1-(($A37-Simulador!$E$5)/Simulador!$G$5))/Simulador!$B$11))/2,Simulador!$B$9)))</f>
        <v/>
      </c>
      <c r="C37" s="46">
        <f>IF(OR((($A37-Simulador!$E$6)/Simulador!$G$6)&lt;=0,(($A37-Simulador!$E$6)/Simulador!$G$6)&gt;=1),0,IF((($A37-Simulador!$E$6)/Simulador!$G$6)&lt;Simulador!$B$11,Simulador!$B$9*(1-COS(PI()*(($A37-Simulador!$E$6)/Simulador!$G$6)/Simulador!$B$11))/2,IF((($A37-Simulador!$E$6)/Simulador!$G$6)&gt;1-Simulador!$B$11,Simulador!$B$9*(1-COS(PI()*(1-(($A37-Simulador!$E$6)/Simulador!$G$6))/Simulador!$B$11))/2,Simulador!$B$9)))</f>
        <v/>
      </c>
      <c r="D37" s="46">
        <f>IF(OR((($A37-Simulador!$E$7)/Simulador!$G$7)&lt;=0,(($A37-Simulador!$E$7)/Simulador!$G$7)&gt;=1),0,IF((($A37-Simulador!$E$7)/Simulador!$G$7)&lt;Simulador!$B$11,Simulador!$B$9*(1-COS(PI()*(($A37-Simulador!$E$7)/Simulador!$G$7)/Simulador!$B$11))/2,IF((($A37-Simulador!$E$7)/Simulador!$G$7)&gt;1-Simulador!$B$11,Simulador!$B$9*(1-COS(PI()*(1-(($A37-Simulador!$E$7)/Simulador!$G$7))/Simulador!$B$11))/2,Simulador!$B$9)))</f>
        <v/>
      </c>
      <c r="E37" s="46">
        <f>IF(OR((($A37-Simulador!$E$8)/Simulador!$G$8)&lt;=0,(($A37-Simulador!$E$8)/Simulador!$G$8)&gt;=1),0,IF((($A37-Simulador!$E$8)/Simulador!$G$8)&lt;Simulador!$B$11,Simulador!$B$10*(1-COS(PI()*(($A37-Simulador!$E$8)/Simulador!$G$8)/Simulador!$B$11))/2,IF((($A37-Simulador!$E$8)/Simulador!$G$8)&gt;1-Simulador!$B$11,Simulador!$B$10*(1-COS(PI()*(1-(($A37-Simulador!$E$8)/Simulador!$G$8))/Simulador!$B$11))/2,Simulador!$B$10)))</f>
        <v/>
      </c>
      <c r="F37" s="46">
        <f>IF(OR((($A37-Simulador!$E$9)/Simulador!$G$9)&lt;=0,(($A37-Simulador!$E$9)/Simulador!$G$9)&gt;=1),0,IF((($A37-Simulador!$E$9)/Simulador!$G$9)&lt;Simulador!$B$11,Simulador!$B$10*(1-COS(PI()*(($A37-Simulador!$E$9)/Simulador!$G$9)/Simulador!$B$11))/2,IF((($A37-Simulador!$E$9)/Simulador!$G$9)&gt;1-Simulador!$B$11,Simulador!$B$10*(1-COS(PI()*(1-(($A37-Simulador!$E$9)/Simulador!$G$9))/Simulador!$B$11))/2,Simulador!$B$10)))</f>
        <v/>
      </c>
      <c r="G37" s="46">
        <f>IF(OR((($A37-Simulador!$E$10)/Simulador!$G$10)&lt;=0,(($A37-Simulador!$E$10)/Simulador!$G$10)&gt;=1),0,IF((($A37-Simulador!$E$10)/Simulador!$G$10)&lt;Simulador!$B$11,Simulador!$B$10*(1-COS(PI()*(($A37-Simulador!$E$10)/Simulador!$G$10)/Simulador!$B$11))/2,IF((($A37-Simulador!$E$10)/Simulador!$G$10)&gt;1-Simulador!$B$11,Simulador!$B$10*(1-COS(PI()*(1-(($A37-Simulador!$E$10)/Simulador!$G$10))/Simulador!$B$11))/2,Simulador!$B$10)))</f>
        <v/>
      </c>
      <c r="Q37" s="48">
        <f>IF(OR((($A37-(Simulador!$E$6+'Salto de dientes'!$B$12))/Simulador!$G$6)&lt;=0,(($A37-(Simulador!$E$6+'Salto de dientes'!$B$12))/Simulador!$G$6)&gt;=1),0,IF((($A37-(Simulador!$E$6+'Salto de dientes'!$B$12))/Simulador!$G$6)&lt;Simulador!$B$11,Simulador!$B$9*(1-COS(PI()*(($A37-(Simulador!$E$6+'Salto de dientes'!$B$12))/Simulador!$G$6)/Simulador!$B$11))/2,IF((($A37-(Simulador!$E$6+'Salto de dientes'!$B$12))/Simulador!$G$6)&gt;1-Simulador!$B$11,Simulador!$B$9*(1-COS(PI()*(1-(($A37-(Simulador!$E$6+'Salto de dientes'!$B$12))/Simulador!$G$6))/Simulador!$B$11))/2,Simulador!$B$9)))</f>
        <v/>
      </c>
      <c r="R37" s="48">
        <f>IF(OR((($A37-(Simulador!$E$9+'Salto de dientes'!$B$12))/Simulador!$G$9)&lt;=0,(($A37-(Simulador!$E$9+'Salto de dientes'!$B$12))/Simulador!$G$9)&gt;=1),0,IF((($A37-(Simulador!$E$9+'Salto de dientes'!$B$12))/Simulador!$G$9)&lt;Simulador!$B$11,Simulador!$B$10*(1-COS(PI()*(($A37-(Simulador!$E$9+'Salto de dientes'!$B$12))/Simulador!$G$9)/Simulador!$B$11))/2,IF((($A37-(Simulador!$E$9+'Salto de dientes'!$B$12))/Simulador!$G$9)&gt;1-Simulador!$B$11,Simulador!$B$10*(1-COS(PI()*(1-(($A37-(Simulador!$E$9+'Salto de dientes'!$B$12))/Simulador!$G$9))/Simulador!$B$11))/2,Simulador!$B$10)))</f>
        <v/>
      </c>
      <c r="W37" t="n">
        <v>-75</v>
      </c>
      <c r="X37" s="48">
        <f>('Levas superpuestas'!$B$5+IF(OR(((W37-('Levas superpuestas'!$B$14-'Levas superpuestas'!$B$8/4))/('Levas superpuestas'!$B$8/2))&lt;=0,((W37-('Levas superpuestas'!$B$14-'Levas superpuestas'!$B$8/4))/('Levas superpuestas'!$B$8/2))&gt;=1),0,IF(((W37-('Levas superpuestas'!$B$14-'Levas superpuestas'!$B$8/4))/('Levas superpuestas'!$B$8/2))&lt;Simulador!$B$11,Simulador!$B$9*(1-COS(PI()*((W37-('Levas superpuestas'!$B$14-'Levas superpuestas'!$B$8/4))/('Levas superpuestas'!$B$8/2))/Simulador!$B$11))/2,IF(((W37-('Levas superpuestas'!$B$14-'Levas superpuestas'!$B$8/4))/('Levas superpuestas'!$B$8/2))&gt;1-Simulador!$B$11,Simulador!$B$9*(1-COS(PI()*(1-((W37-('Levas superpuestas'!$B$14-'Levas superpuestas'!$B$8/4))/('Levas superpuestas'!$B$8/2)))/Simulador!$B$11))/2,Simulador!$B$9))))*SIN(RADIANS(W37))</f>
        <v/>
      </c>
      <c r="Y37" s="48">
        <f>('Levas superpuestas'!$B$5+IF(OR(((W37-('Levas superpuestas'!$B$14-'Levas superpuestas'!$B$8/4))/('Levas superpuestas'!$B$8/2))&lt;=0,((W37-('Levas superpuestas'!$B$14-'Levas superpuestas'!$B$8/4))/('Levas superpuestas'!$B$8/2))&gt;=1),0,IF(((W37-('Levas superpuestas'!$B$14-'Levas superpuestas'!$B$8/4))/('Levas superpuestas'!$B$8/2))&lt;Simulador!$B$11,Simulador!$B$9*(1-COS(PI()*((W37-('Levas superpuestas'!$B$14-'Levas superpuestas'!$B$8/4))/('Levas superpuestas'!$B$8/2))/Simulador!$B$11))/2,IF(((W37-('Levas superpuestas'!$B$14-'Levas superpuestas'!$B$8/4))/('Levas superpuestas'!$B$8/2))&gt;1-Simulador!$B$11,Simulador!$B$9*(1-COS(PI()*(1-((W37-('Levas superpuestas'!$B$14-'Levas superpuestas'!$B$8/4))/('Levas superpuestas'!$B$8/2)))/Simulador!$B$11))/2,Simulador!$B$9))))*COS(RADIANS(W37))</f>
        <v/>
      </c>
      <c r="Z37" s="48">
        <f>('Levas superpuestas'!$B$5+IF(OR(((W37-('Levas superpuestas'!$B$15-'Levas superpuestas'!$B$9/4))/('Levas superpuestas'!$B$9/2))&lt;=0,((W37-('Levas superpuestas'!$B$15-'Levas superpuestas'!$B$9/4))/('Levas superpuestas'!$B$9/2))&gt;=1),0,IF(((W37-('Levas superpuestas'!$B$15-'Levas superpuestas'!$B$9/4))/('Levas superpuestas'!$B$9/2))&lt;Simulador!$B$11,Simulador!$B$10*(1-COS(PI()*((W37-('Levas superpuestas'!$B$15-'Levas superpuestas'!$B$9/4))/('Levas superpuestas'!$B$9/2))/Simulador!$B$11))/2,IF(((W37-('Levas superpuestas'!$B$15-'Levas superpuestas'!$B$9/4))/('Levas superpuestas'!$B$9/2))&gt;1-Simulador!$B$11,Simulador!$B$10*(1-COS(PI()*(1-((W37-('Levas superpuestas'!$B$15-'Levas superpuestas'!$B$9/4))/('Levas superpuestas'!$B$9/2)))/Simulador!$B$11))/2,Simulador!$B$10))))*SIN(RADIANS(W37))</f>
        <v/>
      </c>
      <c r="AA37" s="48">
        <f>('Levas superpuestas'!$B$5+IF(OR(((W37-('Levas superpuestas'!$B$15-'Levas superpuestas'!$B$9/4))/('Levas superpuestas'!$B$9/2))&lt;=0,((W37-('Levas superpuestas'!$B$15-'Levas superpuestas'!$B$9/4))/('Levas superpuestas'!$B$9/2))&gt;=1),0,IF(((W37-('Levas superpuestas'!$B$15-'Levas superpuestas'!$B$9/4))/('Levas superpuestas'!$B$9/2))&lt;Simulador!$B$11,Simulador!$B$10*(1-COS(PI()*((W37-('Levas superpuestas'!$B$15-'Levas superpuestas'!$B$9/4))/('Levas superpuestas'!$B$9/2))/Simulador!$B$11))/2,IF(((W37-('Levas superpuestas'!$B$15-'Levas superpuestas'!$B$9/4))/('Levas superpuestas'!$B$9/2))&gt;1-Simulador!$B$11,Simulador!$B$10*(1-COS(PI()*(1-((W37-('Levas superpuestas'!$B$15-'Levas superpuestas'!$B$9/4))/('Levas superpuestas'!$B$9/2)))/Simulador!$B$11))/2,Simulador!$B$10))))*COS(RADIANS(W37))</f>
        <v/>
      </c>
      <c r="AB37">
        <f>'Levas superpuestas'!$B$5*SIN(RADIANS(W37))</f>
        <v/>
      </c>
      <c r="AC37">
        <f>'Levas superpuestas'!$B$5*COS(RADIANS(W37))</f>
        <v/>
      </c>
    </row>
    <row r="38">
      <c r="A38" s="26">
        <f>A37+Simulador!$B$14</f>
        <v/>
      </c>
      <c r="B38" s="46">
        <f>IF(OR((($A38-Simulador!$E$5)/Simulador!$G$5)&lt;=0,(($A38-Simulador!$E$5)/Simulador!$G$5)&gt;=1),0,IF((($A38-Simulador!$E$5)/Simulador!$G$5)&lt;Simulador!$B$11,Simulador!$B$9*(1-COS(PI()*(($A38-Simulador!$E$5)/Simulador!$G$5)/Simulador!$B$11))/2,IF((($A38-Simulador!$E$5)/Simulador!$G$5)&gt;1-Simulador!$B$11,Simulador!$B$9*(1-COS(PI()*(1-(($A38-Simulador!$E$5)/Simulador!$G$5))/Simulador!$B$11))/2,Simulador!$B$9)))</f>
        <v/>
      </c>
      <c r="C38" s="46">
        <f>IF(OR((($A38-Simulador!$E$6)/Simulador!$G$6)&lt;=0,(($A38-Simulador!$E$6)/Simulador!$G$6)&gt;=1),0,IF((($A38-Simulador!$E$6)/Simulador!$G$6)&lt;Simulador!$B$11,Simulador!$B$9*(1-COS(PI()*(($A38-Simulador!$E$6)/Simulador!$G$6)/Simulador!$B$11))/2,IF((($A38-Simulador!$E$6)/Simulador!$G$6)&gt;1-Simulador!$B$11,Simulador!$B$9*(1-COS(PI()*(1-(($A38-Simulador!$E$6)/Simulador!$G$6))/Simulador!$B$11))/2,Simulador!$B$9)))</f>
        <v/>
      </c>
      <c r="D38" s="46">
        <f>IF(OR((($A38-Simulador!$E$7)/Simulador!$G$7)&lt;=0,(($A38-Simulador!$E$7)/Simulador!$G$7)&gt;=1),0,IF((($A38-Simulador!$E$7)/Simulador!$G$7)&lt;Simulador!$B$11,Simulador!$B$9*(1-COS(PI()*(($A38-Simulador!$E$7)/Simulador!$G$7)/Simulador!$B$11))/2,IF((($A38-Simulador!$E$7)/Simulador!$G$7)&gt;1-Simulador!$B$11,Simulador!$B$9*(1-COS(PI()*(1-(($A38-Simulador!$E$7)/Simulador!$G$7))/Simulador!$B$11))/2,Simulador!$B$9)))</f>
        <v/>
      </c>
      <c r="E38" s="46">
        <f>IF(OR((($A38-Simulador!$E$8)/Simulador!$G$8)&lt;=0,(($A38-Simulador!$E$8)/Simulador!$G$8)&gt;=1),0,IF((($A38-Simulador!$E$8)/Simulador!$G$8)&lt;Simulador!$B$11,Simulador!$B$10*(1-COS(PI()*(($A38-Simulador!$E$8)/Simulador!$G$8)/Simulador!$B$11))/2,IF((($A38-Simulador!$E$8)/Simulador!$G$8)&gt;1-Simulador!$B$11,Simulador!$B$10*(1-COS(PI()*(1-(($A38-Simulador!$E$8)/Simulador!$G$8))/Simulador!$B$11))/2,Simulador!$B$10)))</f>
        <v/>
      </c>
      <c r="F38" s="46">
        <f>IF(OR((($A38-Simulador!$E$9)/Simulador!$G$9)&lt;=0,(($A38-Simulador!$E$9)/Simulador!$G$9)&gt;=1),0,IF((($A38-Simulador!$E$9)/Simulador!$G$9)&lt;Simulador!$B$11,Simulador!$B$10*(1-COS(PI()*(($A38-Simulador!$E$9)/Simulador!$G$9)/Simulador!$B$11))/2,IF((($A38-Simulador!$E$9)/Simulador!$G$9)&gt;1-Simulador!$B$11,Simulador!$B$10*(1-COS(PI()*(1-(($A38-Simulador!$E$9)/Simulador!$G$9))/Simulador!$B$11))/2,Simulador!$B$10)))</f>
        <v/>
      </c>
      <c r="G38" s="46">
        <f>IF(OR((($A38-Simulador!$E$10)/Simulador!$G$10)&lt;=0,(($A38-Simulador!$E$10)/Simulador!$G$10)&gt;=1),0,IF((($A38-Simulador!$E$10)/Simulador!$G$10)&lt;Simulador!$B$11,Simulador!$B$10*(1-COS(PI()*(($A38-Simulador!$E$10)/Simulador!$G$10)/Simulador!$B$11))/2,IF((($A38-Simulador!$E$10)/Simulador!$G$10)&gt;1-Simulador!$B$11,Simulador!$B$10*(1-COS(PI()*(1-(($A38-Simulador!$E$10)/Simulador!$G$10))/Simulador!$B$11))/2,Simulador!$B$10)))</f>
        <v/>
      </c>
      <c r="Q38" s="48">
        <f>IF(OR((($A38-(Simulador!$E$6+'Salto de dientes'!$B$12))/Simulador!$G$6)&lt;=0,(($A38-(Simulador!$E$6+'Salto de dientes'!$B$12))/Simulador!$G$6)&gt;=1),0,IF((($A38-(Simulador!$E$6+'Salto de dientes'!$B$12))/Simulador!$G$6)&lt;Simulador!$B$11,Simulador!$B$9*(1-COS(PI()*(($A38-(Simulador!$E$6+'Salto de dientes'!$B$12))/Simulador!$G$6)/Simulador!$B$11))/2,IF((($A38-(Simulador!$E$6+'Salto de dientes'!$B$12))/Simulador!$G$6)&gt;1-Simulador!$B$11,Simulador!$B$9*(1-COS(PI()*(1-(($A38-(Simulador!$E$6+'Salto de dientes'!$B$12))/Simulador!$G$6))/Simulador!$B$11))/2,Simulador!$B$9)))</f>
        <v/>
      </c>
      <c r="R38" s="48">
        <f>IF(OR((($A38-(Simulador!$E$9+'Salto de dientes'!$B$12))/Simulador!$G$9)&lt;=0,(($A38-(Simulador!$E$9+'Salto de dientes'!$B$12))/Simulador!$G$9)&gt;=1),0,IF((($A38-(Simulador!$E$9+'Salto de dientes'!$B$12))/Simulador!$G$9)&lt;Simulador!$B$11,Simulador!$B$10*(1-COS(PI()*(($A38-(Simulador!$E$9+'Salto de dientes'!$B$12))/Simulador!$G$9)/Simulador!$B$11))/2,IF((($A38-(Simulador!$E$9+'Salto de dientes'!$B$12))/Simulador!$G$9)&gt;1-Simulador!$B$11,Simulador!$B$10*(1-COS(PI()*(1-(($A38-(Simulador!$E$9+'Salto de dientes'!$B$12))/Simulador!$G$9))/Simulador!$B$11))/2,Simulador!$B$10)))</f>
        <v/>
      </c>
      <c r="W38" t="n">
        <v>-72</v>
      </c>
      <c r="X38" s="48">
        <f>('Levas superpuestas'!$B$5+IF(OR(((W38-('Levas superpuestas'!$B$14-'Levas superpuestas'!$B$8/4))/('Levas superpuestas'!$B$8/2))&lt;=0,((W38-('Levas superpuestas'!$B$14-'Levas superpuestas'!$B$8/4))/('Levas superpuestas'!$B$8/2))&gt;=1),0,IF(((W38-('Levas superpuestas'!$B$14-'Levas superpuestas'!$B$8/4))/('Levas superpuestas'!$B$8/2))&lt;Simulador!$B$11,Simulador!$B$9*(1-COS(PI()*((W38-('Levas superpuestas'!$B$14-'Levas superpuestas'!$B$8/4))/('Levas superpuestas'!$B$8/2))/Simulador!$B$11))/2,IF(((W38-('Levas superpuestas'!$B$14-'Levas superpuestas'!$B$8/4))/('Levas superpuestas'!$B$8/2))&gt;1-Simulador!$B$11,Simulador!$B$9*(1-COS(PI()*(1-((W38-('Levas superpuestas'!$B$14-'Levas superpuestas'!$B$8/4))/('Levas superpuestas'!$B$8/2)))/Simulador!$B$11))/2,Simulador!$B$9))))*SIN(RADIANS(W38))</f>
        <v/>
      </c>
      <c r="Y38" s="48">
        <f>('Levas superpuestas'!$B$5+IF(OR(((W38-('Levas superpuestas'!$B$14-'Levas superpuestas'!$B$8/4))/('Levas superpuestas'!$B$8/2))&lt;=0,((W38-('Levas superpuestas'!$B$14-'Levas superpuestas'!$B$8/4))/('Levas superpuestas'!$B$8/2))&gt;=1),0,IF(((W38-('Levas superpuestas'!$B$14-'Levas superpuestas'!$B$8/4))/('Levas superpuestas'!$B$8/2))&lt;Simulador!$B$11,Simulador!$B$9*(1-COS(PI()*((W38-('Levas superpuestas'!$B$14-'Levas superpuestas'!$B$8/4))/('Levas superpuestas'!$B$8/2))/Simulador!$B$11))/2,IF(((W38-('Levas superpuestas'!$B$14-'Levas superpuestas'!$B$8/4))/('Levas superpuestas'!$B$8/2))&gt;1-Simulador!$B$11,Simulador!$B$9*(1-COS(PI()*(1-((W38-('Levas superpuestas'!$B$14-'Levas superpuestas'!$B$8/4))/('Levas superpuestas'!$B$8/2)))/Simulador!$B$11))/2,Simulador!$B$9))))*COS(RADIANS(W38))</f>
        <v/>
      </c>
      <c r="Z38" s="48">
        <f>('Levas superpuestas'!$B$5+IF(OR(((W38-('Levas superpuestas'!$B$15-'Levas superpuestas'!$B$9/4))/('Levas superpuestas'!$B$9/2))&lt;=0,((W38-('Levas superpuestas'!$B$15-'Levas superpuestas'!$B$9/4))/('Levas superpuestas'!$B$9/2))&gt;=1),0,IF(((W38-('Levas superpuestas'!$B$15-'Levas superpuestas'!$B$9/4))/('Levas superpuestas'!$B$9/2))&lt;Simulador!$B$11,Simulador!$B$10*(1-COS(PI()*((W38-('Levas superpuestas'!$B$15-'Levas superpuestas'!$B$9/4))/('Levas superpuestas'!$B$9/2))/Simulador!$B$11))/2,IF(((W38-('Levas superpuestas'!$B$15-'Levas superpuestas'!$B$9/4))/('Levas superpuestas'!$B$9/2))&gt;1-Simulador!$B$11,Simulador!$B$10*(1-COS(PI()*(1-((W38-('Levas superpuestas'!$B$15-'Levas superpuestas'!$B$9/4))/('Levas superpuestas'!$B$9/2)))/Simulador!$B$11))/2,Simulador!$B$10))))*SIN(RADIANS(W38))</f>
        <v/>
      </c>
      <c r="AA38" s="48">
        <f>('Levas superpuestas'!$B$5+IF(OR(((W38-('Levas superpuestas'!$B$15-'Levas superpuestas'!$B$9/4))/('Levas superpuestas'!$B$9/2))&lt;=0,((W38-('Levas superpuestas'!$B$15-'Levas superpuestas'!$B$9/4))/('Levas superpuestas'!$B$9/2))&gt;=1),0,IF(((W38-('Levas superpuestas'!$B$15-'Levas superpuestas'!$B$9/4))/('Levas superpuestas'!$B$9/2))&lt;Simulador!$B$11,Simulador!$B$10*(1-COS(PI()*((W38-('Levas superpuestas'!$B$15-'Levas superpuestas'!$B$9/4))/('Levas superpuestas'!$B$9/2))/Simulador!$B$11))/2,IF(((W38-('Levas superpuestas'!$B$15-'Levas superpuestas'!$B$9/4))/('Levas superpuestas'!$B$9/2))&gt;1-Simulador!$B$11,Simulador!$B$10*(1-COS(PI()*(1-((W38-('Levas superpuestas'!$B$15-'Levas superpuestas'!$B$9/4))/('Levas superpuestas'!$B$9/2)))/Simulador!$B$11))/2,Simulador!$B$10))))*COS(RADIANS(W38))</f>
        <v/>
      </c>
      <c r="AB38">
        <f>'Levas superpuestas'!$B$5*SIN(RADIANS(W38))</f>
        <v/>
      </c>
      <c r="AC38">
        <f>'Levas superpuestas'!$B$5*COS(RADIANS(W38))</f>
        <v/>
      </c>
    </row>
    <row r="39">
      <c r="A39" s="26">
        <f>A38+Simulador!$B$14</f>
        <v/>
      </c>
      <c r="B39" s="46">
        <f>IF(OR((($A39-Simulador!$E$5)/Simulador!$G$5)&lt;=0,(($A39-Simulador!$E$5)/Simulador!$G$5)&gt;=1),0,IF((($A39-Simulador!$E$5)/Simulador!$G$5)&lt;Simulador!$B$11,Simulador!$B$9*(1-COS(PI()*(($A39-Simulador!$E$5)/Simulador!$G$5)/Simulador!$B$11))/2,IF((($A39-Simulador!$E$5)/Simulador!$G$5)&gt;1-Simulador!$B$11,Simulador!$B$9*(1-COS(PI()*(1-(($A39-Simulador!$E$5)/Simulador!$G$5))/Simulador!$B$11))/2,Simulador!$B$9)))</f>
        <v/>
      </c>
      <c r="C39" s="46">
        <f>IF(OR((($A39-Simulador!$E$6)/Simulador!$G$6)&lt;=0,(($A39-Simulador!$E$6)/Simulador!$G$6)&gt;=1),0,IF((($A39-Simulador!$E$6)/Simulador!$G$6)&lt;Simulador!$B$11,Simulador!$B$9*(1-COS(PI()*(($A39-Simulador!$E$6)/Simulador!$G$6)/Simulador!$B$11))/2,IF((($A39-Simulador!$E$6)/Simulador!$G$6)&gt;1-Simulador!$B$11,Simulador!$B$9*(1-COS(PI()*(1-(($A39-Simulador!$E$6)/Simulador!$G$6))/Simulador!$B$11))/2,Simulador!$B$9)))</f>
        <v/>
      </c>
      <c r="D39" s="46">
        <f>IF(OR((($A39-Simulador!$E$7)/Simulador!$G$7)&lt;=0,(($A39-Simulador!$E$7)/Simulador!$G$7)&gt;=1),0,IF((($A39-Simulador!$E$7)/Simulador!$G$7)&lt;Simulador!$B$11,Simulador!$B$9*(1-COS(PI()*(($A39-Simulador!$E$7)/Simulador!$G$7)/Simulador!$B$11))/2,IF((($A39-Simulador!$E$7)/Simulador!$G$7)&gt;1-Simulador!$B$11,Simulador!$B$9*(1-COS(PI()*(1-(($A39-Simulador!$E$7)/Simulador!$G$7))/Simulador!$B$11))/2,Simulador!$B$9)))</f>
        <v/>
      </c>
      <c r="E39" s="46">
        <f>IF(OR((($A39-Simulador!$E$8)/Simulador!$G$8)&lt;=0,(($A39-Simulador!$E$8)/Simulador!$G$8)&gt;=1),0,IF((($A39-Simulador!$E$8)/Simulador!$G$8)&lt;Simulador!$B$11,Simulador!$B$10*(1-COS(PI()*(($A39-Simulador!$E$8)/Simulador!$G$8)/Simulador!$B$11))/2,IF((($A39-Simulador!$E$8)/Simulador!$G$8)&gt;1-Simulador!$B$11,Simulador!$B$10*(1-COS(PI()*(1-(($A39-Simulador!$E$8)/Simulador!$G$8))/Simulador!$B$11))/2,Simulador!$B$10)))</f>
        <v/>
      </c>
      <c r="F39" s="46">
        <f>IF(OR((($A39-Simulador!$E$9)/Simulador!$G$9)&lt;=0,(($A39-Simulador!$E$9)/Simulador!$G$9)&gt;=1),0,IF((($A39-Simulador!$E$9)/Simulador!$G$9)&lt;Simulador!$B$11,Simulador!$B$10*(1-COS(PI()*(($A39-Simulador!$E$9)/Simulador!$G$9)/Simulador!$B$11))/2,IF((($A39-Simulador!$E$9)/Simulador!$G$9)&gt;1-Simulador!$B$11,Simulador!$B$10*(1-COS(PI()*(1-(($A39-Simulador!$E$9)/Simulador!$G$9))/Simulador!$B$11))/2,Simulador!$B$10)))</f>
        <v/>
      </c>
      <c r="G39" s="46">
        <f>IF(OR((($A39-Simulador!$E$10)/Simulador!$G$10)&lt;=0,(($A39-Simulador!$E$10)/Simulador!$G$10)&gt;=1),0,IF((($A39-Simulador!$E$10)/Simulador!$G$10)&lt;Simulador!$B$11,Simulador!$B$10*(1-COS(PI()*(($A39-Simulador!$E$10)/Simulador!$G$10)/Simulador!$B$11))/2,IF((($A39-Simulador!$E$10)/Simulador!$G$10)&gt;1-Simulador!$B$11,Simulador!$B$10*(1-COS(PI()*(1-(($A39-Simulador!$E$10)/Simulador!$G$10))/Simulador!$B$11))/2,Simulador!$B$10)))</f>
        <v/>
      </c>
      <c r="Q39" s="48">
        <f>IF(OR((($A39-(Simulador!$E$6+'Salto de dientes'!$B$12))/Simulador!$G$6)&lt;=0,(($A39-(Simulador!$E$6+'Salto de dientes'!$B$12))/Simulador!$G$6)&gt;=1),0,IF((($A39-(Simulador!$E$6+'Salto de dientes'!$B$12))/Simulador!$G$6)&lt;Simulador!$B$11,Simulador!$B$9*(1-COS(PI()*(($A39-(Simulador!$E$6+'Salto de dientes'!$B$12))/Simulador!$G$6)/Simulador!$B$11))/2,IF((($A39-(Simulador!$E$6+'Salto de dientes'!$B$12))/Simulador!$G$6)&gt;1-Simulador!$B$11,Simulador!$B$9*(1-COS(PI()*(1-(($A39-(Simulador!$E$6+'Salto de dientes'!$B$12))/Simulador!$G$6))/Simulador!$B$11))/2,Simulador!$B$9)))</f>
        <v/>
      </c>
      <c r="R39" s="48">
        <f>IF(OR((($A39-(Simulador!$E$9+'Salto de dientes'!$B$12))/Simulador!$G$9)&lt;=0,(($A39-(Simulador!$E$9+'Salto de dientes'!$B$12))/Simulador!$G$9)&gt;=1),0,IF((($A39-(Simulador!$E$9+'Salto de dientes'!$B$12))/Simulador!$G$9)&lt;Simulador!$B$11,Simulador!$B$10*(1-COS(PI()*(($A39-(Simulador!$E$9+'Salto de dientes'!$B$12))/Simulador!$G$9)/Simulador!$B$11))/2,IF((($A39-(Simulador!$E$9+'Salto de dientes'!$B$12))/Simulador!$G$9)&gt;1-Simulador!$B$11,Simulador!$B$10*(1-COS(PI()*(1-(($A39-(Simulador!$E$9+'Salto de dientes'!$B$12))/Simulador!$G$9))/Simulador!$B$11))/2,Simulador!$B$10)))</f>
        <v/>
      </c>
      <c r="W39" t="n">
        <v>-69</v>
      </c>
      <c r="X39" s="48">
        <f>('Levas superpuestas'!$B$5+IF(OR(((W39-('Levas superpuestas'!$B$14-'Levas superpuestas'!$B$8/4))/('Levas superpuestas'!$B$8/2))&lt;=0,((W39-('Levas superpuestas'!$B$14-'Levas superpuestas'!$B$8/4))/('Levas superpuestas'!$B$8/2))&gt;=1),0,IF(((W39-('Levas superpuestas'!$B$14-'Levas superpuestas'!$B$8/4))/('Levas superpuestas'!$B$8/2))&lt;Simulador!$B$11,Simulador!$B$9*(1-COS(PI()*((W39-('Levas superpuestas'!$B$14-'Levas superpuestas'!$B$8/4))/('Levas superpuestas'!$B$8/2))/Simulador!$B$11))/2,IF(((W39-('Levas superpuestas'!$B$14-'Levas superpuestas'!$B$8/4))/('Levas superpuestas'!$B$8/2))&gt;1-Simulador!$B$11,Simulador!$B$9*(1-COS(PI()*(1-((W39-('Levas superpuestas'!$B$14-'Levas superpuestas'!$B$8/4))/('Levas superpuestas'!$B$8/2)))/Simulador!$B$11))/2,Simulador!$B$9))))*SIN(RADIANS(W39))</f>
        <v/>
      </c>
      <c r="Y39" s="48">
        <f>('Levas superpuestas'!$B$5+IF(OR(((W39-('Levas superpuestas'!$B$14-'Levas superpuestas'!$B$8/4))/('Levas superpuestas'!$B$8/2))&lt;=0,((W39-('Levas superpuestas'!$B$14-'Levas superpuestas'!$B$8/4))/('Levas superpuestas'!$B$8/2))&gt;=1),0,IF(((W39-('Levas superpuestas'!$B$14-'Levas superpuestas'!$B$8/4))/('Levas superpuestas'!$B$8/2))&lt;Simulador!$B$11,Simulador!$B$9*(1-COS(PI()*((W39-('Levas superpuestas'!$B$14-'Levas superpuestas'!$B$8/4))/('Levas superpuestas'!$B$8/2))/Simulador!$B$11))/2,IF(((W39-('Levas superpuestas'!$B$14-'Levas superpuestas'!$B$8/4))/('Levas superpuestas'!$B$8/2))&gt;1-Simulador!$B$11,Simulador!$B$9*(1-COS(PI()*(1-((W39-('Levas superpuestas'!$B$14-'Levas superpuestas'!$B$8/4))/('Levas superpuestas'!$B$8/2)))/Simulador!$B$11))/2,Simulador!$B$9))))*COS(RADIANS(W39))</f>
        <v/>
      </c>
      <c r="Z39" s="48">
        <f>('Levas superpuestas'!$B$5+IF(OR(((W39-('Levas superpuestas'!$B$15-'Levas superpuestas'!$B$9/4))/('Levas superpuestas'!$B$9/2))&lt;=0,((W39-('Levas superpuestas'!$B$15-'Levas superpuestas'!$B$9/4))/('Levas superpuestas'!$B$9/2))&gt;=1),0,IF(((W39-('Levas superpuestas'!$B$15-'Levas superpuestas'!$B$9/4))/('Levas superpuestas'!$B$9/2))&lt;Simulador!$B$11,Simulador!$B$10*(1-COS(PI()*((W39-('Levas superpuestas'!$B$15-'Levas superpuestas'!$B$9/4))/('Levas superpuestas'!$B$9/2))/Simulador!$B$11))/2,IF(((W39-('Levas superpuestas'!$B$15-'Levas superpuestas'!$B$9/4))/('Levas superpuestas'!$B$9/2))&gt;1-Simulador!$B$11,Simulador!$B$10*(1-COS(PI()*(1-((W39-('Levas superpuestas'!$B$15-'Levas superpuestas'!$B$9/4))/('Levas superpuestas'!$B$9/2)))/Simulador!$B$11))/2,Simulador!$B$10))))*SIN(RADIANS(W39))</f>
        <v/>
      </c>
      <c r="AA39" s="48">
        <f>('Levas superpuestas'!$B$5+IF(OR(((W39-('Levas superpuestas'!$B$15-'Levas superpuestas'!$B$9/4))/('Levas superpuestas'!$B$9/2))&lt;=0,((W39-('Levas superpuestas'!$B$15-'Levas superpuestas'!$B$9/4))/('Levas superpuestas'!$B$9/2))&gt;=1),0,IF(((W39-('Levas superpuestas'!$B$15-'Levas superpuestas'!$B$9/4))/('Levas superpuestas'!$B$9/2))&lt;Simulador!$B$11,Simulador!$B$10*(1-COS(PI()*((W39-('Levas superpuestas'!$B$15-'Levas superpuestas'!$B$9/4))/('Levas superpuestas'!$B$9/2))/Simulador!$B$11))/2,IF(((W39-('Levas superpuestas'!$B$15-'Levas superpuestas'!$B$9/4))/('Levas superpuestas'!$B$9/2))&gt;1-Simulador!$B$11,Simulador!$B$10*(1-COS(PI()*(1-((W39-('Levas superpuestas'!$B$15-'Levas superpuestas'!$B$9/4))/('Levas superpuestas'!$B$9/2)))/Simulador!$B$11))/2,Simulador!$B$10))))*COS(RADIANS(W39))</f>
        <v/>
      </c>
      <c r="AB39">
        <f>'Levas superpuestas'!$B$5*SIN(RADIANS(W39))</f>
        <v/>
      </c>
      <c r="AC39">
        <f>'Levas superpuestas'!$B$5*COS(RADIANS(W39))</f>
        <v/>
      </c>
    </row>
    <row r="40">
      <c r="A40" s="26">
        <f>A39+Simulador!$B$14</f>
        <v/>
      </c>
      <c r="B40" s="46">
        <f>IF(OR((($A40-Simulador!$E$5)/Simulador!$G$5)&lt;=0,(($A40-Simulador!$E$5)/Simulador!$G$5)&gt;=1),0,IF((($A40-Simulador!$E$5)/Simulador!$G$5)&lt;Simulador!$B$11,Simulador!$B$9*(1-COS(PI()*(($A40-Simulador!$E$5)/Simulador!$G$5)/Simulador!$B$11))/2,IF((($A40-Simulador!$E$5)/Simulador!$G$5)&gt;1-Simulador!$B$11,Simulador!$B$9*(1-COS(PI()*(1-(($A40-Simulador!$E$5)/Simulador!$G$5))/Simulador!$B$11))/2,Simulador!$B$9)))</f>
        <v/>
      </c>
      <c r="C40" s="46">
        <f>IF(OR((($A40-Simulador!$E$6)/Simulador!$G$6)&lt;=0,(($A40-Simulador!$E$6)/Simulador!$G$6)&gt;=1),0,IF((($A40-Simulador!$E$6)/Simulador!$G$6)&lt;Simulador!$B$11,Simulador!$B$9*(1-COS(PI()*(($A40-Simulador!$E$6)/Simulador!$G$6)/Simulador!$B$11))/2,IF((($A40-Simulador!$E$6)/Simulador!$G$6)&gt;1-Simulador!$B$11,Simulador!$B$9*(1-COS(PI()*(1-(($A40-Simulador!$E$6)/Simulador!$G$6))/Simulador!$B$11))/2,Simulador!$B$9)))</f>
        <v/>
      </c>
      <c r="D40" s="46">
        <f>IF(OR((($A40-Simulador!$E$7)/Simulador!$G$7)&lt;=0,(($A40-Simulador!$E$7)/Simulador!$G$7)&gt;=1),0,IF((($A40-Simulador!$E$7)/Simulador!$G$7)&lt;Simulador!$B$11,Simulador!$B$9*(1-COS(PI()*(($A40-Simulador!$E$7)/Simulador!$G$7)/Simulador!$B$11))/2,IF((($A40-Simulador!$E$7)/Simulador!$G$7)&gt;1-Simulador!$B$11,Simulador!$B$9*(1-COS(PI()*(1-(($A40-Simulador!$E$7)/Simulador!$G$7))/Simulador!$B$11))/2,Simulador!$B$9)))</f>
        <v/>
      </c>
      <c r="E40" s="46">
        <f>IF(OR((($A40-Simulador!$E$8)/Simulador!$G$8)&lt;=0,(($A40-Simulador!$E$8)/Simulador!$G$8)&gt;=1),0,IF((($A40-Simulador!$E$8)/Simulador!$G$8)&lt;Simulador!$B$11,Simulador!$B$10*(1-COS(PI()*(($A40-Simulador!$E$8)/Simulador!$G$8)/Simulador!$B$11))/2,IF((($A40-Simulador!$E$8)/Simulador!$G$8)&gt;1-Simulador!$B$11,Simulador!$B$10*(1-COS(PI()*(1-(($A40-Simulador!$E$8)/Simulador!$G$8))/Simulador!$B$11))/2,Simulador!$B$10)))</f>
        <v/>
      </c>
      <c r="F40" s="46">
        <f>IF(OR((($A40-Simulador!$E$9)/Simulador!$G$9)&lt;=0,(($A40-Simulador!$E$9)/Simulador!$G$9)&gt;=1),0,IF((($A40-Simulador!$E$9)/Simulador!$G$9)&lt;Simulador!$B$11,Simulador!$B$10*(1-COS(PI()*(($A40-Simulador!$E$9)/Simulador!$G$9)/Simulador!$B$11))/2,IF((($A40-Simulador!$E$9)/Simulador!$G$9)&gt;1-Simulador!$B$11,Simulador!$B$10*(1-COS(PI()*(1-(($A40-Simulador!$E$9)/Simulador!$G$9))/Simulador!$B$11))/2,Simulador!$B$10)))</f>
        <v/>
      </c>
      <c r="G40" s="46">
        <f>IF(OR((($A40-Simulador!$E$10)/Simulador!$G$10)&lt;=0,(($A40-Simulador!$E$10)/Simulador!$G$10)&gt;=1),0,IF((($A40-Simulador!$E$10)/Simulador!$G$10)&lt;Simulador!$B$11,Simulador!$B$10*(1-COS(PI()*(($A40-Simulador!$E$10)/Simulador!$G$10)/Simulador!$B$11))/2,IF((($A40-Simulador!$E$10)/Simulador!$G$10)&gt;1-Simulador!$B$11,Simulador!$B$10*(1-COS(PI()*(1-(($A40-Simulador!$E$10)/Simulador!$G$10))/Simulador!$B$11))/2,Simulador!$B$10)))</f>
        <v/>
      </c>
      <c r="Q40" s="48">
        <f>IF(OR((($A40-(Simulador!$E$6+'Salto de dientes'!$B$12))/Simulador!$G$6)&lt;=0,(($A40-(Simulador!$E$6+'Salto de dientes'!$B$12))/Simulador!$G$6)&gt;=1),0,IF((($A40-(Simulador!$E$6+'Salto de dientes'!$B$12))/Simulador!$G$6)&lt;Simulador!$B$11,Simulador!$B$9*(1-COS(PI()*(($A40-(Simulador!$E$6+'Salto de dientes'!$B$12))/Simulador!$G$6)/Simulador!$B$11))/2,IF((($A40-(Simulador!$E$6+'Salto de dientes'!$B$12))/Simulador!$G$6)&gt;1-Simulador!$B$11,Simulador!$B$9*(1-COS(PI()*(1-(($A40-(Simulador!$E$6+'Salto de dientes'!$B$12))/Simulador!$G$6))/Simulador!$B$11))/2,Simulador!$B$9)))</f>
        <v/>
      </c>
      <c r="R40" s="48">
        <f>IF(OR((($A40-(Simulador!$E$9+'Salto de dientes'!$B$12))/Simulador!$G$9)&lt;=0,(($A40-(Simulador!$E$9+'Salto de dientes'!$B$12))/Simulador!$G$9)&gt;=1),0,IF((($A40-(Simulador!$E$9+'Salto de dientes'!$B$12))/Simulador!$G$9)&lt;Simulador!$B$11,Simulador!$B$10*(1-COS(PI()*(($A40-(Simulador!$E$9+'Salto de dientes'!$B$12))/Simulador!$G$9)/Simulador!$B$11))/2,IF((($A40-(Simulador!$E$9+'Salto de dientes'!$B$12))/Simulador!$G$9)&gt;1-Simulador!$B$11,Simulador!$B$10*(1-COS(PI()*(1-(($A40-(Simulador!$E$9+'Salto de dientes'!$B$12))/Simulador!$G$9))/Simulador!$B$11))/2,Simulador!$B$10)))</f>
        <v/>
      </c>
      <c r="W40" t="n">
        <v>-66</v>
      </c>
      <c r="X40" s="48">
        <f>('Levas superpuestas'!$B$5+IF(OR(((W40-('Levas superpuestas'!$B$14-'Levas superpuestas'!$B$8/4))/('Levas superpuestas'!$B$8/2))&lt;=0,((W40-('Levas superpuestas'!$B$14-'Levas superpuestas'!$B$8/4))/('Levas superpuestas'!$B$8/2))&gt;=1),0,IF(((W40-('Levas superpuestas'!$B$14-'Levas superpuestas'!$B$8/4))/('Levas superpuestas'!$B$8/2))&lt;Simulador!$B$11,Simulador!$B$9*(1-COS(PI()*((W40-('Levas superpuestas'!$B$14-'Levas superpuestas'!$B$8/4))/('Levas superpuestas'!$B$8/2))/Simulador!$B$11))/2,IF(((W40-('Levas superpuestas'!$B$14-'Levas superpuestas'!$B$8/4))/('Levas superpuestas'!$B$8/2))&gt;1-Simulador!$B$11,Simulador!$B$9*(1-COS(PI()*(1-((W40-('Levas superpuestas'!$B$14-'Levas superpuestas'!$B$8/4))/('Levas superpuestas'!$B$8/2)))/Simulador!$B$11))/2,Simulador!$B$9))))*SIN(RADIANS(W40))</f>
        <v/>
      </c>
      <c r="Y40" s="48">
        <f>('Levas superpuestas'!$B$5+IF(OR(((W40-('Levas superpuestas'!$B$14-'Levas superpuestas'!$B$8/4))/('Levas superpuestas'!$B$8/2))&lt;=0,((W40-('Levas superpuestas'!$B$14-'Levas superpuestas'!$B$8/4))/('Levas superpuestas'!$B$8/2))&gt;=1),0,IF(((W40-('Levas superpuestas'!$B$14-'Levas superpuestas'!$B$8/4))/('Levas superpuestas'!$B$8/2))&lt;Simulador!$B$11,Simulador!$B$9*(1-COS(PI()*((W40-('Levas superpuestas'!$B$14-'Levas superpuestas'!$B$8/4))/('Levas superpuestas'!$B$8/2))/Simulador!$B$11))/2,IF(((W40-('Levas superpuestas'!$B$14-'Levas superpuestas'!$B$8/4))/('Levas superpuestas'!$B$8/2))&gt;1-Simulador!$B$11,Simulador!$B$9*(1-COS(PI()*(1-((W40-('Levas superpuestas'!$B$14-'Levas superpuestas'!$B$8/4))/('Levas superpuestas'!$B$8/2)))/Simulador!$B$11))/2,Simulador!$B$9))))*COS(RADIANS(W40))</f>
        <v/>
      </c>
      <c r="Z40" s="48">
        <f>('Levas superpuestas'!$B$5+IF(OR(((W40-('Levas superpuestas'!$B$15-'Levas superpuestas'!$B$9/4))/('Levas superpuestas'!$B$9/2))&lt;=0,((W40-('Levas superpuestas'!$B$15-'Levas superpuestas'!$B$9/4))/('Levas superpuestas'!$B$9/2))&gt;=1),0,IF(((W40-('Levas superpuestas'!$B$15-'Levas superpuestas'!$B$9/4))/('Levas superpuestas'!$B$9/2))&lt;Simulador!$B$11,Simulador!$B$10*(1-COS(PI()*((W40-('Levas superpuestas'!$B$15-'Levas superpuestas'!$B$9/4))/('Levas superpuestas'!$B$9/2))/Simulador!$B$11))/2,IF(((W40-('Levas superpuestas'!$B$15-'Levas superpuestas'!$B$9/4))/('Levas superpuestas'!$B$9/2))&gt;1-Simulador!$B$11,Simulador!$B$10*(1-COS(PI()*(1-((W40-('Levas superpuestas'!$B$15-'Levas superpuestas'!$B$9/4))/('Levas superpuestas'!$B$9/2)))/Simulador!$B$11))/2,Simulador!$B$10))))*SIN(RADIANS(W40))</f>
        <v/>
      </c>
      <c r="AA40" s="48">
        <f>('Levas superpuestas'!$B$5+IF(OR(((W40-('Levas superpuestas'!$B$15-'Levas superpuestas'!$B$9/4))/('Levas superpuestas'!$B$9/2))&lt;=0,((W40-('Levas superpuestas'!$B$15-'Levas superpuestas'!$B$9/4))/('Levas superpuestas'!$B$9/2))&gt;=1),0,IF(((W40-('Levas superpuestas'!$B$15-'Levas superpuestas'!$B$9/4))/('Levas superpuestas'!$B$9/2))&lt;Simulador!$B$11,Simulador!$B$10*(1-COS(PI()*((W40-('Levas superpuestas'!$B$15-'Levas superpuestas'!$B$9/4))/('Levas superpuestas'!$B$9/2))/Simulador!$B$11))/2,IF(((W40-('Levas superpuestas'!$B$15-'Levas superpuestas'!$B$9/4))/('Levas superpuestas'!$B$9/2))&gt;1-Simulador!$B$11,Simulador!$B$10*(1-COS(PI()*(1-((W40-('Levas superpuestas'!$B$15-'Levas superpuestas'!$B$9/4))/('Levas superpuestas'!$B$9/2)))/Simulador!$B$11))/2,Simulador!$B$10))))*COS(RADIANS(W40))</f>
        <v/>
      </c>
      <c r="AB40">
        <f>'Levas superpuestas'!$B$5*SIN(RADIANS(W40))</f>
        <v/>
      </c>
      <c r="AC40">
        <f>'Levas superpuestas'!$B$5*COS(RADIANS(W40))</f>
        <v/>
      </c>
    </row>
    <row r="41">
      <c r="A41" s="26">
        <f>A40+Simulador!$B$14</f>
        <v/>
      </c>
      <c r="B41" s="46">
        <f>IF(OR((($A41-Simulador!$E$5)/Simulador!$G$5)&lt;=0,(($A41-Simulador!$E$5)/Simulador!$G$5)&gt;=1),0,IF((($A41-Simulador!$E$5)/Simulador!$G$5)&lt;Simulador!$B$11,Simulador!$B$9*(1-COS(PI()*(($A41-Simulador!$E$5)/Simulador!$G$5)/Simulador!$B$11))/2,IF((($A41-Simulador!$E$5)/Simulador!$G$5)&gt;1-Simulador!$B$11,Simulador!$B$9*(1-COS(PI()*(1-(($A41-Simulador!$E$5)/Simulador!$G$5))/Simulador!$B$11))/2,Simulador!$B$9)))</f>
        <v/>
      </c>
      <c r="C41" s="46">
        <f>IF(OR((($A41-Simulador!$E$6)/Simulador!$G$6)&lt;=0,(($A41-Simulador!$E$6)/Simulador!$G$6)&gt;=1),0,IF((($A41-Simulador!$E$6)/Simulador!$G$6)&lt;Simulador!$B$11,Simulador!$B$9*(1-COS(PI()*(($A41-Simulador!$E$6)/Simulador!$G$6)/Simulador!$B$11))/2,IF((($A41-Simulador!$E$6)/Simulador!$G$6)&gt;1-Simulador!$B$11,Simulador!$B$9*(1-COS(PI()*(1-(($A41-Simulador!$E$6)/Simulador!$G$6))/Simulador!$B$11))/2,Simulador!$B$9)))</f>
        <v/>
      </c>
      <c r="D41" s="46">
        <f>IF(OR((($A41-Simulador!$E$7)/Simulador!$G$7)&lt;=0,(($A41-Simulador!$E$7)/Simulador!$G$7)&gt;=1),0,IF((($A41-Simulador!$E$7)/Simulador!$G$7)&lt;Simulador!$B$11,Simulador!$B$9*(1-COS(PI()*(($A41-Simulador!$E$7)/Simulador!$G$7)/Simulador!$B$11))/2,IF((($A41-Simulador!$E$7)/Simulador!$G$7)&gt;1-Simulador!$B$11,Simulador!$B$9*(1-COS(PI()*(1-(($A41-Simulador!$E$7)/Simulador!$G$7))/Simulador!$B$11))/2,Simulador!$B$9)))</f>
        <v/>
      </c>
      <c r="E41" s="46">
        <f>IF(OR((($A41-Simulador!$E$8)/Simulador!$G$8)&lt;=0,(($A41-Simulador!$E$8)/Simulador!$G$8)&gt;=1),0,IF((($A41-Simulador!$E$8)/Simulador!$G$8)&lt;Simulador!$B$11,Simulador!$B$10*(1-COS(PI()*(($A41-Simulador!$E$8)/Simulador!$G$8)/Simulador!$B$11))/2,IF((($A41-Simulador!$E$8)/Simulador!$G$8)&gt;1-Simulador!$B$11,Simulador!$B$10*(1-COS(PI()*(1-(($A41-Simulador!$E$8)/Simulador!$G$8))/Simulador!$B$11))/2,Simulador!$B$10)))</f>
        <v/>
      </c>
      <c r="F41" s="46">
        <f>IF(OR((($A41-Simulador!$E$9)/Simulador!$G$9)&lt;=0,(($A41-Simulador!$E$9)/Simulador!$G$9)&gt;=1),0,IF((($A41-Simulador!$E$9)/Simulador!$G$9)&lt;Simulador!$B$11,Simulador!$B$10*(1-COS(PI()*(($A41-Simulador!$E$9)/Simulador!$G$9)/Simulador!$B$11))/2,IF((($A41-Simulador!$E$9)/Simulador!$G$9)&gt;1-Simulador!$B$11,Simulador!$B$10*(1-COS(PI()*(1-(($A41-Simulador!$E$9)/Simulador!$G$9))/Simulador!$B$11))/2,Simulador!$B$10)))</f>
        <v/>
      </c>
      <c r="G41" s="46">
        <f>IF(OR((($A41-Simulador!$E$10)/Simulador!$G$10)&lt;=0,(($A41-Simulador!$E$10)/Simulador!$G$10)&gt;=1),0,IF((($A41-Simulador!$E$10)/Simulador!$G$10)&lt;Simulador!$B$11,Simulador!$B$10*(1-COS(PI()*(($A41-Simulador!$E$10)/Simulador!$G$10)/Simulador!$B$11))/2,IF((($A41-Simulador!$E$10)/Simulador!$G$10)&gt;1-Simulador!$B$11,Simulador!$B$10*(1-COS(PI()*(1-(($A41-Simulador!$E$10)/Simulador!$G$10))/Simulador!$B$11))/2,Simulador!$B$10)))</f>
        <v/>
      </c>
      <c r="Q41" s="48">
        <f>IF(OR((($A41-(Simulador!$E$6+'Salto de dientes'!$B$12))/Simulador!$G$6)&lt;=0,(($A41-(Simulador!$E$6+'Salto de dientes'!$B$12))/Simulador!$G$6)&gt;=1),0,IF((($A41-(Simulador!$E$6+'Salto de dientes'!$B$12))/Simulador!$G$6)&lt;Simulador!$B$11,Simulador!$B$9*(1-COS(PI()*(($A41-(Simulador!$E$6+'Salto de dientes'!$B$12))/Simulador!$G$6)/Simulador!$B$11))/2,IF((($A41-(Simulador!$E$6+'Salto de dientes'!$B$12))/Simulador!$G$6)&gt;1-Simulador!$B$11,Simulador!$B$9*(1-COS(PI()*(1-(($A41-(Simulador!$E$6+'Salto de dientes'!$B$12))/Simulador!$G$6))/Simulador!$B$11))/2,Simulador!$B$9)))</f>
        <v/>
      </c>
      <c r="R41" s="48">
        <f>IF(OR((($A41-(Simulador!$E$9+'Salto de dientes'!$B$12))/Simulador!$G$9)&lt;=0,(($A41-(Simulador!$E$9+'Salto de dientes'!$B$12))/Simulador!$G$9)&gt;=1),0,IF((($A41-(Simulador!$E$9+'Salto de dientes'!$B$12))/Simulador!$G$9)&lt;Simulador!$B$11,Simulador!$B$10*(1-COS(PI()*(($A41-(Simulador!$E$9+'Salto de dientes'!$B$12))/Simulador!$G$9)/Simulador!$B$11))/2,IF((($A41-(Simulador!$E$9+'Salto de dientes'!$B$12))/Simulador!$G$9)&gt;1-Simulador!$B$11,Simulador!$B$10*(1-COS(PI()*(1-(($A41-(Simulador!$E$9+'Salto de dientes'!$B$12))/Simulador!$G$9))/Simulador!$B$11))/2,Simulador!$B$10)))</f>
        <v/>
      </c>
      <c r="W41" t="n">
        <v>-63</v>
      </c>
      <c r="X41" s="48">
        <f>('Levas superpuestas'!$B$5+IF(OR(((W41-('Levas superpuestas'!$B$14-'Levas superpuestas'!$B$8/4))/('Levas superpuestas'!$B$8/2))&lt;=0,((W41-('Levas superpuestas'!$B$14-'Levas superpuestas'!$B$8/4))/('Levas superpuestas'!$B$8/2))&gt;=1),0,IF(((W41-('Levas superpuestas'!$B$14-'Levas superpuestas'!$B$8/4))/('Levas superpuestas'!$B$8/2))&lt;Simulador!$B$11,Simulador!$B$9*(1-COS(PI()*((W41-('Levas superpuestas'!$B$14-'Levas superpuestas'!$B$8/4))/('Levas superpuestas'!$B$8/2))/Simulador!$B$11))/2,IF(((W41-('Levas superpuestas'!$B$14-'Levas superpuestas'!$B$8/4))/('Levas superpuestas'!$B$8/2))&gt;1-Simulador!$B$11,Simulador!$B$9*(1-COS(PI()*(1-((W41-('Levas superpuestas'!$B$14-'Levas superpuestas'!$B$8/4))/('Levas superpuestas'!$B$8/2)))/Simulador!$B$11))/2,Simulador!$B$9))))*SIN(RADIANS(W41))</f>
        <v/>
      </c>
      <c r="Y41" s="48">
        <f>('Levas superpuestas'!$B$5+IF(OR(((W41-('Levas superpuestas'!$B$14-'Levas superpuestas'!$B$8/4))/('Levas superpuestas'!$B$8/2))&lt;=0,((W41-('Levas superpuestas'!$B$14-'Levas superpuestas'!$B$8/4))/('Levas superpuestas'!$B$8/2))&gt;=1),0,IF(((W41-('Levas superpuestas'!$B$14-'Levas superpuestas'!$B$8/4))/('Levas superpuestas'!$B$8/2))&lt;Simulador!$B$11,Simulador!$B$9*(1-COS(PI()*((W41-('Levas superpuestas'!$B$14-'Levas superpuestas'!$B$8/4))/('Levas superpuestas'!$B$8/2))/Simulador!$B$11))/2,IF(((W41-('Levas superpuestas'!$B$14-'Levas superpuestas'!$B$8/4))/('Levas superpuestas'!$B$8/2))&gt;1-Simulador!$B$11,Simulador!$B$9*(1-COS(PI()*(1-((W41-('Levas superpuestas'!$B$14-'Levas superpuestas'!$B$8/4))/('Levas superpuestas'!$B$8/2)))/Simulador!$B$11))/2,Simulador!$B$9))))*COS(RADIANS(W41))</f>
        <v/>
      </c>
      <c r="Z41" s="48">
        <f>('Levas superpuestas'!$B$5+IF(OR(((W41-('Levas superpuestas'!$B$15-'Levas superpuestas'!$B$9/4))/('Levas superpuestas'!$B$9/2))&lt;=0,((W41-('Levas superpuestas'!$B$15-'Levas superpuestas'!$B$9/4))/('Levas superpuestas'!$B$9/2))&gt;=1),0,IF(((W41-('Levas superpuestas'!$B$15-'Levas superpuestas'!$B$9/4))/('Levas superpuestas'!$B$9/2))&lt;Simulador!$B$11,Simulador!$B$10*(1-COS(PI()*((W41-('Levas superpuestas'!$B$15-'Levas superpuestas'!$B$9/4))/('Levas superpuestas'!$B$9/2))/Simulador!$B$11))/2,IF(((W41-('Levas superpuestas'!$B$15-'Levas superpuestas'!$B$9/4))/('Levas superpuestas'!$B$9/2))&gt;1-Simulador!$B$11,Simulador!$B$10*(1-COS(PI()*(1-((W41-('Levas superpuestas'!$B$15-'Levas superpuestas'!$B$9/4))/('Levas superpuestas'!$B$9/2)))/Simulador!$B$11))/2,Simulador!$B$10))))*SIN(RADIANS(W41))</f>
        <v/>
      </c>
      <c r="AA41" s="48">
        <f>('Levas superpuestas'!$B$5+IF(OR(((W41-('Levas superpuestas'!$B$15-'Levas superpuestas'!$B$9/4))/('Levas superpuestas'!$B$9/2))&lt;=0,((W41-('Levas superpuestas'!$B$15-'Levas superpuestas'!$B$9/4))/('Levas superpuestas'!$B$9/2))&gt;=1),0,IF(((W41-('Levas superpuestas'!$B$15-'Levas superpuestas'!$B$9/4))/('Levas superpuestas'!$B$9/2))&lt;Simulador!$B$11,Simulador!$B$10*(1-COS(PI()*((W41-('Levas superpuestas'!$B$15-'Levas superpuestas'!$B$9/4))/('Levas superpuestas'!$B$9/2))/Simulador!$B$11))/2,IF(((W41-('Levas superpuestas'!$B$15-'Levas superpuestas'!$B$9/4))/('Levas superpuestas'!$B$9/2))&gt;1-Simulador!$B$11,Simulador!$B$10*(1-COS(PI()*(1-((W41-('Levas superpuestas'!$B$15-'Levas superpuestas'!$B$9/4))/('Levas superpuestas'!$B$9/2)))/Simulador!$B$11))/2,Simulador!$B$10))))*COS(RADIANS(W41))</f>
        <v/>
      </c>
      <c r="AB41">
        <f>'Levas superpuestas'!$B$5*SIN(RADIANS(W41))</f>
        <v/>
      </c>
      <c r="AC41">
        <f>'Levas superpuestas'!$B$5*COS(RADIANS(W41))</f>
        <v/>
      </c>
    </row>
    <row r="42">
      <c r="A42" s="26">
        <f>A41+Simulador!$B$14</f>
        <v/>
      </c>
      <c r="B42" s="46">
        <f>IF(OR((($A42-Simulador!$E$5)/Simulador!$G$5)&lt;=0,(($A42-Simulador!$E$5)/Simulador!$G$5)&gt;=1),0,IF((($A42-Simulador!$E$5)/Simulador!$G$5)&lt;Simulador!$B$11,Simulador!$B$9*(1-COS(PI()*(($A42-Simulador!$E$5)/Simulador!$G$5)/Simulador!$B$11))/2,IF((($A42-Simulador!$E$5)/Simulador!$G$5)&gt;1-Simulador!$B$11,Simulador!$B$9*(1-COS(PI()*(1-(($A42-Simulador!$E$5)/Simulador!$G$5))/Simulador!$B$11))/2,Simulador!$B$9)))</f>
        <v/>
      </c>
      <c r="C42" s="46">
        <f>IF(OR((($A42-Simulador!$E$6)/Simulador!$G$6)&lt;=0,(($A42-Simulador!$E$6)/Simulador!$G$6)&gt;=1),0,IF((($A42-Simulador!$E$6)/Simulador!$G$6)&lt;Simulador!$B$11,Simulador!$B$9*(1-COS(PI()*(($A42-Simulador!$E$6)/Simulador!$G$6)/Simulador!$B$11))/2,IF((($A42-Simulador!$E$6)/Simulador!$G$6)&gt;1-Simulador!$B$11,Simulador!$B$9*(1-COS(PI()*(1-(($A42-Simulador!$E$6)/Simulador!$G$6))/Simulador!$B$11))/2,Simulador!$B$9)))</f>
        <v/>
      </c>
      <c r="D42" s="46">
        <f>IF(OR((($A42-Simulador!$E$7)/Simulador!$G$7)&lt;=0,(($A42-Simulador!$E$7)/Simulador!$G$7)&gt;=1),0,IF((($A42-Simulador!$E$7)/Simulador!$G$7)&lt;Simulador!$B$11,Simulador!$B$9*(1-COS(PI()*(($A42-Simulador!$E$7)/Simulador!$G$7)/Simulador!$B$11))/2,IF((($A42-Simulador!$E$7)/Simulador!$G$7)&gt;1-Simulador!$B$11,Simulador!$B$9*(1-COS(PI()*(1-(($A42-Simulador!$E$7)/Simulador!$G$7))/Simulador!$B$11))/2,Simulador!$B$9)))</f>
        <v/>
      </c>
      <c r="E42" s="46">
        <f>IF(OR((($A42-Simulador!$E$8)/Simulador!$G$8)&lt;=0,(($A42-Simulador!$E$8)/Simulador!$G$8)&gt;=1),0,IF((($A42-Simulador!$E$8)/Simulador!$G$8)&lt;Simulador!$B$11,Simulador!$B$10*(1-COS(PI()*(($A42-Simulador!$E$8)/Simulador!$G$8)/Simulador!$B$11))/2,IF((($A42-Simulador!$E$8)/Simulador!$G$8)&gt;1-Simulador!$B$11,Simulador!$B$10*(1-COS(PI()*(1-(($A42-Simulador!$E$8)/Simulador!$G$8))/Simulador!$B$11))/2,Simulador!$B$10)))</f>
        <v/>
      </c>
      <c r="F42" s="46">
        <f>IF(OR((($A42-Simulador!$E$9)/Simulador!$G$9)&lt;=0,(($A42-Simulador!$E$9)/Simulador!$G$9)&gt;=1),0,IF((($A42-Simulador!$E$9)/Simulador!$G$9)&lt;Simulador!$B$11,Simulador!$B$10*(1-COS(PI()*(($A42-Simulador!$E$9)/Simulador!$G$9)/Simulador!$B$11))/2,IF((($A42-Simulador!$E$9)/Simulador!$G$9)&gt;1-Simulador!$B$11,Simulador!$B$10*(1-COS(PI()*(1-(($A42-Simulador!$E$9)/Simulador!$G$9))/Simulador!$B$11))/2,Simulador!$B$10)))</f>
        <v/>
      </c>
      <c r="G42" s="46">
        <f>IF(OR((($A42-Simulador!$E$10)/Simulador!$G$10)&lt;=0,(($A42-Simulador!$E$10)/Simulador!$G$10)&gt;=1),0,IF((($A42-Simulador!$E$10)/Simulador!$G$10)&lt;Simulador!$B$11,Simulador!$B$10*(1-COS(PI()*(($A42-Simulador!$E$10)/Simulador!$G$10)/Simulador!$B$11))/2,IF((($A42-Simulador!$E$10)/Simulador!$G$10)&gt;1-Simulador!$B$11,Simulador!$B$10*(1-COS(PI()*(1-(($A42-Simulador!$E$10)/Simulador!$G$10))/Simulador!$B$11))/2,Simulador!$B$10)))</f>
        <v/>
      </c>
      <c r="Q42" s="48">
        <f>IF(OR((($A42-(Simulador!$E$6+'Salto de dientes'!$B$12))/Simulador!$G$6)&lt;=0,(($A42-(Simulador!$E$6+'Salto de dientes'!$B$12))/Simulador!$G$6)&gt;=1),0,IF((($A42-(Simulador!$E$6+'Salto de dientes'!$B$12))/Simulador!$G$6)&lt;Simulador!$B$11,Simulador!$B$9*(1-COS(PI()*(($A42-(Simulador!$E$6+'Salto de dientes'!$B$12))/Simulador!$G$6)/Simulador!$B$11))/2,IF((($A42-(Simulador!$E$6+'Salto de dientes'!$B$12))/Simulador!$G$6)&gt;1-Simulador!$B$11,Simulador!$B$9*(1-COS(PI()*(1-(($A42-(Simulador!$E$6+'Salto de dientes'!$B$12))/Simulador!$G$6))/Simulador!$B$11))/2,Simulador!$B$9)))</f>
        <v/>
      </c>
      <c r="R42" s="48">
        <f>IF(OR((($A42-(Simulador!$E$9+'Salto de dientes'!$B$12))/Simulador!$G$9)&lt;=0,(($A42-(Simulador!$E$9+'Salto de dientes'!$B$12))/Simulador!$G$9)&gt;=1),0,IF((($A42-(Simulador!$E$9+'Salto de dientes'!$B$12))/Simulador!$G$9)&lt;Simulador!$B$11,Simulador!$B$10*(1-COS(PI()*(($A42-(Simulador!$E$9+'Salto de dientes'!$B$12))/Simulador!$G$9)/Simulador!$B$11))/2,IF((($A42-(Simulador!$E$9+'Salto de dientes'!$B$12))/Simulador!$G$9)&gt;1-Simulador!$B$11,Simulador!$B$10*(1-COS(PI()*(1-(($A42-(Simulador!$E$9+'Salto de dientes'!$B$12))/Simulador!$G$9))/Simulador!$B$11))/2,Simulador!$B$10)))</f>
        <v/>
      </c>
      <c r="W42" t="n">
        <v>-60</v>
      </c>
      <c r="X42" s="48">
        <f>('Levas superpuestas'!$B$5+IF(OR(((W42-('Levas superpuestas'!$B$14-'Levas superpuestas'!$B$8/4))/('Levas superpuestas'!$B$8/2))&lt;=0,((W42-('Levas superpuestas'!$B$14-'Levas superpuestas'!$B$8/4))/('Levas superpuestas'!$B$8/2))&gt;=1),0,IF(((W42-('Levas superpuestas'!$B$14-'Levas superpuestas'!$B$8/4))/('Levas superpuestas'!$B$8/2))&lt;Simulador!$B$11,Simulador!$B$9*(1-COS(PI()*((W42-('Levas superpuestas'!$B$14-'Levas superpuestas'!$B$8/4))/('Levas superpuestas'!$B$8/2))/Simulador!$B$11))/2,IF(((W42-('Levas superpuestas'!$B$14-'Levas superpuestas'!$B$8/4))/('Levas superpuestas'!$B$8/2))&gt;1-Simulador!$B$11,Simulador!$B$9*(1-COS(PI()*(1-((W42-('Levas superpuestas'!$B$14-'Levas superpuestas'!$B$8/4))/('Levas superpuestas'!$B$8/2)))/Simulador!$B$11))/2,Simulador!$B$9))))*SIN(RADIANS(W42))</f>
        <v/>
      </c>
      <c r="Y42" s="48">
        <f>('Levas superpuestas'!$B$5+IF(OR(((W42-('Levas superpuestas'!$B$14-'Levas superpuestas'!$B$8/4))/('Levas superpuestas'!$B$8/2))&lt;=0,((W42-('Levas superpuestas'!$B$14-'Levas superpuestas'!$B$8/4))/('Levas superpuestas'!$B$8/2))&gt;=1),0,IF(((W42-('Levas superpuestas'!$B$14-'Levas superpuestas'!$B$8/4))/('Levas superpuestas'!$B$8/2))&lt;Simulador!$B$11,Simulador!$B$9*(1-COS(PI()*((W42-('Levas superpuestas'!$B$14-'Levas superpuestas'!$B$8/4))/('Levas superpuestas'!$B$8/2))/Simulador!$B$11))/2,IF(((W42-('Levas superpuestas'!$B$14-'Levas superpuestas'!$B$8/4))/('Levas superpuestas'!$B$8/2))&gt;1-Simulador!$B$11,Simulador!$B$9*(1-COS(PI()*(1-((W42-('Levas superpuestas'!$B$14-'Levas superpuestas'!$B$8/4))/('Levas superpuestas'!$B$8/2)))/Simulador!$B$11))/2,Simulador!$B$9))))*COS(RADIANS(W42))</f>
        <v/>
      </c>
      <c r="Z42" s="48">
        <f>('Levas superpuestas'!$B$5+IF(OR(((W42-('Levas superpuestas'!$B$15-'Levas superpuestas'!$B$9/4))/('Levas superpuestas'!$B$9/2))&lt;=0,((W42-('Levas superpuestas'!$B$15-'Levas superpuestas'!$B$9/4))/('Levas superpuestas'!$B$9/2))&gt;=1),0,IF(((W42-('Levas superpuestas'!$B$15-'Levas superpuestas'!$B$9/4))/('Levas superpuestas'!$B$9/2))&lt;Simulador!$B$11,Simulador!$B$10*(1-COS(PI()*((W42-('Levas superpuestas'!$B$15-'Levas superpuestas'!$B$9/4))/('Levas superpuestas'!$B$9/2))/Simulador!$B$11))/2,IF(((W42-('Levas superpuestas'!$B$15-'Levas superpuestas'!$B$9/4))/('Levas superpuestas'!$B$9/2))&gt;1-Simulador!$B$11,Simulador!$B$10*(1-COS(PI()*(1-((W42-('Levas superpuestas'!$B$15-'Levas superpuestas'!$B$9/4))/('Levas superpuestas'!$B$9/2)))/Simulador!$B$11))/2,Simulador!$B$10))))*SIN(RADIANS(W42))</f>
        <v/>
      </c>
      <c r="AA42" s="48">
        <f>('Levas superpuestas'!$B$5+IF(OR(((W42-('Levas superpuestas'!$B$15-'Levas superpuestas'!$B$9/4))/('Levas superpuestas'!$B$9/2))&lt;=0,((W42-('Levas superpuestas'!$B$15-'Levas superpuestas'!$B$9/4))/('Levas superpuestas'!$B$9/2))&gt;=1),0,IF(((W42-('Levas superpuestas'!$B$15-'Levas superpuestas'!$B$9/4))/('Levas superpuestas'!$B$9/2))&lt;Simulador!$B$11,Simulador!$B$10*(1-COS(PI()*((W42-('Levas superpuestas'!$B$15-'Levas superpuestas'!$B$9/4))/('Levas superpuestas'!$B$9/2))/Simulador!$B$11))/2,IF(((W42-('Levas superpuestas'!$B$15-'Levas superpuestas'!$B$9/4))/('Levas superpuestas'!$B$9/2))&gt;1-Simulador!$B$11,Simulador!$B$10*(1-COS(PI()*(1-((W42-('Levas superpuestas'!$B$15-'Levas superpuestas'!$B$9/4))/('Levas superpuestas'!$B$9/2)))/Simulador!$B$11))/2,Simulador!$B$10))))*COS(RADIANS(W42))</f>
        <v/>
      </c>
      <c r="AB42">
        <f>'Levas superpuestas'!$B$5*SIN(RADIANS(W42))</f>
        <v/>
      </c>
      <c r="AC42">
        <f>'Levas superpuestas'!$B$5*COS(RADIANS(W42))</f>
        <v/>
      </c>
    </row>
    <row r="43">
      <c r="A43" s="26">
        <f>A42+Simulador!$B$14</f>
        <v/>
      </c>
      <c r="B43" s="46">
        <f>IF(OR((($A43-Simulador!$E$5)/Simulador!$G$5)&lt;=0,(($A43-Simulador!$E$5)/Simulador!$G$5)&gt;=1),0,IF((($A43-Simulador!$E$5)/Simulador!$G$5)&lt;Simulador!$B$11,Simulador!$B$9*(1-COS(PI()*(($A43-Simulador!$E$5)/Simulador!$G$5)/Simulador!$B$11))/2,IF((($A43-Simulador!$E$5)/Simulador!$G$5)&gt;1-Simulador!$B$11,Simulador!$B$9*(1-COS(PI()*(1-(($A43-Simulador!$E$5)/Simulador!$G$5))/Simulador!$B$11))/2,Simulador!$B$9)))</f>
        <v/>
      </c>
      <c r="C43" s="46">
        <f>IF(OR((($A43-Simulador!$E$6)/Simulador!$G$6)&lt;=0,(($A43-Simulador!$E$6)/Simulador!$G$6)&gt;=1),0,IF((($A43-Simulador!$E$6)/Simulador!$G$6)&lt;Simulador!$B$11,Simulador!$B$9*(1-COS(PI()*(($A43-Simulador!$E$6)/Simulador!$G$6)/Simulador!$B$11))/2,IF((($A43-Simulador!$E$6)/Simulador!$G$6)&gt;1-Simulador!$B$11,Simulador!$B$9*(1-COS(PI()*(1-(($A43-Simulador!$E$6)/Simulador!$G$6))/Simulador!$B$11))/2,Simulador!$B$9)))</f>
        <v/>
      </c>
      <c r="D43" s="46">
        <f>IF(OR((($A43-Simulador!$E$7)/Simulador!$G$7)&lt;=0,(($A43-Simulador!$E$7)/Simulador!$G$7)&gt;=1),0,IF((($A43-Simulador!$E$7)/Simulador!$G$7)&lt;Simulador!$B$11,Simulador!$B$9*(1-COS(PI()*(($A43-Simulador!$E$7)/Simulador!$G$7)/Simulador!$B$11))/2,IF((($A43-Simulador!$E$7)/Simulador!$G$7)&gt;1-Simulador!$B$11,Simulador!$B$9*(1-COS(PI()*(1-(($A43-Simulador!$E$7)/Simulador!$G$7))/Simulador!$B$11))/2,Simulador!$B$9)))</f>
        <v/>
      </c>
      <c r="E43" s="46">
        <f>IF(OR((($A43-Simulador!$E$8)/Simulador!$G$8)&lt;=0,(($A43-Simulador!$E$8)/Simulador!$G$8)&gt;=1),0,IF((($A43-Simulador!$E$8)/Simulador!$G$8)&lt;Simulador!$B$11,Simulador!$B$10*(1-COS(PI()*(($A43-Simulador!$E$8)/Simulador!$G$8)/Simulador!$B$11))/2,IF((($A43-Simulador!$E$8)/Simulador!$G$8)&gt;1-Simulador!$B$11,Simulador!$B$10*(1-COS(PI()*(1-(($A43-Simulador!$E$8)/Simulador!$G$8))/Simulador!$B$11))/2,Simulador!$B$10)))</f>
        <v/>
      </c>
      <c r="F43" s="46">
        <f>IF(OR((($A43-Simulador!$E$9)/Simulador!$G$9)&lt;=0,(($A43-Simulador!$E$9)/Simulador!$G$9)&gt;=1),0,IF((($A43-Simulador!$E$9)/Simulador!$G$9)&lt;Simulador!$B$11,Simulador!$B$10*(1-COS(PI()*(($A43-Simulador!$E$9)/Simulador!$G$9)/Simulador!$B$11))/2,IF((($A43-Simulador!$E$9)/Simulador!$G$9)&gt;1-Simulador!$B$11,Simulador!$B$10*(1-COS(PI()*(1-(($A43-Simulador!$E$9)/Simulador!$G$9))/Simulador!$B$11))/2,Simulador!$B$10)))</f>
        <v/>
      </c>
      <c r="G43" s="46">
        <f>IF(OR((($A43-Simulador!$E$10)/Simulador!$G$10)&lt;=0,(($A43-Simulador!$E$10)/Simulador!$G$10)&gt;=1),0,IF((($A43-Simulador!$E$10)/Simulador!$G$10)&lt;Simulador!$B$11,Simulador!$B$10*(1-COS(PI()*(($A43-Simulador!$E$10)/Simulador!$G$10)/Simulador!$B$11))/2,IF((($A43-Simulador!$E$10)/Simulador!$G$10)&gt;1-Simulador!$B$11,Simulador!$B$10*(1-COS(PI()*(1-(($A43-Simulador!$E$10)/Simulador!$G$10))/Simulador!$B$11))/2,Simulador!$B$10)))</f>
        <v/>
      </c>
      <c r="Q43" s="48">
        <f>IF(OR((($A43-(Simulador!$E$6+'Salto de dientes'!$B$12))/Simulador!$G$6)&lt;=0,(($A43-(Simulador!$E$6+'Salto de dientes'!$B$12))/Simulador!$G$6)&gt;=1),0,IF((($A43-(Simulador!$E$6+'Salto de dientes'!$B$12))/Simulador!$G$6)&lt;Simulador!$B$11,Simulador!$B$9*(1-COS(PI()*(($A43-(Simulador!$E$6+'Salto de dientes'!$B$12))/Simulador!$G$6)/Simulador!$B$11))/2,IF((($A43-(Simulador!$E$6+'Salto de dientes'!$B$12))/Simulador!$G$6)&gt;1-Simulador!$B$11,Simulador!$B$9*(1-COS(PI()*(1-(($A43-(Simulador!$E$6+'Salto de dientes'!$B$12))/Simulador!$G$6))/Simulador!$B$11))/2,Simulador!$B$9)))</f>
        <v/>
      </c>
      <c r="R43" s="48">
        <f>IF(OR((($A43-(Simulador!$E$9+'Salto de dientes'!$B$12))/Simulador!$G$9)&lt;=0,(($A43-(Simulador!$E$9+'Salto de dientes'!$B$12))/Simulador!$G$9)&gt;=1),0,IF((($A43-(Simulador!$E$9+'Salto de dientes'!$B$12))/Simulador!$G$9)&lt;Simulador!$B$11,Simulador!$B$10*(1-COS(PI()*(($A43-(Simulador!$E$9+'Salto de dientes'!$B$12))/Simulador!$G$9)/Simulador!$B$11))/2,IF((($A43-(Simulador!$E$9+'Salto de dientes'!$B$12))/Simulador!$G$9)&gt;1-Simulador!$B$11,Simulador!$B$10*(1-COS(PI()*(1-(($A43-(Simulador!$E$9+'Salto de dientes'!$B$12))/Simulador!$G$9))/Simulador!$B$11))/2,Simulador!$B$10)))</f>
        <v/>
      </c>
      <c r="W43" t="n">
        <v>-57</v>
      </c>
      <c r="X43" s="48">
        <f>('Levas superpuestas'!$B$5+IF(OR(((W43-('Levas superpuestas'!$B$14-'Levas superpuestas'!$B$8/4))/('Levas superpuestas'!$B$8/2))&lt;=0,((W43-('Levas superpuestas'!$B$14-'Levas superpuestas'!$B$8/4))/('Levas superpuestas'!$B$8/2))&gt;=1),0,IF(((W43-('Levas superpuestas'!$B$14-'Levas superpuestas'!$B$8/4))/('Levas superpuestas'!$B$8/2))&lt;Simulador!$B$11,Simulador!$B$9*(1-COS(PI()*((W43-('Levas superpuestas'!$B$14-'Levas superpuestas'!$B$8/4))/('Levas superpuestas'!$B$8/2))/Simulador!$B$11))/2,IF(((W43-('Levas superpuestas'!$B$14-'Levas superpuestas'!$B$8/4))/('Levas superpuestas'!$B$8/2))&gt;1-Simulador!$B$11,Simulador!$B$9*(1-COS(PI()*(1-((W43-('Levas superpuestas'!$B$14-'Levas superpuestas'!$B$8/4))/('Levas superpuestas'!$B$8/2)))/Simulador!$B$11))/2,Simulador!$B$9))))*SIN(RADIANS(W43))</f>
        <v/>
      </c>
      <c r="Y43" s="48">
        <f>('Levas superpuestas'!$B$5+IF(OR(((W43-('Levas superpuestas'!$B$14-'Levas superpuestas'!$B$8/4))/('Levas superpuestas'!$B$8/2))&lt;=0,((W43-('Levas superpuestas'!$B$14-'Levas superpuestas'!$B$8/4))/('Levas superpuestas'!$B$8/2))&gt;=1),0,IF(((W43-('Levas superpuestas'!$B$14-'Levas superpuestas'!$B$8/4))/('Levas superpuestas'!$B$8/2))&lt;Simulador!$B$11,Simulador!$B$9*(1-COS(PI()*((W43-('Levas superpuestas'!$B$14-'Levas superpuestas'!$B$8/4))/('Levas superpuestas'!$B$8/2))/Simulador!$B$11))/2,IF(((W43-('Levas superpuestas'!$B$14-'Levas superpuestas'!$B$8/4))/('Levas superpuestas'!$B$8/2))&gt;1-Simulador!$B$11,Simulador!$B$9*(1-COS(PI()*(1-((W43-('Levas superpuestas'!$B$14-'Levas superpuestas'!$B$8/4))/('Levas superpuestas'!$B$8/2)))/Simulador!$B$11))/2,Simulador!$B$9))))*COS(RADIANS(W43))</f>
        <v/>
      </c>
      <c r="Z43" s="48">
        <f>('Levas superpuestas'!$B$5+IF(OR(((W43-('Levas superpuestas'!$B$15-'Levas superpuestas'!$B$9/4))/('Levas superpuestas'!$B$9/2))&lt;=0,((W43-('Levas superpuestas'!$B$15-'Levas superpuestas'!$B$9/4))/('Levas superpuestas'!$B$9/2))&gt;=1),0,IF(((W43-('Levas superpuestas'!$B$15-'Levas superpuestas'!$B$9/4))/('Levas superpuestas'!$B$9/2))&lt;Simulador!$B$11,Simulador!$B$10*(1-COS(PI()*((W43-('Levas superpuestas'!$B$15-'Levas superpuestas'!$B$9/4))/('Levas superpuestas'!$B$9/2))/Simulador!$B$11))/2,IF(((W43-('Levas superpuestas'!$B$15-'Levas superpuestas'!$B$9/4))/('Levas superpuestas'!$B$9/2))&gt;1-Simulador!$B$11,Simulador!$B$10*(1-COS(PI()*(1-((W43-('Levas superpuestas'!$B$15-'Levas superpuestas'!$B$9/4))/('Levas superpuestas'!$B$9/2)))/Simulador!$B$11))/2,Simulador!$B$10))))*SIN(RADIANS(W43))</f>
        <v/>
      </c>
      <c r="AA43" s="48">
        <f>('Levas superpuestas'!$B$5+IF(OR(((W43-('Levas superpuestas'!$B$15-'Levas superpuestas'!$B$9/4))/('Levas superpuestas'!$B$9/2))&lt;=0,((W43-('Levas superpuestas'!$B$15-'Levas superpuestas'!$B$9/4))/('Levas superpuestas'!$B$9/2))&gt;=1),0,IF(((W43-('Levas superpuestas'!$B$15-'Levas superpuestas'!$B$9/4))/('Levas superpuestas'!$B$9/2))&lt;Simulador!$B$11,Simulador!$B$10*(1-COS(PI()*((W43-('Levas superpuestas'!$B$15-'Levas superpuestas'!$B$9/4))/('Levas superpuestas'!$B$9/2))/Simulador!$B$11))/2,IF(((W43-('Levas superpuestas'!$B$15-'Levas superpuestas'!$B$9/4))/('Levas superpuestas'!$B$9/2))&gt;1-Simulador!$B$11,Simulador!$B$10*(1-COS(PI()*(1-((W43-('Levas superpuestas'!$B$15-'Levas superpuestas'!$B$9/4))/('Levas superpuestas'!$B$9/2)))/Simulador!$B$11))/2,Simulador!$B$10))))*COS(RADIANS(W43))</f>
        <v/>
      </c>
      <c r="AB43">
        <f>'Levas superpuestas'!$B$5*SIN(RADIANS(W43))</f>
        <v/>
      </c>
      <c r="AC43">
        <f>'Levas superpuestas'!$B$5*COS(RADIANS(W43))</f>
        <v/>
      </c>
    </row>
    <row r="44">
      <c r="A44" s="26">
        <f>A43+Simulador!$B$14</f>
        <v/>
      </c>
      <c r="B44" s="46">
        <f>IF(OR((($A44-Simulador!$E$5)/Simulador!$G$5)&lt;=0,(($A44-Simulador!$E$5)/Simulador!$G$5)&gt;=1),0,IF((($A44-Simulador!$E$5)/Simulador!$G$5)&lt;Simulador!$B$11,Simulador!$B$9*(1-COS(PI()*(($A44-Simulador!$E$5)/Simulador!$G$5)/Simulador!$B$11))/2,IF((($A44-Simulador!$E$5)/Simulador!$G$5)&gt;1-Simulador!$B$11,Simulador!$B$9*(1-COS(PI()*(1-(($A44-Simulador!$E$5)/Simulador!$G$5))/Simulador!$B$11))/2,Simulador!$B$9)))</f>
        <v/>
      </c>
      <c r="C44" s="46">
        <f>IF(OR((($A44-Simulador!$E$6)/Simulador!$G$6)&lt;=0,(($A44-Simulador!$E$6)/Simulador!$G$6)&gt;=1),0,IF((($A44-Simulador!$E$6)/Simulador!$G$6)&lt;Simulador!$B$11,Simulador!$B$9*(1-COS(PI()*(($A44-Simulador!$E$6)/Simulador!$G$6)/Simulador!$B$11))/2,IF((($A44-Simulador!$E$6)/Simulador!$G$6)&gt;1-Simulador!$B$11,Simulador!$B$9*(1-COS(PI()*(1-(($A44-Simulador!$E$6)/Simulador!$G$6))/Simulador!$B$11))/2,Simulador!$B$9)))</f>
        <v/>
      </c>
      <c r="D44" s="46">
        <f>IF(OR((($A44-Simulador!$E$7)/Simulador!$G$7)&lt;=0,(($A44-Simulador!$E$7)/Simulador!$G$7)&gt;=1),0,IF((($A44-Simulador!$E$7)/Simulador!$G$7)&lt;Simulador!$B$11,Simulador!$B$9*(1-COS(PI()*(($A44-Simulador!$E$7)/Simulador!$G$7)/Simulador!$B$11))/2,IF((($A44-Simulador!$E$7)/Simulador!$G$7)&gt;1-Simulador!$B$11,Simulador!$B$9*(1-COS(PI()*(1-(($A44-Simulador!$E$7)/Simulador!$G$7))/Simulador!$B$11))/2,Simulador!$B$9)))</f>
        <v/>
      </c>
      <c r="E44" s="46">
        <f>IF(OR((($A44-Simulador!$E$8)/Simulador!$G$8)&lt;=0,(($A44-Simulador!$E$8)/Simulador!$G$8)&gt;=1),0,IF((($A44-Simulador!$E$8)/Simulador!$G$8)&lt;Simulador!$B$11,Simulador!$B$10*(1-COS(PI()*(($A44-Simulador!$E$8)/Simulador!$G$8)/Simulador!$B$11))/2,IF((($A44-Simulador!$E$8)/Simulador!$G$8)&gt;1-Simulador!$B$11,Simulador!$B$10*(1-COS(PI()*(1-(($A44-Simulador!$E$8)/Simulador!$G$8))/Simulador!$B$11))/2,Simulador!$B$10)))</f>
        <v/>
      </c>
      <c r="F44" s="46">
        <f>IF(OR((($A44-Simulador!$E$9)/Simulador!$G$9)&lt;=0,(($A44-Simulador!$E$9)/Simulador!$G$9)&gt;=1),0,IF((($A44-Simulador!$E$9)/Simulador!$G$9)&lt;Simulador!$B$11,Simulador!$B$10*(1-COS(PI()*(($A44-Simulador!$E$9)/Simulador!$G$9)/Simulador!$B$11))/2,IF((($A44-Simulador!$E$9)/Simulador!$G$9)&gt;1-Simulador!$B$11,Simulador!$B$10*(1-COS(PI()*(1-(($A44-Simulador!$E$9)/Simulador!$G$9))/Simulador!$B$11))/2,Simulador!$B$10)))</f>
        <v/>
      </c>
      <c r="G44" s="46">
        <f>IF(OR((($A44-Simulador!$E$10)/Simulador!$G$10)&lt;=0,(($A44-Simulador!$E$10)/Simulador!$G$10)&gt;=1),0,IF((($A44-Simulador!$E$10)/Simulador!$G$10)&lt;Simulador!$B$11,Simulador!$B$10*(1-COS(PI()*(($A44-Simulador!$E$10)/Simulador!$G$10)/Simulador!$B$11))/2,IF((($A44-Simulador!$E$10)/Simulador!$G$10)&gt;1-Simulador!$B$11,Simulador!$B$10*(1-COS(PI()*(1-(($A44-Simulador!$E$10)/Simulador!$G$10))/Simulador!$B$11))/2,Simulador!$B$10)))</f>
        <v/>
      </c>
      <c r="Q44" s="48">
        <f>IF(OR((($A44-(Simulador!$E$6+'Salto de dientes'!$B$12))/Simulador!$G$6)&lt;=0,(($A44-(Simulador!$E$6+'Salto de dientes'!$B$12))/Simulador!$G$6)&gt;=1),0,IF((($A44-(Simulador!$E$6+'Salto de dientes'!$B$12))/Simulador!$G$6)&lt;Simulador!$B$11,Simulador!$B$9*(1-COS(PI()*(($A44-(Simulador!$E$6+'Salto de dientes'!$B$12))/Simulador!$G$6)/Simulador!$B$11))/2,IF((($A44-(Simulador!$E$6+'Salto de dientes'!$B$12))/Simulador!$G$6)&gt;1-Simulador!$B$11,Simulador!$B$9*(1-COS(PI()*(1-(($A44-(Simulador!$E$6+'Salto de dientes'!$B$12))/Simulador!$G$6))/Simulador!$B$11))/2,Simulador!$B$9)))</f>
        <v/>
      </c>
      <c r="R44" s="48">
        <f>IF(OR((($A44-(Simulador!$E$9+'Salto de dientes'!$B$12))/Simulador!$G$9)&lt;=0,(($A44-(Simulador!$E$9+'Salto de dientes'!$B$12))/Simulador!$G$9)&gt;=1),0,IF((($A44-(Simulador!$E$9+'Salto de dientes'!$B$12))/Simulador!$G$9)&lt;Simulador!$B$11,Simulador!$B$10*(1-COS(PI()*(($A44-(Simulador!$E$9+'Salto de dientes'!$B$12))/Simulador!$G$9)/Simulador!$B$11))/2,IF((($A44-(Simulador!$E$9+'Salto de dientes'!$B$12))/Simulador!$G$9)&gt;1-Simulador!$B$11,Simulador!$B$10*(1-COS(PI()*(1-(($A44-(Simulador!$E$9+'Salto de dientes'!$B$12))/Simulador!$G$9))/Simulador!$B$11))/2,Simulador!$B$10)))</f>
        <v/>
      </c>
      <c r="W44" t="n">
        <v>-54</v>
      </c>
      <c r="X44" s="48">
        <f>('Levas superpuestas'!$B$5+IF(OR(((W44-('Levas superpuestas'!$B$14-'Levas superpuestas'!$B$8/4))/('Levas superpuestas'!$B$8/2))&lt;=0,((W44-('Levas superpuestas'!$B$14-'Levas superpuestas'!$B$8/4))/('Levas superpuestas'!$B$8/2))&gt;=1),0,IF(((W44-('Levas superpuestas'!$B$14-'Levas superpuestas'!$B$8/4))/('Levas superpuestas'!$B$8/2))&lt;Simulador!$B$11,Simulador!$B$9*(1-COS(PI()*((W44-('Levas superpuestas'!$B$14-'Levas superpuestas'!$B$8/4))/('Levas superpuestas'!$B$8/2))/Simulador!$B$11))/2,IF(((W44-('Levas superpuestas'!$B$14-'Levas superpuestas'!$B$8/4))/('Levas superpuestas'!$B$8/2))&gt;1-Simulador!$B$11,Simulador!$B$9*(1-COS(PI()*(1-((W44-('Levas superpuestas'!$B$14-'Levas superpuestas'!$B$8/4))/('Levas superpuestas'!$B$8/2)))/Simulador!$B$11))/2,Simulador!$B$9))))*SIN(RADIANS(W44))</f>
        <v/>
      </c>
      <c r="Y44" s="48">
        <f>('Levas superpuestas'!$B$5+IF(OR(((W44-('Levas superpuestas'!$B$14-'Levas superpuestas'!$B$8/4))/('Levas superpuestas'!$B$8/2))&lt;=0,((W44-('Levas superpuestas'!$B$14-'Levas superpuestas'!$B$8/4))/('Levas superpuestas'!$B$8/2))&gt;=1),0,IF(((W44-('Levas superpuestas'!$B$14-'Levas superpuestas'!$B$8/4))/('Levas superpuestas'!$B$8/2))&lt;Simulador!$B$11,Simulador!$B$9*(1-COS(PI()*((W44-('Levas superpuestas'!$B$14-'Levas superpuestas'!$B$8/4))/('Levas superpuestas'!$B$8/2))/Simulador!$B$11))/2,IF(((W44-('Levas superpuestas'!$B$14-'Levas superpuestas'!$B$8/4))/('Levas superpuestas'!$B$8/2))&gt;1-Simulador!$B$11,Simulador!$B$9*(1-COS(PI()*(1-((W44-('Levas superpuestas'!$B$14-'Levas superpuestas'!$B$8/4))/('Levas superpuestas'!$B$8/2)))/Simulador!$B$11))/2,Simulador!$B$9))))*COS(RADIANS(W44))</f>
        <v/>
      </c>
      <c r="Z44" s="48">
        <f>('Levas superpuestas'!$B$5+IF(OR(((W44-('Levas superpuestas'!$B$15-'Levas superpuestas'!$B$9/4))/('Levas superpuestas'!$B$9/2))&lt;=0,((W44-('Levas superpuestas'!$B$15-'Levas superpuestas'!$B$9/4))/('Levas superpuestas'!$B$9/2))&gt;=1),0,IF(((W44-('Levas superpuestas'!$B$15-'Levas superpuestas'!$B$9/4))/('Levas superpuestas'!$B$9/2))&lt;Simulador!$B$11,Simulador!$B$10*(1-COS(PI()*((W44-('Levas superpuestas'!$B$15-'Levas superpuestas'!$B$9/4))/('Levas superpuestas'!$B$9/2))/Simulador!$B$11))/2,IF(((W44-('Levas superpuestas'!$B$15-'Levas superpuestas'!$B$9/4))/('Levas superpuestas'!$B$9/2))&gt;1-Simulador!$B$11,Simulador!$B$10*(1-COS(PI()*(1-((W44-('Levas superpuestas'!$B$15-'Levas superpuestas'!$B$9/4))/('Levas superpuestas'!$B$9/2)))/Simulador!$B$11))/2,Simulador!$B$10))))*SIN(RADIANS(W44))</f>
        <v/>
      </c>
      <c r="AA44" s="48">
        <f>('Levas superpuestas'!$B$5+IF(OR(((W44-('Levas superpuestas'!$B$15-'Levas superpuestas'!$B$9/4))/('Levas superpuestas'!$B$9/2))&lt;=0,((W44-('Levas superpuestas'!$B$15-'Levas superpuestas'!$B$9/4))/('Levas superpuestas'!$B$9/2))&gt;=1),0,IF(((W44-('Levas superpuestas'!$B$15-'Levas superpuestas'!$B$9/4))/('Levas superpuestas'!$B$9/2))&lt;Simulador!$B$11,Simulador!$B$10*(1-COS(PI()*((W44-('Levas superpuestas'!$B$15-'Levas superpuestas'!$B$9/4))/('Levas superpuestas'!$B$9/2))/Simulador!$B$11))/2,IF(((W44-('Levas superpuestas'!$B$15-'Levas superpuestas'!$B$9/4))/('Levas superpuestas'!$B$9/2))&gt;1-Simulador!$B$11,Simulador!$B$10*(1-COS(PI()*(1-((W44-('Levas superpuestas'!$B$15-'Levas superpuestas'!$B$9/4))/('Levas superpuestas'!$B$9/2)))/Simulador!$B$11))/2,Simulador!$B$10))))*COS(RADIANS(W44))</f>
        <v/>
      </c>
      <c r="AB44">
        <f>'Levas superpuestas'!$B$5*SIN(RADIANS(W44))</f>
        <v/>
      </c>
      <c r="AC44">
        <f>'Levas superpuestas'!$B$5*COS(RADIANS(W44))</f>
        <v/>
      </c>
    </row>
    <row r="45">
      <c r="A45" s="26">
        <f>A44+Simulador!$B$14</f>
        <v/>
      </c>
      <c r="B45" s="46">
        <f>IF(OR((($A45-Simulador!$E$5)/Simulador!$G$5)&lt;=0,(($A45-Simulador!$E$5)/Simulador!$G$5)&gt;=1),0,IF((($A45-Simulador!$E$5)/Simulador!$G$5)&lt;Simulador!$B$11,Simulador!$B$9*(1-COS(PI()*(($A45-Simulador!$E$5)/Simulador!$G$5)/Simulador!$B$11))/2,IF((($A45-Simulador!$E$5)/Simulador!$G$5)&gt;1-Simulador!$B$11,Simulador!$B$9*(1-COS(PI()*(1-(($A45-Simulador!$E$5)/Simulador!$G$5))/Simulador!$B$11))/2,Simulador!$B$9)))</f>
        <v/>
      </c>
      <c r="C45" s="46">
        <f>IF(OR((($A45-Simulador!$E$6)/Simulador!$G$6)&lt;=0,(($A45-Simulador!$E$6)/Simulador!$G$6)&gt;=1),0,IF((($A45-Simulador!$E$6)/Simulador!$G$6)&lt;Simulador!$B$11,Simulador!$B$9*(1-COS(PI()*(($A45-Simulador!$E$6)/Simulador!$G$6)/Simulador!$B$11))/2,IF((($A45-Simulador!$E$6)/Simulador!$G$6)&gt;1-Simulador!$B$11,Simulador!$B$9*(1-COS(PI()*(1-(($A45-Simulador!$E$6)/Simulador!$G$6))/Simulador!$B$11))/2,Simulador!$B$9)))</f>
        <v/>
      </c>
      <c r="D45" s="46">
        <f>IF(OR((($A45-Simulador!$E$7)/Simulador!$G$7)&lt;=0,(($A45-Simulador!$E$7)/Simulador!$G$7)&gt;=1),0,IF((($A45-Simulador!$E$7)/Simulador!$G$7)&lt;Simulador!$B$11,Simulador!$B$9*(1-COS(PI()*(($A45-Simulador!$E$7)/Simulador!$G$7)/Simulador!$B$11))/2,IF((($A45-Simulador!$E$7)/Simulador!$G$7)&gt;1-Simulador!$B$11,Simulador!$B$9*(1-COS(PI()*(1-(($A45-Simulador!$E$7)/Simulador!$G$7))/Simulador!$B$11))/2,Simulador!$B$9)))</f>
        <v/>
      </c>
      <c r="E45" s="46">
        <f>IF(OR((($A45-Simulador!$E$8)/Simulador!$G$8)&lt;=0,(($A45-Simulador!$E$8)/Simulador!$G$8)&gt;=1),0,IF((($A45-Simulador!$E$8)/Simulador!$G$8)&lt;Simulador!$B$11,Simulador!$B$10*(1-COS(PI()*(($A45-Simulador!$E$8)/Simulador!$G$8)/Simulador!$B$11))/2,IF((($A45-Simulador!$E$8)/Simulador!$G$8)&gt;1-Simulador!$B$11,Simulador!$B$10*(1-COS(PI()*(1-(($A45-Simulador!$E$8)/Simulador!$G$8))/Simulador!$B$11))/2,Simulador!$B$10)))</f>
        <v/>
      </c>
      <c r="F45" s="46">
        <f>IF(OR((($A45-Simulador!$E$9)/Simulador!$G$9)&lt;=0,(($A45-Simulador!$E$9)/Simulador!$G$9)&gt;=1),0,IF((($A45-Simulador!$E$9)/Simulador!$G$9)&lt;Simulador!$B$11,Simulador!$B$10*(1-COS(PI()*(($A45-Simulador!$E$9)/Simulador!$G$9)/Simulador!$B$11))/2,IF((($A45-Simulador!$E$9)/Simulador!$G$9)&gt;1-Simulador!$B$11,Simulador!$B$10*(1-COS(PI()*(1-(($A45-Simulador!$E$9)/Simulador!$G$9))/Simulador!$B$11))/2,Simulador!$B$10)))</f>
        <v/>
      </c>
      <c r="G45" s="46">
        <f>IF(OR((($A45-Simulador!$E$10)/Simulador!$G$10)&lt;=0,(($A45-Simulador!$E$10)/Simulador!$G$10)&gt;=1),0,IF((($A45-Simulador!$E$10)/Simulador!$G$10)&lt;Simulador!$B$11,Simulador!$B$10*(1-COS(PI()*(($A45-Simulador!$E$10)/Simulador!$G$10)/Simulador!$B$11))/2,IF((($A45-Simulador!$E$10)/Simulador!$G$10)&gt;1-Simulador!$B$11,Simulador!$B$10*(1-COS(PI()*(1-(($A45-Simulador!$E$10)/Simulador!$G$10))/Simulador!$B$11))/2,Simulador!$B$10)))</f>
        <v/>
      </c>
      <c r="Q45" s="48">
        <f>IF(OR((($A45-(Simulador!$E$6+'Salto de dientes'!$B$12))/Simulador!$G$6)&lt;=0,(($A45-(Simulador!$E$6+'Salto de dientes'!$B$12))/Simulador!$G$6)&gt;=1),0,IF((($A45-(Simulador!$E$6+'Salto de dientes'!$B$12))/Simulador!$G$6)&lt;Simulador!$B$11,Simulador!$B$9*(1-COS(PI()*(($A45-(Simulador!$E$6+'Salto de dientes'!$B$12))/Simulador!$G$6)/Simulador!$B$11))/2,IF((($A45-(Simulador!$E$6+'Salto de dientes'!$B$12))/Simulador!$G$6)&gt;1-Simulador!$B$11,Simulador!$B$9*(1-COS(PI()*(1-(($A45-(Simulador!$E$6+'Salto de dientes'!$B$12))/Simulador!$G$6))/Simulador!$B$11))/2,Simulador!$B$9)))</f>
        <v/>
      </c>
      <c r="R45" s="48">
        <f>IF(OR((($A45-(Simulador!$E$9+'Salto de dientes'!$B$12))/Simulador!$G$9)&lt;=0,(($A45-(Simulador!$E$9+'Salto de dientes'!$B$12))/Simulador!$G$9)&gt;=1),0,IF((($A45-(Simulador!$E$9+'Salto de dientes'!$B$12))/Simulador!$G$9)&lt;Simulador!$B$11,Simulador!$B$10*(1-COS(PI()*(($A45-(Simulador!$E$9+'Salto de dientes'!$B$12))/Simulador!$G$9)/Simulador!$B$11))/2,IF((($A45-(Simulador!$E$9+'Salto de dientes'!$B$12))/Simulador!$G$9)&gt;1-Simulador!$B$11,Simulador!$B$10*(1-COS(PI()*(1-(($A45-(Simulador!$E$9+'Salto de dientes'!$B$12))/Simulador!$G$9))/Simulador!$B$11))/2,Simulador!$B$10)))</f>
        <v/>
      </c>
      <c r="W45" t="n">
        <v>-51</v>
      </c>
      <c r="X45" s="48">
        <f>('Levas superpuestas'!$B$5+IF(OR(((W45-('Levas superpuestas'!$B$14-'Levas superpuestas'!$B$8/4))/('Levas superpuestas'!$B$8/2))&lt;=0,((W45-('Levas superpuestas'!$B$14-'Levas superpuestas'!$B$8/4))/('Levas superpuestas'!$B$8/2))&gt;=1),0,IF(((W45-('Levas superpuestas'!$B$14-'Levas superpuestas'!$B$8/4))/('Levas superpuestas'!$B$8/2))&lt;Simulador!$B$11,Simulador!$B$9*(1-COS(PI()*((W45-('Levas superpuestas'!$B$14-'Levas superpuestas'!$B$8/4))/('Levas superpuestas'!$B$8/2))/Simulador!$B$11))/2,IF(((W45-('Levas superpuestas'!$B$14-'Levas superpuestas'!$B$8/4))/('Levas superpuestas'!$B$8/2))&gt;1-Simulador!$B$11,Simulador!$B$9*(1-COS(PI()*(1-((W45-('Levas superpuestas'!$B$14-'Levas superpuestas'!$B$8/4))/('Levas superpuestas'!$B$8/2)))/Simulador!$B$11))/2,Simulador!$B$9))))*SIN(RADIANS(W45))</f>
        <v/>
      </c>
      <c r="Y45" s="48">
        <f>('Levas superpuestas'!$B$5+IF(OR(((W45-('Levas superpuestas'!$B$14-'Levas superpuestas'!$B$8/4))/('Levas superpuestas'!$B$8/2))&lt;=0,((W45-('Levas superpuestas'!$B$14-'Levas superpuestas'!$B$8/4))/('Levas superpuestas'!$B$8/2))&gt;=1),0,IF(((W45-('Levas superpuestas'!$B$14-'Levas superpuestas'!$B$8/4))/('Levas superpuestas'!$B$8/2))&lt;Simulador!$B$11,Simulador!$B$9*(1-COS(PI()*((W45-('Levas superpuestas'!$B$14-'Levas superpuestas'!$B$8/4))/('Levas superpuestas'!$B$8/2))/Simulador!$B$11))/2,IF(((W45-('Levas superpuestas'!$B$14-'Levas superpuestas'!$B$8/4))/('Levas superpuestas'!$B$8/2))&gt;1-Simulador!$B$11,Simulador!$B$9*(1-COS(PI()*(1-((W45-('Levas superpuestas'!$B$14-'Levas superpuestas'!$B$8/4))/('Levas superpuestas'!$B$8/2)))/Simulador!$B$11))/2,Simulador!$B$9))))*COS(RADIANS(W45))</f>
        <v/>
      </c>
      <c r="Z45" s="48">
        <f>('Levas superpuestas'!$B$5+IF(OR(((W45-('Levas superpuestas'!$B$15-'Levas superpuestas'!$B$9/4))/('Levas superpuestas'!$B$9/2))&lt;=0,((W45-('Levas superpuestas'!$B$15-'Levas superpuestas'!$B$9/4))/('Levas superpuestas'!$B$9/2))&gt;=1),0,IF(((W45-('Levas superpuestas'!$B$15-'Levas superpuestas'!$B$9/4))/('Levas superpuestas'!$B$9/2))&lt;Simulador!$B$11,Simulador!$B$10*(1-COS(PI()*((W45-('Levas superpuestas'!$B$15-'Levas superpuestas'!$B$9/4))/('Levas superpuestas'!$B$9/2))/Simulador!$B$11))/2,IF(((W45-('Levas superpuestas'!$B$15-'Levas superpuestas'!$B$9/4))/('Levas superpuestas'!$B$9/2))&gt;1-Simulador!$B$11,Simulador!$B$10*(1-COS(PI()*(1-((W45-('Levas superpuestas'!$B$15-'Levas superpuestas'!$B$9/4))/('Levas superpuestas'!$B$9/2)))/Simulador!$B$11))/2,Simulador!$B$10))))*SIN(RADIANS(W45))</f>
        <v/>
      </c>
      <c r="AA45" s="48">
        <f>('Levas superpuestas'!$B$5+IF(OR(((W45-('Levas superpuestas'!$B$15-'Levas superpuestas'!$B$9/4))/('Levas superpuestas'!$B$9/2))&lt;=0,((W45-('Levas superpuestas'!$B$15-'Levas superpuestas'!$B$9/4))/('Levas superpuestas'!$B$9/2))&gt;=1),0,IF(((W45-('Levas superpuestas'!$B$15-'Levas superpuestas'!$B$9/4))/('Levas superpuestas'!$B$9/2))&lt;Simulador!$B$11,Simulador!$B$10*(1-COS(PI()*((W45-('Levas superpuestas'!$B$15-'Levas superpuestas'!$B$9/4))/('Levas superpuestas'!$B$9/2))/Simulador!$B$11))/2,IF(((W45-('Levas superpuestas'!$B$15-'Levas superpuestas'!$B$9/4))/('Levas superpuestas'!$B$9/2))&gt;1-Simulador!$B$11,Simulador!$B$10*(1-COS(PI()*(1-((W45-('Levas superpuestas'!$B$15-'Levas superpuestas'!$B$9/4))/('Levas superpuestas'!$B$9/2)))/Simulador!$B$11))/2,Simulador!$B$10))))*COS(RADIANS(W45))</f>
        <v/>
      </c>
      <c r="AB45">
        <f>'Levas superpuestas'!$B$5*SIN(RADIANS(W45))</f>
        <v/>
      </c>
      <c r="AC45">
        <f>'Levas superpuestas'!$B$5*COS(RADIANS(W45))</f>
        <v/>
      </c>
    </row>
    <row r="46">
      <c r="A46" s="26">
        <f>A45+Simulador!$B$14</f>
        <v/>
      </c>
      <c r="B46" s="46">
        <f>IF(OR((($A46-Simulador!$E$5)/Simulador!$G$5)&lt;=0,(($A46-Simulador!$E$5)/Simulador!$G$5)&gt;=1),0,IF((($A46-Simulador!$E$5)/Simulador!$G$5)&lt;Simulador!$B$11,Simulador!$B$9*(1-COS(PI()*(($A46-Simulador!$E$5)/Simulador!$G$5)/Simulador!$B$11))/2,IF((($A46-Simulador!$E$5)/Simulador!$G$5)&gt;1-Simulador!$B$11,Simulador!$B$9*(1-COS(PI()*(1-(($A46-Simulador!$E$5)/Simulador!$G$5))/Simulador!$B$11))/2,Simulador!$B$9)))</f>
        <v/>
      </c>
      <c r="C46" s="46">
        <f>IF(OR((($A46-Simulador!$E$6)/Simulador!$G$6)&lt;=0,(($A46-Simulador!$E$6)/Simulador!$G$6)&gt;=1),0,IF((($A46-Simulador!$E$6)/Simulador!$G$6)&lt;Simulador!$B$11,Simulador!$B$9*(1-COS(PI()*(($A46-Simulador!$E$6)/Simulador!$G$6)/Simulador!$B$11))/2,IF((($A46-Simulador!$E$6)/Simulador!$G$6)&gt;1-Simulador!$B$11,Simulador!$B$9*(1-COS(PI()*(1-(($A46-Simulador!$E$6)/Simulador!$G$6))/Simulador!$B$11))/2,Simulador!$B$9)))</f>
        <v/>
      </c>
      <c r="D46" s="46">
        <f>IF(OR((($A46-Simulador!$E$7)/Simulador!$G$7)&lt;=0,(($A46-Simulador!$E$7)/Simulador!$G$7)&gt;=1),0,IF((($A46-Simulador!$E$7)/Simulador!$G$7)&lt;Simulador!$B$11,Simulador!$B$9*(1-COS(PI()*(($A46-Simulador!$E$7)/Simulador!$G$7)/Simulador!$B$11))/2,IF((($A46-Simulador!$E$7)/Simulador!$G$7)&gt;1-Simulador!$B$11,Simulador!$B$9*(1-COS(PI()*(1-(($A46-Simulador!$E$7)/Simulador!$G$7))/Simulador!$B$11))/2,Simulador!$B$9)))</f>
        <v/>
      </c>
      <c r="E46" s="46">
        <f>IF(OR((($A46-Simulador!$E$8)/Simulador!$G$8)&lt;=0,(($A46-Simulador!$E$8)/Simulador!$G$8)&gt;=1),0,IF((($A46-Simulador!$E$8)/Simulador!$G$8)&lt;Simulador!$B$11,Simulador!$B$10*(1-COS(PI()*(($A46-Simulador!$E$8)/Simulador!$G$8)/Simulador!$B$11))/2,IF((($A46-Simulador!$E$8)/Simulador!$G$8)&gt;1-Simulador!$B$11,Simulador!$B$10*(1-COS(PI()*(1-(($A46-Simulador!$E$8)/Simulador!$G$8))/Simulador!$B$11))/2,Simulador!$B$10)))</f>
        <v/>
      </c>
      <c r="F46" s="46">
        <f>IF(OR((($A46-Simulador!$E$9)/Simulador!$G$9)&lt;=0,(($A46-Simulador!$E$9)/Simulador!$G$9)&gt;=1),0,IF((($A46-Simulador!$E$9)/Simulador!$G$9)&lt;Simulador!$B$11,Simulador!$B$10*(1-COS(PI()*(($A46-Simulador!$E$9)/Simulador!$G$9)/Simulador!$B$11))/2,IF((($A46-Simulador!$E$9)/Simulador!$G$9)&gt;1-Simulador!$B$11,Simulador!$B$10*(1-COS(PI()*(1-(($A46-Simulador!$E$9)/Simulador!$G$9))/Simulador!$B$11))/2,Simulador!$B$10)))</f>
        <v/>
      </c>
      <c r="G46" s="46">
        <f>IF(OR((($A46-Simulador!$E$10)/Simulador!$G$10)&lt;=0,(($A46-Simulador!$E$10)/Simulador!$G$10)&gt;=1),0,IF((($A46-Simulador!$E$10)/Simulador!$G$10)&lt;Simulador!$B$11,Simulador!$B$10*(1-COS(PI()*(($A46-Simulador!$E$10)/Simulador!$G$10)/Simulador!$B$11))/2,IF((($A46-Simulador!$E$10)/Simulador!$G$10)&gt;1-Simulador!$B$11,Simulador!$B$10*(1-COS(PI()*(1-(($A46-Simulador!$E$10)/Simulador!$G$10))/Simulador!$B$11))/2,Simulador!$B$10)))</f>
        <v/>
      </c>
      <c r="Q46" s="48">
        <f>IF(OR((($A46-(Simulador!$E$6+'Salto de dientes'!$B$12))/Simulador!$G$6)&lt;=0,(($A46-(Simulador!$E$6+'Salto de dientes'!$B$12))/Simulador!$G$6)&gt;=1),0,IF((($A46-(Simulador!$E$6+'Salto de dientes'!$B$12))/Simulador!$G$6)&lt;Simulador!$B$11,Simulador!$B$9*(1-COS(PI()*(($A46-(Simulador!$E$6+'Salto de dientes'!$B$12))/Simulador!$G$6)/Simulador!$B$11))/2,IF((($A46-(Simulador!$E$6+'Salto de dientes'!$B$12))/Simulador!$G$6)&gt;1-Simulador!$B$11,Simulador!$B$9*(1-COS(PI()*(1-(($A46-(Simulador!$E$6+'Salto de dientes'!$B$12))/Simulador!$G$6))/Simulador!$B$11))/2,Simulador!$B$9)))</f>
        <v/>
      </c>
      <c r="R46" s="48">
        <f>IF(OR((($A46-(Simulador!$E$9+'Salto de dientes'!$B$12))/Simulador!$G$9)&lt;=0,(($A46-(Simulador!$E$9+'Salto de dientes'!$B$12))/Simulador!$G$9)&gt;=1),0,IF((($A46-(Simulador!$E$9+'Salto de dientes'!$B$12))/Simulador!$G$9)&lt;Simulador!$B$11,Simulador!$B$10*(1-COS(PI()*(($A46-(Simulador!$E$9+'Salto de dientes'!$B$12))/Simulador!$G$9)/Simulador!$B$11))/2,IF((($A46-(Simulador!$E$9+'Salto de dientes'!$B$12))/Simulador!$G$9)&gt;1-Simulador!$B$11,Simulador!$B$10*(1-COS(PI()*(1-(($A46-(Simulador!$E$9+'Salto de dientes'!$B$12))/Simulador!$G$9))/Simulador!$B$11))/2,Simulador!$B$10)))</f>
        <v/>
      </c>
      <c r="W46" t="n">
        <v>-48</v>
      </c>
      <c r="X46" s="48">
        <f>('Levas superpuestas'!$B$5+IF(OR(((W46-('Levas superpuestas'!$B$14-'Levas superpuestas'!$B$8/4))/('Levas superpuestas'!$B$8/2))&lt;=0,((W46-('Levas superpuestas'!$B$14-'Levas superpuestas'!$B$8/4))/('Levas superpuestas'!$B$8/2))&gt;=1),0,IF(((W46-('Levas superpuestas'!$B$14-'Levas superpuestas'!$B$8/4))/('Levas superpuestas'!$B$8/2))&lt;Simulador!$B$11,Simulador!$B$9*(1-COS(PI()*((W46-('Levas superpuestas'!$B$14-'Levas superpuestas'!$B$8/4))/('Levas superpuestas'!$B$8/2))/Simulador!$B$11))/2,IF(((W46-('Levas superpuestas'!$B$14-'Levas superpuestas'!$B$8/4))/('Levas superpuestas'!$B$8/2))&gt;1-Simulador!$B$11,Simulador!$B$9*(1-COS(PI()*(1-((W46-('Levas superpuestas'!$B$14-'Levas superpuestas'!$B$8/4))/('Levas superpuestas'!$B$8/2)))/Simulador!$B$11))/2,Simulador!$B$9))))*SIN(RADIANS(W46))</f>
        <v/>
      </c>
      <c r="Y46" s="48">
        <f>('Levas superpuestas'!$B$5+IF(OR(((W46-('Levas superpuestas'!$B$14-'Levas superpuestas'!$B$8/4))/('Levas superpuestas'!$B$8/2))&lt;=0,((W46-('Levas superpuestas'!$B$14-'Levas superpuestas'!$B$8/4))/('Levas superpuestas'!$B$8/2))&gt;=1),0,IF(((W46-('Levas superpuestas'!$B$14-'Levas superpuestas'!$B$8/4))/('Levas superpuestas'!$B$8/2))&lt;Simulador!$B$11,Simulador!$B$9*(1-COS(PI()*((W46-('Levas superpuestas'!$B$14-'Levas superpuestas'!$B$8/4))/('Levas superpuestas'!$B$8/2))/Simulador!$B$11))/2,IF(((W46-('Levas superpuestas'!$B$14-'Levas superpuestas'!$B$8/4))/('Levas superpuestas'!$B$8/2))&gt;1-Simulador!$B$11,Simulador!$B$9*(1-COS(PI()*(1-((W46-('Levas superpuestas'!$B$14-'Levas superpuestas'!$B$8/4))/('Levas superpuestas'!$B$8/2)))/Simulador!$B$11))/2,Simulador!$B$9))))*COS(RADIANS(W46))</f>
        <v/>
      </c>
      <c r="Z46" s="48">
        <f>('Levas superpuestas'!$B$5+IF(OR(((W46-('Levas superpuestas'!$B$15-'Levas superpuestas'!$B$9/4))/('Levas superpuestas'!$B$9/2))&lt;=0,((W46-('Levas superpuestas'!$B$15-'Levas superpuestas'!$B$9/4))/('Levas superpuestas'!$B$9/2))&gt;=1),0,IF(((W46-('Levas superpuestas'!$B$15-'Levas superpuestas'!$B$9/4))/('Levas superpuestas'!$B$9/2))&lt;Simulador!$B$11,Simulador!$B$10*(1-COS(PI()*((W46-('Levas superpuestas'!$B$15-'Levas superpuestas'!$B$9/4))/('Levas superpuestas'!$B$9/2))/Simulador!$B$11))/2,IF(((W46-('Levas superpuestas'!$B$15-'Levas superpuestas'!$B$9/4))/('Levas superpuestas'!$B$9/2))&gt;1-Simulador!$B$11,Simulador!$B$10*(1-COS(PI()*(1-((W46-('Levas superpuestas'!$B$15-'Levas superpuestas'!$B$9/4))/('Levas superpuestas'!$B$9/2)))/Simulador!$B$11))/2,Simulador!$B$10))))*SIN(RADIANS(W46))</f>
        <v/>
      </c>
      <c r="AA46" s="48">
        <f>('Levas superpuestas'!$B$5+IF(OR(((W46-('Levas superpuestas'!$B$15-'Levas superpuestas'!$B$9/4))/('Levas superpuestas'!$B$9/2))&lt;=0,((W46-('Levas superpuestas'!$B$15-'Levas superpuestas'!$B$9/4))/('Levas superpuestas'!$B$9/2))&gt;=1),0,IF(((W46-('Levas superpuestas'!$B$15-'Levas superpuestas'!$B$9/4))/('Levas superpuestas'!$B$9/2))&lt;Simulador!$B$11,Simulador!$B$10*(1-COS(PI()*((W46-('Levas superpuestas'!$B$15-'Levas superpuestas'!$B$9/4))/('Levas superpuestas'!$B$9/2))/Simulador!$B$11))/2,IF(((W46-('Levas superpuestas'!$B$15-'Levas superpuestas'!$B$9/4))/('Levas superpuestas'!$B$9/2))&gt;1-Simulador!$B$11,Simulador!$B$10*(1-COS(PI()*(1-((W46-('Levas superpuestas'!$B$15-'Levas superpuestas'!$B$9/4))/('Levas superpuestas'!$B$9/2)))/Simulador!$B$11))/2,Simulador!$B$10))))*COS(RADIANS(W46))</f>
        <v/>
      </c>
      <c r="AB46">
        <f>'Levas superpuestas'!$B$5*SIN(RADIANS(W46))</f>
        <v/>
      </c>
      <c r="AC46">
        <f>'Levas superpuestas'!$B$5*COS(RADIANS(W46))</f>
        <v/>
      </c>
    </row>
    <row r="47">
      <c r="A47" s="26">
        <f>A46+Simulador!$B$14</f>
        <v/>
      </c>
      <c r="B47" s="46">
        <f>IF(OR((($A47-Simulador!$E$5)/Simulador!$G$5)&lt;=0,(($A47-Simulador!$E$5)/Simulador!$G$5)&gt;=1),0,IF((($A47-Simulador!$E$5)/Simulador!$G$5)&lt;Simulador!$B$11,Simulador!$B$9*(1-COS(PI()*(($A47-Simulador!$E$5)/Simulador!$G$5)/Simulador!$B$11))/2,IF((($A47-Simulador!$E$5)/Simulador!$G$5)&gt;1-Simulador!$B$11,Simulador!$B$9*(1-COS(PI()*(1-(($A47-Simulador!$E$5)/Simulador!$G$5))/Simulador!$B$11))/2,Simulador!$B$9)))</f>
        <v/>
      </c>
      <c r="C47" s="46">
        <f>IF(OR((($A47-Simulador!$E$6)/Simulador!$G$6)&lt;=0,(($A47-Simulador!$E$6)/Simulador!$G$6)&gt;=1),0,IF((($A47-Simulador!$E$6)/Simulador!$G$6)&lt;Simulador!$B$11,Simulador!$B$9*(1-COS(PI()*(($A47-Simulador!$E$6)/Simulador!$G$6)/Simulador!$B$11))/2,IF((($A47-Simulador!$E$6)/Simulador!$G$6)&gt;1-Simulador!$B$11,Simulador!$B$9*(1-COS(PI()*(1-(($A47-Simulador!$E$6)/Simulador!$G$6))/Simulador!$B$11))/2,Simulador!$B$9)))</f>
        <v/>
      </c>
      <c r="D47" s="46">
        <f>IF(OR((($A47-Simulador!$E$7)/Simulador!$G$7)&lt;=0,(($A47-Simulador!$E$7)/Simulador!$G$7)&gt;=1),0,IF((($A47-Simulador!$E$7)/Simulador!$G$7)&lt;Simulador!$B$11,Simulador!$B$9*(1-COS(PI()*(($A47-Simulador!$E$7)/Simulador!$G$7)/Simulador!$B$11))/2,IF((($A47-Simulador!$E$7)/Simulador!$G$7)&gt;1-Simulador!$B$11,Simulador!$B$9*(1-COS(PI()*(1-(($A47-Simulador!$E$7)/Simulador!$G$7))/Simulador!$B$11))/2,Simulador!$B$9)))</f>
        <v/>
      </c>
      <c r="E47" s="46">
        <f>IF(OR((($A47-Simulador!$E$8)/Simulador!$G$8)&lt;=0,(($A47-Simulador!$E$8)/Simulador!$G$8)&gt;=1),0,IF((($A47-Simulador!$E$8)/Simulador!$G$8)&lt;Simulador!$B$11,Simulador!$B$10*(1-COS(PI()*(($A47-Simulador!$E$8)/Simulador!$G$8)/Simulador!$B$11))/2,IF((($A47-Simulador!$E$8)/Simulador!$G$8)&gt;1-Simulador!$B$11,Simulador!$B$10*(1-COS(PI()*(1-(($A47-Simulador!$E$8)/Simulador!$G$8))/Simulador!$B$11))/2,Simulador!$B$10)))</f>
        <v/>
      </c>
      <c r="F47" s="46">
        <f>IF(OR((($A47-Simulador!$E$9)/Simulador!$G$9)&lt;=0,(($A47-Simulador!$E$9)/Simulador!$G$9)&gt;=1),0,IF((($A47-Simulador!$E$9)/Simulador!$G$9)&lt;Simulador!$B$11,Simulador!$B$10*(1-COS(PI()*(($A47-Simulador!$E$9)/Simulador!$G$9)/Simulador!$B$11))/2,IF((($A47-Simulador!$E$9)/Simulador!$G$9)&gt;1-Simulador!$B$11,Simulador!$B$10*(1-COS(PI()*(1-(($A47-Simulador!$E$9)/Simulador!$G$9))/Simulador!$B$11))/2,Simulador!$B$10)))</f>
        <v/>
      </c>
      <c r="G47" s="46">
        <f>IF(OR((($A47-Simulador!$E$10)/Simulador!$G$10)&lt;=0,(($A47-Simulador!$E$10)/Simulador!$G$10)&gt;=1),0,IF((($A47-Simulador!$E$10)/Simulador!$G$10)&lt;Simulador!$B$11,Simulador!$B$10*(1-COS(PI()*(($A47-Simulador!$E$10)/Simulador!$G$10)/Simulador!$B$11))/2,IF((($A47-Simulador!$E$10)/Simulador!$G$10)&gt;1-Simulador!$B$11,Simulador!$B$10*(1-COS(PI()*(1-(($A47-Simulador!$E$10)/Simulador!$G$10))/Simulador!$B$11))/2,Simulador!$B$10)))</f>
        <v/>
      </c>
      <c r="Q47" s="48">
        <f>IF(OR((($A47-(Simulador!$E$6+'Salto de dientes'!$B$12))/Simulador!$G$6)&lt;=0,(($A47-(Simulador!$E$6+'Salto de dientes'!$B$12))/Simulador!$G$6)&gt;=1),0,IF((($A47-(Simulador!$E$6+'Salto de dientes'!$B$12))/Simulador!$G$6)&lt;Simulador!$B$11,Simulador!$B$9*(1-COS(PI()*(($A47-(Simulador!$E$6+'Salto de dientes'!$B$12))/Simulador!$G$6)/Simulador!$B$11))/2,IF((($A47-(Simulador!$E$6+'Salto de dientes'!$B$12))/Simulador!$G$6)&gt;1-Simulador!$B$11,Simulador!$B$9*(1-COS(PI()*(1-(($A47-(Simulador!$E$6+'Salto de dientes'!$B$12))/Simulador!$G$6))/Simulador!$B$11))/2,Simulador!$B$9)))</f>
        <v/>
      </c>
      <c r="R47" s="48">
        <f>IF(OR((($A47-(Simulador!$E$9+'Salto de dientes'!$B$12))/Simulador!$G$9)&lt;=0,(($A47-(Simulador!$E$9+'Salto de dientes'!$B$12))/Simulador!$G$9)&gt;=1),0,IF((($A47-(Simulador!$E$9+'Salto de dientes'!$B$12))/Simulador!$G$9)&lt;Simulador!$B$11,Simulador!$B$10*(1-COS(PI()*(($A47-(Simulador!$E$9+'Salto de dientes'!$B$12))/Simulador!$G$9)/Simulador!$B$11))/2,IF((($A47-(Simulador!$E$9+'Salto de dientes'!$B$12))/Simulador!$G$9)&gt;1-Simulador!$B$11,Simulador!$B$10*(1-COS(PI()*(1-(($A47-(Simulador!$E$9+'Salto de dientes'!$B$12))/Simulador!$G$9))/Simulador!$B$11))/2,Simulador!$B$10)))</f>
        <v/>
      </c>
      <c r="W47" t="n">
        <v>-45</v>
      </c>
      <c r="X47" s="48">
        <f>('Levas superpuestas'!$B$5+IF(OR(((W47-('Levas superpuestas'!$B$14-'Levas superpuestas'!$B$8/4))/('Levas superpuestas'!$B$8/2))&lt;=0,((W47-('Levas superpuestas'!$B$14-'Levas superpuestas'!$B$8/4))/('Levas superpuestas'!$B$8/2))&gt;=1),0,IF(((W47-('Levas superpuestas'!$B$14-'Levas superpuestas'!$B$8/4))/('Levas superpuestas'!$B$8/2))&lt;Simulador!$B$11,Simulador!$B$9*(1-COS(PI()*((W47-('Levas superpuestas'!$B$14-'Levas superpuestas'!$B$8/4))/('Levas superpuestas'!$B$8/2))/Simulador!$B$11))/2,IF(((W47-('Levas superpuestas'!$B$14-'Levas superpuestas'!$B$8/4))/('Levas superpuestas'!$B$8/2))&gt;1-Simulador!$B$11,Simulador!$B$9*(1-COS(PI()*(1-((W47-('Levas superpuestas'!$B$14-'Levas superpuestas'!$B$8/4))/('Levas superpuestas'!$B$8/2)))/Simulador!$B$11))/2,Simulador!$B$9))))*SIN(RADIANS(W47))</f>
        <v/>
      </c>
      <c r="Y47" s="48">
        <f>('Levas superpuestas'!$B$5+IF(OR(((W47-('Levas superpuestas'!$B$14-'Levas superpuestas'!$B$8/4))/('Levas superpuestas'!$B$8/2))&lt;=0,((W47-('Levas superpuestas'!$B$14-'Levas superpuestas'!$B$8/4))/('Levas superpuestas'!$B$8/2))&gt;=1),0,IF(((W47-('Levas superpuestas'!$B$14-'Levas superpuestas'!$B$8/4))/('Levas superpuestas'!$B$8/2))&lt;Simulador!$B$11,Simulador!$B$9*(1-COS(PI()*((W47-('Levas superpuestas'!$B$14-'Levas superpuestas'!$B$8/4))/('Levas superpuestas'!$B$8/2))/Simulador!$B$11))/2,IF(((W47-('Levas superpuestas'!$B$14-'Levas superpuestas'!$B$8/4))/('Levas superpuestas'!$B$8/2))&gt;1-Simulador!$B$11,Simulador!$B$9*(1-COS(PI()*(1-((W47-('Levas superpuestas'!$B$14-'Levas superpuestas'!$B$8/4))/('Levas superpuestas'!$B$8/2)))/Simulador!$B$11))/2,Simulador!$B$9))))*COS(RADIANS(W47))</f>
        <v/>
      </c>
      <c r="Z47" s="48">
        <f>('Levas superpuestas'!$B$5+IF(OR(((W47-('Levas superpuestas'!$B$15-'Levas superpuestas'!$B$9/4))/('Levas superpuestas'!$B$9/2))&lt;=0,((W47-('Levas superpuestas'!$B$15-'Levas superpuestas'!$B$9/4))/('Levas superpuestas'!$B$9/2))&gt;=1),0,IF(((W47-('Levas superpuestas'!$B$15-'Levas superpuestas'!$B$9/4))/('Levas superpuestas'!$B$9/2))&lt;Simulador!$B$11,Simulador!$B$10*(1-COS(PI()*((W47-('Levas superpuestas'!$B$15-'Levas superpuestas'!$B$9/4))/('Levas superpuestas'!$B$9/2))/Simulador!$B$11))/2,IF(((W47-('Levas superpuestas'!$B$15-'Levas superpuestas'!$B$9/4))/('Levas superpuestas'!$B$9/2))&gt;1-Simulador!$B$11,Simulador!$B$10*(1-COS(PI()*(1-((W47-('Levas superpuestas'!$B$15-'Levas superpuestas'!$B$9/4))/('Levas superpuestas'!$B$9/2)))/Simulador!$B$11))/2,Simulador!$B$10))))*SIN(RADIANS(W47))</f>
        <v/>
      </c>
      <c r="AA47" s="48">
        <f>('Levas superpuestas'!$B$5+IF(OR(((W47-('Levas superpuestas'!$B$15-'Levas superpuestas'!$B$9/4))/('Levas superpuestas'!$B$9/2))&lt;=0,((W47-('Levas superpuestas'!$B$15-'Levas superpuestas'!$B$9/4))/('Levas superpuestas'!$B$9/2))&gt;=1),0,IF(((W47-('Levas superpuestas'!$B$15-'Levas superpuestas'!$B$9/4))/('Levas superpuestas'!$B$9/2))&lt;Simulador!$B$11,Simulador!$B$10*(1-COS(PI()*((W47-('Levas superpuestas'!$B$15-'Levas superpuestas'!$B$9/4))/('Levas superpuestas'!$B$9/2))/Simulador!$B$11))/2,IF(((W47-('Levas superpuestas'!$B$15-'Levas superpuestas'!$B$9/4))/('Levas superpuestas'!$B$9/2))&gt;1-Simulador!$B$11,Simulador!$B$10*(1-COS(PI()*(1-((W47-('Levas superpuestas'!$B$15-'Levas superpuestas'!$B$9/4))/('Levas superpuestas'!$B$9/2)))/Simulador!$B$11))/2,Simulador!$B$10))))*COS(RADIANS(W47))</f>
        <v/>
      </c>
      <c r="AB47">
        <f>'Levas superpuestas'!$B$5*SIN(RADIANS(W47))</f>
        <v/>
      </c>
      <c r="AC47">
        <f>'Levas superpuestas'!$B$5*COS(RADIANS(W47))</f>
        <v/>
      </c>
    </row>
    <row r="48">
      <c r="A48" s="26">
        <f>A47+Simulador!$B$14</f>
        <v/>
      </c>
      <c r="B48" s="46">
        <f>IF(OR((($A48-Simulador!$E$5)/Simulador!$G$5)&lt;=0,(($A48-Simulador!$E$5)/Simulador!$G$5)&gt;=1),0,IF((($A48-Simulador!$E$5)/Simulador!$G$5)&lt;Simulador!$B$11,Simulador!$B$9*(1-COS(PI()*(($A48-Simulador!$E$5)/Simulador!$G$5)/Simulador!$B$11))/2,IF((($A48-Simulador!$E$5)/Simulador!$G$5)&gt;1-Simulador!$B$11,Simulador!$B$9*(1-COS(PI()*(1-(($A48-Simulador!$E$5)/Simulador!$G$5))/Simulador!$B$11))/2,Simulador!$B$9)))</f>
        <v/>
      </c>
      <c r="C48" s="46">
        <f>IF(OR((($A48-Simulador!$E$6)/Simulador!$G$6)&lt;=0,(($A48-Simulador!$E$6)/Simulador!$G$6)&gt;=1),0,IF((($A48-Simulador!$E$6)/Simulador!$G$6)&lt;Simulador!$B$11,Simulador!$B$9*(1-COS(PI()*(($A48-Simulador!$E$6)/Simulador!$G$6)/Simulador!$B$11))/2,IF((($A48-Simulador!$E$6)/Simulador!$G$6)&gt;1-Simulador!$B$11,Simulador!$B$9*(1-COS(PI()*(1-(($A48-Simulador!$E$6)/Simulador!$G$6))/Simulador!$B$11))/2,Simulador!$B$9)))</f>
        <v/>
      </c>
      <c r="D48" s="46">
        <f>IF(OR((($A48-Simulador!$E$7)/Simulador!$G$7)&lt;=0,(($A48-Simulador!$E$7)/Simulador!$G$7)&gt;=1),0,IF((($A48-Simulador!$E$7)/Simulador!$G$7)&lt;Simulador!$B$11,Simulador!$B$9*(1-COS(PI()*(($A48-Simulador!$E$7)/Simulador!$G$7)/Simulador!$B$11))/2,IF((($A48-Simulador!$E$7)/Simulador!$G$7)&gt;1-Simulador!$B$11,Simulador!$B$9*(1-COS(PI()*(1-(($A48-Simulador!$E$7)/Simulador!$G$7))/Simulador!$B$11))/2,Simulador!$B$9)))</f>
        <v/>
      </c>
      <c r="E48" s="46">
        <f>IF(OR((($A48-Simulador!$E$8)/Simulador!$G$8)&lt;=0,(($A48-Simulador!$E$8)/Simulador!$G$8)&gt;=1),0,IF((($A48-Simulador!$E$8)/Simulador!$G$8)&lt;Simulador!$B$11,Simulador!$B$10*(1-COS(PI()*(($A48-Simulador!$E$8)/Simulador!$G$8)/Simulador!$B$11))/2,IF((($A48-Simulador!$E$8)/Simulador!$G$8)&gt;1-Simulador!$B$11,Simulador!$B$10*(1-COS(PI()*(1-(($A48-Simulador!$E$8)/Simulador!$G$8))/Simulador!$B$11))/2,Simulador!$B$10)))</f>
        <v/>
      </c>
      <c r="F48" s="46">
        <f>IF(OR((($A48-Simulador!$E$9)/Simulador!$G$9)&lt;=0,(($A48-Simulador!$E$9)/Simulador!$G$9)&gt;=1),0,IF((($A48-Simulador!$E$9)/Simulador!$G$9)&lt;Simulador!$B$11,Simulador!$B$10*(1-COS(PI()*(($A48-Simulador!$E$9)/Simulador!$G$9)/Simulador!$B$11))/2,IF((($A48-Simulador!$E$9)/Simulador!$G$9)&gt;1-Simulador!$B$11,Simulador!$B$10*(1-COS(PI()*(1-(($A48-Simulador!$E$9)/Simulador!$G$9))/Simulador!$B$11))/2,Simulador!$B$10)))</f>
        <v/>
      </c>
      <c r="G48" s="46">
        <f>IF(OR((($A48-Simulador!$E$10)/Simulador!$G$10)&lt;=0,(($A48-Simulador!$E$10)/Simulador!$G$10)&gt;=1),0,IF((($A48-Simulador!$E$10)/Simulador!$G$10)&lt;Simulador!$B$11,Simulador!$B$10*(1-COS(PI()*(($A48-Simulador!$E$10)/Simulador!$G$10)/Simulador!$B$11))/2,IF((($A48-Simulador!$E$10)/Simulador!$G$10)&gt;1-Simulador!$B$11,Simulador!$B$10*(1-COS(PI()*(1-(($A48-Simulador!$E$10)/Simulador!$G$10))/Simulador!$B$11))/2,Simulador!$B$10)))</f>
        <v/>
      </c>
      <c r="Q48" s="48">
        <f>IF(OR((($A48-(Simulador!$E$6+'Salto de dientes'!$B$12))/Simulador!$G$6)&lt;=0,(($A48-(Simulador!$E$6+'Salto de dientes'!$B$12))/Simulador!$G$6)&gt;=1),0,IF((($A48-(Simulador!$E$6+'Salto de dientes'!$B$12))/Simulador!$G$6)&lt;Simulador!$B$11,Simulador!$B$9*(1-COS(PI()*(($A48-(Simulador!$E$6+'Salto de dientes'!$B$12))/Simulador!$G$6)/Simulador!$B$11))/2,IF((($A48-(Simulador!$E$6+'Salto de dientes'!$B$12))/Simulador!$G$6)&gt;1-Simulador!$B$11,Simulador!$B$9*(1-COS(PI()*(1-(($A48-(Simulador!$E$6+'Salto de dientes'!$B$12))/Simulador!$G$6))/Simulador!$B$11))/2,Simulador!$B$9)))</f>
        <v/>
      </c>
      <c r="R48" s="48">
        <f>IF(OR((($A48-(Simulador!$E$9+'Salto de dientes'!$B$12))/Simulador!$G$9)&lt;=0,(($A48-(Simulador!$E$9+'Salto de dientes'!$B$12))/Simulador!$G$9)&gt;=1),0,IF((($A48-(Simulador!$E$9+'Salto de dientes'!$B$12))/Simulador!$G$9)&lt;Simulador!$B$11,Simulador!$B$10*(1-COS(PI()*(($A48-(Simulador!$E$9+'Salto de dientes'!$B$12))/Simulador!$G$9)/Simulador!$B$11))/2,IF((($A48-(Simulador!$E$9+'Salto de dientes'!$B$12))/Simulador!$G$9)&gt;1-Simulador!$B$11,Simulador!$B$10*(1-COS(PI()*(1-(($A48-(Simulador!$E$9+'Salto de dientes'!$B$12))/Simulador!$G$9))/Simulador!$B$11))/2,Simulador!$B$10)))</f>
        <v/>
      </c>
      <c r="W48" t="n">
        <v>-42</v>
      </c>
      <c r="X48" s="48">
        <f>('Levas superpuestas'!$B$5+IF(OR(((W48-('Levas superpuestas'!$B$14-'Levas superpuestas'!$B$8/4))/('Levas superpuestas'!$B$8/2))&lt;=0,((W48-('Levas superpuestas'!$B$14-'Levas superpuestas'!$B$8/4))/('Levas superpuestas'!$B$8/2))&gt;=1),0,IF(((W48-('Levas superpuestas'!$B$14-'Levas superpuestas'!$B$8/4))/('Levas superpuestas'!$B$8/2))&lt;Simulador!$B$11,Simulador!$B$9*(1-COS(PI()*((W48-('Levas superpuestas'!$B$14-'Levas superpuestas'!$B$8/4))/('Levas superpuestas'!$B$8/2))/Simulador!$B$11))/2,IF(((W48-('Levas superpuestas'!$B$14-'Levas superpuestas'!$B$8/4))/('Levas superpuestas'!$B$8/2))&gt;1-Simulador!$B$11,Simulador!$B$9*(1-COS(PI()*(1-((W48-('Levas superpuestas'!$B$14-'Levas superpuestas'!$B$8/4))/('Levas superpuestas'!$B$8/2)))/Simulador!$B$11))/2,Simulador!$B$9))))*SIN(RADIANS(W48))</f>
        <v/>
      </c>
      <c r="Y48" s="48">
        <f>('Levas superpuestas'!$B$5+IF(OR(((W48-('Levas superpuestas'!$B$14-'Levas superpuestas'!$B$8/4))/('Levas superpuestas'!$B$8/2))&lt;=0,((W48-('Levas superpuestas'!$B$14-'Levas superpuestas'!$B$8/4))/('Levas superpuestas'!$B$8/2))&gt;=1),0,IF(((W48-('Levas superpuestas'!$B$14-'Levas superpuestas'!$B$8/4))/('Levas superpuestas'!$B$8/2))&lt;Simulador!$B$11,Simulador!$B$9*(1-COS(PI()*((W48-('Levas superpuestas'!$B$14-'Levas superpuestas'!$B$8/4))/('Levas superpuestas'!$B$8/2))/Simulador!$B$11))/2,IF(((W48-('Levas superpuestas'!$B$14-'Levas superpuestas'!$B$8/4))/('Levas superpuestas'!$B$8/2))&gt;1-Simulador!$B$11,Simulador!$B$9*(1-COS(PI()*(1-((W48-('Levas superpuestas'!$B$14-'Levas superpuestas'!$B$8/4))/('Levas superpuestas'!$B$8/2)))/Simulador!$B$11))/2,Simulador!$B$9))))*COS(RADIANS(W48))</f>
        <v/>
      </c>
      <c r="Z48" s="48">
        <f>('Levas superpuestas'!$B$5+IF(OR(((W48-('Levas superpuestas'!$B$15-'Levas superpuestas'!$B$9/4))/('Levas superpuestas'!$B$9/2))&lt;=0,((W48-('Levas superpuestas'!$B$15-'Levas superpuestas'!$B$9/4))/('Levas superpuestas'!$B$9/2))&gt;=1),0,IF(((W48-('Levas superpuestas'!$B$15-'Levas superpuestas'!$B$9/4))/('Levas superpuestas'!$B$9/2))&lt;Simulador!$B$11,Simulador!$B$10*(1-COS(PI()*((W48-('Levas superpuestas'!$B$15-'Levas superpuestas'!$B$9/4))/('Levas superpuestas'!$B$9/2))/Simulador!$B$11))/2,IF(((W48-('Levas superpuestas'!$B$15-'Levas superpuestas'!$B$9/4))/('Levas superpuestas'!$B$9/2))&gt;1-Simulador!$B$11,Simulador!$B$10*(1-COS(PI()*(1-((W48-('Levas superpuestas'!$B$15-'Levas superpuestas'!$B$9/4))/('Levas superpuestas'!$B$9/2)))/Simulador!$B$11))/2,Simulador!$B$10))))*SIN(RADIANS(W48))</f>
        <v/>
      </c>
      <c r="AA48" s="48">
        <f>('Levas superpuestas'!$B$5+IF(OR(((W48-('Levas superpuestas'!$B$15-'Levas superpuestas'!$B$9/4))/('Levas superpuestas'!$B$9/2))&lt;=0,((W48-('Levas superpuestas'!$B$15-'Levas superpuestas'!$B$9/4))/('Levas superpuestas'!$B$9/2))&gt;=1),0,IF(((W48-('Levas superpuestas'!$B$15-'Levas superpuestas'!$B$9/4))/('Levas superpuestas'!$B$9/2))&lt;Simulador!$B$11,Simulador!$B$10*(1-COS(PI()*((W48-('Levas superpuestas'!$B$15-'Levas superpuestas'!$B$9/4))/('Levas superpuestas'!$B$9/2))/Simulador!$B$11))/2,IF(((W48-('Levas superpuestas'!$B$15-'Levas superpuestas'!$B$9/4))/('Levas superpuestas'!$B$9/2))&gt;1-Simulador!$B$11,Simulador!$B$10*(1-COS(PI()*(1-((W48-('Levas superpuestas'!$B$15-'Levas superpuestas'!$B$9/4))/('Levas superpuestas'!$B$9/2)))/Simulador!$B$11))/2,Simulador!$B$10))))*COS(RADIANS(W48))</f>
        <v/>
      </c>
      <c r="AB48">
        <f>'Levas superpuestas'!$B$5*SIN(RADIANS(W48))</f>
        <v/>
      </c>
      <c r="AC48">
        <f>'Levas superpuestas'!$B$5*COS(RADIANS(W48))</f>
        <v/>
      </c>
    </row>
    <row r="49">
      <c r="A49" s="26">
        <f>A48+Simulador!$B$14</f>
        <v/>
      </c>
      <c r="B49" s="46">
        <f>IF(OR((($A49-Simulador!$E$5)/Simulador!$G$5)&lt;=0,(($A49-Simulador!$E$5)/Simulador!$G$5)&gt;=1),0,IF((($A49-Simulador!$E$5)/Simulador!$G$5)&lt;Simulador!$B$11,Simulador!$B$9*(1-COS(PI()*(($A49-Simulador!$E$5)/Simulador!$G$5)/Simulador!$B$11))/2,IF((($A49-Simulador!$E$5)/Simulador!$G$5)&gt;1-Simulador!$B$11,Simulador!$B$9*(1-COS(PI()*(1-(($A49-Simulador!$E$5)/Simulador!$G$5))/Simulador!$B$11))/2,Simulador!$B$9)))</f>
        <v/>
      </c>
      <c r="C49" s="46">
        <f>IF(OR((($A49-Simulador!$E$6)/Simulador!$G$6)&lt;=0,(($A49-Simulador!$E$6)/Simulador!$G$6)&gt;=1),0,IF((($A49-Simulador!$E$6)/Simulador!$G$6)&lt;Simulador!$B$11,Simulador!$B$9*(1-COS(PI()*(($A49-Simulador!$E$6)/Simulador!$G$6)/Simulador!$B$11))/2,IF((($A49-Simulador!$E$6)/Simulador!$G$6)&gt;1-Simulador!$B$11,Simulador!$B$9*(1-COS(PI()*(1-(($A49-Simulador!$E$6)/Simulador!$G$6))/Simulador!$B$11))/2,Simulador!$B$9)))</f>
        <v/>
      </c>
      <c r="D49" s="46">
        <f>IF(OR((($A49-Simulador!$E$7)/Simulador!$G$7)&lt;=0,(($A49-Simulador!$E$7)/Simulador!$G$7)&gt;=1),0,IF((($A49-Simulador!$E$7)/Simulador!$G$7)&lt;Simulador!$B$11,Simulador!$B$9*(1-COS(PI()*(($A49-Simulador!$E$7)/Simulador!$G$7)/Simulador!$B$11))/2,IF((($A49-Simulador!$E$7)/Simulador!$G$7)&gt;1-Simulador!$B$11,Simulador!$B$9*(1-COS(PI()*(1-(($A49-Simulador!$E$7)/Simulador!$G$7))/Simulador!$B$11))/2,Simulador!$B$9)))</f>
        <v/>
      </c>
      <c r="E49" s="46">
        <f>IF(OR((($A49-Simulador!$E$8)/Simulador!$G$8)&lt;=0,(($A49-Simulador!$E$8)/Simulador!$G$8)&gt;=1),0,IF((($A49-Simulador!$E$8)/Simulador!$G$8)&lt;Simulador!$B$11,Simulador!$B$10*(1-COS(PI()*(($A49-Simulador!$E$8)/Simulador!$G$8)/Simulador!$B$11))/2,IF((($A49-Simulador!$E$8)/Simulador!$G$8)&gt;1-Simulador!$B$11,Simulador!$B$10*(1-COS(PI()*(1-(($A49-Simulador!$E$8)/Simulador!$G$8))/Simulador!$B$11))/2,Simulador!$B$10)))</f>
        <v/>
      </c>
      <c r="F49" s="46">
        <f>IF(OR((($A49-Simulador!$E$9)/Simulador!$G$9)&lt;=0,(($A49-Simulador!$E$9)/Simulador!$G$9)&gt;=1),0,IF((($A49-Simulador!$E$9)/Simulador!$G$9)&lt;Simulador!$B$11,Simulador!$B$10*(1-COS(PI()*(($A49-Simulador!$E$9)/Simulador!$G$9)/Simulador!$B$11))/2,IF((($A49-Simulador!$E$9)/Simulador!$G$9)&gt;1-Simulador!$B$11,Simulador!$B$10*(1-COS(PI()*(1-(($A49-Simulador!$E$9)/Simulador!$G$9))/Simulador!$B$11))/2,Simulador!$B$10)))</f>
        <v/>
      </c>
      <c r="G49" s="46">
        <f>IF(OR((($A49-Simulador!$E$10)/Simulador!$G$10)&lt;=0,(($A49-Simulador!$E$10)/Simulador!$G$10)&gt;=1),0,IF((($A49-Simulador!$E$10)/Simulador!$G$10)&lt;Simulador!$B$11,Simulador!$B$10*(1-COS(PI()*(($A49-Simulador!$E$10)/Simulador!$G$10)/Simulador!$B$11))/2,IF((($A49-Simulador!$E$10)/Simulador!$G$10)&gt;1-Simulador!$B$11,Simulador!$B$10*(1-COS(PI()*(1-(($A49-Simulador!$E$10)/Simulador!$G$10))/Simulador!$B$11))/2,Simulador!$B$10)))</f>
        <v/>
      </c>
      <c r="Q49" s="48">
        <f>IF(OR((($A49-(Simulador!$E$6+'Salto de dientes'!$B$12))/Simulador!$G$6)&lt;=0,(($A49-(Simulador!$E$6+'Salto de dientes'!$B$12))/Simulador!$G$6)&gt;=1),0,IF((($A49-(Simulador!$E$6+'Salto de dientes'!$B$12))/Simulador!$G$6)&lt;Simulador!$B$11,Simulador!$B$9*(1-COS(PI()*(($A49-(Simulador!$E$6+'Salto de dientes'!$B$12))/Simulador!$G$6)/Simulador!$B$11))/2,IF((($A49-(Simulador!$E$6+'Salto de dientes'!$B$12))/Simulador!$G$6)&gt;1-Simulador!$B$11,Simulador!$B$9*(1-COS(PI()*(1-(($A49-(Simulador!$E$6+'Salto de dientes'!$B$12))/Simulador!$G$6))/Simulador!$B$11))/2,Simulador!$B$9)))</f>
        <v/>
      </c>
      <c r="R49" s="48">
        <f>IF(OR((($A49-(Simulador!$E$9+'Salto de dientes'!$B$12))/Simulador!$G$9)&lt;=0,(($A49-(Simulador!$E$9+'Salto de dientes'!$B$12))/Simulador!$G$9)&gt;=1),0,IF((($A49-(Simulador!$E$9+'Salto de dientes'!$B$12))/Simulador!$G$9)&lt;Simulador!$B$11,Simulador!$B$10*(1-COS(PI()*(($A49-(Simulador!$E$9+'Salto de dientes'!$B$12))/Simulador!$G$9)/Simulador!$B$11))/2,IF((($A49-(Simulador!$E$9+'Salto de dientes'!$B$12))/Simulador!$G$9)&gt;1-Simulador!$B$11,Simulador!$B$10*(1-COS(PI()*(1-(($A49-(Simulador!$E$9+'Salto de dientes'!$B$12))/Simulador!$G$9))/Simulador!$B$11))/2,Simulador!$B$10)))</f>
        <v/>
      </c>
      <c r="W49" t="n">
        <v>-39</v>
      </c>
      <c r="X49" s="48">
        <f>('Levas superpuestas'!$B$5+IF(OR(((W49-('Levas superpuestas'!$B$14-'Levas superpuestas'!$B$8/4))/('Levas superpuestas'!$B$8/2))&lt;=0,((W49-('Levas superpuestas'!$B$14-'Levas superpuestas'!$B$8/4))/('Levas superpuestas'!$B$8/2))&gt;=1),0,IF(((W49-('Levas superpuestas'!$B$14-'Levas superpuestas'!$B$8/4))/('Levas superpuestas'!$B$8/2))&lt;Simulador!$B$11,Simulador!$B$9*(1-COS(PI()*((W49-('Levas superpuestas'!$B$14-'Levas superpuestas'!$B$8/4))/('Levas superpuestas'!$B$8/2))/Simulador!$B$11))/2,IF(((W49-('Levas superpuestas'!$B$14-'Levas superpuestas'!$B$8/4))/('Levas superpuestas'!$B$8/2))&gt;1-Simulador!$B$11,Simulador!$B$9*(1-COS(PI()*(1-((W49-('Levas superpuestas'!$B$14-'Levas superpuestas'!$B$8/4))/('Levas superpuestas'!$B$8/2)))/Simulador!$B$11))/2,Simulador!$B$9))))*SIN(RADIANS(W49))</f>
        <v/>
      </c>
      <c r="Y49" s="48">
        <f>('Levas superpuestas'!$B$5+IF(OR(((W49-('Levas superpuestas'!$B$14-'Levas superpuestas'!$B$8/4))/('Levas superpuestas'!$B$8/2))&lt;=0,((W49-('Levas superpuestas'!$B$14-'Levas superpuestas'!$B$8/4))/('Levas superpuestas'!$B$8/2))&gt;=1),0,IF(((W49-('Levas superpuestas'!$B$14-'Levas superpuestas'!$B$8/4))/('Levas superpuestas'!$B$8/2))&lt;Simulador!$B$11,Simulador!$B$9*(1-COS(PI()*((W49-('Levas superpuestas'!$B$14-'Levas superpuestas'!$B$8/4))/('Levas superpuestas'!$B$8/2))/Simulador!$B$11))/2,IF(((W49-('Levas superpuestas'!$B$14-'Levas superpuestas'!$B$8/4))/('Levas superpuestas'!$B$8/2))&gt;1-Simulador!$B$11,Simulador!$B$9*(1-COS(PI()*(1-((W49-('Levas superpuestas'!$B$14-'Levas superpuestas'!$B$8/4))/('Levas superpuestas'!$B$8/2)))/Simulador!$B$11))/2,Simulador!$B$9))))*COS(RADIANS(W49))</f>
        <v/>
      </c>
      <c r="Z49" s="48">
        <f>('Levas superpuestas'!$B$5+IF(OR(((W49-('Levas superpuestas'!$B$15-'Levas superpuestas'!$B$9/4))/('Levas superpuestas'!$B$9/2))&lt;=0,((W49-('Levas superpuestas'!$B$15-'Levas superpuestas'!$B$9/4))/('Levas superpuestas'!$B$9/2))&gt;=1),0,IF(((W49-('Levas superpuestas'!$B$15-'Levas superpuestas'!$B$9/4))/('Levas superpuestas'!$B$9/2))&lt;Simulador!$B$11,Simulador!$B$10*(1-COS(PI()*((W49-('Levas superpuestas'!$B$15-'Levas superpuestas'!$B$9/4))/('Levas superpuestas'!$B$9/2))/Simulador!$B$11))/2,IF(((W49-('Levas superpuestas'!$B$15-'Levas superpuestas'!$B$9/4))/('Levas superpuestas'!$B$9/2))&gt;1-Simulador!$B$11,Simulador!$B$10*(1-COS(PI()*(1-((W49-('Levas superpuestas'!$B$15-'Levas superpuestas'!$B$9/4))/('Levas superpuestas'!$B$9/2)))/Simulador!$B$11))/2,Simulador!$B$10))))*SIN(RADIANS(W49))</f>
        <v/>
      </c>
      <c r="AA49" s="48">
        <f>('Levas superpuestas'!$B$5+IF(OR(((W49-('Levas superpuestas'!$B$15-'Levas superpuestas'!$B$9/4))/('Levas superpuestas'!$B$9/2))&lt;=0,((W49-('Levas superpuestas'!$B$15-'Levas superpuestas'!$B$9/4))/('Levas superpuestas'!$B$9/2))&gt;=1),0,IF(((W49-('Levas superpuestas'!$B$15-'Levas superpuestas'!$B$9/4))/('Levas superpuestas'!$B$9/2))&lt;Simulador!$B$11,Simulador!$B$10*(1-COS(PI()*((W49-('Levas superpuestas'!$B$15-'Levas superpuestas'!$B$9/4))/('Levas superpuestas'!$B$9/2))/Simulador!$B$11))/2,IF(((W49-('Levas superpuestas'!$B$15-'Levas superpuestas'!$B$9/4))/('Levas superpuestas'!$B$9/2))&gt;1-Simulador!$B$11,Simulador!$B$10*(1-COS(PI()*(1-((W49-('Levas superpuestas'!$B$15-'Levas superpuestas'!$B$9/4))/('Levas superpuestas'!$B$9/2)))/Simulador!$B$11))/2,Simulador!$B$10))))*COS(RADIANS(W49))</f>
        <v/>
      </c>
      <c r="AB49">
        <f>'Levas superpuestas'!$B$5*SIN(RADIANS(W49))</f>
        <v/>
      </c>
      <c r="AC49">
        <f>'Levas superpuestas'!$B$5*COS(RADIANS(W49))</f>
        <v/>
      </c>
    </row>
    <row r="50">
      <c r="A50" s="26">
        <f>A49+Simulador!$B$14</f>
        <v/>
      </c>
      <c r="B50" s="46">
        <f>IF(OR((($A50-Simulador!$E$5)/Simulador!$G$5)&lt;=0,(($A50-Simulador!$E$5)/Simulador!$G$5)&gt;=1),0,IF((($A50-Simulador!$E$5)/Simulador!$G$5)&lt;Simulador!$B$11,Simulador!$B$9*(1-COS(PI()*(($A50-Simulador!$E$5)/Simulador!$G$5)/Simulador!$B$11))/2,IF((($A50-Simulador!$E$5)/Simulador!$G$5)&gt;1-Simulador!$B$11,Simulador!$B$9*(1-COS(PI()*(1-(($A50-Simulador!$E$5)/Simulador!$G$5))/Simulador!$B$11))/2,Simulador!$B$9)))</f>
        <v/>
      </c>
      <c r="C50" s="46">
        <f>IF(OR((($A50-Simulador!$E$6)/Simulador!$G$6)&lt;=0,(($A50-Simulador!$E$6)/Simulador!$G$6)&gt;=1),0,IF((($A50-Simulador!$E$6)/Simulador!$G$6)&lt;Simulador!$B$11,Simulador!$B$9*(1-COS(PI()*(($A50-Simulador!$E$6)/Simulador!$G$6)/Simulador!$B$11))/2,IF((($A50-Simulador!$E$6)/Simulador!$G$6)&gt;1-Simulador!$B$11,Simulador!$B$9*(1-COS(PI()*(1-(($A50-Simulador!$E$6)/Simulador!$G$6))/Simulador!$B$11))/2,Simulador!$B$9)))</f>
        <v/>
      </c>
      <c r="D50" s="46">
        <f>IF(OR((($A50-Simulador!$E$7)/Simulador!$G$7)&lt;=0,(($A50-Simulador!$E$7)/Simulador!$G$7)&gt;=1),0,IF((($A50-Simulador!$E$7)/Simulador!$G$7)&lt;Simulador!$B$11,Simulador!$B$9*(1-COS(PI()*(($A50-Simulador!$E$7)/Simulador!$G$7)/Simulador!$B$11))/2,IF((($A50-Simulador!$E$7)/Simulador!$G$7)&gt;1-Simulador!$B$11,Simulador!$B$9*(1-COS(PI()*(1-(($A50-Simulador!$E$7)/Simulador!$G$7))/Simulador!$B$11))/2,Simulador!$B$9)))</f>
        <v/>
      </c>
      <c r="E50" s="46">
        <f>IF(OR((($A50-Simulador!$E$8)/Simulador!$G$8)&lt;=0,(($A50-Simulador!$E$8)/Simulador!$G$8)&gt;=1),0,IF((($A50-Simulador!$E$8)/Simulador!$G$8)&lt;Simulador!$B$11,Simulador!$B$10*(1-COS(PI()*(($A50-Simulador!$E$8)/Simulador!$G$8)/Simulador!$B$11))/2,IF((($A50-Simulador!$E$8)/Simulador!$G$8)&gt;1-Simulador!$B$11,Simulador!$B$10*(1-COS(PI()*(1-(($A50-Simulador!$E$8)/Simulador!$G$8))/Simulador!$B$11))/2,Simulador!$B$10)))</f>
        <v/>
      </c>
      <c r="F50" s="46">
        <f>IF(OR((($A50-Simulador!$E$9)/Simulador!$G$9)&lt;=0,(($A50-Simulador!$E$9)/Simulador!$G$9)&gt;=1),0,IF((($A50-Simulador!$E$9)/Simulador!$G$9)&lt;Simulador!$B$11,Simulador!$B$10*(1-COS(PI()*(($A50-Simulador!$E$9)/Simulador!$G$9)/Simulador!$B$11))/2,IF((($A50-Simulador!$E$9)/Simulador!$G$9)&gt;1-Simulador!$B$11,Simulador!$B$10*(1-COS(PI()*(1-(($A50-Simulador!$E$9)/Simulador!$G$9))/Simulador!$B$11))/2,Simulador!$B$10)))</f>
        <v/>
      </c>
      <c r="G50" s="46">
        <f>IF(OR((($A50-Simulador!$E$10)/Simulador!$G$10)&lt;=0,(($A50-Simulador!$E$10)/Simulador!$G$10)&gt;=1),0,IF((($A50-Simulador!$E$10)/Simulador!$G$10)&lt;Simulador!$B$11,Simulador!$B$10*(1-COS(PI()*(($A50-Simulador!$E$10)/Simulador!$G$10)/Simulador!$B$11))/2,IF((($A50-Simulador!$E$10)/Simulador!$G$10)&gt;1-Simulador!$B$11,Simulador!$B$10*(1-COS(PI()*(1-(($A50-Simulador!$E$10)/Simulador!$G$10))/Simulador!$B$11))/2,Simulador!$B$10)))</f>
        <v/>
      </c>
      <c r="Q50" s="48">
        <f>IF(OR((($A50-(Simulador!$E$6+'Salto de dientes'!$B$12))/Simulador!$G$6)&lt;=0,(($A50-(Simulador!$E$6+'Salto de dientes'!$B$12))/Simulador!$G$6)&gt;=1),0,IF((($A50-(Simulador!$E$6+'Salto de dientes'!$B$12))/Simulador!$G$6)&lt;Simulador!$B$11,Simulador!$B$9*(1-COS(PI()*(($A50-(Simulador!$E$6+'Salto de dientes'!$B$12))/Simulador!$G$6)/Simulador!$B$11))/2,IF((($A50-(Simulador!$E$6+'Salto de dientes'!$B$12))/Simulador!$G$6)&gt;1-Simulador!$B$11,Simulador!$B$9*(1-COS(PI()*(1-(($A50-(Simulador!$E$6+'Salto de dientes'!$B$12))/Simulador!$G$6))/Simulador!$B$11))/2,Simulador!$B$9)))</f>
        <v/>
      </c>
      <c r="R50" s="48">
        <f>IF(OR((($A50-(Simulador!$E$9+'Salto de dientes'!$B$12))/Simulador!$G$9)&lt;=0,(($A50-(Simulador!$E$9+'Salto de dientes'!$B$12))/Simulador!$G$9)&gt;=1),0,IF((($A50-(Simulador!$E$9+'Salto de dientes'!$B$12))/Simulador!$G$9)&lt;Simulador!$B$11,Simulador!$B$10*(1-COS(PI()*(($A50-(Simulador!$E$9+'Salto de dientes'!$B$12))/Simulador!$G$9)/Simulador!$B$11))/2,IF((($A50-(Simulador!$E$9+'Salto de dientes'!$B$12))/Simulador!$G$9)&gt;1-Simulador!$B$11,Simulador!$B$10*(1-COS(PI()*(1-(($A50-(Simulador!$E$9+'Salto de dientes'!$B$12))/Simulador!$G$9))/Simulador!$B$11))/2,Simulador!$B$10)))</f>
        <v/>
      </c>
      <c r="W50" t="n">
        <v>-36</v>
      </c>
      <c r="X50" s="48">
        <f>('Levas superpuestas'!$B$5+IF(OR(((W50-('Levas superpuestas'!$B$14-'Levas superpuestas'!$B$8/4))/('Levas superpuestas'!$B$8/2))&lt;=0,((W50-('Levas superpuestas'!$B$14-'Levas superpuestas'!$B$8/4))/('Levas superpuestas'!$B$8/2))&gt;=1),0,IF(((W50-('Levas superpuestas'!$B$14-'Levas superpuestas'!$B$8/4))/('Levas superpuestas'!$B$8/2))&lt;Simulador!$B$11,Simulador!$B$9*(1-COS(PI()*((W50-('Levas superpuestas'!$B$14-'Levas superpuestas'!$B$8/4))/('Levas superpuestas'!$B$8/2))/Simulador!$B$11))/2,IF(((W50-('Levas superpuestas'!$B$14-'Levas superpuestas'!$B$8/4))/('Levas superpuestas'!$B$8/2))&gt;1-Simulador!$B$11,Simulador!$B$9*(1-COS(PI()*(1-((W50-('Levas superpuestas'!$B$14-'Levas superpuestas'!$B$8/4))/('Levas superpuestas'!$B$8/2)))/Simulador!$B$11))/2,Simulador!$B$9))))*SIN(RADIANS(W50))</f>
        <v/>
      </c>
      <c r="Y50" s="48">
        <f>('Levas superpuestas'!$B$5+IF(OR(((W50-('Levas superpuestas'!$B$14-'Levas superpuestas'!$B$8/4))/('Levas superpuestas'!$B$8/2))&lt;=0,((W50-('Levas superpuestas'!$B$14-'Levas superpuestas'!$B$8/4))/('Levas superpuestas'!$B$8/2))&gt;=1),0,IF(((W50-('Levas superpuestas'!$B$14-'Levas superpuestas'!$B$8/4))/('Levas superpuestas'!$B$8/2))&lt;Simulador!$B$11,Simulador!$B$9*(1-COS(PI()*((W50-('Levas superpuestas'!$B$14-'Levas superpuestas'!$B$8/4))/('Levas superpuestas'!$B$8/2))/Simulador!$B$11))/2,IF(((W50-('Levas superpuestas'!$B$14-'Levas superpuestas'!$B$8/4))/('Levas superpuestas'!$B$8/2))&gt;1-Simulador!$B$11,Simulador!$B$9*(1-COS(PI()*(1-((W50-('Levas superpuestas'!$B$14-'Levas superpuestas'!$B$8/4))/('Levas superpuestas'!$B$8/2)))/Simulador!$B$11))/2,Simulador!$B$9))))*COS(RADIANS(W50))</f>
        <v/>
      </c>
      <c r="Z50" s="48">
        <f>('Levas superpuestas'!$B$5+IF(OR(((W50-('Levas superpuestas'!$B$15-'Levas superpuestas'!$B$9/4))/('Levas superpuestas'!$B$9/2))&lt;=0,((W50-('Levas superpuestas'!$B$15-'Levas superpuestas'!$B$9/4))/('Levas superpuestas'!$B$9/2))&gt;=1),0,IF(((W50-('Levas superpuestas'!$B$15-'Levas superpuestas'!$B$9/4))/('Levas superpuestas'!$B$9/2))&lt;Simulador!$B$11,Simulador!$B$10*(1-COS(PI()*((W50-('Levas superpuestas'!$B$15-'Levas superpuestas'!$B$9/4))/('Levas superpuestas'!$B$9/2))/Simulador!$B$11))/2,IF(((W50-('Levas superpuestas'!$B$15-'Levas superpuestas'!$B$9/4))/('Levas superpuestas'!$B$9/2))&gt;1-Simulador!$B$11,Simulador!$B$10*(1-COS(PI()*(1-((W50-('Levas superpuestas'!$B$15-'Levas superpuestas'!$B$9/4))/('Levas superpuestas'!$B$9/2)))/Simulador!$B$11))/2,Simulador!$B$10))))*SIN(RADIANS(W50))</f>
        <v/>
      </c>
      <c r="AA50" s="48">
        <f>('Levas superpuestas'!$B$5+IF(OR(((W50-('Levas superpuestas'!$B$15-'Levas superpuestas'!$B$9/4))/('Levas superpuestas'!$B$9/2))&lt;=0,((W50-('Levas superpuestas'!$B$15-'Levas superpuestas'!$B$9/4))/('Levas superpuestas'!$B$9/2))&gt;=1),0,IF(((W50-('Levas superpuestas'!$B$15-'Levas superpuestas'!$B$9/4))/('Levas superpuestas'!$B$9/2))&lt;Simulador!$B$11,Simulador!$B$10*(1-COS(PI()*((W50-('Levas superpuestas'!$B$15-'Levas superpuestas'!$B$9/4))/('Levas superpuestas'!$B$9/2))/Simulador!$B$11))/2,IF(((W50-('Levas superpuestas'!$B$15-'Levas superpuestas'!$B$9/4))/('Levas superpuestas'!$B$9/2))&gt;1-Simulador!$B$11,Simulador!$B$10*(1-COS(PI()*(1-((W50-('Levas superpuestas'!$B$15-'Levas superpuestas'!$B$9/4))/('Levas superpuestas'!$B$9/2)))/Simulador!$B$11))/2,Simulador!$B$10))))*COS(RADIANS(W50))</f>
        <v/>
      </c>
      <c r="AB50">
        <f>'Levas superpuestas'!$B$5*SIN(RADIANS(W50))</f>
        <v/>
      </c>
      <c r="AC50">
        <f>'Levas superpuestas'!$B$5*COS(RADIANS(W50))</f>
        <v/>
      </c>
    </row>
    <row r="51">
      <c r="A51" s="26">
        <f>A50+Simulador!$B$14</f>
        <v/>
      </c>
      <c r="B51" s="46">
        <f>IF(OR((($A51-Simulador!$E$5)/Simulador!$G$5)&lt;=0,(($A51-Simulador!$E$5)/Simulador!$G$5)&gt;=1),0,IF((($A51-Simulador!$E$5)/Simulador!$G$5)&lt;Simulador!$B$11,Simulador!$B$9*(1-COS(PI()*(($A51-Simulador!$E$5)/Simulador!$G$5)/Simulador!$B$11))/2,IF((($A51-Simulador!$E$5)/Simulador!$G$5)&gt;1-Simulador!$B$11,Simulador!$B$9*(1-COS(PI()*(1-(($A51-Simulador!$E$5)/Simulador!$G$5))/Simulador!$B$11))/2,Simulador!$B$9)))</f>
        <v/>
      </c>
      <c r="C51" s="46">
        <f>IF(OR((($A51-Simulador!$E$6)/Simulador!$G$6)&lt;=0,(($A51-Simulador!$E$6)/Simulador!$G$6)&gt;=1),0,IF((($A51-Simulador!$E$6)/Simulador!$G$6)&lt;Simulador!$B$11,Simulador!$B$9*(1-COS(PI()*(($A51-Simulador!$E$6)/Simulador!$G$6)/Simulador!$B$11))/2,IF((($A51-Simulador!$E$6)/Simulador!$G$6)&gt;1-Simulador!$B$11,Simulador!$B$9*(1-COS(PI()*(1-(($A51-Simulador!$E$6)/Simulador!$G$6))/Simulador!$B$11))/2,Simulador!$B$9)))</f>
        <v/>
      </c>
      <c r="D51" s="46">
        <f>IF(OR((($A51-Simulador!$E$7)/Simulador!$G$7)&lt;=0,(($A51-Simulador!$E$7)/Simulador!$G$7)&gt;=1),0,IF((($A51-Simulador!$E$7)/Simulador!$G$7)&lt;Simulador!$B$11,Simulador!$B$9*(1-COS(PI()*(($A51-Simulador!$E$7)/Simulador!$G$7)/Simulador!$B$11))/2,IF((($A51-Simulador!$E$7)/Simulador!$G$7)&gt;1-Simulador!$B$11,Simulador!$B$9*(1-COS(PI()*(1-(($A51-Simulador!$E$7)/Simulador!$G$7))/Simulador!$B$11))/2,Simulador!$B$9)))</f>
        <v/>
      </c>
      <c r="E51" s="46">
        <f>IF(OR((($A51-Simulador!$E$8)/Simulador!$G$8)&lt;=0,(($A51-Simulador!$E$8)/Simulador!$G$8)&gt;=1),0,IF((($A51-Simulador!$E$8)/Simulador!$G$8)&lt;Simulador!$B$11,Simulador!$B$10*(1-COS(PI()*(($A51-Simulador!$E$8)/Simulador!$G$8)/Simulador!$B$11))/2,IF((($A51-Simulador!$E$8)/Simulador!$G$8)&gt;1-Simulador!$B$11,Simulador!$B$10*(1-COS(PI()*(1-(($A51-Simulador!$E$8)/Simulador!$G$8))/Simulador!$B$11))/2,Simulador!$B$10)))</f>
        <v/>
      </c>
      <c r="F51" s="46">
        <f>IF(OR((($A51-Simulador!$E$9)/Simulador!$G$9)&lt;=0,(($A51-Simulador!$E$9)/Simulador!$G$9)&gt;=1),0,IF((($A51-Simulador!$E$9)/Simulador!$G$9)&lt;Simulador!$B$11,Simulador!$B$10*(1-COS(PI()*(($A51-Simulador!$E$9)/Simulador!$G$9)/Simulador!$B$11))/2,IF((($A51-Simulador!$E$9)/Simulador!$G$9)&gt;1-Simulador!$B$11,Simulador!$B$10*(1-COS(PI()*(1-(($A51-Simulador!$E$9)/Simulador!$G$9))/Simulador!$B$11))/2,Simulador!$B$10)))</f>
        <v/>
      </c>
      <c r="G51" s="46">
        <f>IF(OR((($A51-Simulador!$E$10)/Simulador!$G$10)&lt;=0,(($A51-Simulador!$E$10)/Simulador!$G$10)&gt;=1),0,IF((($A51-Simulador!$E$10)/Simulador!$G$10)&lt;Simulador!$B$11,Simulador!$B$10*(1-COS(PI()*(($A51-Simulador!$E$10)/Simulador!$G$10)/Simulador!$B$11))/2,IF((($A51-Simulador!$E$10)/Simulador!$G$10)&gt;1-Simulador!$B$11,Simulador!$B$10*(1-COS(PI()*(1-(($A51-Simulador!$E$10)/Simulador!$G$10))/Simulador!$B$11))/2,Simulador!$B$10)))</f>
        <v/>
      </c>
      <c r="Q51" s="48">
        <f>IF(OR((($A51-(Simulador!$E$6+'Salto de dientes'!$B$12))/Simulador!$G$6)&lt;=0,(($A51-(Simulador!$E$6+'Salto de dientes'!$B$12))/Simulador!$G$6)&gt;=1),0,IF((($A51-(Simulador!$E$6+'Salto de dientes'!$B$12))/Simulador!$G$6)&lt;Simulador!$B$11,Simulador!$B$9*(1-COS(PI()*(($A51-(Simulador!$E$6+'Salto de dientes'!$B$12))/Simulador!$G$6)/Simulador!$B$11))/2,IF((($A51-(Simulador!$E$6+'Salto de dientes'!$B$12))/Simulador!$G$6)&gt;1-Simulador!$B$11,Simulador!$B$9*(1-COS(PI()*(1-(($A51-(Simulador!$E$6+'Salto de dientes'!$B$12))/Simulador!$G$6))/Simulador!$B$11))/2,Simulador!$B$9)))</f>
        <v/>
      </c>
      <c r="R51" s="48">
        <f>IF(OR((($A51-(Simulador!$E$9+'Salto de dientes'!$B$12))/Simulador!$G$9)&lt;=0,(($A51-(Simulador!$E$9+'Salto de dientes'!$B$12))/Simulador!$G$9)&gt;=1),0,IF((($A51-(Simulador!$E$9+'Salto de dientes'!$B$12))/Simulador!$G$9)&lt;Simulador!$B$11,Simulador!$B$10*(1-COS(PI()*(($A51-(Simulador!$E$9+'Salto de dientes'!$B$12))/Simulador!$G$9)/Simulador!$B$11))/2,IF((($A51-(Simulador!$E$9+'Salto de dientes'!$B$12))/Simulador!$G$9)&gt;1-Simulador!$B$11,Simulador!$B$10*(1-COS(PI()*(1-(($A51-(Simulador!$E$9+'Salto de dientes'!$B$12))/Simulador!$G$9))/Simulador!$B$11))/2,Simulador!$B$10)))</f>
        <v/>
      </c>
      <c r="W51" t="n">
        <v>-33</v>
      </c>
      <c r="X51" s="48">
        <f>('Levas superpuestas'!$B$5+IF(OR(((W51-('Levas superpuestas'!$B$14-'Levas superpuestas'!$B$8/4))/('Levas superpuestas'!$B$8/2))&lt;=0,((W51-('Levas superpuestas'!$B$14-'Levas superpuestas'!$B$8/4))/('Levas superpuestas'!$B$8/2))&gt;=1),0,IF(((W51-('Levas superpuestas'!$B$14-'Levas superpuestas'!$B$8/4))/('Levas superpuestas'!$B$8/2))&lt;Simulador!$B$11,Simulador!$B$9*(1-COS(PI()*((W51-('Levas superpuestas'!$B$14-'Levas superpuestas'!$B$8/4))/('Levas superpuestas'!$B$8/2))/Simulador!$B$11))/2,IF(((W51-('Levas superpuestas'!$B$14-'Levas superpuestas'!$B$8/4))/('Levas superpuestas'!$B$8/2))&gt;1-Simulador!$B$11,Simulador!$B$9*(1-COS(PI()*(1-((W51-('Levas superpuestas'!$B$14-'Levas superpuestas'!$B$8/4))/('Levas superpuestas'!$B$8/2)))/Simulador!$B$11))/2,Simulador!$B$9))))*SIN(RADIANS(W51))</f>
        <v/>
      </c>
      <c r="Y51" s="48">
        <f>('Levas superpuestas'!$B$5+IF(OR(((W51-('Levas superpuestas'!$B$14-'Levas superpuestas'!$B$8/4))/('Levas superpuestas'!$B$8/2))&lt;=0,((W51-('Levas superpuestas'!$B$14-'Levas superpuestas'!$B$8/4))/('Levas superpuestas'!$B$8/2))&gt;=1),0,IF(((W51-('Levas superpuestas'!$B$14-'Levas superpuestas'!$B$8/4))/('Levas superpuestas'!$B$8/2))&lt;Simulador!$B$11,Simulador!$B$9*(1-COS(PI()*((W51-('Levas superpuestas'!$B$14-'Levas superpuestas'!$B$8/4))/('Levas superpuestas'!$B$8/2))/Simulador!$B$11))/2,IF(((W51-('Levas superpuestas'!$B$14-'Levas superpuestas'!$B$8/4))/('Levas superpuestas'!$B$8/2))&gt;1-Simulador!$B$11,Simulador!$B$9*(1-COS(PI()*(1-((W51-('Levas superpuestas'!$B$14-'Levas superpuestas'!$B$8/4))/('Levas superpuestas'!$B$8/2)))/Simulador!$B$11))/2,Simulador!$B$9))))*COS(RADIANS(W51))</f>
        <v/>
      </c>
      <c r="Z51" s="48">
        <f>('Levas superpuestas'!$B$5+IF(OR(((W51-('Levas superpuestas'!$B$15-'Levas superpuestas'!$B$9/4))/('Levas superpuestas'!$B$9/2))&lt;=0,((W51-('Levas superpuestas'!$B$15-'Levas superpuestas'!$B$9/4))/('Levas superpuestas'!$B$9/2))&gt;=1),0,IF(((W51-('Levas superpuestas'!$B$15-'Levas superpuestas'!$B$9/4))/('Levas superpuestas'!$B$9/2))&lt;Simulador!$B$11,Simulador!$B$10*(1-COS(PI()*((W51-('Levas superpuestas'!$B$15-'Levas superpuestas'!$B$9/4))/('Levas superpuestas'!$B$9/2))/Simulador!$B$11))/2,IF(((W51-('Levas superpuestas'!$B$15-'Levas superpuestas'!$B$9/4))/('Levas superpuestas'!$B$9/2))&gt;1-Simulador!$B$11,Simulador!$B$10*(1-COS(PI()*(1-((W51-('Levas superpuestas'!$B$15-'Levas superpuestas'!$B$9/4))/('Levas superpuestas'!$B$9/2)))/Simulador!$B$11))/2,Simulador!$B$10))))*SIN(RADIANS(W51))</f>
        <v/>
      </c>
      <c r="AA51" s="48">
        <f>('Levas superpuestas'!$B$5+IF(OR(((W51-('Levas superpuestas'!$B$15-'Levas superpuestas'!$B$9/4))/('Levas superpuestas'!$B$9/2))&lt;=0,((W51-('Levas superpuestas'!$B$15-'Levas superpuestas'!$B$9/4))/('Levas superpuestas'!$B$9/2))&gt;=1),0,IF(((W51-('Levas superpuestas'!$B$15-'Levas superpuestas'!$B$9/4))/('Levas superpuestas'!$B$9/2))&lt;Simulador!$B$11,Simulador!$B$10*(1-COS(PI()*((W51-('Levas superpuestas'!$B$15-'Levas superpuestas'!$B$9/4))/('Levas superpuestas'!$B$9/2))/Simulador!$B$11))/2,IF(((W51-('Levas superpuestas'!$B$15-'Levas superpuestas'!$B$9/4))/('Levas superpuestas'!$B$9/2))&gt;1-Simulador!$B$11,Simulador!$B$10*(1-COS(PI()*(1-((W51-('Levas superpuestas'!$B$15-'Levas superpuestas'!$B$9/4))/('Levas superpuestas'!$B$9/2)))/Simulador!$B$11))/2,Simulador!$B$10))))*COS(RADIANS(W51))</f>
        <v/>
      </c>
      <c r="AB51">
        <f>'Levas superpuestas'!$B$5*SIN(RADIANS(W51))</f>
        <v/>
      </c>
      <c r="AC51">
        <f>'Levas superpuestas'!$B$5*COS(RADIANS(W51))</f>
        <v/>
      </c>
    </row>
    <row r="52">
      <c r="A52" s="26">
        <f>A51+Simulador!$B$14</f>
        <v/>
      </c>
      <c r="B52" s="46">
        <f>IF(OR((($A52-Simulador!$E$5)/Simulador!$G$5)&lt;=0,(($A52-Simulador!$E$5)/Simulador!$G$5)&gt;=1),0,IF((($A52-Simulador!$E$5)/Simulador!$G$5)&lt;Simulador!$B$11,Simulador!$B$9*(1-COS(PI()*(($A52-Simulador!$E$5)/Simulador!$G$5)/Simulador!$B$11))/2,IF((($A52-Simulador!$E$5)/Simulador!$G$5)&gt;1-Simulador!$B$11,Simulador!$B$9*(1-COS(PI()*(1-(($A52-Simulador!$E$5)/Simulador!$G$5))/Simulador!$B$11))/2,Simulador!$B$9)))</f>
        <v/>
      </c>
      <c r="C52" s="46">
        <f>IF(OR((($A52-Simulador!$E$6)/Simulador!$G$6)&lt;=0,(($A52-Simulador!$E$6)/Simulador!$G$6)&gt;=1),0,IF((($A52-Simulador!$E$6)/Simulador!$G$6)&lt;Simulador!$B$11,Simulador!$B$9*(1-COS(PI()*(($A52-Simulador!$E$6)/Simulador!$G$6)/Simulador!$B$11))/2,IF((($A52-Simulador!$E$6)/Simulador!$G$6)&gt;1-Simulador!$B$11,Simulador!$B$9*(1-COS(PI()*(1-(($A52-Simulador!$E$6)/Simulador!$G$6))/Simulador!$B$11))/2,Simulador!$B$9)))</f>
        <v/>
      </c>
      <c r="D52" s="46">
        <f>IF(OR((($A52-Simulador!$E$7)/Simulador!$G$7)&lt;=0,(($A52-Simulador!$E$7)/Simulador!$G$7)&gt;=1),0,IF((($A52-Simulador!$E$7)/Simulador!$G$7)&lt;Simulador!$B$11,Simulador!$B$9*(1-COS(PI()*(($A52-Simulador!$E$7)/Simulador!$G$7)/Simulador!$B$11))/2,IF((($A52-Simulador!$E$7)/Simulador!$G$7)&gt;1-Simulador!$B$11,Simulador!$B$9*(1-COS(PI()*(1-(($A52-Simulador!$E$7)/Simulador!$G$7))/Simulador!$B$11))/2,Simulador!$B$9)))</f>
        <v/>
      </c>
      <c r="E52" s="46">
        <f>IF(OR((($A52-Simulador!$E$8)/Simulador!$G$8)&lt;=0,(($A52-Simulador!$E$8)/Simulador!$G$8)&gt;=1),0,IF((($A52-Simulador!$E$8)/Simulador!$G$8)&lt;Simulador!$B$11,Simulador!$B$10*(1-COS(PI()*(($A52-Simulador!$E$8)/Simulador!$G$8)/Simulador!$B$11))/2,IF((($A52-Simulador!$E$8)/Simulador!$G$8)&gt;1-Simulador!$B$11,Simulador!$B$10*(1-COS(PI()*(1-(($A52-Simulador!$E$8)/Simulador!$G$8))/Simulador!$B$11))/2,Simulador!$B$10)))</f>
        <v/>
      </c>
      <c r="F52" s="46">
        <f>IF(OR((($A52-Simulador!$E$9)/Simulador!$G$9)&lt;=0,(($A52-Simulador!$E$9)/Simulador!$G$9)&gt;=1),0,IF((($A52-Simulador!$E$9)/Simulador!$G$9)&lt;Simulador!$B$11,Simulador!$B$10*(1-COS(PI()*(($A52-Simulador!$E$9)/Simulador!$G$9)/Simulador!$B$11))/2,IF((($A52-Simulador!$E$9)/Simulador!$G$9)&gt;1-Simulador!$B$11,Simulador!$B$10*(1-COS(PI()*(1-(($A52-Simulador!$E$9)/Simulador!$G$9))/Simulador!$B$11))/2,Simulador!$B$10)))</f>
        <v/>
      </c>
      <c r="G52" s="46">
        <f>IF(OR((($A52-Simulador!$E$10)/Simulador!$G$10)&lt;=0,(($A52-Simulador!$E$10)/Simulador!$G$10)&gt;=1),0,IF((($A52-Simulador!$E$10)/Simulador!$G$10)&lt;Simulador!$B$11,Simulador!$B$10*(1-COS(PI()*(($A52-Simulador!$E$10)/Simulador!$G$10)/Simulador!$B$11))/2,IF((($A52-Simulador!$E$10)/Simulador!$G$10)&gt;1-Simulador!$B$11,Simulador!$B$10*(1-COS(PI()*(1-(($A52-Simulador!$E$10)/Simulador!$G$10))/Simulador!$B$11))/2,Simulador!$B$10)))</f>
        <v/>
      </c>
      <c r="Q52" s="48">
        <f>IF(OR((($A52-(Simulador!$E$6+'Salto de dientes'!$B$12))/Simulador!$G$6)&lt;=0,(($A52-(Simulador!$E$6+'Salto de dientes'!$B$12))/Simulador!$G$6)&gt;=1),0,IF((($A52-(Simulador!$E$6+'Salto de dientes'!$B$12))/Simulador!$G$6)&lt;Simulador!$B$11,Simulador!$B$9*(1-COS(PI()*(($A52-(Simulador!$E$6+'Salto de dientes'!$B$12))/Simulador!$G$6)/Simulador!$B$11))/2,IF((($A52-(Simulador!$E$6+'Salto de dientes'!$B$12))/Simulador!$G$6)&gt;1-Simulador!$B$11,Simulador!$B$9*(1-COS(PI()*(1-(($A52-(Simulador!$E$6+'Salto de dientes'!$B$12))/Simulador!$G$6))/Simulador!$B$11))/2,Simulador!$B$9)))</f>
        <v/>
      </c>
      <c r="R52" s="48">
        <f>IF(OR((($A52-(Simulador!$E$9+'Salto de dientes'!$B$12))/Simulador!$G$9)&lt;=0,(($A52-(Simulador!$E$9+'Salto de dientes'!$B$12))/Simulador!$G$9)&gt;=1),0,IF((($A52-(Simulador!$E$9+'Salto de dientes'!$B$12))/Simulador!$G$9)&lt;Simulador!$B$11,Simulador!$B$10*(1-COS(PI()*(($A52-(Simulador!$E$9+'Salto de dientes'!$B$12))/Simulador!$G$9)/Simulador!$B$11))/2,IF((($A52-(Simulador!$E$9+'Salto de dientes'!$B$12))/Simulador!$G$9)&gt;1-Simulador!$B$11,Simulador!$B$10*(1-COS(PI()*(1-(($A52-(Simulador!$E$9+'Salto de dientes'!$B$12))/Simulador!$G$9))/Simulador!$B$11))/2,Simulador!$B$10)))</f>
        <v/>
      </c>
      <c r="W52" t="n">
        <v>-30</v>
      </c>
      <c r="X52" s="48">
        <f>('Levas superpuestas'!$B$5+IF(OR(((W52-('Levas superpuestas'!$B$14-'Levas superpuestas'!$B$8/4))/('Levas superpuestas'!$B$8/2))&lt;=0,((W52-('Levas superpuestas'!$B$14-'Levas superpuestas'!$B$8/4))/('Levas superpuestas'!$B$8/2))&gt;=1),0,IF(((W52-('Levas superpuestas'!$B$14-'Levas superpuestas'!$B$8/4))/('Levas superpuestas'!$B$8/2))&lt;Simulador!$B$11,Simulador!$B$9*(1-COS(PI()*((W52-('Levas superpuestas'!$B$14-'Levas superpuestas'!$B$8/4))/('Levas superpuestas'!$B$8/2))/Simulador!$B$11))/2,IF(((W52-('Levas superpuestas'!$B$14-'Levas superpuestas'!$B$8/4))/('Levas superpuestas'!$B$8/2))&gt;1-Simulador!$B$11,Simulador!$B$9*(1-COS(PI()*(1-((W52-('Levas superpuestas'!$B$14-'Levas superpuestas'!$B$8/4))/('Levas superpuestas'!$B$8/2)))/Simulador!$B$11))/2,Simulador!$B$9))))*SIN(RADIANS(W52))</f>
        <v/>
      </c>
      <c r="Y52" s="48">
        <f>('Levas superpuestas'!$B$5+IF(OR(((W52-('Levas superpuestas'!$B$14-'Levas superpuestas'!$B$8/4))/('Levas superpuestas'!$B$8/2))&lt;=0,((W52-('Levas superpuestas'!$B$14-'Levas superpuestas'!$B$8/4))/('Levas superpuestas'!$B$8/2))&gt;=1),0,IF(((W52-('Levas superpuestas'!$B$14-'Levas superpuestas'!$B$8/4))/('Levas superpuestas'!$B$8/2))&lt;Simulador!$B$11,Simulador!$B$9*(1-COS(PI()*((W52-('Levas superpuestas'!$B$14-'Levas superpuestas'!$B$8/4))/('Levas superpuestas'!$B$8/2))/Simulador!$B$11))/2,IF(((W52-('Levas superpuestas'!$B$14-'Levas superpuestas'!$B$8/4))/('Levas superpuestas'!$B$8/2))&gt;1-Simulador!$B$11,Simulador!$B$9*(1-COS(PI()*(1-((W52-('Levas superpuestas'!$B$14-'Levas superpuestas'!$B$8/4))/('Levas superpuestas'!$B$8/2)))/Simulador!$B$11))/2,Simulador!$B$9))))*COS(RADIANS(W52))</f>
        <v/>
      </c>
      <c r="Z52" s="48">
        <f>('Levas superpuestas'!$B$5+IF(OR(((W52-('Levas superpuestas'!$B$15-'Levas superpuestas'!$B$9/4))/('Levas superpuestas'!$B$9/2))&lt;=0,((W52-('Levas superpuestas'!$B$15-'Levas superpuestas'!$B$9/4))/('Levas superpuestas'!$B$9/2))&gt;=1),0,IF(((W52-('Levas superpuestas'!$B$15-'Levas superpuestas'!$B$9/4))/('Levas superpuestas'!$B$9/2))&lt;Simulador!$B$11,Simulador!$B$10*(1-COS(PI()*((W52-('Levas superpuestas'!$B$15-'Levas superpuestas'!$B$9/4))/('Levas superpuestas'!$B$9/2))/Simulador!$B$11))/2,IF(((W52-('Levas superpuestas'!$B$15-'Levas superpuestas'!$B$9/4))/('Levas superpuestas'!$B$9/2))&gt;1-Simulador!$B$11,Simulador!$B$10*(1-COS(PI()*(1-((W52-('Levas superpuestas'!$B$15-'Levas superpuestas'!$B$9/4))/('Levas superpuestas'!$B$9/2)))/Simulador!$B$11))/2,Simulador!$B$10))))*SIN(RADIANS(W52))</f>
        <v/>
      </c>
      <c r="AA52" s="48">
        <f>('Levas superpuestas'!$B$5+IF(OR(((W52-('Levas superpuestas'!$B$15-'Levas superpuestas'!$B$9/4))/('Levas superpuestas'!$B$9/2))&lt;=0,((W52-('Levas superpuestas'!$B$15-'Levas superpuestas'!$B$9/4))/('Levas superpuestas'!$B$9/2))&gt;=1),0,IF(((W52-('Levas superpuestas'!$B$15-'Levas superpuestas'!$B$9/4))/('Levas superpuestas'!$B$9/2))&lt;Simulador!$B$11,Simulador!$B$10*(1-COS(PI()*((W52-('Levas superpuestas'!$B$15-'Levas superpuestas'!$B$9/4))/('Levas superpuestas'!$B$9/2))/Simulador!$B$11))/2,IF(((W52-('Levas superpuestas'!$B$15-'Levas superpuestas'!$B$9/4))/('Levas superpuestas'!$B$9/2))&gt;1-Simulador!$B$11,Simulador!$B$10*(1-COS(PI()*(1-((W52-('Levas superpuestas'!$B$15-'Levas superpuestas'!$B$9/4))/('Levas superpuestas'!$B$9/2)))/Simulador!$B$11))/2,Simulador!$B$10))))*COS(RADIANS(W52))</f>
        <v/>
      </c>
      <c r="AB52">
        <f>'Levas superpuestas'!$B$5*SIN(RADIANS(W52))</f>
        <v/>
      </c>
      <c r="AC52">
        <f>'Levas superpuestas'!$B$5*COS(RADIANS(W52))</f>
        <v/>
      </c>
    </row>
    <row r="53">
      <c r="A53" s="26">
        <f>A52+Simulador!$B$14</f>
        <v/>
      </c>
      <c r="B53" s="46">
        <f>IF(OR((($A53-Simulador!$E$5)/Simulador!$G$5)&lt;=0,(($A53-Simulador!$E$5)/Simulador!$G$5)&gt;=1),0,IF((($A53-Simulador!$E$5)/Simulador!$G$5)&lt;Simulador!$B$11,Simulador!$B$9*(1-COS(PI()*(($A53-Simulador!$E$5)/Simulador!$G$5)/Simulador!$B$11))/2,IF((($A53-Simulador!$E$5)/Simulador!$G$5)&gt;1-Simulador!$B$11,Simulador!$B$9*(1-COS(PI()*(1-(($A53-Simulador!$E$5)/Simulador!$G$5))/Simulador!$B$11))/2,Simulador!$B$9)))</f>
        <v/>
      </c>
      <c r="C53" s="46">
        <f>IF(OR((($A53-Simulador!$E$6)/Simulador!$G$6)&lt;=0,(($A53-Simulador!$E$6)/Simulador!$G$6)&gt;=1),0,IF((($A53-Simulador!$E$6)/Simulador!$G$6)&lt;Simulador!$B$11,Simulador!$B$9*(1-COS(PI()*(($A53-Simulador!$E$6)/Simulador!$G$6)/Simulador!$B$11))/2,IF((($A53-Simulador!$E$6)/Simulador!$G$6)&gt;1-Simulador!$B$11,Simulador!$B$9*(1-COS(PI()*(1-(($A53-Simulador!$E$6)/Simulador!$G$6))/Simulador!$B$11))/2,Simulador!$B$9)))</f>
        <v/>
      </c>
      <c r="D53" s="46">
        <f>IF(OR((($A53-Simulador!$E$7)/Simulador!$G$7)&lt;=0,(($A53-Simulador!$E$7)/Simulador!$G$7)&gt;=1),0,IF((($A53-Simulador!$E$7)/Simulador!$G$7)&lt;Simulador!$B$11,Simulador!$B$9*(1-COS(PI()*(($A53-Simulador!$E$7)/Simulador!$G$7)/Simulador!$B$11))/2,IF((($A53-Simulador!$E$7)/Simulador!$G$7)&gt;1-Simulador!$B$11,Simulador!$B$9*(1-COS(PI()*(1-(($A53-Simulador!$E$7)/Simulador!$G$7))/Simulador!$B$11))/2,Simulador!$B$9)))</f>
        <v/>
      </c>
      <c r="E53" s="46">
        <f>IF(OR((($A53-Simulador!$E$8)/Simulador!$G$8)&lt;=0,(($A53-Simulador!$E$8)/Simulador!$G$8)&gt;=1),0,IF((($A53-Simulador!$E$8)/Simulador!$G$8)&lt;Simulador!$B$11,Simulador!$B$10*(1-COS(PI()*(($A53-Simulador!$E$8)/Simulador!$G$8)/Simulador!$B$11))/2,IF((($A53-Simulador!$E$8)/Simulador!$G$8)&gt;1-Simulador!$B$11,Simulador!$B$10*(1-COS(PI()*(1-(($A53-Simulador!$E$8)/Simulador!$G$8))/Simulador!$B$11))/2,Simulador!$B$10)))</f>
        <v/>
      </c>
      <c r="F53" s="46">
        <f>IF(OR((($A53-Simulador!$E$9)/Simulador!$G$9)&lt;=0,(($A53-Simulador!$E$9)/Simulador!$G$9)&gt;=1),0,IF((($A53-Simulador!$E$9)/Simulador!$G$9)&lt;Simulador!$B$11,Simulador!$B$10*(1-COS(PI()*(($A53-Simulador!$E$9)/Simulador!$G$9)/Simulador!$B$11))/2,IF((($A53-Simulador!$E$9)/Simulador!$G$9)&gt;1-Simulador!$B$11,Simulador!$B$10*(1-COS(PI()*(1-(($A53-Simulador!$E$9)/Simulador!$G$9))/Simulador!$B$11))/2,Simulador!$B$10)))</f>
        <v/>
      </c>
      <c r="G53" s="46">
        <f>IF(OR((($A53-Simulador!$E$10)/Simulador!$G$10)&lt;=0,(($A53-Simulador!$E$10)/Simulador!$G$10)&gt;=1),0,IF((($A53-Simulador!$E$10)/Simulador!$G$10)&lt;Simulador!$B$11,Simulador!$B$10*(1-COS(PI()*(($A53-Simulador!$E$10)/Simulador!$G$10)/Simulador!$B$11))/2,IF((($A53-Simulador!$E$10)/Simulador!$G$10)&gt;1-Simulador!$B$11,Simulador!$B$10*(1-COS(PI()*(1-(($A53-Simulador!$E$10)/Simulador!$G$10))/Simulador!$B$11))/2,Simulador!$B$10)))</f>
        <v/>
      </c>
      <c r="Q53" s="48">
        <f>IF(OR((($A53-(Simulador!$E$6+'Salto de dientes'!$B$12))/Simulador!$G$6)&lt;=0,(($A53-(Simulador!$E$6+'Salto de dientes'!$B$12))/Simulador!$G$6)&gt;=1),0,IF((($A53-(Simulador!$E$6+'Salto de dientes'!$B$12))/Simulador!$G$6)&lt;Simulador!$B$11,Simulador!$B$9*(1-COS(PI()*(($A53-(Simulador!$E$6+'Salto de dientes'!$B$12))/Simulador!$G$6)/Simulador!$B$11))/2,IF((($A53-(Simulador!$E$6+'Salto de dientes'!$B$12))/Simulador!$G$6)&gt;1-Simulador!$B$11,Simulador!$B$9*(1-COS(PI()*(1-(($A53-(Simulador!$E$6+'Salto de dientes'!$B$12))/Simulador!$G$6))/Simulador!$B$11))/2,Simulador!$B$9)))</f>
        <v/>
      </c>
      <c r="R53" s="48">
        <f>IF(OR((($A53-(Simulador!$E$9+'Salto de dientes'!$B$12))/Simulador!$G$9)&lt;=0,(($A53-(Simulador!$E$9+'Salto de dientes'!$B$12))/Simulador!$G$9)&gt;=1),0,IF((($A53-(Simulador!$E$9+'Salto de dientes'!$B$12))/Simulador!$G$9)&lt;Simulador!$B$11,Simulador!$B$10*(1-COS(PI()*(($A53-(Simulador!$E$9+'Salto de dientes'!$B$12))/Simulador!$G$9)/Simulador!$B$11))/2,IF((($A53-(Simulador!$E$9+'Salto de dientes'!$B$12))/Simulador!$G$9)&gt;1-Simulador!$B$11,Simulador!$B$10*(1-COS(PI()*(1-(($A53-(Simulador!$E$9+'Salto de dientes'!$B$12))/Simulador!$G$9))/Simulador!$B$11))/2,Simulador!$B$10)))</f>
        <v/>
      </c>
      <c r="W53" t="n">
        <v>-27</v>
      </c>
      <c r="X53" s="48">
        <f>('Levas superpuestas'!$B$5+IF(OR(((W53-('Levas superpuestas'!$B$14-'Levas superpuestas'!$B$8/4))/('Levas superpuestas'!$B$8/2))&lt;=0,((W53-('Levas superpuestas'!$B$14-'Levas superpuestas'!$B$8/4))/('Levas superpuestas'!$B$8/2))&gt;=1),0,IF(((W53-('Levas superpuestas'!$B$14-'Levas superpuestas'!$B$8/4))/('Levas superpuestas'!$B$8/2))&lt;Simulador!$B$11,Simulador!$B$9*(1-COS(PI()*((W53-('Levas superpuestas'!$B$14-'Levas superpuestas'!$B$8/4))/('Levas superpuestas'!$B$8/2))/Simulador!$B$11))/2,IF(((W53-('Levas superpuestas'!$B$14-'Levas superpuestas'!$B$8/4))/('Levas superpuestas'!$B$8/2))&gt;1-Simulador!$B$11,Simulador!$B$9*(1-COS(PI()*(1-((W53-('Levas superpuestas'!$B$14-'Levas superpuestas'!$B$8/4))/('Levas superpuestas'!$B$8/2)))/Simulador!$B$11))/2,Simulador!$B$9))))*SIN(RADIANS(W53))</f>
        <v/>
      </c>
      <c r="Y53" s="48">
        <f>('Levas superpuestas'!$B$5+IF(OR(((W53-('Levas superpuestas'!$B$14-'Levas superpuestas'!$B$8/4))/('Levas superpuestas'!$B$8/2))&lt;=0,((W53-('Levas superpuestas'!$B$14-'Levas superpuestas'!$B$8/4))/('Levas superpuestas'!$B$8/2))&gt;=1),0,IF(((W53-('Levas superpuestas'!$B$14-'Levas superpuestas'!$B$8/4))/('Levas superpuestas'!$B$8/2))&lt;Simulador!$B$11,Simulador!$B$9*(1-COS(PI()*((W53-('Levas superpuestas'!$B$14-'Levas superpuestas'!$B$8/4))/('Levas superpuestas'!$B$8/2))/Simulador!$B$11))/2,IF(((W53-('Levas superpuestas'!$B$14-'Levas superpuestas'!$B$8/4))/('Levas superpuestas'!$B$8/2))&gt;1-Simulador!$B$11,Simulador!$B$9*(1-COS(PI()*(1-((W53-('Levas superpuestas'!$B$14-'Levas superpuestas'!$B$8/4))/('Levas superpuestas'!$B$8/2)))/Simulador!$B$11))/2,Simulador!$B$9))))*COS(RADIANS(W53))</f>
        <v/>
      </c>
      <c r="Z53" s="48">
        <f>('Levas superpuestas'!$B$5+IF(OR(((W53-('Levas superpuestas'!$B$15-'Levas superpuestas'!$B$9/4))/('Levas superpuestas'!$B$9/2))&lt;=0,((W53-('Levas superpuestas'!$B$15-'Levas superpuestas'!$B$9/4))/('Levas superpuestas'!$B$9/2))&gt;=1),0,IF(((W53-('Levas superpuestas'!$B$15-'Levas superpuestas'!$B$9/4))/('Levas superpuestas'!$B$9/2))&lt;Simulador!$B$11,Simulador!$B$10*(1-COS(PI()*((W53-('Levas superpuestas'!$B$15-'Levas superpuestas'!$B$9/4))/('Levas superpuestas'!$B$9/2))/Simulador!$B$11))/2,IF(((W53-('Levas superpuestas'!$B$15-'Levas superpuestas'!$B$9/4))/('Levas superpuestas'!$B$9/2))&gt;1-Simulador!$B$11,Simulador!$B$10*(1-COS(PI()*(1-((W53-('Levas superpuestas'!$B$15-'Levas superpuestas'!$B$9/4))/('Levas superpuestas'!$B$9/2)))/Simulador!$B$11))/2,Simulador!$B$10))))*SIN(RADIANS(W53))</f>
        <v/>
      </c>
      <c r="AA53" s="48">
        <f>('Levas superpuestas'!$B$5+IF(OR(((W53-('Levas superpuestas'!$B$15-'Levas superpuestas'!$B$9/4))/('Levas superpuestas'!$B$9/2))&lt;=0,((W53-('Levas superpuestas'!$B$15-'Levas superpuestas'!$B$9/4))/('Levas superpuestas'!$B$9/2))&gt;=1),0,IF(((W53-('Levas superpuestas'!$B$15-'Levas superpuestas'!$B$9/4))/('Levas superpuestas'!$B$9/2))&lt;Simulador!$B$11,Simulador!$B$10*(1-COS(PI()*((W53-('Levas superpuestas'!$B$15-'Levas superpuestas'!$B$9/4))/('Levas superpuestas'!$B$9/2))/Simulador!$B$11))/2,IF(((W53-('Levas superpuestas'!$B$15-'Levas superpuestas'!$B$9/4))/('Levas superpuestas'!$B$9/2))&gt;1-Simulador!$B$11,Simulador!$B$10*(1-COS(PI()*(1-((W53-('Levas superpuestas'!$B$15-'Levas superpuestas'!$B$9/4))/('Levas superpuestas'!$B$9/2)))/Simulador!$B$11))/2,Simulador!$B$10))))*COS(RADIANS(W53))</f>
        <v/>
      </c>
      <c r="AB53">
        <f>'Levas superpuestas'!$B$5*SIN(RADIANS(W53))</f>
        <v/>
      </c>
      <c r="AC53">
        <f>'Levas superpuestas'!$B$5*COS(RADIANS(W53))</f>
        <v/>
      </c>
    </row>
    <row r="54">
      <c r="A54" s="26">
        <f>A53+Simulador!$B$14</f>
        <v/>
      </c>
      <c r="B54" s="46">
        <f>IF(OR((($A54-Simulador!$E$5)/Simulador!$G$5)&lt;=0,(($A54-Simulador!$E$5)/Simulador!$G$5)&gt;=1),0,IF((($A54-Simulador!$E$5)/Simulador!$G$5)&lt;Simulador!$B$11,Simulador!$B$9*(1-COS(PI()*(($A54-Simulador!$E$5)/Simulador!$G$5)/Simulador!$B$11))/2,IF((($A54-Simulador!$E$5)/Simulador!$G$5)&gt;1-Simulador!$B$11,Simulador!$B$9*(1-COS(PI()*(1-(($A54-Simulador!$E$5)/Simulador!$G$5))/Simulador!$B$11))/2,Simulador!$B$9)))</f>
        <v/>
      </c>
      <c r="C54" s="46">
        <f>IF(OR((($A54-Simulador!$E$6)/Simulador!$G$6)&lt;=0,(($A54-Simulador!$E$6)/Simulador!$G$6)&gt;=1),0,IF((($A54-Simulador!$E$6)/Simulador!$G$6)&lt;Simulador!$B$11,Simulador!$B$9*(1-COS(PI()*(($A54-Simulador!$E$6)/Simulador!$G$6)/Simulador!$B$11))/2,IF((($A54-Simulador!$E$6)/Simulador!$G$6)&gt;1-Simulador!$B$11,Simulador!$B$9*(1-COS(PI()*(1-(($A54-Simulador!$E$6)/Simulador!$G$6))/Simulador!$B$11))/2,Simulador!$B$9)))</f>
        <v/>
      </c>
      <c r="D54" s="46">
        <f>IF(OR((($A54-Simulador!$E$7)/Simulador!$G$7)&lt;=0,(($A54-Simulador!$E$7)/Simulador!$G$7)&gt;=1),0,IF((($A54-Simulador!$E$7)/Simulador!$G$7)&lt;Simulador!$B$11,Simulador!$B$9*(1-COS(PI()*(($A54-Simulador!$E$7)/Simulador!$G$7)/Simulador!$B$11))/2,IF((($A54-Simulador!$E$7)/Simulador!$G$7)&gt;1-Simulador!$B$11,Simulador!$B$9*(1-COS(PI()*(1-(($A54-Simulador!$E$7)/Simulador!$G$7))/Simulador!$B$11))/2,Simulador!$B$9)))</f>
        <v/>
      </c>
      <c r="E54" s="46">
        <f>IF(OR((($A54-Simulador!$E$8)/Simulador!$G$8)&lt;=0,(($A54-Simulador!$E$8)/Simulador!$G$8)&gt;=1),0,IF((($A54-Simulador!$E$8)/Simulador!$G$8)&lt;Simulador!$B$11,Simulador!$B$10*(1-COS(PI()*(($A54-Simulador!$E$8)/Simulador!$G$8)/Simulador!$B$11))/2,IF((($A54-Simulador!$E$8)/Simulador!$G$8)&gt;1-Simulador!$B$11,Simulador!$B$10*(1-COS(PI()*(1-(($A54-Simulador!$E$8)/Simulador!$G$8))/Simulador!$B$11))/2,Simulador!$B$10)))</f>
        <v/>
      </c>
      <c r="F54" s="46">
        <f>IF(OR((($A54-Simulador!$E$9)/Simulador!$G$9)&lt;=0,(($A54-Simulador!$E$9)/Simulador!$G$9)&gt;=1),0,IF((($A54-Simulador!$E$9)/Simulador!$G$9)&lt;Simulador!$B$11,Simulador!$B$10*(1-COS(PI()*(($A54-Simulador!$E$9)/Simulador!$G$9)/Simulador!$B$11))/2,IF((($A54-Simulador!$E$9)/Simulador!$G$9)&gt;1-Simulador!$B$11,Simulador!$B$10*(1-COS(PI()*(1-(($A54-Simulador!$E$9)/Simulador!$G$9))/Simulador!$B$11))/2,Simulador!$B$10)))</f>
        <v/>
      </c>
      <c r="G54" s="46">
        <f>IF(OR((($A54-Simulador!$E$10)/Simulador!$G$10)&lt;=0,(($A54-Simulador!$E$10)/Simulador!$G$10)&gt;=1),0,IF((($A54-Simulador!$E$10)/Simulador!$G$10)&lt;Simulador!$B$11,Simulador!$B$10*(1-COS(PI()*(($A54-Simulador!$E$10)/Simulador!$G$10)/Simulador!$B$11))/2,IF((($A54-Simulador!$E$10)/Simulador!$G$10)&gt;1-Simulador!$B$11,Simulador!$B$10*(1-COS(PI()*(1-(($A54-Simulador!$E$10)/Simulador!$G$10))/Simulador!$B$11))/2,Simulador!$B$10)))</f>
        <v/>
      </c>
      <c r="Q54" s="48">
        <f>IF(OR((($A54-(Simulador!$E$6+'Salto de dientes'!$B$12))/Simulador!$G$6)&lt;=0,(($A54-(Simulador!$E$6+'Salto de dientes'!$B$12))/Simulador!$G$6)&gt;=1),0,IF((($A54-(Simulador!$E$6+'Salto de dientes'!$B$12))/Simulador!$G$6)&lt;Simulador!$B$11,Simulador!$B$9*(1-COS(PI()*(($A54-(Simulador!$E$6+'Salto de dientes'!$B$12))/Simulador!$G$6)/Simulador!$B$11))/2,IF((($A54-(Simulador!$E$6+'Salto de dientes'!$B$12))/Simulador!$G$6)&gt;1-Simulador!$B$11,Simulador!$B$9*(1-COS(PI()*(1-(($A54-(Simulador!$E$6+'Salto de dientes'!$B$12))/Simulador!$G$6))/Simulador!$B$11))/2,Simulador!$B$9)))</f>
        <v/>
      </c>
      <c r="R54" s="48">
        <f>IF(OR((($A54-(Simulador!$E$9+'Salto de dientes'!$B$12))/Simulador!$G$9)&lt;=0,(($A54-(Simulador!$E$9+'Salto de dientes'!$B$12))/Simulador!$G$9)&gt;=1),0,IF((($A54-(Simulador!$E$9+'Salto de dientes'!$B$12))/Simulador!$G$9)&lt;Simulador!$B$11,Simulador!$B$10*(1-COS(PI()*(($A54-(Simulador!$E$9+'Salto de dientes'!$B$12))/Simulador!$G$9)/Simulador!$B$11))/2,IF((($A54-(Simulador!$E$9+'Salto de dientes'!$B$12))/Simulador!$G$9)&gt;1-Simulador!$B$11,Simulador!$B$10*(1-COS(PI()*(1-(($A54-(Simulador!$E$9+'Salto de dientes'!$B$12))/Simulador!$G$9))/Simulador!$B$11))/2,Simulador!$B$10)))</f>
        <v/>
      </c>
      <c r="W54" t="n">
        <v>-24</v>
      </c>
      <c r="X54" s="48">
        <f>('Levas superpuestas'!$B$5+IF(OR(((W54-('Levas superpuestas'!$B$14-'Levas superpuestas'!$B$8/4))/('Levas superpuestas'!$B$8/2))&lt;=0,((W54-('Levas superpuestas'!$B$14-'Levas superpuestas'!$B$8/4))/('Levas superpuestas'!$B$8/2))&gt;=1),0,IF(((W54-('Levas superpuestas'!$B$14-'Levas superpuestas'!$B$8/4))/('Levas superpuestas'!$B$8/2))&lt;Simulador!$B$11,Simulador!$B$9*(1-COS(PI()*((W54-('Levas superpuestas'!$B$14-'Levas superpuestas'!$B$8/4))/('Levas superpuestas'!$B$8/2))/Simulador!$B$11))/2,IF(((W54-('Levas superpuestas'!$B$14-'Levas superpuestas'!$B$8/4))/('Levas superpuestas'!$B$8/2))&gt;1-Simulador!$B$11,Simulador!$B$9*(1-COS(PI()*(1-((W54-('Levas superpuestas'!$B$14-'Levas superpuestas'!$B$8/4))/('Levas superpuestas'!$B$8/2)))/Simulador!$B$11))/2,Simulador!$B$9))))*SIN(RADIANS(W54))</f>
        <v/>
      </c>
      <c r="Y54" s="48">
        <f>('Levas superpuestas'!$B$5+IF(OR(((W54-('Levas superpuestas'!$B$14-'Levas superpuestas'!$B$8/4))/('Levas superpuestas'!$B$8/2))&lt;=0,((W54-('Levas superpuestas'!$B$14-'Levas superpuestas'!$B$8/4))/('Levas superpuestas'!$B$8/2))&gt;=1),0,IF(((W54-('Levas superpuestas'!$B$14-'Levas superpuestas'!$B$8/4))/('Levas superpuestas'!$B$8/2))&lt;Simulador!$B$11,Simulador!$B$9*(1-COS(PI()*((W54-('Levas superpuestas'!$B$14-'Levas superpuestas'!$B$8/4))/('Levas superpuestas'!$B$8/2))/Simulador!$B$11))/2,IF(((W54-('Levas superpuestas'!$B$14-'Levas superpuestas'!$B$8/4))/('Levas superpuestas'!$B$8/2))&gt;1-Simulador!$B$11,Simulador!$B$9*(1-COS(PI()*(1-((W54-('Levas superpuestas'!$B$14-'Levas superpuestas'!$B$8/4))/('Levas superpuestas'!$B$8/2)))/Simulador!$B$11))/2,Simulador!$B$9))))*COS(RADIANS(W54))</f>
        <v/>
      </c>
      <c r="Z54" s="48">
        <f>('Levas superpuestas'!$B$5+IF(OR(((W54-('Levas superpuestas'!$B$15-'Levas superpuestas'!$B$9/4))/('Levas superpuestas'!$B$9/2))&lt;=0,((W54-('Levas superpuestas'!$B$15-'Levas superpuestas'!$B$9/4))/('Levas superpuestas'!$B$9/2))&gt;=1),0,IF(((W54-('Levas superpuestas'!$B$15-'Levas superpuestas'!$B$9/4))/('Levas superpuestas'!$B$9/2))&lt;Simulador!$B$11,Simulador!$B$10*(1-COS(PI()*((W54-('Levas superpuestas'!$B$15-'Levas superpuestas'!$B$9/4))/('Levas superpuestas'!$B$9/2))/Simulador!$B$11))/2,IF(((W54-('Levas superpuestas'!$B$15-'Levas superpuestas'!$B$9/4))/('Levas superpuestas'!$B$9/2))&gt;1-Simulador!$B$11,Simulador!$B$10*(1-COS(PI()*(1-((W54-('Levas superpuestas'!$B$15-'Levas superpuestas'!$B$9/4))/('Levas superpuestas'!$B$9/2)))/Simulador!$B$11))/2,Simulador!$B$10))))*SIN(RADIANS(W54))</f>
        <v/>
      </c>
      <c r="AA54" s="48">
        <f>('Levas superpuestas'!$B$5+IF(OR(((W54-('Levas superpuestas'!$B$15-'Levas superpuestas'!$B$9/4))/('Levas superpuestas'!$B$9/2))&lt;=0,((W54-('Levas superpuestas'!$B$15-'Levas superpuestas'!$B$9/4))/('Levas superpuestas'!$B$9/2))&gt;=1),0,IF(((W54-('Levas superpuestas'!$B$15-'Levas superpuestas'!$B$9/4))/('Levas superpuestas'!$B$9/2))&lt;Simulador!$B$11,Simulador!$B$10*(1-COS(PI()*((W54-('Levas superpuestas'!$B$15-'Levas superpuestas'!$B$9/4))/('Levas superpuestas'!$B$9/2))/Simulador!$B$11))/2,IF(((W54-('Levas superpuestas'!$B$15-'Levas superpuestas'!$B$9/4))/('Levas superpuestas'!$B$9/2))&gt;1-Simulador!$B$11,Simulador!$B$10*(1-COS(PI()*(1-((W54-('Levas superpuestas'!$B$15-'Levas superpuestas'!$B$9/4))/('Levas superpuestas'!$B$9/2)))/Simulador!$B$11))/2,Simulador!$B$10))))*COS(RADIANS(W54))</f>
        <v/>
      </c>
      <c r="AB54">
        <f>'Levas superpuestas'!$B$5*SIN(RADIANS(W54))</f>
        <v/>
      </c>
      <c r="AC54">
        <f>'Levas superpuestas'!$B$5*COS(RADIANS(W54))</f>
        <v/>
      </c>
    </row>
    <row r="55">
      <c r="A55" s="26">
        <f>A54+Simulador!$B$14</f>
        <v/>
      </c>
      <c r="B55" s="46">
        <f>IF(OR((($A55-Simulador!$E$5)/Simulador!$G$5)&lt;=0,(($A55-Simulador!$E$5)/Simulador!$G$5)&gt;=1),0,IF((($A55-Simulador!$E$5)/Simulador!$G$5)&lt;Simulador!$B$11,Simulador!$B$9*(1-COS(PI()*(($A55-Simulador!$E$5)/Simulador!$G$5)/Simulador!$B$11))/2,IF((($A55-Simulador!$E$5)/Simulador!$G$5)&gt;1-Simulador!$B$11,Simulador!$B$9*(1-COS(PI()*(1-(($A55-Simulador!$E$5)/Simulador!$G$5))/Simulador!$B$11))/2,Simulador!$B$9)))</f>
        <v/>
      </c>
      <c r="C55" s="46">
        <f>IF(OR((($A55-Simulador!$E$6)/Simulador!$G$6)&lt;=0,(($A55-Simulador!$E$6)/Simulador!$G$6)&gt;=1),0,IF((($A55-Simulador!$E$6)/Simulador!$G$6)&lt;Simulador!$B$11,Simulador!$B$9*(1-COS(PI()*(($A55-Simulador!$E$6)/Simulador!$G$6)/Simulador!$B$11))/2,IF((($A55-Simulador!$E$6)/Simulador!$G$6)&gt;1-Simulador!$B$11,Simulador!$B$9*(1-COS(PI()*(1-(($A55-Simulador!$E$6)/Simulador!$G$6))/Simulador!$B$11))/2,Simulador!$B$9)))</f>
        <v/>
      </c>
      <c r="D55" s="46">
        <f>IF(OR((($A55-Simulador!$E$7)/Simulador!$G$7)&lt;=0,(($A55-Simulador!$E$7)/Simulador!$G$7)&gt;=1),0,IF((($A55-Simulador!$E$7)/Simulador!$G$7)&lt;Simulador!$B$11,Simulador!$B$9*(1-COS(PI()*(($A55-Simulador!$E$7)/Simulador!$G$7)/Simulador!$B$11))/2,IF((($A55-Simulador!$E$7)/Simulador!$G$7)&gt;1-Simulador!$B$11,Simulador!$B$9*(1-COS(PI()*(1-(($A55-Simulador!$E$7)/Simulador!$G$7))/Simulador!$B$11))/2,Simulador!$B$9)))</f>
        <v/>
      </c>
      <c r="E55" s="46">
        <f>IF(OR((($A55-Simulador!$E$8)/Simulador!$G$8)&lt;=0,(($A55-Simulador!$E$8)/Simulador!$G$8)&gt;=1),0,IF((($A55-Simulador!$E$8)/Simulador!$G$8)&lt;Simulador!$B$11,Simulador!$B$10*(1-COS(PI()*(($A55-Simulador!$E$8)/Simulador!$G$8)/Simulador!$B$11))/2,IF((($A55-Simulador!$E$8)/Simulador!$G$8)&gt;1-Simulador!$B$11,Simulador!$B$10*(1-COS(PI()*(1-(($A55-Simulador!$E$8)/Simulador!$G$8))/Simulador!$B$11))/2,Simulador!$B$10)))</f>
        <v/>
      </c>
      <c r="F55" s="46">
        <f>IF(OR((($A55-Simulador!$E$9)/Simulador!$G$9)&lt;=0,(($A55-Simulador!$E$9)/Simulador!$G$9)&gt;=1),0,IF((($A55-Simulador!$E$9)/Simulador!$G$9)&lt;Simulador!$B$11,Simulador!$B$10*(1-COS(PI()*(($A55-Simulador!$E$9)/Simulador!$G$9)/Simulador!$B$11))/2,IF((($A55-Simulador!$E$9)/Simulador!$G$9)&gt;1-Simulador!$B$11,Simulador!$B$10*(1-COS(PI()*(1-(($A55-Simulador!$E$9)/Simulador!$G$9))/Simulador!$B$11))/2,Simulador!$B$10)))</f>
        <v/>
      </c>
      <c r="G55" s="46">
        <f>IF(OR((($A55-Simulador!$E$10)/Simulador!$G$10)&lt;=0,(($A55-Simulador!$E$10)/Simulador!$G$10)&gt;=1),0,IF((($A55-Simulador!$E$10)/Simulador!$G$10)&lt;Simulador!$B$11,Simulador!$B$10*(1-COS(PI()*(($A55-Simulador!$E$10)/Simulador!$G$10)/Simulador!$B$11))/2,IF((($A55-Simulador!$E$10)/Simulador!$G$10)&gt;1-Simulador!$B$11,Simulador!$B$10*(1-COS(PI()*(1-(($A55-Simulador!$E$10)/Simulador!$G$10))/Simulador!$B$11))/2,Simulador!$B$10)))</f>
        <v/>
      </c>
      <c r="Q55" s="48">
        <f>IF(OR((($A55-(Simulador!$E$6+'Salto de dientes'!$B$12))/Simulador!$G$6)&lt;=0,(($A55-(Simulador!$E$6+'Salto de dientes'!$B$12))/Simulador!$G$6)&gt;=1),0,IF((($A55-(Simulador!$E$6+'Salto de dientes'!$B$12))/Simulador!$G$6)&lt;Simulador!$B$11,Simulador!$B$9*(1-COS(PI()*(($A55-(Simulador!$E$6+'Salto de dientes'!$B$12))/Simulador!$G$6)/Simulador!$B$11))/2,IF((($A55-(Simulador!$E$6+'Salto de dientes'!$B$12))/Simulador!$G$6)&gt;1-Simulador!$B$11,Simulador!$B$9*(1-COS(PI()*(1-(($A55-(Simulador!$E$6+'Salto de dientes'!$B$12))/Simulador!$G$6))/Simulador!$B$11))/2,Simulador!$B$9)))</f>
        <v/>
      </c>
      <c r="R55" s="48">
        <f>IF(OR((($A55-(Simulador!$E$9+'Salto de dientes'!$B$12))/Simulador!$G$9)&lt;=0,(($A55-(Simulador!$E$9+'Salto de dientes'!$B$12))/Simulador!$G$9)&gt;=1),0,IF((($A55-(Simulador!$E$9+'Salto de dientes'!$B$12))/Simulador!$G$9)&lt;Simulador!$B$11,Simulador!$B$10*(1-COS(PI()*(($A55-(Simulador!$E$9+'Salto de dientes'!$B$12))/Simulador!$G$9)/Simulador!$B$11))/2,IF((($A55-(Simulador!$E$9+'Salto de dientes'!$B$12))/Simulador!$G$9)&gt;1-Simulador!$B$11,Simulador!$B$10*(1-COS(PI()*(1-(($A55-(Simulador!$E$9+'Salto de dientes'!$B$12))/Simulador!$G$9))/Simulador!$B$11))/2,Simulador!$B$10)))</f>
        <v/>
      </c>
      <c r="W55" t="n">
        <v>-21</v>
      </c>
      <c r="X55" s="48">
        <f>('Levas superpuestas'!$B$5+IF(OR(((W55-('Levas superpuestas'!$B$14-'Levas superpuestas'!$B$8/4))/('Levas superpuestas'!$B$8/2))&lt;=0,((W55-('Levas superpuestas'!$B$14-'Levas superpuestas'!$B$8/4))/('Levas superpuestas'!$B$8/2))&gt;=1),0,IF(((W55-('Levas superpuestas'!$B$14-'Levas superpuestas'!$B$8/4))/('Levas superpuestas'!$B$8/2))&lt;Simulador!$B$11,Simulador!$B$9*(1-COS(PI()*((W55-('Levas superpuestas'!$B$14-'Levas superpuestas'!$B$8/4))/('Levas superpuestas'!$B$8/2))/Simulador!$B$11))/2,IF(((W55-('Levas superpuestas'!$B$14-'Levas superpuestas'!$B$8/4))/('Levas superpuestas'!$B$8/2))&gt;1-Simulador!$B$11,Simulador!$B$9*(1-COS(PI()*(1-((W55-('Levas superpuestas'!$B$14-'Levas superpuestas'!$B$8/4))/('Levas superpuestas'!$B$8/2)))/Simulador!$B$11))/2,Simulador!$B$9))))*SIN(RADIANS(W55))</f>
        <v/>
      </c>
      <c r="Y55" s="48">
        <f>('Levas superpuestas'!$B$5+IF(OR(((W55-('Levas superpuestas'!$B$14-'Levas superpuestas'!$B$8/4))/('Levas superpuestas'!$B$8/2))&lt;=0,((W55-('Levas superpuestas'!$B$14-'Levas superpuestas'!$B$8/4))/('Levas superpuestas'!$B$8/2))&gt;=1),0,IF(((W55-('Levas superpuestas'!$B$14-'Levas superpuestas'!$B$8/4))/('Levas superpuestas'!$B$8/2))&lt;Simulador!$B$11,Simulador!$B$9*(1-COS(PI()*((W55-('Levas superpuestas'!$B$14-'Levas superpuestas'!$B$8/4))/('Levas superpuestas'!$B$8/2))/Simulador!$B$11))/2,IF(((W55-('Levas superpuestas'!$B$14-'Levas superpuestas'!$B$8/4))/('Levas superpuestas'!$B$8/2))&gt;1-Simulador!$B$11,Simulador!$B$9*(1-COS(PI()*(1-((W55-('Levas superpuestas'!$B$14-'Levas superpuestas'!$B$8/4))/('Levas superpuestas'!$B$8/2)))/Simulador!$B$11))/2,Simulador!$B$9))))*COS(RADIANS(W55))</f>
        <v/>
      </c>
      <c r="Z55" s="48">
        <f>('Levas superpuestas'!$B$5+IF(OR(((W55-('Levas superpuestas'!$B$15-'Levas superpuestas'!$B$9/4))/('Levas superpuestas'!$B$9/2))&lt;=0,((W55-('Levas superpuestas'!$B$15-'Levas superpuestas'!$B$9/4))/('Levas superpuestas'!$B$9/2))&gt;=1),0,IF(((W55-('Levas superpuestas'!$B$15-'Levas superpuestas'!$B$9/4))/('Levas superpuestas'!$B$9/2))&lt;Simulador!$B$11,Simulador!$B$10*(1-COS(PI()*((W55-('Levas superpuestas'!$B$15-'Levas superpuestas'!$B$9/4))/('Levas superpuestas'!$B$9/2))/Simulador!$B$11))/2,IF(((W55-('Levas superpuestas'!$B$15-'Levas superpuestas'!$B$9/4))/('Levas superpuestas'!$B$9/2))&gt;1-Simulador!$B$11,Simulador!$B$10*(1-COS(PI()*(1-((W55-('Levas superpuestas'!$B$15-'Levas superpuestas'!$B$9/4))/('Levas superpuestas'!$B$9/2)))/Simulador!$B$11))/2,Simulador!$B$10))))*SIN(RADIANS(W55))</f>
        <v/>
      </c>
      <c r="AA55" s="48">
        <f>('Levas superpuestas'!$B$5+IF(OR(((W55-('Levas superpuestas'!$B$15-'Levas superpuestas'!$B$9/4))/('Levas superpuestas'!$B$9/2))&lt;=0,((W55-('Levas superpuestas'!$B$15-'Levas superpuestas'!$B$9/4))/('Levas superpuestas'!$B$9/2))&gt;=1),0,IF(((W55-('Levas superpuestas'!$B$15-'Levas superpuestas'!$B$9/4))/('Levas superpuestas'!$B$9/2))&lt;Simulador!$B$11,Simulador!$B$10*(1-COS(PI()*((W55-('Levas superpuestas'!$B$15-'Levas superpuestas'!$B$9/4))/('Levas superpuestas'!$B$9/2))/Simulador!$B$11))/2,IF(((W55-('Levas superpuestas'!$B$15-'Levas superpuestas'!$B$9/4))/('Levas superpuestas'!$B$9/2))&gt;1-Simulador!$B$11,Simulador!$B$10*(1-COS(PI()*(1-((W55-('Levas superpuestas'!$B$15-'Levas superpuestas'!$B$9/4))/('Levas superpuestas'!$B$9/2)))/Simulador!$B$11))/2,Simulador!$B$10))))*COS(RADIANS(W55))</f>
        <v/>
      </c>
      <c r="AB55">
        <f>'Levas superpuestas'!$B$5*SIN(RADIANS(W55))</f>
        <v/>
      </c>
      <c r="AC55">
        <f>'Levas superpuestas'!$B$5*COS(RADIANS(W55))</f>
        <v/>
      </c>
    </row>
    <row r="56">
      <c r="A56" s="26">
        <f>A55+Simulador!$B$14</f>
        <v/>
      </c>
      <c r="B56" s="46">
        <f>IF(OR((($A56-Simulador!$E$5)/Simulador!$G$5)&lt;=0,(($A56-Simulador!$E$5)/Simulador!$G$5)&gt;=1),0,IF((($A56-Simulador!$E$5)/Simulador!$G$5)&lt;Simulador!$B$11,Simulador!$B$9*(1-COS(PI()*(($A56-Simulador!$E$5)/Simulador!$G$5)/Simulador!$B$11))/2,IF((($A56-Simulador!$E$5)/Simulador!$G$5)&gt;1-Simulador!$B$11,Simulador!$B$9*(1-COS(PI()*(1-(($A56-Simulador!$E$5)/Simulador!$G$5))/Simulador!$B$11))/2,Simulador!$B$9)))</f>
        <v/>
      </c>
      <c r="C56" s="46">
        <f>IF(OR((($A56-Simulador!$E$6)/Simulador!$G$6)&lt;=0,(($A56-Simulador!$E$6)/Simulador!$G$6)&gt;=1),0,IF((($A56-Simulador!$E$6)/Simulador!$G$6)&lt;Simulador!$B$11,Simulador!$B$9*(1-COS(PI()*(($A56-Simulador!$E$6)/Simulador!$G$6)/Simulador!$B$11))/2,IF((($A56-Simulador!$E$6)/Simulador!$G$6)&gt;1-Simulador!$B$11,Simulador!$B$9*(1-COS(PI()*(1-(($A56-Simulador!$E$6)/Simulador!$G$6))/Simulador!$B$11))/2,Simulador!$B$9)))</f>
        <v/>
      </c>
      <c r="D56" s="46">
        <f>IF(OR((($A56-Simulador!$E$7)/Simulador!$G$7)&lt;=0,(($A56-Simulador!$E$7)/Simulador!$G$7)&gt;=1),0,IF((($A56-Simulador!$E$7)/Simulador!$G$7)&lt;Simulador!$B$11,Simulador!$B$9*(1-COS(PI()*(($A56-Simulador!$E$7)/Simulador!$G$7)/Simulador!$B$11))/2,IF((($A56-Simulador!$E$7)/Simulador!$G$7)&gt;1-Simulador!$B$11,Simulador!$B$9*(1-COS(PI()*(1-(($A56-Simulador!$E$7)/Simulador!$G$7))/Simulador!$B$11))/2,Simulador!$B$9)))</f>
        <v/>
      </c>
      <c r="E56" s="46">
        <f>IF(OR((($A56-Simulador!$E$8)/Simulador!$G$8)&lt;=0,(($A56-Simulador!$E$8)/Simulador!$G$8)&gt;=1),0,IF((($A56-Simulador!$E$8)/Simulador!$G$8)&lt;Simulador!$B$11,Simulador!$B$10*(1-COS(PI()*(($A56-Simulador!$E$8)/Simulador!$G$8)/Simulador!$B$11))/2,IF((($A56-Simulador!$E$8)/Simulador!$G$8)&gt;1-Simulador!$B$11,Simulador!$B$10*(1-COS(PI()*(1-(($A56-Simulador!$E$8)/Simulador!$G$8))/Simulador!$B$11))/2,Simulador!$B$10)))</f>
        <v/>
      </c>
      <c r="F56" s="46">
        <f>IF(OR((($A56-Simulador!$E$9)/Simulador!$G$9)&lt;=0,(($A56-Simulador!$E$9)/Simulador!$G$9)&gt;=1),0,IF((($A56-Simulador!$E$9)/Simulador!$G$9)&lt;Simulador!$B$11,Simulador!$B$10*(1-COS(PI()*(($A56-Simulador!$E$9)/Simulador!$G$9)/Simulador!$B$11))/2,IF((($A56-Simulador!$E$9)/Simulador!$G$9)&gt;1-Simulador!$B$11,Simulador!$B$10*(1-COS(PI()*(1-(($A56-Simulador!$E$9)/Simulador!$G$9))/Simulador!$B$11))/2,Simulador!$B$10)))</f>
        <v/>
      </c>
      <c r="G56" s="46">
        <f>IF(OR((($A56-Simulador!$E$10)/Simulador!$G$10)&lt;=0,(($A56-Simulador!$E$10)/Simulador!$G$10)&gt;=1),0,IF((($A56-Simulador!$E$10)/Simulador!$G$10)&lt;Simulador!$B$11,Simulador!$B$10*(1-COS(PI()*(($A56-Simulador!$E$10)/Simulador!$G$10)/Simulador!$B$11))/2,IF((($A56-Simulador!$E$10)/Simulador!$G$10)&gt;1-Simulador!$B$11,Simulador!$B$10*(1-COS(PI()*(1-(($A56-Simulador!$E$10)/Simulador!$G$10))/Simulador!$B$11))/2,Simulador!$B$10)))</f>
        <v/>
      </c>
      <c r="Q56" s="48">
        <f>IF(OR((($A56-(Simulador!$E$6+'Salto de dientes'!$B$12))/Simulador!$G$6)&lt;=0,(($A56-(Simulador!$E$6+'Salto de dientes'!$B$12))/Simulador!$G$6)&gt;=1),0,IF((($A56-(Simulador!$E$6+'Salto de dientes'!$B$12))/Simulador!$G$6)&lt;Simulador!$B$11,Simulador!$B$9*(1-COS(PI()*(($A56-(Simulador!$E$6+'Salto de dientes'!$B$12))/Simulador!$G$6)/Simulador!$B$11))/2,IF((($A56-(Simulador!$E$6+'Salto de dientes'!$B$12))/Simulador!$G$6)&gt;1-Simulador!$B$11,Simulador!$B$9*(1-COS(PI()*(1-(($A56-(Simulador!$E$6+'Salto de dientes'!$B$12))/Simulador!$G$6))/Simulador!$B$11))/2,Simulador!$B$9)))</f>
        <v/>
      </c>
      <c r="R56" s="48">
        <f>IF(OR((($A56-(Simulador!$E$9+'Salto de dientes'!$B$12))/Simulador!$G$9)&lt;=0,(($A56-(Simulador!$E$9+'Salto de dientes'!$B$12))/Simulador!$G$9)&gt;=1),0,IF((($A56-(Simulador!$E$9+'Salto de dientes'!$B$12))/Simulador!$G$9)&lt;Simulador!$B$11,Simulador!$B$10*(1-COS(PI()*(($A56-(Simulador!$E$9+'Salto de dientes'!$B$12))/Simulador!$G$9)/Simulador!$B$11))/2,IF((($A56-(Simulador!$E$9+'Salto de dientes'!$B$12))/Simulador!$G$9)&gt;1-Simulador!$B$11,Simulador!$B$10*(1-COS(PI()*(1-(($A56-(Simulador!$E$9+'Salto de dientes'!$B$12))/Simulador!$G$9))/Simulador!$B$11))/2,Simulador!$B$10)))</f>
        <v/>
      </c>
      <c r="W56" t="n">
        <v>-18</v>
      </c>
      <c r="X56" s="48">
        <f>('Levas superpuestas'!$B$5+IF(OR(((W56-('Levas superpuestas'!$B$14-'Levas superpuestas'!$B$8/4))/('Levas superpuestas'!$B$8/2))&lt;=0,((W56-('Levas superpuestas'!$B$14-'Levas superpuestas'!$B$8/4))/('Levas superpuestas'!$B$8/2))&gt;=1),0,IF(((W56-('Levas superpuestas'!$B$14-'Levas superpuestas'!$B$8/4))/('Levas superpuestas'!$B$8/2))&lt;Simulador!$B$11,Simulador!$B$9*(1-COS(PI()*((W56-('Levas superpuestas'!$B$14-'Levas superpuestas'!$B$8/4))/('Levas superpuestas'!$B$8/2))/Simulador!$B$11))/2,IF(((W56-('Levas superpuestas'!$B$14-'Levas superpuestas'!$B$8/4))/('Levas superpuestas'!$B$8/2))&gt;1-Simulador!$B$11,Simulador!$B$9*(1-COS(PI()*(1-((W56-('Levas superpuestas'!$B$14-'Levas superpuestas'!$B$8/4))/('Levas superpuestas'!$B$8/2)))/Simulador!$B$11))/2,Simulador!$B$9))))*SIN(RADIANS(W56))</f>
        <v/>
      </c>
      <c r="Y56" s="48">
        <f>('Levas superpuestas'!$B$5+IF(OR(((W56-('Levas superpuestas'!$B$14-'Levas superpuestas'!$B$8/4))/('Levas superpuestas'!$B$8/2))&lt;=0,((W56-('Levas superpuestas'!$B$14-'Levas superpuestas'!$B$8/4))/('Levas superpuestas'!$B$8/2))&gt;=1),0,IF(((W56-('Levas superpuestas'!$B$14-'Levas superpuestas'!$B$8/4))/('Levas superpuestas'!$B$8/2))&lt;Simulador!$B$11,Simulador!$B$9*(1-COS(PI()*((W56-('Levas superpuestas'!$B$14-'Levas superpuestas'!$B$8/4))/('Levas superpuestas'!$B$8/2))/Simulador!$B$11))/2,IF(((W56-('Levas superpuestas'!$B$14-'Levas superpuestas'!$B$8/4))/('Levas superpuestas'!$B$8/2))&gt;1-Simulador!$B$11,Simulador!$B$9*(1-COS(PI()*(1-((W56-('Levas superpuestas'!$B$14-'Levas superpuestas'!$B$8/4))/('Levas superpuestas'!$B$8/2)))/Simulador!$B$11))/2,Simulador!$B$9))))*COS(RADIANS(W56))</f>
        <v/>
      </c>
      <c r="Z56" s="48">
        <f>('Levas superpuestas'!$B$5+IF(OR(((W56-('Levas superpuestas'!$B$15-'Levas superpuestas'!$B$9/4))/('Levas superpuestas'!$B$9/2))&lt;=0,((W56-('Levas superpuestas'!$B$15-'Levas superpuestas'!$B$9/4))/('Levas superpuestas'!$B$9/2))&gt;=1),0,IF(((W56-('Levas superpuestas'!$B$15-'Levas superpuestas'!$B$9/4))/('Levas superpuestas'!$B$9/2))&lt;Simulador!$B$11,Simulador!$B$10*(1-COS(PI()*((W56-('Levas superpuestas'!$B$15-'Levas superpuestas'!$B$9/4))/('Levas superpuestas'!$B$9/2))/Simulador!$B$11))/2,IF(((W56-('Levas superpuestas'!$B$15-'Levas superpuestas'!$B$9/4))/('Levas superpuestas'!$B$9/2))&gt;1-Simulador!$B$11,Simulador!$B$10*(1-COS(PI()*(1-((W56-('Levas superpuestas'!$B$15-'Levas superpuestas'!$B$9/4))/('Levas superpuestas'!$B$9/2)))/Simulador!$B$11))/2,Simulador!$B$10))))*SIN(RADIANS(W56))</f>
        <v/>
      </c>
      <c r="AA56" s="48">
        <f>('Levas superpuestas'!$B$5+IF(OR(((W56-('Levas superpuestas'!$B$15-'Levas superpuestas'!$B$9/4))/('Levas superpuestas'!$B$9/2))&lt;=0,((W56-('Levas superpuestas'!$B$15-'Levas superpuestas'!$B$9/4))/('Levas superpuestas'!$B$9/2))&gt;=1),0,IF(((W56-('Levas superpuestas'!$B$15-'Levas superpuestas'!$B$9/4))/('Levas superpuestas'!$B$9/2))&lt;Simulador!$B$11,Simulador!$B$10*(1-COS(PI()*((W56-('Levas superpuestas'!$B$15-'Levas superpuestas'!$B$9/4))/('Levas superpuestas'!$B$9/2))/Simulador!$B$11))/2,IF(((W56-('Levas superpuestas'!$B$15-'Levas superpuestas'!$B$9/4))/('Levas superpuestas'!$B$9/2))&gt;1-Simulador!$B$11,Simulador!$B$10*(1-COS(PI()*(1-((W56-('Levas superpuestas'!$B$15-'Levas superpuestas'!$B$9/4))/('Levas superpuestas'!$B$9/2)))/Simulador!$B$11))/2,Simulador!$B$10))))*COS(RADIANS(W56))</f>
        <v/>
      </c>
      <c r="AB56">
        <f>'Levas superpuestas'!$B$5*SIN(RADIANS(W56))</f>
        <v/>
      </c>
      <c r="AC56">
        <f>'Levas superpuestas'!$B$5*COS(RADIANS(W56))</f>
        <v/>
      </c>
    </row>
    <row r="57">
      <c r="A57" s="26">
        <f>A56+Simulador!$B$14</f>
        <v/>
      </c>
      <c r="B57" s="46">
        <f>IF(OR((($A57-Simulador!$E$5)/Simulador!$G$5)&lt;=0,(($A57-Simulador!$E$5)/Simulador!$G$5)&gt;=1),0,IF((($A57-Simulador!$E$5)/Simulador!$G$5)&lt;Simulador!$B$11,Simulador!$B$9*(1-COS(PI()*(($A57-Simulador!$E$5)/Simulador!$G$5)/Simulador!$B$11))/2,IF((($A57-Simulador!$E$5)/Simulador!$G$5)&gt;1-Simulador!$B$11,Simulador!$B$9*(1-COS(PI()*(1-(($A57-Simulador!$E$5)/Simulador!$G$5))/Simulador!$B$11))/2,Simulador!$B$9)))</f>
        <v/>
      </c>
      <c r="C57" s="46">
        <f>IF(OR((($A57-Simulador!$E$6)/Simulador!$G$6)&lt;=0,(($A57-Simulador!$E$6)/Simulador!$G$6)&gt;=1),0,IF((($A57-Simulador!$E$6)/Simulador!$G$6)&lt;Simulador!$B$11,Simulador!$B$9*(1-COS(PI()*(($A57-Simulador!$E$6)/Simulador!$G$6)/Simulador!$B$11))/2,IF((($A57-Simulador!$E$6)/Simulador!$G$6)&gt;1-Simulador!$B$11,Simulador!$B$9*(1-COS(PI()*(1-(($A57-Simulador!$E$6)/Simulador!$G$6))/Simulador!$B$11))/2,Simulador!$B$9)))</f>
        <v/>
      </c>
      <c r="D57" s="46">
        <f>IF(OR((($A57-Simulador!$E$7)/Simulador!$G$7)&lt;=0,(($A57-Simulador!$E$7)/Simulador!$G$7)&gt;=1),0,IF((($A57-Simulador!$E$7)/Simulador!$G$7)&lt;Simulador!$B$11,Simulador!$B$9*(1-COS(PI()*(($A57-Simulador!$E$7)/Simulador!$G$7)/Simulador!$B$11))/2,IF((($A57-Simulador!$E$7)/Simulador!$G$7)&gt;1-Simulador!$B$11,Simulador!$B$9*(1-COS(PI()*(1-(($A57-Simulador!$E$7)/Simulador!$G$7))/Simulador!$B$11))/2,Simulador!$B$9)))</f>
        <v/>
      </c>
      <c r="E57" s="46">
        <f>IF(OR((($A57-Simulador!$E$8)/Simulador!$G$8)&lt;=0,(($A57-Simulador!$E$8)/Simulador!$G$8)&gt;=1),0,IF((($A57-Simulador!$E$8)/Simulador!$G$8)&lt;Simulador!$B$11,Simulador!$B$10*(1-COS(PI()*(($A57-Simulador!$E$8)/Simulador!$G$8)/Simulador!$B$11))/2,IF((($A57-Simulador!$E$8)/Simulador!$G$8)&gt;1-Simulador!$B$11,Simulador!$B$10*(1-COS(PI()*(1-(($A57-Simulador!$E$8)/Simulador!$G$8))/Simulador!$B$11))/2,Simulador!$B$10)))</f>
        <v/>
      </c>
      <c r="F57" s="46">
        <f>IF(OR((($A57-Simulador!$E$9)/Simulador!$G$9)&lt;=0,(($A57-Simulador!$E$9)/Simulador!$G$9)&gt;=1),0,IF((($A57-Simulador!$E$9)/Simulador!$G$9)&lt;Simulador!$B$11,Simulador!$B$10*(1-COS(PI()*(($A57-Simulador!$E$9)/Simulador!$G$9)/Simulador!$B$11))/2,IF((($A57-Simulador!$E$9)/Simulador!$G$9)&gt;1-Simulador!$B$11,Simulador!$B$10*(1-COS(PI()*(1-(($A57-Simulador!$E$9)/Simulador!$G$9))/Simulador!$B$11))/2,Simulador!$B$10)))</f>
        <v/>
      </c>
      <c r="G57" s="46">
        <f>IF(OR((($A57-Simulador!$E$10)/Simulador!$G$10)&lt;=0,(($A57-Simulador!$E$10)/Simulador!$G$10)&gt;=1),0,IF((($A57-Simulador!$E$10)/Simulador!$G$10)&lt;Simulador!$B$11,Simulador!$B$10*(1-COS(PI()*(($A57-Simulador!$E$10)/Simulador!$G$10)/Simulador!$B$11))/2,IF((($A57-Simulador!$E$10)/Simulador!$G$10)&gt;1-Simulador!$B$11,Simulador!$B$10*(1-COS(PI()*(1-(($A57-Simulador!$E$10)/Simulador!$G$10))/Simulador!$B$11))/2,Simulador!$B$10)))</f>
        <v/>
      </c>
      <c r="Q57" s="48">
        <f>IF(OR((($A57-(Simulador!$E$6+'Salto de dientes'!$B$12))/Simulador!$G$6)&lt;=0,(($A57-(Simulador!$E$6+'Salto de dientes'!$B$12))/Simulador!$G$6)&gt;=1),0,IF((($A57-(Simulador!$E$6+'Salto de dientes'!$B$12))/Simulador!$G$6)&lt;Simulador!$B$11,Simulador!$B$9*(1-COS(PI()*(($A57-(Simulador!$E$6+'Salto de dientes'!$B$12))/Simulador!$G$6)/Simulador!$B$11))/2,IF((($A57-(Simulador!$E$6+'Salto de dientes'!$B$12))/Simulador!$G$6)&gt;1-Simulador!$B$11,Simulador!$B$9*(1-COS(PI()*(1-(($A57-(Simulador!$E$6+'Salto de dientes'!$B$12))/Simulador!$G$6))/Simulador!$B$11))/2,Simulador!$B$9)))</f>
        <v/>
      </c>
      <c r="R57" s="48">
        <f>IF(OR((($A57-(Simulador!$E$9+'Salto de dientes'!$B$12))/Simulador!$G$9)&lt;=0,(($A57-(Simulador!$E$9+'Salto de dientes'!$B$12))/Simulador!$G$9)&gt;=1),0,IF((($A57-(Simulador!$E$9+'Salto de dientes'!$B$12))/Simulador!$G$9)&lt;Simulador!$B$11,Simulador!$B$10*(1-COS(PI()*(($A57-(Simulador!$E$9+'Salto de dientes'!$B$12))/Simulador!$G$9)/Simulador!$B$11))/2,IF((($A57-(Simulador!$E$9+'Salto de dientes'!$B$12))/Simulador!$G$9)&gt;1-Simulador!$B$11,Simulador!$B$10*(1-COS(PI()*(1-(($A57-(Simulador!$E$9+'Salto de dientes'!$B$12))/Simulador!$G$9))/Simulador!$B$11))/2,Simulador!$B$10)))</f>
        <v/>
      </c>
      <c r="W57" t="n">
        <v>-15</v>
      </c>
      <c r="X57" s="48">
        <f>('Levas superpuestas'!$B$5+IF(OR(((W57-('Levas superpuestas'!$B$14-'Levas superpuestas'!$B$8/4))/('Levas superpuestas'!$B$8/2))&lt;=0,((W57-('Levas superpuestas'!$B$14-'Levas superpuestas'!$B$8/4))/('Levas superpuestas'!$B$8/2))&gt;=1),0,IF(((W57-('Levas superpuestas'!$B$14-'Levas superpuestas'!$B$8/4))/('Levas superpuestas'!$B$8/2))&lt;Simulador!$B$11,Simulador!$B$9*(1-COS(PI()*((W57-('Levas superpuestas'!$B$14-'Levas superpuestas'!$B$8/4))/('Levas superpuestas'!$B$8/2))/Simulador!$B$11))/2,IF(((W57-('Levas superpuestas'!$B$14-'Levas superpuestas'!$B$8/4))/('Levas superpuestas'!$B$8/2))&gt;1-Simulador!$B$11,Simulador!$B$9*(1-COS(PI()*(1-((W57-('Levas superpuestas'!$B$14-'Levas superpuestas'!$B$8/4))/('Levas superpuestas'!$B$8/2)))/Simulador!$B$11))/2,Simulador!$B$9))))*SIN(RADIANS(W57))</f>
        <v/>
      </c>
      <c r="Y57" s="48">
        <f>('Levas superpuestas'!$B$5+IF(OR(((W57-('Levas superpuestas'!$B$14-'Levas superpuestas'!$B$8/4))/('Levas superpuestas'!$B$8/2))&lt;=0,((W57-('Levas superpuestas'!$B$14-'Levas superpuestas'!$B$8/4))/('Levas superpuestas'!$B$8/2))&gt;=1),0,IF(((W57-('Levas superpuestas'!$B$14-'Levas superpuestas'!$B$8/4))/('Levas superpuestas'!$B$8/2))&lt;Simulador!$B$11,Simulador!$B$9*(1-COS(PI()*((W57-('Levas superpuestas'!$B$14-'Levas superpuestas'!$B$8/4))/('Levas superpuestas'!$B$8/2))/Simulador!$B$11))/2,IF(((W57-('Levas superpuestas'!$B$14-'Levas superpuestas'!$B$8/4))/('Levas superpuestas'!$B$8/2))&gt;1-Simulador!$B$11,Simulador!$B$9*(1-COS(PI()*(1-((W57-('Levas superpuestas'!$B$14-'Levas superpuestas'!$B$8/4))/('Levas superpuestas'!$B$8/2)))/Simulador!$B$11))/2,Simulador!$B$9))))*COS(RADIANS(W57))</f>
        <v/>
      </c>
      <c r="Z57" s="48">
        <f>('Levas superpuestas'!$B$5+IF(OR(((W57-('Levas superpuestas'!$B$15-'Levas superpuestas'!$B$9/4))/('Levas superpuestas'!$B$9/2))&lt;=0,((W57-('Levas superpuestas'!$B$15-'Levas superpuestas'!$B$9/4))/('Levas superpuestas'!$B$9/2))&gt;=1),0,IF(((W57-('Levas superpuestas'!$B$15-'Levas superpuestas'!$B$9/4))/('Levas superpuestas'!$B$9/2))&lt;Simulador!$B$11,Simulador!$B$10*(1-COS(PI()*((W57-('Levas superpuestas'!$B$15-'Levas superpuestas'!$B$9/4))/('Levas superpuestas'!$B$9/2))/Simulador!$B$11))/2,IF(((W57-('Levas superpuestas'!$B$15-'Levas superpuestas'!$B$9/4))/('Levas superpuestas'!$B$9/2))&gt;1-Simulador!$B$11,Simulador!$B$10*(1-COS(PI()*(1-((W57-('Levas superpuestas'!$B$15-'Levas superpuestas'!$B$9/4))/('Levas superpuestas'!$B$9/2)))/Simulador!$B$11))/2,Simulador!$B$10))))*SIN(RADIANS(W57))</f>
        <v/>
      </c>
      <c r="AA57" s="48">
        <f>('Levas superpuestas'!$B$5+IF(OR(((W57-('Levas superpuestas'!$B$15-'Levas superpuestas'!$B$9/4))/('Levas superpuestas'!$B$9/2))&lt;=0,((W57-('Levas superpuestas'!$B$15-'Levas superpuestas'!$B$9/4))/('Levas superpuestas'!$B$9/2))&gt;=1),0,IF(((W57-('Levas superpuestas'!$B$15-'Levas superpuestas'!$B$9/4))/('Levas superpuestas'!$B$9/2))&lt;Simulador!$B$11,Simulador!$B$10*(1-COS(PI()*((W57-('Levas superpuestas'!$B$15-'Levas superpuestas'!$B$9/4))/('Levas superpuestas'!$B$9/2))/Simulador!$B$11))/2,IF(((W57-('Levas superpuestas'!$B$15-'Levas superpuestas'!$B$9/4))/('Levas superpuestas'!$B$9/2))&gt;1-Simulador!$B$11,Simulador!$B$10*(1-COS(PI()*(1-((W57-('Levas superpuestas'!$B$15-'Levas superpuestas'!$B$9/4))/('Levas superpuestas'!$B$9/2)))/Simulador!$B$11))/2,Simulador!$B$10))))*COS(RADIANS(W57))</f>
        <v/>
      </c>
      <c r="AB57">
        <f>'Levas superpuestas'!$B$5*SIN(RADIANS(W57))</f>
        <v/>
      </c>
      <c r="AC57">
        <f>'Levas superpuestas'!$B$5*COS(RADIANS(W57))</f>
        <v/>
      </c>
    </row>
    <row r="58">
      <c r="A58" s="26">
        <f>A57+Simulador!$B$14</f>
        <v/>
      </c>
      <c r="B58" s="46">
        <f>IF(OR((($A58-Simulador!$E$5)/Simulador!$G$5)&lt;=0,(($A58-Simulador!$E$5)/Simulador!$G$5)&gt;=1),0,IF((($A58-Simulador!$E$5)/Simulador!$G$5)&lt;Simulador!$B$11,Simulador!$B$9*(1-COS(PI()*(($A58-Simulador!$E$5)/Simulador!$G$5)/Simulador!$B$11))/2,IF((($A58-Simulador!$E$5)/Simulador!$G$5)&gt;1-Simulador!$B$11,Simulador!$B$9*(1-COS(PI()*(1-(($A58-Simulador!$E$5)/Simulador!$G$5))/Simulador!$B$11))/2,Simulador!$B$9)))</f>
        <v/>
      </c>
      <c r="C58" s="46">
        <f>IF(OR((($A58-Simulador!$E$6)/Simulador!$G$6)&lt;=0,(($A58-Simulador!$E$6)/Simulador!$G$6)&gt;=1),0,IF((($A58-Simulador!$E$6)/Simulador!$G$6)&lt;Simulador!$B$11,Simulador!$B$9*(1-COS(PI()*(($A58-Simulador!$E$6)/Simulador!$G$6)/Simulador!$B$11))/2,IF((($A58-Simulador!$E$6)/Simulador!$G$6)&gt;1-Simulador!$B$11,Simulador!$B$9*(1-COS(PI()*(1-(($A58-Simulador!$E$6)/Simulador!$G$6))/Simulador!$B$11))/2,Simulador!$B$9)))</f>
        <v/>
      </c>
      <c r="D58" s="46">
        <f>IF(OR((($A58-Simulador!$E$7)/Simulador!$G$7)&lt;=0,(($A58-Simulador!$E$7)/Simulador!$G$7)&gt;=1),0,IF((($A58-Simulador!$E$7)/Simulador!$G$7)&lt;Simulador!$B$11,Simulador!$B$9*(1-COS(PI()*(($A58-Simulador!$E$7)/Simulador!$G$7)/Simulador!$B$11))/2,IF((($A58-Simulador!$E$7)/Simulador!$G$7)&gt;1-Simulador!$B$11,Simulador!$B$9*(1-COS(PI()*(1-(($A58-Simulador!$E$7)/Simulador!$G$7))/Simulador!$B$11))/2,Simulador!$B$9)))</f>
        <v/>
      </c>
      <c r="E58" s="46">
        <f>IF(OR((($A58-Simulador!$E$8)/Simulador!$G$8)&lt;=0,(($A58-Simulador!$E$8)/Simulador!$G$8)&gt;=1),0,IF((($A58-Simulador!$E$8)/Simulador!$G$8)&lt;Simulador!$B$11,Simulador!$B$10*(1-COS(PI()*(($A58-Simulador!$E$8)/Simulador!$G$8)/Simulador!$B$11))/2,IF((($A58-Simulador!$E$8)/Simulador!$G$8)&gt;1-Simulador!$B$11,Simulador!$B$10*(1-COS(PI()*(1-(($A58-Simulador!$E$8)/Simulador!$G$8))/Simulador!$B$11))/2,Simulador!$B$10)))</f>
        <v/>
      </c>
      <c r="F58" s="46">
        <f>IF(OR((($A58-Simulador!$E$9)/Simulador!$G$9)&lt;=0,(($A58-Simulador!$E$9)/Simulador!$G$9)&gt;=1),0,IF((($A58-Simulador!$E$9)/Simulador!$G$9)&lt;Simulador!$B$11,Simulador!$B$10*(1-COS(PI()*(($A58-Simulador!$E$9)/Simulador!$G$9)/Simulador!$B$11))/2,IF((($A58-Simulador!$E$9)/Simulador!$G$9)&gt;1-Simulador!$B$11,Simulador!$B$10*(1-COS(PI()*(1-(($A58-Simulador!$E$9)/Simulador!$G$9))/Simulador!$B$11))/2,Simulador!$B$10)))</f>
        <v/>
      </c>
      <c r="G58" s="46">
        <f>IF(OR((($A58-Simulador!$E$10)/Simulador!$G$10)&lt;=0,(($A58-Simulador!$E$10)/Simulador!$G$10)&gt;=1),0,IF((($A58-Simulador!$E$10)/Simulador!$G$10)&lt;Simulador!$B$11,Simulador!$B$10*(1-COS(PI()*(($A58-Simulador!$E$10)/Simulador!$G$10)/Simulador!$B$11))/2,IF((($A58-Simulador!$E$10)/Simulador!$G$10)&gt;1-Simulador!$B$11,Simulador!$B$10*(1-COS(PI()*(1-(($A58-Simulador!$E$10)/Simulador!$G$10))/Simulador!$B$11))/2,Simulador!$B$10)))</f>
        <v/>
      </c>
      <c r="Q58" s="48">
        <f>IF(OR((($A58-(Simulador!$E$6+'Salto de dientes'!$B$12))/Simulador!$G$6)&lt;=0,(($A58-(Simulador!$E$6+'Salto de dientes'!$B$12))/Simulador!$G$6)&gt;=1),0,IF((($A58-(Simulador!$E$6+'Salto de dientes'!$B$12))/Simulador!$G$6)&lt;Simulador!$B$11,Simulador!$B$9*(1-COS(PI()*(($A58-(Simulador!$E$6+'Salto de dientes'!$B$12))/Simulador!$G$6)/Simulador!$B$11))/2,IF((($A58-(Simulador!$E$6+'Salto de dientes'!$B$12))/Simulador!$G$6)&gt;1-Simulador!$B$11,Simulador!$B$9*(1-COS(PI()*(1-(($A58-(Simulador!$E$6+'Salto de dientes'!$B$12))/Simulador!$G$6))/Simulador!$B$11))/2,Simulador!$B$9)))</f>
        <v/>
      </c>
      <c r="R58" s="48">
        <f>IF(OR((($A58-(Simulador!$E$9+'Salto de dientes'!$B$12))/Simulador!$G$9)&lt;=0,(($A58-(Simulador!$E$9+'Salto de dientes'!$B$12))/Simulador!$G$9)&gt;=1),0,IF((($A58-(Simulador!$E$9+'Salto de dientes'!$B$12))/Simulador!$G$9)&lt;Simulador!$B$11,Simulador!$B$10*(1-COS(PI()*(($A58-(Simulador!$E$9+'Salto de dientes'!$B$12))/Simulador!$G$9)/Simulador!$B$11))/2,IF((($A58-(Simulador!$E$9+'Salto de dientes'!$B$12))/Simulador!$G$9)&gt;1-Simulador!$B$11,Simulador!$B$10*(1-COS(PI()*(1-(($A58-(Simulador!$E$9+'Salto de dientes'!$B$12))/Simulador!$G$9))/Simulador!$B$11))/2,Simulador!$B$10)))</f>
        <v/>
      </c>
      <c r="W58" t="n">
        <v>-12</v>
      </c>
      <c r="X58" s="48">
        <f>('Levas superpuestas'!$B$5+IF(OR(((W58-('Levas superpuestas'!$B$14-'Levas superpuestas'!$B$8/4))/('Levas superpuestas'!$B$8/2))&lt;=0,((W58-('Levas superpuestas'!$B$14-'Levas superpuestas'!$B$8/4))/('Levas superpuestas'!$B$8/2))&gt;=1),0,IF(((W58-('Levas superpuestas'!$B$14-'Levas superpuestas'!$B$8/4))/('Levas superpuestas'!$B$8/2))&lt;Simulador!$B$11,Simulador!$B$9*(1-COS(PI()*((W58-('Levas superpuestas'!$B$14-'Levas superpuestas'!$B$8/4))/('Levas superpuestas'!$B$8/2))/Simulador!$B$11))/2,IF(((W58-('Levas superpuestas'!$B$14-'Levas superpuestas'!$B$8/4))/('Levas superpuestas'!$B$8/2))&gt;1-Simulador!$B$11,Simulador!$B$9*(1-COS(PI()*(1-((W58-('Levas superpuestas'!$B$14-'Levas superpuestas'!$B$8/4))/('Levas superpuestas'!$B$8/2)))/Simulador!$B$11))/2,Simulador!$B$9))))*SIN(RADIANS(W58))</f>
        <v/>
      </c>
      <c r="Y58" s="48">
        <f>('Levas superpuestas'!$B$5+IF(OR(((W58-('Levas superpuestas'!$B$14-'Levas superpuestas'!$B$8/4))/('Levas superpuestas'!$B$8/2))&lt;=0,((W58-('Levas superpuestas'!$B$14-'Levas superpuestas'!$B$8/4))/('Levas superpuestas'!$B$8/2))&gt;=1),0,IF(((W58-('Levas superpuestas'!$B$14-'Levas superpuestas'!$B$8/4))/('Levas superpuestas'!$B$8/2))&lt;Simulador!$B$11,Simulador!$B$9*(1-COS(PI()*((W58-('Levas superpuestas'!$B$14-'Levas superpuestas'!$B$8/4))/('Levas superpuestas'!$B$8/2))/Simulador!$B$11))/2,IF(((W58-('Levas superpuestas'!$B$14-'Levas superpuestas'!$B$8/4))/('Levas superpuestas'!$B$8/2))&gt;1-Simulador!$B$11,Simulador!$B$9*(1-COS(PI()*(1-((W58-('Levas superpuestas'!$B$14-'Levas superpuestas'!$B$8/4))/('Levas superpuestas'!$B$8/2)))/Simulador!$B$11))/2,Simulador!$B$9))))*COS(RADIANS(W58))</f>
        <v/>
      </c>
      <c r="Z58" s="48">
        <f>('Levas superpuestas'!$B$5+IF(OR(((W58-('Levas superpuestas'!$B$15-'Levas superpuestas'!$B$9/4))/('Levas superpuestas'!$B$9/2))&lt;=0,((W58-('Levas superpuestas'!$B$15-'Levas superpuestas'!$B$9/4))/('Levas superpuestas'!$B$9/2))&gt;=1),0,IF(((W58-('Levas superpuestas'!$B$15-'Levas superpuestas'!$B$9/4))/('Levas superpuestas'!$B$9/2))&lt;Simulador!$B$11,Simulador!$B$10*(1-COS(PI()*((W58-('Levas superpuestas'!$B$15-'Levas superpuestas'!$B$9/4))/('Levas superpuestas'!$B$9/2))/Simulador!$B$11))/2,IF(((W58-('Levas superpuestas'!$B$15-'Levas superpuestas'!$B$9/4))/('Levas superpuestas'!$B$9/2))&gt;1-Simulador!$B$11,Simulador!$B$10*(1-COS(PI()*(1-((W58-('Levas superpuestas'!$B$15-'Levas superpuestas'!$B$9/4))/('Levas superpuestas'!$B$9/2)))/Simulador!$B$11))/2,Simulador!$B$10))))*SIN(RADIANS(W58))</f>
        <v/>
      </c>
      <c r="AA58" s="48">
        <f>('Levas superpuestas'!$B$5+IF(OR(((W58-('Levas superpuestas'!$B$15-'Levas superpuestas'!$B$9/4))/('Levas superpuestas'!$B$9/2))&lt;=0,((W58-('Levas superpuestas'!$B$15-'Levas superpuestas'!$B$9/4))/('Levas superpuestas'!$B$9/2))&gt;=1),0,IF(((W58-('Levas superpuestas'!$B$15-'Levas superpuestas'!$B$9/4))/('Levas superpuestas'!$B$9/2))&lt;Simulador!$B$11,Simulador!$B$10*(1-COS(PI()*((W58-('Levas superpuestas'!$B$15-'Levas superpuestas'!$B$9/4))/('Levas superpuestas'!$B$9/2))/Simulador!$B$11))/2,IF(((W58-('Levas superpuestas'!$B$15-'Levas superpuestas'!$B$9/4))/('Levas superpuestas'!$B$9/2))&gt;1-Simulador!$B$11,Simulador!$B$10*(1-COS(PI()*(1-((W58-('Levas superpuestas'!$B$15-'Levas superpuestas'!$B$9/4))/('Levas superpuestas'!$B$9/2)))/Simulador!$B$11))/2,Simulador!$B$10))))*COS(RADIANS(W58))</f>
        <v/>
      </c>
      <c r="AB58">
        <f>'Levas superpuestas'!$B$5*SIN(RADIANS(W58))</f>
        <v/>
      </c>
      <c r="AC58">
        <f>'Levas superpuestas'!$B$5*COS(RADIANS(W58))</f>
        <v/>
      </c>
    </row>
    <row r="59">
      <c r="A59" s="26">
        <f>A58+Simulador!$B$14</f>
        <v/>
      </c>
      <c r="B59" s="46">
        <f>IF(OR((($A59-Simulador!$E$5)/Simulador!$G$5)&lt;=0,(($A59-Simulador!$E$5)/Simulador!$G$5)&gt;=1),0,IF((($A59-Simulador!$E$5)/Simulador!$G$5)&lt;Simulador!$B$11,Simulador!$B$9*(1-COS(PI()*(($A59-Simulador!$E$5)/Simulador!$G$5)/Simulador!$B$11))/2,IF((($A59-Simulador!$E$5)/Simulador!$G$5)&gt;1-Simulador!$B$11,Simulador!$B$9*(1-COS(PI()*(1-(($A59-Simulador!$E$5)/Simulador!$G$5))/Simulador!$B$11))/2,Simulador!$B$9)))</f>
        <v/>
      </c>
      <c r="C59" s="46">
        <f>IF(OR((($A59-Simulador!$E$6)/Simulador!$G$6)&lt;=0,(($A59-Simulador!$E$6)/Simulador!$G$6)&gt;=1),0,IF((($A59-Simulador!$E$6)/Simulador!$G$6)&lt;Simulador!$B$11,Simulador!$B$9*(1-COS(PI()*(($A59-Simulador!$E$6)/Simulador!$G$6)/Simulador!$B$11))/2,IF((($A59-Simulador!$E$6)/Simulador!$G$6)&gt;1-Simulador!$B$11,Simulador!$B$9*(1-COS(PI()*(1-(($A59-Simulador!$E$6)/Simulador!$G$6))/Simulador!$B$11))/2,Simulador!$B$9)))</f>
        <v/>
      </c>
      <c r="D59" s="46">
        <f>IF(OR((($A59-Simulador!$E$7)/Simulador!$G$7)&lt;=0,(($A59-Simulador!$E$7)/Simulador!$G$7)&gt;=1),0,IF((($A59-Simulador!$E$7)/Simulador!$G$7)&lt;Simulador!$B$11,Simulador!$B$9*(1-COS(PI()*(($A59-Simulador!$E$7)/Simulador!$G$7)/Simulador!$B$11))/2,IF((($A59-Simulador!$E$7)/Simulador!$G$7)&gt;1-Simulador!$B$11,Simulador!$B$9*(1-COS(PI()*(1-(($A59-Simulador!$E$7)/Simulador!$G$7))/Simulador!$B$11))/2,Simulador!$B$9)))</f>
        <v/>
      </c>
      <c r="E59" s="46">
        <f>IF(OR((($A59-Simulador!$E$8)/Simulador!$G$8)&lt;=0,(($A59-Simulador!$E$8)/Simulador!$G$8)&gt;=1),0,IF((($A59-Simulador!$E$8)/Simulador!$G$8)&lt;Simulador!$B$11,Simulador!$B$10*(1-COS(PI()*(($A59-Simulador!$E$8)/Simulador!$G$8)/Simulador!$B$11))/2,IF((($A59-Simulador!$E$8)/Simulador!$G$8)&gt;1-Simulador!$B$11,Simulador!$B$10*(1-COS(PI()*(1-(($A59-Simulador!$E$8)/Simulador!$G$8))/Simulador!$B$11))/2,Simulador!$B$10)))</f>
        <v/>
      </c>
      <c r="F59" s="46">
        <f>IF(OR((($A59-Simulador!$E$9)/Simulador!$G$9)&lt;=0,(($A59-Simulador!$E$9)/Simulador!$G$9)&gt;=1),0,IF((($A59-Simulador!$E$9)/Simulador!$G$9)&lt;Simulador!$B$11,Simulador!$B$10*(1-COS(PI()*(($A59-Simulador!$E$9)/Simulador!$G$9)/Simulador!$B$11))/2,IF((($A59-Simulador!$E$9)/Simulador!$G$9)&gt;1-Simulador!$B$11,Simulador!$B$10*(1-COS(PI()*(1-(($A59-Simulador!$E$9)/Simulador!$G$9))/Simulador!$B$11))/2,Simulador!$B$10)))</f>
        <v/>
      </c>
      <c r="G59" s="46">
        <f>IF(OR((($A59-Simulador!$E$10)/Simulador!$G$10)&lt;=0,(($A59-Simulador!$E$10)/Simulador!$G$10)&gt;=1),0,IF((($A59-Simulador!$E$10)/Simulador!$G$10)&lt;Simulador!$B$11,Simulador!$B$10*(1-COS(PI()*(($A59-Simulador!$E$10)/Simulador!$G$10)/Simulador!$B$11))/2,IF((($A59-Simulador!$E$10)/Simulador!$G$10)&gt;1-Simulador!$B$11,Simulador!$B$10*(1-COS(PI()*(1-(($A59-Simulador!$E$10)/Simulador!$G$10))/Simulador!$B$11))/2,Simulador!$B$10)))</f>
        <v/>
      </c>
      <c r="Q59" s="48">
        <f>IF(OR((($A59-(Simulador!$E$6+'Salto de dientes'!$B$12))/Simulador!$G$6)&lt;=0,(($A59-(Simulador!$E$6+'Salto de dientes'!$B$12))/Simulador!$G$6)&gt;=1),0,IF((($A59-(Simulador!$E$6+'Salto de dientes'!$B$12))/Simulador!$G$6)&lt;Simulador!$B$11,Simulador!$B$9*(1-COS(PI()*(($A59-(Simulador!$E$6+'Salto de dientes'!$B$12))/Simulador!$G$6)/Simulador!$B$11))/2,IF((($A59-(Simulador!$E$6+'Salto de dientes'!$B$12))/Simulador!$G$6)&gt;1-Simulador!$B$11,Simulador!$B$9*(1-COS(PI()*(1-(($A59-(Simulador!$E$6+'Salto de dientes'!$B$12))/Simulador!$G$6))/Simulador!$B$11))/2,Simulador!$B$9)))</f>
        <v/>
      </c>
      <c r="R59" s="48">
        <f>IF(OR((($A59-(Simulador!$E$9+'Salto de dientes'!$B$12))/Simulador!$G$9)&lt;=0,(($A59-(Simulador!$E$9+'Salto de dientes'!$B$12))/Simulador!$G$9)&gt;=1),0,IF((($A59-(Simulador!$E$9+'Salto de dientes'!$B$12))/Simulador!$G$9)&lt;Simulador!$B$11,Simulador!$B$10*(1-COS(PI()*(($A59-(Simulador!$E$9+'Salto de dientes'!$B$12))/Simulador!$G$9)/Simulador!$B$11))/2,IF((($A59-(Simulador!$E$9+'Salto de dientes'!$B$12))/Simulador!$G$9)&gt;1-Simulador!$B$11,Simulador!$B$10*(1-COS(PI()*(1-(($A59-(Simulador!$E$9+'Salto de dientes'!$B$12))/Simulador!$G$9))/Simulador!$B$11))/2,Simulador!$B$10)))</f>
        <v/>
      </c>
      <c r="W59" t="n">
        <v>-9</v>
      </c>
      <c r="X59" s="48">
        <f>('Levas superpuestas'!$B$5+IF(OR(((W59-('Levas superpuestas'!$B$14-'Levas superpuestas'!$B$8/4))/('Levas superpuestas'!$B$8/2))&lt;=0,((W59-('Levas superpuestas'!$B$14-'Levas superpuestas'!$B$8/4))/('Levas superpuestas'!$B$8/2))&gt;=1),0,IF(((W59-('Levas superpuestas'!$B$14-'Levas superpuestas'!$B$8/4))/('Levas superpuestas'!$B$8/2))&lt;Simulador!$B$11,Simulador!$B$9*(1-COS(PI()*((W59-('Levas superpuestas'!$B$14-'Levas superpuestas'!$B$8/4))/('Levas superpuestas'!$B$8/2))/Simulador!$B$11))/2,IF(((W59-('Levas superpuestas'!$B$14-'Levas superpuestas'!$B$8/4))/('Levas superpuestas'!$B$8/2))&gt;1-Simulador!$B$11,Simulador!$B$9*(1-COS(PI()*(1-((W59-('Levas superpuestas'!$B$14-'Levas superpuestas'!$B$8/4))/('Levas superpuestas'!$B$8/2)))/Simulador!$B$11))/2,Simulador!$B$9))))*SIN(RADIANS(W59))</f>
        <v/>
      </c>
      <c r="Y59" s="48">
        <f>('Levas superpuestas'!$B$5+IF(OR(((W59-('Levas superpuestas'!$B$14-'Levas superpuestas'!$B$8/4))/('Levas superpuestas'!$B$8/2))&lt;=0,((W59-('Levas superpuestas'!$B$14-'Levas superpuestas'!$B$8/4))/('Levas superpuestas'!$B$8/2))&gt;=1),0,IF(((W59-('Levas superpuestas'!$B$14-'Levas superpuestas'!$B$8/4))/('Levas superpuestas'!$B$8/2))&lt;Simulador!$B$11,Simulador!$B$9*(1-COS(PI()*((W59-('Levas superpuestas'!$B$14-'Levas superpuestas'!$B$8/4))/('Levas superpuestas'!$B$8/2))/Simulador!$B$11))/2,IF(((W59-('Levas superpuestas'!$B$14-'Levas superpuestas'!$B$8/4))/('Levas superpuestas'!$B$8/2))&gt;1-Simulador!$B$11,Simulador!$B$9*(1-COS(PI()*(1-((W59-('Levas superpuestas'!$B$14-'Levas superpuestas'!$B$8/4))/('Levas superpuestas'!$B$8/2)))/Simulador!$B$11))/2,Simulador!$B$9))))*COS(RADIANS(W59))</f>
        <v/>
      </c>
      <c r="Z59" s="48">
        <f>('Levas superpuestas'!$B$5+IF(OR(((W59-('Levas superpuestas'!$B$15-'Levas superpuestas'!$B$9/4))/('Levas superpuestas'!$B$9/2))&lt;=0,((W59-('Levas superpuestas'!$B$15-'Levas superpuestas'!$B$9/4))/('Levas superpuestas'!$B$9/2))&gt;=1),0,IF(((W59-('Levas superpuestas'!$B$15-'Levas superpuestas'!$B$9/4))/('Levas superpuestas'!$B$9/2))&lt;Simulador!$B$11,Simulador!$B$10*(1-COS(PI()*((W59-('Levas superpuestas'!$B$15-'Levas superpuestas'!$B$9/4))/('Levas superpuestas'!$B$9/2))/Simulador!$B$11))/2,IF(((W59-('Levas superpuestas'!$B$15-'Levas superpuestas'!$B$9/4))/('Levas superpuestas'!$B$9/2))&gt;1-Simulador!$B$11,Simulador!$B$10*(1-COS(PI()*(1-((W59-('Levas superpuestas'!$B$15-'Levas superpuestas'!$B$9/4))/('Levas superpuestas'!$B$9/2)))/Simulador!$B$11))/2,Simulador!$B$10))))*SIN(RADIANS(W59))</f>
        <v/>
      </c>
      <c r="AA59" s="48">
        <f>('Levas superpuestas'!$B$5+IF(OR(((W59-('Levas superpuestas'!$B$15-'Levas superpuestas'!$B$9/4))/('Levas superpuestas'!$B$9/2))&lt;=0,((W59-('Levas superpuestas'!$B$15-'Levas superpuestas'!$B$9/4))/('Levas superpuestas'!$B$9/2))&gt;=1),0,IF(((W59-('Levas superpuestas'!$B$15-'Levas superpuestas'!$B$9/4))/('Levas superpuestas'!$B$9/2))&lt;Simulador!$B$11,Simulador!$B$10*(1-COS(PI()*((W59-('Levas superpuestas'!$B$15-'Levas superpuestas'!$B$9/4))/('Levas superpuestas'!$B$9/2))/Simulador!$B$11))/2,IF(((W59-('Levas superpuestas'!$B$15-'Levas superpuestas'!$B$9/4))/('Levas superpuestas'!$B$9/2))&gt;1-Simulador!$B$11,Simulador!$B$10*(1-COS(PI()*(1-((W59-('Levas superpuestas'!$B$15-'Levas superpuestas'!$B$9/4))/('Levas superpuestas'!$B$9/2)))/Simulador!$B$11))/2,Simulador!$B$10))))*COS(RADIANS(W59))</f>
        <v/>
      </c>
      <c r="AB59">
        <f>'Levas superpuestas'!$B$5*SIN(RADIANS(W59))</f>
        <v/>
      </c>
      <c r="AC59">
        <f>'Levas superpuestas'!$B$5*COS(RADIANS(W59))</f>
        <v/>
      </c>
    </row>
    <row r="60">
      <c r="A60" s="26">
        <f>A59+Simulador!$B$14</f>
        <v/>
      </c>
      <c r="B60" s="46">
        <f>IF(OR((($A60-Simulador!$E$5)/Simulador!$G$5)&lt;=0,(($A60-Simulador!$E$5)/Simulador!$G$5)&gt;=1),0,IF((($A60-Simulador!$E$5)/Simulador!$G$5)&lt;Simulador!$B$11,Simulador!$B$9*(1-COS(PI()*(($A60-Simulador!$E$5)/Simulador!$G$5)/Simulador!$B$11))/2,IF((($A60-Simulador!$E$5)/Simulador!$G$5)&gt;1-Simulador!$B$11,Simulador!$B$9*(1-COS(PI()*(1-(($A60-Simulador!$E$5)/Simulador!$G$5))/Simulador!$B$11))/2,Simulador!$B$9)))</f>
        <v/>
      </c>
      <c r="C60" s="46">
        <f>IF(OR((($A60-Simulador!$E$6)/Simulador!$G$6)&lt;=0,(($A60-Simulador!$E$6)/Simulador!$G$6)&gt;=1),0,IF((($A60-Simulador!$E$6)/Simulador!$G$6)&lt;Simulador!$B$11,Simulador!$B$9*(1-COS(PI()*(($A60-Simulador!$E$6)/Simulador!$G$6)/Simulador!$B$11))/2,IF((($A60-Simulador!$E$6)/Simulador!$G$6)&gt;1-Simulador!$B$11,Simulador!$B$9*(1-COS(PI()*(1-(($A60-Simulador!$E$6)/Simulador!$G$6))/Simulador!$B$11))/2,Simulador!$B$9)))</f>
        <v/>
      </c>
      <c r="D60" s="46">
        <f>IF(OR((($A60-Simulador!$E$7)/Simulador!$G$7)&lt;=0,(($A60-Simulador!$E$7)/Simulador!$G$7)&gt;=1),0,IF((($A60-Simulador!$E$7)/Simulador!$G$7)&lt;Simulador!$B$11,Simulador!$B$9*(1-COS(PI()*(($A60-Simulador!$E$7)/Simulador!$G$7)/Simulador!$B$11))/2,IF((($A60-Simulador!$E$7)/Simulador!$G$7)&gt;1-Simulador!$B$11,Simulador!$B$9*(1-COS(PI()*(1-(($A60-Simulador!$E$7)/Simulador!$G$7))/Simulador!$B$11))/2,Simulador!$B$9)))</f>
        <v/>
      </c>
      <c r="E60" s="46">
        <f>IF(OR((($A60-Simulador!$E$8)/Simulador!$G$8)&lt;=0,(($A60-Simulador!$E$8)/Simulador!$G$8)&gt;=1),0,IF((($A60-Simulador!$E$8)/Simulador!$G$8)&lt;Simulador!$B$11,Simulador!$B$10*(1-COS(PI()*(($A60-Simulador!$E$8)/Simulador!$G$8)/Simulador!$B$11))/2,IF((($A60-Simulador!$E$8)/Simulador!$G$8)&gt;1-Simulador!$B$11,Simulador!$B$10*(1-COS(PI()*(1-(($A60-Simulador!$E$8)/Simulador!$G$8))/Simulador!$B$11))/2,Simulador!$B$10)))</f>
        <v/>
      </c>
      <c r="F60" s="46">
        <f>IF(OR((($A60-Simulador!$E$9)/Simulador!$G$9)&lt;=0,(($A60-Simulador!$E$9)/Simulador!$G$9)&gt;=1),0,IF((($A60-Simulador!$E$9)/Simulador!$G$9)&lt;Simulador!$B$11,Simulador!$B$10*(1-COS(PI()*(($A60-Simulador!$E$9)/Simulador!$G$9)/Simulador!$B$11))/2,IF((($A60-Simulador!$E$9)/Simulador!$G$9)&gt;1-Simulador!$B$11,Simulador!$B$10*(1-COS(PI()*(1-(($A60-Simulador!$E$9)/Simulador!$G$9))/Simulador!$B$11))/2,Simulador!$B$10)))</f>
        <v/>
      </c>
      <c r="G60" s="46">
        <f>IF(OR((($A60-Simulador!$E$10)/Simulador!$G$10)&lt;=0,(($A60-Simulador!$E$10)/Simulador!$G$10)&gt;=1),0,IF((($A60-Simulador!$E$10)/Simulador!$G$10)&lt;Simulador!$B$11,Simulador!$B$10*(1-COS(PI()*(($A60-Simulador!$E$10)/Simulador!$G$10)/Simulador!$B$11))/2,IF((($A60-Simulador!$E$10)/Simulador!$G$10)&gt;1-Simulador!$B$11,Simulador!$B$10*(1-COS(PI()*(1-(($A60-Simulador!$E$10)/Simulador!$G$10))/Simulador!$B$11))/2,Simulador!$B$10)))</f>
        <v/>
      </c>
      <c r="Q60" s="48">
        <f>IF(OR((($A60-(Simulador!$E$6+'Salto de dientes'!$B$12))/Simulador!$G$6)&lt;=0,(($A60-(Simulador!$E$6+'Salto de dientes'!$B$12))/Simulador!$G$6)&gt;=1),0,IF((($A60-(Simulador!$E$6+'Salto de dientes'!$B$12))/Simulador!$G$6)&lt;Simulador!$B$11,Simulador!$B$9*(1-COS(PI()*(($A60-(Simulador!$E$6+'Salto de dientes'!$B$12))/Simulador!$G$6)/Simulador!$B$11))/2,IF((($A60-(Simulador!$E$6+'Salto de dientes'!$B$12))/Simulador!$G$6)&gt;1-Simulador!$B$11,Simulador!$B$9*(1-COS(PI()*(1-(($A60-(Simulador!$E$6+'Salto de dientes'!$B$12))/Simulador!$G$6))/Simulador!$B$11))/2,Simulador!$B$9)))</f>
        <v/>
      </c>
      <c r="R60" s="48">
        <f>IF(OR((($A60-(Simulador!$E$9+'Salto de dientes'!$B$12))/Simulador!$G$9)&lt;=0,(($A60-(Simulador!$E$9+'Salto de dientes'!$B$12))/Simulador!$G$9)&gt;=1),0,IF((($A60-(Simulador!$E$9+'Salto de dientes'!$B$12))/Simulador!$G$9)&lt;Simulador!$B$11,Simulador!$B$10*(1-COS(PI()*(($A60-(Simulador!$E$9+'Salto de dientes'!$B$12))/Simulador!$G$9)/Simulador!$B$11))/2,IF((($A60-(Simulador!$E$9+'Salto de dientes'!$B$12))/Simulador!$G$9)&gt;1-Simulador!$B$11,Simulador!$B$10*(1-COS(PI()*(1-(($A60-(Simulador!$E$9+'Salto de dientes'!$B$12))/Simulador!$G$9))/Simulador!$B$11))/2,Simulador!$B$10)))</f>
        <v/>
      </c>
      <c r="W60" t="n">
        <v>-6</v>
      </c>
      <c r="X60" s="48">
        <f>('Levas superpuestas'!$B$5+IF(OR(((W60-('Levas superpuestas'!$B$14-'Levas superpuestas'!$B$8/4))/('Levas superpuestas'!$B$8/2))&lt;=0,((W60-('Levas superpuestas'!$B$14-'Levas superpuestas'!$B$8/4))/('Levas superpuestas'!$B$8/2))&gt;=1),0,IF(((W60-('Levas superpuestas'!$B$14-'Levas superpuestas'!$B$8/4))/('Levas superpuestas'!$B$8/2))&lt;Simulador!$B$11,Simulador!$B$9*(1-COS(PI()*((W60-('Levas superpuestas'!$B$14-'Levas superpuestas'!$B$8/4))/('Levas superpuestas'!$B$8/2))/Simulador!$B$11))/2,IF(((W60-('Levas superpuestas'!$B$14-'Levas superpuestas'!$B$8/4))/('Levas superpuestas'!$B$8/2))&gt;1-Simulador!$B$11,Simulador!$B$9*(1-COS(PI()*(1-((W60-('Levas superpuestas'!$B$14-'Levas superpuestas'!$B$8/4))/('Levas superpuestas'!$B$8/2)))/Simulador!$B$11))/2,Simulador!$B$9))))*SIN(RADIANS(W60))</f>
        <v/>
      </c>
      <c r="Y60" s="48">
        <f>('Levas superpuestas'!$B$5+IF(OR(((W60-('Levas superpuestas'!$B$14-'Levas superpuestas'!$B$8/4))/('Levas superpuestas'!$B$8/2))&lt;=0,((W60-('Levas superpuestas'!$B$14-'Levas superpuestas'!$B$8/4))/('Levas superpuestas'!$B$8/2))&gt;=1),0,IF(((W60-('Levas superpuestas'!$B$14-'Levas superpuestas'!$B$8/4))/('Levas superpuestas'!$B$8/2))&lt;Simulador!$B$11,Simulador!$B$9*(1-COS(PI()*((W60-('Levas superpuestas'!$B$14-'Levas superpuestas'!$B$8/4))/('Levas superpuestas'!$B$8/2))/Simulador!$B$11))/2,IF(((W60-('Levas superpuestas'!$B$14-'Levas superpuestas'!$B$8/4))/('Levas superpuestas'!$B$8/2))&gt;1-Simulador!$B$11,Simulador!$B$9*(1-COS(PI()*(1-((W60-('Levas superpuestas'!$B$14-'Levas superpuestas'!$B$8/4))/('Levas superpuestas'!$B$8/2)))/Simulador!$B$11))/2,Simulador!$B$9))))*COS(RADIANS(W60))</f>
        <v/>
      </c>
      <c r="Z60" s="48">
        <f>('Levas superpuestas'!$B$5+IF(OR(((W60-('Levas superpuestas'!$B$15-'Levas superpuestas'!$B$9/4))/('Levas superpuestas'!$B$9/2))&lt;=0,((W60-('Levas superpuestas'!$B$15-'Levas superpuestas'!$B$9/4))/('Levas superpuestas'!$B$9/2))&gt;=1),0,IF(((W60-('Levas superpuestas'!$B$15-'Levas superpuestas'!$B$9/4))/('Levas superpuestas'!$B$9/2))&lt;Simulador!$B$11,Simulador!$B$10*(1-COS(PI()*((W60-('Levas superpuestas'!$B$15-'Levas superpuestas'!$B$9/4))/('Levas superpuestas'!$B$9/2))/Simulador!$B$11))/2,IF(((W60-('Levas superpuestas'!$B$15-'Levas superpuestas'!$B$9/4))/('Levas superpuestas'!$B$9/2))&gt;1-Simulador!$B$11,Simulador!$B$10*(1-COS(PI()*(1-((W60-('Levas superpuestas'!$B$15-'Levas superpuestas'!$B$9/4))/('Levas superpuestas'!$B$9/2)))/Simulador!$B$11))/2,Simulador!$B$10))))*SIN(RADIANS(W60))</f>
        <v/>
      </c>
      <c r="AA60" s="48">
        <f>('Levas superpuestas'!$B$5+IF(OR(((W60-('Levas superpuestas'!$B$15-'Levas superpuestas'!$B$9/4))/('Levas superpuestas'!$B$9/2))&lt;=0,((W60-('Levas superpuestas'!$B$15-'Levas superpuestas'!$B$9/4))/('Levas superpuestas'!$B$9/2))&gt;=1),0,IF(((W60-('Levas superpuestas'!$B$15-'Levas superpuestas'!$B$9/4))/('Levas superpuestas'!$B$9/2))&lt;Simulador!$B$11,Simulador!$B$10*(1-COS(PI()*((W60-('Levas superpuestas'!$B$15-'Levas superpuestas'!$B$9/4))/('Levas superpuestas'!$B$9/2))/Simulador!$B$11))/2,IF(((W60-('Levas superpuestas'!$B$15-'Levas superpuestas'!$B$9/4))/('Levas superpuestas'!$B$9/2))&gt;1-Simulador!$B$11,Simulador!$B$10*(1-COS(PI()*(1-((W60-('Levas superpuestas'!$B$15-'Levas superpuestas'!$B$9/4))/('Levas superpuestas'!$B$9/2)))/Simulador!$B$11))/2,Simulador!$B$10))))*COS(RADIANS(W60))</f>
        <v/>
      </c>
      <c r="AB60">
        <f>'Levas superpuestas'!$B$5*SIN(RADIANS(W60))</f>
        <v/>
      </c>
      <c r="AC60">
        <f>'Levas superpuestas'!$B$5*COS(RADIANS(W60))</f>
        <v/>
      </c>
    </row>
    <row r="61">
      <c r="A61" s="26">
        <f>A60+Simulador!$B$14</f>
        <v/>
      </c>
      <c r="B61" s="46">
        <f>IF(OR((($A61-Simulador!$E$5)/Simulador!$G$5)&lt;=0,(($A61-Simulador!$E$5)/Simulador!$G$5)&gt;=1),0,IF((($A61-Simulador!$E$5)/Simulador!$G$5)&lt;Simulador!$B$11,Simulador!$B$9*(1-COS(PI()*(($A61-Simulador!$E$5)/Simulador!$G$5)/Simulador!$B$11))/2,IF((($A61-Simulador!$E$5)/Simulador!$G$5)&gt;1-Simulador!$B$11,Simulador!$B$9*(1-COS(PI()*(1-(($A61-Simulador!$E$5)/Simulador!$G$5))/Simulador!$B$11))/2,Simulador!$B$9)))</f>
        <v/>
      </c>
      <c r="C61" s="46">
        <f>IF(OR((($A61-Simulador!$E$6)/Simulador!$G$6)&lt;=0,(($A61-Simulador!$E$6)/Simulador!$G$6)&gt;=1),0,IF((($A61-Simulador!$E$6)/Simulador!$G$6)&lt;Simulador!$B$11,Simulador!$B$9*(1-COS(PI()*(($A61-Simulador!$E$6)/Simulador!$G$6)/Simulador!$B$11))/2,IF((($A61-Simulador!$E$6)/Simulador!$G$6)&gt;1-Simulador!$B$11,Simulador!$B$9*(1-COS(PI()*(1-(($A61-Simulador!$E$6)/Simulador!$G$6))/Simulador!$B$11))/2,Simulador!$B$9)))</f>
        <v/>
      </c>
      <c r="D61" s="46">
        <f>IF(OR((($A61-Simulador!$E$7)/Simulador!$G$7)&lt;=0,(($A61-Simulador!$E$7)/Simulador!$G$7)&gt;=1),0,IF((($A61-Simulador!$E$7)/Simulador!$G$7)&lt;Simulador!$B$11,Simulador!$B$9*(1-COS(PI()*(($A61-Simulador!$E$7)/Simulador!$G$7)/Simulador!$B$11))/2,IF((($A61-Simulador!$E$7)/Simulador!$G$7)&gt;1-Simulador!$B$11,Simulador!$B$9*(1-COS(PI()*(1-(($A61-Simulador!$E$7)/Simulador!$G$7))/Simulador!$B$11))/2,Simulador!$B$9)))</f>
        <v/>
      </c>
      <c r="E61" s="46">
        <f>IF(OR((($A61-Simulador!$E$8)/Simulador!$G$8)&lt;=0,(($A61-Simulador!$E$8)/Simulador!$G$8)&gt;=1),0,IF((($A61-Simulador!$E$8)/Simulador!$G$8)&lt;Simulador!$B$11,Simulador!$B$10*(1-COS(PI()*(($A61-Simulador!$E$8)/Simulador!$G$8)/Simulador!$B$11))/2,IF((($A61-Simulador!$E$8)/Simulador!$G$8)&gt;1-Simulador!$B$11,Simulador!$B$10*(1-COS(PI()*(1-(($A61-Simulador!$E$8)/Simulador!$G$8))/Simulador!$B$11))/2,Simulador!$B$10)))</f>
        <v/>
      </c>
      <c r="F61" s="46">
        <f>IF(OR((($A61-Simulador!$E$9)/Simulador!$G$9)&lt;=0,(($A61-Simulador!$E$9)/Simulador!$G$9)&gt;=1),0,IF((($A61-Simulador!$E$9)/Simulador!$G$9)&lt;Simulador!$B$11,Simulador!$B$10*(1-COS(PI()*(($A61-Simulador!$E$9)/Simulador!$G$9)/Simulador!$B$11))/2,IF((($A61-Simulador!$E$9)/Simulador!$G$9)&gt;1-Simulador!$B$11,Simulador!$B$10*(1-COS(PI()*(1-(($A61-Simulador!$E$9)/Simulador!$G$9))/Simulador!$B$11))/2,Simulador!$B$10)))</f>
        <v/>
      </c>
      <c r="G61" s="46">
        <f>IF(OR((($A61-Simulador!$E$10)/Simulador!$G$10)&lt;=0,(($A61-Simulador!$E$10)/Simulador!$G$10)&gt;=1),0,IF((($A61-Simulador!$E$10)/Simulador!$G$10)&lt;Simulador!$B$11,Simulador!$B$10*(1-COS(PI()*(($A61-Simulador!$E$10)/Simulador!$G$10)/Simulador!$B$11))/2,IF((($A61-Simulador!$E$10)/Simulador!$G$10)&gt;1-Simulador!$B$11,Simulador!$B$10*(1-COS(PI()*(1-(($A61-Simulador!$E$10)/Simulador!$G$10))/Simulador!$B$11))/2,Simulador!$B$10)))</f>
        <v/>
      </c>
      <c r="Q61" s="48">
        <f>IF(OR((($A61-(Simulador!$E$6+'Salto de dientes'!$B$12))/Simulador!$G$6)&lt;=0,(($A61-(Simulador!$E$6+'Salto de dientes'!$B$12))/Simulador!$G$6)&gt;=1),0,IF((($A61-(Simulador!$E$6+'Salto de dientes'!$B$12))/Simulador!$G$6)&lt;Simulador!$B$11,Simulador!$B$9*(1-COS(PI()*(($A61-(Simulador!$E$6+'Salto de dientes'!$B$12))/Simulador!$G$6)/Simulador!$B$11))/2,IF((($A61-(Simulador!$E$6+'Salto de dientes'!$B$12))/Simulador!$G$6)&gt;1-Simulador!$B$11,Simulador!$B$9*(1-COS(PI()*(1-(($A61-(Simulador!$E$6+'Salto de dientes'!$B$12))/Simulador!$G$6))/Simulador!$B$11))/2,Simulador!$B$9)))</f>
        <v/>
      </c>
      <c r="R61" s="48">
        <f>IF(OR((($A61-(Simulador!$E$9+'Salto de dientes'!$B$12))/Simulador!$G$9)&lt;=0,(($A61-(Simulador!$E$9+'Salto de dientes'!$B$12))/Simulador!$G$9)&gt;=1),0,IF((($A61-(Simulador!$E$9+'Salto de dientes'!$B$12))/Simulador!$G$9)&lt;Simulador!$B$11,Simulador!$B$10*(1-COS(PI()*(($A61-(Simulador!$E$9+'Salto de dientes'!$B$12))/Simulador!$G$9)/Simulador!$B$11))/2,IF((($A61-(Simulador!$E$9+'Salto de dientes'!$B$12))/Simulador!$G$9)&gt;1-Simulador!$B$11,Simulador!$B$10*(1-COS(PI()*(1-(($A61-(Simulador!$E$9+'Salto de dientes'!$B$12))/Simulador!$G$9))/Simulador!$B$11))/2,Simulador!$B$10)))</f>
        <v/>
      </c>
      <c r="W61" t="n">
        <v>-3</v>
      </c>
      <c r="X61" s="48">
        <f>('Levas superpuestas'!$B$5+IF(OR(((W61-('Levas superpuestas'!$B$14-'Levas superpuestas'!$B$8/4))/('Levas superpuestas'!$B$8/2))&lt;=0,((W61-('Levas superpuestas'!$B$14-'Levas superpuestas'!$B$8/4))/('Levas superpuestas'!$B$8/2))&gt;=1),0,IF(((W61-('Levas superpuestas'!$B$14-'Levas superpuestas'!$B$8/4))/('Levas superpuestas'!$B$8/2))&lt;Simulador!$B$11,Simulador!$B$9*(1-COS(PI()*((W61-('Levas superpuestas'!$B$14-'Levas superpuestas'!$B$8/4))/('Levas superpuestas'!$B$8/2))/Simulador!$B$11))/2,IF(((W61-('Levas superpuestas'!$B$14-'Levas superpuestas'!$B$8/4))/('Levas superpuestas'!$B$8/2))&gt;1-Simulador!$B$11,Simulador!$B$9*(1-COS(PI()*(1-((W61-('Levas superpuestas'!$B$14-'Levas superpuestas'!$B$8/4))/('Levas superpuestas'!$B$8/2)))/Simulador!$B$11))/2,Simulador!$B$9))))*SIN(RADIANS(W61))</f>
        <v/>
      </c>
      <c r="Y61" s="48">
        <f>('Levas superpuestas'!$B$5+IF(OR(((W61-('Levas superpuestas'!$B$14-'Levas superpuestas'!$B$8/4))/('Levas superpuestas'!$B$8/2))&lt;=0,((W61-('Levas superpuestas'!$B$14-'Levas superpuestas'!$B$8/4))/('Levas superpuestas'!$B$8/2))&gt;=1),0,IF(((W61-('Levas superpuestas'!$B$14-'Levas superpuestas'!$B$8/4))/('Levas superpuestas'!$B$8/2))&lt;Simulador!$B$11,Simulador!$B$9*(1-COS(PI()*((W61-('Levas superpuestas'!$B$14-'Levas superpuestas'!$B$8/4))/('Levas superpuestas'!$B$8/2))/Simulador!$B$11))/2,IF(((W61-('Levas superpuestas'!$B$14-'Levas superpuestas'!$B$8/4))/('Levas superpuestas'!$B$8/2))&gt;1-Simulador!$B$11,Simulador!$B$9*(1-COS(PI()*(1-((W61-('Levas superpuestas'!$B$14-'Levas superpuestas'!$B$8/4))/('Levas superpuestas'!$B$8/2)))/Simulador!$B$11))/2,Simulador!$B$9))))*COS(RADIANS(W61))</f>
        <v/>
      </c>
      <c r="Z61" s="48">
        <f>('Levas superpuestas'!$B$5+IF(OR(((W61-('Levas superpuestas'!$B$15-'Levas superpuestas'!$B$9/4))/('Levas superpuestas'!$B$9/2))&lt;=0,((W61-('Levas superpuestas'!$B$15-'Levas superpuestas'!$B$9/4))/('Levas superpuestas'!$B$9/2))&gt;=1),0,IF(((W61-('Levas superpuestas'!$B$15-'Levas superpuestas'!$B$9/4))/('Levas superpuestas'!$B$9/2))&lt;Simulador!$B$11,Simulador!$B$10*(1-COS(PI()*((W61-('Levas superpuestas'!$B$15-'Levas superpuestas'!$B$9/4))/('Levas superpuestas'!$B$9/2))/Simulador!$B$11))/2,IF(((W61-('Levas superpuestas'!$B$15-'Levas superpuestas'!$B$9/4))/('Levas superpuestas'!$B$9/2))&gt;1-Simulador!$B$11,Simulador!$B$10*(1-COS(PI()*(1-((W61-('Levas superpuestas'!$B$15-'Levas superpuestas'!$B$9/4))/('Levas superpuestas'!$B$9/2)))/Simulador!$B$11))/2,Simulador!$B$10))))*SIN(RADIANS(W61))</f>
        <v/>
      </c>
      <c r="AA61" s="48">
        <f>('Levas superpuestas'!$B$5+IF(OR(((W61-('Levas superpuestas'!$B$15-'Levas superpuestas'!$B$9/4))/('Levas superpuestas'!$B$9/2))&lt;=0,((W61-('Levas superpuestas'!$B$15-'Levas superpuestas'!$B$9/4))/('Levas superpuestas'!$B$9/2))&gt;=1),0,IF(((W61-('Levas superpuestas'!$B$15-'Levas superpuestas'!$B$9/4))/('Levas superpuestas'!$B$9/2))&lt;Simulador!$B$11,Simulador!$B$10*(1-COS(PI()*((W61-('Levas superpuestas'!$B$15-'Levas superpuestas'!$B$9/4))/('Levas superpuestas'!$B$9/2))/Simulador!$B$11))/2,IF(((W61-('Levas superpuestas'!$B$15-'Levas superpuestas'!$B$9/4))/('Levas superpuestas'!$B$9/2))&gt;1-Simulador!$B$11,Simulador!$B$10*(1-COS(PI()*(1-((W61-('Levas superpuestas'!$B$15-'Levas superpuestas'!$B$9/4))/('Levas superpuestas'!$B$9/2)))/Simulador!$B$11))/2,Simulador!$B$10))))*COS(RADIANS(W61))</f>
        <v/>
      </c>
      <c r="AB61">
        <f>'Levas superpuestas'!$B$5*SIN(RADIANS(W61))</f>
        <v/>
      </c>
      <c r="AC61">
        <f>'Levas superpuestas'!$B$5*COS(RADIANS(W61))</f>
        <v/>
      </c>
    </row>
    <row r="62">
      <c r="A62" s="26">
        <f>A61+Simulador!$B$14</f>
        <v/>
      </c>
      <c r="B62" s="46">
        <f>IF(OR((($A62-Simulador!$E$5)/Simulador!$G$5)&lt;=0,(($A62-Simulador!$E$5)/Simulador!$G$5)&gt;=1),0,IF((($A62-Simulador!$E$5)/Simulador!$G$5)&lt;Simulador!$B$11,Simulador!$B$9*(1-COS(PI()*(($A62-Simulador!$E$5)/Simulador!$G$5)/Simulador!$B$11))/2,IF((($A62-Simulador!$E$5)/Simulador!$G$5)&gt;1-Simulador!$B$11,Simulador!$B$9*(1-COS(PI()*(1-(($A62-Simulador!$E$5)/Simulador!$G$5))/Simulador!$B$11))/2,Simulador!$B$9)))</f>
        <v/>
      </c>
      <c r="C62" s="46">
        <f>IF(OR((($A62-Simulador!$E$6)/Simulador!$G$6)&lt;=0,(($A62-Simulador!$E$6)/Simulador!$G$6)&gt;=1),0,IF((($A62-Simulador!$E$6)/Simulador!$G$6)&lt;Simulador!$B$11,Simulador!$B$9*(1-COS(PI()*(($A62-Simulador!$E$6)/Simulador!$G$6)/Simulador!$B$11))/2,IF((($A62-Simulador!$E$6)/Simulador!$G$6)&gt;1-Simulador!$B$11,Simulador!$B$9*(1-COS(PI()*(1-(($A62-Simulador!$E$6)/Simulador!$G$6))/Simulador!$B$11))/2,Simulador!$B$9)))</f>
        <v/>
      </c>
      <c r="D62" s="46">
        <f>IF(OR((($A62-Simulador!$E$7)/Simulador!$G$7)&lt;=0,(($A62-Simulador!$E$7)/Simulador!$G$7)&gt;=1),0,IF((($A62-Simulador!$E$7)/Simulador!$G$7)&lt;Simulador!$B$11,Simulador!$B$9*(1-COS(PI()*(($A62-Simulador!$E$7)/Simulador!$G$7)/Simulador!$B$11))/2,IF((($A62-Simulador!$E$7)/Simulador!$G$7)&gt;1-Simulador!$B$11,Simulador!$B$9*(1-COS(PI()*(1-(($A62-Simulador!$E$7)/Simulador!$G$7))/Simulador!$B$11))/2,Simulador!$B$9)))</f>
        <v/>
      </c>
      <c r="E62" s="46">
        <f>IF(OR((($A62-Simulador!$E$8)/Simulador!$G$8)&lt;=0,(($A62-Simulador!$E$8)/Simulador!$G$8)&gt;=1),0,IF((($A62-Simulador!$E$8)/Simulador!$G$8)&lt;Simulador!$B$11,Simulador!$B$10*(1-COS(PI()*(($A62-Simulador!$E$8)/Simulador!$G$8)/Simulador!$B$11))/2,IF((($A62-Simulador!$E$8)/Simulador!$G$8)&gt;1-Simulador!$B$11,Simulador!$B$10*(1-COS(PI()*(1-(($A62-Simulador!$E$8)/Simulador!$G$8))/Simulador!$B$11))/2,Simulador!$B$10)))</f>
        <v/>
      </c>
      <c r="F62" s="46">
        <f>IF(OR((($A62-Simulador!$E$9)/Simulador!$G$9)&lt;=0,(($A62-Simulador!$E$9)/Simulador!$G$9)&gt;=1),0,IF((($A62-Simulador!$E$9)/Simulador!$G$9)&lt;Simulador!$B$11,Simulador!$B$10*(1-COS(PI()*(($A62-Simulador!$E$9)/Simulador!$G$9)/Simulador!$B$11))/2,IF((($A62-Simulador!$E$9)/Simulador!$G$9)&gt;1-Simulador!$B$11,Simulador!$B$10*(1-COS(PI()*(1-(($A62-Simulador!$E$9)/Simulador!$G$9))/Simulador!$B$11))/2,Simulador!$B$10)))</f>
        <v/>
      </c>
      <c r="G62" s="46">
        <f>IF(OR((($A62-Simulador!$E$10)/Simulador!$G$10)&lt;=0,(($A62-Simulador!$E$10)/Simulador!$G$10)&gt;=1),0,IF((($A62-Simulador!$E$10)/Simulador!$G$10)&lt;Simulador!$B$11,Simulador!$B$10*(1-COS(PI()*(($A62-Simulador!$E$10)/Simulador!$G$10)/Simulador!$B$11))/2,IF((($A62-Simulador!$E$10)/Simulador!$G$10)&gt;1-Simulador!$B$11,Simulador!$B$10*(1-COS(PI()*(1-(($A62-Simulador!$E$10)/Simulador!$G$10))/Simulador!$B$11))/2,Simulador!$B$10)))</f>
        <v/>
      </c>
      <c r="Q62" s="48">
        <f>IF(OR((($A62-(Simulador!$E$6+'Salto de dientes'!$B$12))/Simulador!$G$6)&lt;=0,(($A62-(Simulador!$E$6+'Salto de dientes'!$B$12))/Simulador!$G$6)&gt;=1),0,IF((($A62-(Simulador!$E$6+'Salto de dientes'!$B$12))/Simulador!$G$6)&lt;Simulador!$B$11,Simulador!$B$9*(1-COS(PI()*(($A62-(Simulador!$E$6+'Salto de dientes'!$B$12))/Simulador!$G$6)/Simulador!$B$11))/2,IF((($A62-(Simulador!$E$6+'Salto de dientes'!$B$12))/Simulador!$G$6)&gt;1-Simulador!$B$11,Simulador!$B$9*(1-COS(PI()*(1-(($A62-(Simulador!$E$6+'Salto de dientes'!$B$12))/Simulador!$G$6))/Simulador!$B$11))/2,Simulador!$B$9)))</f>
        <v/>
      </c>
      <c r="R62" s="48">
        <f>IF(OR((($A62-(Simulador!$E$9+'Salto de dientes'!$B$12))/Simulador!$G$9)&lt;=0,(($A62-(Simulador!$E$9+'Salto de dientes'!$B$12))/Simulador!$G$9)&gt;=1),0,IF((($A62-(Simulador!$E$9+'Salto de dientes'!$B$12))/Simulador!$G$9)&lt;Simulador!$B$11,Simulador!$B$10*(1-COS(PI()*(($A62-(Simulador!$E$9+'Salto de dientes'!$B$12))/Simulador!$G$9)/Simulador!$B$11))/2,IF((($A62-(Simulador!$E$9+'Salto de dientes'!$B$12))/Simulador!$G$9)&gt;1-Simulador!$B$11,Simulador!$B$10*(1-COS(PI()*(1-(($A62-(Simulador!$E$9+'Salto de dientes'!$B$12))/Simulador!$G$9))/Simulador!$B$11))/2,Simulador!$B$10)))</f>
        <v/>
      </c>
      <c r="W62" t="n">
        <v>0</v>
      </c>
      <c r="X62" s="48">
        <f>('Levas superpuestas'!$B$5+IF(OR(((W62-('Levas superpuestas'!$B$14-'Levas superpuestas'!$B$8/4))/('Levas superpuestas'!$B$8/2))&lt;=0,((W62-('Levas superpuestas'!$B$14-'Levas superpuestas'!$B$8/4))/('Levas superpuestas'!$B$8/2))&gt;=1),0,IF(((W62-('Levas superpuestas'!$B$14-'Levas superpuestas'!$B$8/4))/('Levas superpuestas'!$B$8/2))&lt;Simulador!$B$11,Simulador!$B$9*(1-COS(PI()*((W62-('Levas superpuestas'!$B$14-'Levas superpuestas'!$B$8/4))/('Levas superpuestas'!$B$8/2))/Simulador!$B$11))/2,IF(((W62-('Levas superpuestas'!$B$14-'Levas superpuestas'!$B$8/4))/('Levas superpuestas'!$B$8/2))&gt;1-Simulador!$B$11,Simulador!$B$9*(1-COS(PI()*(1-((W62-('Levas superpuestas'!$B$14-'Levas superpuestas'!$B$8/4))/('Levas superpuestas'!$B$8/2)))/Simulador!$B$11))/2,Simulador!$B$9))))*SIN(RADIANS(W62))</f>
        <v/>
      </c>
      <c r="Y62" s="48">
        <f>('Levas superpuestas'!$B$5+IF(OR(((W62-('Levas superpuestas'!$B$14-'Levas superpuestas'!$B$8/4))/('Levas superpuestas'!$B$8/2))&lt;=0,((W62-('Levas superpuestas'!$B$14-'Levas superpuestas'!$B$8/4))/('Levas superpuestas'!$B$8/2))&gt;=1),0,IF(((W62-('Levas superpuestas'!$B$14-'Levas superpuestas'!$B$8/4))/('Levas superpuestas'!$B$8/2))&lt;Simulador!$B$11,Simulador!$B$9*(1-COS(PI()*((W62-('Levas superpuestas'!$B$14-'Levas superpuestas'!$B$8/4))/('Levas superpuestas'!$B$8/2))/Simulador!$B$11))/2,IF(((W62-('Levas superpuestas'!$B$14-'Levas superpuestas'!$B$8/4))/('Levas superpuestas'!$B$8/2))&gt;1-Simulador!$B$11,Simulador!$B$9*(1-COS(PI()*(1-((W62-('Levas superpuestas'!$B$14-'Levas superpuestas'!$B$8/4))/('Levas superpuestas'!$B$8/2)))/Simulador!$B$11))/2,Simulador!$B$9))))*COS(RADIANS(W62))</f>
        <v/>
      </c>
      <c r="Z62" s="48">
        <f>('Levas superpuestas'!$B$5+IF(OR(((W62-('Levas superpuestas'!$B$15-'Levas superpuestas'!$B$9/4))/('Levas superpuestas'!$B$9/2))&lt;=0,((W62-('Levas superpuestas'!$B$15-'Levas superpuestas'!$B$9/4))/('Levas superpuestas'!$B$9/2))&gt;=1),0,IF(((W62-('Levas superpuestas'!$B$15-'Levas superpuestas'!$B$9/4))/('Levas superpuestas'!$B$9/2))&lt;Simulador!$B$11,Simulador!$B$10*(1-COS(PI()*((W62-('Levas superpuestas'!$B$15-'Levas superpuestas'!$B$9/4))/('Levas superpuestas'!$B$9/2))/Simulador!$B$11))/2,IF(((W62-('Levas superpuestas'!$B$15-'Levas superpuestas'!$B$9/4))/('Levas superpuestas'!$B$9/2))&gt;1-Simulador!$B$11,Simulador!$B$10*(1-COS(PI()*(1-((W62-('Levas superpuestas'!$B$15-'Levas superpuestas'!$B$9/4))/('Levas superpuestas'!$B$9/2)))/Simulador!$B$11))/2,Simulador!$B$10))))*SIN(RADIANS(W62))</f>
        <v/>
      </c>
      <c r="AA62" s="48">
        <f>('Levas superpuestas'!$B$5+IF(OR(((W62-('Levas superpuestas'!$B$15-'Levas superpuestas'!$B$9/4))/('Levas superpuestas'!$B$9/2))&lt;=0,((W62-('Levas superpuestas'!$B$15-'Levas superpuestas'!$B$9/4))/('Levas superpuestas'!$B$9/2))&gt;=1),0,IF(((W62-('Levas superpuestas'!$B$15-'Levas superpuestas'!$B$9/4))/('Levas superpuestas'!$B$9/2))&lt;Simulador!$B$11,Simulador!$B$10*(1-COS(PI()*((W62-('Levas superpuestas'!$B$15-'Levas superpuestas'!$B$9/4))/('Levas superpuestas'!$B$9/2))/Simulador!$B$11))/2,IF(((W62-('Levas superpuestas'!$B$15-'Levas superpuestas'!$B$9/4))/('Levas superpuestas'!$B$9/2))&gt;1-Simulador!$B$11,Simulador!$B$10*(1-COS(PI()*(1-((W62-('Levas superpuestas'!$B$15-'Levas superpuestas'!$B$9/4))/('Levas superpuestas'!$B$9/2)))/Simulador!$B$11))/2,Simulador!$B$10))))*COS(RADIANS(W62))</f>
        <v/>
      </c>
      <c r="AB62">
        <f>'Levas superpuestas'!$B$5*SIN(RADIANS(W62))</f>
        <v/>
      </c>
      <c r="AC62">
        <f>'Levas superpuestas'!$B$5*COS(RADIANS(W62))</f>
        <v/>
      </c>
    </row>
    <row r="63">
      <c r="A63" s="26">
        <f>A62+Simulador!$B$14</f>
        <v/>
      </c>
      <c r="B63" s="46">
        <f>IF(OR((($A63-Simulador!$E$5)/Simulador!$G$5)&lt;=0,(($A63-Simulador!$E$5)/Simulador!$G$5)&gt;=1),0,IF((($A63-Simulador!$E$5)/Simulador!$G$5)&lt;Simulador!$B$11,Simulador!$B$9*(1-COS(PI()*(($A63-Simulador!$E$5)/Simulador!$G$5)/Simulador!$B$11))/2,IF((($A63-Simulador!$E$5)/Simulador!$G$5)&gt;1-Simulador!$B$11,Simulador!$B$9*(1-COS(PI()*(1-(($A63-Simulador!$E$5)/Simulador!$G$5))/Simulador!$B$11))/2,Simulador!$B$9)))</f>
        <v/>
      </c>
      <c r="C63" s="46">
        <f>IF(OR((($A63-Simulador!$E$6)/Simulador!$G$6)&lt;=0,(($A63-Simulador!$E$6)/Simulador!$G$6)&gt;=1),0,IF((($A63-Simulador!$E$6)/Simulador!$G$6)&lt;Simulador!$B$11,Simulador!$B$9*(1-COS(PI()*(($A63-Simulador!$E$6)/Simulador!$G$6)/Simulador!$B$11))/2,IF((($A63-Simulador!$E$6)/Simulador!$G$6)&gt;1-Simulador!$B$11,Simulador!$B$9*(1-COS(PI()*(1-(($A63-Simulador!$E$6)/Simulador!$G$6))/Simulador!$B$11))/2,Simulador!$B$9)))</f>
        <v/>
      </c>
      <c r="D63" s="46">
        <f>IF(OR((($A63-Simulador!$E$7)/Simulador!$G$7)&lt;=0,(($A63-Simulador!$E$7)/Simulador!$G$7)&gt;=1),0,IF((($A63-Simulador!$E$7)/Simulador!$G$7)&lt;Simulador!$B$11,Simulador!$B$9*(1-COS(PI()*(($A63-Simulador!$E$7)/Simulador!$G$7)/Simulador!$B$11))/2,IF((($A63-Simulador!$E$7)/Simulador!$G$7)&gt;1-Simulador!$B$11,Simulador!$B$9*(1-COS(PI()*(1-(($A63-Simulador!$E$7)/Simulador!$G$7))/Simulador!$B$11))/2,Simulador!$B$9)))</f>
        <v/>
      </c>
      <c r="E63" s="46">
        <f>IF(OR((($A63-Simulador!$E$8)/Simulador!$G$8)&lt;=0,(($A63-Simulador!$E$8)/Simulador!$G$8)&gt;=1),0,IF((($A63-Simulador!$E$8)/Simulador!$G$8)&lt;Simulador!$B$11,Simulador!$B$10*(1-COS(PI()*(($A63-Simulador!$E$8)/Simulador!$G$8)/Simulador!$B$11))/2,IF((($A63-Simulador!$E$8)/Simulador!$G$8)&gt;1-Simulador!$B$11,Simulador!$B$10*(1-COS(PI()*(1-(($A63-Simulador!$E$8)/Simulador!$G$8))/Simulador!$B$11))/2,Simulador!$B$10)))</f>
        <v/>
      </c>
      <c r="F63" s="46">
        <f>IF(OR((($A63-Simulador!$E$9)/Simulador!$G$9)&lt;=0,(($A63-Simulador!$E$9)/Simulador!$G$9)&gt;=1),0,IF((($A63-Simulador!$E$9)/Simulador!$G$9)&lt;Simulador!$B$11,Simulador!$B$10*(1-COS(PI()*(($A63-Simulador!$E$9)/Simulador!$G$9)/Simulador!$B$11))/2,IF((($A63-Simulador!$E$9)/Simulador!$G$9)&gt;1-Simulador!$B$11,Simulador!$B$10*(1-COS(PI()*(1-(($A63-Simulador!$E$9)/Simulador!$G$9))/Simulador!$B$11))/2,Simulador!$B$10)))</f>
        <v/>
      </c>
      <c r="G63" s="46">
        <f>IF(OR((($A63-Simulador!$E$10)/Simulador!$G$10)&lt;=0,(($A63-Simulador!$E$10)/Simulador!$G$10)&gt;=1),0,IF((($A63-Simulador!$E$10)/Simulador!$G$10)&lt;Simulador!$B$11,Simulador!$B$10*(1-COS(PI()*(($A63-Simulador!$E$10)/Simulador!$G$10)/Simulador!$B$11))/2,IF((($A63-Simulador!$E$10)/Simulador!$G$10)&gt;1-Simulador!$B$11,Simulador!$B$10*(1-COS(PI()*(1-(($A63-Simulador!$E$10)/Simulador!$G$10))/Simulador!$B$11))/2,Simulador!$B$10)))</f>
        <v/>
      </c>
      <c r="Q63" s="48">
        <f>IF(OR((($A63-(Simulador!$E$6+'Salto de dientes'!$B$12))/Simulador!$G$6)&lt;=0,(($A63-(Simulador!$E$6+'Salto de dientes'!$B$12))/Simulador!$G$6)&gt;=1),0,IF((($A63-(Simulador!$E$6+'Salto de dientes'!$B$12))/Simulador!$G$6)&lt;Simulador!$B$11,Simulador!$B$9*(1-COS(PI()*(($A63-(Simulador!$E$6+'Salto de dientes'!$B$12))/Simulador!$G$6)/Simulador!$B$11))/2,IF((($A63-(Simulador!$E$6+'Salto de dientes'!$B$12))/Simulador!$G$6)&gt;1-Simulador!$B$11,Simulador!$B$9*(1-COS(PI()*(1-(($A63-(Simulador!$E$6+'Salto de dientes'!$B$12))/Simulador!$G$6))/Simulador!$B$11))/2,Simulador!$B$9)))</f>
        <v/>
      </c>
      <c r="R63" s="48">
        <f>IF(OR((($A63-(Simulador!$E$9+'Salto de dientes'!$B$12))/Simulador!$G$9)&lt;=0,(($A63-(Simulador!$E$9+'Salto de dientes'!$B$12))/Simulador!$G$9)&gt;=1),0,IF((($A63-(Simulador!$E$9+'Salto de dientes'!$B$12))/Simulador!$G$9)&lt;Simulador!$B$11,Simulador!$B$10*(1-COS(PI()*(($A63-(Simulador!$E$9+'Salto de dientes'!$B$12))/Simulador!$G$9)/Simulador!$B$11))/2,IF((($A63-(Simulador!$E$9+'Salto de dientes'!$B$12))/Simulador!$G$9)&gt;1-Simulador!$B$11,Simulador!$B$10*(1-COS(PI()*(1-(($A63-(Simulador!$E$9+'Salto de dientes'!$B$12))/Simulador!$G$9))/Simulador!$B$11))/2,Simulador!$B$10)))</f>
        <v/>
      </c>
      <c r="W63" t="n">
        <v>3</v>
      </c>
      <c r="X63" s="48">
        <f>('Levas superpuestas'!$B$5+IF(OR(((W63-('Levas superpuestas'!$B$14-'Levas superpuestas'!$B$8/4))/('Levas superpuestas'!$B$8/2))&lt;=0,((W63-('Levas superpuestas'!$B$14-'Levas superpuestas'!$B$8/4))/('Levas superpuestas'!$B$8/2))&gt;=1),0,IF(((W63-('Levas superpuestas'!$B$14-'Levas superpuestas'!$B$8/4))/('Levas superpuestas'!$B$8/2))&lt;Simulador!$B$11,Simulador!$B$9*(1-COS(PI()*((W63-('Levas superpuestas'!$B$14-'Levas superpuestas'!$B$8/4))/('Levas superpuestas'!$B$8/2))/Simulador!$B$11))/2,IF(((W63-('Levas superpuestas'!$B$14-'Levas superpuestas'!$B$8/4))/('Levas superpuestas'!$B$8/2))&gt;1-Simulador!$B$11,Simulador!$B$9*(1-COS(PI()*(1-((W63-('Levas superpuestas'!$B$14-'Levas superpuestas'!$B$8/4))/('Levas superpuestas'!$B$8/2)))/Simulador!$B$11))/2,Simulador!$B$9))))*SIN(RADIANS(W63))</f>
        <v/>
      </c>
      <c r="Y63" s="48">
        <f>('Levas superpuestas'!$B$5+IF(OR(((W63-('Levas superpuestas'!$B$14-'Levas superpuestas'!$B$8/4))/('Levas superpuestas'!$B$8/2))&lt;=0,((W63-('Levas superpuestas'!$B$14-'Levas superpuestas'!$B$8/4))/('Levas superpuestas'!$B$8/2))&gt;=1),0,IF(((W63-('Levas superpuestas'!$B$14-'Levas superpuestas'!$B$8/4))/('Levas superpuestas'!$B$8/2))&lt;Simulador!$B$11,Simulador!$B$9*(1-COS(PI()*((W63-('Levas superpuestas'!$B$14-'Levas superpuestas'!$B$8/4))/('Levas superpuestas'!$B$8/2))/Simulador!$B$11))/2,IF(((W63-('Levas superpuestas'!$B$14-'Levas superpuestas'!$B$8/4))/('Levas superpuestas'!$B$8/2))&gt;1-Simulador!$B$11,Simulador!$B$9*(1-COS(PI()*(1-((W63-('Levas superpuestas'!$B$14-'Levas superpuestas'!$B$8/4))/('Levas superpuestas'!$B$8/2)))/Simulador!$B$11))/2,Simulador!$B$9))))*COS(RADIANS(W63))</f>
        <v/>
      </c>
      <c r="Z63" s="48">
        <f>('Levas superpuestas'!$B$5+IF(OR(((W63-('Levas superpuestas'!$B$15-'Levas superpuestas'!$B$9/4))/('Levas superpuestas'!$B$9/2))&lt;=0,((W63-('Levas superpuestas'!$B$15-'Levas superpuestas'!$B$9/4))/('Levas superpuestas'!$B$9/2))&gt;=1),0,IF(((W63-('Levas superpuestas'!$B$15-'Levas superpuestas'!$B$9/4))/('Levas superpuestas'!$B$9/2))&lt;Simulador!$B$11,Simulador!$B$10*(1-COS(PI()*((W63-('Levas superpuestas'!$B$15-'Levas superpuestas'!$B$9/4))/('Levas superpuestas'!$B$9/2))/Simulador!$B$11))/2,IF(((W63-('Levas superpuestas'!$B$15-'Levas superpuestas'!$B$9/4))/('Levas superpuestas'!$B$9/2))&gt;1-Simulador!$B$11,Simulador!$B$10*(1-COS(PI()*(1-((W63-('Levas superpuestas'!$B$15-'Levas superpuestas'!$B$9/4))/('Levas superpuestas'!$B$9/2)))/Simulador!$B$11))/2,Simulador!$B$10))))*SIN(RADIANS(W63))</f>
        <v/>
      </c>
      <c r="AA63" s="48">
        <f>('Levas superpuestas'!$B$5+IF(OR(((W63-('Levas superpuestas'!$B$15-'Levas superpuestas'!$B$9/4))/('Levas superpuestas'!$B$9/2))&lt;=0,((W63-('Levas superpuestas'!$B$15-'Levas superpuestas'!$B$9/4))/('Levas superpuestas'!$B$9/2))&gt;=1),0,IF(((W63-('Levas superpuestas'!$B$15-'Levas superpuestas'!$B$9/4))/('Levas superpuestas'!$B$9/2))&lt;Simulador!$B$11,Simulador!$B$10*(1-COS(PI()*((W63-('Levas superpuestas'!$B$15-'Levas superpuestas'!$B$9/4))/('Levas superpuestas'!$B$9/2))/Simulador!$B$11))/2,IF(((W63-('Levas superpuestas'!$B$15-'Levas superpuestas'!$B$9/4))/('Levas superpuestas'!$B$9/2))&gt;1-Simulador!$B$11,Simulador!$B$10*(1-COS(PI()*(1-((W63-('Levas superpuestas'!$B$15-'Levas superpuestas'!$B$9/4))/('Levas superpuestas'!$B$9/2)))/Simulador!$B$11))/2,Simulador!$B$10))))*COS(RADIANS(W63))</f>
        <v/>
      </c>
      <c r="AB63">
        <f>'Levas superpuestas'!$B$5*SIN(RADIANS(W63))</f>
        <v/>
      </c>
      <c r="AC63">
        <f>'Levas superpuestas'!$B$5*COS(RADIANS(W63))</f>
        <v/>
      </c>
    </row>
    <row r="64">
      <c r="A64" s="26">
        <f>A63+Simulador!$B$14</f>
        <v/>
      </c>
      <c r="B64" s="46">
        <f>IF(OR((($A64-Simulador!$E$5)/Simulador!$G$5)&lt;=0,(($A64-Simulador!$E$5)/Simulador!$G$5)&gt;=1),0,IF((($A64-Simulador!$E$5)/Simulador!$G$5)&lt;Simulador!$B$11,Simulador!$B$9*(1-COS(PI()*(($A64-Simulador!$E$5)/Simulador!$G$5)/Simulador!$B$11))/2,IF((($A64-Simulador!$E$5)/Simulador!$G$5)&gt;1-Simulador!$B$11,Simulador!$B$9*(1-COS(PI()*(1-(($A64-Simulador!$E$5)/Simulador!$G$5))/Simulador!$B$11))/2,Simulador!$B$9)))</f>
        <v/>
      </c>
      <c r="C64" s="46">
        <f>IF(OR((($A64-Simulador!$E$6)/Simulador!$G$6)&lt;=0,(($A64-Simulador!$E$6)/Simulador!$G$6)&gt;=1),0,IF((($A64-Simulador!$E$6)/Simulador!$G$6)&lt;Simulador!$B$11,Simulador!$B$9*(1-COS(PI()*(($A64-Simulador!$E$6)/Simulador!$G$6)/Simulador!$B$11))/2,IF((($A64-Simulador!$E$6)/Simulador!$G$6)&gt;1-Simulador!$B$11,Simulador!$B$9*(1-COS(PI()*(1-(($A64-Simulador!$E$6)/Simulador!$G$6))/Simulador!$B$11))/2,Simulador!$B$9)))</f>
        <v/>
      </c>
      <c r="D64" s="46">
        <f>IF(OR((($A64-Simulador!$E$7)/Simulador!$G$7)&lt;=0,(($A64-Simulador!$E$7)/Simulador!$G$7)&gt;=1),0,IF((($A64-Simulador!$E$7)/Simulador!$G$7)&lt;Simulador!$B$11,Simulador!$B$9*(1-COS(PI()*(($A64-Simulador!$E$7)/Simulador!$G$7)/Simulador!$B$11))/2,IF((($A64-Simulador!$E$7)/Simulador!$G$7)&gt;1-Simulador!$B$11,Simulador!$B$9*(1-COS(PI()*(1-(($A64-Simulador!$E$7)/Simulador!$G$7))/Simulador!$B$11))/2,Simulador!$B$9)))</f>
        <v/>
      </c>
      <c r="E64" s="46">
        <f>IF(OR((($A64-Simulador!$E$8)/Simulador!$G$8)&lt;=0,(($A64-Simulador!$E$8)/Simulador!$G$8)&gt;=1),0,IF((($A64-Simulador!$E$8)/Simulador!$G$8)&lt;Simulador!$B$11,Simulador!$B$10*(1-COS(PI()*(($A64-Simulador!$E$8)/Simulador!$G$8)/Simulador!$B$11))/2,IF((($A64-Simulador!$E$8)/Simulador!$G$8)&gt;1-Simulador!$B$11,Simulador!$B$10*(1-COS(PI()*(1-(($A64-Simulador!$E$8)/Simulador!$G$8))/Simulador!$B$11))/2,Simulador!$B$10)))</f>
        <v/>
      </c>
      <c r="F64" s="46">
        <f>IF(OR((($A64-Simulador!$E$9)/Simulador!$G$9)&lt;=0,(($A64-Simulador!$E$9)/Simulador!$G$9)&gt;=1),0,IF((($A64-Simulador!$E$9)/Simulador!$G$9)&lt;Simulador!$B$11,Simulador!$B$10*(1-COS(PI()*(($A64-Simulador!$E$9)/Simulador!$G$9)/Simulador!$B$11))/2,IF((($A64-Simulador!$E$9)/Simulador!$G$9)&gt;1-Simulador!$B$11,Simulador!$B$10*(1-COS(PI()*(1-(($A64-Simulador!$E$9)/Simulador!$G$9))/Simulador!$B$11))/2,Simulador!$B$10)))</f>
        <v/>
      </c>
      <c r="G64" s="46">
        <f>IF(OR((($A64-Simulador!$E$10)/Simulador!$G$10)&lt;=0,(($A64-Simulador!$E$10)/Simulador!$G$10)&gt;=1),0,IF((($A64-Simulador!$E$10)/Simulador!$G$10)&lt;Simulador!$B$11,Simulador!$B$10*(1-COS(PI()*(($A64-Simulador!$E$10)/Simulador!$G$10)/Simulador!$B$11))/2,IF((($A64-Simulador!$E$10)/Simulador!$G$10)&gt;1-Simulador!$B$11,Simulador!$B$10*(1-COS(PI()*(1-(($A64-Simulador!$E$10)/Simulador!$G$10))/Simulador!$B$11))/2,Simulador!$B$10)))</f>
        <v/>
      </c>
      <c r="Q64" s="48">
        <f>IF(OR((($A64-(Simulador!$E$6+'Salto de dientes'!$B$12))/Simulador!$G$6)&lt;=0,(($A64-(Simulador!$E$6+'Salto de dientes'!$B$12))/Simulador!$G$6)&gt;=1),0,IF((($A64-(Simulador!$E$6+'Salto de dientes'!$B$12))/Simulador!$G$6)&lt;Simulador!$B$11,Simulador!$B$9*(1-COS(PI()*(($A64-(Simulador!$E$6+'Salto de dientes'!$B$12))/Simulador!$G$6)/Simulador!$B$11))/2,IF((($A64-(Simulador!$E$6+'Salto de dientes'!$B$12))/Simulador!$G$6)&gt;1-Simulador!$B$11,Simulador!$B$9*(1-COS(PI()*(1-(($A64-(Simulador!$E$6+'Salto de dientes'!$B$12))/Simulador!$G$6))/Simulador!$B$11))/2,Simulador!$B$9)))</f>
        <v/>
      </c>
      <c r="R64" s="48">
        <f>IF(OR((($A64-(Simulador!$E$9+'Salto de dientes'!$B$12))/Simulador!$G$9)&lt;=0,(($A64-(Simulador!$E$9+'Salto de dientes'!$B$12))/Simulador!$G$9)&gt;=1),0,IF((($A64-(Simulador!$E$9+'Salto de dientes'!$B$12))/Simulador!$G$9)&lt;Simulador!$B$11,Simulador!$B$10*(1-COS(PI()*(($A64-(Simulador!$E$9+'Salto de dientes'!$B$12))/Simulador!$G$9)/Simulador!$B$11))/2,IF((($A64-(Simulador!$E$9+'Salto de dientes'!$B$12))/Simulador!$G$9)&gt;1-Simulador!$B$11,Simulador!$B$10*(1-COS(PI()*(1-(($A64-(Simulador!$E$9+'Salto de dientes'!$B$12))/Simulador!$G$9))/Simulador!$B$11))/2,Simulador!$B$10)))</f>
        <v/>
      </c>
      <c r="W64" t="n">
        <v>6</v>
      </c>
      <c r="X64" s="48">
        <f>('Levas superpuestas'!$B$5+IF(OR(((W64-('Levas superpuestas'!$B$14-'Levas superpuestas'!$B$8/4))/('Levas superpuestas'!$B$8/2))&lt;=0,((W64-('Levas superpuestas'!$B$14-'Levas superpuestas'!$B$8/4))/('Levas superpuestas'!$B$8/2))&gt;=1),0,IF(((W64-('Levas superpuestas'!$B$14-'Levas superpuestas'!$B$8/4))/('Levas superpuestas'!$B$8/2))&lt;Simulador!$B$11,Simulador!$B$9*(1-COS(PI()*((W64-('Levas superpuestas'!$B$14-'Levas superpuestas'!$B$8/4))/('Levas superpuestas'!$B$8/2))/Simulador!$B$11))/2,IF(((W64-('Levas superpuestas'!$B$14-'Levas superpuestas'!$B$8/4))/('Levas superpuestas'!$B$8/2))&gt;1-Simulador!$B$11,Simulador!$B$9*(1-COS(PI()*(1-((W64-('Levas superpuestas'!$B$14-'Levas superpuestas'!$B$8/4))/('Levas superpuestas'!$B$8/2)))/Simulador!$B$11))/2,Simulador!$B$9))))*SIN(RADIANS(W64))</f>
        <v/>
      </c>
      <c r="Y64" s="48">
        <f>('Levas superpuestas'!$B$5+IF(OR(((W64-('Levas superpuestas'!$B$14-'Levas superpuestas'!$B$8/4))/('Levas superpuestas'!$B$8/2))&lt;=0,((W64-('Levas superpuestas'!$B$14-'Levas superpuestas'!$B$8/4))/('Levas superpuestas'!$B$8/2))&gt;=1),0,IF(((W64-('Levas superpuestas'!$B$14-'Levas superpuestas'!$B$8/4))/('Levas superpuestas'!$B$8/2))&lt;Simulador!$B$11,Simulador!$B$9*(1-COS(PI()*((W64-('Levas superpuestas'!$B$14-'Levas superpuestas'!$B$8/4))/('Levas superpuestas'!$B$8/2))/Simulador!$B$11))/2,IF(((W64-('Levas superpuestas'!$B$14-'Levas superpuestas'!$B$8/4))/('Levas superpuestas'!$B$8/2))&gt;1-Simulador!$B$11,Simulador!$B$9*(1-COS(PI()*(1-((W64-('Levas superpuestas'!$B$14-'Levas superpuestas'!$B$8/4))/('Levas superpuestas'!$B$8/2)))/Simulador!$B$11))/2,Simulador!$B$9))))*COS(RADIANS(W64))</f>
        <v/>
      </c>
      <c r="Z64" s="48">
        <f>('Levas superpuestas'!$B$5+IF(OR(((W64-('Levas superpuestas'!$B$15-'Levas superpuestas'!$B$9/4))/('Levas superpuestas'!$B$9/2))&lt;=0,((W64-('Levas superpuestas'!$B$15-'Levas superpuestas'!$B$9/4))/('Levas superpuestas'!$B$9/2))&gt;=1),0,IF(((W64-('Levas superpuestas'!$B$15-'Levas superpuestas'!$B$9/4))/('Levas superpuestas'!$B$9/2))&lt;Simulador!$B$11,Simulador!$B$10*(1-COS(PI()*((W64-('Levas superpuestas'!$B$15-'Levas superpuestas'!$B$9/4))/('Levas superpuestas'!$B$9/2))/Simulador!$B$11))/2,IF(((W64-('Levas superpuestas'!$B$15-'Levas superpuestas'!$B$9/4))/('Levas superpuestas'!$B$9/2))&gt;1-Simulador!$B$11,Simulador!$B$10*(1-COS(PI()*(1-((W64-('Levas superpuestas'!$B$15-'Levas superpuestas'!$B$9/4))/('Levas superpuestas'!$B$9/2)))/Simulador!$B$11))/2,Simulador!$B$10))))*SIN(RADIANS(W64))</f>
        <v/>
      </c>
      <c r="AA64" s="48">
        <f>('Levas superpuestas'!$B$5+IF(OR(((W64-('Levas superpuestas'!$B$15-'Levas superpuestas'!$B$9/4))/('Levas superpuestas'!$B$9/2))&lt;=0,((W64-('Levas superpuestas'!$B$15-'Levas superpuestas'!$B$9/4))/('Levas superpuestas'!$B$9/2))&gt;=1),0,IF(((W64-('Levas superpuestas'!$B$15-'Levas superpuestas'!$B$9/4))/('Levas superpuestas'!$B$9/2))&lt;Simulador!$B$11,Simulador!$B$10*(1-COS(PI()*((W64-('Levas superpuestas'!$B$15-'Levas superpuestas'!$B$9/4))/('Levas superpuestas'!$B$9/2))/Simulador!$B$11))/2,IF(((W64-('Levas superpuestas'!$B$15-'Levas superpuestas'!$B$9/4))/('Levas superpuestas'!$B$9/2))&gt;1-Simulador!$B$11,Simulador!$B$10*(1-COS(PI()*(1-((W64-('Levas superpuestas'!$B$15-'Levas superpuestas'!$B$9/4))/('Levas superpuestas'!$B$9/2)))/Simulador!$B$11))/2,Simulador!$B$10))))*COS(RADIANS(W64))</f>
        <v/>
      </c>
      <c r="AB64">
        <f>'Levas superpuestas'!$B$5*SIN(RADIANS(W64))</f>
        <v/>
      </c>
      <c r="AC64">
        <f>'Levas superpuestas'!$B$5*COS(RADIANS(W64))</f>
        <v/>
      </c>
    </row>
    <row r="65">
      <c r="A65" s="26">
        <f>A64+Simulador!$B$14</f>
        <v/>
      </c>
      <c r="B65" s="46">
        <f>IF(OR((($A65-Simulador!$E$5)/Simulador!$G$5)&lt;=0,(($A65-Simulador!$E$5)/Simulador!$G$5)&gt;=1),0,IF((($A65-Simulador!$E$5)/Simulador!$G$5)&lt;Simulador!$B$11,Simulador!$B$9*(1-COS(PI()*(($A65-Simulador!$E$5)/Simulador!$G$5)/Simulador!$B$11))/2,IF((($A65-Simulador!$E$5)/Simulador!$G$5)&gt;1-Simulador!$B$11,Simulador!$B$9*(1-COS(PI()*(1-(($A65-Simulador!$E$5)/Simulador!$G$5))/Simulador!$B$11))/2,Simulador!$B$9)))</f>
        <v/>
      </c>
      <c r="C65" s="46">
        <f>IF(OR((($A65-Simulador!$E$6)/Simulador!$G$6)&lt;=0,(($A65-Simulador!$E$6)/Simulador!$G$6)&gt;=1),0,IF((($A65-Simulador!$E$6)/Simulador!$G$6)&lt;Simulador!$B$11,Simulador!$B$9*(1-COS(PI()*(($A65-Simulador!$E$6)/Simulador!$G$6)/Simulador!$B$11))/2,IF((($A65-Simulador!$E$6)/Simulador!$G$6)&gt;1-Simulador!$B$11,Simulador!$B$9*(1-COS(PI()*(1-(($A65-Simulador!$E$6)/Simulador!$G$6))/Simulador!$B$11))/2,Simulador!$B$9)))</f>
        <v/>
      </c>
      <c r="D65" s="46">
        <f>IF(OR((($A65-Simulador!$E$7)/Simulador!$G$7)&lt;=0,(($A65-Simulador!$E$7)/Simulador!$G$7)&gt;=1),0,IF((($A65-Simulador!$E$7)/Simulador!$G$7)&lt;Simulador!$B$11,Simulador!$B$9*(1-COS(PI()*(($A65-Simulador!$E$7)/Simulador!$G$7)/Simulador!$B$11))/2,IF((($A65-Simulador!$E$7)/Simulador!$G$7)&gt;1-Simulador!$B$11,Simulador!$B$9*(1-COS(PI()*(1-(($A65-Simulador!$E$7)/Simulador!$G$7))/Simulador!$B$11))/2,Simulador!$B$9)))</f>
        <v/>
      </c>
      <c r="E65" s="46">
        <f>IF(OR((($A65-Simulador!$E$8)/Simulador!$G$8)&lt;=0,(($A65-Simulador!$E$8)/Simulador!$G$8)&gt;=1),0,IF((($A65-Simulador!$E$8)/Simulador!$G$8)&lt;Simulador!$B$11,Simulador!$B$10*(1-COS(PI()*(($A65-Simulador!$E$8)/Simulador!$G$8)/Simulador!$B$11))/2,IF((($A65-Simulador!$E$8)/Simulador!$G$8)&gt;1-Simulador!$B$11,Simulador!$B$10*(1-COS(PI()*(1-(($A65-Simulador!$E$8)/Simulador!$G$8))/Simulador!$B$11))/2,Simulador!$B$10)))</f>
        <v/>
      </c>
      <c r="F65" s="46">
        <f>IF(OR((($A65-Simulador!$E$9)/Simulador!$G$9)&lt;=0,(($A65-Simulador!$E$9)/Simulador!$G$9)&gt;=1),0,IF((($A65-Simulador!$E$9)/Simulador!$G$9)&lt;Simulador!$B$11,Simulador!$B$10*(1-COS(PI()*(($A65-Simulador!$E$9)/Simulador!$G$9)/Simulador!$B$11))/2,IF((($A65-Simulador!$E$9)/Simulador!$G$9)&gt;1-Simulador!$B$11,Simulador!$B$10*(1-COS(PI()*(1-(($A65-Simulador!$E$9)/Simulador!$G$9))/Simulador!$B$11))/2,Simulador!$B$10)))</f>
        <v/>
      </c>
      <c r="G65" s="46">
        <f>IF(OR((($A65-Simulador!$E$10)/Simulador!$G$10)&lt;=0,(($A65-Simulador!$E$10)/Simulador!$G$10)&gt;=1),0,IF((($A65-Simulador!$E$10)/Simulador!$G$10)&lt;Simulador!$B$11,Simulador!$B$10*(1-COS(PI()*(($A65-Simulador!$E$10)/Simulador!$G$10)/Simulador!$B$11))/2,IF((($A65-Simulador!$E$10)/Simulador!$G$10)&gt;1-Simulador!$B$11,Simulador!$B$10*(1-COS(PI()*(1-(($A65-Simulador!$E$10)/Simulador!$G$10))/Simulador!$B$11))/2,Simulador!$B$10)))</f>
        <v/>
      </c>
      <c r="Q65" s="48">
        <f>IF(OR((($A65-(Simulador!$E$6+'Salto de dientes'!$B$12))/Simulador!$G$6)&lt;=0,(($A65-(Simulador!$E$6+'Salto de dientes'!$B$12))/Simulador!$G$6)&gt;=1),0,IF((($A65-(Simulador!$E$6+'Salto de dientes'!$B$12))/Simulador!$G$6)&lt;Simulador!$B$11,Simulador!$B$9*(1-COS(PI()*(($A65-(Simulador!$E$6+'Salto de dientes'!$B$12))/Simulador!$G$6)/Simulador!$B$11))/2,IF((($A65-(Simulador!$E$6+'Salto de dientes'!$B$12))/Simulador!$G$6)&gt;1-Simulador!$B$11,Simulador!$B$9*(1-COS(PI()*(1-(($A65-(Simulador!$E$6+'Salto de dientes'!$B$12))/Simulador!$G$6))/Simulador!$B$11))/2,Simulador!$B$9)))</f>
        <v/>
      </c>
      <c r="R65" s="48">
        <f>IF(OR((($A65-(Simulador!$E$9+'Salto de dientes'!$B$12))/Simulador!$G$9)&lt;=0,(($A65-(Simulador!$E$9+'Salto de dientes'!$B$12))/Simulador!$G$9)&gt;=1),0,IF((($A65-(Simulador!$E$9+'Salto de dientes'!$B$12))/Simulador!$G$9)&lt;Simulador!$B$11,Simulador!$B$10*(1-COS(PI()*(($A65-(Simulador!$E$9+'Salto de dientes'!$B$12))/Simulador!$G$9)/Simulador!$B$11))/2,IF((($A65-(Simulador!$E$9+'Salto de dientes'!$B$12))/Simulador!$G$9)&gt;1-Simulador!$B$11,Simulador!$B$10*(1-COS(PI()*(1-(($A65-(Simulador!$E$9+'Salto de dientes'!$B$12))/Simulador!$G$9))/Simulador!$B$11))/2,Simulador!$B$10)))</f>
        <v/>
      </c>
      <c r="W65" t="n">
        <v>9</v>
      </c>
      <c r="X65" s="48">
        <f>('Levas superpuestas'!$B$5+IF(OR(((W65-('Levas superpuestas'!$B$14-'Levas superpuestas'!$B$8/4))/('Levas superpuestas'!$B$8/2))&lt;=0,((W65-('Levas superpuestas'!$B$14-'Levas superpuestas'!$B$8/4))/('Levas superpuestas'!$B$8/2))&gt;=1),0,IF(((W65-('Levas superpuestas'!$B$14-'Levas superpuestas'!$B$8/4))/('Levas superpuestas'!$B$8/2))&lt;Simulador!$B$11,Simulador!$B$9*(1-COS(PI()*((W65-('Levas superpuestas'!$B$14-'Levas superpuestas'!$B$8/4))/('Levas superpuestas'!$B$8/2))/Simulador!$B$11))/2,IF(((W65-('Levas superpuestas'!$B$14-'Levas superpuestas'!$B$8/4))/('Levas superpuestas'!$B$8/2))&gt;1-Simulador!$B$11,Simulador!$B$9*(1-COS(PI()*(1-((W65-('Levas superpuestas'!$B$14-'Levas superpuestas'!$B$8/4))/('Levas superpuestas'!$B$8/2)))/Simulador!$B$11))/2,Simulador!$B$9))))*SIN(RADIANS(W65))</f>
        <v/>
      </c>
      <c r="Y65" s="48">
        <f>('Levas superpuestas'!$B$5+IF(OR(((W65-('Levas superpuestas'!$B$14-'Levas superpuestas'!$B$8/4))/('Levas superpuestas'!$B$8/2))&lt;=0,((W65-('Levas superpuestas'!$B$14-'Levas superpuestas'!$B$8/4))/('Levas superpuestas'!$B$8/2))&gt;=1),0,IF(((W65-('Levas superpuestas'!$B$14-'Levas superpuestas'!$B$8/4))/('Levas superpuestas'!$B$8/2))&lt;Simulador!$B$11,Simulador!$B$9*(1-COS(PI()*((W65-('Levas superpuestas'!$B$14-'Levas superpuestas'!$B$8/4))/('Levas superpuestas'!$B$8/2))/Simulador!$B$11))/2,IF(((W65-('Levas superpuestas'!$B$14-'Levas superpuestas'!$B$8/4))/('Levas superpuestas'!$B$8/2))&gt;1-Simulador!$B$11,Simulador!$B$9*(1-COS(PI()*(1-((W65-('Levas superpuestas'!$B$14-'Levas superpuestas'!$B$8/4))/('Levas superpuestas'!$B$8/2)))/Simulador!$B$11))/2,Simulador!$B$9))))*COS(RADIANS(W65))</f>
        <v/>
      </c>
      <c r="Z65" s="48">
        <f>('Levas superpuestas'!$B$5+IF(OR(((W65-('Levas superpuestas'!$B$15-'Levas superpuestas'!$B$9/4))/('Levas superpuestas'!$B$9/2))&lt;=0,((W65-('Levas superpuestas'!$B$15-'Levas superpuestas'!$B$9/4))/('Levas superpuestas'!$B$9/2))&gt;=1),0,IF(((W65-('Levas superpuestas'!$B$15-'Levas superpuestas'!$B$9/4))/('Levas superpuestas'!$B$9/2))&lt;Simulador!$B$11,Simulador!$B$10*(1-COS(PI()*((W65-('Levas superpuestas'!$B$15-'Levas superpuestas'!$B$9/4))/('Levas superpuestas'!$B$9/2))/Simulador!$B$11))/2,IF(((W65-('Levas superpuestas'!$B$15-'Levas superpuestas'!$B$9/4))/('Levas superpuestas'!$B$9/2))&gt;1-Simulador!$B$11,Simulador!$B$10*(1-COS(PI()*(1-((W65-('Levas superpuestas'!$B$15-'Levas superpuestas'!$B$9/4))/('Levas superpuestas'!$B$9/2)))/Simulador!$B$11))/2,Simulador!$B$10))))*SIN(RADIANS(W65))</f>
        <v/>
      </c>
      <c r="AA65" s="48">
        <f>('Levas superpuestas'!$B$5+IF(OR(((W65-('Levas superpuestas'!$B$15-'Levas superpuestas'!$B$9/4))/('Levas superpuestas'!$B$9/2))&lt;=0,((W65-('Levas superpuestas'!$B$15-'Levas superpuestas'!$B$9/4))/('Levas superpuestas'!$B$9/2))&gt;=1),0,IF(((W65-('Levas superpuestas'!$B$15-'Levas superpuestas'!$B$9/4))/('Levas superpuestas'!$B$9/2))&lt;Simulador!$B$11,Simulador!$B$10*(1-COS(PI()*((W65-('Levas superpuestas'!$B$15-'Levas superpuestas'!$B$9/4))/('Levas superpuestas'!$B$9/2))/Simulador!$B$11))/2,IF(((W65-('Levas superpuestas'!$B$15-'Levas superpuestas'!$B$9/4))/('Levas superpuestas'!$B$9/2))&gt;1-Simulador!$B$11,Simulador!$B$10*(1-COS(PI()*(1-((W65-('Levas superpuestas'!$B$15-'Levas superpuestas'!$B$9/4))/('Levas superpuestas'!$B$9/2)))/Simulador!$B$11))/2,Simulador!$B$10))))*COS(RADIANS(W65))</f>
        <v/>
      </c>
      <c r="AB65">
        <f>'Levas superpuestas'!$B$5*SIN(RADIANS(W65))</f>
        <v/>
      </c>
      <c r="AC65">
        <f>'Levas superpuestas'!$B$5*COS(RADIANS(W65))</f>
        <v/>
      </c>
    </row>
    <row r="66">
      <c r="A66" s="26">
        <f>A65+Simulador!$B$14</f>
        <v/>
      </c>
      <c r="B66" s="46">
        <f>IF(OR((($A66-Simulador!$E$5)/Simulador!$G$5)&lt;=0,(($A66-Simulador!$E$5)/Simulador!$G$5)&gt;=1),0,IF((($A66-Simulador!$E$5)/Simulador!$G$5)&lt;Simulador!$B$11,Simulador!$B$9*(1-COS(PI()*(($A66-Simulador!$E$5)/Simulador!$G$5)/Simulador!$B$11))/2,IF((($A66-Simulador!$E$5)/Simulador!$G$5)&gt;1-Simulador!$B$11,Simulador!$B$9*(1-COS(PI()*(1-(($A66-Simulador!$E$5)/Simulador!$G$5))/Simulador!$B$11))/2,Simulador!$B$9)))</f>
        <v/>
      </c>
      <c r="C66" s="46">
        <f>IF(OR((($A66-Simulador!$E$6)/Simulador!$G$6)&lt;=0,(($A66-Simulador!$E$6)/Simulador!$G$6)&gt;=1),0,IF((($A66-Simulador!$E$6)/Simulador!$G$6)&lt;Simulador!$B$11,Simulador!$B$9*(1-COS(PI()*(($A66-Simulador!$E$6)/Simulador!$G$6)/Simulador!$B$11))/2,IF((($A66-Simulador!$E$6)/Simulador!$G$6)&gt;1-Simulador!$B$11,Simulador!$B$9*(1-COS(PI()*(1-(($A66-Simulador!$E$6)/Simulador!$G$6))/Simulador!$B$11))/2,Simulador!$B$9)))</f>
        <v/>
      </c>
      <c r="D66" s="46">
        <f>IF(OR((($A66-Simulador!$E$7)/Simulador!$G$7)&lt;=0,(($A66-Simulador!$E$7)/Simulador!$G$7)&gt;=1),0,IF((($A66-Simulador!$E$7)/Simulador!$G$7)&lt;Simulador!$B$11,Simulador!$B$9*(1-COS(PI()*(($A66-Simulador!$E$7)/Simulador!$G$7)/Simulador!$B$11))/2,IF((($A66-Simulador!$E$7)/Simulador!$G$7)&gt;1-Simulador!$B$11,Simulador!$B$9*(1-COS(PI()*(1-(($A66-Simulador!$E$7)/Simulador!$G$7))/Simulador!$B$11))/2,Simulador!$B$9)))</f>
        <v/>
      </c>
      <c r="E66" s="46">
        <f>IF(OR((($A66-Simulador!$E$8)/Simulador!$G$8)&lt;=0,(($A66-Simulador!$E$8)/Simulador!$G$8)&gt;=1),0,IF((($A66-Simulador!$E$8)/Simulador!$G$8)&lt;Simulador!$B$11,Simulador!$B$10*(1-COS(PI()*(($A66-Simulador!$E$8)/Simulador!$G$8)/Simulador!$B$11))/2,IF((($A66-Simulador!$E$8)/Simulador!$G$8)&gt;1-Simulador!$B$11,Simulador!$B$10*(1-COS(PI()*(1-(($A66-Simulador!$E$8)/Simulador!$G$8))/Simulador!$B$11))/2,Simulador!$B$10)))</f>
        <v/>
      </c>
      <c r="F66" s="46">
        <f>IF(OR((($A66-Simulador!$E$9)/Simulador!$G$9)&lt;=0,(($A66-Simulador!$E$9)/Simulador!$G$9)&gt;=1),0,IF((($A66-Simulador!$E$9)/Simulador!$G$9)&lt;Simulador!$B$11,Simulador!$B$10*(1-COS(PI()*(($A66-Simulador!$E$9)/Simulador!$G$9)/Simulador!$B$11))/2,IF((($A66-Simulador!$E$9)/Simulador!$G$9)&gt;1-Simulador!$B$11,Simulador!$B$10*(1-COS(PI()*(1-(($A66-Simulador!$E$9)/Simulador!$G$9))/Simulador!$B$11))/2,Simulador!$B$10)))</f>
        <v/>
      </c>
      <c r="G66" s="46">
        <f>IF(OR((($A66-Simulador!$E$10)/Simulador!$G$10)&lt;=0,(($A66-Simulador!$E$10)/Simulador!$G$10)&gt;=1),0,IF((($A66-Simulador!$E$10)/Simulador!$G$10)&lt;Simulador!$B$11,Simulador!$B$10*(1-COS(PI()*(($A66-Simulador!$E$10)/Simulador!$G$10)/Simulador!$B$11))/2,IF((($A66-Simulador!$E$10)/Simulador!$G$10)&gt;1-Simulador!$B$11,Simulador!$B$10*(1-COS(PI()*(1-(($A66-Simulador!$E$10)/Simulador!$G$10))/Simulador!$B$11))/2,Simulador!$B$10)))</f>
        <v/>
      </c>
      <c r="Q66" s="48">
        <f>IF(OR((($A66-(Simulador!$E$6+'Salto de dientes'!$B$12))/Simulador!$G$6)&lt;=0,(($A66-(Simulador!$E$6+'Salto de dientes'!$B$12))/Simulador!$G$6)&gt;=1),0,IF((($A66-(Simulador!$E$6+'Salto de dientes'!$B$12))/Simulador!$G$6)&lt;Simulador!$B$11,Simulador!$B$9*(1-COS(PI()*(($A66-(Simulador!$E$6+'Salto de dientes'!$B$12))/Simulador!$G$6)/Simulador!$B$11))/2,IF((($A66-(Simulador!$E$6+'Salto de dientes'!$B$12))/Simulador!$G$6)&gt;1-Simulador!$B$11,Simulador!$B$9*(1-COS(PI()*(1-(($A66-(Simulador!$E$6+'Salto de dientes'!$B$12))/Simulador!$G$6))/Simulador!$B$11))/2,Simulador!$B$9)))</f>
        <v/>
      </c>
      <c r="R66" s="48">
        <f>IF(OR((($A66-(Simulador!$E$9+'Salto de dientes'!$B$12))/Simulador!$G$9)&lt;=0,(($A66-(Simulador!$E$9+'Salto de dientes'!$B$12))/Simulador!$G$9)&gt;=1),0,IF((($A66-(Simulador!$E$9+'Salto de dientes'!$B$12))/Simulador!$G$9)&lt;Simulador!$B$11,Simulador!$B$10*(1-COS(PI()*(($A66-(Simulador!$E$9+'Salto de dientes'!$B$12))/Simulador!$G$9)/Simulador!$B$11))/2,IF((($A66-(Simulador!$E$9+'Salto de dientes'!$B$12))/Simulador!$G$9)&gt;1-Simulador!$B$11,Simulador!$B$10*(1-COS(PI()*(1-(($A66-(Simulador!$E$9+'Salto de dientes'!$B$12))/Simulador!$G$9))/Simulador!$B$11))/2,Simulador!$B$10)))</f>
        <v/>
      </c>
      <c r="W66" t="n">
        <v>12</v>
      </c>
      <c r="X66" s="48">
        <f>('Levas superpuestas'!$B$5+IF(OR(((W66-('Levas superpuestas'!$B$14-'Levas superpuestas'!$B$8/4))/('Levas superpuestas'!$B$8/2))&lt;=0,((W66-('Levas superpuestas'!$B$14-'Levas superpuestas'!$B$8/4))/('Levas superpuestas'!$B$8/2))&gt;=1),0,IF(((W66-('Levas superpuestas'!$B$14-'Levas superpuestas'!$B$8/4))/('Levas superpuestas'!$B$8/2))&lt;Simulador!$B$11,Simulador!$B$9*(1-COS(PI()*((W66-('Levas superpuestas'!$B$14-'Levas superpuestas'!$B$8/4))/('Levas superpuestas'!$B$8/2))/Simulador!$B$11))/2,IF(((W66-('Levas superpuestas'!$B$14-'Levas superpuestas'!$B$8/4))/('Levas superpuestas'!$B$8/2))&gt;1-Simulador!$B$11,Simulador!$B$9*(1-COS(PI()*(1-((W66-('Levas superpuestas'!$B$14-'Levas superpuestas'!$B$8/4))/('Levas superpuestas'!$B$8/2)))/Simulador!$B$11))/2,Simulador!$B$9))))*SIN(RADIANS(W66))</f>
        <v/>
      </c>
      <c r="Y66" s="48">
        <f>('Levas superpuestas'!$B$5+IF(OR(((W66-('Levas superpuestas'!$B$14-'Levas superpuestas'!$B$8/4))/('Levas superpuestas'!$B$8/2))&lt;=0,((W66-('Levas superpuestas'!$B$14-'Levas superpuestas'!$B$8/4))/('Levas superpuestas'!$B$8/2))&gt;=1),0,IF(((W66-('Levas superpuestas'!$B$14-'Levas superpuestas'!$B$8/4))/('Levas superpuestas'!$B$8/2))&lt;Simulador!$B$11,Simulador!$B$9*(1-COS(PI()*((W66-('Levas superpuestas'!$B$14-'Levas superpuestas'!$B$8/4))/('Levas superpuestas'!$B$8/2))/Simulador!$B$11))/2,IF(((W66-('Levas superpuestas'!$B$14-'Levas superpuestas'!$B$8/4))/('Levas superpuestas'!$B$8/2))&gt;1-Simulador!$B$11,Simulador!$B$9*(1-COS(PI()*(1-((W66-('Levas superpuestas'!$B$14-'Levas superpuestas'!$B$8/4))/('Levas superpuestas'!$B$8/2)))/Simulador!$B$11))/2,Simulador!$B$9))))*COS(RADIANS(W66))</f>
        <v/>
      </c>
      <c r="Z66" s="48">
        <f>('Levas superpuestas'!$B$5+IF(OR(((W66-('Levas superpuestas'!$B$15-'Levas superpuestas'!$B$9/4))/('Levas superpuestas'!$B$9/2))&lt;=0,((W66-('Levas superpuestas'!$B$15-'Levas superpuestas'!$B$9/4))/('Levas superpuestas'!$B$9/2))&gt;=1),0,IF(((W66-('Levas superpuestas'!$B$15-'Levas superpuestas'!$B$9/4))/('Levas superpuestas'!$B$9/2))&lt;Simulador!$B$11,Simulador!$B$10*(1-COS(PI()*((W66-('Levas superpuestas'!$B$15-'Levas superpuestas'!$B$9/4))/('Levas superpuestas'!$B$9/2))/Simulador!$B$11))/2,IF(((W66-('Levas superpuestas'!$B$15-'Levas superpuestas'!$B$9/4))/('Levas superpuestas'!$B$9/2))&gt;1-Simulador!$B$11,Simulador!$B$10*(1-COS(PI()*(1-((W66-('Levas superpuestas'!$B$15-'Levas superpuestas'!$B$9/4))/('Levas superpuestas'!$B$9/2)))/Simulador!$B$11))/2,Simulador!$B$10))))*SIN(RADIANS(W66))</f>
        <v/>
      </c>
      <c r="AA66" s="48">
        <f>('Levas superpuestas'!$B$5+IF(OR(((W66-('Levas superpuestas'!$B$15-'Levas superpuestas'!$B$9/4))/('Levas superpuestas'!$B$9/2))&lt;=0,((W66-('Levas superpuestas'!$B$15-'Levas superpuestas'!$B$9/4))/('Levas superpuestas'!$B$9/2))&gt;=1),0,IF(((W66-('Levas superpuestas'!$B$15-'Levas superpuestas'!$B$9/4))/('Levas superpuestas'!$B$9/2))&lt;Simulador!$B$11,Simulador!$B$10*(1-COS(PI()*((W66-('Levas superpuestas'!$B$15-'Levas superpuestas'!$B$9/4))/('Levas superpuestas'!$B$9/2))/Simulador!$B$11))/2,IF(((W66-('Levas superpuestas'!$B$15-'Levas superpuestas'!$B$9/4))/('Levas superpuestas'!$B$9/2))&gt;1-Simulador!$B$11,Simulador!$B$10*(1-COS(PI()*(1-((W66-('Levas superpuestas'!$B$15-'Levas superpuestas'!$B$9/4))/('Levas superpuestas'!$B$9/2)))/Simulador!$B$11))/2,Simulador!$B$10))))*COS(RADIANS(W66))</f>
        <v/>
      </c>
      <c r="AB66">
        <f>'Levas superpuestas'!$B$5*SIN(RADIANS(W66))</f>
        <v/>
      </c>
      <c r="AC66">
        <f>'Levas superpuestas'!$B$5*COS(RADIANS(W66))</f>
        <v/>
      </c>
    </row>
    <row r="67">
      <c r="A67" s="26">
        <f>A66+Simulador!$B$14</f>
        <v/>
      </c>
      <c r="B67" s="46">
        <f>IF(OR((($A67-Simulador!$E$5)/Simulador!$G$5)&lt;=0,(($A67-Simulador!$E$5)/Simulador!$G$5)&gt;=1),0,IF((($A67-Simulador!$E$5)/Simulador!$G$5)&lt;Simulador!$B$11,Simulador!$B$9*(1-COS(PI()*(($A67-Simulador!$E$5)/Simulador!$G$5)/Simulador!$B$11))/2,IF((($A67-Simulador!$E$5)/Simulador!$G$5)&gt;1-Simulador!$B$11,Simulador!$B$9*(1-COS(PI()*(1-(($A67-Simulador!$E$5)/Simulador!$G$5))/Simulador!$B$11))/2,Simulador!$B$9)))</f>
        <v/>
      </c>
      <c r="C67" s="46">
        <f>IF(OR((($A67-Simulador!$E$6)/Simulador!$G$6)&lt;=0,(($A67-Simulador!$E$6)/Simulador!$G$6)&gt;=1),0,IF((($A67-Simulador!$E$6)/Simulador!$G$6)&lt;Simulador!$B$11,Simulador!$B$9*(1-COS(PI()*(($A67-Simulador!$E$6)/Simulador!$G$6)/Simulador!$B$11))/2,IF((($A67-Simulador!$E$6)/Simulador!$G$6)&gt;1-Simulador!$B$11,Simulador!$B$9*(1-COS(PI()*(1-(($A67-Simulador!$E$6)/Simulador!$G$6))/Simulador!$B$11))/2,Simulador!$B$9)))</f>
        <v/>
      </c>
      <c r="D67" s="46">
        <f>IF(OR((($A67-Simulador!$E$7)/Simulador!$G$7)&lt;=0,(($A67-Simulador!$E$7)/Simulador!$G$7)&gt;=1),0,IF((($A67-Simulador!$E$7)/Simulador!$G$7)&lt;Simulador!$B$11,Simulador!$B$9*(1-COS(PI()*(($A67-Simulador!$E$7)/Simulador!$G$7)/Simulador!$B$11))/2,IF((($A67-Simulador!$E$7)/Simulador!$G$7)&gt;1-Simulador!$B$11,Simulador!$B$9*(1-COS(PI()*(1-(($A67-Simulador!$E$7)/Simulador!$G$7))/Simulador!$B$11))/2,Simulador!$B$9)))</f>
        <v/>
      </c>
      <c r="E67" s="46">
        <f>IF(OR((($A67-Simulador!$E$8)/Simulador!$G$8)&lt;=0,(($A67-Simulador!$E$8)/Simulador!$G$8)&gt;=1),0,IF((($A67-Simulador!$E$8)/Simulador!$G$8)&lt;Simulador!$B$11,Simulador!$B$10*(1-COS(PI()*(($A67-Simulador!$E$8)/Simulador!$G$8)/Simulador!$B$11))/2,IF((($A67-Simulador!$E$8)/Simulador!$G$8)&gt;1-Simulador!$B$11,Simulador!$B$10*(1-COS(PI()*(1-(($A67-Simulador!$E$8)/Simulador!$G$8))/Simulador!$B$11))/2,Simulador!$B$10)))</f>
        <v/>
      </c>
      <c r="F67" s="46">
        <f>IF(OR((($A67-Simulador!$E$9)/Simulador!$G$9)&lt;=0,(($A67-Simulador!$E$9)/Simulador!$G$9)&gt;=1),0,IF((($A67-Simulador!$E$9)/Simulador!$G$9)&lt;Simulador!$B$11,Simulador!$B$10*(1-COS(PI()*(($A67-Simulador!$E$9)/Simulador!$G$9)/Simulador!$B$11))/2,IF((($A67-Simulador!$E$9)/Simulador!$G$9)&gt;1-Simulador!$B$11,Simulador!$B$10*(1-COS(PI()*(1-(($A67-Simulador!$E$9)/Simulador!$G$9))/Simulador!$B$11))/2,Simulador!$B$10)))</f>
        <v/>
      </c>
      <c r="G67" s="46">
        <f>IF(OR((($A67-Simulador!$E$10)/Simulador!$G$10)&lt;=0,(($A67-Simulador!$E$10)/Simulador!$G$10)&gt;=1),0,IF((($A67-Simulador!$E$10)/Simulador!$G$10)&lt;Simulador!$B$11,Simulador!$B$10*(1-COS(PI()*(($A67-Simulador!$E$10)/Simulador!$G$10)/Simulador!$B$11))/2,IF((($A67-Simulador!$E$10)/Simulador!$G$10)&gt;1-Simulador!$B$11,Simulador!$B$10*(1-COS(PI()*(1-(($A67-Simulador!$E$10)/Simulador!$G$10))/Simulador!$B$11))/2,Simulador!$B$10)))</f>
        <v/>
      </c>
      <c r="Q67" s="48">
        <f>IF(OR((($A67-(Simulador!$E$6+'Salto de dientes'!$B$12))/Simulador!$G$6)&lt;=0,(($A67-(Simulador!$E$6+'Salto de dientes'!$B$12))/Simulador!$G$6)&gt;=1),0,IF((($A67-(Simulador!$E$6+'Salto de dientes'!$B$12))/Simulador!$G$6)&lt;Simulador!$B$11,Simulador!$B$9*(1-COS(PI()*(($A67-(Simulador!$E$6+'Salto de dientes'!$B$12))/Simulador!$G$6)/Simulador!$B$11))/2,IF((($A67-(Simulador!$E$6+'Salto de dientes'!$B$12))/Simulador!$G$6)&gt;1-Simulador!$B$11,Simulador!$B$9*(1-COS(PI()*(1-(($A67-(Simulador!$E$6+'Salto de dientes'!$B$12))/Simulador!$G$6))/Simulador!$B$11))/2,Simulador!$B$9)))</f>
        <v/>
      </c>
      <c r="R67" s="48">
        <f>IF(OR((($A67-(Simulador!$E$9+'Salto de dientes'!$B$12))/Simulador!$G$9)&lt;=0,(($A67-(Simulador!$E$9+'Salto de dientes'!$B$12))/Simulador!$G$9)&gt;=1),0,IF((($A67-(Simulador!$E$9+'Salto de dientes'!$B$12))/Simulador!$G$9)&lt;Simulador!$B$11,Simulador!$B$10*(1-COS(PI()*(($A67-(Simulador!$E$9+'Salto de dientes'!$B$12))/Simulador!$G$9)/Simulador!$B$11))/2,IF((($A67-(Simulador!$E$9+'Salto de dientes'!$B$12))/Simulador!$G$9)&gt;1-Simulador!$B$11,Simulador!$B$10*(1-COS(PI()*(1-(($A67-(Simulador!$E$9+'Salto de dientes'!$B$12))/Simulador!$G$9))/Simulador!$B$11))/2,Simulador!$B$10)))</f>
        <v/>
      </c>
      <c r="W67" t="n">
        <v>15</v>
      </c>
      <c r="X67" s="48">
        <f>('Levas superpuestas'!$B$5+IF(OR(((W67-('Levas superpuestas'!$B$14-'Levas superpuestas'!$B$8/4))/('Levas superpuestas'!$B$8/2))&lt;=0,((W67-('Levas superpuestas'!$B$14-'Levas superpuestas'!$B$8/4))/('Levas superpuestas'!$B$8/2))&gt;=1),0,IF(((W67-('Levas superpuestas'!$B$14-'Levas superpuestas'!$B$8/4))/('Levas superpuestas'!$B$8/2))&lt;Simulador!$B$11,Simulador!$B$9*(1-COS(PI()*((W67-('Levas superpuestas'!$B$14-'Levas superpuestas'!$B$8/4))/('Levas superpuestas'!$B$8/2))/Simulador!$B$11))/2,IF(((W67-('Levas superpuestas'!$B$14-'Levas superpuestas'!$B$8/4))/('Levas superpuestas'!$B$8/2))&gt;1-Simulador!$B$11,Simulador!$B$9*(1-COS(PI()*(1-((W67-('Levas superpuestas'!$B$14-'Levas superpuestas'!$B$8/4))/('Levas superpuestas'!$B$8/2)))/Simulador!$B$11))/2,Simulador!$B$9))))*SIN(RADIANS(W67))</f>
        <v/>
      </c>
      <c r="Y67" s="48">
        <f>('Levas superpuestas'!$B$5+IF(OR(((W67-('Levas superpuestas'!$B$14-'Levas superpuestas'!$B$8/4))/('Levas superpuestas'!$B$8/2))&lt;=0,((W67-('Levas superpuestas'!$B$14-'Levas superpuestas'!$B$8/4))/('Levas superpuestas'!$B$8/2))&gt;=1),0,IF(((W67-('Levas superpuestas'!$B$14-'Levas superpuestas'!$B$8/4))/('Levas superpuestas'!$B$8/2))&lt;Simulador!$B$11,Simulador!$B$9*(1-COS(PI()*((W67-('Levas superpuestas'!$B$14-'Levas superpuestas'!$B$8/4))/('Levas superpuestas'!$B$8/2))/Simulador!$B$11))/2,IF(((W67-('Levas superpuestas'!$B$14-'Levas superpuestas'!$B$8/4))/('Levas superpuestas'!$B$8/2))&gt;1-Simulador!$B$11,Simulador!$B$9*(1-COS(PI()*(1-((W67-('Levas superpuestas'!$B$14-'Levas superpuestas'!$B$8/4))/('Levas superpuestas'!$B$8/2)))/Simulador!$B$11))/2,Simulador!$B$9))))*COS(RADIANS(W67))</f>
        <v/>
      </c>
      <c r="Z67" s="48">
        <f>('Levas superpuestas'!$B$5+IF(OR(((W67-('Levas superpuestas'!$B$15-'Levas superpuestas'!$B$9/4))/('Levas superpuestas'!$B$9/2))&lt;=0,((W67-('Levas superpuestas'!$B$15-'Levas superpuestas'!$B$9/4))/('Levas superpuestas'!$B$9/2))&gt;=1),0,IF(((W67-('Levas superpuestas'!$B$15-'Levas superpuestas'!$B$9/4))/('Levas superpuestas'!$B$9/2))&lt;Simulador!$B$11,Simulador!$B$10*(1-COS(PI()*((W67-('Levas superpuestas'!$B$15-'Levas superpuestas'!$B$9/4))/('Levas superpuestas'!$B$9/2))/Simulador!$B$11))/2,IF(((W67-('Levas superpuestas'!$B$15-'Levas superpuestas'!$B$9/4))/('Levas superpuestas'!$B$9/2))&gt;1-Simulador!$B$11,Simulador!$B$10*(1-COS(PI()*(1-((W67-('Levas superpuestas'!$B$15-'Levas superpuestas'!$B$9/4))/('Levas superpuestas'!$B$9/2)))/Simulador!$B$11))/2,Simulador!$B$10))))*SIN(RADIANS(W67))</f>
        <v/>
      </c>
      <c r="AA67" s="48">
        <f>('Levas superpuestas'!$B$5+IF(OR(((W67-('Levas superpuestas'!$B$15-'Levas superpuestas'!$B$9/4))/('Levas superpuestas'!$B$9/2))&lt;=0,((W67-('Levas superpuestas'!$B$15-'Levas superpuestas'!$B$9/4))/('Levas superpuestas'!$B$9/2))&gt;=1),0,IF(((W67-('Levas superpuestas'!$B$15-'Levas superpuestas'!$B$9/4))/('Levas superpuestas'!$B$9/2))&lt;Simulador!$B$11,Simulador!$B$10*(1-COS(PI()*((W67-('Levas superpuestas'!$B$15-'Levas superpuestas'!$B$9/4))/('Levas superpuestas'!$B$9/2))/Simulador!$B$11))/2,IF(((W67-('Levas superpuestas'!$B$15-'Levas superpuestas'!$B$9/4))/('Levas superpuestas'!$B$9/2))&gt;1-Simulador!$B$11,Simulador!$B$10*(1-COS(PI()*(1-((W67-('Levas superpuestas'!$B$15-'Levas superpuestas'!$B$9/4))/('Levas superpuestas'!$B$9/2)))/Simulador!$B$11))/2,Simulador!$B$10))))*COS(RADIANS(W67))</f>
        <v/>
      </c>
      <c r="AB67">
        <f>'Levas superpuestas'!$B$5*SIN(RADIANS(W67))</f>
        <v/>
      </c>
      <c r="AC67">
        <f>'Levas superpuestas'!$B$5*COS(RADIANS(W67))</f>
        <v/>
      </c>
    </row>
    <row r="68">
      <c r="A68" s="26">
        <f>A67+Simulador!$B$14</f>
        <v/>
      </c>
      <c r="B68" s="46">
        <f>IF(OR((($A68-Simulador!$E$5)/Simulador!$G$5)&lt;=0,(($A68-Simulador!$E$5)/Simulador!$G$5)&gt;=1),0,IF((($A68-Simulador!$E$5)/Simulador!$G$5)&lt;Simulador!$B$11,Simulador!$B$9*(1-COS(PI()*(($A68-Simulador!$E$5)/Simulador!$G$5)/Simulador!$B$11))/2,IF((($A68-Simulador!$E$5)/Simulador!$G$5)&gt;1-Simulador!$B$11,Simulador!$B$9*(1-COS(PI()*(1-(($A68-Simulador!$E$5)/Simulador!$G$5))/Simulador!$B$11))/2,Simulador!$B$9)))</f>
        <v/>
      </c>
      <c r="C68" s="46">
        <f>IF(OR((($A68-Simulador!$E$6)/Simulador!$G$6)&lt;=0,(($A68-Simulador!$E$6)/Simulador!$G$6)&gt;=1),0,IF((($A68-Simulador!$E$6)/Simulador!$G$6)&lt;Simulador!$B$11,Simulador!$B$9*(1-COS(PI()*(($A68-Simulador!$E$6)/Simulador!$G$6)/Simulador!$B$11))/2,IF((($A68-Simulador!$E$6)/Simulador!$G$6)&gt;1-Simulador!$B$11,Simulador!$B$9*(1-COS(PI()*(1-(($A68-Simulador!$E$6)/Simulador!$G$6))/Simulador!$B$11))/2,Simulador!$B$9)))</f>
        <v/>
      </c>
      <c r="D68" s="46">
        <f>IF(OR((($A68-Simulador!$E$7)/Simulador!$G$7)&lt;=0,(($A68-Simulador!$E$7)/Simulador!$G$7)&gt;=1),0,IF((($A68-Simulador!$E$7)/Simulador!$G$7)&lt;Simulador!$B$11,Simulador!$B$9*(1-COS(PI()*(($A68-Simulador!$E$7)/Simulador!$G$7)/Simulador!$B$11))/2,IF((($A68-Simulador!$E$7)/Simulador!$G$7)&gt;1-Simulador!$B$11,Simulador!$B$9*(1-COS(PI()*(1-(($A68-Simulador!$E$7)/Simulador!$G$7))/Simulador!$B$11))/2,Simulador!$B$9)))</f>
        <v/>
      </c>
      <c r="E68" s="46">
        <f>IF(OR((($A68-Simulador!$E$8)/Simulador!$G$8)&lt;=0,(($A68-Simulador!$E$8)/Simulador!$G$8)&gt;=1),0,IF((($A68-Simulador!$E$8)/Simulador!$G$8)&lt;Simulador!$B$11,Simulador!$B$10*(1-COS(PI()*(($A68-Simulador!$E$8)/Simulador!$G$8)/Simulador!$B$11))/2,IF((($A68-Simulador!$E$8)/Simulador!$G$8)&gt;1-Simulador!$B$11,Simulador!$B$10*(1-COS(PI()*(1-(($A68-Simulador!$E$8)/Simulador!$G$8))/Simulador!$B$11))/2,Simulador!$B$10)))</f>
        <v/>
      </c>
      <c r="F68" s="46">
        <f>IF(OR((($A68-Simulador!$E$9)/Simulador!$G$9)&lt;=0,(($A68-Simulador!$E$9)/Simulador!$G$9)&gt;=1),0,IF((($A68-Simulador!$E$9)/Simulador!$G$9)&lt;Simulador!$B$11,Simulador!$B$10*(1-COS(PI()*(($A68-Simulador!$E$9)/Simulador!$G$9)/Simulador!$B$11))/2,IF((($A68-Simulador!$E$9)/Simulador!$G$9)&gt;1-Simulador!$B$11,Simulador!$B$10*(1-COS(PI()*(1-(($A68-Simulador!$E$9)/Simulador!$G$9))/Simulador!$B$11))/2,Simulador!$B$10)))</f>
        <v/>
      </c>
      <c r="G68" s="46">
        <f>IF(OR((($A68-Simulador!$E$10)/Simulador!$G$10)&lt;=0,(($A68-Simulador!$E$10)/Simulador!$G$10)&gt;=1),0,IF((($A68-Simulador!$E$10)/Simulador!$G$10)&lt;Simulador!$B$11,Simulador!$B$10*(1-COS(PI()*(($A68-Simulador!$E$10)/Simulador!$G$10)/Simulador!$B$11))/2,IF((($A68-Simulador!$E$10)/Simulador!$G$10)&gt;1-Simulador!$B$11,Simulador!$B$10*(1-COS(PI()*(1-(($A68-Simulador!$E$10)/Simulador!$G$10))/Simulador!$B$11))/2,Simulador!$B$10)))</f>
        <v/>
      </c>
      <c r="Q68" s="48">
        <f>IF(OR((($A68-(Simulador!$E$6+'Salto de dientes'!$B$12))/Simulador!$G$6)&lt;=0,(($A68-(Simulador!$E$6+'Salto de dientes'!$B$12))/Simulador!$G$6)&gt;=1),0,IF((($A68-(Simulador!$E$6+'Salto de dientes'!$B$12))/Simulador!$G$6)&lt;Simulador!$B$11,Simulador!$B$9*(1-COS(PI()*(($A68-(Simulador!$E$6+'Salto de dientes'!$B$12))/Simulador!$G$6)/Simulador!$B$11))/2,IF((($A68-(Simulador!$E$6+'Salto de dientes'!$B$12))/Simulador!$G$6)&gt;1-Simulador!$B$11,Simulador!$B$9*(1-COS(PI()*(1-(($A68-(Simulador!$E$6+'Salto de dientes'!$B$12))/Simulador!$G$6))/Simulador!$B$11))/2,Simulador!$B$9)))</f>
        <v/>
      </c>
      <c r="R68" s="48">
        <f>IF(OR((($A68-(Simulador!$E$9+'Salto de dientes'!$B$12))/Simulador!$G$9)&lt;=0,(($A68-(Simulador!$E$9+'Salto de dientes'!$B$12))/Simulador!$G$9)&gt;=1),0,IF((($A68-(Simulador!$E$9+'Salto de dientes'!$B$12))/Simulador!$G$9)&lt;Simulador!$B$11,Simulador!$B$10*(1-COS(PI()*(($A68-(Simulador!$E$9+'Salto de dientes'!$B$12))/Simulador!$G$9)/Simulador!$B$11))/2,IF((($A68-(Simulador!$E$9+'Salto de dientes'!$B$12))/Simulador!$G$9)&gt;1-Simulador!$B$11,Simulador!$B$10*(1-COS(PI()*(1-(($A68-(Simulador!$E$9+'Salto de dientes'!$B$12))/Simulador!$G$9))/Simulador!$B$11))/2,Simulador!$B$10)))</f>
        <v/>
      </c>
      <c r="W68" t="n">
        <v>18</v>
      </c>
      <c r="X68" s="48">
        <f>('Levas superpuestas'!$B$5+IF(OR(((W68-('Levas superpuestas'!$B$14-'Levas superpuestas'!$B$8/4))/('Levas superpuestas'!$B$8/2))&lt;=0,((W68-('Levas superpuestas'!$B$14-'Levas superpuestas'!$B$8/4))/('Levas superpuestas'!$B$8/2))&gt;=1),0,IF(((W68-('Levas superpuestas'!$B$14-'Levas superpuestas'!$B$8/4))/('Levas superpuestas'!$B$8/2))&lt;Simulador!$B$11,Simulador!$B$9*(1-COS(PI()*((W68-('Levas superpuestas'!$B$14-'Levas superpuestas'!$B$8/4))/('Levas superpuestas'!$B$8/2))/Simulador!$B$11))/2,IF(((W68-('Levas superpuestas'!$B$14-'Levas superpuestas'!$B$8/4))/('Levas superpuestas'!$B$8/2))&gt;1-Simulador!$B$11,Simulador!$B$9*(1-COS(PI()*(1-((W68-('Levas superpuestas'!$B$14-'Levas superpuestas'!$B$8/4))/('Levas superpuestas'!$B$8/2)))/Simulador!$B$11))/2,Simulador!$B$9))))*SIN(RADIANS(W68))</f>
        <v/>
      </c>
      <c r="Y68" s="48">
        <f>('Levas superpuestas'!$B$5+IF(OR(((W68-('Levas superpuestas'!$B$14-'Levas superpuestas'!$B$8/4))/('Levas superpuestas'!$B$8/2))&lt;=0,((W68-('Levas superpuestas'!$B$14-'Levas superpuestas'!$B$8/4))/('Levas superpuestas'!$B$8/2))&gt;=1),0,IF(((W68-('Levas superpuestas'!$B$14-'Levas superpuestas'!$B$8/4))/('Levas superpuestas'!$B$8/2))&lt;Simulador!$B$11,Simulador!$B$9*(1-COS(PI()*((W68-('Levas superpuestas'!$B$14-'Levas superpuestas'!$B$8/4))/('Levas superpuestas'!$B$8/2))/Simulador!$B$11))/2,IF(((W68-('Levas superpuestas'!$B$14-'Levas superpuestas'!$B$8/4))/('Levas superpuestas'!$B$8/2))&gt;1-Simulador!$B$11,Simulador!$B$9*(1-COS(PI()*(1-((W68-('Levas superpuestas'!$B$14-'Levas superpuestas'!$B$8/4))/('Levas superpuestas'!$B$8/2)))/Simulador!$B$11))/2,Simulador!$B$9))))*COS(RADIANS(W68))</f>
        <v/>
      </c>
      <c r="Z68" s="48">
        <f>('Levas superpuestas'!$B$5+IF(OR(((W68-('Levas superpuestas'!$B$15-'Levas superpuestas'!$B$9/4))/('Levas superpuestas'!$B$9/2))&lt;=0,((W68-('Levas superpuestas'!$B$15-'Levas superpuestas'!$B$9/4))/('Levas superpuestas'!$B$9/2))&gt;=1),0,IF(((W68-('Levas superpuestas'!$B$15-'Levas superpuestas'!$B$9/4))/('Levas superpuestas'!$B$9/2))&lt;Simulador!$B$11,Simulador!$B$10*(1-COS(PI()*((W68-('Levas superpuestas'!$B$15-'Levas superpuestas'!$B$9/4))/('Levas superpuestas'!$B$9/2))/Simulador!$B$11))/2,IF(((W68-('Levas superpuestas'!$B$15-'Levas superpuestas'!$B$9/4))/('Levas superpuestas'!$B$9/2))&gt;1-Simulador!$B$11,Simulador!$B$10*(1-COS(PI()*(1-((W68-('Levas superpuestas'!$B$15-'Levas superpuestas'!$B$9/4))/('Levas superpuestas'!$B$9/2)))/Simulador!$B$11))/2,Simulador!$B$10))))*SIN(RADIANS(W68))</f>
        <v/>
      </c>
      <c r="AA68" s="48">
        <f>('Levas superpuestas'!$B$5+IF(OR(((W68-('Levas superpuestas'!$B$15-'Levas superpuestas'!$B$9/4))/('Levas superpuestas'!$B$9/2))&lt;=0,((W68-('Levas superpuestas'!$B$15-'Levas superpuestas'!$B$9/4))/('Levas superpuestas'!$B$9/2))&gt;=1),0,IF(((W68-('Levas superpuestas'!$B$15-'Levas superpuestas'!$B$9/4))/('Levas superpuestas'!$B$9/2))&lt;Simulador!$B$11,Simulador!$B$10*(1-COS(PI()*((W68-('Levas superpuestas'!$B$15-'Levas superpuestas'!$B$9/4))/('Levas superpuestas'!$B$9/2))/Simulador!$B$11))/2,IF(((W68-('Levas superpuestas'!$B$15-'Levas superpuestas'!$B$9/4))/('Levas superpuestas'!$B$9/2))&gt;1-Simulador!$B$11,Simulador!$B$10*(1-COS(PI()*(1-((W68-('Levas superpuestas'!$B$15-'Levas superpuestas'!$B$9/4))/('Levas superpuestas'!$B$9/2)))/Simulador!$B$11))/2,Simulador!$B$10))))*COS(RADIANS(W68))</f>
        <v/>
      </c>
      <c r="AB68">
        <f>'Levas superpuestas'!$B$5*SIN(RADIANS(W68))</f>
        <v/>
      </c>
      <c r="AC68">
        <f>'Levas superpuestas'!$B$5*COS(RADIANS(W68))</f>
        <v/>
      </c>
    </row>
    <row r="69">
      <c r="A69" s="26">
        <f>A68+Simulador!$B$14</f>
        <v/>
      </c>
      <c r="B69" s="46">
        <f>IF(OR((($A69-Simulador!$E$5)/Simulador!$G$5)&lt;=0,(($A69-Simulador!$E$5)/Simulador!$G$5)&gt;=1),0,IF((($A69-Simulador!$E$5)/Simulador!$G$5)&lt;Simulador!$B$11,Simulador!$B$9*(1-COS(PI()*(($A69-Simulador!$E$5)/Simulador!$G$5)/Simulador!$B$11))/2,IF((($A69-Simulador!$E$5)/Simulador!$G$5)&gt;1-Simulador!$B$11,Simulador!$B$9*(1-COS(PI()*(1-(($A69-Simulador!$E$5)/Simulador!$G$5))/Simulador!$B$11))/2,Simulador!$B$9)))</f>
        <v/>
      </c>
      <c r="C69" s="46">
        <f>IF(OR((($A69-Simulador!$E$6)/Simulador!$G$6)&lt;=0,(($A69-Simulador!$E$6)/Simulador!$G$6)&gt;=1),0,IF((($A69-Simulador!$E$6)/Simulador!$G$6)&lt;Simulador!$B$11,Simulador!$B$9*(1-COS(PI()*(($A69-Simulador!$E$6)/Simulador!$G$6)/Simulador!$B$11))/2,IF((($A69-Simulador!$E$6)/Simulador!$G$6)&gt;1-Simulador!$B$11,Simulador!$B$9*(1-COS(PI()*(1-(($A69-Simulador!$E$6)/Simulador!$G$6))/Simulador!$B$11))/2,Simulador!$B$9)))</f>
        <v/>
      </c>
      <c r="D69" s="46">
        <f>IF(OR((($A69-Simulador!$E$7)/Simulador!$G$7)&lt;=0,(($A69-Simulador!$E$7)/Simulador!$G$7)&gt;=1),0,IF((($A69-Simulador!$E$7)/Simulador!$G$7)&lt;Simulador!$B$11,Simulador!$B$9*(1-COS(PI()*(($A69-Simulador!$E$7)/Simulador!$G$7)/Simulador!$B$11))/2,IF((($A69-Simulador!$E$7)/Simulador!$G$7)&gt;1-Simulador!$B$11,Simulador!$B$9*(1-COS(PI()*(1-(($A69-Simulador!$E$7)/Simulador!$G$7))/Simulador!$B$11))/2,Simulador!$B$9)))</f>
        <v/>
      </c>
      <c r="E69" s="46">
        <f>IF(OR((($A69-Simulador!$E$8)/Simulador!$G$8)&lt;=0,(($A69-Simulador!$E$8)/Simulador!$G$8)&gt;=1),0,IF((($A69-Simulador!$E$8)/Simulador!$G$8)&lt;Simulador!$B$11,Simulador!$B$10*(1-COS(PI()*(($A69-Simulador!$E$8)/Simulador!$G$8)/Simulador!$B$11))/2,IF((($A69-Simulador!$E$8)/Simulador!$G$8)&gt;1-Simulador!$B$11,Simulador!$B$10*(1-COS(PI()*(1-(($A69-Simulador!$E$8)/Simulador!$G$8))/Simulador!$B$11))/2,Simulador!$B$10)))</f>
        <v/>
      </c>
      <c r="F69" s="46">
        <f>IF(OR((($A69-Simulador!$E$9)/Simulador!$G$9)&lt;=0,(($A69-Simulador!$E$9)/Simulador!$G$9)&gt;=1),0,IF((($A69-Simulador!$E$9)/Simulador!$G$9)&lt;Simulador!$B$11,Simulador!$B$10*(1-COS(PI()*(($A69-Simulador!$E$9)/Simulador!$G$9)/Simulador!$B$11))/2,IF((($A69-Simulador!$E$9)/Simulador!$G$9)&gt;1-Simulador!$B$11,Simulador!$B$10*(1-COS(PI()*(1-(($A69-Simulador!$E$9)/Simulador!$G$9))/Simulador!$B$11))/2,Simulador!$B$10)))</f>
        <v/>
      </c>
      <c r="G69" s="46">
        <f>IF(OR((($A69-Simulador!$E$10)/Simulador!$G$10)&lt;=0,(($A69-Simulador!$E$10)/Simulador!$G$10)&gt;=1),0,IF((($A69-Simulador!$E$10)/Simulador!$G$10)&lt;Simulador!$B$11,Simulador!$B$10*(1-COS(PI()*(($A69-Simulador!$E$10)/Simulador!$G$10)/Simulador!$B$11))/2,IF((($A69-Simulador!$E$10)/Simulador!$G$10)&gt;1-Simulador!$B$11,Simulador!$B$10*(1-COS(PI()*(1-(($A69-Simulador!$E$10)/Simulador!$G$10))/Simulador!$B$11))/2,Simulador!$B$10)))</f>
        <v/>
      </c>
      <c r="Q69" s="48">
        <f>IF(OR((($A69-(Simulador!$E$6+'Salto de dientes'!$B$12))/Simulador!$G$6)&lt;=0,(($A69-(Simulador!$E$6+'Salto de dientes'!$B$12))/Simulador!$G$6)&gt;=1),0,IF((($A69-(Simulador!$E$6+'Salto de dientes'!$B$12))/Simulador!$G$6)&lt;Simulador!$B$11,Simulador!$B$9*(1-COS(PI()*(($A69-(Simulador!$E$6+'Salto de dientes'!$B$12))/Simulador!$G$6)/Simulador!$B$11))/2,IF((($A69-(Simulador!$E$6+'Salto de dientes'!$B$12))/Simulador!$G$6)&gt;1-Simulador!$B$11,Simulador!$B$9*(1-COS(PI()*(1-(($A69-(Simulador!$E$6+'Salto de dientes'!$B$12))/Simulador!$G$6))/Simulador!$B$11))/2,Simulador!$B$9)))</f>
        <v/>
      </c>
      <c r="R69" s="48">
        <f>IF(OR((($A69-(Simulador!$E$9+'Salto de dientes'!$B$12))/Simulador!$G$9)&lt;=0,(($A69-(Simulador!$E$9+'Salto de dientes'!$B$12))/Simulador!$G$9)&gt;=1),0,IF((($A69-(Simulador!$E$9+'Salto de dientes'!$B$12))/Simulador!$G$9)&lt;Simulador!$B$11,Simulador!$B$10*(1-COS(PI()*(($A69-(Simulador!$E$9+'Salto de dientes'!$B$12))/Simulador!$G$9)/Simulador!$B$11))/2,IF((($A69-(Simulador!$E$9+'Salto de dientes'!$B$12))/Simulador!$G$9)&gt;1-Simulador!$B$11,Simulador!$B$10*(1-COS(PI()*(1-(($A69-(Simulador!$E$9+'Salto de dientes'!$B$12))/Simulador!$G$9))/Simulador!$B$11))/2,Simulador!$B$10)))</f>
        <v/>
      </c>
      <c r="W69" t="n">
        <v>21</v>
      </c>
      <c r="X69" s="48">
        <f>('Levas superpuestas'!$B$5+IF(OR(((W69-('Levas superpuestas'!$B$14-'Levas superpuestas'!$B$8/4))/('Levas superpuestas'!$B$8/2))&lt;=0,((W69-('Levas superpuestas'!$B$14-'Levas superpuestas'!$B$8/4))/('Levas superpuestas'!$B$8/2))&gt;=1),0,IF(((W69-('Levas superpuestas'!$B$14-'Levas superpuestas'!$B$8/4))/('Levas superpuestas'!$B$8/2))&lt;Simulador!$B$11,Simulador!$B$9*(1-COS(PI()*((W69-('Levas superpuestas'!$B$14-'Levas superpuestas'!$B$8/4))/('Levas superpuestas'!$B$8/2))/Simulador!$B$11))/2,IF(((W69-('Levas superpuestas'!$B$14-'Levas superpuestas'!$B$8/4))/('Levas superpuestas'!$B$8/2))&gt;1-Simulador!$B$11,Simulador!$B$9*(1-COS(PI()*(1-((W69-('Levas superpuestas'!$B$14-'Levas superpuestas'!$B$8/4))/('Levas superpuestas'!$B$8/2)))/Simulador!$B$11))/2,Simulador!$B$9))))*SIN(RADIANS(W69))</f>
        <v/>
      </c>
      <c r="Y69" s="48">
        <f>('Levas superpuestas'!$B$5+IF(OR(((W69-('Levas superpuestas'!$B$14-'Levas superpuestas'!$B$8/4))/('Levas superpuestas'!$B$8/2))&lt;=0,((W69-('Levas superpuestas'!$B$14-'Levas superpuestas'!$B$8/4))/('Levas superpuestas'!$B$8/2))&gt;=1),0,IF(((W69-('Levas superpuestas'!$B$14-'Levas superpuestas'!$B$8/4))/('Levas superpuestas'!$B$8/2))&lt;Simulador!$B$11,Simulador!$B$9*(1-COS(PI()*((W69-('Levas superpuestas'!$B$14-'Levas superpuestas'!$B$8/4))/('Levas superpuestas'!$B$8/2))/Simulador!$B$11))/2,IF(((W69-('Levas superpuestas'!$B$14-'Levas superpuestas'!$B$8/4))/('Levas superpuestas'!$B$8/2))&gt;1-Simulador!$B$11,Simulador!$B$9*(1-COS(PI()*(1-((W69-('Levas superpuestas'!$B$14-'Levas superpuestas'!$B$8/4))/('Levas superpuestas'!$B$8/2)))/Simulador!$B$11))/2,Simulador!$B$9))))*COS(RADIANS(W69))</f>
        <v/>
      </c>
      <c r="Z69" s="48">
        <f>('Levas superpuestas'!$B$5+IF(OR(((W69-('Levas superpuestas'!$B$15-'Levas superpuestas'!$B$9/4))/('Levas superpuestas'!$B$9/2))&lt;=0,((W69-('Levas superpuestas'!$B$15-'Levas superpuestas'!$B$9/4))/('Levas superpuestas'!$B$9/2))&gt;=1),0,IF(((W69-('Levas superpuestas'!$B$15-'Levas superpuestas'!$B$9/4))/('Levas superpuestas'!$B$9/2))&lt;Simulador!$B$11,Simulador!$B$10*(1-COS(PI()*((W69-('Levas superpuestas'!$B$15-'Levas superpuestas'!$B$9/4))/('Levas superpuestas'!$B$9/2))/Simulador!$B$11))/2,IF(((W69-('Levas superpuestas'!$B$15-'Levas superpuestas'!$B$9/4))/('Levas superpuestas'!$B$9/2))&gt;1-Simulador!$B$11,Simulador!$B$10*(1-COS(PI()*(1-((W69-('Levas superpuestas'!$B$15-'Levas superpuestas'!$B$9/4))/('Levas superpuestas'!$B$9/2)))/Simulador!$B$11))/2,Simulador!$B$10))))*SIN(RADIANS(W69))</f>
        <v/>
      </c>
      <c r="AA69" s="48">
        <f>('Levas superpuestas'!$B$5+IF(OR(((W69-('Levas superpuestas'!$B$15-'Levas superpuestas'!$B$9/4))/('Levas superpuestas'!$B$9/2))&lt;=0,((W69-('Levas superpuestas'!$B$15-'Levas superpuestas'!$B$9/4))/('Levas superpuestas'!$B$9/2))&gt;=1),0,IF(((W69-('Levas superpuestas'!$B$15-'Levas superpuestas'!$B$9/4))/('Levas superpuestas'!$B$9/2))&lt;Simulador!$B$11,Simulador!$B$10*(1-COS(PI()*((W69-('Levas superpuestas'!$B$15-'Levas superpuestas'!$B$9/4))/('Levas superpuestas'!$B$9/2))/Simulador!$B$11))/2,IF(((W69-('Levas superpuestas'!$B$15-'Levas superpuestas'!$B$9/4))/('Levas superpuestas'!$B$9/2))&gt;1-Simulador!$B$11,Simulador!$B$10*(1-COS(PI()*(1-((W69-('Levas superpuestas'!$B$15-'Levas superpuestas'!$B$9/4))/('Levas superpuestas'!$B$9/2)))/Simulador!$B$11))/2,Simulador!$B$10))))*COS(RADIANS(W69))</f>
        <v/>
      </c>
      <c r="AB69">
        <f>'Levas superpuestas'!$B$5*SIN(RADIANS(W69))</f>
        <v/>
      </c>
      <c r="AC69">
        <f>'Levas superpuestas'!$B$5*COS(RADIANS(W69))</f>
        <v/>
      </c>
    </row>
    <row r="70">
      <c r="A70" s="26">
        <f>A69+Simulador!$B$14</f>
        <v/>
      </c>
      <c r="B70" s="46">
        <f>IF(OR((($A70-Simulador!$E$5)/Simulador!$G$5)&lt;=0,(($A70-Simulador!$E$5)/Simulador!$G$5)&gt;=1),0,IF((($A70-Simulador!$E$5)/Simulador!$G$5)&lt;Simulador!$B$11,Simulador!$B$9*(1-COS(PI()*(($A70-Simulador!$E$5)/Simulador!$G$5)/Simulador!$B$11))/2,IF((($A70-Simulador!$E$5)/Simulador!$G$5)&gt;1-Simulador!$B$11,Simulador!$B$9*(1-COS(PI()*(1-(($A70-Simulador!$E$5)/Simulador!$G$5))/Simulador!$B$11))/2,Simulador!$B$9)))</f>
        <v/>
      </c>
      <c r="C70" s="46">
        <f>IF(OR((($A70-Simulador!$E$6)/Simulador!$G$6)&lt;=0,(($A70-Simulador!$E$6)/Simulador!$G$6)&gt;=1),0,IF((($A70-Simulador!$E$6)/Simulador!$G$6)&lt;Simulador!$B$11,Simulador!$B$9*(1-COS(PI()*(($A70-Simulador!$E$6)/Simulador!$G$6)/Simulador!$B$11))/2,IF((($A70-Simulador!$E$6)/Simulador!$G$6)&gt;1-Simulador!$B$11,Simulador!$B$9*(1-COS(PI()*(1-(($A70-Simulador!$E$6)/Simulador!$G$6))/Simulador!$B$11))/2,Simulador!$B$9)))</f>
        <v/>
      </c>
      <c r="D70" s="46">
        <f>IF(OR((($A70-Simulador!$E$7)/Simulador!$G$7)&lt;=0,(($A70-Simulador!$E$7)/Simulador!$G$7)&gt;=1),0,IF((($A70-Simulador!$E$7)/Simulador!$G$7)&lt;Simulador!$B$11,Simulador!$B$9*(1-COS(PI()*(($A70-Simulador!$E$7)/Simulador!$G$7)/Simulador!$B$11))/2,IF((($A70-Simulador!$E$7)/Simulador!$G$7)&gt;1-Simulador!$B$11,Simulador!$B$9*(1-COS(PI()*(1-(($A70-Simulador!$E$7)/Simulador!$G$7))/Simulador!$B$11))/2,Simulador!$B$9)))</f>
        <v/>
      </c>
      <c r="E70" s="46">
        <f>IF(OR((($A70-Simulador!$E$8)/Simulador!$G$8)&lt;=0,(($A70-Simulador!$E$8)/Simulador!$G$8)&gt;=1),0,IF((($A70-Simulador!$E$8)/Simulador!$G$8)&lt;Simulador!$B$11,Simulador!$B$10*(1-COS(PI()*(($A70-Simulador!$E$8)/Simulador!$G$8)/Simulador!$B$11))/2,IF((($A70-Simulador!$E$8)/Simulador!$G$8)&gt;1-Simulador!$B$11,Simulador!$B$10*(1-COS(PI()*(1-(($A70-Simulador!$E$8)/Simulador!$G$8))/Simulador!$B$11))/2,Simulador!$B$10)))</f>
        <v/>
      </c>
      <c r="F70" s="46">
        <f>IF(OR((($A70-Simulador!$E$9)/Simulador!$G$9)&lt;=0,(($A70-Simulador!$E$9)/Simulador!$G$9)&gt;=1),0,IF((($A70-Simulador!$E$9)/Simulador!$G$9)&lt;Simulador!$B$11,Simulador!$B$10*(1-COS(PI()*(($A70-Simulador!$E$9)/Simulador!$G$9)/Simulador!$B$11))/2,IF((($A70-Simulador!$E$9)/Simulador!$G$9)&gt;1-Simulador!$B$11,Simulador!$B$10*(1-COS(PI()*(1-(($A70-Simulador!$E$9)/Simulador!$G$9))/Simulador!$B$11))/2,Simulador!$B$10)))</f>
        <v/>
      </c>
      <c r="G70" s="46">
        <f>IF(OR((($A70-Simulador!$E$10)/Simulador!$G$10)&lt;=0,(($A70-Simulador!$E$10)/Simulador!$G$10)&gt;=1),0,IF((($A70-Simulador!$E$10)/Simulador!$G$10)&lt;Simulador!$B$11,Simulador!$B$10*(1-COS(PI()*(($A70-Simulador!$E$10)/Simulador!$G$10)/Simulador!$B$11))/2,IF((($A70-Simulador!$E$10)/Simulador!$G$10)&gt;1-Simulador!$B$11,Simulador!$B$10*(1-COS(PI()*(1-(($A70-Simulador!$E$10)/Simulador!$G$10))/Simulador!$B$11))/2,Simulador!$B$10)))</f>
        <v/>
      </c>
      <c r="Q70" s="48">
        <f>IF(OR((($A70-(Simulador!$E$6+'Salto de dientes'!$B$12))/Simulador!$G$6)&lt;=0,(($A70-(Simulador!$E$6+'Salto de dientes'!$B$12))/Simulador!$G$6)&gt;=1),0,IF((($A70-(Simulador!$E$6+'Salto de dientes'!$B$12))/Simulador!$G$6)&lt;Simulador!$B$11,Simulador!$B$9*(1-COS(PI()*(($A70-(Simulador!$E$6+'Salto de dientes'!$B$12))/Simulador!$G$6)/Simulador!$B$11))/2,IF((($A70-(Simulador!$E$6+'Salto de dientes'!$B$12))/Simulador!$G$6)&gt;1-Simulador!$B$11,Simulador!$B$9*(1-COS(PI()*(1-(($A70-(Simulador!$E$6+'Salto de dientes'!$B$12))/Simulador!$G$6))/Simulador!$B$11))/2,Simulador!$B$9)))</f>
        <v/>
      </c>
      <c r="R70" s="48">
        <f>IF(OR((($A70-(Simulador!$E$9+'Salto de dientes'!$B$12))/Simulador!$G$9)&lt;=0,(($A70-(Simulador!$E$9+'Salto de dientes'!$B$12))/Simulador!$G$9)&gt;=1),0,IF((($A70-(Simulador!$E$9+'Salto de dientes'!$B$12))/Simulador!$G$9)&lt;Simulador!$B$11,Simulador!$B$10*(1-COS(PI()*(($A70-(Simulador!$E$9+'Salto de dientes'!$B$12))/Simulador!$G$9)/Simulador!$B$11))/2,IF((($A70-(Simulador!$E$9+'Salto de dientes'!$B$12))/Simulador!$G$9)&gt;1-Simulador!$B$11,Simulador!$B$10*(1-COS(PI()*(1-(($A70-(Simulador!$E$9+'Salto de dientes'!$B$12))/Simulador!$G$9))/Simulador!$B$11))/2,Simulador!$B$10)))</f>
        <v/>
      </c>
      <c r="W70" t="n">
        <v>24</v>
      </c>
      <c r="X70" s="48">
        <f>('Levas superpuestas'!$B$5+IF(OR(((W70-('Levas superpuestas'!$B$14-'Levas superpuestas'!$B$8/4))/('Levas superpuestas'!$B$8/2))&lt;=0,((W70-('Levas superpuestas'!$B$14-'Levas superpuestas'!$B$8/4))/('Levas superpuestas'!$B$8/2))&gt;=1),0,IF(((W70-('Levas superpuestas'!$B$14-'Levas superpuestas'!$B$8/4))/('Levas superpuestas'!$B$8/2))&lt;Simulador!$B$11,Simulador!$B$9*(1-COS(PI()*((W70-('Levas superpuestas'!$B$14-'Levas superpuestas'!$B$8/4))/('Levas superpuestas'!$B$8/2))/Simulador!$B$11))/2,IF(((W70-('Levas superpuestas'!$B$14-'Levas superpuestas'!$B$8/4))/('Levas superpuestas'!$B$8/2))&gt;1-Simulador!$B$11,Simulador!$B$9*(1-COS(PI()*(1-((W70-('Levas superpuestas'!$B$14-'Levas superpuestas'!$B$8/4))/('Levas superpuestas'!$B$8/2)))/Simulador!$B$11))/2,Simulador!$B$9))))*SIN(RADIANS(W70))</f>
        <v/>
      </c>
      <c r="Y70" s="48">
        <f>('Levas superpuestas'!$B$5+IF(OR(((W70-('Levas superpuestas'!$B$14-'Levas superpuestas'!$B$8/4))/('Levas superpuestas'!$B$8/2))&lt;=0,((W70-('Levas superpuestas'!$B$14-'Levas superpuestas'!$B$8/4))/('Levas superpuestas'!$B$8/2))&gt;=1),0,IF(((W70-('Levas superpuestas'!$B$14-'Levas superpuestas'!$B$8/4))/('Levas superpuestas'!$B$8/2))&lt;Simulador!$B$11,Simulador!$B$9*(1-COS(PI()*((W70-('Levas superpuestas'!$B$14-'Levas superpuestas'!$B$8/4))/('Levas superpuestas'!$B$8/2))/Simulador!$B$11))/2,IF(((W70-('Levas superpuestas'!$B$14-'Levas superpuestas'!$B$8/4))/('Levas superpuestas'!$B$8/2))&gt;1-Simulador!$B$11,Simulador!$B$9*(1-COS(PI()*(1-((W70-('Levas superpuestas'!$B$14-'Levas superpuestas'!$B$8/4))/('Levas superpuestas'!$B$8/2)))/Simulador!$B$11))/2,Simulador!$B$9))))*COS(RADIANS(W70))</f>
        <v/>
      </c>
      <c r="Z70" s="48">
        <f>('Levas superpuestas'!$B$5+IF(OR(((W70-('Levas superpuestas'!$B$15-'Levas superpuestas'!$B$9/4))/('Levas superpuestas'!$B$9/2))&lt;=0,((W70-('Levas superpuestas'!$B$15-'Levas superpuestas'!$B$9/4))/('Levas superpuestas'!$B$9/2))&gt;=1),0,IF(((W70-('Levas superpuestas'!$B$15-'Levas superpuestas'!$B$9/4))/('Levas superpuestas'!$B$9/2))&lt;Simulador!$B$11,Simulador!$B$10*(1-COS(PI()*((W70-('Levas superpuestas'!$B$15-'Levas superpuestas'!$B$9/4))/('Levas superpuestas'!$B$9/2))/Simulador!$B$11))/2,IF(((W70-('Levas superpuestas'!$B$15-'Levas superpuestas'!$B$9/4))/('Levas superpuestas'!$B$9/2))&gt;1-Simulador!$B$11,Simulador!$B$10*(1-COS(PI()*(1-((W70-('Levas superpuestas'!$B$15-'Levas superpuestas'!$B$9/4))/('Levas superpuestas'!$B$9/2)))/Simulador!$B$11))/2,Simulador!$B$10))))*SIN(RADIANS(W70))</f>
        <v/>
      </c>
      <c r="AA70" s="48">
        <f>('Levas superpuestas'!$B$5+IF(OR(((W70-('Levas superpuestas'!$B$15-'Levas superpuestas'!$B$9/4))/('Levas superpuestas'!$B$9/2))&lt;=0,((W70-('Levas superpuestas'!$B$15-'Levas superpuestas'!$B$9/4))/('Levas superpuestas'!$B$9/2))&gt;=1),0,IF(((W70-('Levas superpuestas'!$B$15-'Levas superpuestas'!$B$9/4))/('Levas superpuestas'!$B$9/2))&lt;Simulador!$B$11,Simulador!$B$10*(1-COS(PI()*((W70-('Levas superpuestas'!$B$15-'Levas superpuestas'!$B$9/4))/('Levas superpuestas'!$B$9/2))/Simulador!$B$11))/2,IF(((W70-('Levas superpuestas'!$B$15-'Levas superpuestas'!$B$9/4))/('Levas superpuestas'!$B$9/2))&gt;1-Simulador!$B$11,Simulador!$B$10*(1-COS(PI()*(1-((W70-('Levas superpuestas'!$B$15-'Levas superpuestas'!$B$9/4))/('Levas superpuestas'!$B$9/2)))/Simulador!$B$11))/2,Simulador!$B$10))))*COS(RADIANS(W70))</f>
        <v/>
      </c>
      <c r="AB70">
        <f>'Levas superpuestas'!$B$5*SIN(RADIANS(W70))</f>
        <v/>
      </c>
      <c r="AC70">
        <f>'Levas superpuestas'!$B$5*COS(RADIANS(W70))</f>
        <v/>
      </c>
    </row>
    <row r="71">
      <c r="A71" s="26">
        <f>A70+Simulador!$B$14</f>
        <v/>
      </c>
      <c r="B71" s="46">
        <f>IF(OR((($A71-Simulador!$E$5)/Simulador!$G$5)&lt;=0,(($A71-Simulador!$E$5)/Simulador!$G$5)&gt;=1),0,IF((($A71-Simulador!$E$5)/Simulador!$G$5)&lt;Simulador!$B$11,Simulador!$B$9*(1-COS(PI()*(($A71-Simulador!$E$5)/Simulador!$G$5)/Simulador!$B$11))/2,IF((($A71-Simulador!$E$5)/Simulador!$G$5)&gt;1-Simulador!$B$11,Simulador!$B$9*(1-COS(PI()*(1-(($A71-Simulador!$E$5)/Simulador!$G$5))/Simulador!$B$11))/2,Simulador!$B$9)))</f>
        <v/>
      </c>
      <c r="C71" s="46">
        <f>IF(OR((($A71-Simulador!$E$6)/Simulador!$G$6)&lt;=0,(($A71-Simulador!$E$6)/Simulador!$G$6)&gt;=1),0,IF((($A71-Simulador!$E$6)/Simulador!$G$6)&lt;Simulador!$B$11,Simulador!$B$9*(1-COS(PI()*(($A71-Simulador!$E$6)/Simulador!$G$6)/Simulador!$B$11))/2,IF((($A71-Simulador!$E$6)/Simulador!$G$6)&gt;1-Simulador!$B$11,Simulador!$B$9*(1-COS(PI()*(1-(($A71-Simulador!$E$6)/Simulador!$G$6))/Simulador!$B$11))/2,Simulador!$B$9)))</f>
        <v/>
      </c>
      <c r="D71" s="46">
        <f>IF(OR((($A71-Simulador!$E$7)/Simulador!$G$7)&lt;=0,(($A71-Simulador!$E$7)/Simulador!$G$7)&gt;=1),0,IF((($A71-Simulador!$E$7)/Simulador!$G$7)&lt;Simulador!$B$11,Simulador!$B$9*(1-COS(PI()*(($A71-Simulador!$E$7)/Simulador!$G$7)/Simulador!$B$11))/2,IF((($A71-Simulador!$E$7)/Simulador!$G$7)&gt;1-Simulador!$B$11,Simulador!$B$9*(1-COS(PI()*(1-(($A71-Simulador!$E$7)/Simulador!$G$7))/Simulador!$B$11))/2,Simulador!$B$9)))</f>
        <v/>
      </c>
      <c r="E71" s="46">
        <f>IF(OR((($A71-Simulador!$E$8)/Simulador!$G$8)&lt;=0,(($A71-Simulador!$E$8)/Simulador!$G$8)&gt;=1),0,IF((($A71-Simulador!$E$8)/Simulador!$G$8)&lt;Simulador!$B$11,Simulador!$B$10*(1-COS(PI()*(($A71-Simulador!$E$8)/Simulador!$G$8)/Simulador!$B$11))/2,IF((($A71-Simulador!$E$8)/Simulador!$G$8)&gt;1-Simulador!$B$11,Simulador!$B$10*(1-COS(PI()*(1-(($A71-Simulador!$E$8)/Simulador!$G$8))/Simulador!$B$11))/2,Simulador!$B$10)))</f>
        <v/>
      </c>
      <c r="F71" s="46">
        <f>IF(OR((($A71-Simulador!$E$9)/Simulador!$G$9)&lt;=0,(($A71-Simulador!$E$9)/Simulador!$G$9)&gt;=1),0,IF((($A71-Simulador!$E$9)/Simulador!$G$9)&lt;Simulador!$B$11,Simulador!$B$10*(1-COS(PI()*(($A71-Simulador!$E$9)/Simulador!$G$9)/Simulador!$B$11))/2,IF((($A71-Simulador!$E$9)/Simulador!$G$9)&gt;1-Simulador!$B$11,Simulador!$B$10*(1-COS(PI()*(1-(($A71-Simulador!$E$9)/Simulador!$G$9))/Simulador!$B$11))/2,Simulador!$B$10)))</f>
        <v/>
      </c>
      <c r="G71" s="46">
        <f>IF(OR((($A71-Simulador!$E$10)/Simulador!$G$10)&lt;=0,(($A71-Simulador!$E$10)/Simulador!$G$10)&gt;=1),0,IF((($A71-Simulador!$E$10)/Simulador!$G$10)&lt;Simulador!$B$11,Simulador!$B$10*(1-COS(PI()*(($A71-Simulador!$E$10)/Simulador!$G$10)/Simulador!$B$11))/2,IF((($A71-Simulador!$E$10)/Simulador!$G$10)&gt;1-Simulador!$B$11,Simulador!$B$10*(1-COS(PI()*(1-(($A71-Simulador!$E$10)/Simulador!$G$10))/Simulador!$B$11))/2,Simulador!$B$10)))</f>
        <v/>
      </c>
      <c r="Q71" s="48">
        <f>IF(OR((($A71-(Simulador!$E$6+'Salto de dientes'!$B$12))/Simulador!$G$6)&lt;=0,(($A71-(Simulador!$E$6+'Salto de dientes'!$B$12))/Simulador!$G$6)&gt;=1),0,IF((($A71-(Simulador!$E$6+'Salto de dientes'!$B$12))/Simulador!$G$6)&lt;Simulador!$B$11,Simulador!$B$9*(1-COS(PI()*(($A71-(Simulador!$E$6+'Salto de dientes'!$B$12))/Simulador!$G$6)/Simulador!$B$11))/2,IF((($A71-(Simulador!$E$6+'Salto de dientes'!$B$12))/Simulador!$G$6)&gt;1-Simulador!$B$11,Simulador!$B$9*(1-COS(PI()*(1-(($A71-(Simulador!$E$6+'Salto de dientes'!$B$12))/Simulador!$G$6))/Simulador!$B$11))/2,Simulador!$B$9)))</f>
        <v/>
      </c>
      <c r="R71" s="48">
        <f>IF(OR((($A71-(Simulador!$E$9+'Salto de dientes'!$B$12))/Simulador!$G$9)&lt;=0,(($A71-(Simulador!$E$9+'Salto de dientes'!$B$12))/Simulador!$G$9)&gt;=1),0,IF((($A71-(Simulador!$E$9+'Salto de dientes'!$B$12))/Simulador!$G$9)&lt;Simulador!$B$11,Simulador!$B$10*(1-COS(PI()*(($A71-(Simulador!$E$9+'Salto de dientes'!$B$12))/Simulador!$G$9)/Simulador!$B$11))/2,IF((($A71-(Simulador!$E$9+'Salto de dientes'!$B$12))/Simulador!$G$9)&gt;1-Simulador!$B$11,Simulador!$B$10*(1-COS(PI()*(1-(($A71-(Simulador!$E$9+'Salto de dientes'!$B$12))/Simulador!$G$9))/Simulador!$B$11))/2,Simulador!$B$10)))</f>
        <v/>
      </c>
      <c r="W71" t="n">
        <v>27</v>
      </c>
      <c r="X71" s="48">
        <f>('Levas superpuestas'!$B$5+IF(OR(((W71-('Levas superpuestas'!$B$14-'Levas superpuestas'!$B$8/4))/('Levas superpuestas'!$B$8/2))&lt;=0,((W71-('Levas superpuestas'!$B$14-'Levas superpuestas'!$B$8/4))/('Levas superpuestas'!$B$8/2))&gt;=1),0,IF(((W71-('Levas superpuestas'!$B$14-'Levas superpuestas'!$B$8/4))/('Levas superpuestas'!$B$8/2))&lt;Simulador!$B$11,Simulador!$B$9*(1-COS(PI()*((W71-('Levas superpuestas'!$B$14-'Levas superpuestas'!$B$8/4))/('Levas superpuestas'!$B$8/2))/Simulador!$B$11))/2,IF(((W71-('Levas superpuestas'!$B$14-'Levas superpuestas'!$B$8/4))/('Levas superpuestas'!$B$8/2))&gt;1-Simulador!$B$11,Simulador!$B$9*(1-COS(PI()*(1-((W71-('Levas superpuestas'!$B$14-'Levas superpuestas'!$B$8/4))/('Levas superpuestas'!$B$8/2)))/Simulador!$B$11))/2,Simulador!$B$9))))*SIN(RADIANS(W71))</f>
        <v/>
      </c>
      <c r="Y71" s="48">
        <f>('Levas superpuestas'!$B$5+IF(OR(((W71-('Levas superpuestas'!$B$14-'Levas superpuestas'!$B$8/4))/('Levas superpuestas'!$B$8/2))&lt;=0,((W71-('Levas superpuestas'!$B$14-'Levas superpuestas'!$B$8/4))/('Levas superpuestas'!$B$8/2))&gt;=1),0,IF(((W71-('Levas superpuestas'!$B$14-'Levas superpuestas'!$B$8/4))/('Levas superpuestas'!$B$8/2))&lt;Simulador!$B$11,Simulador!$B$9*(1-COS(PI()*((W71-('Levas superpuestas'!$B$14-'Levas superpuestas'!$B$8/4))/('Levas superpuestas'!$B$8/2))/Simulador!$B$11))/2,IF(((W71-('Levas superpuestas'!$B$14-'Levas superpuestas'!$B$8/4))/('Levas superpuestas'!$B$8/2))&gt;1-Simulador!$B$11,Simulador!$B$9*(1-COS(PI()*(1-((W71-('Levas superpuestas'!$B$14-'Levas superpuestas'!$B$8/4))/('Levas superpuestas'!$B$8/2)))/Simulador!$B$11))/2,Simulador!$B$9))))*COS(RADIANS(W71))</f>
        <v/>
      </c>
      <c r="Z71" s="48">
        <f>('Levas superpuestas'!$B$5+IF(OR(((W71-('Levas superpuestas'!$B$15-'Levas superpuestas'!$B$9/4))/('Levas superpuestas'!$B$9/2))&lt;=0,((W71-('Levas superpuestas'!$B$15-'Levas superpuestas'!$B$9/4))/('Levas superpuestas'!$B$9/2))&gt;=1),0,IF(((W71-('Levas superpuestas'!$B$15-'Levas superpuestas'!$B$9/4))/('Levas superpuestas'!$B$9/2))&lt;Simulador!$B$11,Simulador!$B$10*(1-COS(PI()*((W71-('Levas superpuestas'!$B$15-'Levas superpuestas'!$B$9/4))/('Levas superpuestas'!$B$9/2))/Simulador!$B$11))/2,IF(((W71-('Levas superpuestas'!$B$15-'Levas superpuestas'!$B$9/4))/('Levas superpuestas'!$B$9/2))&gt;1-Simulador!$B$11,Simulador!$B$10*(1-COS(PI()*(1-((W71-('Levas superpuestas'!$B$15-'Levas superpuestas'!$B$9/4))/('Levas superpuestas'!$B$9/2)))/Simulador!$B$11))/2,Simulador!$B$10))))*SIN(RADIANS(W71))</f>
        <v/>
      </c>
      <c r="AA71" s="48">
        <f>('Levas superpuestas'!$B$5+IF(OR(((W71-('Levas superpuestas'!$B$15-'Levas superpuestas'!$B$9/4))/('Levas superpuestas'!$B$9/2))&lt;=0,((W71-('Levas superpuestas'!$B$15-'Levas superpuestas'!$B$9/4))/('Levas superpuestas'!$B$9/2))&gt;=1),0,IF(((W71-('Levas superpuestas'!$B$15-'Levas superpuestas'!$B$9/4))/('Levas superpuestas'!$B$9/2))&lt;Simulador!$B$11,Simulador!$B$10*(1-COS(PI()*((W71-('Levas superpuestas'!$B$15-'Levas superpuestas'!$B$9/4))/('Levas superpuestas'!$B$9/2))/Simulador!$B$11))/2,IF(((W71-('Levas superpuestas'!$B$15-'Levas superpuestas'!$B$9/4))/('Levas superpuestas'!$B$9/2))&gt;1-Simulador!$B$11,Simulador!$B$10*(1-COS(PI()*(1-((W71-('Levas superpuestas'!$B$15-'Levas superpuestas'!$B$9/4))/('Levas superpuestas'!$B$9/2)))/Simulador!$B$11))/2,Simulador!$B$10))))*COS(RADIANS(W71))</f>
        <v/>
      </c>
      <c r="AB71">
        <f>'Levas superpuestas'!$B$5*SIN(RADIANS(W71))</f>
        <v/>
      </c>
      <c r="AC71">
        <f>'Levas superpuestas'!$B$5*COS(RADIANS(W71))</f>
        <v/>
      </c>
    </row>
    <row r="72">
      <c r="A72" s="26">
        <f>A71+Simulador!$B$14</f>
        <v/>
      </c>
      <c r="B72" s="46">
        <f>IF(OR((($A72-Simulador!$E$5)/Simulador!$G$5)&lt;=0,(($A72-Simulador!$E$5)/Simulador!$G$5)&gt;=1),0,IF((($A72-Simulador!$E$5)/Simulador!$G$5)&lt;Simulador!$B$11,Simulador!$B$9*(1-COS(PI()*(($A72-Simulador!$E$5)/Simulador!$G$5)/Simulador!$B$11))/2,IF((($A72-Simulador!$E$5)/Simulador!$G$5)&gt;1-Simulador!$B$11,Simulador!$B$9*(1-COS(PI()*(1-(($A72-Simulador!$E$5)/Simulador!$G$5))/Simulador!$B$11))/2,Simulador!$B$9)))</f>
        <v/>
      </c>
      <c r="C72" s="46">
        <f>IF(OR((($A72-Simulador!$E$6)/Simulador!$G$6)&lt;=0,(($A72-Simulador!$E$6)/Simulador!$G$6)&gt;=1),0,IF((($A72-Simulador!$E$6)/Simulador!$G$6)&lt;Simulador!$B$11,Simulador!$B$9*(1-COS(PI()*(($A72-Simulador!$E$6)/Simulador!$G$6)/Simulador!$B$11))/2,IF((($A72-Simulador!$E$6)/Simulador!$G$6)&gt;1-Simulador!$B$11,Simulador!$B$9*(1-COS(PI()*(1-(($A72-Simulador!$E$6)/Simulador!$G$6))/Simulador!$B$11))/2,Simulador!$B$9)))</f>
        <v/>
      </c>
      <c r="D72" s="46">
        <f>IF(OR((($A72-Simulador!$E$7)/Simulador!$G$7)&lt;=0,(($A72-Simulador!$E$7)/Simulador!$G$7)&gt;=1),0,IF((($A72-Simulador!$E$7)/Simulador!$G$7)&lt;Simulador!$B$11,Simulador!$B$9*(1-COS(PI()*(($A72-Simulador!$E$7)/Simulador!$G$7)/Simulador!$B$11))/2,IF((($A72-Simulador!$E$7)/Simulador!$G$7)&gt;1-Simulador!$B$11,Simulador!$B$9*(1-COS(PI()*(1-(($A72-Simulador!$E$7)/Simulador!$G$7))/Simulador!$B$11))/2,Simulador!$B$9)))</f>
        <v/>
      </c>
      <c r="E72" s="46">
        <f>IF(OR((($A72-Simulador!$E$8)/Simulador!$G$8)&lt;=0,(($A72-Simulador!$E$8)/Simulador!$G$8)&gt;=1),0,IF((($A72-Simulador!$E$8)/Simulador!$G$8)&lt;Simulador!$B$11,Simulador!$B$10*(1-COS(PI()*(($A72-Simulador!$E$8)/Simulador!$G$8)/Simulador!$B$11))/2,IF((($A72-Simulador!$E$8)/Simulador!$G$8)&gt;1-Simulador!$B$11,Simulador!$B$10*(1-COS(PI()*(1-(($A72-Simulador!$E$8)/Simulador!$G$8))/Simulador!$B$11))/2,Simulador!$B$10)))</f>
        <v/>
      </c>
      <c r="F72" s="46">
        <f>IF(OR((($A72-Simulador!$E$9)/Simulador!$G$9)&lt;=0,(($A72-Simulador!$E$9)/Simulador!$G$9)&gt;=1),0,IF((($A72-Simulador!$E$9)/Simulador!$G$9)&lt;Simulador!$B$11,Simulador!$B$10*(1-COS(PI()*(($A72-Simulador!$E$9)/Simulador!$G$9)/Simulador!$B$11))/2,IF((($A72-Simulador!$E$9)/Simulador!$G$9)&gt;1-Simulador!$B$11,Simulador!$B$10*(1-COS(PI()*(1-(($A72-Simulador!$E$9)/Simulador!$G$9))/Simulador!$B$11))/2,Simulador!$B$10)))</f>
        <v/>
      </c>
      <c r="G72" s="46">
        <f>IF(OR((($A72-Simulador!$E$10)/Simulador!$G$10)&lt;=0,(($A72-Simulador!$E$10)/Simulador!$G$10)&gt;=1),0,IF((($A72-Simulador!$E$10)/Simulador!$G$10)&lt;Simulador!$B$11,Simulador!$B$10*(1-COS(PI()*(($A72-Simulador!$E$10)/Simulador!$G$10)/Simulador!$B$11))/2,IF((($A72-Simulador!$E$10)/Simulador!$G$10)&gt;1-Simulador!$B$11,Simulador!$B$10*(1-COS(PI()*(1-(($A72-Simulador!$E$10)/Simulador!$G$10))/Simulador!$B$11))/2,Simulador!$B$10)))</f>
        <v/>
      </c>
      <c r="Q72" s="48">
        <f>IF(OR((($A72-(Simulador!$E$6+'Salto de dientes'!$B$12))/Simulador!$G$6)&lt;=0,(($A72-(Simulador!$E$6+'Salto de dientes'!$B$12))/Simulador!$G$6)&gt;=1),0,IF((($A72-(Simulador!$E$6+'Salto de dientes'!$B$12))/Simulador!$G$6)&lt;Simulador!$B$11,Simulador!$B$9*(1-COS(PI()*(($A72-(Simulador!$E$6+'Salto de dientes'!$B$12))/Simulador!$G$6)/Simulador!$B$11))/2,IF((($A72-(Simulador!$E$6+'Salto de dientes'!$B$12))/Simulador!$G$6)&gt;1-Simulador!$B$11,Simulador!$B$9*(1-COS(PI()*(1-(($A72-(Simulador!$E$6+'Salto de dientes'!$B$12))/Simulador!$G$6))/Simulador!$B$11))/2,Simulador!$B$9)))</f>
        <v/>
      </c>
      <c r="R72" s="48">
        <f>IF(OR((($A72-(Simulador!$E$9+'Salto de dientes'!$B$12))/Simulador!$G$9)&lt;=0,(($A72-(Simulador!$E$9+'Salto de dientes'!$B$12))/Simulador!$G$9)&gt;=1),0,IF((($A72-(Simulador!$E$9+'Salto de dientes'!$B$12))/Simulador!$G$9)&lt;Simulador!$B$11,Simulador!$B$10*(1-COS(PI()*(($A72-(Simulador!$E$9+'Salto de dientes'!$B$12))/Simulador!$G$9)/Simulador!$B$11))/2,IF((($A72-(Simulador!$E$9+'Salto de dientes'!$B$12))/Simulador!$G$9)&gt;1-Simulador!$B$11,Simulador!$B$10*(1-COS(PI()*(1-(($A72-(Simulador!$E$9+'Salto de dientes'!$B$12))/Simulador!$G$9))/Simulador!$B$11))/2,Simulador!$B$10)))</f>
        <v/>
      </c>
      <c r="W72" t="n">
        <v>30</v>
      </c>
      <c r="X72" s="48">
        <f>('Levas superpuestas'!$B$5+IF(OR(((W72-('Levas superpuestas'!$B$14-'Levas superpuestas'!$B$8/4))/('Levas superpuestas'!$B$8/2))&lt;=0,((W72-('Levas superpuestas'!$B$14-'Levas superpuestas'!$B$8/4))/('Levas superpuestas'!$B$8/2))&gt;=1),0,IF(((W72-('Levas superpuestas'!$B$14-'Levas superpuestas'!$B$8/4))/('Levas superpuestas'!$B$8/2))&lt;Simulador!$B$11,Simulador!$B$9*(1-COS(PI()*((W72-('Levas superpuestas'!$B$14-'Levas superpuestas'!$B$8/4))/('Levas superpuestas'!$B$8/2))/Simulador!$B$11))/2,IF(((W72-('Levas superpuestas'!$B$14-'Levas superpuestas'!$B$8/4))/('Levas superpuestas'!$B$8/2))&gt;1-Simulador!$B$11,Simulador!$B$9*(1-COS(PI()*(1-((W72-('Levas superpuestas'!$B$14-'Levas superpuestas'!$B$8/4))/('Levas superpuestas'!$B$8/2)))/Simulador!$B$11))/2,Simulador!$B$9))))*SIN(RADIANS(W72))</f>
        <v/>
      </c>
      <c r="Y72" s="48">
        <f>('Levas superpuestas'!$B$5+IF(OR(((W72-('Levas superpuestas'!$B$14-'Levas superpuestas'!$B$8/4))/('Levas superpuestas'!$B$8/2))&lt;=0,((W72-('Levas superpuestas'!$B$14-'Levas superpuestas'!$B$8/4))/('Levas superpuestas'!$B$8/2))&gt;=1),0,IF(((W72-('Levas superpuestas'!$B$14-'Levas superpuestas'!$B$8/4))/('Levas superpuestas'!$B$8/2))&lt;Simulador!$B$11,Simulador!$B$9*(1-COS(PI()*((W72-('Levas superpuestas'!$B$14-'Levas superpuestas'!$B$8/4))/('Levas superpuestas'!$B$8/2))/Simulador!$B$11))/2,IF(((W72-('Levas superpuestas'!$B$14-'Levas superpuestas'!$B$8/4))/('Levas superpuestas'!$B$8/2))&gt;1-Simulador!$B$11,Simulador!$B$9*(1-COS(PI()*(1-((W72-('Levas superpuestas'!$B$14-'Levas superpuestas'!$B$8/4))/('Levas superpuestas'!$B$8/2)))/Simulador!$B$11))/2,Simulador!$B$9))))*COS(RADIANS(W72))</f>
        <v/>
      </c>
      <c r="Z72" s="48">
        <f>('Levas superpuestas'!$B$5+IF(OR(((W72-('Levas superpuestas'!$B$15-'Levas superpuestas'!$B$9/4))/('Levas superpuestas'!$B$9/2))&lt;=0,((W72-('Levas superpuestas'!$B$15-'Levas superpuestas'!$B$9/4))/('Levas superpuestas'!$B$9/2))&gt;=1),0,IF(((W72-('Levas superpuestas'!$B$15-'Levas superpuestas'!$B$9/4))/('Levas superpuestas'!$B$9/2))&lt;Simulador!$B$11,Simulador!$B$10*(1-COS(PI()*((W72-('Levas superpuestas'!$B$15-'Levas superpuestas'!$B$9/4))/('Levas superpuestas'!$B$9/2))/Simulador!$B$11))/2,IF(((W72-('Levas superpuestas'!$B$15-'Levas superpuestas'!$B$9/4))/('Levas superpuestas'!$B$9/2))&gt;1-Simulador!$B$11,Simulador!$B$10*(1-COS(PI()*(1-((W72-('Levas superpuestas'!$B$15-'Levas superpuestas'!$B$9/4))/('Levas superpuestas'!$B$9/2)))/Simulador!$B$11))/2,Simulador!$B$10))))*SIN(RADIANS(W72))</f>
        <v/>
      </c>
      <c r="AA72" s="48">
        <f>('Levas superpuestas'!$B$5+IF(OR(((W72-('Levas superpuestas'!$B$15-'Levas superpuestas'!$B$9/4))/('Levas superpuestas'!$B$9/2))&lt;=0,((W72-('Levas superpuestas'!$B$15-'Levas superpuestas'!$B$9/4))/('Levas superpuestas'!$B$9/2))&gt;=1),0,IF(((W72-('Levas superpuestas'!$B$15-'Levas superpuestas'!$B$9/4))/('Levas superpuestas'!$B$9/2))&lt;Simulador!$B$11,Simulador!$B$10*(1-COS(PI()*((W72-('Levas superpuestas'!$B$15-'Levas superpuestas'!$B$9/4))/('Levas superpuestas'!$B$9/2))/Simulador!$B$11))/2,IF(((W72-('Levas superpuestas'!$B$15-'Levas superpuestas'!$B$9/4))/('Levas superpuestas'!$B$9/2))&gt;1-Simulador!$B$11,Simulador!$B$10*(1-COS(PI()*(1-((W72-('Levas superpuestas'!$B$15-'Levas superpuestas'!$B$9/4))/('Levas superpuestas'!$B$9/2)))/Simulador!$B$11))/2,Simulador!$B$10))))*COS(RADIANS(W72))</f>
        <v/>
      </c>
      <c r="AB72">
        <f>'Levas superpuestas'!$B$5*SIN(RADIANS(W72))</f>
        <v/>
      </c>
      <c r="AC72">
        <f>'Levas superpuestas'!$B$5*COS(RADIANS(W72))</f>
        <v/>
      </c>
    </row>
    <row r="73">
      <c r="A73" s="26">
        <f>A72+Simulador!$B$14</f>
        <v/>
      </c>
      <c r="B73" s="46">
        <f>IF(OR((($A73-Simulador!$E$5)/Simulador!$G$5)&lt;=0,(($A73-Simulador!$E$5)/Simulador!$G$5)&gt;=1),0,IF((($A73-Simulador!$E$5)/Simulador!$G$5)&lt;Simulador!$B$11,Simulador!$B$9*(1-COS(PI()*(($A73-Simulador!$E$5)/Simulador!$G$5)/Simulador!$B$11))/2,IF((($A73-Simulador!$E$5)/Simulador!$G$5)&gt;1-Simulador!$B$11,Simulador!$B$9*(1-COS(PI()*(1-(($A73-Simulador!$E$5)/Simulador!$G$5))/Simulador!$B$11))/2,Simulador!$B$9)))</f>
        <v/>
      </c>
      <c r="C73" s="46">
        <f>IF(OR((($A73-Simulador!$E$6)/Simulador!$G$6)&lt;=0,(($A73-Simulador!$E$6)/Simulador!$G$6)&gt;=1),0,IF((($A73-Simulador!$E$6)/Simulador!$G$6)&lt;Simulador!$B$11,Simulador!$B$9*(1-COS(PI()*(($A73-Simulador!$E$6)/Simulador!$G$6)/Simulador!$B$11))/2,IF((($A73-Simulador!$E$6)/Simulador!$G$6)&gt;1-Simulador!$B$11,Simulador!$B$9*(1-COS(PI()*(1-(($A73-Simulador!$E$6)/Simulador!$G$6))/Simulador!$B$11))/2,Simulador!$B$9)))</f>
        <v/>
      </c>
      <c r="D73" s="46">
        <f>IF(OR((($A73-Simulador!$E$7)/Simulador!$G$7)&lt;=0,(($A73-Simulador!$E$7)/Simulador!$G$7)&gt;=1),0,IF((($A73-Simulador!$E$7)/Simulador!$G$7)&lt;Simulador!$B$11,Simulador!$B$9*(1-COS(PI()*(($A73-Simulador!$E$7)/Simulador!$G$7)/Simulador!$B$11))/2,IF((($A73-Simulador!$E$7)/Simulador!$G$7)&gt;1-Simulador!$B$11,Simulador!$B$9*(1-COS(PI()*(1-(($A73-Simulador!$E$7)/Simulador!$G$7))/Simulador!$B$11))/2,Simulador!$B$9)))</f>
        <v/>
      </c>
      <c r="E73" s="46">
        <f>IF(OR((($A73-Simulador!$E$8)/Simulador!$G$8)&lt;=0,(($A73-Simulador!$E$8)/Simulador!$G$8)&gt;=1),0,IF((($A73-Simulador!$E$8)/Simulador!$G$8)&lt;Simulador!$B$11,Simulador!$B$10*(1-COS(PI()*(($A73-Simulador!$E$8)/Simulador!$G$8)/Simulador!$B$11))/2,IF((($A73-Simulador!$E$8)/Simulador!$G$8)&gt;1-Simulador!$B$11,Simulador!$B$10*(1-COS(PI()*(1-(($A73-Simulador!$E$8)/Simulador!$G$8))/Simulador!$B$11))/2,Simulador!$B$10)))</f>
        <v/>
      </c>
      <c r="F73" s="46">
        <f>IF(OR((($A73-Simulador!$E$9)/Simulador!$G$9)&lt;=0,(($A73-Simulador!$E$9)/Simulador!$G$9)&gt;=1),0,IF((($A73-Simulador!$E$9)/Simulador!$G$9)&lt;Simulador!$B$11,Simulador!$B$10*(1-COS(PI()*(($A73-Simulador!$E$9)/Simulador!$G$9)/Simulador!$B$11))/2,IF((($A73-Simulador!$E$9)/Simulador!$G$9)&gt;1-Simulador!$B$11,Simulador!$B$10*(1-COS(PI()*(1-(($A73-Simulador!$E$9)/Simulador!$G$9))/Simulador!$B$11))/2,Simulador!$B$10)))</f>
        <v/>
      </c>
      <c r="G73" s="46">
        <f>IF(OR((($A73-Simulador!$E$10)/Simulador!$G$10)&lt;=0,(($A73-Simulador!$E$10)/Simulador!$G$10)&gt;=1),0,IF((($A73-Simulador!$E$10)/Simulador!$G$10)&lt;Simulador!$B$11,Simulador!$B$10*(1-COS(PI()*(($A73-Simulador!$E$10)/Simulador!$G$10)/Simulador!$B$11))/2,IF((($A73-Simulador!$E$10)/Simulador!$G$10)&gt;1-Simulador!$B$11,Simulador!$B$10*(1-COS(PI()*(1-(($A73-Simulador!$E$10)/Simulador!$G$10))/Simulador!$B$11))/2,Simulador!$B$10)))</f>
        <v/>
      </c>
      <c r="Q73" s="48">
        <f>IF(OR((($A73-(Simulador!$E$6+'Salto de dientes'!$B$12))/Simulador!$G$6)&lt;=0,(($A73-(Simulador!$E$6+'Salto de dientes'!$B$12))/Simulador!$G$6)&gt;=1),0,IF((($A73-(Simulador!$E$6+'Salto de dientes'!$B$12))/Simulador!$G$6)&lt;Simulador!$B$11,Simulador!$B$9*(1-COS(PI()*(($A73-(Simulador!$E$6+'Salto de dientes'!$B$12))/Simulador!$G$6)/Simulador!$B$11))/2,IF((($A73-(Simulador!$E$6+'Salto de dientes'!$B$12))/Simulador!$G$6)&gt;1-Simulador!$B$11,Simulador!$B$9*(1-COS(PI()*(1-(($A73-(Simulador!$E$6+'Salto de dientes'!$B$12))/Simulador!$G$6))/Simulador!$B$11))/2,Simulador!$B$9)))</f>
        <v/>
      </c>
      <c r="R73" s="48">
        <f>IF(OR((($A73-(Simulador!$E$9+'Salto de dientes'!$B$12))/Simulador!$G$9)&lt;=0,(($A73-(Simulador!$E$9+'Salto de dientes'!$B$12))/Simulador!$G$9)&gt;=1),0,IF((($A73-(Simulador!$E$9+'Salto de dientes'!$B$12))/Simulador!$G$9)&lt;Simulador!$B$11,Simulador!$B$10*(1-COS(PI()*(($A73-(Simulador!$E$9+'Salto de dientes'!$B$12))/Simulador!$G$9)/Simulador!$B$11))/2,IF((($A73-(Simulador!$E$9+'Salto de dientes'!$B$12))/Simulador!$G$9)&gt;1-Simulador!$B$11,Simulador!$B$10*(1-COS(PI()*(1-(($A73-(Simulador!$E$9+'Salto de dientes'!$B$12))/Simulador!$G$9))/Simulador!$B$11))/2,Simulador!$B$10)))</f>
        <v/>
      </c>
      <c r="W73" t="n">
        <v>33</v>
      </c>
      <c r="X73" s="48">
        <f>('Levas superpuestas'!$B$5+IF(OR(((W73-('Levas superpuestas'!$B$14-'Levas superpuestas'!$B$8/4))/('Levas superpuestas'!$B$8/2))&lt;=0,((W73-('Levas superpuestas'!$B$14-'Levas superpuestas'!$B$8/4))/('Levas superpuestas'!$B$8/2))&gt;=1),0,IF(((W73-('Levas superpuestas'!$B$14-'Levas superpuestas'!$B$8/4))/('Levas superpuestas'!$B$8/2))&lt;Simulador!$B$11,Simulador!$B$9*(1-COS(PI()*((W73-('Levas superpuestas'!$B$14-'Levas superpuestas'!$B$8/4))/('Levas superpuestas'!$B$8/2))/Simulador!$B$11))/2,IF(((W73-('Levas superpuestas'!$B$14-'Levas superpuestas'!$B$8/4))/('Levas superpuestas'!$B$8/2))&gt;1-Simulador!$B$11,Simulador!$B$9*(1-COS(PI()*(1-((W73-('Levas superpuestas'!$B$14-'Levas superpuestas'!$B$8/4))/('Levas superpuestas'!$B$8/2)))/Simulador!$B$11))/2,Simulador!$B$9))))*SIN(RADIANS(W73))</f>
        <v/>
      </c>
      <c r="Y73" s="48">
        <f>('Levas superpuestas'!$B$5+IF(OR(((W73-('Levas superpuestas'!$B$14-'Levas superpuestas'!$B$8/4))/('Levas superpuestas'!$B$8/2))&lt;=0,((W73-('Levas superpuestas'!$B$14-'Levas superpuestas'!$B$8/4))/('Levas superpuestas'!$B$8/2))&gt;=1),0,IF(((W73-('Levas superpuestas'!$B$14-'Levas superpuestas'!$B$8/4))/('Levas superpuestas'!$B$8/2))&lt;Simulador!$B$11,Simulador!$B$9*(1-COS(PI()*((W73-('Levas superpuestas'!$B$14-'Levas superpuestas'!$B$8/4))/('Levas superpuestas'!$B$8/2))/Simulador!$B$11))/2,IF(((W73-('Levas superpuestas'!$B$14-'Levas superpuestas'!$B$8/4))/('Levas superpuestas'!$B$8/2))&gt;1-Simulador!$B$11,Simulador!$B$9*(1-COS(PI()*(1-((W73-('Levas superpuestas'!$B$14-'Levas superpuestas'!$B$8/4))/('Levas superpuestas'!$B$8/2)))/Simulador!$B$11))/2,Simulador!$B$9))))*COS(RADIANS(W73))</f>
        <v/>
      </c>
      <c r="Z73" s="48">
        <f>('Levas superpuestas'!$B$5+IF(OR(((W73-('Levas superpuestas'!$B$15-'Levas superpuestas'!$B$9/4))/('Levas superpuestas'!$B$9/2))&lt;=0,((W73-('Levas superpuestas'!$B$15-'Levas superpuestas'!$B$9/4))/('Levas superpuestas'!$B$9/2))&gt;=1),0,IF(((W73-('Levas superpuestas'!$B$15-'Levas superpuestas'!$B$9/4))/('Levas superpuestas'!$B$9/2))&lt;Simulador!$B$11,Simulador!$B$10*(1-COS(PI()*((W73-('Levas superpuestas'!$B$15-'Levas superpuestas'!$B$9/4))/('Levas superpuestas'!$B$9/2))/Simulador!$B$11))/2,IF(((W73-('Levas superpuestas'!$B$15-'Levas superpuestas'!$B$9/4))/('Levas superpuestas'!$B$9/2))&gt;1-Simulador!$B$11,Simulador!$B$10*(1-COS(PI()*(1-((W73-('Levas superpuestas'!$B$15-'Levas superpuestas'!$B$9/4))/('Levas superpuestas'!$B$9/2)))/Simulador!$B$11))/2,Simulador!$B$10))))*SIN(RADIANS(W73))</f>
        <v/>
      </c>
      <c r="AA73" s="48">
        <f>('Levas superpuestas'!$B$5+IF(OR(((W73-('Levas superpuestas'!$B$15-'Levas superpuestas'!$B$9/4))/('Levas superpuestas'!$B$9/2))&lt;=0,((W73-('Levas superpuestas'!$B$15-'Levas superpuestas'!$B$9/4))/('Levas superpuestas'!$B$9/2))&gt;=1),0,IF(((W73-('Levas superpuestas'!$B$15-'Levas superpuestas'!$B$9/4))/('Levas superpuestas'!$B$9/2))&lt;Simulador!$B$11,Simulador!$B$10*(1-COS(PI()*((W73-('Levas superpuestas'!$B$15-'Levas superpuestas'!$B$9/4))/('Levas superpuestas'!$B$9/2))/Simulador!$B$11))/2,IF(((W73-('Levas superpuestas'!$B$15-'Levas superpuestas'!$B$9/4))/('Levas superpuestas'!$B$9/2))&gt;1-Simulador!$B$11,Simulador!$B$10*(1-COS(PI()*(1-((W73-('Levas superpuestas'!$B$15-'Levas superpuestas'!$B$9/4))/('Levas superpuestas'!$B$9/2)))/Simulador!$B$11))/2,Simulador!$B$10))))*COS(RADIANS(W73))</f>
        <v/>
      </c>
      <c r="AB73">
        <f>'Levas superpuestas'!$B$5*SIN(RADIANS(W73))</f>
        <v/>
      </c>
      <c r="AC73">
        <f>'Levas superpuestas'!$B$5*COS(RADIANS(W73))</f>
        <v/>
      </c>
    </row>
    <row r="74">
      <c r="A74" s="26">
        <f>A73+Simulador!$B$14</f>
        <v/>
      </c>
      <c r="B74" s="46">
        <f>IF(OR((($A74-Simulador!$E$5)/Simulador!$G$5)&lt;=0,(($A74-Simulador!$E$5)/Simulador!$G$5)&gt;=1),0,IF((($A74-Simulador!$E$5)/Simulador!$G$5)&lt;Simulador!$B$11,Simulador!$B$9*(1-COS(PI()*(($A74-Simulador!$E$5)/Simulador!$G$5)/Simulador!$B$11))/2,IF((($A74-Simulador!$E$5)/Simulador!$G$5)&gt;1-Simulador!$B$11,Simulador!$B$9*(1-COS(PI()*(1-(($A74-Simulador!$E$5)/Simulador!$G$5))/Simulador!$B$11))/2,Simulador!$B$9)))</f>
        <v/>
      </c>
      <c r="C74" s="46">
        <f>IF(OR((($A74-Simulador!$E$6)/Simulador!$G$6)&lt;=0,(($A74-Simulador!$E$6)/Simulador!$G$6)&gt;=1),0,IF((($A74-Simulador!$E$6)/Simulador!$G$6)&lt;Simulador!$B$11,Simulador!$B$9*(1-COS(PI()*(($A74-Simulador!$E$6)/Simulador!$G$6)/Simulador!$B$11))/2,IF((($A74-Simulador!$E$6)/Simulador!$G$6)&gt;1-Simulador!$B$11,Simulador!$B$9*(1-COS(PI()*(1-(($A74-Simulador!$E$6)/Simulador!$G$6))/Simulador!$B$11))/2,Simulador!$B$9)))</f>
        <v/>
      </c>
      <c r="D74" s="46">
        <f>IF(OR((($A74-Simulador!$E$7)/Simulador!$G$7)&lt;=0,(($A74-Simulador!$E$7)/Simulador!$G$7)&gt;=1),0,IF((($A74-Simulador!$E$7)/Simulador!$G$7)&lt;Simulador!$B$11,Simulador!$B$9*(1-COS(PI()*(($A74-Simulador!$E$7)/Simulador!$G$7)/Simulador!$B$11))/2,IF((($A74-Simulador!$E$7)/Simulador!$G$7)&gt;1-Simulador!$B$11,Simulador!$B$9*(1-COS(PI()*(1-(($A74-Simulador!$E$7)/Simulador!$G$7))/Simulador!$B$11))/2,Simulador!$B$9)))</f>
        <v/>
      </c>
      <c r="E74" s="46">
        <f>IF(OR((($A74-Simulador!$E$8)/Simulador!$G$8)&lt;=0,(($A74-Simulador!$E$8)/Simulador!$G$8)&gt;=1),0,IF((($A74-Simulador!$E$8)/Simulador!$G$8)&lt;Simulador!$B$11,Simulador!$B$10*(1-COS(PI()*(($A74-Simulador!$E$8)/Simulador!$G$8)/Simulador!$B$11))/2,IF((($A74-Simulador!$E$8)/Simulador!$G$8)&gt;1-Simulador!$B$11,Simulador!$B$10*(1-COS(PI()*(1-(($A74-Simulador!$E$8)/Simulador!$G$8))/Simulador!$B$11))/2,Simulador!$B$10)))</f>
        <v/>
      </c>
      <c r="F74" s="46">
        <f>IF(OR((($A74-Simulador!$E$9)/Simulador!$G$9)&lt;=0,(($A74-Simulador!$E$9)/Simulador!$G$9)&gt;=1),0,IF((($A74-Simulador!$E$9)/Simulador!$G$9)&lt;Simulador!$B$11,Simulador!$B$10*(1-COS(PI()*(($A74-Simulador!$E$9)/Simulador!$G$9)/Simulador!$B$11))/2,IF((($A74-Simulador!$E$9)/Simulador!$G$9)&gt;1-Simulador!$B$11,Simulador!$B$10*(1-COS(PI()*(1-(($A74-Simulador!$E$9)/Simulador!$G$9))/Simulador!$B$11))/2,Simulador!$B$10)))</f>
        <v/>
      </c>
      <c r="G74" s="46">
        <f>IF(OR((($A74-Simulador!$E$10)/Simulador!$G$10)&lt;=0,(($A74-Simulador!$E$10)/Simulador!$G$10)&gt;=1),0,IF((($A74-Simulador!$E$10)/Simulador!$G$10)&lt;Simulador!$B$11,Simulador!$B$10*(1-COS(PI()*(($A74-Simulador!$E$10)/Simulador!$G$10)/Simulador!$B$11))/2,IF((($A74-Simulador!$E$10)/Simulador!$G$10)&gt;1-Simulador!$B$11,Simulador!$B$10*(1-COS(PI()*(1-(($A74-Simulador!$E$10)/Simulador!$G$10))/Simulador!$B$11))/2,Simulador!$B$10)))</f>
        <v/>
      </c>
      <c r="Q74" s="48">
        <f>IF(OR((($A74-(Simulador!$E$6+'Salto de dientes'!$B$12))/Simulador!$G$6)&lt;=0,(($A74-(Simulador!$E$6+'Salto de dientes'!$B$12))/Simulador!$G$6)&gt;=1),0,IF((($A74-(Simulador!$E$6+'Salto de dientes'!$B$12))/Simulador!$G$6)&lt;Simulador!$B$11,Simulador!$B$9*(1-COS(PI()*(($A74-(Simulador!$E$6+'Salto de dientes'!$B$12))/Simulador!$G$6)/Simulador!$B$11))/2,IF((($A74-(Simulador!$E$6+'Salto de dientes'!$B$12))/Simulador!$G$6)&gt;1-Simulador!$B$11,Simulador!$B$9*(1-COS(PI()*(1-(($A74-(Simulador!$E$6+'Salto de dientes'!$B$12))/Simulador!$G$6))/Simulador!$B$11))/2,Simulador!$B$9)))</f>
        <v/>
      </c>
      <c r="R74" s="48">
        <f>IF(OR((($A74-(Simulador!$E$9+'Salto de dientes'!$B$12))/Simulador!$G$9)&lt;=0,(($A74-(Simulador!$E$9+'Salto de dientes'!$B$12))/Simulador!$G$9)&gt;=1),0,IF((($A74-(Simulador!$E$9+'Salto de dientes'!$B$12))/Simulador!$G$9)&lt;Simulador!$B$11,Simulador!$B$10*(1-COS(PI()*(($A74-(Simulador!$E$9+'Salto de dientes'!$B$12))/Simulador!$G$9)/Simulador!$B$11))/2,IF((($A74-(Simulador!$E$9+'Salto de dientes'!$B$12))/Simulador!$G$9)&gt;1-Simulador!$B$11,Simulador!$B$10*(1-COS(PI()*(1-(($A74-(Simulador!$E$9+'Salto de dientes'!$B$12))/Simulador!$G$9))/Simulador!$B$11))/2,Simulador!$B$10)))</f>
        <v/>
      </c>
      <c r="W74" t="n">
        <v>36</v>
      </c>
      <c r="X74" s="48">
        <f>('Levas superpuestas'!$B$5+IF(OR(((W74-('Levas superpuestas'!$B$14-'Levas superpuestas'!$B$8/4))/('Levas superpuestas'!$B$8/2))&lt;=0,((W74-('Levas superpuestas'!$B$14-'Levas superpuestas'!$B$8/4))/('Levas superpuestas'!$B$8/2))&gt;=1),0,IF(((W74-('Levas superpuestas'!$B$14-'Levas superpuestas'!$B$8/4))/('Levas superpuestas'!$B$8/2))&lt;Simulador!$B$11,Simulador!$B$9*(1-COS(PI()*((W74-('Levas superpuestas'!$B$14-'Levas superpuestas'!$B$8/4))/('Levas superpuestas'!$B$8/2))/Simulador!$B$11))/2,IF(((W74-('Levas superpuestas'!$B$14-'Levas superpuestas'!$B$8/4))/('Levas superpuestas'!$B$8/2))&gt;1-Simulador!$B$11,Simulador!$B$9*(1-COS(PI()*(1-((W74-('Levas superpuestas'!$B$14-'Levas superpuestas'!$B$8/4))/('Levas superpuestas'!$B$8/2)))/Simulador!$B$11))/2,Simulador!$B$9))))*SIN(RADIANS(W74))</f>
        <v/>
      </c>
      <c r="Y74" s="48">
        <f>('Levas superpuestas'!$B$5+IF(OR(((W74-('Levas superpuestas'!$B$14-'Levas superpuestas'!$B$8/4))/('Levas superpuestas'!$B$8/2))&lt;=0,((W74-('Levas superpuestas'!$B$14-'Levas superpuestas'!$B$8/4))/('Levas superpuestas'!$B$8/2))&gt;=1),0,IF(((W74-('Levas superpuestas'!$B$14-'Levas superpuestas'!$B$8/4))/('Levas superpuestas'!$B$8/2))&lt;Simulador!$B$11,Simulador!$B$9*(1-COS(PI()*((W74-('Levas superpuestas'!$B$14-'Levas superpuestas'!$B$8/4))/('Levas superpuestas'!$B$8/2))/Simulador!$B$11))/2,IF(((W74-('Levas superpuestas'!$B$14-'Levas superpuestas'!$B$8/4))/('Levas superpuestas'!$B$8/2))&gt;1-Simulador!$B$11,Simulador!$B$9*(1-COS(PI()*(1-((W74-('Levas superpuestas'!$B$14-'Levas superpuestas'!$B$8/4))/('Levas superpuestas'!$B$8/2)))/Simulador!$B$11))/2,Simulador!$B$9))))*COS(RADIANS(W74))</f>
        <v/>
      </c>
      <c r="Z74" s="48">
        <f>('Levas superpuestas'!$B$5+IF(OR(((W74-('Levas superpuestas'!$B$15-'Levas superpuestas'!$B$9/4))/('Levas superpuestas'!$B$9/2))&lt;=0,((W74-('Levas superpuestas'!$B$15-'Levas superpuestas'!$B$9/4))/('Levas superpuestas'!$B$9/2))&gt;=1),0,IF(((W74-('Levas superpuestas'!$B$15-'Levas superpuestas'!$B$9/4))/('Levas superpuestas'!$B$9/2))&lt;Simulador!$B$11,Simulador!$B$10*(1-COS(PI()*((W74-('Levas superpuestas'!$B$15-'Levas superpuestas'!$B$9/4))/('Levas superpuestas'!$B$9/2))/Simulador!$B$11))/2,IF(((W74-('Levas superpuestas'!$B$15-'Levas superpuestas'!$B$9/4))/('Levas superpuestas'!$B$9/2))&gt;1-Simulador!$B$11,Simulador!$B$10*(1-COS(PI()*(1-((W74-('Levas superpuestas'!$B$15-'Levas superpuestas'!$B$9/4))/('Levas superpuestas'!$B$9/2)))/Simulador!$B$11))/2,Simulador!$B$10))))*SIN(RADIANS(W74))</f>
        <v/>
      </c>
      <c r="AA74" s="48">
        <f>('Levas superpuestas'!$B$5+IF(OR(((W74-('Levas superpuestas'!$B$15-'Levas superpuestas'!$B$9/4))/('Levas superpuestas'!$B$9/2))&lt;=0,((W74-('Levas superpuestas'!$B$15-'Levas superpuestas'!$B$9/4))/('Levas superpuestas'!$B$9/2))&gt;=1),0,IF(((W74-('Levas superpuestas'!$B$15-'Levas superpuestas'!$B$9/4))/('Levas superpuestas'!$B$9/2))&lt;Simulador!$B$11,Simulador!$B$10*(1-COS(PI()*((W74-('Levas superpuestas'!$B$15-'Levas superpuestas'!$B$9/4))/('Levas superpuestas'!$B$9/2))/Simulador!$B$11))/2,IF(((W74-('Levas superpuestas'!$B$15-'Levas superpuestas'!$B$9/4))/('Levas superpuestas'!$B$9/2))&gt;1-Simulador!$B$11,Simulador!$B$10*(1-COS(PI()*(1-((W74-('Levas superpuestas'!$B$15-'Levas superpuestas'!$B$9/4))/('Levas superpuestas'!$B$9/2)))/Simulador!$B$11))/2,Simulador!$B$10))))*COS(RADIANS(W74))</f>
        <v/>
      </c>
      <c r="AB74">
        <f>'Levas superpuestas'!$B$5*SIN(RADIANS(W74))</f>
        <v/>
      </c>
      <c r="AC74">
        <f>'Levas superpuestas'!$B$5*COS(RADIANS(W74))</f>
        <v/>
      </c>
    </row>
    <row r="75">
      <c r="A75" s="26">
        <f>A74+Simulador!$B$14</f>
        <v/>
      </c>
      <c r="B75" s="46">
        <f>IF(OR((($A75-Simulador!$E$5)/Simulador!$G$5)&lt;=0,(($A75-Simulador!$E$5)/Simulador!$G$5)&gt;=1),0,IF((($A75-Simulador!$E$5)/Simulador!$G$5)&lt;Simulador!$B$11,Simulador!$B$9*(1-COS(PI()*(($A75-Simulador!$E$5)/Simulador!$G$5)/Simulador!$B$11))/2,IF((($A75-Simulador!$E$5)/Simulador!$G$5)&gt;1-Simulador!$B$11,Simulador!$B$9*(1-COS(PI()*(1-(($A75-Simulador!$E$5)/Simulador!$G$5))/Simulador!$B$11))/2,Simulador!$B$9)))</f>
        <v/>
      </c>
      <c r="C75" s="46">
        <f>IF(OR((($A75-Simulador!$E$6)/Simulador!$G$6)&lt;=0,(($A75-Simulador!$E$6)/Simulador!$G$6)&gt;=1),0,IF((($A75-Simulador!$E$6)/Simulador!$G$6)&lt;Simulador!$B$11,Simulador!$B$9*(1-COS(PI()*(($A75-Simulador!$E$6)/Simulador!$G$6)/Simulador!$B$11))/2,IF((($A75-Simulador!$E$6)/Simulador!$G$6)&gt;1-Simulador!$B$11,Simulador!$B$9*(1-COS(PI()*(1-(($A75-Simulador!$E$6)/Simulador!$G$6))/Simulador!$B$11))/2,Simulador!$B$9)))</f>
        <v/>
      </c>
      <c r="D75" s="46">
        <f>IF(OR((($A75-Simulador!$E$7)/Simulador!$G$7)&lt;=0,(($A75-Simulador!$E$7)/Simulador!$G$7)&gt;=1),0,IF((($A75-Simulador!$E$7)/Simulador!$G$7)&lt;Simulador!$B$11,Simulador!$B$9*(1-COS(PI()*(($A75-Simulador!$E$7)/Simulador!$G$7)/Simulador!$B$11))/2,IF((($A75-Simulador!$E$7)/Simulador!$G$7)&gt;1-Simulador!$B$11,Simulador!$B$9*(1-COS(PI()*(1-(($A75-Simulador!$E$7)/Simulador!$G$7))/Simulador!$B$11))/2,Simulador!$B$9)))</f>
        <v/>
      </c>
      <c r="E75" s="46">
        <f>IF(OR((($A75-Simulador!$E$8)/Simulador!$G$8)&lt;=0,(($A75-Simulador!$E$8)/Simulador!$G$8)&gt;=1),0,IF((($A75-Simulador!$E$8)/Simulador!$G$8)&lt;Simulador!$B$11,Simulador!$B$10*(1-COS(PI()*(($A75-Simulador!$E$8)/Simulador!$G$8)/Simulador!$B$11))/2,IF((($A75-Simulador!$E$8)/Simulador!$G$8)&gt;1-Simulador!$B$11,Simulador!$B$10*(1-COS(PI()*(1-(($A75-Simulador!$E$8)/Simulador!$G$8))/Simulador!$B$11))/2,Simulador!$B$10)))</f>
        <v/>
      </c>
      <c r="F75" s="46">
        <f>IF(OR((($A75-Simulador!$E$9)/Simulador!$G$9)&lt;=0,(($A75-Simulador!$E$9)/Simulador!$G$9)&gt;=1),0,IF((($A75-Simulador!$E$9)/Simulador!$G$9)&lt;Simulador!$B$11,Simulador!$B$10*(1-COS(PI()*(($A75-Simulador!$E$9)/Simulador!$G$9)/Simulador!$B$11))/2,IF((($A75-Simulador!$E$9)/Simulador!$G$9)&gt;1-Simulador!$B$11,Simulador!$B$10*(1-COS(PI()*(1-(($A75-Simulador!$E$9)/Simulador!$G$9))/Simulador!$B$11))/2,Simulador!$B$10)))</f>
        <v/>
      </c>
      <c r="G75" s="46">
        <f>IF(OR((($A75-Simulador!$E$10)/Simulador!$G$10)&lt;=0,(($A75-Simulador!$E$10)/Simulador!$G$10)&gt;=1),0,IF((($A75-Simulador!$E$10)/Simulador!$G$10)&lt;Simulador!$B$11,Simulador!$B$10*(1-COS(PI()*(($A75-Simulador!$E$10)/Simulador!$G$10)/Simulador!$B$11))/2,IF((($A75-Simulador!$E$10)/Simulador!$G$10)&gt;1-Simulador!$B$11,Simulador!$B$10*(1-COS(PI()*(1-(($A75-Simulador!$E$10)/Simulador!$G$10))/Simulador!$B$11))/2,Simulador!$B$10)))</f>
        <v/>
      </c>
      <c r="Q75" s="48">
        <f>IF(OR((($A75-(Simulador!$E$6+'Salto de dientes'!$B$12))/Simulador!$G$6)&lt;=0,(($A75-(Simulador!$E$6+'Salto de dientes'!$B$12))/Simulador!$G$6)&gt;=1),0,IF((($A75-(Simulador!$E$6+'Salto de dientes'!$B$12))/Simulador!$G$6)&lt;Simulador!$B$11,Simulador!$B$9*(1-COS(PI()*(($A75-(Simulador!$E$6+'Salto de dientes'!$B$12))/Simulador!$G$6)/Simulador!$B$11))/2,IF((($A75-(Simulador!$E$6+'Salto de dientes'!$B$12))/Simulador!$G$6)&gt;1-Simulador!$B$11,Simulador!$B$9*(1-COS(PI()*(1-(($A75-(Simulador!$E$6+'Salto de dientes'!$B$12))/Simulador!$G$6))/Simulador!$B$11))/2,Simulador!$B$9)))</f>
        <v/>
      </c>
      <c r="R75" s="48">
        <f>IF(OR((($A75-(Simulador!$E$9+'Salto de dientes'!$B$12))/Simulador!$G$9)&lt;=0,(($A75-(Simulador!$E$9+'Salto de dientes'!$B$12))/Simulador!$G$9)&gt;=1),0,IF((($A75-(Simulador!$E$9+'Salto de dientes'!$B$12))/Simulador!$G$9)&lt;Simulador!$B$11,Simulador!$B$10*(1-COS(PI()*(($A75-(Simulador!$E$9+'Salto de dientes'!$B$12))/Simulador!$G$9)/Simulador!$B$11))/2,IF((($A75-(Simulador!$E$9+'Salto de dientes'!$B$12))/Simulador!$G$9)&gt;1-Simulador!$B$11,Simulador!$B$10*(1-COS(PI()*(1-(($A75-(Simulador!$E$9+'Salto de dientes'!$B$12))/Simulador!$G$9))/Simulador!$B$11))/2,Simulador!$B$10)))</f>
        <v/>
      </c>
      <c r="W75" t="n">
        <v>39</v>
      </c>
      <c r="X75" s="48">
        <f>('Levas superpuestas'!$B$5+IF(OR(((W75-('Levas superpuestas'!$B$14-'Levas superpuestas'!$B$8/4))/('Levas superpuestas'!$B$8/2))&lt;=0,((W75-('Levas superpuestas'!$B$14-'Levas superpuestas'!$B$8/4))/('Levas superpuestas'!$B$8/2))&gt;=1),0,IF(((W75-('Levas superpuestas'!$B$14-'Levas superpuestas'!$B$8/4))/('Levas superpuestas'!$B$8/2))&lt;Simulador!$B$11,Simulador!$B$9*(1-COS(PI()*((W75-('Levas superpuestas'!$B$14-'Levas superpuestas'!$B$8/4))/('Levas superpuestas'!$B$8/2))/Simulador!$B$11))/2,IF(((W75-('Levas superpuestas'!$B$14-'Levas superpuestas'!$B$8/4))/('Levas superpuestas'!$B$8/2))&gt;1-Simulador!$B$11,Simulador!$B$9*(1-COS(PI()*(1-((W75-('Levas superpuestas'!$B$14-'Levas superpuestas'!$B$8/4))/('Levas superpuestas'!$B$8/2)))/Simulador!$B$11))/2,Simulador!$B$9))))*SIN(RADIANS(W75))</f>
        <v/>
      </c>
      <c r="Y75" s="48">
        <f>('Levas superpuestas'!$B$5+IF(OR(((W75-('Levas superpuestas'!$B$14-'Levas superpuestas'!$B$8/4))/('Levas superpuestas'!$B$8/2))&lt;=0,((W75-('Levas superpuestas'!$B$14-'Levas superpuestas'!$B$8/4))/('Levas superpuestas'!$B$8/2))&gt;=1),0,IF(((W75-('Levas superpuestas'!$B$14-'Levas superpuestas'!$B$8/4))/('Levas superpuestas'!$B$8/2))&lt;Simulador!$B$11,Simulador!$B$9*(1-COS(PI()*((W75-('Levas superpuestas'!$B$14-'Levas superpuestas'!$B$8/4))/('Levas superpuestas'!$B$8/2))/Simulador!$B$11))/2,IF(((W75-('Levas superpuestas'!$B$14-'Levas superpuestas'!$B$8/4))/('Levas superpuestas'!$B$8/2))&gt;1-Simulador!$B$11,Simulador!$B$9*(1-COS(PI()*(1-((W75-('Levas superpuestas'!$B$14-'Levas superpuestas'!$B$8/4))/('Levas superpuestas'!$B$8/2)))/Simulador!$B$11))/2,Simulador!$B$9))))*COS(RADIANS(W75))</f>
        <v/>
      </c>
      <c r="Z75" s="48">
        <f>('Levas superpuestas'!$B$5+IF(OR(((W75-('Levas superpuestas'!$B$15-'Levas superpuestas'!$B$9/4))/('Levas superpuestas'!$B$9/2))&lt;=0,((W75-('Levas superpuestas'!$B$15-'Levas superpuestas'!$B$9/4))/('Levas superpuestas'!$B$9/2))&gt;=1),0,IF(((W75-('Levas superpuestas'!$B$15-'Levas superpuestas'!$B$9/4))/('Levas superpuestas'!$B$9/2))&lt;Simulador!$B$11,Simulador!$B$10*(1-COS(PI()*((W75-('Levas superpuestas'!$B$15-'Levas superpuestas'!$B$9/4))/('Levas superpuestas'!$B$9/2))/Simulador!$B$11))/2,IF(((W75-('Levas superpuestas'!$B$15-'Levas superpuestas'!$B$9/4))/('Levas superpuestas'!$B$9/2))&gt;1-Simulador!$B$11,Simulador!$B$10*(1-COS(PI()*(1-((W75-('Levas superpuestas'!$B$15-'Levas superpuestas'!$B$9/4))/('Levas superpuestas'!$B$9/2)))/Simulador!$B$11))/2,Simulador!$B$10))))*SIN(RADIANS(W75))</f>
        <v/>
      </c>
      <c r="AA75" s="48">
        <f>('Levas superpuestas'!$B$5+IF(OR(((W75-('Levas superpuestas'!$B$15-'Levas superpuestas'!$B$9/4))/('Levas superpuestas'!$B$9/2))&lt;=0,((W75-('Levas superpuestas'!$B$15-'Levas superpuestas'!$B$9/4))/('Levas superpuestas'!$B$9/2))&gt;=1),0,IF(((W75-('Levas superpuestas'!$B$15-'Levas superpuestas'!$B$9/4))/('Levas superpuestas'!$B$9/2))&lt;Simulador!$B$11,Simulador!$B$10*(1-COS(PI()*((W75-('Levas superpuestas'!$B$15-'Levas superpuestas'!$B$9/4))/('Levas superpuestas'!$B$9/2))/Simulador!$B$11))/2,IF(((W75-('Levas superpuestas'!$B$15-'Levas superpuestas'!$B$9/4))/('Levas superpuestas'!$B$9/2))&gt;1-Simulador!$B$11,Simulador!$B$10*(1-COS(PI()*(1-((W75-('Levas superpuestas'!$B$15-'Levas superpuestas'!$B$9/4))/('Levas superpuestas'!$B$9/2)))/Simulador!$B$11))/2,Simulador!$B$10))))*COS(RADIANS(W75))</f>
        <v/>
      </c>
      <c r="AB75">
        <f>'Levas superpuestas'!$B$5*SIN(RADIANS(W75))</f>
        <v/>
      </c>
      <c r="AC75">
        <f>'Levas superpuestas'!$B$5*COS(RADIANS(W75))</f>
        <v/>
      </c>
    </row>
    <row r="76">
      <c r="A76" s="26">
        <f>A75+Simulador!$B$14</f>
        <v/>
      </c>
      <c r="B76" s="46">
        <f>IF(OR((($A76-Simulador!$E$5)/Simulador!$G$5)&lt;=0,(($A76-Simulador!$E$5)/Simulador!$G$5)&gt;=1),0,IF((($A76-Simulador!$E$5)/Simulador!$G$5)&lt;Simulador!$B$11,Simulador!$B$9*(1-COS(PI()*(($A76-Simulador!$E$5)/Simulador!$G$5)/Simulador!$B$11))/2,IF((($A76-Simulador!$E$5)/Simulador!$G$5)&gt;1-Simulador!$B$11,Simulador!$B$9*(1-COS(PI()*(1-(($A76-Simulador!$E$5)/Simulador!$G$5))/Simulador!$B$11))/2,Simulador!$B$9)))</f>
        <v/>
      </c>
      <c r="C76" s="46">
        <f>IF(OR((($A76-Simulador!$E$6)/Simulador!$G$6)&lt;=0,(($A76-Simulador!$E$6)/Simulador!$G$6)&gt;=1),0,IF((($A76-Simulador!$E$6)/Simulador!$G$6)&lt;Simulador!$B$11,Simulador!$B$9*(1-COS(PI()*(($A76-Simulador!$E$6)/Simulador!$G$6)/Simulador!$B$11))/2,IF((($A76-Simulador!$E$6)/Simulador!$G$6)&gt;1-Simulador!$B$11,Simulador!$B$9*(1-COS(PI()*(1-(($A76-Simulador!$E$6)/Simulador!$G$6))/Simulador!$B$11))/2,Simulador!$B$9)))</f>
        <v/>
      </c>
      <c r="D76" s="46">
        <f>IF(OR((($A76-Simulador!$E$7)/Simulador!$G$7)&lt;=0,(($A76-Simulador!$E$7)/Simulador!$G$7)&gt;=1),0,IF((($A76-Simulador!$E$7)/Simulador!$G$7)&lt;Simulador!$B$11,Simulador!$B$9*(1-COS(PI()*(($A76-Simulador!$E$7)/Simulador!$G$7)/Simulador!$B$11))/2,IF((($A76-Simulador!$E$7)/Simulador!$G$7)&gt;1-Simulador!$B$11,Simulador!$B$9*(1-COS(PI()*(1-(($A76-Simulador!$E$7)/Simulador!$G$7))/Simulador!$B$11))/2,Simulador!$B$9)))</f>
        <v/>
      </c>
      <c r="E76" s="46">
        <f>IF(OR((($A76-Simulador!$E$8)/Simulador!$G$8)&lt;=0,(($A76-Simulador!$E$8)/Simulador!$G$8)&gt;=1),0,IF((($A76-Simulador!$E$8)/Simulador!$G$8)&lt;Simulador!$B$11,Simulador!$B$10*(1-COS(PI()*(($A76-Simulador!$E$8)/Simulador!$G$8)/Simulador!$B$11))/2,IF((($A76-Simulador!$E$8)/Simulador!$G$8)&gt;1-Simulador!$B$11,Simulador!$B$10*(1-COS(PI()*(1-(($A76-Simulador!$E$8)/Simulador!$G$8))/Simulador!$B$11))/2,Simulador!$B$10)))</f>
        <v/>
      </c>
      <c r="F76" s="46">
        <f>IF(OR((($A76-Simulador!$E$9)/Simulador!$G$9)&lt;=0,(($A76-Simulador!$E$9)/Simulador!$G$9)&gt;=1),0,IF((($A76-Simulador!$E$9)/Simulador!$G$9)&lt;Simulador!$B$11,Simulador!$B$10*(1-COS(PI()*(($A76-Simulador!$E$9)/Simulador!$G$9)/Simulador!$B$11))/2,IF((($A76-Simulador!$E$9)/Simulador!$G$9)&gt;1-Simulador!$B$11,Simulador!$B$10*(1-COS(PI()*(1-(($A76-Simulador!$E$9)/Simulador!$G$9))/Simulador!$B$11))/2,Simulador!$B$10)))</f>
        <v/>
      </c>
      <c r="G76" s="46">
        <f>IF(OR((($A76-Simulador!$E$10)/Simulador!$G$10)&lt;=0,(($A76-Simulador!$E$10)/Simulador!$G$10)&gt;=1),0,IF((($A76-Simulador!$E$10)/Simulador!$G$10)&lt;Simulador!$B$11,Simulador!$B$10*(1-COS(PI()*(($A76-Simulador!$E$10)/Simulador!$G$10)/Simulador!$B$11))/2,IF((($A76-Simulador!$E$10)/Simulador!$G$10)&gt;1-Simulador!$B$11,Simulador!$B$10*(1-COS(PI()*(1-(($A76-Simulador!$E$10)/Simulador!$G$10))/Simulador!$B$11))/2,Simulador!$B$10)))</f>
        <v/>
      </c>
      <c r="Q76" s="48">
        <f>IF(OR((($A76-(Simulador!$E$6+'Salto de dientes'!$B$12))/Simulador!$G$6)&lt;=0,(($A76-(Simulador!$E$6+'Salto de dientes'!$B$12))/Simulador!$G$6)&gt;=1),0,IF((($A76-(Simulador!$E$6+'Salto de dientes'!$B$12))/Simulador!$G$6)&lt;Simulador!$B$11,Simulador!$B$9*(1-COS(PI()*(($A76-(Simulador!$E$6+'Salto de dientes'!$B$12))/Simulador!$G$6)/Simulador!$B$11))/2,IF((($A76-(Simulador!$E$6+'Salto de dientes'!$B$12))/Simulador!$G$6)&gt;1-Simulador!$B$11,Simulador!$B$9*(1-COS(PI()*(1-(($A76-(Simulador!$E$6+'Salto de dientes'!$B$12))/Simulador!$G$6))/Simulador!$B$11))/2,Simulador!$B$9)))</f>
        <v/>
      </c>
      <c r="R76" s="48">
        <f>IF(OR((($A76-(Simulador!$E$9+'Salto de dientes'!$B$12))/Simulador!$G$9)&lt;=0,(($A76-(Simulador!$E$9+'Salto de dientes'!$B$12))/Simulador!$G$9)&gt;=1),0,IF((($A76-(Simulador!$E$9+'Salto de dientes'!$B$12))/Simulador!$G$9)&lt;Simulador!$B$11,Simulador!$B$10*(1-COS(PI()*(($A76-(Simulador!$E$9+'Salto de dientes'!$B$12))/Simulador!$G$9)/Simulador!$B$11))/2,IF((($A76-(Simulador!$E$9+'Salto de dientes'!$B$12))/Simulador!$G$9)&gt;1-Simulador!$B$11,Simulador!$B$10*(1-COS(PI()*(1-(($A76-(Simulador!$E$9+'Salto de dientes'!$B$12))/Simulador!$G$9))/Simulador!$B$11))/2,Simulador!$B$10)))</f>
        <v/>
      </c>
      <c r="W76" t="n">
        <v>42</v>
      </c>
      <c r="X76" s="48">
        <f>('Levas superpuestas'!$B$5+IF(OR(((W76-('Levas superpuestas'!$B$14-'Levas superpuestas'!$B$8/4))/('Levas superpuestas'!$B$8/2))&lt;=0,((W76-('Levas superpuestas'!$B$14-'Levas superpuestas'!$B$8/4))/('Levas superpuestas'!$B$8/2))&gt;=1),0,IF(((W76-('Levas superpuestas'!$B$14-'Levas superpuestas'!$B$8/4))/('Levas superpuestas'!$B$8/2))&lt;Simulador!$B$11,Simulador!$B$9*(1-COS(PI()*((W76-('Levas superpuestas'!$B$14-'Levas superpuestas'!$B$8/4))/('Levas superpuestas'!$B$8/2))/Simulador!$B$11))/2,IF(((W76-('Levas superpuestas'!$B$14-'Levas superpuestas'!$B$8/4))/('Levas superpuestas'!$B$8/2))&gt;1-Simulador!$B$11,Simulador!$B$9*(1-COS(PI()*(1-((W76-('Levas superpuestas'!$B$14-'Levas superpuestas'!$B$8/4))/('Levas superpuestas'!$B$8/2)))/Simulador!$B$11))/2,Simulador!$B$9))))*SIN(RADIANS(W76))</f>
        <v/>
      </c>
      <c r="Y76" s="48">
        <f>('Levas superpuestas'!$B$5+IF(OR(((W76-('Levas superpuestas'!$B$14-'Levas superpuestas'!$B$8/4))/('Levas superpuestas'!$B$8/2))&lt;=0,((W76-('Levas superpuestas'!$B$14-'Levas superpuestas'!$B$8/4))/('Levas superpuestas'!$B$8/2))&gt;=1),0,IF(((W76-('Levas superpuestas'!$B$14-'Levas superpuestas'!$B$8/4))/('Levas superpuestas'!$B$8/2))&lt;Simulador!$B$11,Simulador!$B$9*(1-COS(PI()*((W76-('Levas superpuestas'!$B$14-'Levas superpuestas'!$B$8/4))/('Levas superpuestas'!$B$8/2))/Simulador!$B$11))/2,IF(((W76-('Levas superpuestas'!$B$14-'Levas superpuestas'!$B$8/4))/('Levas superpuestas'!$B$8/2))&gt;1-Simulador!$B$11,Simulador!$B$9*(1-COS(PI()*(1-((W76-('Levas superpuestas'!$B$14-'Levas superpuestas'!$B$8/4))/('Levas superpuestas'!$B$8/2)))/Simulador!$B$11))/2,Simulador!$B$9))))*COS(RADIANS(W76))</f>
        <v/>
      </c>
      <c r="Z76" s="48">
        <f>('Levas superpuestas'!$B$5+IF(OR(((W76-('Levas superpuestas'!$B$15-'Levas superpuestas'!$B$9/4))/('Levas superpuestas'!$B$9/2))&lt;=0,((W76-('Levas superpuestas'!$B$15-'Levas superpuestas'!$B$9/4))/('Levas superpuestas'!$B$9/2))&gt;=1),0,IF(((W76-('Levas superpuestas'!$B$15-'Levas superpuestas'!$B$9/4))/('Levas superpuestas'!$B$9/2))&lt;Simulador!$B$11,Simulador!$B$10*(1-COS(PI()*((W76-('Levas superpuestas'!$B$15-'Levas superpuestas'!$B$9/4))/('Levas superpuestas'!$B$9/2))/Simulador!$B$11))/2,IF(((W76-('Levas superpuestas'!$B$15-'Levas superpuestas'!$B$9/4))/('Levas superpuestas'!$B$9/2))&gt;1-Simulador!$B$11,Simulador!$B$10*(1-COS(PI()*(1-((W76-('Levas superpuestas'!$B$15-'Levas superpuestas'!$B$9/4))/('Levas superpuestas'!$B$9/2)))/Simulador!$B$11))/2,Simulador!$B$10))))*SIN(RADIANS(W76))</f>
        <v/>
      </c>
      <c r="AA76" s="48">
        <f>('Levas superpuestas'!$B$5+IF(OR(((W76-('Levas superpuestas'!$B$15-'Levas superpuestas'!$B$9/4))/('Levas superpuestas'!$B$9/2))&lt;=0,((W76-('Levas superpuestas'!$B$15-'Levas superpuestas'!$B$9/4))/('Levas superpuestas'!$B$9/2))&gt;=1),0,IF(((W76-('Levas superpuestas'!$B$15-'Levas superpuestas'!$B$9/4))/('Levas superpuestas'!$B$9/2))&lt;Simulador!$B$11,Simulador!$B$10*(1-COS(PI()*((W76-('Levas superpuestas'!$B$15-'Levas superpuestas'!$B$9/4))/('Levas superpuestas'!$B$9/2))/Simulador!$B$11))/2,IF(((W76-('Levas superpuestas'!$B$15-'Levas superpuestas'!$B$9/4))/('Levas superpuestas'!$B$9/2))&gt;1-Simulador!$B$11,Simulador!$B$10*(1-COS(PI()*(1-((W76-('Levas superpuestas'!$B$15-'Levas superpuestas'!$B$9/4))/('Levas superpuestas'!$B$9/2)))/Simulador!$B$11))/2,Simulador!$B$10))))*COS(RADIANS(W76))</f>
        <v/>
      </c>
      <c r="AB76">
        <f>'Levas superpuestas'!$B$5*SIN(RADIANS(W76))</f>
        <v/>
      </c>
      <c r="AC76">
        <f>'Levas superpuestas'!$B$5*COS(RADIANS(W76))</f>
        <v/>
      </c>
    </row>
    <row r="77">
      <c r="A77" s="26">
        <f>A76+Simulador!$B$14</f>
        <v/>
      </c>
      <c r="B77" s="46">
        <f>IF(OR((($A77-Simulador!$E$5)/Simulador!$G$5)&lt;=0,(($A77-Simulador!$E$5)/Simulador!$G$5)&gt;=1),0,IF((($A77-Simulador!$E$5)/Simulador!$G$5)&lt;Simulador!$B$11,Simulador!$B$9*(1-COS(PI()*(($A77-Simulador!$E$5)/Simulador!$G$5)/Simulador!$B$11))/2,IF((($A77-Simulador!$E$5)/Simulador!$G$5)&gt;1-Simulador!$B$11,Simulador!$B$9*(1-COS(PI()*(1-(($A77-Simulador!$E$5)/Simulador!$G$5))/Simulador!$B$11))/2,Simulador!$B$9)))</f>
        <v/>
      </c>
      <c r="C77" s="46">
        <f>IF(OR((($A77-Simulador!$E$6)/Simulador!$G$6)&lt;=0,(($A77-Simulador!$E$6)/Simulador!$G$6)&gt;=1),0,IF((($A77-Simulador!$E$6)/Simulador!$G$6)&lt;Simulador!$B$11,Simulador!$B$9*(1-COS(PI()*(($A77-Simulador!$E$6)/Simulador!$G$6)/Simulador!$B$11))/2,IF((($A77-Simulador!$E$6)/Simulador!$G$6)&gt;1-Simulador!$B$11,Simulador!$B$9*(1-COS(PI()*(1-(($A77-Simulador!$E$6)/Simulador!$G$6))/Simulador!$B$11))/2,Simulador!$B$9)))</f>
        <v/>
      </c>
      <c r="D77" s="46">
        <f>IF(OR((($A77-Simulador!$E$7)/Simulador!$G$7)&lt;=0,(($A77-Simulador!$E$7)/Simulador!$G$7)&gt;=1),0,IF((($A77-Simulador!$E$7)/Simulador!$G$7)&lt;Simulador!$B$11,Simulador!$B$9*(1-COS(PI()*(($A77-Simulador!$E$7)/Simulador!$G$7)/Simulador!$B$11))/2,IF((($A77-Simulador!$E$7)/Simulador!$G$7)&gt;1-Simulador!$B$11,Simulador!$B$9*(1-COS(PI()*(1-(($A77-Simulador!$E$7)/Simulador!$G$7))/Simulador!$B$11))/2,Simulador!$B$9)))</f>
        <v/>
      </c>
      <c r="E77" s="46">
        <f>IF(OR((($A77-Simulador!$E$8)/Simulador!$G$8)&lt;=0,(($A77-Simulador!$E$8)/Simulador!$G$8)&gt;=1),0,IF((($A77-Simulador!$E$8)/Simulador!$G$8)&lt;Simulador!$B$11,Simulador!$B$10*(1-COS(PI()*(($A77-Simulador!$E$8)/Simulador!$G$8)/Simulador!$B$11))/2,IF((($A77-Simulador!$E$8)/Simulador!$G$8)&gt;1-Simulador!$B$11,Simulador!$B$10*(1-COS(PI()*(1-(($A77-Simulador!$E$8)/Simulador!$G$8))/Simulador!$B$11))/2,Simulador!$B$10)))</f>
        <v/>
      </c>
      <c r="F77" s="46">
        <f>IF(OR((($A77-Simulador!$E$9)/Simulador!$G$9)&lt;=0,(($A77-Simulador!$E$9)/Simulador!$G$9)&gt;=1),0,IF((($A77-Simulador!$E$9)/Simulador!$G$9)&lt;Simulador!$B$11,Simulador!$B$10*(1-COS(PI()*(($A77-Simulador!$E$9)/Simulador!$G$9)/Simulador!$B$11))/2,IF((($A77-Simulador!$E$9)/Simulador!$G$9)&gt;1-Simulador!$B$11,Simulador!$B$10*(1-COS(PI()*(1-(($A77-Simulador!$E$9)/Simulador!$G$9))/Simulador!$B$11))/2,Simulador!$B$10)))</f>
        <v/>
      </c>
      <c r="G77" s="46">
        <f>IF(OR((($A77-Simulador!$E$10)/Simulador!$G$10)&lt;=0,(($A77-Simulador!$E$10)/Simulador!$G$10)&gt;=1),0,IF((($A77-Simulador!$E$10)/Simulador!$G$10)&lt;Simulador!$B$11,Simulador!$B$10*(1-COS(PI()*(($A77-Simulador!$E$10)/Simulador!$G$10)/Simulador!$B$11))/2,IF((($A77-Simulador!$E$10)/Simulador!$G$10)&gt;1-Simulador!$B$11,Simulador!$B$10*(1-COS(PI()*(1-(($A77-Simulador!$E$10)/Simulador!$G$10))/Simulador!$B$11))/2,Simulador!$B$10)))</f>
        <v/>
      </c>
      <c r="Q77" s="48">
        <f>IF(OR((($A77-(Simulador!$E$6+'Salto de dientes'!$B$12))/Simulador!$G$6)&lt;=0,(($A77-(Simulador!$E$6+'Salto de dientes'!$B$12))/Simulador!$G$6)&gt;=1),0,IF((($A77-(Simulador!$E$6+'Salto de dientes'!$B$12))/Simulador!$G$6)&lt;Simulador!$B$11,Simulador!$B$9*(1-COS(PI()*(($A77-(Simulador!$E$6+'Salto de dientes'!$B$12))/Simulador!$G$6)/Simulador!$B$11))/2,IF((($A77-(Simulador!$E$6+'Salto de dientes'!$B$12))/Simulador!$G$6)&gt;1-Simulador!$B$11,Simulador!$B$9*(1-COS(PI()*(1-(($A77-(Simulador!$E$6+'Salto de dientes'!$B$12))/Simulador!$G$6))/Simulador!$B$11))/2,Simulador!$B$9)))</f>
        <v/>
      </c>
      <c r="R77" s="48">
        <f>IF(OR((($A77-(Simulador!$E$9+'Salto de dientes'!$B$12))/Simulador!$G$9)&lt;=0,(($A77-(Simulador!$E$9+'Salto de dientes'!$B$12))/Simulador!$G$9)&gt;=1),0,IF((($A77-(Simulador!$E$9+'Salto de dientes'!$B$12))/Simulador!$G$9)&lt;Simulador!$B$11,Simulador!$B$10*(1-COS(PI()*(($A77-(Simulador!$E$9+'Salto de dientes'!$B$12))/Simulador!$G$9)/Simulador!$B$11))/2,IF((($A77-(Simulador!$E$9+'Salto de dientes'!$B$12))/Simulador!$G$9)&gt;1-Simulador!$B$11,Simulador!$B$10*(1-COS(PI()*(1-(($A77-(Simulador!$E$9+'Salto de dientes'!$B$12))/Simulador!$G$9))/Simulador!$B$11))/2,Simulador!$B$10)))</f>
        <v/>
      </c>
      <c r="W77" t="n">
        <v>45</v>
      </c>
      <c r="X77" s="48">
        <f>('Levas superpuestas'!$B$5+IF(OR(((W77-('Levas superpuestas'!$B$14-'Levas superpuestas'!$B$8/4))/('Levas superpuestas'!$B$8/2))&lt;=0,((W77-('Levas superpuestas'!$B$14-'Levas superpuestas'!$B$8/4))/('Levas superpuestas'!$B$8/2))&gt;=1),0,IF(((W77-('Levas superpuestas'!$B$14-'Levas superpuestas'!$B$8/4))/('Levas superpuestas'!$B$8/2))&lt;Simulador!$B$11,Simulador!$B$9*(1-COS(PI()*((W77-('Levas superpuestas'!$B$14-'Levas superpuestas'!$B$8/4))/('Levas superpuestas'!$B$8/2))/Simulador!$B$11))/2,IF(((W77-('Levas superpuestas'!$B$14-'Levas superpuestas'!$B$8/4))/('Levas superpuestas'!$B$8/2))&gt;1-Simulador!$B$11,Simulador!$B$9*(1-COS(PI()*(1-((W77-('Levas superpuestas'!$B$14-'Levas superpuestas'!$B$8/4))/('Levas superpuestas'!$B$8/2)))/Simulador!$B$11))/2,Simulador!$B$9))))*SIN(RADIANS(W77))</f>
        <v/>
      </c>
      <c r="Y77" s="48">
        <f>('Levas superpuestas'!$B$5+IF(OR(((W77-('Levas superpuestas'!$B$14-'Levas superpuestas'!$B$8/4))/('Levas superpuestas'!$B$8/2))&lt;=0,((W77-('Levas superpuestas'!$B$14-'Levas superpuestas'!$B$8/4))/('Levas superpuestas'!$B$8/2))&gt;=1),0,IF(((W77-('Levas superpuestas'!$B$14-'Levas superpuestas'!$B$8/4))/('Levas superpuestas'!$B$8/2))&lt;Simulador!$B$11,Simulador!$B$9*(1-COS(PI()*((W77-('Levas superpuestas'!$B$14-'Levas superpuestas'!$B$8/4))/('Levas superpuestas'!$B$8/2))/Simulador!$B$11))/2,IF(((W77-('Levas superpuestas'!$B$14-'Levas superpuestas'!$B$8/4))/('Levas superpuestas'!$B$8/2))&gt;1-Simulador!$B$11,Simulador!$B$9*(1-COS(PI()*(1-((W77-('Levas superpuestas'!$B$14-'Levas superpuestas'!$B$8/4))/('Levas superpuestas'!$B$8/2)))/Simulador!$B$11))/2,Simulador!$B$9))))*COS(RADIANS(W77))</f>
        <v/>
      </c>
      <c r="Z77" s="48">
        <f>('Levas superpuestas'!$B$5+IF(OR(((W77-('Levas superpuestas'!$B$15-'Levas superpuestas'!$B$9/4))/('Levas superpuestas'!$B$9/2))&lt;=0,((W77-('Levas superpuestas'!$B$15-'Levas superpuestas'!$B$9/4))/('Levas superpuestas'!$B$9/2))&gt;=1),0,IF(((W77-('Levas superpuestas'!$B$15-'Levas superpuestas'!$B$9/4))/('Levas superpuestas'!$B$9/2))&lt;Simulador!$B$11,Simulador!$B$10*(1-COS(PI()*((W77-('Levas superpuestas'!$B$15-'Levas superpuestas'!$B$9/4))/('Levas superpuestas'!$B$9/2))/Simulador!$B$11))/2,IF(((W77-('Levas superpuestas'!$B$15-'Levas superpuestas'!$B$9/4))/('Levas superpuestas'!$B$9/2))&gt;1-Simulador!$B$11,Simulador!$B$10*(1-COS(PI()*(1-((W77-('Levas superpuestas'!$B$15-'Levas superpuestas'!$B$9/4))/('Levas superpuestas'!$B$9/2)))/Simulador!$B$11))/2,Simulador!$B$10))))*SIN(RADIANS(W77))</f>
        <v/>
      </c>
      <c r="AA77" s="48">
        <f>('Levas superpuestas'!$B$5+IF(OR(((W77-('Levas superpuestas'!$B$15-'Levas superpuestas'!$B$9/4))/('Levas superpuestas'!$B$9/2))&lt;=0,((W77-('Levas superpuestas'!$B$15-'Levas superpuestas'!$B$9/4))/('Levas superpuestas'!$B$9/2))&gt;=1),0,IF(((W77-('Levas superpuestas'!$B$15-'Levas superpuestas'!$B$9/4))/('Levas superpuestas'!$B$9/2))&lt;Simulador!$B$11,Simulador!$B$10*(1-COS(PI()*((W77-('Levas superpuestas'!$B$15-'Levas superpuestas'!$B$9/4))/('Levas superpuestas'!$B$9/2))/Simulador!$B$11))/2,IF(((W77-('Levas superpuestas'!$B$15-'Levas superpuestas'!$B$9/4))/('Levas superpuestas'!$B$9/2))&gt;1-Simulador!$B$11,Simulador!$B$10*(1-COS(PI()*(1-((W77-('Levas superpuestas'!$B$15-'Levas superpuestas'!$B$9/4))/('Levas superpuestas'!$B$9/2)))/Simulador!$B$11))/2,Simulador!$B$10))))*COS(RADIANS(W77))</f>
        <v/>
      </c>
      <c r="AB77">
        <f>'Levas superpuestas'!$B$5*SIN(RADIANS(W77))</f>
        <v/>
      </c>
      <c r="AC77">
        <f>'Levas superpuestas'!$B$5*COS(RADIANS(W77))</f>
        <v/>
      </c>
    </row>
    <row r="78">
      <c r="A78" s="26">
        <f>A77+Simulador!$B$14</f>
        <v/>
      </c>
      <c r="B78" s="46">
        <f>IF(OR((($A78-Simulador!$E$5)/Simulador!$G$5)&lt;=0,(($A78-Simulador!$E$5)/Simulador!$G$5)&gt;=1),0,IF((($A78-Simulador!$E$5)/Simulador!$G$5)&lt;Simulador!$B$11,Simulador!$B$9*(1-COS(PI()*(($A78-Simulador!$E$5)/Simulador!$G$5)/Simulador!$B$11))/2,IF((($A78-Simulador!$E$5)/Simulador!$G$5)&gt;1-Simulador!$B$11,Simulador!$B$9*(1-COS(PI()*(1-(($A78-Simulador!$E$5)/Simulador!$G$5))/Simulador!$B$11))/2,Simulador!$B$9)))</f>
        <v/>
      </c>
      <c r="C78" s="46">
        <f>IF(OR((($A78-Simulador!$E$6)/Simulador!$G$6)&lt;=0,(($A78-Simulador!$E$6)/Simulador!$G$6)&gt;=1),0,IF((($A78-Simulador!$E$6)/Simulador!$G$6)&lt;Simulador!$B$11,Simulador!$B$9*(1-COS(PI()*(($A78-Simulador!$E$6)/Simulador!$G$6)/Simulador!$B$11))/2,IF((($A78-Simulador!$E$6)/Simulador!$G$6)&gt;1-Simulador!$B$11,Simulador!$B$9*(1-COS(PI()*(1-(($A78-Simulador!$E$6)/Simulador!$G$6))/Simulador!$B$11))/2,Simulador!$B$9)))</f>
        <v/>
      </c>
      <c r="D78" s="46">
        <f>IF(OR((($A78-Simulador!$E$7)/Simulador!$G$7)&lt;=0,(($A78-Simulador!$E$7)/Simulador!$G$7)&gt;=1),0,IF((($A78-Simulador!$E$7)/Simulador!$G$7)&lt;Simulador!$B$11,Simulador!$B$9*(1-COS(PI()*(($A78-Simulador!$E$7)/Simulador!$G$7)/Simulador!$B$11))/2,IF((($A78-Simulador!$E$7)/Simulador!$G$7)&gt;1-Simulador!$B$11,Simulador!$B$9*(1-COS(PI()*(1-(($A78-Simulador!$E$7)/Simulador!$G$7))/Simulador!$B$11))/2,Simulador!$B$9)))</f>
        <v/>
      </c>
      <c r="E78" s="46">
        <f>IF(OR((($A78-Simulador!$E$8)/Simulador!$G$8)&lt;=0,(($A78-Simulador!$E$8)/Simulador!$G$8)&gt;=1),0,IF((($A78-Simulador!$E$8)/Simulador!$G$8)&lt;Simulador!$B$11,Simulador!$B$10*(1-COS(PI()*(($A78-Simulador!$E$8)/Simulador!$G$8)/Simulador!$B$11))/2,IF((($A78-Simulador!$E$8)/Simulador!$G$8)&gt;1-Simulador!$B$11,Simulador!$B$10*(1-COS(PI()*(1-(($A78-Simulador!$E$8)/Simulador!$G$8))/Simulador!$B$11))/2,Simulador!$B$10)))</f>
        <v/>
      </c>
      <c r="F78" s="46">
        <f>IF(OR((($A78-Simulador!$E$9)/Simulador!$G$9)&lt;=0,(($A78-Simulador!$E$9)/Simulador!$G$9)&gt;=1),0,IF((($A78-Simulador!$E$9)/Simulador!$G$9)&lt;Simulador!$B$11,Simulador!$B$10*(1-COS(PI()*(($A78-Simulador!$E$9)/Simulador!$G$9)/Simulador!$B$11))/2,IF((($A78-Simulador!$E$9)/Simulador!$G$9)&gt;1-Simulador!$B$11,Simulador!$B$10*(1-COS(PI()*(1-(($A78-Simulador!$E$9)/Simulador!$G$9))/Simulador!$B$11))/2,Simulador!$B$10)))</f>
        <v/>
      </c>
      <c r="G78" s="46">
        <f>IF(OR((($A78-Simulador!$E$10)/Simulador!$G$10)&lt;=0,(($A78-Simulador!$E$10)/Simulador!$G$10)&gt;=1),0,IF((($A78-Simulador!$E$10)/Simulador!$G$10)&lt;Simulador!$B$11,Simulador!$B$10*(1-COS(PI()*(($A78-Simulador!$E$10)/Simulador!$G$10)/Simulador!$B$11))/2,IF((($A78-Simulador!$E$10)/Simulador!$G$10)&gt;1-Simulador!$B$11,Simulador!$B$10*(1-COS(PI()*(1-(($A78-Simulador!$E$10)/Simulador!$G$10))/Simulador!$B$11))/2,Simulador!$B$10)))</f>
        <v/>
      </c>
      <c r="Q78" s="48">
        <f>IF(OR((($A78-(Simulador!$E$6+'Salto de dientes'!$B$12))/Simulador!$G$6)&lt;=0,(($A78-(Simulador!$E$6+'Salto de dientes'!$B$12))/Simulador!$G$6)&gt;=1),0,IF((($A78-(Simulador!$E$6+'Salto de dientes'!$B$12))/Simulador!$G$6)&lt;Simulador!$B$11,Simulador!$B$9*(1-COS(PI()*(($A78-(Simulador!$E$6+'Salto de dientes'!$B$12))/Simulador!$G$6)/Simulador!$B$11))/2,IF((($A78-(Simulador!$E$6+'Salto de dientes'!$B$12))/Simulador!$G$6)&gt;1-Simulador!$B$11,Simulador!$B$9*(1-COS(PI()*(1-(($A78-(Simulador!$E$6+'Salto de dientes'!$B$12))/Simulador!$G$6))/Simulador!$B$11))/2,Simulador!$B$9)))</f>
        <v/>
      </c>
      <c r="R78" s="48">
        <f>IF(OR((($A78-(Simulador!$E$9+'Salto de dientes'!$B$12))/Simulador!$G$9)&lt;=0,(($A78-(Simulador!$E$9+'Salto de dientes'!$B$12))/Simulador!$G$9)&gt;=1),0,IF((($A78-(Simulador!$E$9+'Salto de dientes'!$B$12))/Simulador!$G$9)&lt;Simulador!$B$11,Simulador!$B$10*(1-COS(PI()*(($A78-(Simulador!$E$9+'Salto de dientes'!$B$12))/Simulador!$G$9)/Simulador!$B$11))/2,IF((($A78-(Simulador!$E$9+'Salto de dientes'!$B$12))/Simulador!$G$9)&gt;1-Simulador!$B$11,Simulador!$B$10*(1-COS(PI()*(1-(($A78-(Simulador!$E$9+'Salto de dientes'!$B$12))/Simulador!$G$9))/Simulador!$B$11))/2,Simulador!$B$10)))</f>
        <v/>
      </c>
      <c r="W78" t="n">
        <v>48</v>
      </c>
      <c r="X78" s="48">
        <f>('Levas superpuestas'!$B$5+IF(OR(((W78-('Levas superpuestas'!$B$14-'Levas superpuestas'!$B$8/4))/('Levas superpuestas'!$B$8/2))&lt;=0,((W78-('Levas superpuestas'!$B$14-'Levas superpuestas'!$B$8/4))/('Levas superpuestas'!$B$8/2))&gt;=1),0,IF(((W78-('Levas superpuestas'!$B$14-'Levas superpuestas'!$B$8/4))/('Levas superpuestas'!$B$8/2))&lt;Simulador!$B$11,Simulador!$B$9*(1-COS(PI()*((W78-('Levas superpuestas'!$B$14-'Levas superpuestas'!$B$8/4))/('Levas superpuestas'!$B$8/2))/Simulador!$B$11))/2,IF(((W78-('Levas superpuestas'!$B$14-'Levas superpuestas'!$B$8/4))/('Levas superpuestas'!$B$8/2))&gt;1-Simulador!$B$11,Simulador!$B$9*(1-COS(PI()*(1-((W78-('Levas superpuestas'!$B$14-'Levas superpuestas'!$B$8/4))/('Levas superpuestas'!$B$8/2)))/Simulador!$B$11))/2,Simulador!$B$9))))*SIN(RADIANS(W78))</f>
        <v/>
      </c>
      <c r="Y78" s="48">
        <f>('Levas superpuestas'!$B$5+IF(OR(((W78-('Levas superpuestas'!$B$14-'Levas superpuestas'!$B$8/4))/('Levas superpuestas'!$B$8/2))&lt;=0,((W78-('Levas superpuestas'!$B$14-'Levas superpuestas'!$B$8/4))/('Levas superpuestas'!$B$8/2))&gt;=1),0,IF(((W78-('Levas superpuestas'!$B$14-'Levas superpuestas'!$B$8/4))/('Levas superpuestas'!$B$8/2))&lt;Simulador!$B$11,Simulador!$B$9*(1-COS(PI()*((W78-('Levas superpuestas'!$B$14-'Levas superpuestas'!$B$8/4))/('Levas superpuestas'!$B$8/2))/Simulador!$B$11))/2,IF(((W78-('Levas superpuestas'!$B$14-'Levas superpuestas'!$B$8/4))/('Levas superpuestas'!$B$8/2))&gt;1-Simulador!$B$11,Simulador!$B$9*(1-COS(PI()*(1-((W78-('Levas superpuestas'!$B$14-'Levas superpuestas'!$B$8/4))/('Levas superpuestas'!$B$8/2)))/Simulador!$B$11))/2,Simulador!$B$9))))*COS(RADIANS(W78))</f>
        <v/>
      </c>
      <c r="Z78" s="48">
        <f>('Levas superpuestas'!$B$5+IF(OR(((W78-('Levas superpuestas'!$B$15-'Levas superpuestas'!$B$9/4))/('Levas superpuestas'!$B$9/2))&lt;=0,((W78-('Levas superpuestas'!$B$15-'Levas superpuestas'!$B$9/4))/('Levas superpuestas'!$B$9/2))&gt;=1),0,IF(((W78-('Levas superpuestas'!$B$15-'Levas superpuestas'!$B$9/4))/('Levas superpuestas'!$B$9/2))&lt;Simulador!$B$11,Simulador!$B$10*(1-COS(PI()*((W78-('Levas superpuestas'!$B$15-'Levas superpuestas'!$B$9/4))/('Levas superpuestas'!$B$9/2))/Simulador!$B$11))/2,IF(((W78-('Levas superpuestas'!$B$15-'Levas superpuestas'!$B$9/4))/('Levas superpuestas'!$B$9/2))&gt;1-Simulador!$B$11,Simulador!$B$10*(1-COS(PI()*(1-((W78-('Levas superpuestas'!$B$15-'Levas superpuestas'!$B$9/4))/('Levas superpuestas'!$B$9/2)))/Simulador!$B$11))/2,Simulador!$B$10))))*SIN(RADIANS(W78))</f>
        <v/>
      </c>
      <c r="AA78" s="48">
        <f>('Levas superpuestas'!$B$5+IF(OR(((W78-('Levas superpuestas'!$B$15-'Levas superpuestas'!$B$9/4))/('Levas superpuestas'!$B$9/2))&lt;=0,((W78-('Levas superpuestas'!$B$15-'Levas superpuestas'!$B$9/4))/('Levas superpuestas'!$B$9/2))&gt;=1),0,IF(((W78-('Levas superpuestas'!$B$15-'Levas superpuestas'!$B$9/4))/('Levas superpuestas'!$B$9/2))&lt;Simulador!$B$11,Simulador!$B$10*(1-COS(PI()*((W78-('Levas superpuestas'!$B$15-'Levas superpuestas'!$B$9/4))/('Levas superpuestas'!$B$9/2))/Simulador!$B$11))/2,IF(((W78-('Levas superpuestas'!$B$15-'Levas superpuestas'!$B$9/4))/('Levas superpuestas'!$B$9/2))&gt;1-Simulador!$B$11,Simulador!$B$10*(1-COS(PI()*(1-((W78-('Levas superpuestas'!$B$15-'Levas superpuestas'!$B$9/4))/('Levas superpuestas'!$B$9/2)))/Simulador!$B$11))/2,Simulador!$B$10))))*COS(RADIANS(W78))</f>
        <v/>
      </c>
      <c r="AB78">
        <f>'Levas superpuestas'!$B$5*SIN(RADIANS(W78))</f>
        <v/>
      </c>
      <c r="AC78">
        <f>'Levas superpuestas'!$B$5*COS(RADIANS(W78))</f>
        <v/>
      </c>
    </row>
    <row r="79">
      <c r="A79" s="26">
        <f>A78+Simulador!$B$14</f>
        <v/>
      </c>
      <c r="B79" s="46">
        <f>IF(OR((($A79-Simulador!$E$5)/Simulador!$G$5)&lt;=0,(($A79-Simulador!$E$5)/Simulador!$G$5)&gt;=1),0,IF((($A79-Simulador!$E$5)/Simulador!$G$5)&lt;Simulador!$B$11,Simulador!$B$9*(1-COS(PI()*(($A79-Simulador!$E$5)/Simulador!$G$5)/Simulador!$B$11))/2,IF((($A79-Simulador!$E$5)/Simulador!$G$5)&gt;1-Simulador!$B$11,Simulador!$B$9*(1-COS(PI()*(1-(($A79-Simulador!$E$5)/Simulador!$G$5))/Simulador!$B$11))/2,Simulador!$B$9)))</f>
        <v/>
      </c>
      <c r="C79" s="46">
        <f>IF(OR((($A79-Simulador!$E$6)/Simulador!$G$6)&lt;=0,(($A79-Simulador!$E$6)/Simulador!$G$6)&gt;=1),0,IF((($A79-Simulador!$E$6)/Simulador!$G$6)&lt;Simulador!$B$11,Simulador!$B$9*(1-COS(PI()*(($A79-Simulador!$E$6)/Simulador!$G$6)/Simulador!$B$11))/2,IF((($A79-Simulador!$E$6)/Simulador!$G$6)&gt;1-Simulador!$B$11,Simulador!$B$9*(1-COS(PI()*(1-(($A79-Simulador!$E$6)/Simulador!$G$6))/Simulador!$B$11))/2,Simulador!$B$9)))</f>
        <v/>
      </c>
      <c r="D79" s="46">
        <f>IF(OR((($A79-Simulador!$E$7)/Simulador!$G$7)&lt;=0,(($A79-Simulador!$E$7)/Simulador!$G$7)&gt;=1),0,IF((($A79-Simulador!$E$7)/Simulador!$G$7)&lt;Simulador!$B$11,Simulador!$B$9*(1-COS(PI()*(($A79-Simulador!$E$7)/Simulador!$G$7)/Simulador!$B$11))/2,IF((($A79-Simulador!$E$7)/Simulador!$G$7)&gt;1-Simulador!$B$11,Simulador!$B$9*(1-COS(PI()*(1-(($A79-Simulador!$E$7)/Simulador!$G$7))/Simulador!$B$11))/2,Simulador!$B$9)))</f>
        <v/>
      </c>
      <c r="E79" s="46">
        <f>IF(OR((($A79-Simulador!$E$8)/Simulador!$G$8)&lt;=0,(($A79-Simulador!$E$8)/Simulador!$G$8)&gt;=1),0,IF((($A79-Simulador!$E$8)/Simulador!$G$8)&lt;Simulador!$B$11,Simulador!$B$10*(1-COS(PI()*(($A79-Simulador!$E$8)/Simulador!$G$8)/Simulador!$B$11))/2,IF((($A79-Simulador!$E$8)/Simulador!$G$8)&gt;1-Simulador!$B$11,Simulador!$B$10*(1-COS(PI()*(1-(($A79-Simulador!$E$8)/Simulador!$G$8))/Simulador!$B$11))/2,Simulador!$B$10)))</f>
        <v/>
      </c>
      <c r="F79" s="46">
        <f>IF(OR((($A79-Simulador!$E$9)/Simulador!$G$9)&lt;=0,(($A79-Simulador!$E$9)/Simulador!$G$9)&gt;=1),0,IF((($A79-Simulador!$E$9)/Simulador!$G$9)&lt;Simulador!$B$11,Simulador!$B$10*(1-COS(PI()*(($A79-Simulador!$E$9)/Simulador!$G$9)/Simulador!$B$11))/2,IF((($A79-Simulador!$E$9)/Simulador!$G$9)&gt;1-Simulador!$B$11,Simulador!$B$10*(1-COS(PI()*(1-(($A79-Simulador!$E$9)/Simulador!$G$9))/Simulador!$B$11))/2,Simulador!$B$10)))</f>
        <v/>
      </c>
      <c r="G79" s="46">
        <f>IF(OR((($A79-Simulador!$E$10)/Simulador!$G$10)&lt;=0,(($A79-Simulador!$E$10)/Simulador!$G$10)&gt;=1),0,IF((($A79-Simulador!$E$10)/Simulador!$G$10)&lt;Simulador!$B$11,Simulador!$B$10*(1-COS(PI()*(($A79-Simulador!$E$10)/Simulador!$G$10)/Simulador!$B$11))/2,IF((($A79-Simulador!$E$10)/Simulador!$G$10)&gt;1-Simulador!$B$11,Simulador!$B$10*(1-COS(PI()*(1-(($A79-Simulador!$E$10)/Simulador!$G$10))/Simulador!$B$11))/2,Simulador!$B$10)))</f>
        <v/>
      </c>
      <c r="Q79" s="48">
        <f>IF(OR((($A79-(Simulador!$E$6+'Salto de dientes'!$B$12))/Simulador!$G$6)&lt;=0,(($A79-(Simulador!$E$6+'Salto de dientes'!$B$12))/Simulador!$G$6)&gt;=1),0,IF((($A79-(Simulador!$E$6+'Salto de dientes'!$B$12))/Simulador!$G$6)&lt;Simulador!$B$11,Simulador!$B$9*(1-COS(PI()*(($A79-(Simulador!$E$6+'Salto de dientes'!$B$12))/Simulador!$G$6)/Simulador!$B$11))/2,IF((($A79-(Simulador!$E$6+'Salto de dientes'!$B$12))/Simulador!$G$6)&gt;1-Simulador!$B$11,Simulador!$B$9*(1-COS(PI()*(1-(($A79-(Simulador!$E$6+'Salto de dientes'!$B$12))/Simulador!$G$6))/Simulador!$B$11))/2,Simulador!$B$9)))</f>
        <v/>
      </c>
      <c r="R79" s="48">
        <f>IF(OR((($A79-(Simulador!$E$9+'Salto de dientes'!$B$12))/Simulador!$G$9)&lt;=0,(($A79-(Simulador!$E$9+'Salto de dientes'!$B$12))/Simulador!$G$9)&gt;=1),0,IF((($A79-(Simulador!$E$9+'Salto de dientes'!$B$12))/Simulador!$G$9)&lt;Simulador!$B$11,Simulador!$B$10*(1-COS(PI()*(($A79-(Simulador!$E$9+'Salto de dientes'!$B$12))/Simulador!$G$9)/Simulador!$B$11))/2,IF((($A79-(Simulador!$E$9+'Salto de dientes'!$B$12))/Simulador!$G$9)&gt;1-Simulador!$B$11,Simulador!$B$10*(1-COS(PI()*(1-(($A79-(Simulador!$E$9+'Salto de dientes'!$B$12))/Simulador!$G$9))/Simulador!$B$11))/2,Simulador!$B$10)))</f>
        <v/>
      </c>
      <c r="W79" t="n">
        <v>51</v>
      </c>
      <c r="X79" s="48">
        <f>('Levas superpuestas'!$B$5+IF(OR(((W79-('Levas superpuestas'!$B$14-'Levas superpuestas'!$B$8/4))/('Levas superpuestas'!$B$8/2))&lt;=0,((W79-('Levas superpuestas'!$B$14-'Levas superpuestas'!$B$8/4))/('Levas superpuestas'!$B$8/2))&gt;=1),0,IF(((W79-('Levas superpuestas'!$B$14-'Levas superpuestas'!$B$8/4))/('Levas superpuestas'!$B$8/2))&lt;Simulador!$B$11,Simulador!$B$9*(1-COS(PI()*((W79-('Levas superpuestas'!$B$14-'Levas superpuestas'!$B$8/4))/('Levas superpuestas'!$B$8/2))/Simulador!$B$11))/2,IF(((W79-('Levas superpuestas'!$B$14-'Levas superpuestas'!$B$8/4))/('Levas superpuestas'!$B$8/2))&gt;1-Simulador!$B$11,Simulador!$B$9*(1-COS(PI()*(1-((W79-('Levas superpuestas'!$B$14-'Levas superpuestas'!$B$8/4))/('Levas superpuestas'!$B$8/2)))/Simulador!$B$11))/2,Simulador!$B$9))))*SIN(RADIANS(W79))</f>
        <v/>
      </c>
      <c r="Y79" s="48">
        <f>('Levas superpuestas'!$B$5+IF(OR(((W79-('Levas superpuestas'!$B$14-'Levas superpuestas'!$B$8/4))/('Levas superpuestas'!$B$8/2))&lt;=0,((W79-('Levas superpuestas'!$B$14-'Levas superpuestas'!$B$8/4))/('Levas superpuestas'!$B$8/2))&gt;=1),0,IF(((W79-('Levas superpuestas'!$B$14-'Levas superpuestas'!$B$8/4))/('Levas superpuestas'!$B$8/2))&lt;Simulador!$B$11,Simulador!$B$9*(1-COS(PI()*((W79-('Levas superpuestas'!$B$14-'Levas superpuestas'!$B$8/4))/('Levas superpuestas'!$B$8/2))/Simulador!$B$11))/2,IF(((W79-('Levas superpuestas'!$B$14-'Levas superpuestas'!$B$8/4))/('Levas superpuestas'!$B$8/2))&gt;1-Simulador!$B$11,Simulador!$B$9*(1-COS(PI()*(1-((W79-('Levas superpuestas'!$B$14-'Levas superpuestas'!$B$8/4))/('Levas superpuestas'!$B$8/2)))/Simulador!$B$11))/2,Simulador!$B$9))))*COS(RADIANS(W79))</f>
        <v/>
      </c>
      <c r="Z79" s="48">
        <f>('Levas superpuestas'!$B$5+IF(OR(((W79-('Levas superpuestas'!$B$15-'Levas superpuestas'!$B$9/4))/('Levas superpuestas'!$B$9/2))&lt;=0,((W79-('Levas superpuestas'!$B$15-'Levas superpuestas'!$B$9/4))/('Levas superpuestas'!$B$9/2))&gt;=1),0,IF(((W79-('Levas superpuestas'!$B$15-'Levas superpuestas'!$B$9/4))/('Levas superpuestas'!$B$9/2))&lt;Simulador!$B$11,Simulador!$B$10*(1-COS(PI()*((W79-('Levas superpuestas'!$B$15-'Levas superpuestas'!$B$9/4))/('Levas superpuestas'!$B$9/2))/Simulador!$B$11))/2,IF(((W79-('Levas superpuestas'!$B$15-'Levas superpuestas'!$B$9/4))/('Levas superpuestas'!$B$9/2))&gt;1-Simulador!$B$11,Simulador!$B$10*(1-COS(PI()*(1-((W79-('Levas superpuestas'!$B$15-'Levas superpuestas'!$B$9/4))/('Levas superpuestas'!$B$9/2)))/Simulador!$B$11))/2,Simulador!$B$10))))*SIN(RADIANS(W79))</f>
        <v/>
      </c>
      <c r="AA79" s="48">
        <f>('Levas superpuestas'!$B$5+IF(OR(((W79-('Levas superpuestas'!$B$15-'Levas superpuestas'!$B$9/4))/('Levas superpuestas'!$B$9/2))&lt;=0,((W79-('Levas superpuestas'!$B$15-'Levas superpuestas'!$B$9/4))/('Levas superpuestas'!$B$9/2))&gt;=1),0,IF(((W79-('Levas superpuestas'!$B$15-'Levas superpuestas'!$B$9/4))/('Levas superpuestas'!$B$9/2))&lt;Simulador!$B$11,Simulador!$B$10*(1-COS(PI()*((W79-('Levas superpuestas'!$B$15-'Levas superpuestas'!$B$9/4))/('Levas superpuestas'!$B$9/2))/Simulador!$B$11))/2,IF(((W79-('Levas superpuestas'!$B$15-'Levas superpuestas'!$B$9/4))/('Levas superpuestas'!$B$9/2))&gt;1-Simulador!$B$11,Simulador!$B$10*(1-COS(PI()*(1-((W79-('Levas superpuestas'!$B$15-'Levas superpuestas'!$B$9/4))/('Levas superpuestas'!$B$9/2)))/Simulador!$B$11))/2,Simulador!$B$10))))*COS(RADIANS(W79))</f>
        <v/>
      </c>
      <c r="AB79">
        <f>'Levas superpuestas'!$B$5*SIN(RADIANS(W79))</f>
        <v/>
      </c>
      <c r="AC79">
        <f>'Levas superpuestas'!$B$5*COS(RADIANS(W79))</f>
        <v/>
      </c>
    </row>
    <row r="80">
      <c r="A80" s="26">
        <f>A79+Simulador!$B$14</f>
        <v/>
      </c>
      <c r="B80" s="46">
        <f>IF(OR((($A80-Simulador!$E$5)/Simulador!$G$5)&lt;=0,(($A80-Simulador!$E$5)/Simulador!$G$5)&gt;=1),0,IF((($A80-Simulador!$E$5)/Simulador!$G$5)&lt;Simulador!$B$11,Simulador!$B$9*(1-COS(PI()*(($A80-Simulador!$E$5)/Simulador!$G$5)/Simulador!$B$11))/2,IF((($A80-Simulador!$E$5)/Simulador!$G$5)&gt;1-Simulador!$B$11,Simulador!$B$9*(1-COS(PI()*(1-(($A80-Simulador!$E$5)/Simulador!$G$5))/Simulador!$B$11))/2,Simulador!$B$9)))</f>
        <v/>
      </c>
      <c r="C80" s="46">
        <f>IF(OR((($A80-Simulador!$E$6)/Simulador!$G$6)&lt;=0,(($A80-Simulador!$E$6)/Simulador!$G$6)&gt;=1),0,IF((($A80-Simulador!$E$6)/Simulador!$G$6)&lt;Simulador!$B$11,Simulador!$B$9*(1-COS(PI()*(($A80-Simulador!$E$6)/Simulador!$G$6)/Simulador!$B$11))/2,IF((($A80-Simulador!$E$6)/Simulador!$G$6)&gt;1-Simulador!$B$11,Simulador!$B$9*(1-COS(PI()*(1-(($A80-Simulador!$E$6)/Simulador!$G$6))/Simulador!$B$11))/2,Simulador!$B$9)))</f>
        <v/>
      </c>
      <c r="D80" s="46">
        <f>IF(OR((($A80-Simulador!$E$7)/Simulador!$G$7)&lt;=0,(($A80-Simulador!$E$7)/Simulador!$G$7)&gt;=1),0,IF((($A80-Simulador!$E$7)/Simulador!$G$7)&lt;Simulador!$B$11,Simulador!$B$9*(1-COS(PI()*(($A80-Simulador!$E$7)/Simulador!$G$7)/Simulador!$B$11))/2,IF((($A80-Simulador!$E$7)/Simulador!$G$7)&gt;1-Simulador!$B$11,Simulador!$B$9*(1-COS(PI()*(1-(($A80-Simulador!$E$7)/Simulador!$G$7))/Simulador!$B$11))/2,Simulador!$B$9)))</f>
        <v/>
      </c>
      <c r="E80" s="46">
        <f>IF(OR((($A80-Simulador!$E$8)/Simulador!$G$8)&lt;=0,(($A80-Simulador!$E$8)/Simulador!$G$8)&gt;=1),0,IF((($A80-Simulador!$E$8)/Simulador!$G$8)&lt;Simulador!$B$11,Simulador!$B$10*(1-COS(PI()*(($A80-Simulador!$E$8)/Simulador!$G$8)/Simulador!$B$11))/2,IF((($A80-Simulador!$E$8)/Simulador!$G$8)&gt;1-Simulador!$B$11,Simulador!$B$10*(1-COS(PI()*(1-(($A80-Simulador!$E$8)/Simulador!$G$8))/Simulador!$B$11))/2,Simulador!$B$10)))</f>
        <v/>
      </c>
      <c r="F80" s="46">
        <f>IF(OR((($A80-Simulador!$E$9)/Simulador!$G$9)&lt;=0,(($A80-Simulador!$E$9)/Simulador!$G$9)&gt;=1),0,IF((($A80-Simulador!$E$9)/Simulador!$G$9)&lt;Simulador!$B$11,Simulador!$B$10*(1-COS(PI()*(($A80-Simulador!$E$9)/Simulador!$G$9)/Simulador!$B$11))/2,IF((($A80-Simulador!$E$9)/Simulador!$G$9)&gt;1-Simulador!$B$11,Simulador!$B$10*(1-COS(PI()*(1-(($A80-Simulador!$E$9)/Simulador!$G$9))/Simulador!$B$11))/2,Simulador!$B$10)))</f>
        <v/>
      </c>
      <c r="G80" s="46">
        <f>IF(OR((($A80-Simulador!$E$10)/Simulador!$G$10)&lt;=0,(($A80-Simulador!$E$10)/Simulador!$G$10)&gt;=1),0,IF((($A80-Simulador!$E$10)/Simulador!$G$10)&lt;Simulador!$B$11,Simulador!$B$10*(1-COS(PI()*(($A80-Simulador!$E$10)/Simulador!$G$10)/Simulador!$B$11))/2,IF((($A80-Simulador!$E$10)/Simulador!$G$10)&gt;1-Simulador!$B$11,Simulador!$B$10*(1-COS(PI()*(1-(($A80-Simulador!$E$10)/Simulador!$G$10))/Simulador!$B$11))/2,Simulador!$B$10)))</f>
        <v/>
      </c>
      <c r="Q80" s="48">
        <f>IF(OR((($A80-(Simulador!$E$6+'Salto de dientes'!$B$12))/Simulador!$G$6)&lt;=0,(($A80-(Simulador!$E$6+'Salto de dientes'!$B$12))/Simulador!$G$6)&gt;=1),0,IF((($A80-(Simulador!$E$6+'Salto de dientes'!$B$12))/Simulador!$G$6)&lt;Simulador!$B$11,Simulador!$B$9*(1-COS(PI()*(($A80-(Simulador!$E$6+'Salto de dientes'!$B$12))/Simulador!$G$6)/Simulador!$B$11))/2,IF((($A80-(Simulador!$E$6+'Salto de dientes'!$B$12))/Simulador!$G$6)&gt;1-Simulador!$B$11,Simulador!$B$9*(1-COS(PI()*(1-(($A80-(Simulador!$E$6+'Salto de dientes'!$B$12))/Simulador!$G$6))/Simulador!$B$11))/2,Simulador!$B$9)))</f>
        <v/>
      </c>
      <c r="R80" s="48">
        <f>IF(OR((($A80-(Simulador!$E$9+'Salto de dientes'!$B$12))/Simulador!$G$9)&lt;=0,(($A80-(Simulador!$E$9+'Salto de dientes'!$B$12))/Simulador!$G$9)&gt;=1),0,IF((($A80-(Simulador!$E$9+'Salto de dientes'!$B$12))/Simulador!$G$9)&lt;Simulador!$B$11,Simulador!$B$10*(1-COS(PI()*(($A80-(Simulador!$E$9+'Salto de dientes'!$B$12))/Simulador!$G$9)/Simulador!$B$11))/2,IF((($A80-(Simulador!$E$9+'Salto de dientes'!$B$12))/Simulador!$G$9)&gt;1-Simulador!$B$11,Simulador!$B$10*(1-COS(PI()*(1-(($A80-(Simulador!$E$9+'Salto de dientes'!$B$12))/Simulador!$G$9))/Simulador!$B$11))/2,Simulador!$B$10)))</f>
        <v/>
      </c>
      <c r="W80" t="n">
        <v>54</v>
      </c>
      <c r="X80" s="48">
        <f>('Levas superpuestas'!$B$5+IF(OR(((W80-('Levas superpuestas'!$B$14-'Levas superpuestas'!$B$8/4))/('Levas superpuestas'!$B$8/2))&lt;=0,((W80-('Levas superpuestas'!$B$14-'Levas superpuestas'!$B$8/4))/('Levas superpuestas'!$B$8/2))&gt;=1),0,IF(((W80-('Levas superpuestas'!$B$14-'Levas superpuestas'!$B$8/4))/('Levas superpuestas'!$B$8/2))&lt;Simulador!$B$11,Simulador!$B$9*(1-COS(PI()*((W80-('Levas superpuestas'!$B$14-'Levas superpuestas'!$B$8/4))/('Levas superpuestas'!$B$8/2))/Simulador!$B$11))/2,IF(((W80-('Levas superpuestas'!$B$14-'Levas superpuestas'!$B$8/4))/('Levas superpuestas'!$B$8/2))&gt;1-Simulador!$B$11,Simulador!$B$9*(1-COS(PI()*(1-((W80-('Levas superpuestas'!$B$14-'Levas superpuestas'!$B$8/4))/('Levas superpuestas'!$B$8/2)))/Simulador!$B$11))/2,Simulador!$B$9))))*SIN(RADIANS(W80))</f>
        <v/>
      </c>
      <c r="Y80" s="48">
        <f>('Levas superpuestas'!$B$5+IF(OR(((W80-('Levas superpuestas'!$B$14-'Levas superpuestas'!$B$8/4))/('Levas superpuestas'!$B$8/2))&lt;=0,((W80-('Levas superpuestas'!$B$14-'Levas superpuestas'!$B$8/4))/('Levas superpuestas'!$B$8/2))&gt;=1),0,IF(((W80-('Levas superpuestas'!$B$14-'Levas superpuestas'!$B$8/4))/('Levas superpuestas'!$B$8/2))&lt;Simulador!$B$11,Simulador!$B$9*(1-COS(PI()*((W80-('Levas superpuestas'!$B$14-'Levas superpuestas'!$B$8/4))/('Levas superpuestas'!$B$8/2))/Simulador!$B$11))/2,IF(((W80-('Levas superpuestas'!$B$14-'Levas superpuestas'!$B$8/4))/('Levas superpuestas'!$B$8/2))&gt;1-Simulador!$B$11,Simulador!$B$9*(1-COS(PI()*(1-((W80-('Levas superpuestas'!$B$14-'Levas superpuestas'!$B$8/4))/('Levas superpuestas'!$B$8/2)))/Simulador!$B$11))/2,Simulador!$B$9))))*COS(RADIANS(W80))</f>
        <v/>
      </c>
      <c r="Z80" s="48">
        <f>('Levas superpuestas'!$B$5+IF(OR(((W80-('Levas superpuestas'!$B$15-'Levas superpuestas'!$B$9/4))/('Levas superpuestas'!$B$9/2))&lt;=0,((W80-('Levas superpuestas'!$B$15-'Levas superpuestas'!$B$9/4))/('Levas superpuestas'!$B$9/2))&gt;=1),0,IF(((W80-('Levas superpuestas'!$B$15-'Levas superpuestas'!$B$9/4))/('Levas superpuestas'!$B$9/2))&lt;Simulador!$B$11,Simulador!$B$10*(1-COS(PI()*((W80-('Levas superpuestas'!$B$15-'Levas superpuestas'!$B$9/4))/('Levas superpuestas'!$B$9/2))/Simulador!$B$11))/2,IF(((W80-('Levas superpuestas'!$B$15-'Levas superpuestas'!$B$9/4))/('Levas superpuestas'!$B$9/2))&gt;1-Simulador!$B$11,Simulador!$B$10*(1-COS(PI()*(1-((W80-('Levas superpuestas'!$B$15-'Levas superpuestas'!$B$9/4))/('Levas superpuestas'!$B$9/2)))/Simulador!$B$11))/2,Simulador!$B$10))))*SIN(RADIANS(W80))</f>
        <v/>
      </c>
      <c r="AA80" s="48">
        <f>('Levas superpuestas'!$B$5+IF(OR(((W80-('Levas superpuestas'!$B$15-'Levas superpuestas'!$B$9/4))/('Levas superpuestas'!$B$9/2))&lt;=0,((W80-('Levas superpuestas'!$B$15-'Levas superpuestas'!$B$9/4))/('Levas superpuestas'!$B$9/2))&gt;=1),0,IF(((W80-('Levas superpuestas'!$B$15-'Levas superpuestas'!$B$9/4))/('Levas superpuestas'!$B$9/2))&lt;Simulador!$B$11,Simulador!$B$10*(1-COS(PI()*((W80-('Levas superpuestas'!$B$15-'Levas superpuestas'!$B$9/4))/('Levas superpuestas'!$B$9/2))/Simulador!$B$11))/2,IF(((W80-('Levas superpuestas'!$B$15-'Levas superpuestas'!$B$9/4))/('Levas superpuestas'!$B$9/2))&gt;1-Simulador!$B$11,Simulador!$B$10*(1-COS(PI()*(1-((W80-('Levas superpuestas'!$B$15-'Levas superpuestas'!$B$9/4))/('Levas superpuestas'!$B$9/2)))/Simulador!$B$11))/2,Simulador!$B$10))))*COS(RADIANS(W80))</f>
        <v/>
      </c>
      <c r="AB80">
        <f>'Levas superpuestas'!$B$5*SIN(RADIANS(W80))</f>
        <v/>
      </c>
      <c r="AC80">
        <f>'Levas superpuestas'!$B$5*COS(RADIANS(W80))</f>
        <v/>
      </c>
    </row>
    <row r="81">
      <c r="A81" s="26">
        <f>A80+Simulador!$B$14</f>
        <v/>
      </c>
      <c r="B81" s="46">
        <f>IF(OR((($A81-Simulador!$E$5)/Simulador!$G$5)&lt;=0,(($A81-Simulador!$E$5)/Simulador!$G$5)&gt;=1),0,IF((($A81-Simulador!$E$5)/Simulador!$G$5)&lt;Simulador!$B$11,Simulador!$B$9*(1-COS(PI()*(($A81-Simulador!$E$5)/Simulador!$G$5)/Simulador!$B$11))/2,IF((($A81-Simulador!$E$5)/Simulador!$G$5)&gt;1-Simulador!$B$11,Simulador!$B$9*(1-COS(PI()*(1-(($A81-Simulador!$E$5)/Simulador!$G$5))/Simulador!$B$11))/2,Simulador!$B$9)))</f>
        <v/>
      </c>
      <c r="C81" s="46">
        <f>IF(OR((($A81-Simulador!$E$6)/Simulador!$G$6)&lt;=0,(($A81-Simulador!$E$6)/Simulador!$G$6)&gt;=1),0,IF((($A81-Simulador!$E$6)/Simulador!$G$6)&lt;Simulador!$B$11,Simulador!$B$9*(1-COS(PI()*(($A81-Simulador!$E$6)/Simulador!$G$6)/Simulador!$B$11))/2,IF((($A81-Simulador!$E$6)/Simulador!$G$6)&gt;1-Simulador!$B$11,Simulador!$B$9*(1-COS(PI()*(1-(($A81-Simulador!$E$6)/Simulador!$G$6))/Simulador!$B$11))/2,Simulador!$B$9)))</f>
        <v/>
      </c>
      <c r="D81" s="46">
        <f>IF(OR((($A81-Simulador!$E$7)/Simulador!$G$7)&lt;=0,(($A81-Simulador!$E$7)/Simulador!$G$7)&gt;=1),0,IF((($A81-Simulador!$E$7)/Simulador!$G$7)&lt;Simulador!$B$11,Simulador!$B$9*(1-COS(PI()*(($A81-Simulador!$E$7)/Simulador!$G$7)/Simulador!$B$11))/2,IF((($A81-Simulador!$E$7)/Simulador!$G$7)&gt;1-Simulador!$B$11,Simulador!$B$9*(1-COS(PI()*(1-(($A81-Simulador!$E$7)/Simulador!$G$7))/Simulador!$B$11))/2,Simulador!$B$9)))</f>
        <v/>
      </c>
      <c r="E81" s="46">
        <f>IF(OR((($A81-Simulador!$E$8)/Simulador!$G$8)&lt;=0,(($A81-Simulador!$E$8)/Simulador!$G$8)&gt;=1),0,IF((($A81-Simulador!$E$8)/Simulador!$G$8)&lt;Simulador!$B$11,Simulador!$B$10*(1-COS(PI()*(($A81-Simulador!$E$8)/Simulador!$G$8)/Simulador!$B$11))/2,IF((($A81-Simulador!$E$8)/Simulador!$G$8)&gt;1-Simulador!$B$11,Simulador!$B$10*(1-COS(PI()*(1-(($A81-Simulador!$E$8)/Simulador!$G$8))/Simulador!$B$11))/2,Simulador!$B$10)))</f>
        <v/>
      </c>
      <c r="F81" s="46">
        <f>IF(OR((($A81-Simulador!$E$9)/Simulador!$G$9)&lt;=0,(($A81-Simulador!$E$9)/Simulador!$G$9)&gt;=1),0,IF((($A81-Simulador!$E$9)/Simulador!$G$9)&lt;Simulador!$B$11,Simulador!$B$10*(1-COS(PI()*(($A81-Simulador!$E$9)/Simulador!$G$9)/Simulador!$B$11))/2,IF((($A81-Simulador!$E$9)/Simulador!$G$9)&gt;1-Simulador!$B$11,Simulador!$B$10*(1-COS(PI()*(1-(($A81-Simulador!$E$9)/Simulador!$G$9))/Simulador!$B$11))/2,Simulador!$B$10)))</f>
        <v/>
      </c>
      <c r="G81" s="46">
        <f>IF(OR((($A81-Simulador!$E$10)/Simulador!$G$10)&lt;=0,(($A81-Simulador!$E$10)/Simulador!$G$10)&gt;=1),0,IF((($A81-Simulador!$E$10)/Simulador!$G$10)&lt;Simulador!$B$11,Simulador!$B$10*(1-COS(PI()*(($A81-Simulador!$E$10)/Simulador!$G$10)/Simulador!$B$11))/2,IF((($A81-Simulador!$E$10)/Simulador!$G$10)&gt;1-Simulador!$B$11,Simulador!$B$10*(1-COS(PI()*(1-(($A81-Simulador!$E$10)/Simulador!$G$10))/Simulador!$B$11))/2,Simulador!$B$10)))</f>
        <v/>
      </c>
      <c r="Q81" s="48">
        <f>IF(OR((($A81-(Simulador!$E$6+'Salto de dientes'!$B$12))/Simulador!$G$6)&lt;=0,(($A81-(Simulador!$E$6+'Salto de dientes'!$B$12))/Simulador!$G$6)&gt;=1),0,IF((($A81-(Simulador!$E$6+'Salto de dientes'!$B$12))/Simulador!$G$6)&lt;Simulador!$B$11,Simulador!$B$9*(1-COS(PI()*(($A81-(Simulador!$E$6+'Salto de dientes'!$B$12))/Simulador!$G$6)/Simulador!$B$11))/2,IF((($A81-(Simulador!$E$6+'Salto de dientes'!$B$12))/Simulador!$G$6)&gt;1-Simulador!$B$11,Simulador!$B$9*(1-COS(PI()*(1-(($A81-(Simulador!$E$6+'Salto de dientes'!$B$12))/Simulador!$G$6))/Simulador!$B$11))/2,Simulador!$B$9)))</f>
        <v/>
      </c>
      <c r="R81" s="48">
        <f>IF(OR((($A81-(Simulador!$E$9+'Salto de dientes'!$B$12))/Simulador!$G$9)&lt;=0,(($A81-(Simulador!$E$9+'Salto de dientes'!$B$12))/Simulador!$G$9)&gt;=1),0,IF((($A81-(Simulador!$E$9+'Salto de dientes'!$B$12))/Simulador!$G$9)&lt;Simulador!$B$11,Simulador!$B$10*(1-COS(PI()*(($A81-(Simulador!$E$9+'Salto de dientes'!$B$12))/Simulador!$G$9)/Simulador!$B$11))/2,IF((($A81-(Simulador!$E$9+'Salto de dientes'!$B$12))/Simulador!$G$9)&gt;1-Simulador!$B$11,Simulador!$B$10*(1-COS(PI()*(1-(($A81-(Simulador!$E$9+'Salto de dientes'!$B$12))/Simulador!$G$9))/Simulador!$B$11))/2,Simulador!$B$10)))</f>
        <v/>
      </c>
      <c r="W81" t="n">
        <v>57</v>
      </c>
      <c r="X81" s="48">
        <f>('Levas superpuestas'!$B$5+IF(OR(((W81-('Levas superpuestas'!$B$14-'Levas superpuestas'!$B$8/4))/('Levas superpuestas'!$B$8/2))&lt;=0,((W81-('Levas superpuestas'!$B$14-'Levas superpuestas'!$B$8/4))/('Levas superpuestas'!$B$8/2))&gt;=1),0,IF(((W81-('Levas superpuestas'!$B$14-'Levas superpuestas'!$B$8/4))/('Levas superpuestas'!$B$8/2))&lt;Simulador!$B$11,Simulador!$B$9*(1-COS(PI()*((W81-('Levas superpuestas'!$B$14-'Levas superpuestas'!$B$8/4))/('Levas superpuestas'!$B$8/2))/Simulador!$B$11))/2,IF(((W81-('Levas superpuestas'!$B$14-'Levas superpuestas'!$B$8/4))/('Levas superpuestas'!$B$8/2))&gt;1-Simulador!$B$11,Simulador!$B$9*(1-COS(PI()*(1-((W81-('Levas superpuestas'!$B$14-'Levas superpuestas'!$B$8/4))/('Levas superpuestas'!$B$8/2)))/Simulador!$B$11))/2,Simulador!$B$9))))*SIN(RADIANS(W81))</f>
        <v/>
      </c>
      <c r="Y81" s="48">
        <f>('Levas superpuestas'!$B$5+IF(OR(((W81-('Levas superpuestas'!$B$14-'Levas superpuestas'!$B$8/4))/('Levas superpuestas'!$B$8/2))&lt;=0,((W81-('Levas superpuestas'!$B$14-'Levas superpuestas'!$B$8/4))/('Levas superpuestas'!$B$8/2))&gt;=1),0,IF(((W81-('Levas superpuestas'!$B$14-'Levas superpuestas'!$B$8/4))/('Levas superpuestas'!$B$8/2))&lt;Simulador!$B$11,Simulador!$B$9*(1-COS(PI()*((W81-('Levas superpuestas'!$B$14-'Levas superpuestas'!$B$8/4))/('Levas superpuestas'!$B$8/2))/Simulador!$B$11))/2,IF(((W81-('Levas superpuestas'!$B$14-'Levas superpuestas'!$B$8/4))/('Levas superpuestas'!$B$8/2))&gt;1-Simulador!$B$11,Simulador!$B$9*(1-COS(PI()*(1-((W81-('Levas superpuestas'!$B$14-'Levas superpuestas'!$B$8/4))/('Levas superpuestas'!$B$8/2)))/Simulador!$B$11))/2,Simulador!$B$9))))*COS(RADIANS(W81))</f>
        <v/>
      </c>
      <c r="Z81" s="48">
        <f>('Levas superpuestas'!$B$5+IF(OR(((W81-('Levas superpuestas'!$B$15-'Levas superpuestas'!$B$9/4))/('Levas superpuestas'!$B$9/2))&lt;=0,((W81-('Levas superpuestas'!$B$15-'Levas superpuestas'!$B$9/4))/('Levas superpuestas'!$B$9/2))&gt;=1),0,IF(((W81-('Levas superpuestas'!$B$15-'Levas superpuestas'!$B$9/4))/('Levas superpuestas'!$B$9/2))&lt;Simulador!$B$11,Simulador!$B$10*(1-COS(PI()*((W81-('Levas superpuestas'!$B$15-'Levas superpuestas'!$B$9/4))/('Levas superpuestas'!$B$9/2))/Simulador!$B$11))/2,IF(((W81-('Levas superpuestas'!$B$15-'Levas superpuestas'!$B$9/4))/('Levas superpuestas'!$B$9/2))&gt;1-Simulador!$B$11,Simulador!$B$10*(1-COS(PI()*(1-((W81-('Levas superpuestas'!$B$15-'Levas superpuestas'!$B$9/4))/('Levas superpuestas'!$B$9/2)))/Simulador!$B$11))/2,Simulador!$B$10))))*SIN(RADIANS(W81))</f>
        <v/>
      </c>
      <c r="AA81" s="48">
        <f>('Levas superpuestas'!$B$5+IF(OR(((W81-('Levas superpuestas'!$B$15-'Levas superpuestas'!$B$9/4))/('Levas superpuestas'!$B$9/2))&lt;=0,((W81-('Levas superpuestas'!$B$15-'Levas superpuestas'!$B$9/4))/('Levas superpuestas'!$B$9/2))&gt;=1),0,IF(((W81-('Levas superpuestas'!$B$15-'Levas superpuestas'!$B$9/4))/('Levas superpuestas'!$B$9/2))&lt;Simulador!$B$11,Simulador!$B$10*(1-COS(PI()*((W81-('Levas superpuestas'!$B$15-'Levas superpuestas'!$B$9/4))/('Levas superpuestas'!$B$9/2))/Simulador!$B$11))/2,IF(((W81-('Levas superpuestas'!$B$15-'Levas superpuestas'!$B$9/4))/('Levas superpuestas'!$B$9/2))&gt;1-Simulador!$B$11,Simulador!$B$10*(1-COS(PI()*(1-((W81-('Levas superpuestas'!$B$15-'Levas superpuestas'!$B$9/4))/('Levas superpuestas'!$B$9/2)))/Simulador!$B$11))/2,Simulador!$B$10))))*COS(RADIANS(W81))</f>
        <v/>
      </c>
      <c r="AB81">
        <f>'Levas superpuestas'!$B$5*SIN(RADIANS(W81))</f>
        <v/>
      </c>
      <c r="AC81">
        <f>'Levas superpuestas'!$B$5*COS(RADIANS(W81))</f>
        <v/>
      </c>
    </row>
    <row r="82">
      <c r="A82" s="26">
        <f>A81+Simulador!$B$14</f>
        <v/>
      </c>
      <c r="B82" s="46">
        <f>IF(OR((($A82-Simulador!$E$5)/Simulador!$G$5)&lt;=0,(($A82-Simulador!$E$5)/Simulador!$G$5)&gt;=1),0,IF((($A82-Simulador!$E$5)/Simulador!$G$5)&lt;Simulador!$B$11,Simulador!$B$9*(1-COS(PI()*(($A82-Simulador!$E$5)/Simulador!$G$5)/Simulador!$B$11))/2,IF((($A82-Simulador!$E$5)/Simulador!$G$5)&gt;1-Simulador!$B$11,Simulador!$B$9*(1-COS(PI()*(1-(($A82-Simulador!$E$5)/Simulador!$G$5))/Simulador!$B$11))/2,Simulador!$B$9)))</f>
        <v/>
      </c>
      <c r="C82" s="46">
        <f>IF(OR((($A82-Simulador!$E$6)/Simulador!$G$6)&lt;=0,(($A82-Simulador!$E$6)/Simulador!$G$6)&gt;=1),0,IF((($A82-Simulador!$E$6)/Simulador!$G$6)&lt;Simulador!$B$11,Simulador!$B$9*(1-COS(PI()*(($A82-Simulador!$E$6)/Simulador!$G$6)/Simulador!$B$11))/2,IF((($A82-Simulador!$E$6)/Simulador!$G$6)&gt;1-Simulador!$B$11,Simulador!$B$9*(1-COS(PI()*(1-(($A82-Simulador!$E$6)/Simulador!$G$6))/Simulador!$B$11))/2,Simulador!$B$9)))</f>
        <v/>
      </c>
      <c r="D82" s="46">
        <f>IF(OR((($A82-Simulador!$E$7)/Simulador!$G$7)&lt;=0,(($A82-Simulador!$E$7)/Simulador!$G$7)&gt;=1),0,IF((($A82-Simulador!$E$7)/Simulador!$G$7)&lt;Simulador!$B$11,Simulador!$B$9*(1-COS(PI()*(($A82-Simulador!$E$7)/Simulador!$G$7)/Simulador!$B$11))/2,IF((($A82-Simulador!$E$7)/Simulador!$G$7)&gt;1-Simulador!$B$11,Simulador!$B$9*(1-COS(PI()*(1-(($A82-Simulador!$E$7)/Simulador!$G$7))/Simulador!$B$11))/2,Simulador!$B$9)))</f>
        <v/>
      </c>
      <c r="E82" s="46">
        <f>IF(OR((($A82-Simulador!$E$8)/Simulador!$G$8)&lt;=0,(($A82-Simulador!$E$8)/Simulador!$G$8)&gt;=1),0,IF((($A82-Simulador!$E$8)/Simulador!$G$8)&lt;Simulador!$B$11,Simulador!$B$10*(1-COS(PI()*(($A82-Simulador!$E$8)/Simulador!$G$8)/Simulador!$B$11))/2,IF((($A82-Simulador!$E$8)/Simulador!$G$8)&gt;1-Simulador!$B$11,Simulador!$B$10*(1-COS(PI()*(1-(($A82-Simulador!$E$8)/Simulador!$G$8))/Simulador!$B$11))/2,Simulador!$B$10)))</f>
        <v/>
      </c>
      <c r="F82" s="46">
        <f>IF(OR((($A82-Simulador!$E$9)/Simulador!$G$9)&lt;=0,(($A82-Simulador!$E$9)/Simulador!$G$9)&gt;=1),0,IF((($A82-Simulador!$E$9)/Simulador!$G$9)&lt;Simulador!$B$11,Simulador!$B$10*(1-COS(PI()*(($A82-Simulador!$E$9)/Simulador!$G$9)/Simulador!$B$11))/2,IF((($A82-Simulador!$E$9)/Simulador!$G$9)&gt;1-Simulador!$B$11,Simulador!$B$10*(1-COS(PI()*(1-(($A82-Simulador!$E$9)/Simulador!$G$9))/Simulador!$B$11))/2,Simulador!$B$10)))</f>
        <v/>
      </c>
      <c r="G82" s="46">
        <f>IF(OR((($A82-Simulador!$E$10)/Simulador!$G$10)&lt;=0,(($A82-Simulador!$E$10)/Simulador!$G$10)&gt;=1),0,IF((($A82-Simulador!$E$10)/Simulador!$G$10)&lt;Simulador!$B$11,Simulador!$B$10*(1-COS(PI()*(($A82-Simulador!$E$10)/Simulador!$G$10)/Simulador!$B$11))/2,IF((($A82-Simulador!$E$10)/Simulador!$G$10)&gt;1-Simulador!$B$11,Simulador!$B$10*(1-COS(PI()*(1-(($A82-Simulador!$E$10)/Simulador!$G$10))/Simulador!$B$11))/2,Simulador!$B$10)))</f>
        <v/>
      </c>
      <c r="Q82" s="48">
        <f>IF(OR((($A82-(Simulador!$E$6+'Salto de dientes'!$B$12))/Simulador!$G$6)&lt;=0,(($A82-(Simulador!$E$6+'Salto de dientes'!$B$12))/Simulador!$G$6)&gt;=1),0,IF((($A82-(Simulador!$E$6+'Salto de dientes'!$B$12))/Simulador!$G$6)&lt;Simulador!$B$11,Simulador!$B$9*(1-COS(PI()*(($A82-(Simulador!$E$6+'Salto de dientes'!$B$12))/Simulador!$G$6)/Simulador!$B$11))/2,IF((($A82-(Simulador!$E$6+'Salto de dientes'!$B$12))/Simulador!$G$6)&gt;1-Simulador!$B$11,Simulador!$B$9*(1-COS(PI()*(1-(($A82-(Simulador!$E$6+'Salto de dientes'!$B$12))/Simulador!$G$6))/Simulador!$B$11))/2,Simulador!$B$9)))</f>
        <v/>
      </c>
      <c r="R82" s="48">
        <f>IF(OR((($A82-(Simulador!$E$9+'Salto de dientes'!$B$12))/Simulador!$G$9)&lt;=0,(($A82-(Simulador!$E$9+'Salto de dientes'!$B$12))/Simulador!$G$9)&gt;=1),0,IF((($A82-(Simulador!$E$9+'Salto de dientes'!$B$12))/Simulador!$G$9)&lt;Simulador!$B$11,Simulador!$B$10*(1-COS(PI()*(($A82-(Simulador!$E$9+'Salto de dientes'!$B$12))/Simulador!$G$9)/Simulador!$B$11))/2,IF((($A82-(Simulador!$E$9+'Salto de dientes'!$B$12))/Simulador!$G$9)&gt;1-Simulador!$B$11,Simulador!$B$10*(1-COS(PI()*(1-(($A82-(Simulador!$E$9+'Salto de dientes'!$B$12))/Simulador!$G$9))/Simulador!$B$11))/2,Simulador!$B$10)))</f>
        <v/>
      </c>
      <c r="W82" t="n">
        <v>60</v>
      </c>
      <c r="X82" s="48">
        <f>('Levas superpuestas'!$B$5+IF(OR(((W82-('Levas superpuestas'!$B$14-'Levas superpuestas'!$B$8/4))/('Levas superpuestas'!$B$8/2))&lt;=0,((W82-('Levas superpuestas'!$B$14-'Levas superpuestas'!$B$8/4))/('Levas superpuestas'!$B$8/2))&gt;=1),0,IF(((W82-('Levas superpuestas'!$B$14-'Levas superpuestas'!$B$8/4))/('Levas superpuestas'!$B$8/2))&lt;Simulador!$B$11,Simulador!$B$9*(1-COS(PI()*((W82-('Levas superpuestas'!$B$14-'Levas superpuestas'!$B$8/4))/('Levas superpuestas'!$B$8/2))/Simulador!$B$11))/2,IF(((W82-('Levas superpuestas'!$B$14-'Levas superpuestas'!$B$8/4))/('Levas superpuestas'!$B$8/2))&gt;1-Simulador!$B$11,Simulador!$B$9*(1-COS(PI()*(1-((W82-('Levas superpuestas'!$B$14-'Levas superpuestas'!$B$8/4))/('Levas superpuestas'!$B$8/2)))/Simulador!$B$11))/2,Simulador!$B$9))))*SIN(RADIANS(W82))</f>
        <v/>
      </c>
      <c r="Y82" s="48">
        <f>('Levas superpuestas'!$B$5+IF(OR(((W82-('Levas superpuestas'!$B$14-'Levas superpuestas'!$B$8/4))/('Levas superpuestas'!$B$8/2))&lt;=0,((W82-('Levas superpuestas'!$B$14-'Levas superpuestas'!$B$8/4))/('Levas superpuestas'!$B$8/2))&gt;=1),0,IF(((W82-('Levas superpuestas'!$B$14-'Levas superpuestas'!$B$8/4))/('Levas superpuestas'!$B$8/2))&lt;Simulador!$B$11,Simulador!$B$9*(1-COS(PI()*((W82-('Levas superpuestas'!$B$14-'Levas superpuestas'!$B$8/4))/('Levas superpuestas'!$B$8/2))/Simulador!$B$11))/2,IF(((W82-('Levas superpuestas'!$B$14-'Levas superpuestas'!$B$8/4))/('Levas superpuestas'!$B$8/2))&gt;1-Simulador!$B$11,Simulador!$B$9*(1-COS(PI()*(1-((W82-('Levas superpuestas'!$B$14-'Levas superpuestas'!$B$8/4))/('Levas superpuestas'!$B$8/2)))/Simulador!$B$11))/2,Simulador!$B$9))))*COS(RADIANS(W82))</f>
        <v/>
      </c>
      <c r="Z82" s="48">
        <f>('Levas superpuestas'!$B$5+IF(OR(((W82-('Levas superpuestas'!$B$15-'Levas superpuestas'!$B$9/4))/('Levas superpuestas'!$B$9/2))&lt;=0,((W82-('Levas superpuestas'!$B$15-'Levas superpuestas'!$B$9/4))/('Levas superpuestas'!$B$9/2))&gt;=1),0,IF(((W82-('Levas superpuestas'!$B$15-'Levas superpuestas'!$B$9/4))/('Levas superpuestas'!$B$9/2))&lt;Simulador!$B$11,Simulador!$B$10*(1-COS(PI()*((W82-('Levas superpuestas'!$B$15-'Levas superpuestas'!$B$9/4))/('Levas superpuestas'!$B$9/2))/Simulador!$B$11))/2,IF(((W82-('Levas superpuestas'!$B$15-'Levas superpuestas'!$B$9/4))/('Levas superpuestas'!$B$9/2))&gt;1-Simulador!$B$11,Simulador!$B$10*(1-COS(PI()*(1-((W82-('Levas superpuestas'!$B$15-'Levas superpuestas'!$B$9/4))/('Levas superpuestas'!$B$9/2)))/Simulador!$B$11))/2,Simulador!$B$10))))*SIN(RADIANS(W82))</f>
        <v/>
      </c>
      <c r="AA82" s="48">
        <f>('Levas superpuestas'!$B$5+IF(OR(((W82-('Levas superpuestas'!$B$15-'Levas superpuestas'!$B$9/4))/('Levas superpuestas'!$B$9/2))&lt;=0,((W82-('Levas superpuestas'!$B$15-'Levas superpuestas'!$B$9/4))/('Levas superpuestas'!$B$9/2))&gt;=1),0,IF(((W82-('Levas superpuestas'!$B$15-'Levas superpuestas'!$B$9/4))/('Levas superpuestas'!$B$9/2))&lt;Simulador!$B$11,Simulador!$B$10*(1-COS(PI()*((W82-('Levas superpuestas'!$B$15-'Levas superpuestas'!$B$9/4))/('Levas superpuestas'!$B$9/2))/Simulador!$B$11))/2,IF(((W82-('Levas superpuestas'!$B$15-'Levas superpuestas'!$B$9/4))/('Levas superpuestas'!$B$9/2))&gt;1-Simulador!$B$11,Simulador!$B$10*(1-COS(PI()*(1-((W82-('Levas superpuestas'!$B$15-'Levas superpuestas'!$B$9/4))/('Levas superpuestas'!$B$9/2)))/Simulador!$B$11))/2,Simulador!$B$10))))*COS(RADIANS(W82))</f>
        <v/>
      </c>
      <c r="AB82">
        <f>'Levas superpuestas'!$B$5*SIN(RADIANS(W82))</f>
        <v/>
      </c>
      <c r="AC82">
        <f>'Levas superpuestas'!$B$5*COS(RADIANS(W82))</f>
        <v/>
      </c>
    </row>
    <row r="83">
      <c r="A83" s="26">
        <f>A82+Simulador!$B$14</f>
        <v/>
      </c>
      <c r="B83" s="46">
        <f>IF(OR((($A83-Simulador!$E$5)/Simulador!$G$5)&lt;=0,(($A83-Simulador!$E$5)/Simulador!$G$5)&gt;=1),0,IF((($A83-Simulador!$E$5)/Simulador!$G$5)&lt;Simulador!$B$11,Simulador!$B$9*(1-COS(PI()*(($A83-Simulador!$E$5)/Simulador!$G$5)/Simulador!$B$11))/2,IF((($A83-Simulador!$E$5)/Simulador!$G$5)&gt;1-Simulador!$B$11,Simulador!$B$9*(1-COS(PI()*(1-(($A83-Simulador!$E$5)/Simulador!$G$5))/Simulador!$B$11))/2,Simulador!$B$9)))</f>
        <v/>
      </c>
      <c r="C83" s="46">
        <f>IF(OR((($A83-Simulador!$E$6)/Simulador!$G$6)&lt;=0,(($A83-Simulador!$E$6)/Simulador!$G$6)&gt;=1),0,IF((($A83-Simulador!$E$6)/Simulador!$G$6)&lt;Simulador!$B$11,Simulador!$B$9*(1-COS(PI()*(($A83-Simulador!$E$6)/Simulador!$G$6)/Simulador!$B$11))/2,IF((($A83-Simulador!$E$6)/Simulador!$G$6)&gt;1-Simulador!$B$11,Simulador!$B$9*(1-COS(PI()*(1-(($A83-Simulador!$E$6)/Simulador!$G$6))/Simulador!$B$11))/2,Simulador!$B$9)))</f>
        <v/>
      </c>
      <c r="D83" s="46">
        <f>IF(OR((($A83-Simulador!$E$7)/Simulador!$G$7)&lt;=0,(($A83-Simulador!$E$7)/Simulador!$G$7)&gt;=1),0,IF((($A83-Simulador!$E$7)/Simulador!$G$7)&lt;Simulador!$B$11,Simulador!$B$9*(1-COS(PI()*(($A83-Simulador!$E$7)/Simulador!$G$7)/Simulador!$B$11))/2,IF((($A83-Simulador!$E$7)/Simulador!$G$7)&gt;1-Simulador!$B$11,Simulador!$B$9*(1-COS(PI()*(1-(($A83-Simulador!$E$7)/Simulador!$G$7))/Simulador!$B$11))/2,Simulador!$B$9)))</f>
        <v/>
      </c>
      <c r="E83" s="46">
        <f>IF(OR((($A83-Simulador!$E$8)/Simulador!$G$8)&lt;=0,(($A83-Simulador!$E$8)/Simulador!$G$8)&gt;=1),0,IF((($A83-Simulador!$E$8)/Simulador!$G$8)&lt;Simulador!$B$11,Simulador!$B$10*(1-COS(PI()*(($A83-Simulador!$E$8)/Simulador!$G$8)/Simulador!$B$11))/2,IF((($A83-Simulador!$E$8)/Simulador!$G$8)&gt;1-Simulador!$B$11,Simulador!$B$10*(1-COS(PI()*(1-(($A83-Simulador!$E$8)/Simulador!$G$8))/Simulador!$B$11))/2,Simulador!$B$10)))</f>
        <v/>
      </c>
      <c r="F83" s="46">
        <f>IF(OR((($A83-Simulador!$E$9)/Simulador!$G$9)&lt;=0,(($A83-Simulador!$E$9)/Simulador!$G$9)&gt;=1),0,IF((($A83-Simulador!$E$9)/Simulador!$G$9)&lt;Simulador!$B$11,Simulador!$B$10*(1-COS(PI()*(($A83-Simulador!$E$9)/Simulador!$G$9)/Simulador!$B$11))/2,IF((($A83-Simulador!$E$9)/Simulador!$G$9)&gt;1-Simulador!$B$11,Simulador!$B$10*(1-COS(PI()*(1-(($A83-Simulador!$E$9)/Simulador!$G$9))/Simulador!$B$11))/2,Simulador!$B$10)))</f>
        <v/>
      </c>
      <c r="G83" s="46">
        <f>IF(OR((($A83-Simulador!$E$10)/Simulador!$G$10)&lt;=0,(($A83-Simulador!$E$10)/Simulador!$G$10)&gt;=1),0,IF((($A83-Simulador!$E$10)/Simulador!$G$10)&lt;Simulador!$B$11,Simulador!$B$10*(1-COS(PI()*(($A83-Simulador!$E$10)/Simulador!$G$10)/Simulador!$B$11))/2,IF((($A83-Simulador!$E$10)/Simulador!$G$10)&gt;1-Simulador!$B$11,Simulador!$B$10*(1-COS(PI()*(1-(($A83-Simulador!$E$10)/Simulador!$G$10))/Simulador!$B$11))/2,Simulador!$B$10)))</f>
        <v/>
      </c>
      <c r="Q83" s="48">
        <f>IF(OR((($A83-(Simulador!$E$6+'Salto de dientes'!$B$12))/Simulador!$G$6)&lt;=0,(($A83-(Simulador!$E$6+'Salto de dientes'!$B$12))/Simulador!$G$6)&gt;=1),0,IF((($A83-(Simulador!$E$6+'Salto de dientes'!$B$12))/Simulador!$G$6)&lt;Simulador!$B$11,Simulador!$B$9*(1-COS(PI()*(($A83-(Simulador!$E$6+'Salto de dientes'!$B$12))/Simulador!$G$6)/Simulador!$B$11))/2,IF((($A83-(Simulador!$E$6+'Salto de dientes'!$B$12))/Simulador!$G$6)&gt;1-Simulador!$B$11,Simulador!$B$9*(1-COS(PI()*(1-(($A83-(Simulador!$E$6+'Salto de dientes'!$B$12))/Simulador!$G$6))/Simulador!$B$11))/2,Simulador!$B$9)))</f>
        <v/>
      </c>
      <c r="R83" s="48">
        <f>IF(OR((($A83-(Simulador!$E$9+'Salto de dientes'!$B$12))/Simulador!$G$9)&lt;=0,(($A83-(Simulador!$E$9+'Salto de dientes'!$B$12))/Simulador!$G$9)&gt;=1),0,IF((($A83-(Simulador!$E$9+'Salto de dientes'!$B$12))/Simulador!$G$9)&lt;Simulador!$B$11,Simulador!$B$10*(1-COS(PI()*(($A83-(Simulador!$E$9+'Salto de dientes'!$B$12))/Simulador!$G$9)/Simulador!$B$11))/2,IF((($A83-(Simulador!$E$9+'Salto de dientes'!$B$12))/Simulador!$G$9)&gt;1-Simulador!$B$11,Simulador!$B$10*(1-COS(PI()*(1-(($A83-(Simulador!$E$9+'Salto de dientes'!$B$12))/Simulador!$G$9))/Simulador!$B$11))/2,Simulador!$B$10)))</f>
        <v/>
      </c>
      <c r="W83" t="n">
        <v>63</v>
      </c>
      <c r="X83" s="48">
        <f>('Levas superpuestas'!$B$5+IF(OR(((W83-('Levas superpuestas'!$B$14-'Levas superpuestas'!$B$8/4))/('Levas superpuestas'!$B$8/2))&lt;=0,((W83-('Levas superpuestas'!$B$14-'Levas superpuestas'!$B$8/4))/('Levas superpuestas'!$B$8/2))&gt;=1),0,IF(((W83-('Levas superpuestas'!$B$14-'Levas superpuestas'!$B$8/4))/('Levas superpuestas'!$B$8/2))&lt;Simulador!$B$11,Simulador!$B$9*(1-COS(PI()*((W83-('Levas superpuestas'!$B$14-'Levas superpuestas'!$B$8/4))/('Levas superpuestas'!$B$8/2))/Simulador!$B$11))/2,IF(((W83-('Levas superpuestas'!$B$14-'Levas superpuestas'!$B$8/4))/('Levas superpuestas'!$B$8/2))&gt;1-Simulador!$B$11,Simulador!$B$9*(1-COS(PI()*(1-((W83-('Levas superpuestas'!$B$14-'Levas superpuestas'!$B$8/4))/('Levas superpuestas'!$B$8/2)))/Simulador!$B$11))/2,Simulador!$B$9))))*SIN(RADIANS(W83))</f>
        <v/>
      </c>
      <c r="Y83" s="48">
        <f>('Levas superpuestas'!$B$5+IF(OR(((W83-('Levas superpuestas'!$B$14-'Levas superpuestas'!$B$8/4))/('Levas superpuestas'!$B$8/2))&lt;=0,((W83-('Levas superpuestas'!$B$14-'Levas superpuestas'!$B$8/4))/('Levas superpuestas'!$B$8/2))&gt;=1),0,IF(((W83-('Levas superpuestas'!$B$14-'Levas superpuestas'!$B$8/4))/('Levas superpuestas'!$B$8/2))&lt;Simulador!$B$11,Simulador!$B$9*(1-COS(PI()*((W83-('Levas superpuestas'!$B$14-'Levas superpuestas'!$B$8/4))/('Levas superpuestas'!$B$8/2))/Simulador!$B$11))/2,IF(((W83-('Levas superpuestas'!$B$14-'Levas superpuestas'!$B$8/4))/('Levas superpuestas'!$B$8/2))&gt;1-Simulador!$B$11,Simulador!$B$9*(1-COS(PI()*(1-((W83-('Levas superpuestas'!$B$14-'Levas superpuestas'!$B$8/4))/('Levas superpuestas'!$B$8/2)))/Simulador!$B$11))/2,Simulador!$B$9))))*COS(RADIANS(W83))</f>
        <v/>
      </c>
      <c r="Z83" s="48">
        <f>('Levas superpuestas'!$B$5+IF(OR(((W83-('Levas superpuestas'!$B$15-'Levas superpuestas'!$B$9/4))/('Levas superpuestas'!$B$9/2))&lt;=0,((W83-('Levas superpuestas'!$B$15-'Levas superpuestas'!$B$9/4))/('Levas superpuestas'!$B$9/2))&gt;=1),0,IF(((W83-('Levas superpuestas'!$B$15-'Levas superpuestas'!$B$9/4))/('Levas superpuestas'!$B$9/2))&lt;Simulador!$B$11,Simulador!$B$10*(1-COS(PI()*((W83-('Levas superpuestas'!$B$15-'Levas superpuestas'!$B$9/4))/('Levas superpuestas'!$B$9/2))/Simulador!$B$11))/2,IF(((W83-('Levas superpuestas'!$B$15-'Levas superpuestas'!$B$9/4))/('Levas superpuestas'!$B$9/2))&gt;1-Simulador!$B$11,Simulador!$B$10*(1-COS(PI()*(1-((W83-('Levas superpuestas'!$B$15-'Levas superpuestas'!$B$9/4))/('Levas superpuestas'!$B$9/2)))/Simulador!$B$11))/2,Simulador!$B$10))))*SIN(RADIANS(W83))</f>
        <v/>
      </c>
      <c r="AA83" s="48">
        <f>('Levas superpuestas'!$B$5+IF(OR(((W83-('Levas superpuestas'!$B$15-'Levas superpuestas'!$B$9/4))/('Levas superpuestas'!$B$9/2))&lt;=0,((W83-('Levas superpuestas'!$B$15-'Levas superpuestas'!$B$9/4))/('Levas superpuestas'!$B$9/2))&gt;=1),0,IF(((W83-('Levas superpuestas'!$B$15-'Levas superpuestas'!$B$9/4))/('Levas superpuestas'!$B$9/2))&lt;Simulador!$B$11,Simulador!$B$10*(1-COS(PI()*((W83-('Levas superpuestas'!$B$15-'Levas superpuestas'!$B$9/4))/('Levas superpuestas'!$B$9/2))/Simulador!$B$11))/2,IF(((W83-('Levas superpuestas'!$B$15-'Levas superpuestas'!$B$9/4))/('Levas superpuestas'!$B$9/2))&gt;1-Simulador!$B$11,Simulador!$B$10*(1-COS(PI()*(1-((W83-('Levas superpuestas'!$B$15-'Levas superpuestas'!$B$9/4))/('Levas superpuestas'!$B$9/2)))/Simulador!$B$11))/2,Simulador!$B$10))))*COS(RADIANS(W83))</f>
        <v/>
      </c>
      <c r="AB83">
        <f>'Levas superpuestas'!$B$5*SIN(RADIANS(W83))</f>
        <v/>
      </c>
      <c r="AC83">
        <f>'Levas superpuestas'!$B$5*COS(RADIANS(W83))</f>
        <v/>
      </c>
    </row>
    <row r="84">
      <c r="A84" s="26">
        <f>A83+Simulador!$B$14</f>
        <v/>
      </c>
      <c r="B84" s="46">
        <f>IF(OR((($A84-Simulador!$E$5)/Simulador!$G$5)&lt;=0,(($A84-Simulador!$E$5)/Simulador!$G$5)&gt;=1),0,IF((($A84-Simulador!$E$5)/Simulador!$G$5)&lt;Simulador!$B$11,Simulador!$B$9*(1-COS(PI()*(($A84-Simulador!$E$5)/Simulador!$G$5)/Simulador!$B$11))/2,IF((($A84-Simulador!$E$5)/Simulador!$G$5)&gt;1-Simulador!$B$11,Simulador!$B$9*(1-COS(PI()*(1-(($A84-Simulador!$E$5)/Simulador!$G$5))/Simulador!$B$11))/2,Simulador!$B$9)))</f>
        <v/>
      </c>
      <c r="C84" s="46">
        <f>IF(OR((($A84-Simulador!$E$6)/Simulador!$G$6)&lt;=0,(($A84-Simulador!$E$6)/Simulador!$G$6)&gt;=1),0,IF((($A84-Simulador!$E$6)/Simulador!$G$6)&lt;Simulador!$B$11,Simulador!$B$9*(1-COS(PI()*(($A84-Simulador!$E$6)/Simulador!$G$6)/Simulador!$B$11))/2,IF((($A84-Simulador!$E$6)/Simulador!$G$6)&gt;1-Simulador!$B$11,Simulador!$B$9*(1-COS(PI()*(1-(($A84-Simulador!$E$6)/Simulador!$G$6))/Simulador!$B$11))/2,Simulador!$B$9)))</f>
        <v/>
      </c>
      <c r="D84" s="46">
        <f>IF(OR((($A84-Simulador!$E$7)/Simulador!$G$7)&lt;=0,(($A84-Simulador!$E$7)/Simulador!$G$7)&gt;=1),0,IF((($A84-Simulador!$E$7)/Simulador!$G$7)&lt;Simulador!$B$11,Simulador!$B$9*(1-COS(PI()*(($A84-Simulador!$E$7)/Simulador!$G$7)/Simulador!$B$11))/2,IF((($A84-Simulador!$E$7)/Simulador!$G$7)&gt;1-Simulador!$B$11,Simulador!$B$9*(1-COS(PI()*(1-(($A84-Simulador!$E$7)/Simulador!$G$7))/Simulador!$B$11))/2,Simulador!$B$9)))</f>
        <v/>
      </c>
      <c r="E84" s="46">
        <f>IF(OR((($A84-Simulador!$E$8)/Simulador!$G$8)&lt;=0,(($A84-Simulador!$E$8)/Simulador!$G$8)&gt;=1),0,IF((($A84-Simulador!$E$8)/Simulador!$G$8)&lt;Simulador!$B$11,Simulador!$B$10*(1-COS(PI()*(($A84-Simulador!$E$8)/Simulador!$G$8)/Simulador!$B$11))/2,IF((($A84-Simulador!$E$8)/Simulador!$G$8)&gt;1-Simulador!$B$11,Simulador!$B$10*(1-COS(PI()*(1-(($A84-Simulador!$E$8)/Simulador!$G$8))/Simulador!$B$11))/2,Simulador!$B$10)))</f>
        <v/>
      </c>
      <c r="F84" s="46">
        <f>IF(OR((($A84-Simulador!$E$9)/Simulador!$G$9)&lt;=0,(($A84-Simulador!$E$9)/Simulador!$G$9)&gt;=1),0,IF((($A84-Simulador!$E$9)/Simulador!$G$9)&lt;Simulador!$B$11,Simulador!$B$10*(1-COS(PI()*(($A84-Simulador!$E$9)/Simulador!$G$9)/Simulador!$B$11))/2,IF((($A84-Simulador!$E$9)/Simulador!$G$9)&gt;1-Simulador!$B$11,Simulador!$B$10*(1-COS(PI()*(1-(($A84-Simulador!$E$9)/Simulador!$G$9))/Simulador!$B$11))/2,Simulador!$B$10)))</f>
        <v/>
      </c>
      <c r="G84" s="46">
        <f>IF(OR((($A84-Simulador!$E$10)/Simulador!$G$10)&lt;=0,(($A84-Simulador!$E$10)/Simulador!$G$10)&gt;=1),0,IF((($A84-Simulador!$E$10)/Simulador!$G$10)&lt;Simulador!$B$11,Simulador!$B$10*(1-COS(PI()*(($A84-Simulador!$E$10)/Simulador!$G$10)/Simulador!$B$11))/2,IF((($A84-Simulador!$E$10)/Simulador!$G$10)&gt;1-Simulador!$B$11,Simulador!$B$10*(1-COS(PI()*(1-(($A84-Simulador!$E$10)/Simulador!$G$10))/Simulador!$B$11))/2,Simulador!$B$10)))</f>
        <v/>
      </c>
      <c r="Q84" s="48">
        <f>IF(OR((($A84-(Simulador!$E$6+'Salto de dientes'!$B$12))/Simulador!$G$6)&lt;=0,(($A84-(Simulador!$E$6+'Salto de dientes'!$B$12))/Simulador!$G$6)&gt;=1),0,IF((($A84-(Simulador!$E$6+'Salto de dientes'!$B$12))/Simulador!$G$6)&lt;Simulador!$B$11,Simulador!$B$9*(1-COS(PI()*(($A84-(Simulador!$E$6+'Salto de dientes'!$B$12))/Simulador!$G$6)/Simulador!$B$11))/2,IF((($A84-(Simulador!$E$6+'Salto de dientes'!$B$12))/Simulador!$G$6)&gt;1-Simulador!$B$11,Simulador!$B$9*(1-COS(PI()*(1-(($A84-(Simulador!$E$6+'Salto de dientes'!$B$12))/Simulador!$G$6))/Simulador!$B$11))/2,Simulador!$B$9)))</f>
        <v/>
      </c>
      <c r="R84" s="48">
        <f>IF(OR((($A84-(Simulador!$E$9+'Salto de dientes'!$B$12))/Simulador!$G$9)&lt;=0,(($A84-(Simulador!$E$9+'Salto de dientes'!$B$12))/Simulador!$G$9)&gt;=1),0,IF((($A84-(Simulador!$E$9+'Salto de dientes'!$B$12))/Simulador!$G$9)&lt;Simulador!$B$11,Simulador!$B$10*(1-COS(PI()*(($A84-(Simulador!$E$9+'Salto de dientes'!$B$12))/Simulador!$G$9)/Simulador!$B$11))/2,IF((($A84-(Simulador!$E$9+'Salto de dientes'!$B$12))/Simulador!$G$9)&gt;1-Simulador!$B$11,Simulador!$B$10*(1-COS(PI()*(1-(($A84-(Simulador!$E$9+'Salto de dientes'!$B$12))/Simulador!$G$9))/Simulador!$B$11))/2,Simulador!$B$10)))</f>
        <v/>
      </c>
      <c r="W84" t="n">
        <v>66</v>
      </c>
      <c r="X84" s="48">
        <f>('Levas superpuestas'!$B$5+IF(OR(((W84-('Levas superpuestas'!$B$14-'Levas superpuestas'!$B$8/4))/('Levas superpuestas'!$B$8/2))&lt;=0,((W84-('Levas superpuestas'!$B$14-'Levas superpuestas'!$B$8/4))/('Levas superpuestas'!$B$8/2))&gt;=1),0,IF(((W84-('Levas superpuestas'!$B$14-'Levas superpuestas'!$B$8/4))/('Levas superpuestas'!$B$8/2))&lt;Simulador!$B$11,Simulador!$B$9*(1-COS(PI()*((W84-('Levas superpuestas'!$B$14-'Levas superpuestas'!$B$8/4))/('Levas superpuestas'!$B$8/2))/Simulador!$B$11))/2,IF(((W84-('Levas superpuestas'!$B$14-'Levas superpuestas'!$B$8/4))/('Levas superpuestas'!$B$8/2))&gt;1-Simulador!$B$11,Simulador!$B$9*(1-COS(PI()*(1-((W84-('Levas superpuestas'!$B$14-'Levas superpuestas'!$B$8/4))/('Levas superpuestas'!$B$8/2)))/Simulador!$B$11))/2,Simulador!$B$9))))*SIN(RADIANS(W84))</f>
        <v/>
      </c>
      <c r="Y84" s="48">
        <f>('Levas superpuestas'!$B$5+IF(OR(((W84-('Levas superpuestas'!$B$14-'Levas superpuestas'!$B$8/4))/('Levas superpuestas'!$B$8/2))&lt;=0,((W84-('Levas superpuestas'!$B$14-'Levas superpuestas'!$B$8/4))/('Levas superpuestas'!$B$8/2))&gt;=1),0,IF(((W84-('Levas superpuestas'!$B$14-'Levas superpuestas'!$B$8/4))/('Levas superpuestas'!$B$8/2))&lt;Simulador!$B$11,Simulador!$B$9*(1-COS(PI()*((W84-('Levas superpuestas'!$B$14-'Levas superpuestas'!$B$8/4))/('Levas superpuestas'!$B$8/2))/Simulador!$B$11))/2,IF(((W84-('Levas superpuestas'!$B$14-'Levas superpuestas'!$B$8/4))/('Levas superpuestas'!$B$8/2))&gt;1-Simulador!$B$11,Simulador!$B$9*(1-COS(PI()*(1-((W84-('Levas superpuestas'!$B$14-'Levas superpuestas'!$B$8/4))/('Levas superpuestas'!$B$8/2)))/Simulador!$B$11))/2,Simulador!$B$9))))*COS(RADIANS(W84))</f>
        <v/>
      </c>
      <c r="Z84" s="48">
        <f>('Levas superpuestas'!$B$5+IF(OR(((W84-('Levas superpuestas'!$B$15-'Levas superpuestas'!$B$9/4))/('Levas superpuestas'!$B$9/2))&lt;=0,((W84-('Levas superpuestas'!$B$15-'Levas superpuestas'!$B$9/4))/('Levas superpuestas'!$B$9/2))&gt;=1),0,IF(((W84-('Levas superpuestas'!$B$15-'Levas superpuestas'!$B$9/4))/('Levas superpuestas'!$B$9/2))&lt;Simulador!$B$11,Simulador!$B$10*(1-COS(PI()*((W84-('Levas superpuestas'!$B$15-'Levas superpuestas'!$B$9/4))/('Levas superpuestas'!$B$9/2))/Simulador!$B$11))/2,IF(((W84-('Levas superpuestas'!$B$15-'Levas superpuestas'!$B$9/4))/('Levas superpuestas'!$B$9/2))&gt;1-Simulador!$B$11,Simulador!$B$10*(1-COS(PI()*(1-((W84-('Levas superpuestas'!$B$15-'Levas superpuestas'!$B$9/4))/('Levas superpuestas'!$B$9/2)))/Simulador!$B$11))/2,Simulador!$B$10))))*SIN(RADIANS(W84))</f>
        <v/>
      </c>
      <c r="AA84" s="48">
        <f>('Levas superpuestas'!$B$5+IF(OR(((W84-('Levas superpuestas'!$B$15-'Levas superpuestas'!$B$9/4))/('Levas superpuestas'!$B$9/2))&lt;=0,((W84-('Levas superpuestas'!$B$15-'Levas superpuestas'!$B$9/4))/('Levas superpuestas'!$B$9/2))&gt;=1),0,IF(((W84-('Levas superpuestas'!$B$15-'Levas superpuestas'!$B$9/4))/('Levas superpuestas'!$B$9/2))&lt;Simulador!$B$11,Simulador!$B$10*(1-COS(PI()*((W84-('Levas superpuestas'!$B$15-'Levas superpuestas'!$B$9/4))/('Levas superpuestas'!$B$9/2))/Simulador!$B$11))/2,IF(((W84-('Levas superpuestas'!$B$15-'Levas superpuestas'!$B$9/4))/('Levas superpuestas'!$B$9/2))&gt;1-Simulador!$B$11,Simulador!$B$10*(1-COS(PI()*(1-((W84-('Levas superpuestas'!$B$15-'Levas superpuestas'!$B$9/4))/('Levas superpuestas'!$B$9/2)))/Simulador!$B$11))/2,Simulador!$B$10))))*COS(RADIANS(W84))</f>
        <v/>
      </c>
      <c r="AB84">
        <f>'Levas superpuestas'!$B$5*SIN(RADIANS(W84))</f>
        <v/>
      </c>
      <c r="AC84">
        <f>'Levas superpuestas'!$B$5*COS(RADIANS(W84))</f>
        <v/>
      </c>
    </row>
    <row r="85">
      <c r="A85" s="26">
        <f>A84+Simulador!$B$14</f>
        <v/>
      </c>
      <c r="B85" s="46">
        <f>IF(OR((($A85-Simulador!$E$5)/Simulador!$G$5)&lt;=0,(($A85-Simulador!$E$5)/Simulador!$G$5)&gt;=1),0,IF((($A85-Simulador!$E$5)/Simulador!$G$5)&lt;Simulador!$B$11,Simulador!$B$9*(1-COS(PI()*(($A85-Simulador!$E$5)/Simulador!$G$5)/Simulador!$B$11))/2,IF((($A85-Simulador!$E$5)/Simulador!$G$5)&gt;1-Simulador!$B$11,Simulador!$B$9*(1-COS(PI()*(1-(($A85-Simulador!$E$5)/Simulador!$G$5))/Simulador!$B$11))/2,Simulador!$B$9)))</f>
        <v/>
      </c>
      <c r="C85" s="46">
        <f>IF(OR((($A85-Simulador!$E$6)/Simulador!$G$6)&lt;=0,(($A85-Simulador!$E$6)/Simulador!$G$6)&gt;=1),0,IF((($A85-Simulador!$E$6)/Simulador!$G$6)&lt;Simulador!$B$11,Simulador!$B$9*(1-COS(PI()*(($A85-Simulador!$E$6)/Simulador!$G$6)/Simulador!$B$11))/2,IF((($A85-Simulador!$E$6)/Simulador!$G$6)&gt;1-Simulador!$B$11,Simulador!$B$9*(1-COS(PI()*(1-(($A85-Simulador!$E$6)/Simulador!$G$6))/Simulador!$B$11))/2,Simulador!$B$9)))</f>
        <v/>
      </c>
      <c r="D85" s="46">
        <f>IF(OR((($A85-Simulador!$E$7)/Simulador!$G$7)&lt;=0,(($A85-Simulador!$E$7)/Simulador!$G$7)&gt;=1),0,IF((($A85-Simulador!$E$7)/Simulador!$G$7)&lt;Simulador!$B$11,Simulador!$B$9*(1-COS(PI()*(($A85-Simulador!$E$7)/Simulador!$G$7)/Simulador!$B$11))/2,IF((($A85-Simulador!$E$7)/Simulador!$G$7)&gt;1-Simulador!$B$11,Simulador!$B$9*(1-COS(PI()*(1-(($A85-Simulador!$E$7)/Simulador!$G$7))/Simulador!$B$11))/2,Simulador!$B$9)))</f>
        <v/>
      </c>
      <c r="E85" s="46">
        <f>IF(OR((($A85-Simulador!$E$8)/Simulador!$G$8)&lt;=0,(($A85-Simulador!$E$8)/Simulador!$G$8)&gt;=1),0,IF((($A85-Simulador!$E$8)/Simulador!$G$8)&lt;Simulador!$B$11,Simulador!$B$10*(1-COS(PI()*(($A85-Simulador!$E$8)/Simulador!$G$8)/Simulador!$B$11))/2,IF((($A85-Simulador!$E$8)/Simulador!$G$8)&gt;1-Simulador!$B$11,Simulador!$B$10*(1-COS(PI()*(1-(($A85-Simulador!$E$8)/Simulador!$G$8))/Simulador!$B$11))/2,Simulador!$B$10)))</f>
        <v/>
      </c>
      <c r="F85" s="46">
        <f>IF(OR((($A85-Simulador!$E$9)/Simulador!$G$9)&lt;=0,(($A85-Simulador!$E$9)/Simulador!$G$9)&gt;=1),0,IF((($A85-Simulador!$E$9)/Simulador!$G$9)&lt;Simulador!$B$11,Simulador!$B$10*(1-COS(PI()*(($A85-Simulador!$E$9)/Simulador!$G$9)/Simulador!$B$11))/2,IF((($A85-Simulador!$E$9)/Simulador!$G$9)&gt;1-Simulador!$B$11,Simulador!$B$10*(1-COS(PI()*(1-(($A85-Simulador!$E$9)/Simulador!$G$9))/Simulador!$B$11))/2,Simulador!$B$10)))</f>
        <v/>
      </c>
      <c r="G85" s="46">
        <f>IF(OR((($A85-Simulador!$E$10)/Simulador!$G$10)&lt;=0,(($A85-Simulador!$E$10)/Simulador!$G$10)&gt;=1),0,IF((($A85-Simulador!$E$10)/Simulador!$G$10)&lt;Simulador!$B$11,Simulador!$B$10*(1-COS(PI()*(($A85-Simulador!$E$10)/Simulador!$G$10)/Simulador!$B$11))/2,IF((($A85-Simulador!$E$10)/Simulador!$G$10)&gt;1-Simulador!$B$11,Simulador!$B$10*(1-COS(PI()*(1-(($A85-Simulador!$E$10)/Simulador!$G$10))/Simulador!$B$11))/2,Simulador!$B$10)))</f>
        <v/>
      </c>
      <c r="Q85" s="48">
        <f>IF(OR((($A85-(Simulador!$E$6+'Salto de dientes'!$B$12))/Simulador!$G$6)&lt;=0,(($A85-(Simulador!$E$6+'Salto de dientes'!$B$12))/Simulador!$G$6)&gt;=1),0,IF((($A85-(Simulador!$E$6+'Salto de dientes'!$B$12))/Simulador!$G$6)&lt;Simulador!$B$11,Simulador!$B$9*(1-COS(PI()*(($A85-(Simulador!$E$6+'Salto de dientes'!$B$12))/Simulador!$G$6)/Simulador!$B$11))/2,IF((($A85-(Simulador!$E$6+'Salto de dientes'!$B$12))/Simulador!$G$6)&gt;1-Simulador!$B$11,Simulador!$B$9*(1-COS(PI()*(1-(($A85-(Simulador!$E$6+'Salto de dientes'!$B$12))/Simulador!$G$6))/Simulador!$B$11))/2,Simulador!$B$9)))</f>
        <v/>
      </c>
      <c r="R85" s="48">
        <f>IF(OR((($A85-(Simulador!$E$9+'Salto de dientes'!$B$12))/Simulador!$G$9)&lt;=0,(($A85-(Simulador!$E$9+'Salto de dientes'!$B$12))/Simulador!$G$9)&gt;=1),0,IF((($A85-(Simulador!$E$9+'Salto de dientes'!$B$12))/Simulador!$G$9)&lt;Simulador!$B$11,Simulador!$B$10*(1-COS(PI()*(($A85-(Simulador!$E$9+'Salto de dientes'!$B$12))/Simulador!$G$9)/Simulador!$B$11))/2,IF((($A85-(Simulador!$E$9+'Salto de dientes'!$B$12))/Simulador!$G$9)&gt;1-Simulador!$B$11,Simulador!$B$10*(1-COS(PI()*(1-(($A85-(Simulador!$E$9+'Salto de dientes'!$B$12))/Simulador!$G$9))/Simulador!$B$11))/2,Simulador!$B$10)))</f>
        <v/>
      </c>
      <c r="W85" t="n">
        <v>69</v>
      </c>
      <c r="X85" s="48">
        <f>('Levas superpuestas'!$B$5+IF(OR(((W85-('Levas superpuestas'!$B$14-'Levas superpuestas'!$B$8/4))/('Levas superpuestas'!$B$8/2))&lt;=0,((W85-('Levas superpuestas'!$B$14-'Levas superpuestas'!$B$8/4))/('Levas superpuestas'!$B$8/2))&gt;=1),0,IF(((W85-('Levas superpuestas'!$B$14-'Levas superpuestas'!$B$8/4))/('Levas superpuestas'!$B$8/2))&lt;Simulador!$B$11,Simulador!$B$9*(1-COS(PI()*((W85-('Levas superpuestas'!$B$14-'Levas superpuestas'!$B$8/4))/('Levas superpuestas'!$B$8/2))/Simulador!$B$11))/2,IF(((W85-('Levas superpuestas'!$B$14-'Levas superpuestas'!$B$8/4))/('Levas superpuestas'!$B$8/2))&gt;1-Simulador!$B$11,Simulador!$B$9*(1-COS(PI()*(1-((W85-('Levas superpuestas'!$B$14-'Levas superpuestas'!$B$8/4))/('Levas superpuestas'!$B$8/2)))/Simulador!$B$11))/2,Simulador!$B$9))))*SIN(RADIANS(W85))</f>
        <v/>
      </c>
      <c r="Y85" s="48">
        <f>('Levas superpuestas'!$B$5+IF(OR(((W85-('Levas superpuestas'!$B$14-'Levas superpuestas'!$B$8/4))/('Levas superpuestas'!$B$8/2))&lt;=0,((W85-('Levas superpuestas'!$B$14-'Levas superpuestas'!$B$8/4))/('Levas superpuestas'!$B$8/2))&gt;=1),0,IF(((W85-('Levas superpuestas'!$B$14-'Levas superpuestas'!$B$8/4))/('Levas superpuestas'!$B$8/2))&lt;Simulador!$B$11,Simulador!$B$9*(1-COS(PI()*((W85-('Levas superpuestas'!$B$14-'Levas superpuestas'!$B$8/4))/('Levas superpuestas'!$B$8/2))/Simulador!$B$11))/2,IF(((W85-('Levas superpuestas'!$B$14-'Levas superpuestas'!$B$8/4))/('Levas superpuestas'!$B$8/2))&gt;1-Simulador!$B$11,Simulador!$B$9*(1-COS(PI()*(1-((W85-('Levas superpuestas'!$B$14-'Levas superpuestas'!$B$8/4))/('Levas superpuestas'!$B$8/2)))/Simulador!$B$11))/2,Simulador!$B$9))))*COS(RADIANS(W85))</f>
        <v/>
      </c>
      <c r="Z85" s="48">
        <f>('Levas superpuestas'!$B$5+IF(OR(((W85-('Levas superpuestas'!$B$15-'Levas superpuestas'!$B$9/4))/('Levas superpuestas'!$B$9/2))&lt;=0,((W85-('Levas superpuestas'!$B$15-'Levas superpuestas'!$B$9/4))/('Levas superpuestas'!$B$9/2))&gt;=1),0,IF(((W85-('Levas superpuestas'!$B$15-'Levas superpuestas'!$B$9/4))/('Levas superpuestas'!$B$9/2))&lt;Simulador!$B$11,Simulador!$B$10*(1-COS(PI()*((W85-('Levas superpuestas'!$B$15-'Levas superpuestas'!$B$9/4))/('Levas superpuestas'!$B$9/2))/Simulador!$B$11))/2,IF(((W85-('Levas superpuestas'!$B$15-'Levas superpuestas'!$B$9/4))/('Levas superpuestas'!$B$9/2))&gt;1-Simulador!$B$11,Simulador!$B$10*(1-COS(PI()*(1-((W85-('Levas superpuestas'!$B$15-'Levas superpuestas'!$B$9/4))/('Levas superpuestas'!$B$9/2)))/Simulador!$B$11))/2,Simulador!$B$10))))*SIN(RADIANS(W85))</f>
        <v/>
      </c>
      <c r="AA85" s="48">
        <f>('Levas superpuestas'!$B$5+IF(OR(((W85-('Levas superpuestas'!$B$15-'Levas superpuestas'!$B$9/4))/('Levas superpuestas'!$B$9/2))&lt;=0,((W85-('Levas superpuestas'!$B$15-'Levas superpuestas'!$B$9/4))/('Levas superpuestas'!$B$9/2))&gt;=1),0,IF(((W85-('Levas superpuestas'!$B$15-'Levas superpuestas'!$B$9/4))/('Levas superpuestas'!$B$9/2))&lt;Simulador!$B$11,Simulador!$B$10*(1-COS(PI()*((W85-('Levas superpuestas'!$B$15-'Levas superpuestas'!$B$9/4))/('Levas superpuestas'!$B$9/2))/Simulador!$B$11))/2,IF(((W85-('Levas superpuestas'!$B$15-'Levas superpuestas'!$B$9/4))/('Levas superpuestas'!$B$9/2))&gt;1-Simulador!$B$11,Simulador!$B$10*(1-COS(PI()*(1-((W85-('Levas superpuestas'!$B$15-'Levas superpuestas'!$B$9/4))/('Levas superpuestas'!$B$9/2)))/Simulador!$B$11))/2,Simulador!$B$10))))*COS(RADIANS(W85))</f>
        <v/>
      </c>
      <c r="AB85">
        <f>'Levas superpuestas'!$B$5*SIN(RADIANS(W85))</f>
        <v/>
      </c>
      <c r="AC85">
        <f>'Levas superpuestas'!$B$5*COS(RADIANS(W85))</f>
        <v/>
      </c>
    </row>
    <row r="86">
      <c r="A86" s="26">
        <f>A85+Simulador!$B$14</f>
        <v/>
      </c>
      <c r="B86" s="46">
        <f>IF(OR((($A86-Simulador!$E$5)/Simulador!$G$5)&lt;=0,(($A86-Simulador!$E$5)/Simulador!$G$5)&gt;=1),0,IF((($A86-Simulador!$E$5)/Simulador!$G$5)&lt;Simulador!$B$11,Simulador!$B$9*(1-COS(PI()*(($A86-Simulador!$E$5)/Simulador!$G$5)/Simulador!$B$11))/2,IF((($A86-Simulador!$E$5)/Simulador!$G$5)&gt;1-Simulador!$B$11,Simulador!$B$9*(1-COS(PI()*(1-(($A86-Simulador!$E$5)/Simulador!$G$5))/Simulador!$B$11))/2,Simulador!$B$9)))</f>
        <v/>
      </c>
      <c r="C86" s="46">
        <f>IF(OR((($A86-Simulador!$E$6)/Simulador!$G$6)&lt;=0,(($A86-Simulador!$E$6)/Simulador!$G$6)&gt;=1),0,IF((($A86-Simulador!$E$6)/Simulador!$G$6)&lt;Simulador!$B$11,Simulador!$B$9*(1-COS(PI()*(($A86-Simulador!$E$6)/Simulador!$G$6)/Simulador!$B$11))/2,IF((($A86-Simulador!$E$6)/Simulador!$G$6)&gt;1-Simulador!$B$11,Simulador!$B$9*(1-COS(PI()*(1-(($A86-Simulador!$E$6)/Simulador!$G$6))/Simulador!$B$11))/2,Simulador!$B$9)))</f>
        <v/>
      </c>
      <c r="D86" s="46">
        <f>IF(OR((($A86-Simulador!$E$7)/Simulador!$G$7)&lt;=0,(($A86-Simulador!$E$7)/Simulador!$G$7)&gt;=1),0,IF((($A86-Simulador!$E$7)/Simulador!$G$7)&lt;Simulador!$B$11,Simulador!$B$9*(1-COS(PI()*(($A86-Simulador!$E$7)/Simulador!$G$7)/Simulador!$B$11))/2,IF((($A86-Simulador!$E$7)/Simulador!$G$7)&gt;1-Simulador!$B$11,Simulador!$B$9*(1-COS(PI()*(1-(($A86-Simulador!$E$7)/Simulador!$G$7))/Simulador!$B$11))/2,Simulador!$B$9)))</f>
        <v/>
      </c>
      <c r="E86" s="46">
        <f>IF(OR((($A86-Simulador!$E$8)/Simulador!$G$8)&lt;=0,(($A86-Simulador!$E$8)/Simulador!$G$8)&gt;=1),0,IF((($A86-Simulador!$E$8)/Simulador!$G$8)&lt;Simulador!$B$11,Simulador!$B$10*(1-COS(PI()*(($A86-Simulador!$E$8)/Simulador!$G$8)/Simulador!$B$11))/2,IF((($A86-Simulador!$E$8)/Simulador!$G$8)&gt;1-Simulador!$B$11,Simulador!$B$10*(1-COS(PI()*(1-(($A86-Simulador!$E$8)/Simulador!$G$8))/Simulador!$B$11))/2,Simulador!$B$10)))</f>
        <v/>
      </c>
      <c r="F86" s="46">
        <f>IF(OR((($A86-Simulador!$E$9)/Simulador!$G$9)&lt;=0,(($A86-Simulador!$E$9)/Simulador!$G$9)&gt;=1),0,IF((($A86-Simulador!$E$9)/Simulador!$G$9)&lt;Simulador!$B$11,Simulador!$B$10*(1-COS(PI()*(($A86-Simulador!$E$9)/Simulador!$G$9)/Simulador!$B$11))/2,IF((($A86-Simulador!$E$9)/Simulador!$G$9)&gt;1-Simulador!$B$11,Simulador!$B$10*(1-COS(PI()*(1-(($A86-Simulador!$E$9)/Simulador!$G$9))/Simulador!$B$11))/2,Simulador!$B$10)))</f>
        <v/>
      </c>
      <c r="G86" s="46">
        <f>IF(OR((($A86-Simulador!$E$10)/Simulador!$G$10)&lt;=0,(($A86-Simulador!$E$10)/Simulador!$G$10)&gt;=1),0,IF((($A86-Simulador!$E$10)/Simulador!$G$10)&lt;Simulador!$B$11,Simulador!$B$10*(1-COS(PI()*(($A86-Simulador!$E$10)/Simulador!$G$10)/Simulador!$B$11))/2,IF((($A86-Simulador!$E$10)/Simulador!$G$10)&gt;1-Simulador!$B$11,Simulador!$B$10*(1-COS(PI()*(1-(($A86-Simulador!$E$10)/Simulador!$G$10))/Simulador!$B$11))/2,Simulador!$B$10)))</f>
        <v/>
      </c>
      <c r="Q86" s="48">
        <f>IF(OR((($A86-(Simulador!$E$6+'Salto de dientes'!$B$12))/Simulador!$G$6)&lt;=0,(($A86-(Simulador!$E$6+'Salto de dientes'!$B$12))/Simulador!$G$6)&gt;=1),0,IF((($A86-(Simulador!$E$6+'Salto de dientes'!$B$12))/Simulador!$G$6)&lt;Simulador!$B$11,Simulador!$B$9*(1-COS(PI()*(($A86-(Simulador!$E$6+'Salto de dientes'!$B$12))/Simulador!$G$6)/Simulador!$B$11))/2,IF((($A86-(Simulador!$E$6+'Salto de dientes'!$B$12))/Simulador!$G$6)&gt;1-Simulador!$B$11,Simulador!$B$9*(1-COS(PI()*(1-(($A86-(Simulador!$E$6+'Salto de dientes'!$B$12))/Simulador!$G$6))/Simulador!$B$11))/2,Simulador!$B$9)))</f>
        <v/>
      </c>
      <c r="R86" s="48">
        <f>IF(OR((($A86-(Simulador!$E$9+'Salto de dientes'!$B$12))/Simulador!$G$9)&lt;=0,(($A86-(Simulador!$E$9+'Salto de dientes'!$B$12))/Simulador!$G$9)&gt;=1),0,IF((($A86-(Simulador!$E$9+'Salto de dientes'!$B$12))/Simulador!$G$9)&lt;Simulador!$B$11,Simulador!$B$10*(1-COS(PI()*(($A86-(Simulador!$E$9+'Salto de dientes'!$B$12))/Simulador!$G$9)/Simulador!$B$11))/2,IF((($A86-(Simulador!$E$9+'Salto de dientes'!$B$12))/Simulador!$G$9)&gt;1-Simulador!$B$11,Simulador!$B$10*(1-COS(PI()*(1-(($A86-(Simulador!$E$9+'Salto de dientes'!$B$12))/Simulador!$G$9))/Simulador!$B$11))/2,Simulador!$B$10)))</f>
        <v/>
      </c>
      <c r="W86" t="n">
        <v>72</v>
      </c>
      <c r="X86" s="48">
        <f>('Levas superpuestas'!$B$5+IF(OR(((W86-('Levas superpuestas'!$B$14-'Levas superpuestas'!$B$8/4))/('Levas superpuestas'!$B$8/2))&lt;=0,((W86-('Levas superpuestas'!$B$14-'Levas superpuestas'!$B$8/4))/('Levas superpuestas'!$B$8/2))&gt;=1),0,IF(((W86-('Levas superpuestas'!$B$14-'Levas superpuestas'!$B$8/4))/('Levas superpuestas'!$B$8/2))&lt;Simulador!$B$11,Simulador!$B$9*(1-COS(PI()*((W86-('Levas superpuestas'!$B$14-'Levas superpuestas'!$B$8/4))/('Levas superpuestas'!$B$8/2))/Simulador!$B$11))/2,IF(((W86-('Levas superpuestas'!$B$14-'Levas superpuestas'!$B$8/4))/('Levas superpuestas'!$B$8/2))&gt;1-Simulador!$B$11,Simulador!$B$9*(1-COS(PI()*(1-((W86-('Levas superpuestas'!$B$14-'Levas superpuestas'!$B$8/4))/('Levas superpuestas'!$B$8/2)))/Simulador!$B$11))/2,Simulador!$B$9))))*SIN(RADIANS(W86))</f>
        <v/>
      </c>
      <c r="Y86" s="48">
        <f>('Levas superpuestas'!$B$5+IF(OR(((W86-('Levas superpuestas'!$B$14-'Levas superpuestas'!$B$8/4))/('Levas superpuestas'!$B$8/2))&lt;=0,((W86-('Levas superpuestas'!$B$14-'Levas superpuestas'!$B$8/4))/('Levas superpuestas'!$B$8/2))&gt;=1),0,IF(((W86-('Levas superpuestas'!$B$14-'Levas superpuestas'!$B$8/4))/('Levas superpuestas'!$B$8/2))&lt;Simulador!$B$11,Simulador!$B$9*(1-COS(PI()*((W86-('Levas superpuestas'!$B$14-'Levas superpuestas'!$B$8/4))/('Levas superpuestas'!$B$8/2))/Simulador!$B$11))/2,IF(((W86-('Levas superpuestas'!$B$14-'Levas superpuestas'!$B$8/4))/('Levas superpuestas'!$B$8/2))&gt;1-Simulador!$B$11,Simulador!$B$9*(1-COS(PI()*(1-((W86-('Levas superpuestas'!$B$14-'Levas superpuestas'!$B$8/4))/('Levas superpuestas'!$B$8/2)))/Simulador!$B$11))/2,Simulador!$B$9))))*COS(RADIANS(W86))</f>
        <v/>
      </c>
      <c r="Z86" s="48">
        <f>('Levas superpuestas'!$B$5+IF(OR(((W86-('Levas superpuestas'!$B$15-'Levas superpuestas'!$B$9/4))/('Levas superpuestas'!$B$9/2))&lt;=0,((W86-('Levas superpuestas'!$B$15-'Levas superpuestas'!$B$9/4))/('Levas superpuestas'!$B$9/2))&gt;=1),0,IF(((W86-('Levas superpuestas'!$B$15-'Levas superpuestas'!$B$9/4))/('Levas superpuestas'!$B$9/2))&lt;Simulador!$B$11,Simulador!$B$10*(1-COS(PI()*((W86-('Levas superpuestas'!$B$15-'Levas superpuestas'!$B$9/4))/('Levas superpuestas'!$B$9/2))/Simulador!$B$11))/2,IF(((W86-('Levas superpuestas'!$B$15-'Levas superpuestas'!$B$9/4))/('Levas superpuestas'!$B$9/2))&gt;1-Simulador!$B$11,Simulador!$B$10*(1-COS(PI()*(1-((W86-('Levas superpuestas'!$B$15-'Levas superpuestas'!$B$9/4))/('Levas superpuestas'!$B$9/2)))/Simulador!$B$11))/2,Simulador!$B$10))))*SIN(RADIANS(W86))</f>
        <v/>
      </c>
      <c r="AA86" s="48">
        <f>('Levas superpuestas'!$B$5+IF(OR(((W86-('Levas superpuestas'!$B$15-'Levas superpuestas'!$B$9/4))/('Levas superpuestas'!$B$9/2))&lt;=0,((W86-('Levas superpuestas'!$B$15-'Levas superpuestas'!$B$9/4))/('Levas superpuestas'!$B$9/2))&gt;=1),0,IF(((W86-('Levas superpuestas'!$B$15-'Levas superpuestas'!$B$9/4))/('Levas superpuestas'!$B$9/2))&lt;Simulador!$B$11,Simulador!$B$10*(1-COS(PI()*((W86-('Levas superpuestas'!$B$15-'Levas superpuestas'!$B$9/4))/('Levas superpuestas'!$B$9/2))/Simulador!$B$11))/2,IF(((W86-('Levas superpuestas'!$B$15-'Levas superpuestas'!$B$9/4))/('Levas superpuestas'!$B$9/2))&gt;1-Simulador!$B$11,Simulador!$B$10*(1-COS(PI()*(1-((W86-('Levas superpuestas'!$B$15-'Levas superpuestas'!$B$9/4))/('Levas superpuestas'!$B$9/2)))/Simulador!$B$11))/2,Simulador!$B$10))))*COS(RADIANS(W86))</f>
        <v/>
      </c>
      <c r="AB86">
        <f>'Levas superpuestas'!$B$5*SIN(RADIANS(W86))</f>
        <v/>
      </c>
      <c r="AC86">
        <f>'Levas superpuestas'!$B$5*COS(RADIANS(W86))</f>
        <v/>
      </c>
    </row>
    <row r="87">
      <c r="A87" s="26">
        <f>A86+Simulador!$B$14</f>
        <v/>
      </c>
      <c r="B87" s="46">
        <f>IF(OR((($A87-Simulador!$E$5)/Simulador!$G$5)&lt;=0,(($A87-Simulador!$E$5)/Simulador!$G$5)&gt;=1),0,IF((($A87-Simulador!$E$5)/Simulador!$G$5)&lt;Simulador!$B$11,Simulador!$B$9*(1-COS(PI()*(($A87-Simulador!$E$5)/Simulador!$G$5)/Simulador!$B$11))/2,IF((($A87-Simulador!$E$5)/Simulador!$G$5)&gt;1-Simulador!$B$11,Simulador!$B$9*(1-COS(PI()*(1-(($A87-Simulador!$E$5)/Simulador!$G$5))/Simulador!$B$11))/2,Simulador!$B$9)))</f>
        <v/>
      </c>
      <c r="C87" s="46">
        <f>IF(OR((($A87-Simulador!$E$6)/Simulador!$G$6)&lt;=0,(($A87-Simulador!$E$6)/Simulador!$G$6)&gt;=1),0,IF((($A87-Simulador!$E$6)/Simulador!$G$6)&lt;Simulador!$B$11,Simulador!$B$9*(1-COS(PI()*(($A87-Simulador!$E$6)/Simulador!$G$6)/Simulador!$B$11))/2,IF((($A87-Simulador!$E$6)/Simulador!$G$6)&gt;1-Simulador!$B$11,Simulador!$B$9*(1-COS(PI()*(1-(($A87-Simulador!$E$6)/Simulador!$G$6))/Simulador!$B$11))/2,Simulador!$B$9)))</f>
        <v/>
      </c>
      <c r="D87" s="46">
        <f>IF(OR((($A87-Simulador!$E$7)/Simulador!$G$7)&lt;=0,(($A87-Simulador!$E$7)/Simulador!$G$7)&gt;=1),0,IF((($A87-Simulador!$E$7)/Simulador!$G$7)&lt;Simulador!$B$11,Simulador!$B$9*(1-COS(PI()*(($A87-Simulador!$E$7)/Simulador!$G$7)/Simulador!$B$11))/2,IF((($A87-Simulador!$E$7)/Simulador!$G$7)&gt;1-Simulador!$B$11,Simulador!$B$9*(1-COS(PI()*(1-(($A87-Simulador!$E$7)/Simulador!$G$7))/Simulador!$B$11))/2,Simulador!$B$9)))</f>
        <v/>
      </c>
      <c r="E87" s="46">
        <f>IF(OR((($A87-Simulador!$E$8)/Simulador!$G$8)&lt;=0,(($A87-Simulador!$E$8)/Simulador!$G$8)&gt;=1),0,IF((($A87-Simulador!$E$8)/Simulador!$G$8)&lt;Simulador!$B$11,Simulador!$B$10*(1-COS(PI()*(($A87-Simulador!$E$8)/Simulador!$G$8)/Simulador!$B$11))/2,IF((($A87-Simulador!$E$8)/Simulador!$G$8)&gt;1-Simulador!$B$11,Simulador!$B$10*(1-COS(PI()*(1-(($A87-Simulador!$E$8)/Simulador!$G$8))/Simulador!$B$11))/2,Simulador!$B$10)))</f>
        <v/>
      </c>
      <c r="F87" s="46">
        <f>IF(OR((($A87-Simulador!$E$9)/Simulador!$G$9)&lt;=0,(($A87-Simulador!$E$9)/Simulador!$G$9)&gt;=1),0,IF((($A87-Simulador!$E$9)/Simulador!$G$9)&lt;Simulador!$B$11,Simulador!$B$10*(1-COS(PI()*(($A87-Simulador!$E$9)/Simulador!$G$9)/Simulador!$B$11))/2,IF((($A87-Simulador!$E$9)/Simulador!$G$9)&gt;1-Simulador!$B$11,Simulador!$B$10*(1-COS(PI()*(1-(($A87-Simulador!$E$9)/Simulador!$G$9))/Simulador!$B$11))/2,Simulador!$B$10)))</f>
        <v/>
      </c>
      <c r="G87" s="46">
        <f>IF(OR((($A87-Simulador!$E$10)/Simulador!$G$10)&lt;=0,(($A87-Simulador!$E$10)/Simulador!$G$10)&gt;=1),0,IF((($A87-Simulador!$E$10)/Simulador!$G$10)&lt;Simulador!$B$11,Simulador!$B$10*(1-COS(PI()*(($A87-Simulador!$E$10)/Simulador!$G$10)/Simulador!$B$11))/2,IF((($A87-Simulador!$E$10)/Simulador!$G$10)&gt;1-Simulador!$B$11,Simulador!$B$10*(1-COS(PI()*(1-(($A87-Simulador!$E$10)/Simulador!$G$10))/Simulador!$B$11))/2,Simulador!$B$10)))</f>
        <v/>
      </c>
      <c r="Q87" s="48">
        <f>IF(OR((($A87-(Simulador!$E$6+'Salto de dientes'!$B$12))/Simulador!$G$6)&lt;=0,(($A87-(Simulador!$E$6+'Salto de dientes'!$B$12))/Simulador!$G$6)&gt;=1),0,IF((($A87-(Simulador!$E$6+'Salto de dientes'!$B$12))/Simulador!$G$6)&lt;Simulador!$B$11,Simulador!$B$9*(1-COS(PI()*(($A87-(Simulador!$E$6+'Salto de dientes'!$B$12))/Simulador!$G$6)/Simulador!$B$11))/2,IF((($A87-(Simulador!$E$6+'Salto de dientes'!$B$12))/Simulador!$G$6)&gt;1-Simulador!$B$11,Simulador!$B$9*(1-COS(PI()*(1-(($A87-(Simulador!$E$6+'Salto de dientes'!$B$12))/Simulador!$G$6))/Simulador!$B$11))/2,Simulador!$B$9)))</f>
        <v/>
      </c>
      <c r="R87" s="48">
        <f>IF(OR((($A87-(Simulador!$E$9+'Salto de dientes'!$B$12))/Simulador!$G$9)&lt;=0,(($A87-(Simulador!$E$9+'Salto de dientes'!$B$12))/Simulador!$G$9)&gt;=1),0,IF((($A87-(Simulador!$E$9+'Salto de dientes'!$B$12))/Simulador!$G$9)&lt;Simulador!$B$11,Simulador!$B$10*(1-COS(PI()*(($A87-(Simulador!$E$9+'Salto de dientes'!$B$12))/Simulador!$G$9)/Simulador!$B$11))/2,IF((($A87-(Simulador!$E$9+'Salto de dientes'!$B$12))/Simulador!$G$9)&gt;1-Simulador!$B$11,Simulador!$B$10*(1-COS(PI()*(1-(($A87-(Simulador!$E$9+'Salto de dientes'!$B$12))/Simulador!$G$9))/Simulador!$B$11))/2,Simulador!$B$10)))</f>
        <v/>
      </c>
      <c r="W87" t="n">
        <v>75</v>
      </c>
      <c r="X87" s="48">
        <f>('Levas superpuestas'!$B$5+IF(OR(((W87-('Levas superpuestas'!$B$14-'Levas superpuestas'!$B$8/4))/('Levas superpuestas'!$B$8/2))&lt;=0,((W87-('Levas superpuestas'!$B$14-'Levas superpuestas'!$B$8/4))/('Levas superpuestas'!$B$8/2))&gt;=1),0,IF(((W87-('Levas superpuestas'!$B$14-'Levas superpuestas'!$B$8/4))/('Levas superpuestas'!$B$8/2))&lt;Simulador!$B$11,Simulador!$B$9*(1-COS(PI()*((W87-('Levas superpuestas'!$B$14-'Levas superpuestas'!$B$8/4))/('Levas superpuestas'!$B$8/2))/Simulador!$B$11))/2,IF(((W87-('Levas superpuestas'!$B$14-'Levas superpuestas'!$B$8/4))/('Levas superpuestas'!$B$8/2))&gt;1-Simulador!$B$11,Simulador!$B$9*(1-COS(PI()*(1-((W87-('Levas superpuestas'!$B$14-'Levas superpuestas'!$B$8/4))/('Levas superpuestas'!$B$8/2)))/Simulador!$B$11))/2,Simulador!$B$9))))*SIN(RADIANS(W87))</f>
        <v/>
      </c>
      <c r="Y87" s="48">
        <f>('Levas superpuestas'!$B$5+IF(OR(((W87-('Levas superpuestas'!$B$14-'Levas superpuestas'!$B$8/4))/('Levas superpuestas'!$B$8/2))&lt;=0,((W87-('Levas superpuestas'!$B$14-'Levas superpuestas'!$B$8/4))/('Levas superpuestas'!$B$8/2))&gt;=1),0,IF(((W87-('Levas superpuestas'!$B$14-'Levas superpuestas'!$B$8/4))/('Levas superpuestas'!$B$8/2))&lt;Simulador!$B$11,Simulador!$B$9*(1-COS(PI()*((W87-('Levas superpuestas'!$B$14-'Levas superpuestas'!$B$8/4))/('Levas superpuestas'!$B$8/2))/Simulador!$B$11))/2,IF(((W87-('Levas superpuestas'!$B$14-'Levas superpuestas'!$B$8/4))/('Levas superpuestas'!$B$8/2))&gt;1-Simulador!$B$11,Simulador!$B$9*(1-COS(PI()*(1-((W87-('Levas superpuestas'!$B$14-'Levas superpuestas'!$B$8/4))/('Levas superpuestas'!$B$8/2)))/Simulador!$B$11))/2,Simulador!$B$9))))*COS(RADIANS(W87))</f>
        <v/>
      </c>
      <c r="Z87" s="48">
        <f>('Levas superpuestas'!$B$5+IF(OR(((W87-('Levas superpuestas'!$B$15-'Levas superpuestas'!$B$9/4))/('Levas superpuestas'!$B$9/2))&lt;=0,((W87-('Levas superpuestas'!$B$15-'Levas superpuestas'!$B$9/4))/('Levas superpuestas'!$B$9/2))&gt;=1),0,IF(((W87-('Levas superpuestas'!$B$15-'Levas superpuestas'!$B$9/4))/('Levas superpuestas'!$B$9/2))&lt;Simulador!$B$11,Simulador!$B$10*(1-COS(PI()*((W87-('Levas superpuestas'!$B$15-'Levas superpuestas'!$B$9/4))/('Levas superpuestas'!$B$9/2))/Simulador!$B$11))/2,IF(((W87-('Levas superpuestas'!$B$15-'Levas superpuestas'!$B$9/4))/('Levas superpuestas'!$B$9/2))&gt;1-Simulador!$B$11,Simulador!$B$10*(1-COS(PI()*(1-((W87-('Levas superpuestas'!$B$15-'Levas superpuestas'!$B$9/4))/('Levas superpuestas'!$B$9/2)))/Simulador!$B$11))/2,Simulador!$B$10))))*SIN(RADIANS(W87))</f>
        <v/>
      </c>
      <c r="AA87" s="48">
        <f>('Levas superpuestas'!$B$5+IF(OR(((W87-('Levas superpuestas'!$B$15-'Levas superpuestas'!$B$9/4))/('Levas superpuestas'!$B$9/2))&lt;=0,((W87-('Levas superpuestas'!$B$15-'Levas superpuestas'!$B$9/4))/('Levas superpuestas'!$B$9/2))&gt;=1),0,IF(((W87-('Levas superpuestas'!$B$15-'Levas superpuestas'!$B$9/4))/('Levas superpuestas'!$B$9/2))&lt;Simulador!$B$11,Simulador!$B$10*(1-COS(PI()*((W87-('Levas superpuestas'!$B$15-'Levas superpuestas'!$B$9/4))/('Levas superpuestas'!$B$9/2))/Simulador!$B$11))/2,IF(((W87-('Levas superpuestas'!$B$15-'Levas superpuestas'!$B$9/4))/('Levas superpuestas'!$B$9/2))&gt;1-Simulador!$B$11,Simulador!$B$10*(1-COS(PI()*(1-((W87-('Levas superpuestas'!$B$15-'Levas superpuestas'!$B$9/4))/('Levas superpuestas'!$B$9/2)))/Simulador!$B$11))/2,Simulador!$B$10))))*COS(RADIANS(W87))</f>
        <v/>
      </c>
      <c r="AB87">
        <f>'Levas superpuestas'!$B$5*SIN(RADIANS(W87))</f>
        <v/>
      </c>
      <c r="AC87">
        <f>'Levas superpuestas'!$B$5*COS(RADIANS(W87))</f>
        <v/>
      </c>
    </row>
    <row r="88">
      <c r="A88" s="26">
        <f>A87+Simulador!$B$14</f>
        <v/>
      </c>
      <c r="B88" s="46">
        <f>IF(OR((($A88-Simulador!$E$5)/Simulador!$G$5)&lt;=0,(($A88-Simulador!$E$5)/Simulador!$G$5)&gt;=1),0,IF((($A88-Simulador!$E$5)/Simulador!$G$5)&lt;Simulador!$B$11,Simulador!$B$9*(1-COS(PI()*(($A88-Simulador!$E$5)/Simulador!$G$5)/Simulador!$B$11))/2,IF((($A88-Simulador!$E$5)/Simulador!$G$5)&gt;1-Simulador!$B$11,Simulador!$B$9*(1-COS(PI()*(1-(($A88-Simulador!$E$5)/Simulador!$G$5))/Simulador!$B$11))/2,Simulador!$B$9)))</f>
        <v/>
      </c>
      <c r="C88" s="46">
        <f>IF(OR((($A88-Simulador!$E$6)/Simulador!$G$6)&lt;=0,(($A88-Simulador!$E$6)/Simulador!$G$6)&gt;=1),0,IF((($A88-Simulador!$E$6)/Simulador!$G$6)&lt;Simulador!$B$11,Simulador!$B$9*(1-COS(PI()*(($A88-Simulador!$E$6)/Simulador!$G$6)/Simulador!$B$11))/2,IF((($A88-Simulador!$E$6)/Simulador!$G$6)&gt;1-Simulador!$B$11,Simulador!$B$9*(1-COS(PI()*(1-(($A88-Simulador!$E$6)/Simulador!$G$6))/Simulador!$B$11))/2,Simulador!$B$9)))</f>
        <v/>
      </c>
      <c r="D88" s="46">
        <f>IF(OR((($A88-Simulador!$E$7)/Simulador!$G$7)&lt;=0,(($A88-Simulador!$E$7)/Simulador!$G$7)&gt;=1),0,IF((($A88-Simulador!$E$7)/Simulador!$G$7)&lt;Simulador!$B$11,Simulador!$B$9*(1-COS(PI()*(($A88-Simulador!$E$7)/Simulador!$G$7)/Simulador!$B$11))/2,IF((($A88-Simulador!$E$7)/Simulador!$G$7)&gt;1-Simulador!$B$11,Simulador!$B$9*(1-COS(PI()*(1-(($A88-Simulador!$E$7)/Simulador!$G$7))/Simulador!$B$11))/2,Simulador!$B$9)))</f>
        <v/>
      </c>
      <c r="E88" s="46">
        <f>IF(OR((($A88-Simulador!$E$8)/Simulador!$G$8)&lt;=0,(($A88-Simulador!$E$8)/Simulador!$G$8)&gt;=1),0,IF((($A88-Simulador!$E$8)/Simulador!$G$8)&lt;Simulador!$B$11,Simulador!$B$10*(1-COS(PI()*(($A88-Simulador!$E$8)/Simulador!$G$8)/Simulador!$B$11))/2,IF((($A88-Simulador!$E$8)/Simulador!$G$8)&gt;1-Simulador!$B$11,Simulador!$B$10*(1-COS(PI()*(1-(($A88-Simulador!$E$8)/Simulador!$G$8))/Simulador!$B$11))/2,Simulador!$B$10)))</f>
        <v/>
      </c>
      <c r="F88" s="46">
        <f>IF(OR((($A88-Simulador!$E$9)/Simulador!$G$9)&lt;=0,(($A88-Simulador!$E$9)/Simulador!$G$9)&gt;=1),0,IF((($A88-Simulador!$E$9)/Simulador!$G$9)&lt;Simulador!$B$11,Simulador!$B$10*(1-COS(PI()*(($A88-Simulador!$E$9)/Simulador!$G$9)/Simulador!$B$11))/2,IF((($A88-Simulador!$E$9)/Simulador!$G$9)&gt;1-Simulador!$B$11,Simulador!$B$10*(1-COS(PI()*(1-(($A88-Simulador!$E$9)/Simulador!$G$9))/Simulador!$B$11))/2,Simulador!$B$10)))</f>
        <v/>
      </c>
      <c r="G88" s="46">
        <f>IF(OR((($A88-Simulador!$E$10)/Simulador!$G$10)&lt;=0,(($A88-Simulador!$E$10)/Simulador!$G$10)&gt;=1),0,IF((($A88-Simulador!$E$10)/Simulador!$G$10)&lt;Simulador!$B$11,Simulador!$B$10*(1-COS(PI()*(($A88-Simulador!$E$10)/Simulador!$G$10)/Simulador!$B$11))/2,IF((($A88-Simulador!$E$10)/Simulador!$G$10)&gt;1-Simulador!$B$11,Simulador!$B$10*(1-COS(PI()*(1-(($A88-Simulador!$E$10)/Simulador!$G$10))/Simulador!$B$11))/2,Simulador!$B$10)))</f>
        <v/>
      </c>
      <c r="Q88" s="48">
        <f>IF(OR((($A88-(Simulador!$E$6+'Salto de dientes'!$B$12))/Simulador!$G$6)&lt;=0,(($A88-(Simulador!$E$6+'Salto de dientes'!$B$12))/Simulador!$G$6)&gt;=1),0,IF((($A88-(Simulador!$E$6+'Salto de dientes'!$B$12))/Simulador!$G$6)&lt;Simulador!$B$11,Simulador!$B$9*(1-COS(PI()*(($A88-(Simulador!$E$6+'Salto de dientes'!$B$12))/Simulador!$G$6)/Simulador!$B$11))/2,IF((($A88-(Simulador!$E$6+'Salto de dientes'!$B$12))/Simulador!$G$6)&gt;1-Simulador!$B$11,Simulador!$B$9*(1-COS(PI()*(1-(($A88-(Simulador!$E$6+'Salto de dientes'!$B$12))/Simulador!$G$6))/Simulador!$B$11))/2,Simulador!$B$9)))</f>
        <v/>
      </c>
      <c r="R88" s="48">
        <f>IF(OR((($A88-(Simulador!$E$9+'Salto de dientes'!$B$12))/Simulador!$G$9)&lt;=0,(($A88-(Simulador!$E$9+'Salto de dientes'!$B$12))/Simulador!$G$9)&gt;=1),0,IF((($A88-(Simulador!$E$9+'Salto de dientes'!$B$12))/Simulador!$G$9)&lt;Simulador!$B$11,Simulador!$B$10*(1-COS(PI()*(($A88-(Simulador!$E$9+'Salto de dientes'!$B$12))/Simulador!$G$9)/Simulador!$B$11))/2,IF((($A88-(Simulador!$E$9+'Salto de dientes'!$B$12))/Simulador!$G$9)&gt;1-Simulador!$B$11,Simulador!$B$10*(1-COS(PI()*(1-(($A88-(Simulador!$E$9+'Salto de dientes'!$B$12))/Simulador!$G$9))/Simulador!$B$11))/2,Simulador!$B$10)))</f>
        <v/>
      </c>
      <c r="W88" t="n">
        <v>78</v>
      </c>
      <c r="X88" s="48">
        <f>('Levas superpuestas'!$B$5+IF(OR(((W88-('Levas superpuestas'!$B$14-'Levas superpuestas'!$B$8/4))/('Levas superpuestas'!$B$8/2))&lt;=0,((W88-('Levas superpuestas'!$B$14-'Levas superpuestas'!$B$8/4))/('Levas superpuestas'!$B$8/2))&gt;=1),0,IF(((W88-('Levas superpuestas'!$B$14-'Levas superpuestas'!$B$8/4))/('Levas superpuestas'!$B$8/2))&lt;Simulador!$B$11,Simulador!$B$9*(1-COS(PI()*((W88-('Levas superpuestas'!$B$14-'Levas superpuestas'!$B$8/4))/('Levas superpuestas'!$B$8/2))/Simulador!$B$11))/2,IF(((W88-('Levas superpuestas'!$B$14-'Levas superpuestas'!$B$8/4))/('Levas superpuestas'!$B$8/2))&gt;1-Simulador!$B$11,Simulador!$B$9*(1-COS(PI()*(1-((W88-('Levas superpuestas'!$B$14-'Levas superpuestas'!$B$8/4))/('Levas superpuestas'!$B$8/2)))/Simulador!$B$11))/2,Simulador!$B$9))))*SIN(RADIANS(W88))</f>
        <v/>
      </c>
      <c r="Y88" s="48">
        <f>('Levas superpuestas'!$B$5+IF(OR(((W88-('Levas superpuestas'!$B$14-'Levas superpuestas'!$B$8/4))/('Levas superpuestas'!$B$8/2))&lt;=0,((W88-('Levas superpuestas'!$B$14-'Levas superpuestas'!$B$8/4))/('Levas superpuestas'!$B$8/2))&gt;=1),0,IF(((W88-('Levas superpuestas'!$B$14-'Levas superpuestas'!$B$8/4))/('Levas superpuestas'!$B$8/2))&lt;Simulador!$B$11,Simulador!$B$9*(1-COS(PI()*((W88-('Levas superpuestas'!$B$14-'Levas superpuestas'!$B$8/4))/('Levas superpuestas'!$B$8/2))/Simulador!$B$11))/2,IF(((W88-('Levas superpuestas'!$B$14-'Levas superpuestas'!$B$8/4))/('Levas superpuestas'!$B$8/2))&gt;1-Simulador!$B$11,Simulador!$B$9*(1-COS(PI()*(1-((W88-('Levas superpuestas'!$B$14-'Levas superpuestas'!$B$8/4))/('Levas superpuestas'!$B$8/2)))/Simulador!$B$11))/2,Simulador!$B$9))))*COS(RADIANS(W88))</f>
        <v/>
      </c>
      <c r="Z88" s="48">
        <f>('Levas superpuestas'!$B$5+IF(OR(((W88-('Levas superpuestas'!$B$15-'Levas superpuestas'!$B$9/4))/('Levas superpuestas'!$B$9/2))&lt;=0,((W88-('Levas superpuestas'!$B$15-'Levas superpuestas'!$B$9/4))/('Levas superpuestas'!$B$9/2))&gt;=1),0,IF(((W88-('Levas superpuestas'!$B$15-'Levas superpuestas'!$B$9/4))/('Levas superpuestas'!$B$9/2))&lt;Simulador!$B$11,Simulador!$B$10*(1-COS(PI()*((W88-('Levas superpuestas'!$B$15-'Levas superpuestas'!$B$9/4))/('Levas superpuestas'!$B$9/2))/Simulador!$B$11))/2,IF(((W88-('Levas superpuestas'!$B$15-'Levas superpuestas'!$B$9/4))/('Levas superpuestas'!$B$9/2))&gt;1-Simulador!$B$11,Simulador!$B$10*(1-COS(PI()*(1-((W88-('Levas superpuestas'!$B$15-'Levas superpuestas'!$B$9/4))/('Levas superpuestas'!$B$9/2)))/Simulador!$B$11))/2,Simulador!$B$10))))*SIN(RADIANS(W88))</f>
        <v/>
      </c>
      <c r="AA88" s="48">
        <f>('Levas superpuestas'!$B$5+IF(OR(((W88-('Levas superpuestas'!$B$15-'Levas superpuestas'!$B$9/4))/('Levas superpuestas'!$B$9/2))&lt;=0,((W88-('Levas superpuestas'!$B$15-'Levas superpuestas'!$B$9/4))/('Levas superpuestas'!$B$9/2))&gt;=1),0,IF(((W88-('Levas superpuestas'!$B$15-'Levas superpuestas'!$B$9/4))/('Levas superpuestas'!$B$9/2))&lt;Simulador!$B$11,Simulador!$B$10*(1-COS(PI()*((W88-('Levas superpuestas'!$B$15-'Levas superpuestas'!$B$9/4))/('Levas superpuestas'!$B$9/2))/Simulador!$B$11))/2,IF(((W88-('Levas superpuestas'!$B$15-'Levas superpuestas'!$B$9/4))/('Levas superpuestas'!$B$9/2))&gt;1-Simulador!$B$11,Simulador!$B$10*(1-COS(PI()*(1-((W88-('Levas superpuestas'!$B$15-'Levas superpuestas'!$B$9/4))/('Levas superpuestas'!$B$9/2)))/Simulador!$B$11))/2,Simulador!$B$10))))*COS(RADIANS(W88))</f>
        <v/>
      </c>
      <c r="AB88">
        <f>'Levas superpuestas'!$B$5*SIN(RADIANS(W88))</f>
        <v/>
      </c>
      <c r="AC88">
        <f>'Levas superpuestas'!$B$5*COS(RADIANS(W88))</f>
        <v/>
      </c>
    </row>
    <row r="89">
      <c r="A89" s="26">
        <f>A88+Simulador!$B$14</f>
        <v/>
      </c>
      <c r="B89" s="46">
        <f>IF(OR((($A89-Simulador!$E$5)/Simulador!$G$5)&lt;=0,(($A89-Simulador!$E$5)/Simulador!$G$5)&gt;=1),0,IF((($A89-Simulador!$E$5)/Simulador!$G$5)&lt;Simulador!$B$11,Simulador!$B$9*(1-COS(PI()*(($A89-Simulador!$E$5)/Simulador!$G$5)/Simulador!$B$11))/2,IF((($A89-Simulador!$E$5)/Simulador!$G$5)&gt;1-Simulador!$B$11,Simulador!$B$9*(1-COS(PI()*(1-(($A89-Simulador!$E$5)/Simulador!$G$5))/Simulador!$B$11))/2,Simulador!$B$9)))</f>
        <v/>
      </c>
      <c r="C89" s="46">
        <f>IF(OR((($A89-Simulador!$E$6)/Simulador!$G$6)&lt;=0,(($A89-Simulador!$E$6)/Simulador!$G$6)&gt;=1),0,IF((($A89-Simulador!$E$6)/Simulador!$G$6)&lt;Simulador!$B$11,Simulador!$B$9*(1-COS(PI()*(($A89-Simulador!$E$6)/Simulador!$G$6)/Simulador!$B$11))/2,IF((($A89-Simulador!$E$6)/Simulador!$G$6)&gt;1-Simulador!$B$11,Simulador!$B$9*(1-COS(PI()*(1-(($A89-Simulador!$E$6)/Simulador!$G$6))/Simulador!$B$11))/2,Simulador!$B$9)))</f>
        <v/>
      </c>
      <c r="D89" s="46">
        <f>IF(OR((($A89-Simulador!$E$7)/Simulador!$G$7)&lt;=0,(($A89-Simulador!$E$7)/Simulador!$G$7)&gt;=1),0,IF((($A89-Simulador!$E$7)/Simulador!$G$7)&lt;Simulador!$B$11,Simulador!$B$9*(1-COS(PI()*(($A89-Simulador!$E$7)/Simulador!$G$7)/Simulador!$B$11))/2,IF((($A89-Simulador!$E$7)/Simulador!$G$7)&gt;1-Simulador!$B$11,Simulador!$B$9*(1-COS(PI()*(1-(($A89-Simulador!$E$7)/Simulador!$G$7))/Simulador!$B$11))/2,Simulador!$B$9)))</f>
        <v/>
      </c>
      <c r="E89" s="46">
        <f>IF(OR((($A89-Simulador!$E$8)/Simulador!$G$8)&lt;=0,(($A89-Simulador!$E$8)/Simulador!$G$8)&gt;=1),0,IF((($A89-Simulador!$E$8)/Simulador!$G$8)&lt;Simulador!$B$11,Simulador!$B$10*(1-COS(PI()*(($A89-Simulador!$E$8)/Simulador!$G$8)/Simulador!$B$11))/2,IF((($A89-Simulador!$E$8)/Simulador!$G$8)&gt;1-Simulador!$B$11,Simulador!$B$10*(1-COS(PI()*(1-(($A89-Simulador!$E$8)/Simulador!$G$8))/Simulador!$B$11))/2,Simulador!$B$10)))</f>
        <v/>
      </c>
      <c r="F89" s="46">
        <f>IF(OR((($A89-Simulador!$E$9)/Simulador!$G$9)&lt;=0,(($A89-Simulador!$E$9)/Simulador!$G$9)&gt;=1),0,IF((($A89-Simulador!$E$9)/Simulador!$G$9)&lt;Simulador!$B$11,Simulador!$B$10*(1-COS(PI()*(($A89-Simulador!$E$9)/Simulador!$G$9)/Simulador!$B$11))/2,IF((($A89-Simulador!$E$9)/Simulador!$G$9)&gt;1-Simulador!$B$11,Simulador!$B$10*(1-COS(PI()*(1-(($A89-Simulador!$E$9)/Simulador!$G$9))/Simulador!$B$11))/2,Simulador!$B$10)))</f>
        <v/>
      </c>
      <c r="G89" s="46">
        <f>IF(OR((($A89-Simulador!$E$10)/Simulador!$G$10)&lt;=0,(($A89-Simulador!$E$10)/Simulador!$G$10)&gt;=1),0,IF((($A89-Simulador!$E$10)/Simulador!$G$10)&lt;Simulador!$B$11,Simulador!$B$10*(1-COS(PI()*(($A89-Simulador!$E$10)/Simulador!$G$10)/Simulador!$B$11))/2,IF((($A89-Simulador!$E$10)/Simulador!$G$10)&gt;1-Simulador!$B$11,Simulador!$B$10*(1-COS(PI()*(1-(($A89-Simulador!$E$10)/Simulador!$G$10))/Simulador!$B$11))/2,Simulador!$B$10)))</f>
        <v/>
      </c>
      <c r="Q89" s="48">
        <f>IF(OR((($A89-(Simulador!$E$6+'Salto de dientes'!$B$12))/Simulador!$G$6)&lt;=0,(($A89-(Simulador!$E$6+'Salto de dientes'!$B$12))/Simulador!$G$6)&gt;=1),0,IF((($A89-(Simulador!$E$6+'Salto de dientes'!$B$12))/Simulador!$G$6)&lt;Simulador!$B$11,Simulador!$B$9*(1-COS(PI()*(($A89-(Simulador!$E$6+'Salto de dientes'!$B$12))/Simulador!$G$6)/Simulador!$B$11))/2,IF((($A89-(Simulador!$E$6+'Salto de dientes'!$B$12))/Simulador!$G$6)&gt;1-Simulador!$B$11,Simulador!$B$9*(1-COS(PI()*(1-(($A89-(Simulador!$E$6+'Salto de dientes'!$B$12))/Simulador!$G$6))/Simulador!$B$11))/2,Simulador!$B$9)))</f>
        <v/>
      </c>
      <c r="R89" s="48">
        <f>IF(OR((($A89-(Simulador!$E$9+'Salto de dientes'!$B$12))/Simulador!$G$9)&lt;=0,(($A89-(Simulador!$E$9+'Salto de dientes'!$B$12))/Simulador!$G$9)&gt;=1),0,IF((($A89-(Simulador!$E$9+'Salto de dientes'!$B$12))/Simulador!$G$9)&lt;Simulador!$B$11,Simulador!$B$10*(1-COS(PI()*(($A89-(Simulador!$E$9+'Salto de dientes'!$B$12))/Simulador!$G$9)/Simulador!$B$11))/2,IF((($A89-(Simulador!$E$9+'Salto de dientes'!$B$12))/Simulador!$G$9)&gt;1-Simulador!$B$11,Simulador!$B$10*(1-COS(PI()*(1-(($A89-(Simulador!$E$9+'Salto de dientes'!$B$12))/Simulador!$G$9))/Simulador!$B$11))/2,Simulador!$B$10)))</f>
        <v/>
      </c>
      <c r="W89" t="n">
        <v>81</v>
      </c>
      <c r="X89" s="48">
        <f>('Levas superpuestas'!$B$5+IF(OR(((W89-('Levas superpuestas'!$B$14-'Levas superpuestas'!$B$8/4))/('Levas superpuestas'!$B$8/2))&lt;=0,((W89-('Levas superpuestas'!$B$14-'Levas superpuestas'!$B$8/4))/('Levas superpuestas'!$B$8/2))&gt;=1),0,IF(((W89-('Levas superpuestas'!$B$14-'Levas superpuestas'!$B$8/4))/('Levas superpuestas'!$B$8/2))&lt;Simulador!$B$11,Simulador!$B$9*(1-COS(PI()*((W89-('Levas superpuestas'!$B$14-'Levas superpuestas'!$B$8/4))/('Levas superpuestas'!$B$8/2))/Simulador!$B$11))/2,IF(((W89-('Levas superpuestas'!$B$14-'Levas superpuestas'!$B$8/4))/('Levas superpuestas'!$B$8/2))&gt;1-Simulador!$B$11,Simulador!$B$9*(1-COS(PI()*(1-((W89-('Levas superpuestas'!$B$14-'Levas superpuestas'!$B$8/4))/('Levas superpuestas'!$B$8/2)))/Simulador!$B$11))/2,Simulador!$B$9))))*SIN(RADIANS(W89))</f>
        <v/>
      </c>
      <c r="Y89" s="48">
        <f>('Levas superpuestas'!$B$5+IF(OR(((W89-('Levas superpuestas'!$B$14-'Levas superpuestas'!$B$8/4))/('Levas superpuestas'!$B$8/2))&lt;=0,((W89-('Levas superpuestas'!$B$14-'Levas superpuestas'!$B$8/4))/('Levas superpuestas'!$B$8/2))&gt;=1),0,IF(((W89-('Levas superpuestas'!$B$14-'Levas superpuestas'!$B$8/4))/('Levas superpuestas'!$B$8/2))&lt;Simulador!$B$11,Simulador!$B$9*(1-COS(PI()*((W89-('Levas superpuestas'!$B$14-'Levas superpuestas'!$B$8/4))/('Levas superpuestas'!$B$8/2))/Simulador!$B$11))/2,IF(((W89-('Levas superpuestas'!$B$14-'Levas superpuestas'!$B$8/4))/('Levas superpuestas'!$B$8/2))&gt;1-Simulador!$B$11,Simulador!$B$9*(1-COS(PI()*(1-((W89-('Levas superpuestas'!$B$14-'Levas superpuestas'!$B$8/4))/('Levas superpuestas'!$B$8/2)))/Simulador!$B$11))/2,Simulador!$B$9))))*COS(RADIANS(W89))</f>
        <v/>
      </c>
      <c r="Z89" s="48">
        <f>('Levas superpuestas'!$B$5+IF(OR(((W89-('Levas superpuestas'!$B$15-'Levas superpuestas'!$B$9/4))/('Levas superpuestas'!$B$9/2))&lt;=0,((W89-('Levas superpuestas'!$B$15-'Levas superpuestas'!$B$9/4))/('Levas superpuestas'!$B$9/2))&gt;=1),0,IF(((W89-('Levas superpuestas'!$B$15-'Levas superpuestas'!$B$9/4))/('Levas superpuestas'!$B$9/2))&lt;Simulador!$B$11,Simulador!$B$10*(1-COS(PI()*((W89-('Levas superpuestas'!$B$15-'Levas superpuestas'!$B$9/4))/('Levas superpuestas'!$B$9/2))/Simulador!$B$11))/2,IF(((W89-('Levas superpuestas'!$B$15-'Levas superpuestas'!$B$9/4))/('Levas superpuestas'!$B$9/2))&gt;1-Simulador!$B$11,Simulador!$B$10*(1-COS(PI()*(1-((W89-('Levas superpuestas'!$B$15-'Levas superpuestas'!$B$9/4))/('Levas superpuestas'!$B$9/2)))/Simulador!$B$11))/2,Simulador!$B$10))))*SIN(RADIANS(W89))</f>
        <v/>
      </c>
      <c r="AA89" s="48">
        <f>('Levas superpuestas'!$B$5+IF(OR(((W89-('Levas superpuestas'!$B$15-'Levas superpuestas'!$B$9/4))/('Levas superpuestas'!$B$9/2))&lt;=0,((W89-('Levas superpuestas'!$B$15-'Levas superpuestas'!$B$9/4))/('Levas superpuestas'!$B$9/2))&gt;=1),0,IF(((W89-('Levas superpuestas'!$B$15-'Levas superpuestas'!$B$9/4))/('Levas superpuestas'!$B$9/2))&lt;Simulador!$B$11,Simulador!$B$10*(1-COS(PI()*((W89-('Levas superpuestas'!$B$15-'Levas superpuestas'!$B$9/4))/('Levas superpuestas'!$B$9/2))/Simulador!$B$11))/2,IF(((W89-('Levas superpuestas'!$B$15-'Levas superpuestas'!$B$9/4))/('Levas superpuestas'!$B$9/2))&gt;1-Simulador!$B$11,Simulador!$B$10*(1-COS(PI()*(1-((W89-('Levas superpuestas'!$B$15-'Levas superpuestas'!$B$9/4))/('Levas superpuestas'!$B$9/2)))/Simulador!$B$11))/2,Simulador!$B$10))))*COS(RADIANS(W89))</f>
        <v/>
      </c>
      <c r="AB89">
        <f>'Levas superpuestas'!$B$5*SIN(RADIANS(W89))</f>
        <v/>
      </c>
      <c r="AC89">
        <f>'Levas superpuestas'!$B$5*COS(RADIANS(W89))</f>
        <v/>
      </c>
    </row>
    <row r="90">
      <c r="A90" s="26">
        <f>A89+Simulador!$B$14</f>
        <v/>
      </c>
      <c r="B90" s="46">
        <f>IF(OR((($A90-Simulador!$E$5)/Simulador!$G$5)&lt;=0,(($A90-Simulador!$E$5)/Simulador!$G$5)&gt;=1),0,IF((($A90-Simulador!$E$5)/Simulador!$G$5)&lt;Simulador!$B$11,Simulador!$B$9*(1-COS(PI()*(($A90-Simulador!$E$5)/Simulador!$G$5)/Simulador!$B$11))/2,IF((($A90-Simulador!$E$5)/Simulador!$G$5)&gt;1-Simulador!$B$11,Simulador!$B$9*(1-COS(PI()*(1-(($A90-Simulador!$E$5)/Simulador!$G$5))/Simulador!$B$11))/2,Simulador!$B$9)))</f>
        <v/>
      </c>
      <c r="C90" s="46">
        <f>IF(OR((($A90-Simulador!$E$6)/Simulador!$G$6)&lt;=0,(($A90-Simulador!$E$6)/Simulador!$G$6)&gt;=1),0,IF((($A90-Simulador!$E$6)/Simulador!$G$6)&lt;Simulador!$B$11,Simulador!$B$9*(1-COS(PI()*(($A90-Simulador!$E$6)/Simulador!$G$6)/Simulador!$B$11))/2,IF((($A90-Simulador!$E$6)/Simulador!$G$6)&gt;1-Simulador!$B$11,Simulador!$B$9*(1-COS(PI()*(1-(($A90-Simulador!$E$6)/Simulador!$G$6))/Simulador!$B$11))/2,Simulador!$B$9)))</f>
        <v/>
      </c>
      <c r="D90" s="46">
        <f>IF(OR((($A90-Simulador!$E$7)/Simulador!$G$7)&lt;=0,(($A90-Simulador!$E$7)/Simulador!$G$7)&gt;=1),0,IF((($A90-Simulador!$E$7)/Simulador!$G$7)&lt;Simulador!$B$11,Simulador!$B$9*(1-COS(PI()*(($A90-Simulador!$E$7)/Simulador!$G$7)/Simulador!$B$11))/2,IF((($A90-Simulador!$E$7)/Simulador!$G$7)&gt;1-Simulador!$B$11,Simulador!$B$9*(1-COS(PI()*(1-(($A90-Simulador!$E$7)/Simulador!$G$7))/Simulador!$B$11))/2,Simulador!$B$9)))</f>
        <v/>
      </c>
      <c r="E90" s="46">
        <f>IF(OR((($A90-Simulador!$E$8)/Simulador!$G$8)&lt;=0,(($A90-Simulador!$E$8)/Simulador!$G$8)&gt;=1),0,IF((($A90-Simulador!$E$8)/Simulador!$G$8)&lt;Simulador!$B$11,Simulador!$B$10*(1-COS(PI()*(($A90-Simulador!$E$8)/Simulador!$G$8)/Simulador!$B$11))/2,IF((($A90-Simulador!$E$8)/Simulador!$G$8)&gt;1-Simulador!$B$11,Simulador!$B$10*(1-COS(PI()*(1-(($A90-Simulador!$E$8)/Simulador!$G$8))/Simulador!$B$11))/2,Simulador!$B$10)))</f>
        <v/>
      </c>
      <c r="F90" s="46">
        <f>IF(OR((($A90-Simulador!$E$9)/Simulador!$G$9)&lt;=0,(($A90-Simulador!$E$9)/Simulador!$G$9)&gt;=1),0,IF((($A90-Simulador!$E$9)/Simulador!$G$9)&lt;Simulador!$B$11,Simulador!$B$10*(1-COS(PI()*(($A90-Simulador!$E$9)/Simulador!$G$9)/Simulador!$B$11))/2,IF((($A90-Simulador!$E$9)/Simulador!$G$9)&gt;1-Simulador!$B$11,Simulador!$B$10*(1-COS(PI()*(1-(($A90-Simulador!$E$9)/Simulador!$G$9))/Simulador!$B$11))/2,Simulador!$B$10)))</f>
        <v/>
      </c>
      <c r="G90" s="46">
        <f>IF(OR((($A90-Simulador!$E$10)/Simulador!$G$10)&lt;=0,(($A90-Simulador!$E$10)/Simulador!$G$10)&gt;=1),0,IF((($A90-Simulador!$E$10)/Simulador!$G$10)&lt;Simulador!$B$11,Simulador!$B$10*(1-COS(PI()*(($A90-Simulador!$E$10)/Simulador!$G$10)/Simulador!$B$11))/2,IF((($A90-Simulador!$E$10)/Simulador!$G$10)&gt;1-Simulador!$B$11,Simulador!$B$10*(1-COS(PI()*(1-(($A90-Simulador!$E$10)/Simulador!$G$10))/Simulador!$B$11))/2,Simulador!$B$10)))</f>
        <v/>
      </c>
      <c r="Q90" s="48">
        <f>IF(OR((($A90-(Simulador!$E$6+'Salto de dientes'!$B$12))/Simulador!$G$6)&lt;=0,(($A90-(Simulador!$E$6+'Salto de dientes'!$B$12))/Simulador!$G$6)&gt;=1),0,IF((($A90-(Simulador!$E$6+'Salto de dientes'!$B$12))/Simulador!$G$6)&lt;Simulador!$B$11,Simulador!$B$9*(1-COS(PI()*(($A90-(Simulador!$E$6+'Salto de dientes'!$B$12))/Simulador!$G$6)/Simulador!$B$11))/2,IF((($A90-(Simulador!$E$6+'Salto de dientes'!$B$12))/Simulador!$G$6)&gt;1-Simulador!$B$11,Simulador!$B$9*(1-COS(PI()*(1-(($A90-(Simulador!$E$6+'Salto de dientes'!$B$12))/Simulador!$G$6))/Simulador!$B$11))/2,Simulador!$B$9)))</f>
        <v/>
      </c>
      <c r="R90" s="48">
        <f>IF(OR((($A90-(Simulador!$E$9+'Salto de dientes'!$B$12))/Simulador!$G$9)&lt;=0,(($A90-(Simulador!$E$9+'Salto de dientes'!$B$12))/Simulador!$G$9)&gt;=1),0,IF((($A90-(Simulador!$E$9+'Salto de dientes'!$B$12))/Simulador!$G$9)&lt;Simulador!$B$11,Simulador!$B$10*(1-COS(PI()*(($A90-(Simulador!$E$9+'Salto de dientes'!$B$12))/Simulador!$G$9)/Simulador!$B$11))/2,IF((($A90-(Simulador!$E$9+'Salto de dientes'!$B$12))/Simulador!$G$9)&gt;1-Simulador!$B$11,Simulador!$B$10*(1-COS(PI()*(1-(($A90-(Simulador!$E$9+'Salto de dientes'!$B$12))/Simulador!$G$9))/Simulador!$B$11))/2,Simulador!$B$10)))</f>
        <v/>
      </c>
      <c r="W90" t="n">
        <v>84</v>
      </c>
      <c r="X90" s="48">
        <f>('Levas superpuestas'!$B$5+IF(OR(((W90-('Levas superpuestas'!$B$14-'Levas superpuestas'!$B$8/4))/('Levas superpuestas'!$B$8/2))&lt;=0,((W90-('Levas superpuestas'!$B$14-'Levas superpuestas'!$B$8/4))/('Levas superpuestas'!$B$8/2))&gt;=1),0,IF(((W90-('Levas superpuestas'!$B$14-'Levas superpuestas'!$B$8/4))/('Levas superpuestas'!$B$8/2))&lt;Simulador!$B$11,Simulador!$B$9*(1-COS(PI()*((W90-('Levas superpuestas'!$B$14-'Levas superpuestas'!$B$8/4))/('Levas superpuestas'!$B$8/2))/Simulador!$B$11))/2,IF(((W90-('Levas superpuestas'!$B$14-'Levas superpuestas'!$B$8/4))/('Levas superpuestas'!$B$8/2))&gt;1-Simulador!$B$11,Simulador!$B$9*(1-COS(PI()*(1-((W90-('Levas superpuestas'!$B$14-'Levas superpuestas'!$B$8/4))/('Levas superpuestas'!$B$8/2)))/Simulador!$B$11))/2,Simulador!$B$9))))*SIN(RADIANS(W90))</f>
        <v/>
      </c>
      <c r="Y90" s="48">
        <f>('Levas superpuestas'!$B$5+IF(OR(((W90-('Levas superpuestas'!$B$14-'Levas superpuestas'!$B$8/4))/('Levas superpuestas'!$B$8/2))&lt;=0,((W90-('Levas superpuestas'!$B$14-'Levas superpuestas'!$B$8/4))/('Levas superpuestas'!$B$8/2))&gt;=1),0,IF(((W90-('Levas superpuestas'!$B$14-'Levas superpuestas'!$B$8/4))/('Levas superpuestas'!$B$8/2))&lt;Simulador!$B$11,Simulador!$B$9*(1-COS(PI()*((W90-('Levas superpuestas'!$B$14-'Levas superpuestas'!$B$8/4))/('Levas superpuestas'!$B$8/2))/Simulador!$B$11))/2,IF(((W90-('Levas superpuestas'!$B$14-'Levas superpuestas'!$B$8/4))/('Levas superpuestas'!$B$8/2))&gt;1-Simulador!$B$11,Simulador!$B$9*(1-COS(PI()*(1-((W90-('Levas superpuestas'!$B$14-'Levas superpuestas'!$B$8/4))/('Levas superpuestas'!$B$8/2)))/Simulador!$B$11))/2,Simulador!$B$9))))*COS(RADIANS(W90))</f>
        <v/>
      </c>
      <c r="Z90" s="48">
        <f>('Levas superpuestas'!$B$5+IF(OR(((W90-('Levas superpuestas'!$B$15-'Levas superpuestas'!$B$9/4))/('Levas superpuestas'!$B$9/2))&lt;=0,((W90-('Levas superpuestas'!$B$15-'Levas superpuestas'!$B$9/4))/('Levas superpuestas'!$B$9/2))&gt;=1),0,IF(((W90-('Levas superpuestas'!$B$15-'Levas superpuestas'!$B$9/4))/('Levas superpuestas'!$B$9/2))&lt;Simulador!$B$11,Simulador!$B$10*(1-COS(PI()*((W90-('Levas superpuestas'!$B$15-'Levas superpuestas'!$B$9/4))/('Levas superpuestas'!$B$9/2))/Simulador!$B$11))/2,IF(((W90-('Levas superpuestas'!$B$15-'Levas superpuestas'!$B$9/4))/('Levas superpuestas'!$B$9/2))&gt;1-Simulador!$B$11,Simulador!$B$10*(1-COS(PI()*(1-((W90-('Levas superpuestas'!$B$15-'Levas superpuestas'!$B$9/4))/('Levas superpuestas'!$B$9/2)))/Simulador!$B$11))/2,Simulador!$B$10))))*SIN(RADIANS(W90))</f>
        <v/>
      </c>
      <c r="AA90" s="48">
        <f>('Levas superpuestas'!$B$5+IF(OR(((W90-('Levas superpuestas'!$B$15-'Levas superpuestas'!$B$9/4))/('Levas superpuestas'!$B$9/2))&lt;=0,((W90-('Levas superpuestas'!$B$15-'Levas superpuestas'!$B$9/4))/('Levas superpuestas'!$B$9/2))&gt;=1),0,IF(((W90-('Levas superpuestas'!$B$15-'Levas superpuestas'!$B$9/4))/('Levas superpuestas'!$B$9/2))&lt;Simulador!$B$11,Simulador!$B$10*(1-COS(PI()*((W90-('Levas superpuestas'!$B$15-'Levas superpuestas'!$B$9/4))/('Levas superpuestas'!$B$9/2))/Simulador!$B$11))/2,IF(((W90-('Levas superpuestas'!$B$15-'Levas superpuestas'!$B$9/4))/('Levas superpuestas'!$B$9/2))&gt;1-Simulador!$B$11,Simulador!$B$10*(1-COS(PI()*(1-((W90-('Levas superpuestas'!$B$15-'Levas superpuestas'!$B$9/4))/('Levas superpuestas'!$B$9/2)))/Simulador!$B$11))/2,Simulador!$B$10))))*COS(RADIANS(W90))</f>
        <v/>
      </c>
      <c r="AB90">
        <f>'Levas superpuestas'!$B$5*SIN(RADIANS(W90))</f>
        <v/>
      </c>
      <c r="AC90">
        <f>'Levas superpuestas'!$B$5*COS(RADIANS(W90))</f>
        <v/>
      </c>
    </row>
    <row r="91">
      <c r="A91" s="26">
        <f>A90+Simulador!$B$14</f>
        <v/>
      </c>
      <c r="B91" s="46">
        <f>IF(OR((($A91-Simulador!$E$5)/Simulador!$G$5)&lt;=0,(($A91-Simulador!$E$5)/Simulador!$G$5)&gt;=1),0,IF((($A91-Simulador!$E$5)/Simulador!$G$5)&lt;Simulador!$B$11,Simulador!$B$9*(1-COS(PI()*(($A91-Simulador!$E$5)/Simulador!$G$5)/Simulador!$B$11))/2,IF((($A91-Simulador!$E$5)/Simulador!$G$5)&gt;1-Simulador!$B$11,Simulador!$B$9*(1-COS(PI()*(1-(($A91-Simulador!$E$5)/Simulador!$G$5))/Simulador!$B$11))/2,Simulador!$B$9)))</f>
        <v/>
      </c>
      <c r="C91" s="46">
        <f>IF(OR((($A91-Simulador!$E$6)/Simulador!$G$6)&lt;=0,(($A91-Simulador!$E$6)/Simulador!$G$6)&gt;=1),0,IF((($A91-Simulador!$E$6)/Simulador!$G$6)&lt;Simulador!$B$11,Simulador!$B$9*(1-COS(PI()*(($A91-Simulador!$E$6)/Simulador!$G$6)/Simulador!$B$11))/2,IF((($A91-Simulador!$E$6)/Simulador!$G$6)&gt;1-Simulador!$B$11,Simulador!$B$9*(1-COS(PI()*(1-(($A91-Simulador!$E$6)/Simulador!$G$6))/Simulador!$B$11))/2,Simulador!$B$9)))</f>
        <v/>
      </c>
      <c r="D91" s="46">
        <f>IF(OR((($A91-Simulador!$E$7)/Simulador!$G$7)&lt;=0,(($A91-Simulador!$E$7)/Simulador!$G$7)&gt;=1),0,IF((($A91-Simulador!$E$7)/Simulador!$G$7)&lt;Simulador!$B$11,Simulador!$B$9*(1-COS(PI()*(($A91-Simulador!$E$7)/Simulador!$G$7)/Simulador!$B$11))/2,IF((($A91-Simulador!$E$7)/Simulador!$G$7)&gt;1-Simulador!$B$11,Simulador!$B$9*(1-COS(PI()*(1-(($A91-Simulador!$E$7)/Simulador!$G$7))/Simulador!$B$11))/2,Simulador!$B$9)))</f>
        <v/>
      </c>
      <c r="E91" s="46">
        <f>IF(OR((($A91-Simulador!$E$8)/Simulador!$G$8)&lt;=0,(($A91-Simulador!$E$8)/Simulador!$G$8)&gt;=1),0,IF((($A91-Simulador!$E$8)/Simulador!$G$8)&lt;Simulador!$B$11,Simulador!$B$10*(1-COS(PI()*(($A91-Simulador!$E$8)/Simulador!$G$8)/Simulador!$B$11))/2,IF((($A91-Simulador!$E$8)/Simulador!$G$8)&gt;1-Simulador!$B$11,Simulador!$B$10*(1-COS(PI()*(1-(($A91-Simulador!$E$8)/Simulador!$G$8))/Simulador!$B$11))/2,Simulador!$B$10)))</f>
        <v/>
      </c>
      <c r="F91" s="46">
        <f>IF(OR((($A91-Simulador!$E$9)/Simulador!$G$9)&lt;=0,(($A91-Simulador!$E$9)/Simulador!$G$9)&gt;=1),0,IF((($A91-Simulador!$E$9)/Simulador!$G$9)&lt;Simulador!$B$11,Simulador!$B$10*(1-COS(PI()*(($A91-Simulador!$E$9)/Simulador!$G$9)/Simulador!$B$11))/2,IF((($A91-Simulador!$E$9)/Simulador!$G$9)&gt;1-Simulador!$B$11,Simulador!$B$10*(1-COS(PI()*(1-(($A91-Simulador!$E$9)/Simulador!$G$9))/Simulador!$B$11))/2,Simulador!$B$10)))</f>
        <v/>
      </c>
      <c r="G91" s="46">
        <f>IF(OR((($A91-Simulador!$E$10)/Simulador!$G$10)&lt;=0,(($A91-Simulador!$E$10)/Simulador!$G$10)&gt;=1),0,IF((($A91-Simulador!$E$10)/Simulador!$G$10)&lt;Simulador!$B$11,Simulador!$B$10*(1-COS(PI()*(($A91-Simulador!$E$10)/Simulador!$G$10)/Simulador!$B$11))/2,IF((($A91-Simulador!$E$10)/Simulador!$G$10)&gt;1-Simulador!$B$11,Simulador!$B$10*(1-COS(PI()*(1-(($A91-Simulador!$E$10)/Simulador!$G$10))/Simulador!$B$11))/2,Simulador!$B$10)))</f>
        <v/>
      </c>
      <c r="Q91" s="48">
        <f>IF(OR((($A91-(Simulador!$E$6+'Salto de dientes'!$B$12))/Simulador!$G$6)&lt;=0,(($A91-(Simulador!$E$6+'Salto de dientes'!$B$12))/Simulador!$G$6)&gt;=1),0,IF((($A91-(Simulador!$E$6+'Salto de dientes'!$B$12))/Simulador!$G$6)&lt;Simulador!$B$11,Simulador!$B$9*(1-COS(PI()*(($A91-(Simulador!$E$6+'Salto de dientes'!$B$12))/Simulador!$G$6)/Simulador!$B$11))/2,IF((($A91-(Simulador!$E$6+'Salto de dientes'!$B$12))/Simulador!$G$6)&gt;1-Simulador!$B$11,Simulador!$B$9*(1-COS(PI()*(1-(($A91-(Simulador!$E$6+'Salto de dientes'!$B$12))/Simulador!$G$6))/Simulador!$B$11))/2,Simulador!$B$9)))</f>
        <v/>
      </c>
      <c r="R91" s="48">
        <f>IF(OR((($A91-(Simulador!$E$9+'Salto de dientes'!$B$12))/Simulador!$G$9)&lt;=0,(($A91-(Simulador!$E$9+'Salto de dientes'!$B$12))/Simulador!$G$9)&gt;=1),0,IF((($A91-(Simulador!$E$9+'Salto de dientes'!$B$12))/Simulador!$G$9)&lt;Simulador!$B$11,Simulador!$B$10*(1-COS(PI()*(($A91-(Simulador!$E$9+'Salto de dientes'!$B$12))/Simulador!$G$9)/Simulador!$B$11))/2,IF((($A91-(Simulador!$E$9+'Salto de dientes'!$B$12))/Simulador!$G$9)&gt;1-Simulador!$B$11,Simulador!$B$10*(1-COS(PI()*(1-(($A91-(Simulador!$E$9+'Salto de dientes'!$B$12))/Simulador!$G$9))/Simulador!$B$11))/2,Simulador!$B$10)))</f>
        <v/>
      </c>
      <c r="W91" t="n">
        <v>87</v>
      </c>
      <c r="X91" s="48">
        <f>('Levas superpuestas'!$B$5+IF(OR(((W91-('Levas superpuestas'!$B$14-'Levas superpuestas'!$B$8/4))/('Levas superpuestas'!$B$8/2))&lt;=0,((W91-('Levas superpuestas'!$B$14-'Levas superpuestas'!$B$8/4))/('Levas superpuestas'!$B$8/2))&gt;=1),0,IF(((W91-('Levas superpuestas'!$B$14-'Levas superpuestas'!$B$8/4))/('Levas superpuestas'!$B$8/2))&lt;Simulador!$B$11,Simulador!$B$9*(1-COS(PI()*((W91-('Levas superpuestas'!$B$14-'Levas superpuestas'!$B$8/4))/('Levas superpuestas'!$B$8/2))/Simulador!$B$11))/2,IF(((W91-('Levas superpuestas'!$B$14-'Levas superpuestas'!$B$8/4))/('Levas superpuestas'!$B$8/2))&gt;1-Simulador!$B$11,Simulador!$B$9*(1-COS(PI()*(1-((W91-('Levas superpuestas'!$B$14-'Levas superpuestas'!$B$8/4))/('Levas superpuestas'!$B$8/2)))/Simulador!$B$11))/2,Simulador!$B$9))))*SIN(RADIANS(W91))</f>
        <v/>
      </c>
      <c r="Y91" s="48">
        <f>('Levas superpuestas'!$B$5+IF(OR(((W91-('Levas superpuestas'!$B$14-'Levas superpuestas'!$B$8/4))/('Levas superpuestas'!$B$8/2))&lt;=0,((W91-('Levas superpuestas'!$B$14-'Levas superpuestas'!$B$8/4))/('Levas superpuestas'!$B$8/2))&gt;=1),0,IF(((W91-('Levas superpuestas'!$B$14-'Levas superpuestas'!$B$8/4))/('Levas superpuestas'!$B$8/2))&lt;Simulador!$B$11,Simulador!$B$9*(1-COS(PI()*((W91-('Levas superpuestas'!$B$14-'Levas superpuestas'!$B$8/4))/('Levas superpuestas'!$B$8/2))/Simulador!$B$11))/2,IF(((W91-('Levas superpuestas'!$B$14-'Levas superpuestas'!$B$8/4))/('Levas superpuestas'!$B$8/2))&gt;1-Simulador!$B$11,Simulador!$B$9*(1-COS(PI()*(1-((W91-('Levas superpuestas'!$B$14-'Levas superpuestas'!$B$8/4))/('Levas superpuestas'!$B$8/2)))/Simulador!$B$11))/2,Simulador!$B$9))))*COS(RADIANS(W91))</f>
        <v/>
      </c>
      <c r="Z91" s="48">
        <f>('Levas superpuestas'!$B$5+IF(OR(((W91-('Levas superpuestas'!$B$15-'Levas superpuestas'!$B$9/4))/('Levas superpuestas'!$B$9/2))&lt;=0,((W91-('Levas superpuestas'!$B$15-'Levas superpuestas'!$B$9/4))/('Levas superpuestas'!$B$9/2))&gt;=1),0,IF(((W91-('Levas superpuestas'!$B$15-'Levas superpuestas'!$B$9/4))/('Levas superpuestas'!$B$9/2))&lt;Simulador!$B$11,Simulador!$B$10*(1-COS(PI()*((W91-('Levas superpuestas'!$B$15-'Levas superpuestas'!$B$9/4))/('Levas superpuestas'!$B$9/2))/Simulador!$B$11))/2,IF(((W91-('Levas superpuestas'!$B$15-'Levas superpuestas'!$B$9/4))/('Levas superpuestas'!$B$9/2))&gt;1-Simulador!$B$11,Simulador!$B$10*(1-COS(PI()*(1-((W91-('Levas superpuestas'!$B$15-'Levas superpuestas'!$B$9/4))/('Levas superpuestas'!$B$9/2)))/Simulador!$B$11))/2,Simulador!$B$10))))*SIN(RADIANS(W91))</f>
        <v/>
      </c>
      <c r="AA91" s="48">
        <f>('Levas superpuestas'!$B$5+IF(OR(((W91-('Levas superpuestas'!$B$15-'Levas superpuestas'!$B$9/4))/('Levas superpuestas'!$B$9/2))&lt;=0,((W91-('Levas superpuestas'!$B$15-'Levas superpuestas'!$B$9/4))/('Levas superpuestas'!$B$9/2))&gt;=1),0,IF(((W91-('Levas superpuestas'!$B$15-'Levas superpuestas'!$B$9/4))/('Levas superpuestas'!$B$9/2))&lt;Simulador!$B$11,Simulador!$B$10*(1-COS(PI()*((W91-('Levas superpuestas'!$B$15-'Levas superpuestas'!$B$9/4))/('Levas superpuestas'!$B$9/2))/Simulador!$B$11))/2,IF(((W91-('Levas superpuestas'!$B$15-'Levas superpuestas'!$B$9/4))/('Levas superpuestas'!$B$9/2))&gt;1-Simulador!$B$11,Simulador!$B$10*(1-COS(PI()*(1-((W91-('Levas superpuestas'!$B$15-'Levas superpuestas'!$B$9/4))/('Levas superpuestas'!$B$9/2)))/Simulador!$B$11))/2,Simulador!$B$10))))*COS(RADIANS(W91))</f>
        <v/>
      </c>
      <c r="AB91">
        <f>'Levas superpuestas'!$B$5*SIN(RADIANS(W91))</f>
        <v/>
      </c>
      <c r="AC91">
        <f>'Levas superpuestas'!$B$5*COS(RADIANS(W91))</f>
        <v/>
      </c>
    </row>
    <row r="92">
      <c r="A92" s="26">
        <f>A91+Simulador!$B$14</f>
        <v/>
      </c>
      <c r="B92" s="46">
        <f>IF(OR((($A92-Simulador!$E$5)/Simulador!$G$5)&lt;=0,(($A92-Simulador!$E$5)/Simulador!$G$5)&gt;=1),0,IF((($A92-Simulador!$E$5)/Simulador!$G$5)&lt;Simulador!$B$11,Simulador!$B$9*(1-COS(PI()*(($A92-Simulador!$E$5)/Simulador!$G$5)/Simulador!$B$11))/2,IF((($A92-Simulador!$E$5)/Simulador!$G$5)&gt;1-Simulador!$B$11,Simulador!$B$9*(1-COS(PI()*(1-(($A92-Simulador!$E$5)/Simulador!$G$5))/Simulador!$B$11))/2,Simulador!$B$9)))</f>
        <v/>
      </c>
      <c r="C92" s="46">
        <f>IF(OR((($A92-Simulador!$E$6)/Simulador!$G$6)&lt;=0,(($A92-Simulador!$E$6)/Simulador!$G$6)&gt;=1),0,IF((($A92-Simulador!$E$6)/Simulador!$G$6)&lt;Simulador!$B$11,Simulador!$B$9*(1-COS(PI()*(($A92-Simulador!$E$6)/Simulador!$G$6)/Simulador!$B$11))/2,IF((($A92-Simulador!$E$6)/Simulador!$G$6)&gt;1-Simulador!$B$11,Simulador!$B$9*(1-COS(PI()*(1-(($A92-Simulador!$E$6)/Simulador!$G$6))/Simulador!$B$11))/2,Simulador!$B$9)))</f>
        <v/>
      </c>
      <c r="D92" s="46">
        <f>IF(OR((($A92-Simulador!$E$7)/Simulador!$G$7)&lt;=0,(($A92-Simulador!$E$7)/Simulador!$G$7)&gt;=1),0,IF((($A92-Simulador!$E$7)/Simulador!$G$7)&lt;Simulador!$B$11,Simulador!$B$9*(1-COS(PI()*(($A92-Simulador!$E$7)/Simulador!$G$7)/Simulador!$B$11))/2,IF((($A92-Simulador!$E$7)/Simulador!$G$7)&gt;1-Simulador!$B$11,Simulador!$B$9*(1-COS(PI()*(1-(($A92-Simulador!$E$7)/Simulador!$G$7))/Simulador!$B$11))/2,Simulador!$B$9)))</f>
        <v/>
      </c>
      <c r="E92" s="46">
        <f>IF(OR((($A92-Simulador!$E$8)/Simulador!$G$8)&lt;=0,(($A92-Simulador!$E$8)/Simulador!$G$8)&gt;=1),0,IF((($A92-Simulador!$E$8)/Simulador!$G$8)&lt;Simulador!$B$11,Simulador!$B$10*(1-COS(PI()*(($A92-Simulador!$E$8)/Simulador!$G$8)/Simulador!$B$11))/2,IF((($A92-Simulador!$E$8)/Simulador!$G$8)&gt;1-Simulador!$B$11,Simulador!$B$10*(1-COS(PI()*(1-(($A92-Simulador!$E$8)/Simulador!$G$8))/Simulador!$B$11))/2,Simulador!$B$10)))</f>
        <v/>
      </c>
      <c r="F92" s="46">
        <f>IF(OR((($A92-Simulador!$E$9)/Simulador!$G$9)&lt;=0,(($A92-Simulador!$E$9)/Simulador!$G$9)&gt;=1),0,IF((($A92-Simulador!$E$9)/Simulador!$G$9)&lt;Simulador!$B$11,Simulador!$B$10*(1-COS(PI()*(($A92-Simulador!$E$9)/Simulador!$G$9)/Simulador!$B$11))/2,IF((($A92-Simulador!$E$9)/Simulador!$G$9)&gt;1-Simulador!$B$11,Simulador!$B$10*(1-COS(PI()*(1-(($A92-Simulador!$E$9)/Simulador!$G$9))/Simulador!$B$11))/2,Simulador!$B$10)))</f>
        <v/>
      </c>
      <c r="G92" s="46">
        <f>IF(OR((($A92-Simulador!$E$10)/Simulador!$G$10)&lt;=0,(($A92-Simulador!$E$10)/Simulador!$G$10)&gt;=1),0,IF((($A92-Simulador!$E$10)/Simulador!$G$10)&lt;Simulador!$B$11,Simulador!$B$10*(1-COS(PI()*(($A92-Simulador!$E$10)/Simulador!$G$10)/Simulador!$B$11))/2,IF((($A92-Simulador!$E$10)/Simulador!$G$10)&gt;1-Simulador!$B$11,Simulador!$B$10*(1-COS(PI()*(1-(($A92-Simulador!$E$10)/Simulador!$G$10))/Simulador!$B$11))/2,Simulador!$B$10)))</f>
        <v/>
      </c>
      <c r="Q92" s="48">
        <f>IF(OR((($A92-(Simulador!$E$6+'Salto de dientes'!$B$12))/Simulador!$G$6)&lt;=0,(($A92-(Simulador!$E$6+'Salto de dientes'!$B$12))/Simulador!$G$6)&gt;=1),0,IF((($A92-(Simulador!$E$6+'Salto de dientes'!$B$12))/Simulador!$G$6)&lt;Simulador!$B$11,Simulador!$B$9*(1-COS(PI()*(($A92-(Simulador!$E$6+'Salto de dientes'!$B$12))/Simulador!$G$6)/Simulador!$B$11))/2,IF((($A92-(Simulador!$E$6+'Salto de dientes'!$B$12))/Simulador!$G$6)&gt;1-Simulador!$B$11,Simulador!$B$9*(1-COS(PI()*(1-(($A92-(Simulador!$E$6+'Salto de dientes'!$B$12))/Simulador!$G$6))/Simulador!$B$11))/2,Simulador!$B$9)))</f>
        <v/>
      </c>
      <c r="R92" s="48">
        <f>IF(OR((($A92-(Simulador!$E$9+'Salto de dientes'!$B$12))/Simulador!$G$9)&lt;=0,(($A92-(Simulador!$E$9+'Salto de dientes'!$B$12))/Simulador!$G$9)&gt;=1),0,IF((($A92-(Simulador!$E$9+'Salto de dientes'!$B$12))/Simulador!$G$9)&lt;Simulador!$B$11,Simulador!$B$10*(1-COS(PI()*(($A92-(Simulador!$E$9+'Salto de dientes'!$B$12))/Simulador!$G$9)/Simulador!$B$11))/2,IF((($A92-(Simulador!$E$9+'Salto de dientes'!$B$12))/Simulador!$G$9)&gt;1-Simulador!$B$11,Simulador!$B$10*(1-COS(PI()*(1-(($A92-(Simulador!$E$9+'Salto de dientes'!$B$12))/Simulador!$G$9))/Simulador!$B$11))/2,Simulador!$B$10)))</f>
        <v/>
      </c>
      <c r="W92" t="n">
        <v>90</v>
      </c>
      <c r="X92" s="48">
        <f>('Levas superpuestas'!$B$5+IF(OR(((W92-('Levas superpuestas'!$B$14-'Levas superpuestas'!$B$8/4))/('Levas superpuestas'!$B$8/2))&lt;=0,((W92-('Levas superpuestas'!$B$14-'Levas superpuestas'!$B$8/4))/('Levas superpuestas'!$B$8/2))&gt;=1),0,IF(((W92-('Levas superpuestas'!$B$14-'Levas superpuestas'!$B$8/4))/('Levas superpuestas'!$B$8/2))&lt;Simulador!$B$11,Simulador!$B$9*(1-COS(PI()*((W92-('Levas superpuestas'!$B$14-'Levas superpuestas'!$B$8/4))/('Levas superpuestas'!$B$8/2))/Simulador!$B$11))/2,IF(((W92-('Levas superpuestas'!$B$14-'Levas superpuestas'!$B$8/4))/('Levas superpuestas'!$B$8/2))&gt;1-Simulador!$B$11,Simulador!$B$9*(1-COS(PI()*(1-((W92-('Levas superpuestas'!$B$14-'Levas superpuestas'!$B$8/4))/('Levas superpuestas'!$B$8/2)))/Simulador!$B$11))/2,Simulador!$B$9))))*SIN(RADIANS(W92))</f>
        <v/>
      </c>
      <c r="Y92" s="48">
        <f>('Levas superpuestas'!$B$5+IF(OR(((W92-('Levas superpuestas'!$B$14-'Levas superpuestas'!$B$8/4))/('Levas superpuestas'!$B$8/2))&lt;=0,((W92-('Levas superpuestas'!$B$14-'Levas superpuestas'!$B$8/4))/('Levas superpuestas'!$B$8/2))&gt;=1),0,IF(((W92-('Levas superpuestas'!$B$14-'Levas superpuestas'!$B$8/4))/('Levas superpuestas'!$B$8/2))&lt;Simulador!$B$11,Simulador!$B$9*(1-COS(PI()*((W92-('Levas superpuestas'!$B$14-'Levas superpuestas'!$B$8/4))/('Levas superpuestas'!$B$8/2))/Simulador!$B$11))/2,IF(((W92-('Levas superpuestas'!$B$14-'Levas superpuestas'!$B$8/4))/('Levas superpuestas'!$B$8/2))&gt;1-Simulador!$B$11,Simulador!$B$9*(1-COS(PI()*(1-((W92-('Levas superpuestas'!$B$14-'Levas superpuestas'!$B$8/4))/('Levas superpuestas'!$B$8/2)))/Simulador!$B$11))/2,Simulador!$B$9))))*COS(RADIANS(W92))</f>
        <v/>
      </c>
      <c r="Z92" s="48">
        <f>('Levas superpuestas'!$B$5+IF(OR(((W92-('Levas superpuestas'!$B$15-'Levas superpuestas'!$B$9/4))/('Levas superpuestas'!$B$9/2))&lt;=0,((W92-('Levas superpuestas'!$B$15-'Levas superpuestas'!$B$9/4))/('Levas superpuestas'!$B$9/2))&gt;=1),0,IF(((W92-('Levas superpuestas'!$B$15-'Levas superpuestas'!$B$9/4))/('Levas superpuestas'!$B$9/2))&lt;Simulador!$B$11,Simulador!$B$10*(1-COS(PI()*((W92-('Levas superpuestas'!$B$15-'Levas superpuestas'!$B$9/4))/('Levas superpuestas'!$B$9/2))/Simulador!$B$11))/2,IF(((W92-('Levas superpuestas'!$B$15-'Levas superpuestas'!$B$9/4))/('Levas superpuestas'!$B$9/2))&gt;1-Simulador!$B$11,Simulador!$B$10*(1-COS(PI()*(1-((W92-('Levas superpuestas'!$B$15-'Levas superpuestas'!$B$9/4))/('Levas superpuestas'!$B$9/2)))/Simulador!$B$11))/2,Simulador!$B$10))))*SIN(RADIANS(W92))</f>
        <v/>
      </c>
      <c r="AA92" s="48">
        <f>('Levas superpuestas'!$B$5+IF(OR(((W92-('Levas superpuestas'!$B$15-'Levas superpuestas'!$B$9/4))/('Levas superpuestas'!$B$9/2))&lt;=0,((W92-('Levas superpuestas'!$B$15-'Levas superpuestas'!$B$9/4))/('Levas superpuestas'!$B$9/2))&gt;=1),0,IF(((W92-('Levas superpuestas'!$B$15-'Levas superpuestas'!$B$9/4))/('Levas superpuestas'!$B$9/2))&lt;Simulador!$B$11,Simulador!$B$10*(1-COS(PI()*((W92-('Levas superpuestas'!$B$15-'Levas superpuestas'!$B$9/4))/('Levas superpuestas'!$B$9/2))/Simulador!$B$11))/2,IF(((W92-('Levas superpuestas'!$B$15-'Levas superpuestas'!$B$9/4))/('Levas superpuestas'!$B$9/2))&gt;1-Simulador!$B$11,Simulador!$B$10*(1-COS(PI()*(1-((W92-('Levas superpuestas'!$B$15-'Levas superpuestas'!$B$9/4))/('Levas superpuestas'!$B$9/2)))/Simulador!$B$11))/2,Simulador!$B$10))))*COS(RADIANS(W92))</f>
        <v/>
      </c>
      <c r="AB92">
        <f>'Levas superpuestas'!$B$5*SIN(RADIANS(W92))</f>
        <v/>
      </c>
      <c r="AC92">
        <f>'Levas superpuestas'!$B$5*COS(RADIANS(W92))</f>
        <v/>
      </c>
    </row>
    <row r="93">
      <c r="A93" s="26">
        <f>A92+Simulador!$B$14</f>
        <v/>
      </c>
      <c r="B93" s="46">
        <f>IF(OR((($A93-Simulador!$E$5)/Simulador!$G$5)&lt;=0,(($A93-Simulador!$E$5)/Simulador!$G$5)&gt;=1),0,IF((($A93-Simulador!$E$5)/Simulador!$G$5)&lt;Simulador!$B$11,Simulador!$B$9*(1-COS(PI()*(($A93-Simulador!$E$5)/Simulador!$G$5)/Simulador!$B$11))/2,IF((($A93-Simulador!$E$5)/Simulador!$G$5)&gt;1-Simulador!$B$11,Simulador!$B$9*(1-COS(PI()*(1-(($A93-Simulador!$E$5)/Simulador!$G$5))/Simulador!$B$11))/2,Simulador!$B$9)))</f>
        <v/>
      </c>
      <c r="C93" s="46">
        <f>IF(OR((($A93-Simulador!$E$6)/Simulador!$G$6)&lt;=0,(($A93-Simulador!$E$6)/Simulador!$G$6)&gt;=1),0,IF((($A93-Simulador!$E$6)/Simulador!$G$6)&lt;Simulador!$B$11,Simulador!$B$9*(1-COS(PI()*(($A93-Simulador!$E$6)/Simulador!$G$6)/Simulador!$B$11))/2,IF((($A93-Simulador!$E$6)/Simulador!$G$6)&gt;1-Simulador!$B$11,Simulador!$B$9*(1-COS(PI()*(1-(($A93-Simulador!$E$6)/Simulador!$G$6))/Simulador!$B$11))/2,Simulador!$B$9)))</f>
        <v/>
      </c>
      <c r="D93" s="46">
        <f>IF(OR((($A93-Simulador!$E$7)/Simulador!$G$7)&lt;=0,(($A93-Simulador!$E$7)/Simulador!$G$7)&gt;=1),0,IF((($A93-Simulador!$E$7)/Simulador!$G$7)&lt;Simulador!$B$11,Simulador!$B$9*(1-COS(PI()*(($A93-Simulador!$E$7)/Simulador!$G$7)/Simulador!$B$11))/2,IF((($A93-Simulador!$E$7)/Simulador!$G$7)&gt;1-Simulador!$B$11,Simulador!$B$9*(1-COS(PI()*(1-(($A93-Simulador!$E$7)/Simulador!$G$7))/Simulador!$B$11))/2,Simulador!$B$9)))</f>
        <v/>
      </c>
      <c r="E93" s="46">
        <f>IF(OR((($A93-Simulador!$E$8)/Simulador!$G$8)&lt;=0,(($A93-Simulador!$E$8)/Simulador!$G$8)&gt;=1),0,IF((($A93-Simulador!$E$8)/Simulador!$G$8)&lt;Simulador!$B$11,Simulador!$B$10*(1-COS(PI()*(($A93-Simulador!$E$8)/Simulador!$G$8)/Simulador!$B$11))/2,IF((($A93-Simulador!$E$8)/Simulador!$G$8)&gt;1-Simulador!$B$11,Simulador!$B$10*(1-COS(PI()*(1-(($A93-Simulador!$E$8)/Simulador!$G$8))/Simulador!$B$11))/2,Simulador!$B$10)))</f>
        <v/>
      </c>
      <c r="F93" s="46">
        <f>IF(OR((($A93-Simulador!$E$9)/Simulador!$G$9)&lt;=0,(($A93-Simulador!$E$9)/Simulador!$G$9)&gt;=1),0,IF((($A93-Simulador!$E$9)/Simulador!$G$9)&lt;Simulador!$B$11,Simulador!$B$10*(1-COS(PI()*(($A93-Simulador!$E$9)/Simulador!$G$9)/Simulador!$B$11))/2,IF((($A93-Simulador!$E$9)/Simulador!$G$9)&gt;1-Simulador!$B$11,Simulador!$B$10*(1-COS(PI()*(1-(($A93-Simulador!$E$9)/Simulador!$G$9))/Simulador!$B$11))/2,Simulador!$B$10)))</f>
        <v/>
      </c>
      <c r="G93" s="46">
        <f>IF(OR((($A93-Simulador!$E$10)/Simulador!$G$10)&lt;=0,(($A93-Simulador!$E$10)/Simulador!$G$10)&gt;=1),0,IF((($A93-Simulador!$E$10)/Simulador!$G$10)&lt;Simulador!$B$11,Simulador!$B$10*(1-COS(PI()*(($A93-Simulador!$E$10)/Simulador!$G$10)/Simulador!$B$11))/2,IF((($A93-Simulador!$E$10)/Simulador!$G$10)&gt;1-Simulador!$B$11,Simulador!$B$10*(1-COS(PI()*(1-(($A93-Simulador!$E$10)/Simulador!$G$10))/Simulador!$B$11))/2,Simulador!$B$10)))</f>
        <v/>
      </c>
      <c r="Q93" s="48">
        <f>IF(OR((($A93-(Simulador!$E$6+'Salto de dientes'!$B$12))/Simulador!$G$6)&lt;=0,(($A93-(Simulador!$E$6+'Salto de dientes'!$B$12))/Simulador!$G$6)&gt;=1),0,IF((($A93-(Simulador!$E$6+'Salto de dientes'!$B$12))/Simulador!$G$6)&lt;Simulador!$B$11,Simulador!$B$9*(1-COS(PI()*(($A93-(Simulador!$E$6+'Salto de dientes'!$B$12))/Simulador!$G$6)/Simulador!$B$11))/2,IF((($A93-(Simulador!$E$6+'Salto de dientes'!$B$12))/Simulador!$G$6)&gt;1-Simulador!$B$11,Simulador!$B$9*(1-COS(PI()*(1-(($A93-(Simulador!$E$6+'Salto de dientes'!$B$12))/Simulador!$G$6))/Simulador!$B$11))/2,Simulador!$B$9)))</f>
        <v/>
      </c>
      <c r="R93" s="48">
        <f>IF(OR((($A93-(Simulador!$E$9+'Salto de dientes'!$B$12))/Simulador!$G$9)&lt;=0,(($A93-(Simulador!$E$9+'Salto de dientes'!$B$12))/Simulador!$G$9)&gt;=1),0,IF((($A93-(Simulador!$E$9+'Salto de dientes'!$B$12))/Simulador!$G$9)&lt;Simulador!$B$11,Simulador!$B$10*(1-COS(PI()*(($A93-(Simulador!$E$9+'Salto de dientes'!$B$12))/Simulador!$G$9)/Simulador!$B$11))/2,IF((($A93-(Simulador!$E$9+'Salto de dientes'!$B$12))/Simulador!$G$9)&gt;1-Simulador!$B$11,Simulador!$B$10*(1-COS(PI()*(1-(($A93-(Simulador!$E$9+'Salto de dientes'!$B$12))/Simulador!$G$9))/Simulador!$B$11))/2,Simulador!$B$10)))</f>
        <v/>
      </c>
      <c r="W93" t="n">
        <v>93</v>
      </c>
      <c r="X93" s="48">
        <f>('Levas superpuestas'!$B$5+IF(OR(((W93-('Levas superpuestas'!$B$14-'Levas superpuestas'!$B$8/4))/('Levas superpuestas'!$B$8/2))&lt;=0,((W93-('Levas superpuestas'!$B$14-'Levas superpuestas'!$B$8/4))/('Levas superpuestas'!$B$8/2))&gt;=1),0,IF(((W93-('Levas superpuestas'!$B$14-'Levas superpuestas'!$B$8/4))/('Levas superpuestas'!$B$8/2))&lt;Simulador!$B$11,Simulador!$B$9*(1-COS(PI()*((W93-('Levas superpuestas'!$B$14-'Levas superpuestas'!$B$8/4))/('Levas superpuestas'!$B$8/2))/Simulador!$B$11))/2,IF(((W93-('Levas superpuestas'!$B$14-'Levas superpuestas'!$B$8/4))/('Levas superpuestas'!$B$8/2))&gt;1-Simulador!$B$11,Simulador!$B$9*(1-COS(PI()*(1-((W93-('Levas superpuestas'!$B$14-'Levas superpuestas'!$B$8/4))/('Levas superpuestas'!$B$8/2)))/Simulador!$B$11))/2,Simulador!$B$9))))*SIN(RADIANS(W93))</f>
        <v/>
      </c>
      <c r="Y93" s="48">
        <f>('Levas superpuestas'!$B$5+IF(OR(((W93-('Levas superpuestas'!$B$14-'Levas superpuestas'!$B$8/4))/('Levas superpuestas'!$B$8/2))&lt;=0,((W93-('Levas superpuestas'!$B$14-'Levas superpuestas'!$B$8/4))/('Levas superpuestas'!$B$8/2))&gt;=1),0,IF(((W93-('Levas superpuestas'!$B$14-'Levas superpuestas'!$B$8/4))/('Levas superpuestas'!$B$8/2))&lt;Simulador!$B$11,Simulador!$B$9*(1-COS(PI()*((W93-('Levas superpuestas'!$B$14-'Levas superpuestas'!$B$8/4))/('Levas superpuestas'!$B$8/2))/Simulador!$B$11))/2,IF(((W93-('Levas superpuestas'!$B$14-'Levas superpuestas'!$B$8/4))/('Levas superpuestas'!$B$8/2))&gt;1-Simulador!$B$11,Simulador!$B$9*(1-COS(PI()*(1-((W93-('Levas superpuestas'!$B$14-'Levas superpuestas'!$B$8/4))/('Levas superpuestas'!$B$8/2)))/Simulador!$B$11))/2,Simulador!$B$9))))*COS(RADIANS(W93))</f>
        <v/>
      </c>
      <c r="Z93" s="48">
        <f>('Levas superpuestas'!$B$5+IF(OR(((W93-('Levas superpuestas'!$B$15-'Levas superpuestas'!$B$9/4))/('Levas superpuestas'!$B$9/2))&lt;=0,((W93-('Levas superpuestas'!$B$15-'Levas superpuestas'!$B$9/4))/('Levas superpuestas'!$B$9/2))&gt;=1),0,IF(((W93-('Levas superpuestas'!$B$15-'Levas superpuestas'!$B$9/4))/('Levas superpuestas'!$B$9/2))&lt;Simulador!$B$11,Simulador!$B$10*(1-COS(PI()*((W93-('Levas superpuestas'!$B$15-'Levas superpuestas'!$B$9/4))/('Levas superpuestas'!$B$9/2))/Simulador!$B$11))/2,IF(((W93-('Levas superpuestas'!$B$15-'Levas superpuestas'!$B$9/4))/('Levas superpuestas'!$B$9/2))&gt;1-Simulador!$B$11,Simulador!$B$10*(1-COS(PI()*(1-((W93-('Levas superpuestas'!$B$15-'Levas superpuestas'!$B$9/4))/('Levas superpuestas'!$B$9/2)))/Simulador!$B$11))/2,Simulador!$B$10))))*SIN(RADIANS(W93))</f>
        <v/>
      </c>
      <c r="AA93" s="48">
        <f>('Levas superpuestas'!$B$5+IF(OR(((W93-('Levas superpuestas'!$B$15-'Levas superpuestas'!$B$9/4))/('Levas superpuestas'!$B$9/2))&lt;=0,((W93-('Levas superpuestas'!$B$15-'Levas superpuestas'!$B$9/4))/('Levas superpuestas'!$B$9/2))&gt;=1),0,IF(((W93-('Levas superpuestas'!$B$15-'Levas superpuestas'!$B$9/4))/('Levas superpuestas'!$B$9/2))&lt;Simulador!$B$11,Simulador!$B$10*(1-COS(PI()*((W93-('Levas superpuestas'!$B$15-'Levas superpuestas'!$B$9/4))/('Levas superpuestas'!$B$9/2))/Simulador!$B$11))/2,IF(((W93-('Levas superpuestas'!$B$15-'Levas superpuestas'!$B$9/4))/('Levas superpuestas'!$B$9/2))&gt;1-Simulador!$B$11,Simulador!$B$10*(1-COS(PI()*(1-((W93-('Levas superpuestas'!$B$15-'Levas superpuestas'!$B$9/4))/('Levas superpuestas'!$B$9/2)))/Simulador!$B$11))/2,Simulador!$B$10))))*COS(RADIANS(W93))</f>
        <v/>
      </c>
      <c r="AB93">
        <f>'Levas superpuestas'!$B$5*SIN(RADIANS(W93))</f>
        <v/>
      </c>
      <c r="AC93">
        <f>'Levas superpuestas'!$B$5*COS(RADIANS(W93))</f>
        <v/>
      </c>
    </row>
    <row r="94">
      <c r="A94" s="26">
        <f>A93+Simulador!$B$14</f>
        <v/>
      </c>
      <c r="B94" s="46">
        <f>IF(OR((($A94-Simulador!$E$5)/Simulador!$G$5)&lt;=0,(($A94-Simulador!$E$5)/Simulador!$G$5)&gt;=1),0,IF((($A94-Simulador!$E$5)/Simulador!$G$5)&lt;Simulador!$B$11,Simulador!$B$9*(1-COS(PI()*(($A94-Simulador!$E$5)/Simulador!$G$5)/Simulador!$B$11))/2,IF((($A94-Simulador!$E$5)/Simulador!$G$5)&gt;1-Simulador!$B$11,Simulador!$B$9*(1-COS(PI()*(1-(($A94-Simulador!$E$5)/Simulador!$G$5))/Simulador!$B$11))/2,Simulador!$B$9)))</f>
        <v/>
      </c>
      <c r="C94" s="46">
        <f>IF(OR((($A94-Simulador!$E$6)/Simulador!$G$6)&lt;=0,(($A94-Simulador!$E$6)/Simulador!$G$6)&gt;=1),0,IF((($A94-Simulador!$E$6)/Simulador!$G$6)&lt;Simulador!$B$11,Simulador!$B$9*(1-COS(PI()*(($A94-Simulador!$E$6)/Simulador!$G$6)/Simulador!$B$11))/2,IF((($A94-Simulador!$E$6)/Simulador!$G$6)&gt;1-Simulador!$B$11,Simulador!$B$9*(1-COS(PI()*(1-(($A94-Simulador!$E$6)/Simulador!$G$6))/Simulador!$B$11))/2,Simulador!$B$9)))</f>
        <v/>
      </c>
      <c r="D94" s="46">
        <f>IF(OR((($A94-Simulador!$E$7)/Simulador!$G$7)&lt;=0,(($A94-Simulador!$E$7)/Simulador!$G$7)&gt;=1),0,IF((($A94-Simulador!$E$7)/Simulador!$G$7)&lt;Simulador!$B$11,Simulador!$B$9*(1-COS(PI()*(($A94-Simulador!$E$7)/Simulador!$G$7)/Simulador!$B$11))/2,IF((($A94-Simulador!$E$7)/Simulador!$G$7)&gt;1-Simulador!$B$11,Simulador!$B$9*(1-COS(PI()*(1-(($A94-Simulador!$E$7)/Simulador!$G$7))/Simulador!$B$11))/2,Simulador!$B$9)))</f>
        <v/>
      </c>
      <c r="E94" s="46">
        <f>IF(OR((($A94-Simulador!$E$8)/Simulador!$G$8)&lt;=0,(($A94-Simulador!$E$8)/Simulador!$G$8)&gt;=1),0,IF((($A94-Simulador!$E$8)/Simulador!$G$8)&lt;Simulador!$B$11,Simulador!$B$10*(1-COS(PI()*(($A94-Simulador!$E$8)/Simulador!$G$8)/Simulador!$B$11))/2,IF((($A94-Simulador!$E$8)/Simulador!$G$8)&gt;1-Simulador!$B$11,Simulador!$B$10*(1-COS(PI()*(1-(($A94-Simulador!$E$8)/Simulador!$G$8))/Simulador!$B$11))/2,Simulador!$B$10)))</f>
        <v/>
      </c>
      <c r="F94" s="46">
        <f>IF(OR((($A94-Simulador!$E$9)/Simulador!$G$9)&lt;=0,(($A94-Simulador!$E$9)/Simulador!$G$9)&gt;=1),0,IF((($A94-Simulador!$E$9)/Simulador!$G$9)&lt;Simulador!$B$11,Simulador!$B$10*(1-COS(PI()*(($A94-Simulador!$E$9)/Simulador!$G$9)/Simulador!$B$11))/2,IF((($A94-Simulador!$E$9)/Simulador!$G$9)&gt;1-Simulador!$B$11,Simulador!$B$10*(1-COS(PI()*(1-(($A94-Simulador!$E$9)/Simulador!$G$9))/Simulador!$B$11))/2,Simulador!$B$10)))</f>
        <v/>
      </c>
      <c r="G94" s="46">
        <f>IF(OR((($A94-Simulador!$E$10)/Simulador!$G$10)&lt;=0,(($A94-Simulador!$E$10)/Simulador!$G$10)&gt;=1),0,IF((($A94-Simulador!$E$10)/Simulador!$G$10)&lt;Simulador!$B$11,Simulador!$B$10*(1-COS(PI()*(($A94-Simulador!$E$10)/Simulador!$G$10)/Simulador!$B$11))/2,IF((($A94-Simulador!$E$10)/Simulador!$G$10)&gt;1-Simulador!$B$11,Simulador!$B$10*(1-COS(PI()*(1-(($A94-Simulador!$E$10)/Simulador!$G$10))/Simulador!$B$11))/2,Simulador!$B$10)))</f>
        <v/>
      </c>
      <c r="Q94" s="48">
        <f>IF(OR((($A94-(Simulador!$E$6+'Salto de dientes'!$B$12))/Simulador!$G$6)&lt;=0,(($A94-(Simulador!$E$6+'Salto de dientes'!$B$12))/Simulador!$G$6)&gt;=1),0,IF((($A94-(Simulador!$E$6+'Salto de dientes'!$B$12))/Simulador!$G$6)&lt;Simulador!$B$11,Simulador!$B$9*(1-COS(PI()*(($A94-(Simulador!$E$6+'Salto de dientes'!$B$12))/Simulador!$G$6)/Simulador!$B$11))/2,IF((($A94-(Simulador!$E$6+'Salto de dientes'!$B$12))/Simulador!$G$6)&gt;1-Simulador!$B$11,Simulador!$B$9*(1-COS(PI()*(1-(($A94-(Simulador!$E$6+'Salto de dientes'!$B$12))/Simulador!$G$6))/Simulador!$B$11))/2,Simulador!$B$9)))</f>
        <v/>
      </c>
      <c r="R94" s="48">
        <f>IF(OR((($A94-(Simulador!$E$9+'Salto de dientes'!$B$12))/Simulador!$G$9)&lt;=0,(($A94-(Simulador!$E$9+'Salto de dientes'!$B$12))/Simulador!$G$9)&gt;=1),0,IF((($A94-(Simulador!$E$9+'Salto de dientes'!$B$12))/Simulador!$G$9)&lt;Simulador!$B$11,Simulador!$B$10*(1-COS(PI()*(($A94-(Simulador!$E$9+'Salto de dientes'!$B$12))/Simulador!$G$9)/Simulador!$B$11))/2,IF((($A94-(Simulador!$E$9+'Salto de dientes'!$B$12))/Simulador!$G$9)&gt;1-Simulador!$B$11,Simulador!$B$10*(1-COS(PI()*(1-(($A94-(Simulador!$E$9+'Salto de dientes'!$B$12))/Simulador!$G$9))/Simulador!$B$11))/2,Simulador!$B$10)))</f>
        <v/>
      </c>
      <c r="W94" t="n">
        <v>96</v>
      </c>
      <c r="X94" s="48">
        <f>('Levas superpuestas'!$B$5+IF(OR(((W94-('Levas superpuestas'!$B$14-'Levas superpuestas'!$B$8/4))/('Levas superpuestas'!$B$8/2))&lt;=0,((W94-('Levas superpuestas'!$B$14-'Levas superpuestas'!$B$8/4))/('Levas superpuestas'!$B$8/2))&gt;=1),0,IF(((W94-('Levas superpuestas'!$B$14-'Levas superpuestas'!$B$8/4))/('Levas superpuestas'!$B$8/2))&lt;Simulador!$B$11,Simulador!$B$9*(1-COS(PI()*((W94-('Levas superpuestas'!$B$14-'Levas superpuestas'!$B$8/4))/('Levas superpuestas'!$B$8/2))/Simulador!$B$11))/2,IF(((W94-('Levas superpuestas'!$B$14-'Levas superpuestas'!$B$8/4))/('Levas superpuestas'!$B$8/2))&gt;1-Simulador!$B$11,Simulador!$B$9*(1-COS(PI()*(1-((W94-('Levas superpuestas'!$B$14-'Levas superpuestas'!$B$8/4))/('Levas superpuestas'!$B$8/2)))/Simulador!$B$11))/2,Simulador!$B$9))))*SIN(RADIANS(W94))</f>
        <v/>
      </c>
      <c r="Y94" s="48">
        <f>('Levas superpuestas'!$B$5+IF(OR(((W94-('Levas superpuestas'!$B$14-'Levas superpuestas'!$B$8/4))/('Levas superpuestas'!$B$8/2))&lt;=0,((W94-('Levas superpuestas'!$B$14-'Levas superpuestas'!$B$8/4))/('Levas superpuestas'!$B$8/2))&gt;=1),0,IF(((W94-('Levas superpuestas'!$B$14-'Levas superpuestas'!$B$8/4))/('Levas superpuestas'!$B$8/2))&lt;Simulador!$B$11,Simulador!$B$9*(1-COS(PI()*((W94-('Levas superpuestas'!$B$14-'Levas superpuestas'!$B$8/4))/('Levas superpuestas'!$B$8/2))/Simulador!$B$11))/2,IF(((W94-('Levas superpuestas'!$B$14-'Levas superpuestas'!$B$8/4))/('Levas superpuestas'!$B$8/2))&gt;1-Simulador!$B$11,Simulador!$B$9*(1-COS(PI()*(1-((W94-('Levas superpuestas'!$B$14-'Levas superpuestas'!$B$8/4))/('Levas superpuestas'!$B$8/2)))/Simulador!$B$11))/2,Simulador!$B$9))))*COS(RADIANS(W94))</f>
        <v/>
      </c>
      <c r="Z94" s="48">
        <f>('Levas superpuestas'!$B$5+IF(OR(((W94-('Levas superpuestas'!$B$15-'Levas superpuestas'!$B$9/4))/('Levas superpuestas'!$B$9/2))&lt;=0,((W94-('Levas superpuestas'!$B$15-'Levas superpuestas'!$B$9/4))/('Levas superpuestas'!$B$9/2))&gt;=1),0,IF(((W94-('Levas superpuestas'!$B$15-'Levas superpuestas'!$B$9/4))/('Levas superpuestas'!$B$9/2))&lt;Simulador!$B$11,Simulador!$B$10*(1-COS(PI()*((W94-('Levas superpuestas'!$B$15-'Levas superpuestas'!$B$9/4))/('Levas superpuestas'!$B$9/2))/Simulador!$B$11))/2,IF(((W94-('Levas superpuestas'!$B$15-'Levas superpuestas'!$B$9/4))/('Levas superpuestas'!$B$9/2))&gt;1-Simulador!$B$11,Simulador!$B$10*(1-COS(PI()*(1-((W94-('Levas superpuestas'!$B$15-'Levas superpuestas'!$B$9/4))/('Levas superpuestas'!$B$9/2)))/Simulador!$B$11))/2,Simulador!$B$10))))*SIN(RADIANS(W94))</f>
        <v/>
      </c>
      <c r="AA94" s="48">
        <f>('Levas superpuestas'!$B$5+IF(OR(((W94-('Levas superpuestas'!$B$15-'Levas superpuestas'!$B$9/4))/('Levas superpuestas'!$B$9/2))&lt;=0,((W94-('Levas superpuestas'!$B$15-'Levas superpuestas'!$B$9/4))/('Levas superpuestas'!$B$9/2))&gt;=1),0,IF(((W94-('Levas superpuestas'!$B$15-'Levas superpuestas'!$B$9/4))/('Levas superpuestas'!$B$9/2))&lt;Simulador!$B$11,Simulador!$B$10*(1-COS(PI()*((W94-('Levas superpuestas'!$B$15-'Levas superpuestas'!$B$9/4))/('Levas superpuestas'!$B$9/2))/Simulador!$B$11))/2,IF(((W94-('Levas superpuestas'!$B$15-'Levas superpuestas'!$B$9/4))/('Levas superpuestas'!$B$9/2))&gt;1-Simulador!$B$11,Simulador!$B$10*(1-COS(PI()*(1-((W94-('Levas superpuestas'!$B$15-'Levas superpuestas'!$B$9/4))/('Levas superpuestas'!$B$9/2)))/Simulador!$B$11))/2,Simulador!$B$10))))*COS(RADIANS(W94))</f>
        <v/>
      </c>
      <c r="AB94">
        <f>'Levas superpuestas'!$B$5*SIN(RADIANS(W94))</f>
        <v/>
      </c>
      <c r="AC94">
        <f>'Levas superpuestas'!$B$5*COS(RADIANS(W94))</f>
        <v/>
      </c>
    </row>
    <row r="95">
      <c r="A95" s="26">
        <f>A94+Simulador!$B$14</f>
        <v/>
      </c>
      <c r="B95" s="46">
        <f>IF(OR((($A95-Simulador!$E$5)/Simulador!$G$5)&lt;=0,(($A95-Simulador!$E$5)/Simulador!$G$5)&gt;=1),0,IF((($A95-Simulador!$E$5)/Simulador!$G$5)&lt;Simulador!$B$11,Simulador!$B$9*(1-COS(PI()*(($A95-Simulador!$E$5)/Simulador!$G$5)/Simulador!$B$11))/2,IF((($A95-Simulador!$E$5)/Simulador!$G$5)&gt;1-Simulador!$B$11,Simulador!$B$9*(1-COS(PI()*(1-(($A95-Simulador!$E$5)/Simulador!$G$5))/Simulador!$B$11))/2,Simulador!$B$9)))</f>
        <v/>
      </c>
      <c r="C95" s="46">
        <f>IF(OR((($A95-Simulador!$E$6)/Simulador!$G$6)&lt;=0,(($A95-Simulador!$E$6)/Simulador!$G$6)&gt;=1),0,IF((($A95-Simulador!$E$6)/Simulador!$G$6)&lt;Simulador!$B$11,Simulador!$B$9*(1-COS(PI()*(($A95-Simulador!$E$6)/Simulador!$G$6)/Simulador!$B$11))/2,IF((($A95-Simulador!$E$6)/Simulador!$G$6)&gt;1-Simulador!$B$11,Simulador!$B$9*(1-COS(PI()*(1-(($A95-Simulador!$E$6)/Simulador!$G$6))/Simulador!$B$11))/2,Simulador!$B$9)))</f>
        <v/>
      </c>
      <c r="D95" s="46">
        <f>IF(OR((($A95-Simulador!$E$7)/Simulador!$G$7)&lt;=0,(($A95-Simulador!$E$7)/Simulador!$G$7)&gt;=1),0,IF((($A95-Simulador!$E$7)/Simulador!$G$7)&lt;Simulador!$B$11,Simulador!$B$9*(1-COS(PI()*(($A95-Simulador!$E$7)/Simulador!$G$7)/Simulador!$B$11))/2,IF((($A95-Simulador!$E$7)/Simulador!$G$7)&gt;1-Simulador!$B$11,Simulador!$B$9*(1-COS(PI()*(1-(($A95-Simulador!$E$7)/Simulador!$G$7))/Simulador!$B$11))/2,Simulador!$B$9)))</f>
        <v/>
      </c>
      <c r="E95" s="46">
        <f>IF(OR((($A95-Simulador!$E$8)/Simulador!$G$8)&lt;=0,(($A95-Simulador!$E$8)/Simulador!$G$8)&gt;=1),0,IF((($A95-Simulador!$E$8)/Simulador!$G$8)&lt;Simulador!$B$11,Simulador!$B$10*(1-COS(PI()*(($A95-Simulador!$E$8)/Simulador!$G$8)/Simulador!$B$11))/2,IF((($A95-Simulador!$E$8)/Simulador!$G$8)&gt;1-Simulador!$B$11,Simulador!$B$10*(1-COS(PI()*(1-(($A95-Simulador!$E$8)/Simulador!$G$8))/Simulador!$B$11))/2,Simulador!$B$10)))</f>
        <v/>
      </c>
      <c r="F95" s="46">
        <f>IF(OR((($A95-Simulador!$E$9)/Simulador!$G$9)&lt;=0,(($A95-Simulador!$E$9)/Simulador!$G$9)&gt;=1),0,IF((($A95-Simulador!$E$9)/Simulador!$G$9)&lt;Simulador!$B$11,Simulador!$B$10*(1-COS(PI()*(($A95-Simulador!$E$9)/Simulador!$G$9)/Simulador!$B$11))/2,IF((($A95-Simulador!$E$9)/Simulador!$G$9)&gt;1-Simulador!$B$11,Simulador!$B$10*(1-COS(PI()*(1-(($A95-Simulador!$E$9)/Simulador!$G$9))/Simulador!$B$11))/2,Simulador!$B$10)))</f>
        <v/>
      </c>
      <c r="G95" s="46">
        <f>IF(OR((($A95-Simulador!$E$10)/Simulador!$G$10)&lt;=0,(($A95-Simulador!$E$10)/Simulador!$G$10)&gt;=1),0,IF((($A95-Simulador!$E$10)/Simulador!$G$10)&lt;Simulador!$B$11,Simulador!$B$10*(1-COS(PI()*(($A95-Simulador!$E$10)/Simulador!$G$10)/Simulador!$B$11))/2,IF((($A95-Simulador!$E$10)/Simulador!$G$10)&gt;1-Simulador!$B$11,Simulador!$B$10*(1-COS(PI()*(1-(($A95-Simulador!$E$10)/Simulador!$G$10))/Simulador!$B$11))/2,Simulador!$B$10)))</f>
        <v/>
      </c>
      <c r="Q95" s="48">
        <f>IF(OR((($A95-(Simulador!$E$6+'Salto de dientes'!$B$12))/Simulador!$G$6)&lt;=0,(($A95-(Simulador!$E$6+'Salto de dientes'!$B$12))/Simulador!$G$6)&gt;=1),0,IF((($A95-(Simulador!$E$6+'Salto de dientes'!$B$12))/Simulador!$G$6)&lt;Simulador!$B$11,Simulador!$B$9*(1-COS(PI()*(($A95-(Simulador!$E$6+'Salto de dientes'!$B$12))/Simulador!$G$6)/Simulador!$B$11))/2,IF((($A95-(Simulador!$E$6+'Salto de dientes'!$B$12))/Simulador!$G$6)&gt;1-Simulador!$B$11,Simulador!$B$9*(1-COS(PI()*(1-(($A95-(Simulador!$E$6+'Salto de dientes'!$B$12))/Simulador!$G$6))/Simulador!$B$11))/2,Simulador!$B$9)))</f>
        <v/>
      </c>
      <c r="R95" s="48">
        <f>IF(OR((($A95-(Simulador!$E$9+'Salto de dientes'!$B$12))/Simulador!$G$9)&lt;=0,(($A95-(Simulador!$E$9+'Salto de dientes'!$B$12))/Simulador!$G$9)&gt;=1),0,IF((($A95-(Simulador!$E$9+'Salto de dientes'!$B$12))/Simulador!$G$9)&lt;Simulador!$B$11,Simulador!$B$10*(1-COS(PI()*(($A95-(Simulador!$E$9+'Salto de dientes'!$B$12))/Simulador!$G$9)/Simulador!$B$11))/2,IF((($A95-(Simulador!$E$9+'Salto de dientes'!$B$12))/Simulador!$G$9)&gt;1-Simulador!$B$11,Simulador!$B$10*(1-COS(PI()*(1-(($A95-(Simulador!$E$9+'Salto de dientes'!$B$12))/Simulador!$G$9))/Simulador!$B$11))/2,Simulador!$B$10)))</f>
        <v/>
      </c>
      <c r="W95" t="n">
        <v>99</v>
      </c>
      <c r="X95" s="48">
        <f>('Levas superpuestas'!$B$5+IF(OR(((W95-('Levas superpuestas'!$B$14-'Levas superpuestas'!$B$8/4))/('Levas superpuestas'!$B$8/2))&lt;=0,((W95-('Levas superpuestas'!$B$14-'Levas superpuestas'!$B$8/4))/('Levas superpuestas'!$B$8/2))&gt;=1),0,IF(((W95-('Levas superpuestas'!$B$14-'Levas superpuestas'!$B$8/4))/('Levas superpuestas'!$B$8/2))&lt;Simulador!$B$11,Simulador!$B$9*(1-COS(PI()*((W95-('Levas superpuestas'!$B$14-'Levas superpuestas'!$B$8/4))/('Levas superpuestas'!$B$8/2))/Simulador!$B$11))/2,IF(((W95-('Levas superpuestas'!$B$14-'Levas superpuestas'!$B$8/4))/('Levas superpuestas'!$B$8/2))&gt;1-Simulador!$B$11,Simulador!$B$9*(1-COS(PI()*(1-((W95-('Levas superpuestas'!$B$14-'Levas superpuestas'!$B$8/4))/('Levas superpuestas'!$B$8/2)))/Simulador!$B$11))/2,Simulador!$B$9))))*SIN(RADIANS(W95))</f>
        <v/>
      </c>
      <c r="Y95" s="48">
        <f>('Levas superpuestas'!$B$5+IF(OR(((W95-('Levas superpuestas'!$B$14-'Levas superpuestas'!$B$8/4))/('Levas superpuestas'!$B$8/2))&lt;=0,((W95-('Levas superpuestas'!$B$14-'Levas superpuestas'!$B$8/4))/('Levas superpuestas'!$B$8/2))&gt;=1),0,IF(((W95-('Levas superpuestas'!$B$14-'Levas superpuestas'!$B$8/4))/('Levas superpuestas'!$B$8/2))&lt;Simulador!$B$11,Simulador!$B$9*(1-COS(PI()*((W95-('Levas superpuestas'!$B$14-'Levas superpuestas'!$B$8/4))/('Levas superpuestas'!$B$8/2))/Simulador!$B$11))/2,IF(((W95-('Levas superpuestas'!$B$14-'Levas superpuestas'!$B$8/4))/('Levas superpuestas'!$B$8/2))&gt;1-Simulador!$B$11,Simulador!$B$9*(1-COS(PI()*(1-((W95-('Levas superpuestas'!$B$14-'Levas superpuestas'!$B$8/4))/('Levas superpuestas'!$B$8/2)))/Simulador!$B$11))/2,Simulador!$B$9))))*COS(RADIANS(W95))</f>
        <v/>
      </c>
      <c r="Z95" s="48">
        <f>('Levas superpuestas'!$B$5+IF(OR(((W95-('Levas superpuestas'!$B$15-'Levas superpuestas'!$B$9/4))/('Levas superpuestas'!$B$9/2))&lt;=0,((W95-('Levas superpuestas'!$B$15-'Levas superpuestas'!$B$9/4))/('Levas superpuestas'!$B$9/2))&gt;=1),0,IF(((W95-('Levas superpuestas'!$B$15-'Levas superpuestas'!$B$9/4))/('Levas superpuestas'!$B$9/2))&lt;Simulador!$B$11,Simulador!$B$10*(1-COS(PI()*((W95-('Levas superpuestas'!$B$15-'Levas superpuestas'!$B$9/4))/('Levas superpuestas'!$B$9/2))/Simulador!$B$11))/2,IF(((W95-('Levas superpuestas'!$B$15-'Levas superpuestas'!$B$9/4))/('Levas superpuestas'!$B$9/2))&gt;1-Simulador!$B$11,Simulador!$B$10*(1-COS(PI()*(1-((W95-('Levas superpuestas'!$B$15-'Levas superpuestas'!$B$9/4))/('Levas superpuestas'!$B$9/2)))/Simulador!$B$11))/2,Simulador!$B$10))))*SIN(RADIANS(W95))</f>
        <v/>
      </c>
      <c r="AA95" s="48">
        <f>('Levas superpuestas'!$B$5+IF(OR(((W95-('Levas superpuestas'!$B$15-'Levas superpuestas'!$B$9/4))/('Levas superpuestas'!$B$9/2))&lt;=0,((W95-('Levas superpuestas'!$B$15-'Levas superpuestas'!$B$9/4))/('Levas superpuestas'!$B$9/2))&gt;=1),0,IF(((W95-('Levas superpuestas'!$B$15-'Levas superpuestas'!$B$9/4))/('Levas superpuestas'!$B$9/2))&lt;Simulador!$B$11,Simulador!$B$10*(1-COS(PI()*((W95-('Levas superpuestas'!$B$15-'Levas superpuestas'!$B$9/4))/('Levas superpuestas'!$B$9/2))/Simulador!$B$11))/2,IF(((W95-('Levas superpuestas'!$B$15-'Levas superpuestas'!$B$9/4))/('Levas superpuestas'!$B$9/2))&gt;1-Simulador!$B$11,Simulador!$B$10*(1-COS(PI()*(1-((W95-('Levas superpuestas'!$B$15-'Levas superpuestas'!$B$9/4))/('Levas superpuestas'!$B$9/2)))/Simulador!$B$11))/2,Simulador!$B$10))))*COS(RADIANS(W95))</f>
        <v/>
      </c>
      <c r="AB95">
        <f>'Levas superpuestas'!$B$5*SIN(RADIANS(W95))</f>
        <v/>
      </c>
      <c r="AC95">
        <f>'Levas superpuestas'!$B$5*COS(RADIANS(W95))</f>
        <v/>
      </c>
    </row>
    <row r="96">
      <c r="A96" s="26">
        <f>A95+Simulador!$B$14</f>
        <v/>
      </c>
      <c r="B96" s="46">
        <f>IF(OR((($A96-Simulador!$E$5)/Simulador!$G$5)&lt;=0,(($A96-Simulador!$E$5)/Simulador!$G$5)&gt;=1),0,IF((($A96-Simulador!$E$5)/Simulador!$G$5)&lt;Simulador!$B$11,Simulador!$B$9*(1-COS(PI()*(($A96-Simulador!$E$5)/Simulador!$G$5)/Simulador!$B$11))/2,IF((($A96-Simulador!$E$5)/Simulador!$G$5)&gt;1-Simulador!$B$11,Simulador!$B$9*(1-COS(PI()*(1-(($A96-Simulador!$E$5)/Simulador!$G$5))/Simulador!$B$11))/2,Simulador!$B$9)))</f>
        <v/>
      </c>
      <c r="C96" s="46">
        <f>IF(OR((($A96-Simulador!$E$6)/Simulador!$G$6)&lt;=0,(($A96-Simulador!$E$6)/Simulador!$G$6)&gt;=1),0,IF((($A96-Simulador!$E$6)/Simulador!$G$6)&lt;Simulador!$B$11,Simulador!$B$9*(1-COS(PI()*(($A96-Simulador!$E$6)/Simulador!$G$6)/Simulador!$B$11))/2,IF((($A96-Simulador!$E$6)/Simulador!$G$6)&gt;1-Simulador!$B$11,Simulador!$B$9*(1-COS(PI()*(1-(($A96-Simulador!$E$6)/Simulador!$G$6))/Simulador!$B$11))/2,Simulador!$B$9)))</f>
        <v/>
      </c>
      <c r="D96" s="46">
        <f>IF(OR((($A96-Simulador!$E$7)/Simulador!$G$7)&lt;=0,(($A96-Simulador!$E$7)/Simulador!$G$7)&gt;=1),0,IF((($A96-Simulador!$E$7)/Simulador!$G$7)&lt;Simulador!$B$11,Simulador!$B$9*(1-COS(PI()*(($A96-Simulador!$E$7)/Simulador!$G$7)/Simulador!$B$11))/2,IF((($A96-Simulador!$E$7)/Simulador!$G$7)&gt;1-Simulador!$B$11,Simulador!$B$9*(1-COS(PI()*(1-(($A96-Simulador!$E$7)/Simulador!$G$7))/Simulador!$B$11))/2,Simulador!$B$9)))</f>
        <v/>
      </c>
      <c r="E96" s="46">
        <f>IF(OR((($A96-Simulador!$E$8)/Simulador!$G$8)&lt;=0,(($A96-Simulador!$E$8)/Simulador!$G$8)&gt;=1),0,IF((($A96-Simulador!$E$8)/Simulador!$G$8)&lt;Simulador!$B$11,Simulador!$B$10*(1-COS(PI()*(($A96-Simulador!$E$8)/Simulador!$G$8)/Simulador!$B$11))/2,IF((($A96-Simulador!$E$8)/Simulador!$G$8)&gt;1-Simulador!$B$11,Simulador!$B$10*(1-COS(PI()*(1-(($A96-Simulador!$E$8)/Simulador!$G$8))/Simulador!$B$11))/2,Simulador!$B$10)))</f>
        <v/>
      </c>
      <c r="F96" s="46">
        <f>IF(OR((($A96-Simulador!$E$9)/Simulador!$G$9)&lt;=0,(($A96-Simulador!$E$9)/Simulador!$G$9)&gt;=1),0,IF((($A96-Simulador!$E$9)/Simulador!$G$9)&lt;Simulador!$B$11,Simulador!$B$10*(1-COS(PI()*(($A96-Simulador!$E$9)/Simulador!$G$9)/Simulador!$B$11))/2,IF((($A96-Simulador!$E$9)/Simulador!$G$9)&gt;1-Simulador!$B$11,Simulador!$B$10*(1-COS(PI()*(1-(($A96-Simulador!$E$9)/Simulador!$G$9))/Simulador!$B$11))/2,Simulador!$B$10)))</f>
        <v/>
      </c>
      <c r="G96" s="46">
        <f>IF(OR((($A96-Simulador!$E$10)/Simulador!$G$10)&lt;=0,(($A96-Simulador!$E$10)/Simulador!$G$10)&gt;=1),0,IF((($A96-Simulador!$E$10)/Simulador!$G$10)&lt;Simulador!$B$11,Simulador!$B$10*(1-COS(PI()*(($A96-Simulador!$E$10)/Simulador!$G$10)/Simulador!$B$11))/2,IF((($A96-Simulador!$E$10)/Simulador!$G$10)&gt;1-Simulador!$B$11,Simulador!$B$10*(1-COS(PI()*(1-(($A96-Simulador!$E$10)/Simulador!$G$10))/Simulador!$B$11))/2,Simulador!$B$10)))</f>
        <v/>
      </c>
      <c r="Q96" s="48">
        <f>IF(OR((($A96-(Simulador!$E$6+'Salto de dientes'!$B$12))/Simulador!$G$6)&lt;=0,(($A96-(Simulador!$E$6+'Salto de dientes'!$B$12))/Simulador!$G$6)&gt;=1),0,IF((($A96-(Simulador!$E$6+'Salto de dientes'!$B$12))/Simulador!$G$6)&lt;Simulador!$B$11,Simulador!$B$9*(1-COS(PI()*(($A96-(Simulador!$E$6+'Salto de dientes'!$B$12))/Simulador!$G$6)/Simulador!$B$11))/2,IF((($A96-(Simulador!$E$6+'Salto de dientes'!$B$12))/Simulador!$G$6)&gt;1-Simulador!$B$11,Simulador!$B$9*(1-COS(PI()*(1-(($A96-(Simulador!$E$6+'Salto de dientes'!$B$12))/Simulador!$G$6))/Simulador!$B$11))/2,Simulador!$B$9)))</f>
        <v/>
      </c>
      <c r="R96" s="48">
        <f>IF(OR((($A96-(Simulador!$E$9+'Salto de dientes'!$B$12))/Simulador!$G$9)&lt;=0,(($A96-(Simulador!$E$9+'Salto de dientes'!$B$12))/Simulador!$G$9)&gt;=1),0,IF((($A96-(Simulador!$E$9+'Salto de dientes'!$B$12))/Simulador!$G$9)&lt;Simulador!$B$11,Simulador!$B$10*(1-COS(PI()*(($A96-(Simulador!$E$9+'Salto de dientes'!$B$12))/Simulador!$G$9)/Simulador!$B$11))/2,IF((($A96-(Simulador!$E$9+'Salto de dientes'!$B$12))/Simulador!$G$9)&gt;1-Simulador!$B$11,Simulador!$B$10*(1-COS(PI()*(1-(($A96-(Simulador!$E$9+'Salto de dientes'!$B$12))/Simulador!$G$9))/Simulador!$B$11))/2,Simulador!$B$10)))</f>
        <v/>
      </c>
      <c r="W96" t="n">
        <v>102</v>
      </c>
      <c r="X96" s="48">
        <f>('Levas superpuestas'!$B$5+IF(OR(((W96-('Levas superpuestas'!$B$14-'Levas superpuestas'!$B$8/4))/('Levas superpuestas'!$B$8/2))&lt;=0,((W96-('Levas superpuestas'!$B$14-'Levas superpuestas'!$B$8/4))/('Levas superpuestas'!$B$8/2))&gt;=1),0,IF(((W96-('Levas superpuestas'!$B$14-'Levas superpuestas'!$B$8/4))/('Levas superpuestas'!$B$8/2))&lt;Simulador!$B$11,Simulador!$B$9*(1-COS(PI()*((W96-('Levas superpuestas'!$B$14-'Levas superpuestas'!$B$8/4))/('Levas superpuestas'!$B$8/2))/Simulador!$B$11))/2,IF(((W96-('Levas superpuestas'!$B$14-'Levas superpuestas'!$B$8/4))/('Levas superpuestas'!$B$8/2))&gt;1-Simulador!$B$11,Simulador!$B$9*(1-COS(PI()*(1-((W96-('Levas superpuestas'!$B$14-'Levas superpuestas'!$B$8/4))/('Levas superpuestas'!$B$8/2)))/Simulador!$B$11))/2,Simulador!$B$9))))*SIN(RADIANS(W96))</f>
        <v/>
      </c>
      <c r="Y96" s="48">
        <f>('Levas superpuestas'!$B$5+IF(OR(((W96-('Levas superpuestas'!$B$14-'Levas superpuestas'!$B$8/4))/('Levas superpuestas'!$B$8/2))&lt;=0,((W96-('Levas superpuestas'!$B$14-'Levas superpuestas'!$B$8/4))/('Levas superpuestas'!$B$8/2))&gt;=1),0,IF(((W96-('Levas superpuestas'!$B$14-'Levas superpuestas'!$B$8/4))/('Levas superpuestas'!$B$8/2))&lt;Simulador!$B$11,Simulador!$B$9*(1-COS(PI()*((W96-('Levas superpuestas'!$B$14-'Levas superpuestas'!$B$8/4))/('Levas superpuestas'!$B$8/2))/Simulador!$B$11))/2,IF(((W96-('Levas superpuestas'!$B$14-'Levas superpuestas'!$B$8/4))/('Levas superpuestas'!$B$8/2))&gt;1-Simulador!$B$11,Simulador!$B$9*(1-COS(PI()*(1-((W96-('Levas superpuestas'!$B$14-'Levas superpuestas'!$B$8/4))/('Levas superpuestas'!$B$8/2)))/Simulador!$B$11))/2,Simulador!$B$9))))*COS(RADIANS(W96))</f>
        <v/>
      </c>
      <c r="Z96" s="48">
        <f>('Levas superpuestas'!$B$5+IF(OR(((W96-('Levas superpuestas'!$B$15-'Levas superpuestas'!$B$9/4))/('Levas superpuestas'!$B$9/2))&lt;=0,((W96-('Levas superpuestas'!$B$15-'Levas superpuestas'!$B$9/4))/('Levas superpuestas'!$B$9/2))&gt;=1),0,IF(((W96-('Levas superpuestas'!$B$15-'Levas superpuestas'!$B$9/4))/('Levas superpuestas'!$B$9/2))&lt;Simulador!$B$11,Simulador!$B$10*(1-COS(PI()*((W96-('Levas superpuestas'!$B$15-'Levas superpuestas'!$B$9/4))/('Levas superpuestas'!$B$9/2))/Simulador!$B$11))/2,IF(((W96-('Levas superpuestas'!$B$15-'Levas superpuestas'!$B$9/4))/('Levas superpuestas'!$B$9/2))&gt;1-Simulador!$B$11,Simulador!$B$10*(1-COS(PI()*(1-((W96-('Levas superpuestas'!$B$15-'Levas superpuestas'!$B$9/4))/('Levas superpuestas'!$B$9/2)))/Simulador!$B$11))/2,Simulador!$B$10))))*SIN(RADIANS(W96))</f>
        <v/>
      </c>
      <c r="AA96" s="48">
        <f>('Levas superpuestas'!$B$5+IF(OR(((W96-('Levas superpuestas'!$B$15-'Levas superpuestas'!$B$9/4))/('Levas superpuestas'!$B$9/2))&lt;=0,((W96-('Levas superpuestas'!$B$15-'Levas superpuestas'!$B$9/4))/('Levas superpuestas'!$B$9/2))&gt;=1),0,IF(((W96-('Levas superpuestas'!$B$15-'Levas superpuestas'!$B$9/4))/('Levas superpuestas'!$B$9/2))&lt;Simulador!$B$11,Simulador!$B$10*(1-COS(PI()*((W96-('Levas superpuestas'!$B$15-'Levas superpuestas'!$B$9/4))/('Levas superpuestas'!$B$9/2))/Simulador!$B$11))/2,IF(((W96-('Levas superpuestas'!$B$15-'Levas superpuestas'!$B$9/4))/('Levas superpuestas'!$B$9/2))&gt;1-Simulador!$B$11,Simulador!$B$10*(1-COS(PI()*(1-((W96-('Levas superpuestas'!$B$15-'Levas superpuestas'!$B$9/4))/('Levas superpuestas'!$B$9/2)))/Simulador!$B$11))/2,Simulador!$B$10))))*COS(RADIANS(W96))</f>
        <v/>
      </c>
      <c r="AB96">
        <f>'Levas superpuestas'!$B$5*SIN(RADIANS(W96))</f>
        <v/>
      </c>
      <c r="AC96">
        <f>'Levas superpuestas'!$B$5*COS(RADIANS(W96))</f>
        <v/>
      </c>
    </row>
    <row r="97">
      <c r="A97" s="26">
        <f>A96+Simulador!$B$14</f>
        <v/>
      </c>
      <c r="B97" s="46">
        <f>IF(OR((($A97-Simulador!$E$5)/Simulador!$G$5)&lt;=0,(($A97-Simulador!$E$5)/Simulador!$G$5)&gt;=1),0,IF((($A97-Simulador!$E$5)/Simulador!$G$5)&lt;Simulador!$B$11,Simulador!$B$9*(1-COS(PI()*(($A97-Simulador!$E$5)/Simulador!$G$5)/Simulador!$B$11))/2,IF((($A97-Simulador!$E$5)/Simulador!$G$5)&gt;1-Simulador!$B$11,Simulador!$B$9*(1-COS(PI()*(1-(($A97-Simulador!$E$5)/Simulador!$G$5))/Simulador!$B$11))/2,Simulador!$B$9)))</f>
        <v/>
      </c>
      <c r="C97" s="46">
        <f>IF(OR((($A97-Simulador!$E$6)/Simulador!$G$6)&lt;=0,(($A97-Simulador!$E$6)/Simulador!$G$6)&gt;=1),0,IF((($A97-Simulador!$E$6)/Simulador!$G$6)&lt;Simulador!$B$11,Simulador!$B$9*(1-COS(PI()*(($A97-Simulador!$E$6)/Simulador!$G$6)/Simulador!$B$11))/2,IF((($A97-Simulador!$E$6)/Simulador!$G$6)&gt;1-Simulador!$B$11,Simulador!$B$9*(1-COS(PI()*(1-(($A97-Simulador!$E$6)/Simulador!$G$6))/Simulador!$B$11))/2,Simulador!$B$9)))</f>
        <v/>
      </c>
      <c r="D97" s="46">
        <f>IF(OR((($A97-Simulador!$E$7)/Simulador!$G$7)&lt;=0,(($A97-Simulador!$E$7)/Simulador!$G$7)&gt;=1),0,IF((($A97-Simulador!$E$7)/Simulador!$G$7)&lt;Simulador!$B$11,Simulador!$B$9*(1-COS(PI()*(($A97-Simulador!$E$7)/Simulador!$G$7)/Simulador!$B$11))/2,IF((($A97-Simulador!$E$7)/Simulador!$G$7)&gt;1-Simulador!$B$11,Simulador!$B$9*(1-COS(PI()*(1-(($A97-Simulador!$E$7)/Simulador!$G$7))/Simulador!$B$11))/2,Simulador!$B$9)))</f>
        <v/>
      </c>
      <c r="E97" s="46">
        <f>IF(OR((($A97-Simulador!$E$8)/Simulador!$G$8)&lt;=0,(($A97-Simulador!$E$8)/Simulador!$G$8)&gt;=1),0,IF((($A97-Simulador!$E$8)/Simulador!$G$8)&lt;Simulador!$B$11,Simulador!$B$10*(1-COS(PI()*(($A97-Simulador!$E$8)/Simulador!$G$8)/Simulador!$B$11))/2,IF((($A97-Simulador!$E$8)/Simulador!$G$8)&gt;1-Simulador!$B$11,Simulador!$B$10*(1-COS(PI()*(1-(($A97-Simulador!$E$8)/Simulador!$G$8))/Simulador!$B$11))/2,Simulador!$B$10)))</f>
        <v/>
      </c>
      <c r="F97" s="46">
        <f>IF(OR((($A97-Simulador!$E$9)/Simulador!$G$9)&lt;=0,(($A97-Simulador!$E$9)/Simulador!$G$9)&gt;=1),0,IF((($A97-Simulador!$E$9)/Simulador!$G$9)&lt;Simulador!$B$11,Simulador!$B$10*(1-COS(PI()*(($A97-Simulador!$E$9)/Simulador!$G$9)/Simulador!$B$11))/2,IF((($A97-Simulador!$E$9)/Simulador!$G$9)&gt;1-Simulador!$B$11,Simulador!$B$10*(1-COS(PI()*(1-(($A97-Simulador!$E$9)/Simulador!$G$9))/Simulador!$B$11))/2,Simulador!$B$10)))</f>
        <v/>
      </c>
      <c r="G97" s="46">
        <f>IF(OR((($A97-Simulador!$E$10)/Simulador!$G$10)&lt;=0,(($A97-Simulador!$E$10)/Simulador!$G$10)&gt;=1),0,IF((($A97-Simulador!$E$10)/Simulador!$G$10)&lt;Simulador!$B$11,Simulador!$B$10*(1-COS(PI()*(($A97-Simulador!$E$10)/Simulador!$G$10)/Simulador!$B$11))/2,IF((($A97-Simulador!$E$10)/Simulador!$G$10)&gt;1-Simulador!$B$11,Simulador!$B$10*(1-COS(PI()*(1-(($A97-Simulador!$E$10)/Simulador!$G$10))/Simulador!$B$11))/2,Simulador!$B$10)))</f>
        <v/>
      </c>
      <c r="Q97" s="48">
        <f>IF(OR((($A97-(Simulador!$E$6+'Salto de dientes'!$B$12))/Simulador!$G$6)&lt;=0,(($A97-(Simulador!$E$6+'Salto de dientes'!$B$12))/Simulador!$G$6)&gt;=1),0,IF((($A97-(Simulador!$E$6+'Salto de dientes'!$B$12))/Simulador!$G$6)&lt;Simulador!$B$11,Simulador!$B$9*(1-COS(PI()*(($A97-(Simulador!$E$6+'Salto de dientes'!$B$12))/Simulador!$G$6)/Simulador!$B$11))/2,IF((($A97-(Simulador!$E$6+'Salto de dientes'!$B$12))/Simulador!$G$6)&gt;1-Simulador!$B$11,Simulador!$B$9*(1-COS(PI()*(1-(($A97-(Simulador!$E$6+'Salto de dientes'!$B$12))/Simulador!$G$6))/Simulador!$B$11))/2,Simulador!$B$9)))</f>
        <v/>
      </c>
      <c r="R97" s="48">
        <f>IF(OR((($A97-(Simulador!$E$9+'Salto de dientes'!$B$12))/Simulador!$G$9)&lt;=0,(($A97-(Simulador!$E$9+'Salto de dientes'!$B$12))/Simulador!$G$9)&gt;=1),0,IF((($A97-(Simulador!$E$9+'Salto de dientes'!$B$12))/Simulador!$G$9)&lt;Simulador!$B$11,Simulador!$B$10*(1-COS(PI()*(($A97-(Simulador!$E$9+'Salto de dientes'!$B$12))/Simulador!$G$9)/Simulador!$B$11))/2,IF((($A97-(Simulador!$E$9+'Salto de dientes'!$B$12))/Simulador!$G$9)&gt;1-Simulador!$B$11,Simulador!$B$10*(1-COS(PI()*(1-(($A97-(Simulador!$E$9+'Salto de dientes'!$B$12))/Simulador!$G$9))/Simulador!$B$11))/2,Simulador!$B$10)))</f>
        <v/>
      </c>
      <c r="W97" t="n">
        <v>105</v>
      </c>
      <c r="X97" s="48">
        <f>('Levas superpuestas'!$B$5+IF(OR(((W97-('Levas superpuestas'!$B$14-'Levas superpuestas'!$B$8/4))/('Levas superpuestas'!$B$8/2))&lt;=0,((W97-('Levas superpuestas'!$B$14-'Levas superpuestas'!$B$8/4))/('Levas superpuestas'!$B$8/2))&gt;=1),0,IF(((W97-('Levas superpuestas'!$B$14-'Levas superpuestas'!$B$8/4))/('Levas superpuestas'!$B$8/2))&lt;Simulador!$B$11,Simulador!$B$9*(1-COS(PI()*((W97-('Levas superpuestas'!$B$14-'Levas superpuestas'!$B$8/4))/('Levas superpuestas'!$B$8/2))/Simulador!$B$11))/2,IF(((W97-('Levas superpuestas'!$B$14-'Levas superpuestas'!$B$8/4))/('Levas superpuestas'!$B$8/2))&gt;1-Simulador!$B$11,Simulador!$B$9*(1-COS(PI()*(1-((W97-('Levas superpuestas'!$B$14-'Levas superpuestas'!$B$8/4))/('Levas superpuestas'!$B$8/2)))/Simulador!$B$11))/2,Simulador!$B$9))))*SIN(RADIANS(W97))</f>
        <v/>
      </c>
      <c r="Y97" s="48">
        <f>('Levas superpuestas'!$B$5+IF(OR(((W97-('Levas superpuestas'!$B$14-'Levas superpuestas'!$B$8/4))/('Levas superpuestas'!$B$8/2))&lt;=0,((W97-('Levas superpuestas'!$B$14-'Levas superpuestas'!$B$8/4))/('Levas superpuestas'!$B$8/2))&gt;=1),0,IF(((W97-('Levas superpuestas'!$B$14-'Levas superpuestas'!$B$8/4))/('Levas superpuestas'!$B$8/2))&lt;Simulador!$B$11,Simulador!$B$9*(1-COS(PI()*((W97-('Levas superpuestas'!$B$14-'Levas superpuestas'!$B$8/4))/('Levas superpuestas'!$B$8/2))/Simulador!$B$11))/2,IF(((W97-('Levas superpuestas'!$B$14-'Levas superpuestas'!$B$8/4))/('Levas superpuestas'!$B$8/2))&gt;1-Simulador!$B$11,Simulador!$B$9*(1-COS(PI()*(1-((W97-('Levas superpuestas'!$B$14-'Levas superpuestas'!$B$8/4))/('Levas superpuestas'!$B$8/2)))/Simulador!$B$11))/2,Simulador!$B$9))))*COS(RADIANS(W97))</f>
        <v/>
      </c>
      <c r="Z97" s="48">
        <f>('Levas superpuestas'!$B$5+IF(OR(((W97-('Levas superpuestas'!$B$15-'Levas superpuestas'!$B$9/4))/('Levas superpuestas'!$B$9/2))&lt;=0,((W97-('Levas superpuestas'!$B$15-'Levas superpuestas'!$B$9/4))/('Levas superpuestas'!$B$9/2))&gt;=1),0,IF(((W97-('Levas superpuestas'!$B$15-'Levas superpuestas'!$B$9/4))/('Levas superpuestas'!$B$9/2))&lt;Simulador!$B$11,Simulador!$B$10*(1-COS(PI()*((W97-('Levas superpuestas'!$B$15-'Levas superpuestas'!$B$9/4))/('Levas superpuestas'!$B$9/2))/Simulador!$B$11))/2,IF(((W97-('Levas superpuestas'!$B$15-'Levas superpuestas'!$B$9/4))/('Levas superpuestas'!$B$9/2))&gt;1-Simulador!$B$11,Simulador!$B$10*(1-COS(PI()*(1-((W97-('Levas superpuestas'!$B$15-'Levas superpuestas'!$B$9/4))/('Levas superpuestas'!$B$9/2)))/Simulador!$B$11))/2,Simulador!$B$10))))*SIN(RADIANS(W97))</f>
        <v/>
      </c>
      <c r="AA97" s="48">
        <f>('Levas superpuestas'!$B$5+IF(OR(((W97-('Levas superpuestas'!$B$15-'Levas superpuestas'!$B$9/4))/('Levas superpuestas'!$B$9/2))&lt;=0,((W97-('Levas superpuestas'!$B$15-'Levas superpuestas'!$B$9/4))/('Levas superpuestas'!$B$9/2))&gt;=1),0,IF(((W97-('Levas superpuestas'!$B$15-'Levas superpuestas'!$B$9/4))/('Levas superpuestas'!$B$9/2))&lt;Simulador!$B$11,Simulador!$B$10*(1-COS(PI()*((W97-('Levas superpuestas'!$B$15-'Levas superpuestas'!$B$9/4))/('Levas superpuestas'!$B$9/2))/Simulador!$B$11))/2,IF(((W97-('Levas superpuestas'!$B$15-'Levas superpuestas'!$B$9/4))/('Levas superpuestas'!$B$9/2))&gt;1-Simulador!$B$11,Simulador!$B$10*(1-COS(PI()*(1-((W97-('Levas superpuestas'!$B$15-'Levas superpuestas'!$B$9/4))/('Levas superpuestas'!$B$9/2)))/Simulador!$B$11))/2,Simulador!$B$10))))*COS(RADIANS(W97))</f>
        <v/>
      </c>
      <c r="AB97">
        <f>'Levas superpuestas'!$B$5*SIN(RADIANS(W97))</f>
        <v/>
      </c>
      <c r="AC97">
        <f>'Levas superpuestas'!$B$5*COS(RADIANS(W97))</f>
        <v/>
      </c>
    </row>
    <row r="98">
      <c r="A98" s="26">
        <f>A97+Simulador!$B$14</f>
        <v/>
      </c>
      <c r="B98" s="46">
        <f>IF(OR((($A98-Simulador!$E$5)/Simulador!$G$5)&lt;=0,(($A98-Simulador!$E$5)/Simulador!$G$5)&gt;=1),0,IF((($A98-Simulador!$E$5)/Simulador!$G$5)&lt;Simulador!$B$11,Simulador!$B$9*(1-COS(PI()*(($A98-Simulador!$E$5)/Simulador!$G$5)/Simulador!$B$11))/2,IF((($A98-Simulador!$E$5)/Simulador!$G$5)&gt;1-Simulador!$B$11,Simulador!$B$9*(1-COS(PI()*(1-(($A98-Simulador!$E$5)/Simulador!$G$5))/Simulador!$B$11))/2,Simulador!$B$9)))</f>
        <v/>
      </c>
      <c r="C98" s="46">
        <f>IF(OR((($A98-Simulador!$E$6)/Simulador!$G$6)&lt;=0,(($A98-Simulador!$E$6)/Simulador!$G$6)&gt;=1),0,IF((($A98-Simulador!$E$6)/Simulador!$G$6)&lt;Simulador!$B$11,Simulador!$B$9*(1-COS(PI()*(($A98-Simulador!$E$6)/Simulador!$G$6)/Simulador!$B$11))/2,IF((($A98-Simulador!$E$6)/Simulador!$G$6)&gt;1-Simulador!$B$11,Simulador!$B$9*(1-COS(PI()*(1-(($A98-Simulador!$E$6)/Simulador!$G$6))/Simulador!$B$11))/2,Simulador!$B$9)))</f>
        <v/>
      </c>
      <c r="D98" s="46">
        <f>IF(OR((($A98-Simulador!$E$7)/Simulador!$G$7)&lt;=0,(($A98-Simulador!$E$7)/Simulador!$G$7)&gt;=1),0,IF((($A98-Simulador!$E$7)/Simulador!$G$7)&lt;Simulador!$B$11,Simulador!$B$9*(1-COS(PI()*(($A98-Simulador!$E$7)/Simulador!$G$7)/Simulador!$B$11))/2,IF((($A98-Simulador!$E$7)/Simulador!$G$7)&gt;1-Simulador!$B$11,Simulador!$B$9*(1-COS(PI()*(1-(($A98-Simulador!$E$7)/Simulador!$G$7))/Simulador!$B$11))/2,Simulador!$B$9)))</f>
        <v/>
      </c>
      <c r="E98" s="46">
        <f>IF(OR((($A98-Simulador!$E$8)/Simulador!$G$8)&lt;=0,(($A98-Simulador!$E$8)/Simulador!$G$8)&gt;=1),0,IF((($A98-Simulador!$E$8)/Simulador!$G$8)&lt;Simulador!$B$11,Simulador!$B$10*(1-COS(PI()*(($A98-Simulador!$E$8)/Simulador!$G$8)/Simulador!$B$11))/2,IF((($A98-Simulador!$E$8)/Simulador!$G$8)&gt;1-Simulador!$B$11,Simulador!$B$10*(1-COS(PI()*(1-(($A98-Simulador!$E$8)/Simulador!$G$8))/Simulador!$B$11))/2,Simulador!$B$10)))</f>
        <v/>
      </c>
      <c r="F98" s="46">
        <f>IF(OR((($A98-Simulador!$E$9)/Simulador!$G$9)&lt;=0,(($A98-Simulador!$E$9)/Simulador!$G$9)&gt;=1),0,IF((($A98-Simulador!$E$9)/Simulador!$G$9)&lt;Simulador!$B$11,Simulador!$B$10*(1-COS(PI()*(($A98-Simulador!$E$9)/Simulador!$G$9)/Simulador!$B$11))/2,IF((($A98-Simulador!$E$9)/Simulador!$G$9)&gt;1-Simulador!$B$11,Simulador!$B$10*(1-COS(PI()*(1-(($A98-Simulador!$E$9)/Simulador!$G$9))/Simulador!$B$11))/2,Simulador!$B$10)))</f>
        <v/>
      </c>
      <c r="G98" s="46">
        <f>IF(OR((($A98-Simulador!$E$10)/Simulador!$G$10)&lt;=0,(($A98-Simulador!$E$10)/Simulador!$G$10)&gt;=1),0,IF((($A98-Simulador!$E$10)/Simulador!$G$10)&lt;Simulador!$B$11,Simulador!$B$10*(1-COS(PI()*(($A98-Simulador!$E$10)/Simulador!$G$10)/Simulador!$B$11))/2,IF((($A98-Simulador!$E$10)/Simulador!$G$10)&gt;1-Simulador!$B$11,Simulador!$B$10*(1-COS(PI()*(1-(($A98-Simulador!$E$10)/Simulador!$G$10))/Simulador!$B$11))/2,Simulador!$B$10)))</f>
        <v/>
      </c>
      <c r="Q98" s="48">
        <f>IF(OR((($A98-(Simulador!$E$6+'Salto de dientes'!$B$12))/Simulador!$G$6)&lt;=0,(($A98-(Simulador!$E$6+'Salto de dientes'!$B$12))/Simulador!$G$6)&gt;=1),0,IF((($A98-(Simulador!$E$6+'Salto de dientes'!$B$12))/Simulador!$G$6)&lt;Simulador!$B$11,Simulador!$B$9*(1-COS(PI()*(($A98-(Simulador!$E$6+'Salto de dientes'!$B$12))/Simulador!$G$6)/Simulador!$B$11))/2,IF((($A98-(Simulador!$E$6+'Salto de dientes'!$B$12))/Simulador!$G$6)&gt;1-Simulador!$B$11,Simulador!$B$9*(1-COS(PI()*(1-(($A98-(Simulador!$E$6+'Salto de dientes'!$B$12))/Simulador!$G$6))/Simulador!$B$11))/2,Simulador!$B$9)))</f>
        <v/>
      </c>
      <c r="R98" s="48">
        <f>IF(OR((($A98-(Simulador!$E$9+'Salto de dientes'!$B$12))/Simulador!$G$9)&lt;=0,(($A98-(Simulador!$E$9+'Salto de dientes'!$B$12))/Simulador!$G$9)&gt;=1),0,IF((($A98-(Simulador!$E$9+'Salto de dientes'!$B$12))/Simulador!$G$9)&lt;Simulador!$B$11,Simulador!$B$10*(1-COS(PI()*(($A98-(Simulador!$E$9+'Salto de dientes'!$B$12))/Simulador!$G$9)/Simulador!$B$11))/2,IF((($A98-(Simulador!$E$9+'Salto de dientes'!$B$12))/Simulador!$G$9)&gt;1-Simulador!$B$11,Simulador!$B$10*(1-COS(PI()*(1-(($A98-(Simulador!$E$9+'Salto de dientes'!$B$12))/Simulador!$G$9))/Simulador!$B$11))/2,Simulador!$B$10)))</f>
        <v/>
      </c>
      <c r="W98" t="n">
        <v>108</v>
      </c>
      <c r="X98" s="48">
        <f>('Levas superpuestas'!$B$5+IF(OR(((W98-('Levas superpuestas'!$B$14-'Levas superpuestas'!$B$8/4))/('Levas superpuestas'!$B$8/2))&lt;=0,((W98-('Levas superpuestas'!$B$14-'Levas superpuestas'!$B$8/4))/('Levas superpuestas'!$B$8/2))&gt;=1),0,IF(((W98-('Levas superpuestas'!$B$14-'Levas superpuestas'!$B$8/4))/('Levas superpuestas'!$B$8/2))&lt;Simulador!$B$11,Simulador!$B$9*(1-COS(PI()*((W98-('Levas superpuestas'!$B$14-'Levas superpuestas'!$B$8/4))/('Levas superpuestas'!$B$8/2))/Simulador!$B$11))/2,IF(((W98-('Levas superpuestas'!$B$14-'Levas superpuestas'!$B$8/4))/('Levas superpuestas'!$B$8/2))&gt;1-Simulador!$B$11,Simulador!$B$9*(1-COS(PI()*(1-((W98-('Levas superpuestas'!$B$14-'Levas superpuestas'!$B$8/4))/('Levas superpuestas'!$B$8/2)))/Simulador!$B$11))/2,Simulador!$B$9))))*SIN(RADIANS(W98))</f>
        <v/>
      </c>
      <c r="Y98" s="48">
        <f>('Levas superpuestas'!$B$5+IF(OR(((W98-('Levas superpuestas'!$B$14-'Levas superpuestas'!$B$8/4))/('Levas superpuestas'!$B$8/2))&lt;=0,((W98-('Levas superpuestas'!$B$14-'Levas superpuestas'!$B$8/4))/('Levas superpuestas'!$B$8/2))&gt;=1),0,IF(((W98-('Levas superpuestas'!$B$14-'Levas superpuestas'!$B$8/4))/('Levas superpuestas'!$B$8/2))&lt;Simulador!$B$11,Simulador!$B$9*(1-COS(PI()*((W98-('Levas superpuestas'!$B$14-'Levas superpuestas'!$B$8/4))/('Levas superpuestas'!$B$8/2))/Simulador!$B$11))/2,IF(((W98-('Levas superpuestas'!$B$14-'Levas superpuestas'!$B$8/4))/('Levas superpuestas'!$B$8/2))&gt;1-Simulador!$B$11,Simulador!$B$9*(1-COS(PI()*(1-((W98-('Levas superpuestas'!$B$14-'Levas superpuestas'!$B$8/4))/('Levas superpuestas'!$B$8/2)))/Simulador!$B$11))/2,Simulador!$B$9))))*COS(RADIANS(W98))</f>
        <v/>
      </c>
      <c r="Z98" s="48">
        <f>('Levas superpuestas'!$B$5+IF(OR(((W98-('Levas superpuestas'!$B$15-'Levas superpuestas'!$B$9/4))/('Levas superpuestas'!$B$9/2))&lt;=0,((W98-('Levas superpuestas'!$B$15-'Levas superpuestas'!$B$9/4))/('Levas superpuestas'!$B$9/2))&gt;=1),0,IF(((W98-('Levas superpuestas'!$B$15-'Levas superpuestas'!$B$9/4))/('Levas superpuestas'!$B$9/2))&lt;Simulador!$B$11,Simulador!$B$10*(1-COS(PI()*((W98-('Levas superpuestas'!$B$15-'Levas superpuestas'!$B$9/4))/('Levas superpuestas'!$B$9/2))/Simulador!$B$11))/2,IF(((W98-('Levas superpuestas'!$B$15-'Levas superpuestas'!$B$9/4))/('Levas superpuestas'!$B$9/2))&gt;1-Simulador!$B$11,Simulador!$B$10*(1-COS(PI()*(1-((W98-('Levas superpuestas'!$B$15-'Levas superpuestas'!$B$9/4))/('Levas superpuestas'!$B$9/2)))/Simulador!$B$11))/2,Simulador!$B$10))))*SIN(RADIANS(W98))</f>
        <v/>
      </c>
      <c r="AA98" s="48">
        <f>('Levas superpuestas'!$B$5+IF(OR(((W98-('Levas superpuestas'!$B$15-'Levas superpuestas'!$B$9/4))/('Levas superpuestas'!$B$9/2))&lt;=0,((W98-('Levas superpuestas'!$B$15-'Levas superpuestas'!$B$9/4))/('Levas superpuestas'!$B$9/2))&gt;=1),0,IF(((W98-('Levas superpuestas'!$B$15-'Levas superpuestas'!$B$9/4))/('Levas superpuestas'!$B$9/2))&lt;Simulador!$B$11,Simulador!$B$10*(1-COS(PI()*((W98-('Levas superpuestas'!$B$15-'Levas superpuestas'!$B$9/4))/('Levas superpuestas'!$B$9/2))/Simulador!$B$11))/2,IF(((W98-('Levas superpuestas'!$B$15-'Levas superpuestas'!$B$9/4))/('Levas superpuestas'!$B$9/2))&gt;1-Simulador!$B$11,Simulador!$B$10*(1-COS(PI()*(1-((W98-('Levas superpuestas'!$B$15-'Levas superpuestas'!$B$9/4))/('Levas superpuestas'!$B$9/2)))/Simulador!$B$11))/2,Simulador!$B$10))))*COS(RADIANS(W98))</f>
        <v/>
      </c>
      <c r="AB98">
        <f>'Levas superpuestas'!$B$5*SIN(RADIANS(W98))</f>
        <v/>
      </c>
      <c r="AC98">
        <f>'Levas superpuestas'!$B$5*COS(RADIANS(W98))</f>
        <v/>
      </c>
    </row>
    <row r="99">
      <c r="A99" s="26">
        <f>A98+Simulador!$B$14</f>
        <v/>
      </c>
      <c r="B99" s="46">
        <f>IF(OR((($A99-Simulador!$E$5)/Simulador!$G$5)&lt;=0,(($A99-Simulador!$E$5)/Simulador!$G$5)&gt;=1),0,IF((($A99-Simulador!$E$5)/Simulador!$G$5)&lt;Simulador!$B$11,Simulador!$B$9*(1-COS(PI()*(($A99-Simulador!$E$5)/Simulador!$G$5)/Simulador!$B$11))/2,IF((($A99-Simulador!$E$5)/Simulador!$G$5)&gt;1-Simulador!$B$11,Simulador!$B$9*(1-COS(PI()*(1-(($A99-Simulador!$E$5)/Simulador!$G$5))/Simulador!$B$11))/2,Simulador!$B$9)))</f>
        <v/>
      </c>
      <c r="C99" s="46">
        <f>IF(OR((($A99-Simulador!$E$6)/Simulador!$G$6)&lt;=0,(($A99-Simulador!$E$6)/Simulador!$G$6)&gt;=1),0,IF((($A99-Simulador!$E$6)/Simulador!$G$6)&lt;Simulador!$B$11,Simulador!$B$9*(1-COS(PI()*(($A99-Simulador!$E$6)/Simulador!$G$6)/Simulador!$B$11))/2,IF((($A99-Simulador!$E$6)/Simulador!$G$6)&gt;1-Simulador!$B$11,Simulador!$B$9*(1-COS(PI()*(1-(($A99-Simulador!$E$6)/Simulador!$G$6))/Simulador!$B$11))/2,Simulador!$B$9)))</f>
        <v/>
      </c>
      <c r="D99" s="46">
        <f>IF(OR((($A99-Simulador!$E$7)/Simulador!$G$7)&lt;=0,(($A99-Simulador!$E$7)/Simulador!$G$7)&gt;=1),0,IF((($A99-Simulador!$E$7)/Simulador!$G$7)&lt;Simulador!$B$11,Simulador!$B$9*(1-COS(PI()*(($A99-Simulador!$E$7)/Simulador!$G$7)/Simulador!$B$11))/2,IF((($A99-Simulador!$E$7)/Simulador!$G$7)&gt;1-Simulador!$B$11,Simulador!$B$9*(1-COS(PI()*(1-(($A99-Simulador!$E$7)/Simulador!$G$7))/Simulador!$B$11))/2,Simulador!$B$9)))</f>
        <v/>
      </c>
      <c r="E99" s="46">
        <f>IF(OR((($A99-Simulador!$E$8)/Simulador!$G$8)&lt;=0,(($A99-Simulador!$E$8)/Simulador!$G$8)&gt;=1),0,IF((($A99-Simulador!$E$8)/Simulador!$G$8)&lt;Simulador!$B$11,Simulador!$B$10*(1-COS(PI()*(($A99-Simulador!$E$8)/Simulador!$G$8)/Simulador!$B$11))/2,IF((($A99-Simulador!$E$8)/Simulador!$G$8)&gt;1-Simulador!$B$11,Simulador!$B$10*(1-COS(PI()*(1-(($A99-Simulador!$E$8)/Simulador!$G$8))/Simulador!$B$11))/2,Simulador!$B$10)))</f>
        <v/>
      </c>
      <c r="F99" s="46">
        <f>IF(OR((($A99-Simulador!$E$9)/Simulador!$G$9)&lt;=0,(($A99-Simulador!$E$9)/Simulador!$G$9)&gt;=1),0,IF((($A99-Simulador!$E$9)/Simulador!$G$9)&lt;Simulador!$B$11,Simulador!$B$10*(1-COS(PI()*(($A99-Simulador!$E$9)/Simulador!$G$9)/Simulador!$B$11))/2,IF((($A99-Simulador!$E$9)/Simulador!$G$9)&gt;1-Simulador!$B$11,Simulador!$B$10*(1-COS(PI()*(1-(($A99-Simulador!$E$9)/Simulador!$G$9))/Simulador!$B$11))/2,Simulador!$B$10)))</f>
        <v/>
      </c>
      <c r="G99" s="46">
        <f>IF(OR((($A99-Simulador!$E$10)/Simulador!$G$10)&lt;=0,(($A99-Simulador!$E$10)/Simulador!$G$10)&gt;=1),0,IF((($A99-Simulador!$E$10)/Simulador!$G$10)&lt;Simulador!$B$11,Simulador!$B$10*(1-COS(PI()*(($A99-Simulador!$E$10)/Simulador!$G$10)/Simulador!$B$11))/2,IF((($A99-Simulador!$E$10)/Simulador!$G$10)&gt;1-Simulador!$B$11,Simulador!$B$10*(1-COS(PI()*(1-(($A99-Simulador!$E$10)/Simulador!$G$10))/Simulador!$B$11))/2,Simulador!$B$10)))</f>
        <v/>
      </c>
      <c r="Q99" s="48">
        <f>IF(OR((($A99-(Simulador!$E$6+'Salto de dientes'!$B$12))/Simulador!$G$6)&lt;=0,(($A99-(Simulador!$E$6+'Salto de dientes'!$B$12))/Simulador!$G$6)&gt;=1),0,IF((($A99-(Simulador!$E$6+'Salto de dientes'!$B$12))/Simulador!$G$6)&lt;Simulador!$B$11,Simulador!$B$9*(1-COS(PI()*(($A99-(Simulador!$E$6+'Salto de dientes'!$B$12))/Simulador!$G$6)/Simulador!$B$11))/2,IF((($A99-(Simulador!$E$6+'Salto de dientes'!$B$12))/Simulador!$G$6)&gt;1-Simulador!$B$11,Simulador!$B$9*(1-COS(PI()*(1-(($A99-(Simulador!$E$6+'Salto de dientes'!$B$12))/Simulador!$G$6))/Simulador!$B$11))/2,Simulador!$B$9)))</f>
        <v/>
      </c>
      <c r="R99" s="48">
        <f>IF(OR((($A99-(Simulador!$E$9+'Salto de dientes'!$B$12))/Simulador!$G$9)&lt;=0,(($A99-(Simulador!$E$9+'Salto de dientes'!$B$12))/Simulador!$G$9)&gt;=1),0,IF((($A99-(Simulador!$E$9+'Salto de dientes'!$B$12))/Simulador!$G$9)&lt;Simulador!$B$11,Simulador!$B$10*(1-COS(PI()*(($A99-(Simulador!$E$9+'Salto de dientes'!$B$12))/Simulador!$G$9)/Simulador!$B$11))/2,IF((($A99-(Simulador!$E$9+'Salto de dientes'!$B$12))/Simulador!$G$9)&gt;1-Simulador!$B$11,Simulador!$B$10*(1-COS(PI()*(1-(($A99-(Simulador!$E$9+'Salto de dientes'!$B$12))/Simulador!$G$9))/Simulador!$B$11))/2,Simulador!$B$10)))</f>
        <v/>
      </c>
      <c r="W99" t="n">
        <v>111</v>
      </c>
      <c r="X99" s="48">
        <f>('Levas superpuestas'!$B$5+IF(OR(((W99-('Levas superpuestas'!$B$14-'Levas superpuestas'!$B$8/4))/('Levas superpuestas'!$B$8/2))&lt;=0,((W99-('Levas superpuestas'!$B$14-'Levas superpuestas'!$B$8/4))/('Levas superpuestas'!$B$8/2))&gt;=1),0,IF(((W99-('Levas superpuestas'!$B$14-'Levas superpuestas'!$B$8/4))/('Levas superpuestas'!$B$8/2))&lt;Simulador!$B$11,Simulador!$B$9*(1-COS(PI()*((W99-('Levas superpuestas'!$B$14-'Levas superpuestas'!$B$8/4))/('Levas superpuestas'!$B$8/2))/Simulador!$B$11))/2,IF(((W99-('Levas superpuestas'!$B$14-'Levas superpuestas'!$B$8/4))/('Levas superpuestas'!$B$8/2))&gt;1-Simulador!$B$11,Simulador!$B$9*(1-COS(PI()*(1-((W99-('Levas superpuestas'!$B$14-'Levas superpuestas'!$B$8/4))/('Levas superpuestas'!$B$8/2)))/Simulador!$B$11))/2,Simulador!$B$9))))*SIN(RADIANS(W99))</f>
        <v/>
      </c>
      <c r="Y99" s="48">
        <f>('Levas superpuestas'!$B$5+IF(OR(((W99-('Levas superpuestas'!$B$14-'Levas superpuestas'!$B$8/4))/('Levas superpuestas'!$B$8/2))&lt;=0,((W99-('Levas superpuestas'!$B$14-'Levas superpuestas'!$B$8/4))/('Levas superpuestas'!$B$8/2))&gt;=1),0,IF(((W99-('Levas superpuestas'!$B$14-'Levas superpuestas'!$B$8/4))/('Levas superpuestas'!$B$8/2))&lt;Simulador!$B$11,Simulador!$B$9*(1-COS(PI()*((W99-('Levas superpuestas'!$B$14-'Levas superpuestas'!$B$8/4))/('Levas superpuestas'!$B$8/2))/Simulador!$B$11))/2,IF(((W99-('Levas superpuestas'!$B$14-'Levas superpuestas'!$B$8/4))/('Levas superpuestas'!$B$8/2))&gt;1-Simulador!$B$11,Simulador!$B$9*(1-COS(PI()*(1-((W99-('Levas superpuestas'!$B$14-'Levas superpuestas'!$B$8/4))/('Levas superpuestas'!$B$8/2)))/Simulador!$B$11))/2,Simulador!$B$9))))*COS(RADIANS(W99))</f>
        <v/>
      </c>
      <c r="Z99" s="48">
        <f>('Levas superpuestas'!$B$5+IF(OR(((W99-('Levas superpuestas'!$B$15-'Levas superpuestas'!$B$9/4))/('Levas superpuestas'!$B$9/2))&lt;=0,((W99-('Levas superpuestas'!$B$15-'Levas superpuestas'!$B$9/4))/('Levas superpuestas'!$B$9/2))&gt;=1),0,IF(((W99-('Levas superpuestas'!$B$15-'Levas superpuestas'!$B$9/4))/('Levas superpuestas'!$B$9/2))&lt;Simulador!$B$11,Simulador!$B$10*(1-COS(PI()*((W99-('Levas superpuestas'!$B$15-'Levas superpuestas'!$B$9/4))/('Levas superpuestas'!$B$9/2))/Simulador!$B$11))/2,IF(((W99-('Levas superpuestas'!$B$15-'Levas superpuestas'!$B$9/4))/('Levas superpuestas'!$B$9/2))&gt;1-Simulador!$B$11,Simulador!$B$10*(1-COS(PI()*(1-((W99-('Levas superpuestas'!$B$15-'Levas superpuestas'!$B$9/4))/('Levas superpuestas'!$B$9/2)))/Simulador!$B$11))/2,Simulador!$B$10))))*SIN(RADIANS(W99))</f>
        <v/>
      </c>
      <c r="AA99" s="48">
        <f>('Levas superpuestas'!$B$5+IF(OR(((W99-('Levas superpuestas'!$B$15-'Levas superpuestas'!$B$9/4))/('Levas superpuestas'!$B$9/2))&lt;=0,((W99-('Levas superpuestas'!$B$15-'Levas superpuestas'!$B$9/4))/('Levas superpuestas'!$B$9/2))&gt;=1),0,IF(((W99-('Levas superpuestas'!$B$15-'Levas superpuestas'!$B$9/4))/('Levas superpuestas'!$B$9/2))&lt;Simulador!$B$11,Simulador!$B$10*(1-COS(PI()*((W99-('Levas superpuestas'!$B$15-'Levas superpuestas'!$B$9/4))/('Levas superpuestas'!$B$9/2))/Simulador!$B$11))/2,IF(((W99-('Levas superpuestas'!$B$15-'Levas superpuestas'!$B$9/4))/('Levas superpuestas'!$B$9/2))&gt;1-Simulador!$B$11,Simulador!$B$10*(1-COS(PI()*(1-((W99-('Levas superpuestas'!$B$15-'Levas superpuestas'!$B$9/4))/('Levas superpuestas'!$B$9/2)))/Simulador!$B$11))/2,Simulador!$B$10))))*COS(RADIANS(W99))</f>
        <v/>
      </c>
      <c r="AB99">
        <f>'Levas superpuestas'!$B$5*SIN(RADIANS(W99))</f>
        <v/>
      </c>
      <c r="AC99">
        <f>'Levas superpuestas'!$B$5*COS(RADIANS(W99))</f>
        <v/>
      </c>
    </row>
    <row r="100">
      <c r="A100" s="26">
        <f>A99+Simulador!$B$14</f>
        <v/>
      </c>
      <c r="B100" s="46">
        <f>IF(OR((($A100-Simulador!$E$5)/Simulador!$G$5)&lt;=0,(($A100-Simulador!$E$5)/Simulador!$G$5)&gt;=1),0,IF((($A100-Simulador!$E$5)/Simulador!$G$5)&lt;Simulador!$B$11,Simulador!$B$9*(1-COS(PI()*(($A100-Simulador!$E$5)/Simulador!$G$5)/Simulador!$B$11))/2,IF((($A100-Simulador!$E$5)/Simulador!$G$5)&gt;1-Simulador!$B$11,Simulador!$B$9*(1-COS(PI()*(1-(($A100-Simulador!$E$5)/Simulador!$G$5))/Simulador!$B$11))/2,Simulador!$B$9)))</f>
        <v/>
      </c>
      <c r="C100" s="46">
        <f>IF(OR((($A100-Simulador!$E$6)/Simulador!$G$6)&lt;=0,(($A100-Simulador!$E$6)/Simulador!$G$6)&gt;=1),0,IF((($A100-Simulador!$E$6)/Simulador!$G$6)&lt;Simulador!$B$11,Simulador!$B$9*(1-COS(PI()*(($A100-Simulador!$E$6)/Simulador!$G$6)/Simulador!$B$11))/2,IF((($A100-Simulador!$E$6)/Simulador!$G$6)&gt;1-Simulador!$B$11,Simulador!$B$9*(1-COS(PI()*(1-(($A100-Simulador!$E$6)/Simulador!$G$6))/Simulador!$B$11))/2,Simulador!$B$9)))</f>
        <v/>
      </c>
      <c r="D100" s="46">
        <f>IF(OR((($A100-Simulador!$E$7)/Simulador!$G$7)&lt;=0,(($A100-Simulador!$E$7)/Simulador!$G$7)&gt;=1),0,IF((($A100-Simulador!$E$7)/Simulador!$G$7)&lt;Simulador!$B$11,Simulador!$B$9*(1-COS(PI()*(($A100-Simulador!$E$7)/Simulador!$G$7)/Simulador!$B$11))/2,IF((($A100-Simulador!$E$7)/Simulador!$G$7)&gt;1-Simulador!$B$11,Simulador!$B$9*(1-COS(PI()*(1-(($A100-Simulador!$E$7)/Simulador!$G$7))/Simulador!$B$11))/2,Simulador!$B$9)))</f>
        <v/>
      </c>
      <c r="E100" s="46">
        <f>IF(OR((($A100-Simulador!$E$8)/Simulador!$G$8)&lt;=0,(($A100-Simulador!$E$8)/Simulador!$G$8)&gt;=1),0,IF((($A100-Simulador!$E$8)/Simulador!$G$8)&lt;Simulador!$B$11,Simulador!$B$10*(1-COS(PI()*(($A100-Simulador!$E$8)/Simulador!$G$8)/Simulador!$B$11))/2,IF((($A100-Simulador!$E$8)/Simulador!$G$8)&gt;1-Simulador!$B$11,Simulador!$B$10*(1-COS(PI()*(1-(($A100-Simulador!$E$8)/Simulador!$G$8))/Simulador!$B$11))/2,Simulador!$B$10)))</f>
        <v/>
      </c>
      <c r="F100" s="46">
        <f>IF(OR((($A100-Simulador!$E$9)/Simulador!$G$9)&lt;=0,(($A100-Simulador!$E$9)/Simulador!$G$9)&gt;=1),0,IF((($A100-Simulador!$E$9)/Simulador!$G$9)&lt;Simulador!$B$11,Simulador!$B$10*(1-COS(PI()*(($A100-Simulador!$E$9)/Simulador!$G$9)/Simulador!$B$11))/2,IF((($A100-Simulador!$E$9)/Simulador!$G$9)&gt;1-Simulador!$B$11,Simulador!$B$10*(1-COS(PI()*(1-(($A100-Simulador!$E$9)/Simulador!$G$9))/Simulador!$B$11))/2,Simulador!$B$10)))</f>
        <v/>
      </c>
      <c r="G100" s="46">
        <f>IF(OR((($A100-Simulador!$E$10)/Simulador!$G$10)&lt;=0,(($A100-Simulador!$E$10)/Simulador!$G$10)&gt;=1),0,IF((($A100-Simulador!$E$10)/Simulador!$G$10)&lt;Simulador!$B$11,Simulador!$B$10*(1-COS(PI()*(($A100-Simulador!$E$10)/Simulador!$G$10)/Simulador!$B$11))/2,IF((($A100-Simulador!$E$10)/Simulador!$G$10)&gt;1-Simulador!$B$11,Simulador!$B$10*(1-COS(PI()*(1-(($A100-Simulador!$E$10)/Simulador!$G$10))/Simulador!$B$11))/2,Simulador!$B$10)))</f>
        <v/>
      </c>
      <c r="Q100" s="48">
        <f>IF(OR((($A100-(Simulador!$E$6+'Salto de dientes'!$B$12))/Simulador!$G$6)&lt;=0,(($A100-(Simulador!$E$6+'Salto de dientes'!$B$12))/Simulador!$G$6)&gt;=1),0,IF((($A100-(Simulador!$E$6+'Salto de dientes'!$B$12))/Simulador!$G$6)&lt;Simulador!$B$11,Simulador!$B$9*(1-COS(PI()*(($A100-(Simulador!$E$6+'Salto de dientes'!$B$12))/Simulador!$G$6)/Simulador!$B$11))/2,IF((($A100-(Simulador!$E$6+'Salto de dientes'!$B$12))/Simulador!$G$6)&gt;1-Simulador!$B$11,Simulador!$B$9*(1-COS(PI()*(1-(($A100-(Simulador!$E$6+'Salto de dientes'!$B$12))/Simulador!$G$6))/Simulador!$B$11))/2,Simulador!$B$9)))</f>
        <v/>
      </c>
      <c r="R100" s="48">
        <f>IF(OR((($A100-(Simulador!$E$9+'Salto de dientes'!$B$12))/Simulador!$G$9)&lt;=0,(($A100-(Simulador!$E$9+'Salto de dientes'!$B$12))/Simulador!$G$9)&gt;=1),0,IF((($A100-(Simulador!$E$9+'Salto de dientes'!$B$12))/Simulador!$G$9)&lt;Simulador!$B$11,Simulador!$B$10*(1-COS(PI()*(($A100-(Simulador!$E$9+'Salto de dientes'!$B$12))/Simulador!$G$9)/Simulador!$B$11))/2,IF((($A100-(Simulador!$E$9+'Salto de dientes'!$B$12))/Simulador!$G$9)&gt;1-Simulador!$B$11,Simulador!$B$10*(1-COS(PI()*(1-(($A100-(Simulador!$E$9+'Salto de dientes'!$B$12))/Simulador!$G$9))/Simulador!$B$11))/2,Simulador!$B$10)))</f>
        <v/>
      </c>
      <c r="W100" t="n">
        <v>114</v>
      </c>
      <c r="X100" s="48">
        <f>('Levas superpuestas'!$B$5+IF(OR(((W100-('Levas superpuestas'!$B$14-'Levas superpuestas'!$B$8/4))/('Levas superpuestas'!$B$8/2))&lt;=0,((W100-('Levas superpuestas'!$B$14-'Levas superpuestas'!$B$8/4))/('Levas superpuestas'!$B$8/2))&gt;=1),0,IF(((W100-('Levas superpuestas'!$B$14-'Levas superpuestas'!$B$8/4))/('Levas superpuestas'!$B$8/2))&lt;Simulador!$B$11,Simulador!$B$9*(1-COS(PI()*((W100-('Levas superpuestas'!$B$14-'Levas superpuestas'!$B$8/4))/('Levas superpuestas'!$B$8/2))/Simulador!$B$11))/2,IF(((W100-('Levas superpuestas'!$B$14-'Levas superpuestas'!$B$8/4))/('Levas superpuestas'!$B$8/2))&gt;1-Simulador!$B$11,Simulador!$B$9*(1-COS(PI()*(1-((W100-('Levas superpuestas'!$B$14-'Levas superpuestas'!$B$8/4))/('Levas superpuestas'!$B$8/2)))/Simulador!$B$11))/2,Simulador!$B$9))))*SIN(RADIANS(W100))</f>
        <v/>
      </c>
      <c r="Y100" s="48">
        <f>('Levas superpuestas'!$B$5+IF(OR(((W100-('Levas superpuestas'!$B$14-'Levas superpuestas'!$B$8/4))/('Levas superpuestas'!$B$8/2))&lt;=0,((W100-('Levas superpuestas'!$B$14-'Levas superpuestas'!$B$8/4))/('Levas superpuestas'!$B$8/2))&gt;=1),0,IF(((W100-('Levas superpuestas'!$B$14-'Levas superpuestas'!$B$8/4))/('Levas superpuestas'!$B$8/2))&lt;Simulador!$B$11,Simulador!$B$9*(1-COS(PI()*((W100-('Levas superpuestas'!$B$14-'Levas superpuestas'!$B$8/4))/('Levas superpuestas'!$B$8/2))/Simulador!$B$11))/2,IF(((W100-('Levas superpuestas'!$B$14-'Levas superpuestas'!$B$8/4))/('Levas superpuestas'!$B$8/2))&gt;1-Simulador!$B$11,Simulador!$B$9*(1-COS(PI()*(1-((W100-('Levas superpuestas'!$B$14-'Levas superpuestas'!$B$8/4))/('Levas superpuestas'!$B$8/2)))/Simulador!$B$11))/2,Simulador!$B$9))))*COS(RADIANS(W100))</f>
        <v/>
      </c>
      <c r="Z100" s="48">
        <f>('Levas superpuestas'!$B$5+IF(OR(((W100-('Levas superpuestas'!$B$15-'Levas superpuestas'!$B$9/4))/('Levas superpuestas'!$B$9/2))&lt;=0,((W100-('Levas superpuestas'!$B$15-'Levas superpuestas'!$B$9/4))/('Levas superpuestas'!$B$9/2))&gt;=1),0,IF(((W100-('Levas superpuestas'!$B$15-'Levas superpuestas'!$B$9/4))/('Levas superpuestas'!$B$9/2))&lt;Simulador!$B$11,Simulador!$B$10*(1-COS(PI()*((W100-('Levas superpuestas'!$B$15-'Levas superpuestas'!$B$9/4))/('Levas superpuestas'!$B$9/2))/Simulador!$B$11))/2,IF(((W100-('Levas superpuestas'!$B$15-'Levas superpuestas'!$B$9/4))/('Levas superpuestas'!$B$9/2))&gt;1-Simulador!$B$11,Simulador!$B$10*(1-COS(PI()*(1-((W100-('Levas superpuestas'!$B$15-'Levas superpuestas'!$B$9/4))/('Levas superpuestas'!$B$9/2)))/Simulador!$B$11))/2,Simulador!$B$10))))*SIN(RADIANS(W100))</f>
        <v/>
      </c>
      <c r="AA100" s="48">
        <f>('Levas superpuestas'!$B$5+IF(OR(((W100-('Levas superpuestas'!$B$15-'Levas superpuestas'!$B$9/4))/('Levas superpuestas'!$B$9/2))&lt;=0,((W100-('Levas superpuestas'!$B$15-'Levas superpuestas'!$B$9/4))/('Levas superpuestas'!$B$9/2))&gt;=1),0,IF(((W100-('Levas superpuestas'!$B$15-'Levas superpuestas'!$B$9/4))/('Levas superpuestas'!$B$9/2))&lt;Simulador!$B$11,Simulador!$B$10*(1-COS(PI()*((W100-('Levas superpuestas'!$B$15-'Levas superpuestas'!$B$9/4))/('Levas superpuestas'!$B$9/2))/Simulador!$B$11))/2,IF(((W100-('Levas superpuestas'!$B$15-'Levas superpuestas'!$B$9/4))/('Levas superpuestas'!$B$9/2))&gt;1-Simulador!$B$11,Simulador!$B$10*(1-COS(PI()*(1-((W100-('Levas superpuestas'!$B$15-'Levas superpuestas'!$B$9/4))/('Levas superpuestas'!$B$9/2)))/Simulador!$B$11))/2,Simulador!$B$10))))*COS(RADIANS(W100))</f>
        <v/>
      </c>
      <c r="AB100">
        <f>'Levas superpuestas'!$B$5*SIN(RADIANS(W100))</f>
        <v/>
      </c>
      <c r="AC100">
        <f>'Levas superpuestas'!$B$5*COS(RADIANS(W100))</f>
        <v/>
      </c>
    </row>
    <row r="101">
      <c r="A101" s="26">
        <f>A100+Simulador!$B$14</f>
        <v/>
      </c>
      <c r="B101" s="46">
        <f>IF(OR((($A101-Simulador!$E$5)/Simulador!$G$5)&lt;=0,(($A101-Simulador!$E$5)/Simulador!$G$5)&gt;=1),0,IF((($A101-Simulador!$E$5)/Simulador!$G$5)&lt;Simulador!$B$11,Simulador!$B$9*(1-COS(PI()*(($A101-Simulador!$E$5)/Simulador!$G$5)/Simulador!$B$11))/2,IF((($A101-Simulador!$E$5)/Simulador!$G$5)&gt;1-Simulador!$B$11,Simulador!$B$9*(1-COS(PI()*(1-(($A101-Simulador!$E$5)/Simulador!$G$5))/Simulador!$B$11))/2,Simulador!$B$9)))</f>
        <v/>
      </c>
      <c r="C101" s="46">
        <f>IF(OR((($A101-Simulador!$E$6)/Simulador!$G$6)&lt;=0,(($A101-Simulador!$E$6)/Simulador!$G$6)&gt;=1),0,IF((($A101-Simulador!$E$6)/Simulador!$G$6)&lt;Simulador!$B$11,Simulador!$B$9*(1-COS(PI()*(($A101-Simulador!$E$6)/Simulador!$G$6)/Simulador!$B$11))/2,IF((($A101-Simulador!$E$6)/Simulador!$G$6)&gt;1-Simulador!$B$11,Simulador!$B$9*(1-COS(PI()*(1-(($A101-Simulador!$E$6)/Simulador!$G$6))/Simulador!$B$11))/2,Simulador!$B$9)))</f>
        <v/>
      </c>
      <c r="D101" s="46">
        <f>IF(OR((($A101-Simulador!$E$7)/Simulador!$G$7)&lt;=0,(($A101-Simulador!$E$7)/Simulador!$G$7)&gt;=1),0,IF((($A101-Simulador!$E$7)/Simulador!$G$7)&lt;Simulador!$B$11,Simulador!$B$9*(1-COS(PI()*(($A101-Simulador!$E$7)/Simulador!$G$7)/Simulador!$B$11))/2,IF((($A101-Simulador!$E$7)/Simulador!$G$7)&gt;1-Simulador!$B$11,Simulador!$B$9*(1-COS(PI()*(1-(($A101-Simulador!$E$7)/Simulador!$G$7))/Simulador!$B$11))/2,Simulador!$B$9)))</f>
        <v/>
      </c>
      <c r="E101" s="46">
        <f>IF(OR((($A101-Simulador!$E$8)/Simulador!$G$8)&lt;=0,(($A101-Simulador!$E$8)/Simulador!$G$8)&gt;=1),0,IF((($A101-Simulador!$E$8)/Simulador!$G$8)&lt;Simulador!$B$11,Simulador!$B$10*(1-COS(PI()*(($A101-Simulador!$E$8)/Simulador!$G$8)/Simulador!$B$11))/2,IF((($A101-Simulador!$E$8)/Simulador!$G$8)&gt;1-Simulador!$B$11,Simulador!$B$10*(1-COS(PI()*(1-(($A101-Simulador!$E$8)/Simulador!$G$8))/Simulador!$B$11))/2,Simulador!$B$10)))</f>
        <v/>
      </c>
      <c r="F101" s="46">
        <f>IF(OR((($A101-Simulador!$E$9)/Simulador!$G$9)&lt;=0,(($A101-Simulador!$E$9)/Simulador!$G$9)&gt;=1),0,IF((($A101-Simulador!$E$9)/Simulador!$G$9)&lt;Simulador!$B$11,Simulador!$B$10*(1-COS(PI()*(($A101-Simulador!$E$9)/Simulador!$G$9)/Simulador!$B$11))/2,IF((($A101-Simulador!$E$9)/Simulador!$G$9)&gt;1-Simulador!$B$11,Simulador!$B$10*(1-COS(PI()*(1-(($A101-Simulador!$E$9)/Simulador!$G$9))/Simulador!$B$11))/2,Simulador!$B$10)))</f>
        <v/>
      </c>
      <c r="G101" s="46">
        <f>IF(OR((($A101-Simulador!$E$10)/Simulador!$G$10)&lt;=0,(($A101-Simulador!$E$10)/Simulador!$G$10)&gt;=1),0,IF((($A101-Simulador!$E$10)/Simulador!$G$10)&lt;Simulador!$B$11,Simulador!$B$10*(1-COS(PI()*(($A101-Simulador!$E$10)/Simulador!$G$10)/Simulador!$B$11))/2,IF((($A101-Simulador!$E$10)/Simulador!$G$10)&gt;1-Simulador!$B$11,Simulador!$B$10*(1-COS(PI()*(1-(($A101-Simulador!$E$10)/Simulador!$G$10))/Simulador!$B$11))/2,Simulador!$B$10)))</f>
        <v/>
      </c>
      <c r="Q101" s="48">
        <f>IF(OR((($A101-(Simulador!$E$6+'Salto de dientes'!$B$12))/Simulador!$G$6)&lt;=0,(($A101-(Simulador!$E$6+'Salto de dientes'!$B$12))/Simulador!$G$6)&gt;=1),0,IF((($A101-(Simulador!$E$6+'Salto de dientes'!$B$12))/Simulador!$G$6)&lt;Simulador!$B$11,Simulador!$B$9*(1-COS(PI()*(($A101-(Simulador!$E$6+'Salto de dientes'!$B$12))/Simulador!$G$6)/Simulador!$B$11))/2,IF((($A101-(Simulador!$E$6+'Salto de dientes'!$B$12))/Simulador!$G$6)&gt;1-Simulador!$B$11,Simulador!$B$9*(1-COS(PI()*(1-(($A101-(Simulador!$E$6+'Salto de dientes'!$B$12))/Simulador!$G$6))/Simulador!$B$11))/2,Simulador!$B$9)))</f>
        <v/>
      </c>
      <c r="R101" s="48">
        <f>IF(OR((($A101-(Simulador!$E$9+'Salto de dientes'!$B$12))/Simulador!$G$9)&lt;=0,(($A101-(Simulador!$E$9+'Salto de dientes'!$B$12))/Simulador!$G$9)&gt;=1),0,IF((($A101-(Simulador!$E$9+'Salto de dientes'!$B$12))/Simulador!$G$9)&lt;Simulador!$B$11,Simulador!$B$10*(1-COS(PI()*(($A101-(Simulador!$E$9+'Salto de dientes'!$B$12))/Simulador!$G$9)/Simulador!$B$11))/2,IF((($A101-(Simulador!$E$9+'Salto de dientes'!$B$12))/Simulador!$G$9)&gt;1-Simulador!$B$11,Simulador!$B$10*(1-COS(PI()*(1-(($A101-(Simulador!$E$9+'Salto de dientes'!$B$12))/Simulador!$G$9))/Simulador!$B$11))/2,Simulador!$B$10)))</f>
        <v/>
      </c>
      <c r="W101" t="n">
        <v>117</v>
      </c>
      <c r="X101" s="48">
        <f>('Levas superpuestas'!$B$5+IF(OR(((W101-('Levas superpuestas'!$B$14-'Levas superpuestas'!$B$8/4))/('Levas superpuestas'!$B$8/2))&lt;=0,((W101-('Levas superpuestas'!$B$14-'Levas superpuestas'!$B$8/4))/('Levas superpuestas'!$B$8/2))&gt;=1),0,IF(((W101-('Levas superpuestas'!$B$14-'Levas superpuestas'!$B$8/4))/('Levas superpuestas'!$B$8/2))&lt;Simulador!$B$11,Simulador!$B$9*(1-COS(PI()*((W101-('Levas superpuestas'!$B$14-'Levas superpuestas'!$B$8/4))/('Levas superpuestas'!$B$8/2))/Simulador!$B$11))/2,IF(((W101-('Levas superpuestas'!$B$14-'Levas superpuestas'!$B$8/4))/('Levas superpuestas'!$B$8/2))&gt;1-Simulador!$B$11,Simulador!$B$9*(1-COS(PI()*(1-((W101-('Levas superpuestas'!$B$14-'Levas superpuestas'!$B$8/4))/('Levas superpuestas'!$B$8/2)))/Simulador!$B$11))/2,Simulador!$B$9))))*SIN(RADIANS(W101))</f>
        <v/>
      </c>
      <c r="Y101" s="48">
        <f>('Levas superpuestas'!$B$5+IF(OR(((W101-('Levas superpuestas'!$B$14-'Levas superpuestas'!$B$8/4))/('Levas superpuestas'!$B$8/2))&lt;=0,((W101-('Levas superpuestas'!$B$14-'Levas superpuestas'!$B$8/4))/('Levas superpuestas'!$B$8/2))&gt;=1),0,IF(((W101-('Levas superpuestas'!$B$14-'Levas superpuestas'!$B$8/4))/('Levas superpuestas'!$B$8/2))&lt;Simulador!$B$11,Simulador!$B$9*(1-COS(PI()*((W101-('Levas superpuestas'!$B$14-'Levas superpuestas'!$B$8/4))/('Levas superpuestas'!$B$8/2))/Simulador!$B$11))/2,IF(((W101-('Levas superpuestas'!$B$14-'Levas superpuestas'!$B$8/4))/('Levas superpuestas'!$B$8/2))&gt;1-Simulador!$B$11,Simulador!$B$9*(1-COS(PI()*(1-((W101-('Levas superpuestas'!$B$14-'Levas superpuestas'!$B$8/4))/('Levas superpuestas'!$B$8/2)))/Simulador!$B$11))/2,Simulador!$B$9))))*COS(RADIANS(W101))</f>
        <v/>
      </c>
      <c r="Z101" s="48">
        <f>('Levas superpuestas'!$B$5+IF(OR(((W101-('Levas superpuestas'!$B$15-'Levas superpuestas'!$B$9/4))/('Levas superpuestas'!$B$9/2))&lt;=0,((W101-('Levas superpuestas'!$B$15-'Levas superpuestas'!$B$9/4))/('Levas superpuestas'!$B$9/2))&gt;=1),0,IF(((W101-('Levas superpuestas'!$B$15-'Levas superpuestas'!$B$9/4))/('Levas superpuestas'!$B$9/2))&lt;Simulador!$B$11,Simulador!$B$10*(1-COS(PI()*((W101-('Levas superpuestas'!$B$15-'Levas superpuestas'!$B$9/4))/('Levas superpuestas'!$B$9/2))/Simulador!$B$11))/2,IF(((W101-('Levas superpuestas'!$B$15-'Levas superpuestas'!$B$9/4))/('Levas superpuestas'!$B$9/2))&gt;1-Simulador!$B$11,Simulador!$B$10*(1-COS(PI()*(1-((W101-('Levas superpuestas'!$B$15-'Levas superpuestas'!$B$9/4))/('Levas superpuestas'!$B$9/2)))/Simulador!$B$11))/2,Simulador!$B$10))))*SIN(RADIANS(W101))</f>
        <v/>
      </c>
      <c r="AA101" s="48">
        <f>('Levas superpuestas'!$B$5+IF(OR(((W101-('Levas superpuestas'!$B$15-'Levas superpuestas'!$B$9/4))/('Levas superpuestas'!$B$9/2))&lt;=0,((W101-('Levas superpuestas'!$B$15-'Levas superpuestas'!$B$9/4))/('Levas superpuestas'!$B$9/2))&gt;=1),0,IF(((W101-('Levas superpuestas'!$B$15-'Levas superpuestas'!$B$9/4))/('Levas superpuestas'!$B$9/2))&lt;Simulador!$B$11,Simulador!$B$10*(1-COS(PI()*((W101-('Levas superpuestas'!$B$15-'Levas superpuestas'!$B$9/4))/('Levas superpuestas'!$B$9/2))/Simulador!$B$11))/2,IF(((W101-('Levas superpuestas'!$B$15-'Levas superpuestas'!$B$9/4))/('Levas superpuestas'!$B$9/2))&gt;1-Simulador!$B$11,Simulador!$B$10*(1-COS(PI()*(1-((W101-('Levas superpuestas'!$B$15-'Levas superpuestas'!$B$9/4))/('Levas superpuestas'!$B$9/2)))/Simulador!$B$11))/2,Simulador!$B$10))))*COS(RADIANS(W101))</f>
        <v/>
      </c>
      <c r="AB101">
        <f>'Levas superpuestas'!$B$5*SIN(RADIANS(W101))</f>
        <v/>
      </c>
      <c r="AC101">
        <f>'Levas superpuestas'!$B$5*COS(RADIANS(W101))</f>
        <v/>
      </c>
    </row>
    <row r="102">
      <c r="A102" s="26">
        <f>A101+Simulador!$B$14</f>
        <v/>
      </c>
      <c r="B102" s="46">
        <f>IF(OR((($A102-Simulador!$E$5)/Simulador!$G$5)&lt;=0,(($A102-Simulador!$E$5)/Simulador!$G$5)&gt;=1),0,IF((($A102-Simulador!$E$5)/Simulador!$G$5)&lt;Simulador!$B$11,Simulador!$B$9*(1-COS(PI()*(($A102-Simulador!$E$5)/Simulador!$G$5)/Simulador!$B$11))/2,IF((($A102-Simulador!$E$5)/Simulador!$G$5)&gt;1-Simulador!$B$11,Simulador!$B$9*(1-COS(PI()*(1-(($A102-Simulador!$E$5)/Simulador!$G$5))/Simulador!$B$11))/2,Simulador!$B$9)))</f>
        <v/>
      </c>
      <c r="C102" s="46">
        <f>IF(OR((($A102-Simulador!$E$6)/Simulador!$G$6)&lt;=0,(($A102-Simulador!$E$6)/Simulador!$G$6)&gt;=1),0,IF((($A102-Simulador!$E$6)/Simulador!$G$6)&lt;Simulador!$B$11,Simulador!$B$9*(1-COS(PI()*(($A102-Simulador!$E$6)/Simulador!$G$6)/Simulador!$B$11))/2,IF((($A102-Simulador!$E$6)/Simulador!$G$6)&gt;1-Simulador!$B$11,Simulador!$B$9*(1-COS(PI()*(1-(($A102-Simulador!$E$6)/Simulador!$G$6))/Simulador!$B$11))/2,Simulador!$B$9)))</f>
        <v/>
      </c>
      <c r="D102" s="46">
        <f>IF(OR((($A102-Simulador!$E$7)/Simulador!$G$7)&lt;=0,(($A102-Simulador!$E$7)/Simulador!$G$7)&gt;=1),0,IF((($A102-Simulador!$E$7)/Simulador!$G$7)&lt;Simulador!$B$11,Simulador!$B$9*(1-COS(PI()*(($A102-Simulador!$E$7)/Simulador!$G$7)/Simulador!$B$11))/2,IF((($A102-Simulador!$E$7)/Simulador!$G$7)&gt;1-Simulador!$B$11,Simulador!$B$9*(1-COS(PI()*(1-(($A102-Simulador!$E$7)/Simulador!$G$7))/Simulador!$B$11))/2,Simulador!$B$9)))</f>
        <v/>
      </c>
      <c r="E102" s="46">
        <f>IF(OR((($A102-Simulador!$E$8)/Simulador!$G$8)&lt;=0,(($A102-Simulador!$E$8)/Simulador!$G$8)&gt;=1),0,IF((($A102-Simulador!$E$8)/Simulador!$G$8)&lt;Simulador!$B$11,Simulador!$B$10*(1-COS(PI()*(($A102-Simulador!$E$8)/Simulador!$G$8)/Simulador!$B$11))/2,IF((($A102-Simulador!$E$8)/Simulador!$G$8)&gt;1-Simulador!$B$11,Simulador!$B$10*(1-COS(PI()*(1-(($A102-Simulador!$E$8)/Simulador!$G$8))/Simulador!$B$11))/2,Simulador!$B$10)))</f>
        <v/>
      </c>
      <c r="F102" s="46">
        <f>IF(OR((($A102-Simulador!$E$9)/Simulador!$G$9)&lt;=0,(($A102-Simulador!$E$9)/Simulador!$G$9)&gt;=1),0,IF((($A102-Simulador!$E$9)/Simulador!$G$9)&lt;Simulador!$B$11,Simulador!$B$10*(1-COS(PI()*(($A102-Simulador!$E$9)/Simulador!$G$9)/Simulador!$B$11))/2,IF((($A102-Simulador!$E$9)/Simulador!$G$9)&gt;1-Simulador!$B$11,Simulador!$B$10*(1-COS(PI()*(1-(($A102-Simulador!$E$9)/Simulador!$G$9))/Simulador!$B$11))/2,Simulador!$B$10)))</f>
        <v/>
      </c>
      <c r="G102" s="46">
        <f>IF(OR((($A102-Simulador!$E$10)/Simulador!$G$10)&lt;=0,(($A102-Simulador!$E$10)/Simulador!$G$10)&gt;=1),0,IF((($A102-Simulador!$E$10)/Simulador!$G$10)&lt;Simulador!$B$11,Simulador!$B$10*(1-COS(PI()*(($A102-Simulador!$E$10)/Simulador!$G$10)/Simulador!$B$11))/2,IF((($A102-Simulador!$E$10)/Simulador!$G$10)&gt;1-Simulador!$B$11,Simulador!$B$10*(1-COS(PI()*(1-(($A102-Simulador!$E$10)/Simulador!$G$10))/Simulador!$B$11))/2,Simulador!$B$10)))</f>
        <v/>
      </c>
      <c r="Q102" s="48">
        <f>IF(OR((($A102-(Simulador!$E$6+'Salto de dientes'!$B$12))/Simulador!$G$6)&lt;=0,(($A102-(Simulador!$E$6+'Salto de dientes'!$B$12))/Simulador!$G$6)&gt;=1),0,IF((($A102-(Simulador!$E$6+'Salto de dientes'!$B$12))/Simulador!$G$6)&lt;Simulador!$B$11,Simulador!$B$9*(1-COS(PI()*(($A102-(Simulador!$E$6+'Salto de dientes'!$B$12))/Simulador!$G$6)/Simulador!$B$11))/2,IF((($A102-(Simulador!$E$6+'Salto de dientes'!$B$12))/Simulador!$G$6)&gt;1-Simulador!$B$11,Simulador!$B$9*(1-COS(PI()*(1-(($A102-(Simulador!$E$6+'Salto de dientes'!$B$12))/Simulador!$G$6))/Simulador!$B$11))/2,Simulador!$B$9)))</f>
        <v/>
      </c>
      <c r="R102" s="48">
        <f>IF(OR((($A102-(Simulador!$E$9+'Salto de dientes'!$B$12))/Simulador!$G$9)&lt;=0,(($A102-(Simulador!$E$9+'Salto de dientes'!$B$12))/Simulador!$G$9)&gt;=1),0,IF((($A102-(Simulador!$E$9+'Salto de dientes'!$B$12))/Simulador!$G$9)&lt;Simulador!$B$11,Simulador!$B$10*(1-COS(PI()*(($A102-(Simulador!$E$9+'Salto de dientes'!$B$12))/Simulador!$G$9)/Simulador!$B$11))/2,IF((($A102-(Simulador!$E$9+'Salto de dientes'!$B$12))/Simulador!$G$9)&gt;1-Simulador!$B$11,Simulador!$B$10*(1-COS(PI()*(1-(($A102-(Simulador!$E$9+'Salto de dientes'!$B$12))/Simulador!$G$9))/Simulador!$B$11))/2,Simulador!$B$10)))</f>
        <v/>
      </c>
      <c r="W102" t="n">
        <v>120</v>
      </c>
      <c r="X102" s="48">
        <f>('Levas superpuestas'!$B$5+IF(OR(((W102-('Levas superpuestas'!$B$14-'Levas superpuestas'!$B$8/4))/('Levas superpuestas'!$B$8/2))&lt;=0,((W102-('Levas superpuestas'!$B$14-'Levas superpuestas'!$B$8/4))/('Levas superpuestas'!$B$8/2))&gt;=1),0,IF(((W102-('Levas superpuestas'!$B$14-'Levas superpuestas'!$B$8/4))/('Levas superpuestas'!$B$8/2))&lt;Simulador!$B$11,Simulador!$B$9*(1-COS(PI()*((W102-('Levas superpuestas'!$B$14-'Levas superpuestas'!$B$8/4))/('Levas superpuestas'!$B$8/2))/Simulador!$B$11))/2,IF(((W102-('Levas superpuestas'!$B$14-'Levas superpuestas'!$B$8/4))/('Levas superpuestas'!$B$8/2))&gt;1-Simulador!$B$11,Simulador!$B$9*(1-COS(PI()*(1-((W102-('Levas superpuestas'!$B$14-'Levas superpuestas'!$B$8/4))/('Levas superpuestas'!$B$8/2)))/Simulador!$B$11))/2,Simulador!$B$9))))*SIN(RADIANS(W102))</f>
        <v/>
      </c>
      <c r="Y102" s="48">
        <f>('Levas superpuestas'!$B$5+IF(OR(((W102-('Levas superpuestas'!$B$14-'Levas superpuestas'!$B$8/4))/('Levas superpuestas'!$B$8/2))&lt;=0,((W102-('Levas superpuestas'!$B$14-'Levas superpuestas'!$B$8/4))/('Levas superpuestas'!$B$8/2))&gt;=1),0,IF(((W102-('Levas superpuestas'!$B$14-'Levas superpuestas'!$B$8/4))/('Levas superpuestas'!$B$8/2))&lt;Simulador!$B$11,Simulador!$B$9*(1-COS(PI()*((W102-('Levas superpuestas'!$B$14-'Levas superpuestas'!$B$8/4))/('Levas superpuestas'!$B$8/2))/Simulador!$B$11))/2,IF(((W102-('Levas superpuestas'!$B$14-'Levas superpuestas'!$B$8/4))/('Levas superpuestas'!$B$8/2))&gt;1-Simulador!$B$11,Simulador!$B$9*(1-COS(PI()*(1-((W102-('Levas superpuestas'!$B$14-'Levas superpuestas'!$B$8/4))/('Levas superpuestas'!$B$8/2)))/Simulador!$B$11))/2,Simulador!$B$9))))*COS(RADIANS(W102))</f>
        <v/>
      </c>
      <c r="Z102" s="48">
        <f>('Levas superpuestas'!$B$5+IF(OR(((W102-('Levas superpuestas'!$B$15-'Levas superpuestas'!$B$9/4))/('Levas superpuestas'!$B$9/2))&lt;=0,((W102-('Levas superpuestas'!$B$15-'Levas superpuestas'!$B$9/4))/('Levas superpuestas'!$B$9/2))&gt;=1),0,IF(((W102-('Levas superpuestas'!$B$15-'Levas superpuestas'!$B$9/4))/('Levas superpuestas'!$B$9/2))&lt;Simulador!$B$11,Simulador!$B$10*(1-COS(PI()*((W102-('Levas superpuestas'!$B$15-'Levas superpuestas'!$B$9/4))/('Levas superpuestas'!$B$9/2))/Simulador!$B$11))/2,IF(((W102-('Levas superpuestas'!$B$15-'Levas superpuestas'!$B$9/4))/('Levas superpuestas'!$B$9/2))&gt;1-Simulador!$B$11,Simulador!$B$10*(1-COS(PI()*(1-((W102-('Levas superpuestas'!$B$15-'Levas superpuestas'!$B$9/4))/('Levas superpuestas'!$B$9/2)))/Simulador!$B$11))/2,Simulador!$B$10))))*SIN(RADIANS(W102))</f>
        <v/>
      </c>
      <c r="AA102" s="48">
        <f>('Levas superpuestas'!$B$5+IF(OR(((W102-('Levas superpuestas'!$B$15-'Levas superpuestas'!$B$9/4))/('Levas superpuestas'!$B$9/2))&lt;=0,((W102-('Levas superpuestas'!$B$15-'Levas superpuestas'!$B$9/4))/('Levas superpuestas'!$B$9/2))&gt;=1),0,IF(((W102-('Levas superpuestas'!$B$15-'Levas superpuestas'!$B$9/4))/('Levas superpuestas'!$B$9/2))&lt;Simulador!$B$11,Simulador!$B$10*(1-COS(PI()*((W102-('Levas superpuestas'!$B$15-'Levas superpuestas'!$B$9/4))/('Levas superpuestas'!$B$9/2))/Simulador!$B$11))/2,IF(((W102-('Levas superpuestas'!$B$15-'Levas superpuestas'!$B$9/4))/('Levas superpuestas'!$B$9/2))&gt;1-Simulador!$B$11,Simulador!$B$10*(1-COS(PI()*(1-((W102-('Levas superpuestas'!$B$15-'Levas superpuestas'!$B$9/4))/('Levas superpuestas'!$B$9/2)))/Simulador!$B$11))/2,Simulador!$B$10))))*COS(RADIANS(W102))</f>
        <v/>
      </c>
      <c r="AB102">
        <f>'Levas superpuestas'!$B$5*SIN(RADIANS(W102))</f>
        <v/>
      </c>
      <c r="AC102">
        <f>'Levas superpuestas'!$B$5*COS(RADIANS(W102))</f>
        <v/>
      </c>
    </row>
    <row r="103">
      <c r="A103" s="26">
        <f>A102+Simulador!$B$14</f>
        <v/>
      </c>
      <c r="B103" s="46">
        <f>IF(OR((($A103-Simulador!$E$5)/Simulador!$G$5)&lt;=0,(($A103-Simulador!$E$5)/Simulador!$G$5)&gt;=1),0,IF((($A103-Simulador!$E$5)/Simulador!$G$5)&lt;Simulador!$B$11,Simulador!$B$9*(1-COS(PI()*(($A103-Simulador!$E$5)/Simulador!$G$5)/Simulador!$B$11))/2,IF((($A103-Simulador!$E$5)/Simulador!$G$5)&gt;1-Simulador!$B$11,Simulador!$B$9*(1-COS(PI()*(1-(($A103-Simulador!$E$5)/Simulador!$G$5))/Simulador!$B$11))/2,Simulador!$B$9)))</f>
        <v/>
      </c>
      <c r="C103" s="46">
        <f>IF(OR((($A103-Simulador!$E$6)/Simulador!$G$6)&lt;=0,(($A103-Simulador!$E$6)/Simulador!$G$6)&gt;=1),0,IF((($A103-Simulador!$E$6)/Simulador!$G$6)&lt;Simulador!$B$11,Simulador!$B$9*(1-COS(PI()*(($A103-Simulador!$E$6)/Simulador!$G$6)/Simulador!$B$11))/2,IF((($A103-Simulador!$E$6)/Simulador!$G$6)&gt;1-Simulador!$B$11,Simulador!$B$9*(1-COS(PI()*(1-(($A103-Simulador!$E$6)/Simulador!$G$6))/Simulador!$B$11))/2,Simulador!$B$9)))</f>
        <v/>
      </c>
      <c r="D103" s="46">
        <f>IF(OR((($A103-Simulador!$E$7)/Simulador!$G$7)&lt;=0,(($A103-Simulador!$E$7)/Simulador!$G$7)&gt;=1),0,IF((($A103-Simulador!$E$7)/Simulador!$G$7)&lt;Simulador!$B$11,Simulador!$B$9*(1-COS(PI()*(($A103-Simulador!$E$7)/Simulador!$G$7)/Simulador!$B$11))/2,IF((($A103-Simulador!$E$7)/Simulador!$G$7)&gt;1-Simulador!$B$11,Simulador!$B$9*(1-COS(PI()*(1-(($A103-Simulador!$E$7)/Simulador!$G$7))/Simulador!$B$11))/2,Simulador!$B$9)))</f>
        <v/>
      </c>
      <c r="E103" s="46">
        <f>IF(OR((($A103-Simulador!$E$8)/Simulador!$G$8)&lt;=0,(($A103-Simulador!$E$8)/Simulador!$G$8)&gt;=1),0,IF((($A103-Simulador!$E$8)/Simulador!$G$8)&lt;Simulador!$B$11,Simulador!$B$10*(1-COS(PI()*(($A103-Simulador!$E$8)/Simulador!$G$8)/Simulador!$B$11))/2,IF((($A103-Simulador!$E$8)/Simulador!$G$8)&gt;1-Simulador!$B$11,Simulador!$B$10*(1-COS(PI()*(1-(($A103-Simulador!$E$8)/Simulador!$G$8))/Simulador!$B$11))/2,Simulador!$B$10)))</f>
        <v/>
      </c>
      <c r="F103" s="46">
        <f>IF(OR((($A103-Simulador!$E$9)/Simulador!$G$9)&lt;=0,(($A103-Simulador!$E$9)/Simulador!$G$9)&gt;=1),0,IF((($A103-Simulador!$E$9)/Simulador!$G$9)&lt;Simulador!$B$11,Simulador!$B$10*(1-COS(PI()*(($A103-Simulador!$E$9)/Simulador!$G$9)/Simulador!$B$11))/2,IF((($A103-Simulador!$E$9)/Simulador!$G$9)&gt;1-Simulador!$B$11,Simulador!$B$10*(1-COS(PI()*(1-(($A103-Simulador!$E$9)/Simulador!$G$9))/Simulador!$B$11))/2,Simulador!$B$10)))</f>
        <v/>
      </c>
      <c r="G103" s="46">
        <f>IF(OR((($A103-Simulador!$E$10)/Simulador!$G$10)&lt;=0,(($A103-Simulador!$E$10)/Simulador!$G$10)&gt;=1),0,IF((($A103-Simulador!$E$10)/Simulador!$G$10)&lt;Simulador!$B$11,Simulador!$B$10*(1-COS(PI()*(($A103-Simulador!$E$10)/Simulador!$G$10)/Simulador!$B$11))/2,IF((($A103-Simulador!$E$10)/Simulador!$G$10)&gt;1-Simulador!$B$11,Simulador!$B$10*(1-COS(PI()*(1-(($A103-Simulador!$E$10)/Simulador!$G$10))/Simulador!$B$11))/2,Simulador!$B$10)))</f>
        <v/>
      </c>
      <c r="Q103" s="48">
        <f>IF(OR((($A103-(Simulador!$E$6+'Salto de dientes'!$B$12))/Simulador!$G$6)&lt;=0,(($A103-(Simulador!$E$6+'Salto de dientes'!$B$12))/Simulador!$G$6)&gt;=1),0,IF((($A103-(Simulador!$E$6+'Salto de dientes'!$B$12))/Simulador!$G$6)&lt;Simulador!$B$11,Simulador!$B$9*(1-COS(PI()*(($A103-(Simulador!$E$6+'Salto de dientes'!$B$12))/Simulador!$G$6)/Simulador!$B$11))/2,IF((($A103-(Simulador!$E$6+'Salto de dientes'!$B$12))/Simulador!$G$6)&gt;1-Simulador!$B$11,Simulador!$B$9*(1-COS(PI()*(1-(($A103-(Simulador!$E$6+'Salto de dientes'!$B$12))/Simulador!$G$6))/Simulador!$B$11))/2,Simulador!$B$9)))</f>
        <v/>
      </c>
      <c r="R103" s="48">
        <f>IF(OR((($A103-(Simulador!$E$9+'Salto de dientes'!$B$12))/Simulador!$G$9)&lt;=0,(($A103-(Simulador!$E$9+'Salto de dientes'!$B$12))/Simulador!$G$9)&gt;=1),0,IF((($A103-(Simulador!$E$9+'Salto de dientes'!$B$12))/Simulador!$G$9)&lt;Simulador!$B$11,Simulador!$B$10*(1-COS(PI()*(($A103-(Simulador!$E$9+'Salto de dientes'!$B$12))/Simulador!$G$9)/Simulador!$B$11))/2,IF((($A103-(Simulador!$E$9+'Salto de dientes'!$B$12))/Simulador!$G$9)&gt;1-Simulador!$B$11,Simulador!$B$10*(1-COS(PI()*(1-(($A103-(Simulador!$E$9+'Salto de dientes'!$B$12))/Simulador!$G$9))/Simulador!$B$11))/2,Simulador!$B$10)))</f>
        <v/>
      </c>
      <c r="W103" t="n">
        <v>123</v>
      </c>
      <c r="X103" s="48">
        <f>('Levas superpuestas'!$B$5+IF(OR(((W103-('Levas superpuestas'!$B$14-'Levas superpuestas'!$B$8/4))/('Levas superpuestas'!$B$8/2))&lt;=0,((W103-('Levas superpuestas'!$B$14-'Levas superpuestas'!$B$8/4))/('Levas superpuestas'!$B$8/2))&gt;=1),0,IF(((W103-('Levas superpuestas'!$B$14-'Levas superpuestas'!$B$8/4))/('Levas superpuestas'!$B$8/2))&lt;Simulador!$B$11,Simulador!$B$9*(1-COS(PI()*((W103-('Levas superpuestas'!$B$14-'Levas superpuestas'!$B$8/4))/('Levas superpuestas'!$B$8/2))/Simulador!$B$11))/2,IF(((W103-('Levas superpuestas'!$B$14-'Levas superpuestas'!$B$8/4))/('Levas superpuestas'!$B$8/2))&gt;1-Simulador!$B$11,Simulador!$B$9*(1-COS(PI()*(1-((W103-('Levas superpuestas'!$B$14-'Levas superpuestas'!$B$8/4))/('Levas superpuestas'!$B$8/2)))/Simulador!$B$11))/2,Simulador!$B$9))))*SIN(RADIANS(W103))</f>
        <v/>
      </c>
      <c r="Y103" s="48">
        <f>('Levas superpuestas'!$B$5+IF(OR(((W103-('Levas superpuestas'!$B$14-'Levas superpuestas'!$B$8/4))/('Levas superpuestas'!$B$8/2))&lt;=0,((W103-('Levas superpuestas'!$B$14-'Levas superpuestas'!$B$8/4))/('Levas superpuestas'!$B$8/2))&gt;=1),0,IF(((W103-('Levas superpuestas'!$B$14-'Levas superpuestas'!$B$8/4))/('Levas superpuestas'!$B$8/2))&lt;Simulador!$B$11,Simulador!$B$9*(1-COS(PI()*((W103-('Levas superpuestas'!$B$14-'Levas superpuestas'!$B$8/4))/('Levas superpuestas'!$B$8/2))/Simulador!$B$11))/2,IF(((W103-('Levas superpuestas'!$B$14-'Levas superpuestas'!$B$8/4))/('Levas superpuestas'!$B$8/2))&gt;1-Simulador!$B$11,Simulador!$B$9*(1-COS(PI()*(1-((W103-('Levas superpuestas'!$B$14-'Levas superpuestas'!$B$8/4))/('Levas superpuestas'!$B$8/2)))/Simulador!$B$11))/2,Simulador!$B$9))))*COS(RADIANS(W103))</f>
        <v/>
      </c>
      <c r="Z103" s="48">
        <f>('Levas superpuestas'!$B$5+IF(OR(((W103-('Levas superpuestas'!$B$15-'Levas superpuestas'!$B$9/4))/('Levas superpuestas'!$B$9/2))&lt;=0,((W103-('Levas superpuestas'!$B$15-'Levas superpuestas'!$B$9/4))/('Levas superpuestas'!$B$9/2))&gt;=1),0,IF(((W103-('Levas superpuestas'!$B$15-'Levas superpuestas'!$B$9/4))/('Levas superpuestas'!$B$9/2))&lt;Simulador!$B$11,Simulador!$B$10*(1-COS(PI()*((W103-('Levas superpuestas'!$B$15-'Levas superpuestas'!$B$9/4))/('Levas superpuestas'!$B$9/2))/Simulador!$B$11))/2,IF(((W103-('Levas superpuestas'!$B$15-'Levas superpuestas'!$B$9/4))/('Levas superpuestas'!$B$9/2))&gt;1-Simulador!$B$11,Simulador!$B$10*(1-COS(PI()*(1-((W103-('Levas superpuestas'!$B$15-'Levas superpuestas'!$B$9/4))/('Levas superpuestas'!$B$9/2)))/Simulador!$B$11))/2,Simulador!$B$10))))*SIN(RADIANS(W103))</f>
        <v/>
      </c>
      <c r="AA103" s="48">
        <f>('Levas superpuestas'!$B$5+IF(OR(((W103-('Levas superpuestas'!$B$15-'Levas superpuestas'!$B$9/4))/('Levas superpuestas'!$B$9/2))&lt;=0,((W103-('Levas superpuestas'!$B$15-'Levas superpuestas'!$B$9/4))/('Levas superpuestas'!$B$9/2))&gt;=1),0,IF(((W103-('Levas superpuestas'!$B$15-'Levas superpuestas'!$B$9/4))/('Levas superpuestas'!$B$9/2))&lt;Simulador!$B$11,Simulador!$B$10*(1-COS(PI()*((W103-('Levas superpuestas'!$B$15-'Levas superpuestas'!$B$9/4))/('Levas superpuestas'!$B$9/2))/Simulador!$B$11))/2,IF(((W103-('Levas superpuestas'!$B$15-'Levas superpuestas'!$B$9/4))/('Levas superpuestas'!$B$9/2))&gt;1-Simulador!$B$11,Simulador!$B$10*(1-COS(PI()*(1-((W103-('Levas superpuestas'!$B$15-'Levas superpuestas'!$B$9/4))/('Levas superpuestas'!$B$9/2)))/Simulador!$B$11))/2,Simulador!$B$10))))*COS(RADIANS(W103))</f>
        <v/>
      </c>
      <c r="AB103">
        <f>'Levas superpuestas'!$B$5*SIN(RADIANS(W103))</f>
        <v/>
      </c>
      <c r="AC103">
        <f>'Levas superpuestas'!$B$5*COS(RADIANS(W103))</f>
        <v/>
      </c>
    </row>
    <row r="104">
      <c r="A104" s="26">
        <f>A103+Simulador!$B$14</f>
        <v/>
      </c>
      <c r="B104" s="46">
        <f>IF(OR((($A104-Simulador!$E$5)/Simulador!$G$5)&lt;=0,(($A104-Simulador!$E$5)/Simulador!$G$5)&gt;=1),0,IF((($A104-Simulador!$E$5)/Simulador!$G$5)&lt;Simulador!$B$11,Simulador!$B$9*(1-COS(PI()*(($A104-Simulador!$E$5)/Simulador!$G$5)/Simulador!$B$11))/2,IF((($A104-Simulador!$E$5)/Simulador!$G$5)&gt;1-Simulador!$B$11,Simulador!$B$9*(1-COS(PI()*(1-(($A104-Simulador!$E$5)/Simulador!$G$5))/Simulador!$B$11))/2,Simulador!$B$9)))</f>
        <v/>
      </c>
      <c r="C104" s="46">
        <f>IF(OR((($A104-Simulador!$E$6)/Simulador!$G$6)&lt;=0,(($A104-Simulador!$E$6)/Simulador!$G$6)&gt;=1),0,IF((($A104-Simulador!$E$6)/Simulador!$G$6)&lt;Simulador!$B$11,Simulador!$B$9*(1-COS(PI()*(($A104-Simulador!$E$6)/Simulador!$G$6)/Simulador!$B$11))/2,IF((($A104-Simulador!$E$6)/Simulador!$G$6)&gt;1-Simulador!$B$11,Simulador!$B$9*(1-COS(PI()*(1-(($A104-Simulador!$E$6)/Simulador!$G$6))/Simulador!$B$11))/2,Simulador!$B$9)))</f>
        <v/>
      </c>
      <c r="D104" s="46">
        <f>IF(OR((($A104-Simulador!$E$7)/Simulador!$G$7)&lt;=0,(($A104-Simulador!$E$7)/Simulador!$G$7)&gt;=1),0,IF((($A104-Simulador!$E$7)/Simulador!$G$7)&lt;Simulador!$B$11,Simulador!$B$9*(1-COS(PI()*(($A104-Simulador!$E$7)/Simulador!$G$7)/Simulador!$B$11))/2,IF((($A104-Simulador!$E$7)/Simulador!$G$7)&gt;1-Simulador!$B$11,Simulador!$B$9*(1-COS(PI()*(1-(($A104-Simulador!$E$7)/Simulador!$G$7))/Simulador!$B$11))/2,Simulador!$B$9)))</f>
        <v/>
      </c>
      <c r="E104" s="46">
        <f>IF(OR((($A104-Simulador!$E$8)/Simulador!$G$8)&lt;=0,(($A104-Simulador!$E$8)/Simulador!$G$8)&gt;=1),0,IF((($A104-Simulador!$E$8)/Simulador!$G$8)&lt;Simulador!$B$11,Simulador!$B$10*(1-COS(PI()*(($A104-Simulador!$E$8)/Simulador!$G$8)/Simulador!$B$11))/2,IF((($A104-Simulador!$E$8)/Simulador!$G$8)&gt;1-Simulador!$B$11,Simulador!$B$10*(1-COS(PI()*(1-(($A104-Simulador!$E$8)/Simulador!$G$8))/Simulador!$B$11))/2,Simulador!$B$10)))</f>
        <v/>
      </c>
      <c r="F104" s="46">
        <f>IF(OR((($A104-Simulador!$E$9)/Simulador!$G$9)&lt;=0,(($A104-Simulador!$E$9)/Simulador!$G$9)&gt;=1),0,IF((($A104-Simulador!$E$9)/Simulador!$G$9)&lt;Simulador!$B$11,Simulador!$B$10*(1-COS(PI()*(($A104-Simulador!$E$9)/Simulador!$G$9)/Simulador!$B$11))/2,IF((($A104-Simulador!$E$9)/Simulador!$G$9)&gt;1-Simulador!$B$11,Simulador!$B$10*(1-COS(PI()*(1-(($A104-Simulador!$E$9)/Simulador!$G$9))/Simulador!$B$11))/2,Simulador!$B$10)))</f>
        <v/>
      </c>
      <c r="G104" s="46">
        <f>IF(OR((($A104-Simulador!$E$10)/Simulador!$G$10)&lt;=0,(($A104-Simulador!$E$10)/Simulador!$G$10)&gt;=1),0,IF((($A104-Simulador!$E$10)/Simulador!$G$10)&lt;Simulador!$B$11,Simulador!$B$10*(1-COS(PI()*(($A104-Simulador!$E$10)/Simulador!$G$10)/Simulador!$B$11))/2,IF((($A104-Simulador!$E$10)/Simulador!$G$10)&gt;1-Simulador!$B$11,Simulador!$B$10*(1-COS(PI()*(1-(($A104-Simulador!$E$10)/Simulador!$G$10))/Simulador!$B$11))/2,Simulador!$B$10)))</f>
        <v/>
      </c>
      <c r="Q104" s="48">
        <f>IF(OR((($A104-(Simulador!$E$6+'Salto de dientes'!$B$12))/Simulador!$G$6)&lt;=0,(($A104-(Simulador!$E$6+'Salto de dientes'!$B$12))/Simulador!$G$6)&gt;=1),0,IF((($A104-(Simulador!$E$6+'Salto de dientes'!$B$12))/Simulador!$G$6)&lt;Simulador!$B$11,Simulador!$B$9*(1-COS(PI()*(($A104-(Simulador!$E$6+'Salto de dientes'!$B$12))/Simulador!$G$6)/Simulador!$B$11))/2,IF((($A104-(Simulador!$E$6+'Salto de dientes'!$B$12))/Simulador!$G$6)&gt;1-Simulador!$B$11,Simulador!$B$9*(1-COS(PI()*(1-(($A104-(Simulador!$E$6+'Salto de dientes'!$B$12))/Simulador!$G$6))/Simulador!$B$11))/2,Simulador!$B$9)))</f>
        <v/>
      </c>
      <c r="R104" s="48">
        <f>IF(OR((($A104-(Simulador!$E$9+'Salto de dientes'!$B$12))/Simulador!$G$9)&lt;=0,(($A104-(Simulador!$E$9+'Salto de dientes'!$B$12))/Simulador!$G$9)&gt;=1),0,IF((($A104-(Simulador!$E$9+'Salto de dientes'!$B$12))/Simulador!$G$9)&lt;Simulador!$B$11,Simulador!$B$10*(1-COS(PI()*(($A104-(Simulador!$E$9+'Salto de dientes'!$B$12))/Simulador!$G$9)/Simulador!$B$11))/2,IF((($A104-(Simulador!$E$9+'Salto de dientes'!$B$12))/Simulador!$G$9)&gt;1-Simulador!$B$11,Simulador!$B$10*(1-COS(PI()*(1-(($A104-(Simulador!$E$9+'Salto de dientes'!$B$12))/Simulador!$G$9))/Simulador!$B$11))/2,Simulador!$B$10)))</f>
        <v/>
      </c>
      <c r="W104" t="n">
        <v>126</v>
      </c>
      <c r="X104" s="48">
        <f>('Levas superpuestas'!$B$5+IF(OR(((W104-('Levas superpuestas'!$B$14-'Levas superpuestas'!$B$8/4))/('Levas superpuestas'!$B$8/2))&lt;=0,((W104-('Levas superpuestas'!$B$14-'Levas superpuestas'!$B$8/4))/('Levas superpuestas'!$B$8/2))&gt;=1),0,IF(((W104-('Levas superpuestas'!$B$14-'Levas superpuestas'!$B$8/4))/('Levas superpuestas'!$B$8/2))&lt;Simulador!$B$11,Simulador!$B$9*(1-COS(PI()*((W104-('Levas superpuestas'!$B$14-'Levas superpuestas'!$B$8/4))/('Levas superpuestas'!$B$8/2))/Simulador!$B$11))/2,IF(((W104-('Levas superpuestas'!$B$14-'Levas superpuestas'!$B$8/4))/('Levas superpuestas'!$B$8/2))&gt;1-Simulador!$B$11,Simulador!$B$9*(1-COS(PI()*(1-((W104-('Levas superpuestas'!$B$14-'Levas superpuestas'!$B$8/4))/('Levas superpuestas'!$B$8/2)))/Simulador!$B$11))/2,Simulador!$B$9))))*SIN(RADIANS(W104))</f>
        <v/>
      </c>
      <c r="Y104" s="48">
        <f>('Levas superpuestas'!$B$5+IF(OR(((W104-('Levas superpuestas'!$B$14-'Levas superpuestas'!$B$8/4))/('Levas superpuestas'!$B$8/2))&lt;=0,((W104-('Levas superpuestas'!$B$14-'Levas superpuestas'!$B$8/4))/('Levas superpuestas'!$B$8/2))&gt;=1),0,IF(((W104-('Levas superpuestas'!$B$14-'Levas superpuestas'!$B$8/4))/('Levas superpuestas'!$B$8/2))&lt;Simulador!$B$11,Simulador!$B$9*(1-COS(PI()*((W104-('Levas superpuestas'!$B$14-'Levas superpuestas'!$B$8/4))/('Levas superpuestas'!$B$8/2))/Simulador!$B$11))/2,IF(((W104-('Levas superpuestas'!$B$14-'Levas superpuestas'!$B$8/4))/('Levas superpuestas'!$B$8/2))&gt;1-Simulador!$B$11,Simulador!$B$9*(1-COS(PI()*(1-((W104-('Levas superpuestas'!$B$14-'Levas superpuestas'!$B$8/4))/('Levas superpuestas'!$B$8/2)))/Simulador!$B$11))/2,Simulador!$B$9))))*COS(RADIANS(W104))</f>
        <v/>
      </c>
      <c r="Z104" s="48">
        <f>('Levas superpuestas'!$B$5+IF(OR(((W104-('Levas superpuestas'!$B$15-'Levas superpuestas'!$B$9/4))/('Levas superpuestas'!$B$9/2))&lt;=0,((W104-('Levas superpuestas'!$B$15-'Levas superpuestas'!$B$9/4))/('Levas superpuestas'!$B$9/2))&gt;=1),0,IF(((W104-('Levas superpuestas'!$B$15-'Levas superpuestas'!$B$9/4))/('Levas superpuestas'!$B$9/2))&lt;Simulador!$B$11,Simulador!$B$10*(1-COS(PI()*((W104-('Levas superpuestas'!$B$15-'Levas superpuestas'!$B$9/4))/('Levas superpuestas'!$B$9/2))/Simulador!$B$11))/2,IF(((W104-('Levas superpuestas'!$B$15-'Levas superpuestas'!$B$9/4))/('Levas superpuestas'!$B$9/2))&gt;1-Simulador!$B$11,Simulador!$B$10*(1-COS(PI()*(1-((W104-('Levas superpuestas'!$B$15-'Levas superpuestas'!$B$9/4))/('Levas superpuestas'!$B$9/2)))/Simulador!$B$11))/2,Simulador!$B$10))))*SIN(RADIANS(W104))</f>
        <v/>
      </c>
      <c r="AA104" s="48">
        <f>('Levas superpuestas'!$B$5+IF(OR(((W104-('Levas superpuestas'!$B$15-'Levas superpuestas'!$B$9/4))/('Levas superpuestas'!$B$9/2))&lt;=0,((W104-('Levas superpuestas'!$B$15-'Levas superpuestas'!$B$9/4))/('Levas superpuestas'!$B$9/2))&gt;=1),0,IF(((W104-('Levas superpuestas'!$B$15-'Levas superpuestas'!$B$9/4))/('Levas superpuestas'!$B$9/2))&lt;Simulador!$B$11,Simulador!$B$10*(1-COS(PI()*((W104-('Levas superpuestas'!$B$15-'Levas superpuestas'!$B$9/4))/('Levas superpuestas'!$B$9/2))/Simulador!$B$11))/2,IF(((W104-('Levas superpuestas'!$B$15-'Levas superpuestas'!$B$9/4))/('Levas superpuestas'!$B$9/2))&gt;1-Simulador!$B$11,Simulador!$B$10*(1-COS(PI()*(1-((W104-('Levas superpuestas'!$B$15-'Levas superpuestas'!$B$9/4))/('Levas superpuestas'!$B$9/2)))/Simulador!$B$11))/2,Simulador!$B$10))))*COS(RADIANS(W104))</f>
        <v/>
      </c>
      <c r="AB104">
        <f>'Levas superpuestas'!$B$5*SIN(RADIANS(W104))</f>
        <v/>
      </c>
      <c r="AC104">
        <f>'Levas superpuestas'!$B$5*COS(RADIANS(W104))</f>
        <v/>
      </c>
    </row>
    <row r="105">
      <c r="A105" s="26">
        <f>A104+Simulador!$B$14</f>
        <v/>
      </c>
      <c r="B105" s="46">
        <f>IF(OR((($A105-Simulador!$E$5)/Simulador!$G$5)&lt;=0,(($A105-Simulador!$E$5)/Simulador!$G$5)&gt;=1),0,IF((($A105-Simulador!$E$5)/Simulador!$G$5)&lt;Simulador!$B$11,Simulador!$B$9*(1-COS(PI()*(($A105-Simulador!$E$5)/Simulador!$G$5)/Simulador!$B$11))/2,IF((($A105-Simulador!$E$5)/Simulador!$G$5)&gt;1-Simulador!$B$11,Simulador!$B$9*(1-COS(PI()*(1-(($A105-Simulador!$E$5)/Simulador!$G$5))/Simulador!$B$11))/2,Simulador!$B$9)))</f>
        <v/>
      </c>
      <c r="C105" s="46">
        <f>IF(OR((($A105-Simulador!$E$6)/Simulador!$G$6)&lt;=0,(($A105-Simulador!$E$6)/Simulador!$G$6)&gt;=1),0,IF((($A105-Simulador!$E$6)/Simulador!$G$6)&lt;Simulador!$B$11,Simulador!$B$9*(1-COS(PI()*(($A105-Simulador!$E$6)/Simulador!$G$6)/Simulador!$B$11))/2,IF((($A105-Simulador!$E$6)/Simulador!$G$6)&gt;1-Simulador!$B$11,Simulador!$B$9*(1-COS(PI()*(1-(($A105-Simulador!$E$6)/Simulador!$G$6))/Simulador!$B$11))/2,Simulador!$B$9)))</f>
        <v/>
      </c>
      <c r="D105" s="46">
        <f>IF(OR((($A105-Simulador!$E$7)/Simulador!$G$7)&lt;=0,(($A105-Simulador!$E$7)/Simulador!$G$7)&gt;=1),0,IF((($A105-Simulador!$E$7)/Simulador!$G$7)&lt;Simulador!$B$11,Simulador!$B$9*(1-COS(PI()*(($A105-Simulador!$E$7)/Simulador!$G$7)/Simulador!$B$11))/2,IF((($A105-Simulador!$E$7)/Simulador!$G$7)&gt;1-Simulador!$B$11,Simulador!$B$9*(1-COS(PI()*(1-(($A105-Simulador!$E$7)/Simulador!$G$7))/Simulador!$B$11))/2,Simulador!$B$9)))</f>
        <v/>
      </c>
      <c r="E105" s="46">
        <f>IF(OR((($A105-Simulador!$E$8)/Simulador!$G$8)&lt;=0,(($A105-Simulador!$E$8)/Simulador!$G$8)&gt;=1),0,IF((($A105-Simulador!$E$8)/Simulador!$G$8)&lt;Simulador!$B$11,Simulador!$B$10*(1-COS(PI()*(($A105-Simulador!$E$8)/Simulador!$G$8)/Simulador!$B$11))/2,IF((($A105-Simulador!$E$8)/Simulador!$G$8)&gt;1-Simulador!$B$11,Simulador!$B$10*(1-COS(PI()*(1-(($A105-Simulador!$E$8)/Simulador!$G$8))/Simulador!$B$11))/2,Simulador!$B$10)))</f>
        <v/>
      </c>
      <c r="F105" s="46">
        <f>IF(OR((($A105-Simulador!$E$9)/Simulador!$G$9)&lt;=0,(($A105-Simulador!$E$9)/Simulador!$G$9)&gt;=1),0,IF((($A105-Simulador!$E$9)/Simulador!$G$9)&lt;Simulador!$B$11,Simulador!$B$10*(1-COS(PI()*(($A105-Simulador!$E$9)/Simulador!$G$9)/Simulador!$B$11))/2,IF((($A105-Simulador!$E$9)/Simulador!$G$9)&gt;1-Simulador!$B$11,Simulador!$B$10*(1-COS(PI()*(1-(($A105-Simulador!$E$9)/Simulador!$G$9))/Simulador!$B$11))/2,Simulador!$B$10)))</f>
        <v/>
      </c>
      <c r="G105" s="46">
        <f>IF(OR((($A105-Simulador!$E$10)/Simulador!$G$10)&lt;=0,(($A105-Simulador!$E$10)/Simulador!$G$10)&gt;=1),0,IF((($A105-Simulador!$E$10)/Simulador!$G$10)&lt;Simulador!$B$11,Simulador!$B$10*(1-COS(PI()*(($A105-Simulador!$E$10)/Simulador!$G$10)/Simulador!$B$11))/2,IF((($A105-Simulador!$E$10)/Simulador!$G$10)&gt;1-Simulador!$B$11,Simulador!$B$10*(1-COS(PI()*(1-(($A105-Simulador!$E$10)/Simulador!$G$10))/Simulador!$B$11))/2,Simulador!$B$10)))</f>
        <v/>
      </c>
      <c r="Q105" s="48">
        <f>IF(OR((($A105-(Simulador!$E$6+'Salto de dientes'!$B$12))/Simulador!$G$6)&lt;=0,(($A105-(Simulador!$E$6+'Salto de dientes'!$B$12))/Simulador!$G$6)&gt;=1),0,IF((($A105-(Simulador!$E$6+'Salto de dientes'!$B$12))/Simulador!$G$6)&lt;Simulador!$B$11,Simulador!$B$9*(1-COS(PI()*(($A105-(Simulador!$E$6+'Salto de dientes'!$B$12))/Simulador!$G$6)/Simulador!$B$11))/2,IF((($A105-(Simulador!$E$6+'Salto de dientes'!$B$12))/Simulador!$G$6)&gt;1-Simulador!$B$11,Simulador!$B$9*(1-COS(PI()*(1-(($A105-(Simulador!$E$6+'Salto de dientes'!$B$12))/Simulador!$G$6))/Simulador!$B$11))/2,Simulador!$B$9)))</f>
        <v/>
      </c>
      <c r="R105" s="48">
        <f>IF(OR((($A105-(Simulador!$E$9+'Salto de dientes'!$B$12))/Simulador!$G$9)&lt;=0,(($A105-(Simulador!$E$9+'Salto de dientes'!$B$12))/Simulador!$G$9)&gt;=1),0,IF((($A105-(Simulador!$E$9+'Salto de dientes'!$B$12))/Simulador!$G$9)&lt;Simulador!$B$11,Simulador!$B$10*(1-COS(PI()*(($A105-(Simulador!$E$9+'Salto de dientes'!$B$12))/Simulador!$G$9)/Simulador!$B$11))/2,IF((($A105-(Simulador!$E$9+'Salto de dientes'!$B$12))/Simulador!$G$9)&gt;1-Simulador!$B$11,Simulador!$B$10*(1-COS(PI()*(1-(($A105-(Simulador!$E$9+'Salto de dientes'!$B$12))/Simulador!$G$9))/Simulador!$B$11))/2,Simulador!$B$10)))</f>
        <v/>
      </c>
      <c r="W105" t="n">
        <v>129</v>
      </c>
      <c r="X105" s="48">
        <f>('Levas superpuestas'!$B$5+IF(OR(((W105-('Levas superpuestas'!$B$14-'Levas superpuestas'!$B$8/4))/('Levas superpuestas'!$B$8/2))&lt;=0,((W105-('Levas superpuestas'!$B$14-'Levas superpuestas'!$B$8/4))/('Levas superpuestas'!$B$8/2))&gt;=1),0,IF(((W105-('Levas superpuestas'!$B$14-'Levas superpuestas'!$B$8/4))/('Levas superpuestas'!$B$8/2))&lt;Simulador!$B$11,Simulador!$B$9*(1-COS(PI()*((W105-('Levas superpuestas'!$B$14-'Levas superpuestas'!$B$8/4))/('Levas superpuestas'!$B$8/2))/Simulador!$B$11))/2,IF(((W105-('Levas superpuestas'!$B$14-'Levas superpuestas'!$B$8/4))/('Levas superpuestas'!$B$8/2))&gt;1-Simulador!$B$11,Simulador!$B$9*(1-COS(PI()*(1-((W105-('Levas superpuestas'!$B$14-'Levas superpuestas'!$B$8/4))/('Levas superpuestas'!$B$8/2)))/Simulador!$B$11))/2,Simulador!$B$9))))*SIN(RADIANS(W105))</f>
        <v/>
      </c>
      <c r="Y105" s="48">
        <f>('Levas superpuestas'!$B$5+IF(OR(((W105-('Levas superpuestas'!$B$14-'Levas superpuestas'!$B$8/4))/('Levas superpuestas'!$B$8/2))&lt;=0,((W105-('Levas superpuestas'!$B$14-'Levas superpuestas'!$B$8/4))/('Levas superpuestas'!$B$8/2))&gt;=1),0,IF(((W105-('Levas superpuestas'!$B$14-'Levas superpuestas'!$B$8/4))/('Levas superpuestas'!$B$8/2))&lt;Simulador!$B$11,Simulador!$B$9*(1-COS(PI()*((W105-('Levas superpuestas'!$B$14-'Levas superpuestas'!$B$8/4))/('Levas superpuestas'!$B$8/2))/Simulador!$B$11))/2,IF(((W105-('Levas superpuestas'!$B$14-'Levas superpuestas'!$B$8/4))/('Levas superpuestas'!$B$8/2))&gt;1-Simulador!$B$11,Simulador!$B$9*(1-COS(PI()*(1-((W105-('Levas superpuestas'!$B$14-'Levas superpuestas'!$B$8/4))/('Levas superpuestas'!$B$8/2)))/Simulador!$B$11))/2,Simulador!$B$9))))*COS(RADIANS(W105))</f>
        <v/>
      </c>
      <c r="Z105" s="48">
        <f>('Levas superpuestas'!$B$5+IF(OR(((W105-('Levas superpuestas'!$B$15-'Levas superpuestas'!$B$9/4))/('Levas superpuestas'!$B$9/2))&lt;=0,((W105-('Levas superpuestas'!$B$15-'Levas superpuestas'!$B$9/4))/('Levas superpuestas'!$B$9/2))&gt;=1),0,IF(((W105-('Levas superpuestas'!$B$15-'Levas superpuestas'!$B$9/4))/('Levas superpuestas'!$B$9/2))&lt;Simulador!$B$11,Simulador!$B$10*(1-COS(PI()*((W105-('Levas superpuestas'!$B$15-'Levas superpuestas'!$B$9/4))/('Levas superpuestas'!$B$9/2))/Simulador!$B$11))/2,IF(((W105-('Levas superpuestas'!$B$15-'Levas superpuestas'!$B$9/4))/('Levas superpuestas'!$B$9/2))&gt;1-Simulador!$B$11,Simulador!$B$10*(1-COS(PI()*(1-((W105-('Levas superpuestas'!$B$15-'Levas superpuestas'!$B$9/4))/('Levas superpuestas'!$B$9/2)))/Simulador!$B$11))/2,Simulador!$B$10))))*SIN(RADIANS(W105))</f>
        <v/>
      </c>
      <c r="AA105" s="48">
        <f>('Levas superpuestas'!$B$5+IF(OR(((W105-('Levas superpuestas'!$B$15-'Levas superpuestas'!$B$9/4))/('Levas superpuestas'!$B$9/2))&lt;=0,((W105-('Levas superpuestas'!$B$15-'Levas superpuestas'!$B$9/4))/('Levas superpuestas'!$B$9/2))&gt;=1),0,IF(((W105-('Levas superpuestas'!$B$15-'Levas superpuestas'!$B$9/4))/('Levas superpuestas'!$B$9/2))&lt;Simulador!$B$11,Simulador!$B$10*(1-COS(PI()*((W105-('Levas superpuestas'!$B$15-'Levas superpuestas'!$B$9/4))/('Levas superpuestas'!$B$9/2))/Simulador!$B$11))/2,IF(((W105-('Levas superpuestas'!$B$15-'Levas superpuestas'!$B$9/4))/('Levas superpuestas'!$B$9/2))&gt;1-Simulador!$B$11,Simulador!$B$10*(1-COS(PI()*(1-((W105-('Levas superpuestas'!$B$15-'Levas superpuestas'!$B$9/4))/('Levas superpuestas'!$B$9/2)))/Simulador!$B$11))/2,Simulador!$B$10))))*COS(RADIANS(W105))</f>
        <v/>
      </c>
      <c r="AB105">
        <f>'Levas superpuestas'!$B$5*SIN(RADIANS(W105))</f>
        <v/>
      </c>
      <c r="AC105">
        <f>'Levas superpuestas'!$B$5*COS(RADIANS(W105))</f>
        <v/>
      </c>
    </row>
    <row r="106">
      <c r="A106" s="26">
        <f>A105+Simulador!$B$14</f>
        <v/>
      </c>
      <c r="B106" s="46">
        <f>IF(OR((($A106-Simulador!$E$5)/Simulador!$G$5)&lt;=0,(($A106-Simulador!$E$5)/Simulador!$G$5)&gt;=1),0,IF((($A106-Simulador!$E$5)/Simulador!$G$5)&lt;Simulador!$B$11,Simulador!$B$9*(1-COS(PI()*(($A106-Simulador!$E$5)/Simulador!$G$5)/Simulador!$B$11))/2,IF((($A106-Simulador!$E$5)/Simulador!$G$5)&gt;1-Simulador!$B$11,Simulador!$B$9*(1-COS(PI()*(1-(($A106-Simulador!$E$5)/Simulador!$G$5))/Simulador!$B$11))/2,Simulador!$B$9)))</f>
        <v/>
      </c>
      <c r="C106" s="46">
        <f>IF(OR((($A106-Simulador!$E$6)/Simulador!$G$6)&lt;=0,(($A106-Simulador!$E$6)/Simulador!$G$6)&gt;=1),0,IF((($A106-Simulador!$E$6)/Simulador!$G$6)&lt;Simulador!$B$11,Simulador!$B$9*(1-COS(PI()*(($A106-Simulador!$E$6)/Simulador!$G$6)/Simulador!$B$11))/2,IF((($A106-Simulador!$E$6)/Simulador!$G$6)&gt;1-Simulador!$B$11,Simulador!$B$9*(1-COS(PI()*(1-(($A106-Simulador!$E$6)/Simulador!$G$6))/Simulador!$B$11))/2,Simulador!$B$9)))</f>
        <v/>
      </c>
      <c r="D106" s="46">
        <f>IF(OR((($A106-Simulador!$E$7)/Simulador!$G$7)&lt;=0,(($A106-Simulador!$E$7)/Simulador!$G$7)&gt;=1),0,IF((($A106-Simulador!$E$7)/Simulador!$G$7)&lt;Simulador!$B$11,Simulador!$B$9*(1-COS(PI()*(($A106-Simulador!$E$7)/Simulador!$G$7)/Simulador!$B$11))/2,IF((($A106-Simulador!$E$7)/Simulador!$G$7)&gt;1-Simulador!$B$11,Simulador!$B$9*(1-COS(PI()*(1-(($A106-Simulador!$E$7)/Simulador!$G$7))/Simulador!$B$11))/2,Simulador!$B$9)))</f>
        <v/>
      </c>
      <c r="E106" s="46">
        <f>IF(OR((($A106-Simulador!$E$8)/Simulador!$G$8)&lt;=0,(($A106-Simulador!$E$8)/Simulador!$G$8)&gt;=1),0,IF((($A106-Simulador!$E$8)/Simulador!$G$8)&lt;Simulador!$B$11,Simulador!$B$10*(1-COS(PI()*(($A106-Simulador!$E$8)/Simulador!$G$8)/Simulador!$B$11))/2,IF((($A106-Simulador!$E$8)/Simulador!$G$8)&gt;1-Simulador!$B$11,Simulador!$B$10*(1-COS(PI()*(1-(($A106-Simulador!$E$8)/Simulador!$G$8))/Simulador!$B$11))/2,Simulador!$B$10)))</f>
        <v/>
      </c>
      <c r="F106" s="46">
        <f>IF(OR((($A106-Simulador!$E$9)/Simulador!$G$9)&lt;=0,(($A106-Simulador!$E$9)/Simulador!$G$9)&gt;=1),0,IF((($A106-Simulador!$E$9)/Simulador!$G$9)&lt;Simulador!$B$11,Simulador!$B$10*(1-COS(PI()*(($A106-Simulador!$E$9)/Simulador!$G$9)/Simulador!$B$11))/2,IF((($A106-Simulador!$E$9)/Simulador!$G$9)&gt;1-Simulador!$B$11,Simulador!$B$10*(1-COS(PI()*(1-(($A106-Simulador!$E$9)/Simulador!$G$9))/Simulador!$B$11))/2,Simulador!$B$10)))</f>
        <v/>
      </c>
      <c r="G106" s="46">
        <f>IF(OR((($A106-Simulador!$E$10)/Simulador!$G$10)&lt;=0,(($A106-Simulador!$E$10)/Simulador!$G$10)&gt;=1),0,IF((($A106-Simulador!$E$10)/Simulador!$G$10)&lt;Simulador!$B$11,Simulador!$B$10*(1-COS(PI()*(($A106-Simulador!$E$10)/Simulador!$G$10)/Simulador!$B$11))/2,IF((($A106-Simulador!$E$10)/Simulador!$G$10)&gt;1-Simulador!$B$11,Simulador!$B$10*(1-COS(PI()*(1-(($A106-Simulador!$E$10)/Simulador!$G$10))/Simulador!$B$11))/2,Simulador!$B$10)))</f>
        <v/>
      </c>
      <c r="Q106" s="48">
        <f>IF(OR((($A106-(Simulador!$E$6+'Salto de dientes'!$B$12))/Simulador!$G$6)&lt;=0,(($A106-(Simulador!$E$6+'Salto de dientes'!$B$12))/Simulador!$G$6)&gt;=1),0,IF((($A106-(Simulador!$E$6+'Salto de dientes'!$B$12))/Simulador!$G$6)&lt;Simulador!$B$11,Simulador!$B$9*(1-COS(PI()*(($A106-(Simulador!$E$6+'Salto de dientes'!$B$12))/Simulador!$G$6)/Simulador!$B$11))/2,IF((($A106-(Simulador!$E$6+'Salto de dientes'!$B$12))/Simulador!$G$6)&gt;1-Simulador!$B$11,Simulador!$B$9*(1-COS(PI()*(1-(($A106-(Simulador!$E$6+'Salto de dientes'!$B$12))/Simulador!$G$6))/Simulador!$B$11))/2,Simulador!$B$9)))</f>
        <v/>
      </c>
      <c r="R106" s="48">
        <f>IF(OR((($A106-(Simulador!$E$9+'Salto de dientes'!$B$12))/Simulador!$G$9)&lt;=0,(($A106-(Simulador!$E$9+'Salto de dientes'!$B$12))/Simulador!$G$9)&gt;=1),0,IF((($A106-(Simulador!$E$9+'Salto de dientes'!$B$12))/Simulador!$G$9)&lt;Simulador!$B$11,Simulador!$B$10*(1-COS(PI()*(($A106-(Simulador!$E$9+'Salto de dientes'!$B$12))/Simulador!$G$9)/Simulador!$B$11))/2,IF((($A106-(Simulador!$E$9+'Salto de dientes'!$B$12))/Simulador!$G$9)&gt;1-Simulador!$B$11,Simulador!$B$10*(1-COS(PI()*(1-(($A106-(Simulador!$E$9+'Salto de dientes'!$B$12))/Simulador!$G$9))/Simulador!$B$11))/2,Simulador!$B$10)))</f>
        <v/>
      </c>
      <c r="W106" t="n">
        <v>132</v>
      </c>
      <c r="X106" s="48">
        <f>('Levas superpuestas'!$B$5+IF(OR(((W106-('Levas superpuestas'!$B$14-'Levas superpuestas'!$B$8/4))/('Levas superpuestas'!$B$8/2))&lt;=0,((W106-('Levas superpuestas'!$B$14-'Levas superpuestas'!$B$8/4))/('Levas superpuestas'!$B$8/2))&gt;=1),0,IF(((W106-('Levas superpuestas'!$B$14-'Levas superpuestas'!$B$8/4))/('Levas superpuestas'!$B$8/2))&lt;Simulador!$B$11,Simulador!$B$9*(1-COS(PI()*((W106-('Levas superpuestas'!$B$14-'Levas superpuestas'!$B$8/4))/('Levas superpuestas'!$B$8/2))/Simulador!$B$11))/2,IF(((W106-('Levas superpuestas'!$B$14-'Levas superpuestas'!$B$8/4))/('Levas superpuestas'!$B$8/2))&gt;1-Simulador!$B$11,Simulador!$B$9*(1-COS(PI()*(1-((W106-('Levas superpuestas'!$B$14-'Levas superpuestas'!$B$8/4))/('Levas superpuestas'!$B$8/2)))/Simulador!$B$11))/2,Simulador!$B$9))))*SIN(RADIANS(W106))</f>
        <v/>
      </c>
      <c r="Y106" s="48">
        <f>('Levas superpuestas'!$B$5+IF(OR(((W106-('Levas superpuestas'!$B$14-'Levas superpuestas'!$B$8/4))/('Levas superpuestas'!$B$8/2))&lt;=0,((W106-('Levas superpuestas'!$B$14-'Levas superpuestas'!$B$8/4))/('Levas superpuestas'!$B$8/2))&gt;=1),0,IF(((W106-('Levas superpuestas'!$B$14-'Levas superpuestas'!$B$8/4))/('Levas superpuestas'!$B$8/2))&lt;Simulador!$B$11,Simulador!$B$9*(1-COS(PI()*((W106-('Levas superpuestas'!$B$14-'Levas superpuestas'!$B$8/4))/('Levas superpuestas'!$B$8/2))/Simulador!$B$11))/2,IF(((W106-('Levas superpuestas'!$B$14-'Levas superpuestas'!$B$8/4))/('Levas superpuestas'!$B$8/2))&gt;1-Simulador!$B$11,Simulador!$B$9*(1-COS(PI()*(1-((W106-('Levas superpuestas'!$B$14-'Levas superpuestas'!$B$8/4))/('Levas superpuestas'!$B$8/2)))/Simulador!$B$11))/2,Simulador!$B$9))))*COS(RADIANS(W106))</f>
        <v/>
      </c>
      <c r="Z106" s="48">
        <f>('Levas superpuestas'!$B$5+IF(OR(((W106-('Levas superpuestas'!$B$15-'Levas superpuestas'!$B$9/4))/('Levas superpuestas'!$B$9/2))&lt;=0,((W106-('Levas superpuestas'!$B$15-'Levas superpuestas'!$B$9/4))/('Levas superpuestas'!$B$9/2))&gt;=1),0,IF(((W106-('Levas superpuestas'!$B$15-'Levas superpuestas'!$B$9/4))/('Levas superpuestas'!$B$9/2))&lt;Simulador!$B$11,Simulador!$B$10*(1-COS(PI()*((W106-('Levas superpuestas'!$B$15-'Levas superpuestas'!$B$9/4))/('Levas superpuestas'!$B$9/2))/Simulador!$B$11))/2,IF(((W106-('Levas superpuestas'!$B$15-'Levas superpuestas'!$B$9/4))/('Levas superpuestas'!$B$9/2))&gt;1-Simulador!$B$11,Simulador!$B$10*(1-COS(PI()*(1-((W106-('Levas superpuestas'!$B$15-'Levas superpuestas'!$B$9/4))/('Levas superpuestas'!$B$9/2)))/Simulador!$B$11))/2,Simulador!$B$10))))*SIN(RADIANS(W106))</f>
        <v/>
      </c>
      <c r="AA106" s="48">
        <f>('Levas superpuestas'!$B$5+IF(OR(((W106-('Levas superpuestas'!$B$15-'Levas superpuestas'!$B$9/4))/('Levas superpuestas'!$B$9/2))&lt;=0,((W106-('Levas superpuestas'!$B$15-'Levas superpuestas'!$B$9/4))/('Levas superpuestas'!$B$9/2))&gt;=1),0,IF(((W106-('Levas superpuestas'!$B$15-'Levas superpuestas'!$B$9/4))/('Levas superpuestas'!$B$9/2))&lt;Simulador!$B$11,Simulador!$B$10*(1-COS(PI()*((W106-('Levas superpuestas'!$B$15-'Levas superpuestas'!$B$9/4))/('Levas superpuestas'!$B$9/2))/Simulador!$B$11))/2,IF(((W106-('Levas superpuestas'!$B$15-'Levas superpuestas'!$B$9/4))/('Levas superpuestas'!$B$9/2))&gt;1-Simulador!$B$11,Simulador!$B$10*(1-COS(PI()*(1-((W106-('Levas superpuestas'!$B$15-'Levas superpuestas'!$B$9/4))/('Levas superpuestas'!$B$9/2)))/Simulador!$B$11))/2,Simulador!$B$10))))*COS(RADIANS(W106))</f>
        <v/>
      </c>
      <c r="AB106">
        <f>'Levas superpuestas'!$B$5*SIN(RADIANS(W106))</f>
        <v/>
      </c>
      <c r="AC106">
        <f>'Levas superpuestas'!$B$5*COS(RADIANS(W106))</f>
        <v/>
      </c>
    </row>
    <row r="107">
      <c r="A107" s="26">
        <f>A106+Simulador!$B$14</f>
        <v/>
      </c>
      <c r="B107" s="46">
        <f>IF(OR((($A107-Simulador!$E$5)/Simulador!$G$5)&lt;=0,(($A107-Simulador!$E$5)/Simulador!$G$5)&gt;=1),0,IF((($A107-Simulador!$E$5)/Simulador!$G$5)&lt;Simulador!$B$11,Simulador!$B$9*(1-COS(PI()*(($A107-Simulador!$E$5)/Simulador!$G$5)/Simulador!$B$11))/2,IF((($A107-Simulador!$E$5)/Simulador!$G$5)&gt;1-Simulador!$B$11,Simulador!$B$9*(1-COS(PI()*(1-(($A107-Simulador!$E$5)/Simulador!$G$5))/Simulador!$B$11))/2,Simulador!$B$9)))</f>
        <v/>
      </c>
      <c r="C107" s="46">
        <f>IF(OR((($A107-Simulador!$E$6)/Simulador!$G$6)&lt;=0,(($A107-Simulador!$E$6)/Simulador!$G$6)&gt;=1),0,IF((($A107-Simulador!$E$6)/Simulador!$G$6)&lt;Simulador!$B$11,Simulador!$B$9*(1-COS(PI()*(($A107-Simulador!$E$6)/Simulador!$G$6)/Simulador!$B$11))/2,IF((($A107-Simulador!$E$6)/Simulador!$G$6)&gt;1-Simulador!$B$11,Simulador!$B$9*(1-COS(PI()*(1-(($A107-Simulador!$E$6)/Simulador!$G$6))/Simulador!$B$11))/2,Simulador!$B$9)))</f>
        <v/>
      </c>
      <c r="D107" s="46">
        <f>IF(OR((($A107-Simulador!$E$7)/Simulador!$G$7)&lt;=0,(($A107-Simulador!$E$7)/Simulador!$G$7)&gt;=1),0,IF((($A107-Simulador!$E$7)/Simulador!$G$7)&lt;Simulador!$B$11,Simulador!$B$9*(1-COS(PI()*(($A107-Simulador!$E$7)/Simulador!$G$7)/Simulador!$B$11))/2,IF((($A107-Simulador!$E$7)/Simulador!$G$7)&gt;1-Simulador!$B$11,Simulador!$B$9*(1-COS(PI()*(1-(($A107-Simulador!$E$7)/Simulador!$G$7))/Simulador!$B$11))/2,Simulador!$B$9)))</f>
        <v/>
      </c>
      <c r="E107" s="46">
        <f>IF(OR((($A107-Simulador!$E$8)/Simulador!$G$8)&lt;=0,(($A107-Simulador!$E$8)/Simulador!$G$8)&gt;=1),0,IF((($A107-Simulador!$E$8)/Simulador!$G$8)&lt;Simulador!$B$11,Simulador!$B$10*(1-COS(PI()*(($A107-Simulador!$E$8)/Simulador!$G$8)/Simulador!$B$11))/2,IF((($A107-Simulador!$E$8)/Simulador!$G$8)&gt;1-Simulador!$B$11,Simulador!$B$10*(1-COS(PI()*(1-(($A107-Simulador!$E$8)/Simulador!$G$8))/Simulador!$B$11))/2,Simulador!$B$10)))</f>
        <v/>
      </c>
      <c r="F107" s="46">
        <f>IF(OR((($A107-Simulador!$E$9)/Simulador!$G$9)&lt;=0,(($A107-Simulador!$E$9)/Simulador!$G$9)&gt;=1),0,IF((($A107-Simulador!$E$9)/Simulador!$G$9)&lt;Simulador!$B$11,Simulador!$B$10*(1-COS(PI()*(($A107-Simulador!$E$9)/Simulador!$G$9)/Simulador!$B$11))/2,IF((($A107-Simulador!$E$9)/Simulador!$G$9)&gt;1-Simulador!$B$11,Simulador!$B$10*(1-COS(PI()*(1-(($A107-Simulador!$E$9)/Simulador!$G$9))/Simulador!$B$11))/2,Simulador!$B$10)))</f>
        <v/>
      </c>
      <c r="G107" s="46">
        <f>IF(OR((($A107-Simulador!$E$10)/Simulador!$G$10)&lt;=0,(($A107-Simulador!$E$10)/Simulador!$G$10)&gt;=1),0,IF((($A107-Simulador!$E$10)/Simulador!$G$10)&lt;Simulador!$B$11,Simulador!$B$10*(1-COS(PI()*(($A107-Simulador!$E$10)/Simulador!$G$10)/Simulador!$B$11))/2,IF((($A107-Simulador!$E$10)/Simulador!$G$10)&gt;1-Simulador!$B$11,Simulador!$B$10*(1-COS(PI()*(1-(($A107-Simulador!$E$10)/Simulador!$G$10))/Simulador!$B$11))/2,Simulador!$B$10)))</f>
        <v/>
      </c>
      <c r="Q107" s="48">
        <f>IF(OR((($A107-(Simulador!$E$6+'Salto de dientes'!$B$12))/Simulador!$G$6)&lt;=0,(($A107-(Simulador!$E$6+'Salto de dientes'!$B$12))/Simulador!$G$6)&gt;=1),0,IF((($A107-(Simulador!$E$6+'Salto de dientes'!$B$12))/Simulador!$G$6)&lt;Simulador!$B$11,Simulador!$B$9*(1-COS(PI()*(($A107-(Simulador!$E$6+'Salto de dientes'!$B$12))/Simulador!$G$6)/Simulador!$B$11))/2,IF((($A107-(Simulador!$E$6+'Salto de dientes'!$B$12))/Simulador!$G$6)&gt;1-Simulador!$B$11,Simulador!$B$9*(1-COS(PI()*(1-(($A107-(Simulador!$E$6+'Salto de dientes'!$B$12))/Simulador!$G$6))/Simulador!$B$11))/2,Simulador!$B$9)))</f>
        <v/>
      </c>
      <c r="R107" s="48">
        <f>IF(OR((($A107-(Simulador!$E$9+'Salto de dientes'!$B$12))/Simulador!$G$9)&lt;=0,(($A107-(Simulador!$E$9+'Salto de dientes'!$B$12))/Simulador!$G$9)&gt;=1),0,IF((($A107-(Simulador!$E$9+'Salto de dientes'!$B$12))/Simulador!$G$9)&lt;Simulador!$B$11,Simulador!$B$10*(1-COS(PI()*(($A107-(Simulador!$E$9+'Salto de dientes'!$B$12))/Simulador!$G$9)/Simulador!$B$11))/2,IF((($A107-(Simulador!$E$9+'Salto de dientes'!$B$12))/Simulador!$G$9)&gt;1-Simulador!$B$11,Simulador!$B$10*(1-COS(PI()*(1-(($A107-(Simulador!$E$9+'Salto de dientes'!$B$12))/Simulador!$G$9))/Simulador!$B$11))/2,Simulador!$B$10)))</f>
        <v/>
      </c>
      <c r="W107" t="n">
        <v>135</v>
      </c>
      <c r="X107" s="48">
        <f>('Levas superpuestas'!$B$5+IF(OR(((W107-('Levas superpuestas'!$B$14-'Levas superpuestas'!$B$8/4))/('Levas superpuestas'!$B$8/2))&lt;=0,((W107-('Levas superpuestas'!$B$14-'Levas superpuestas'!$B$8/4))/('Levas superpuestas'!$B$8/2))&gt;=1),0,IF(((W107-('Levas superpuestas'!$B$14-'Levas superpuestas'!$B$8/4))/('Levas superpuestas'!$B$8/2))&lt;Simulador!$B$11,Simulador!$B$9*(1-COS(PI()*((W107-('Levas superpuestas'!$B$14-'Levas superpuestas'!$B$8/4))/('Levas superpuestas'!$B$8/2))/Simulador!$B$11))/2,IF(((W107-('Levas superpuestas'!$B$14-'Levas superpuestas'!$B$8/4))/('Levas superpuestas'!$B$8/2))&gt;1-Simulador!$B$11,Simulador!$B$9*(1-COS(PI()*(1-((W107-('Levas superpuestas'!$B$14-'Levas superpuestas'!$B$8/4))/('Levas superpuestas'!$B$8/2)))/Simulador!$B$11))/2,Simulador!$B$9))))*SIN(RADIANS(W107))</f>
        <v/>
      </c>
      <c r="Y107" s="48">
        <f>('Levas superpuestas'!$B$5+IF(OR(((W107-('Levas superpuestas'!$B$14-'Levas superpuestas'!$B$8/4))/('Levas superpuestas'!$B$8/2))&lt;=0,((W107-('Levas superpuestas'!$B$14-'Levas superpuestas'!$B$8/4))/('Levas superpuestas'!$B$8/2))&gt;=1),0,IF(((W107-('Levas superpuestas'!$B$14-'Levas superpuestas'!$B$8/4))/('Levas superpuestas'!$B$8/2))&lt;Simulador!$B$11,Simulador!$B$9*(1-COS(PI()*((W107-('Levas superpuestas'!$B$14-'Levas superpuestas'!$B$8/4))/('Levas superpuestas'!$B$8/2))/Simulador!$B$11))/2,IF(((W107-('Levas superpuestas'!$B$14-'Levas superpuestas'!$B$8/4))/('Levas superpuestas'!$B$8/2))&gt;1-Simulador!$B$11,Simulador!$B$9*(1-COS(PI()*(1-((W107-('Levas superpuestas'!$B$14-'Levas superpuestas'!$B$8/4))/('Levas superpuestas'!$B$8/2)))/Simulador!$B$11))/2,Simulador!$B$9))))*COS(RADIANS(W107))</f>
        <v/>
      </c>
      <c r="Z107" s="48">
        <f>('Levas superpuestas'!$B$5+IF(OR(((W107-('Levas superpuestas'!$B$15-'Levas superpuestas'!$B$9/4))/('Levas superpuestas'!$B$9/2))&lt;=0,((W107-('Levas superpuestas'!$B$15-'Levas superpuestas'!$B$9/4))/('Levas superpuestas'!$B$9/2))&gt;=1),0,IF(((W107-('Levas superpuestas'!$B$15-'Levas superpuestas'!$B$9/4))/('Levas superpuestas'!$B$9/2))&lt;Simulador!$B$11,Simulador!$B$10*(1-COS(PI()*((W107-('Levas superpuestas'!$B$15-'Levas superpuestas'!$B$9/4))/('Levas superpuestas'!$B$9/2))/Simulador!$B$11))/2,IF(((W107-('Levas superpuestas'!$B$15-'Levas superpuestas'!$B$9/4))/('Levas superpuestas'!$B$9/2))&gt;1-Simulador!$B$11,Simulador!$B$10*(1-COS(PI()*(1-((W107-('Levas superpuestas'!$B$15-'Levas superpuestas'!$B$9/4))/('Levas superpuestas'!$B$9/2)))/Simulador!$B$11))/2,Simulador!$B$10))))*SIN(RADIANS(W107))</f>
        <v/>
      </c>
      <c r="AA107" s="48">
        <f>('Levas superpuestas'!$B$5+IF(OR(((W107-('Levas superpuestas'!$B$15-'Levas superpuestas'!$B$9/4))/('Levas superpuestas'!$B$9/2))&lt;=0,((W107-('Levas superpuestas'!$B$15-'Levas superpuestas'!$B$9/4))/('Levas superpuestas'!$B$9/2))&gt;=1),0,IF(((W107-('Levas superpuestas'!$B$15-'Levas superpuestas'!$B$9/4))/('Levas superpuestas'!$B$9/2))&lt;Simulador!$B$11,Simulador!$B$10*(1-COS(PI()*((W107-('Levas superpuestas'!$B$15-'Levas superpuestas'!$B$9/4))/('Levas superpuestas'!$B$9/2))/Simulador!$B$11))/2,IF(((W107-('Levas superpuestas'!$B$15-'Levas superpuestas'!$B$9/4))/('Levas superpuestas'!$B$9/2))&gt;1-Simulador!$B$11,Simulador!$B$10*(1-COS(PI()*(1-((W107-('Levas superpuestas'!$B$15-'Levas superpuestas'!$B$9/4))/('Levas superpuestas'!$B$9/2)))/Simulador!$B$11))/2,Simulador!$B$10))))*COS(RADIANS(W107))</f>
        <v/>
      </c>
      <c r="AB107">
        <f>'Levas superpuestas'!$B$5*SIN(RADIANS(W107))</f>
        <v/>
      </c>
      <c r="AC107">
        <f>'Levas superpuestas'!$B$5*COS(RADIANS(W107))</f>
        <v/>
      </c>
    </row>
    <row r="108">
      <c r="A108" s="26">
        <f>A107+Simulador!$B$14</f>
        <v/>
      </c>
      <c r="B108" s="46">
        <f>IF(OR((($A108-Simulador!$E$5)/Simulador!$G$5)&lt;=0,(($A108-Simulador!$E$5)/Simulador!$G$5)&gt;=1),0,IF((($A108-Simulador!$E$5)/Simulador!$G$5)&lt;Simulador!$B$11,Simulador!$B$9*(1-COS(PI()*(($A108-Simulador!$E$5)/Simulador!$G$5)/Simulador!$B$11))/2,IF((($A108-Simulador!$E$5)/Simulador!$G$5)&gt;1-Simulador!$B$11,Simulador!$B$9*(1-COS(PI()*(1-(($A108-Simulador!$E$5)/Simulador!$G$5))/Simulador!$B$11))/2,Simulador!$B$9)))</f>
        <v/>
      </c>
      <c r="C108" s="46">
        <f>IF(OR((($A108-Simulador!$E$6)/Simulador!$G$6)&lt;=0,(($A108-Simulador!$E$6)/Simulador!$G$6)&gt;=1),0,IF((($A108-Simulador!$E$6)/Simulador!$G$6)&lt;Simulador!$B$11,Simulador!$B$9*(1-COS(PI()*(($A108-Simulador!$E$6)/Simulador!$G$6)/Simulador!$B$11))/2,IF((($A108-Simulador!$E$6)/Simulador!$G$6)&gt;1-Simulador!$B$11,Simulador!$B$9*(1-COS(PI()*(1-(($A108-Simulador!$E$6)/Simulador!$G$6))/Simulador!$B$11))/2,Simulador!$B$9)))</f>
        <v/>
      </c>
      <c r="D108" s="46">
        <f>IF(OR((($A108-Simulador!$E$7)/Simulador!$G$7)&lt;=0,(($A108-Simulador!$E$7)/Simulador!$G$7)&gt;=1),0,IF((($A108-Simulador!$E$7)/Simulador!$G$7)&lt;Simulador!$B$11,Simulador!$B$9*(1-COS(PI()*(($A108-Simulador!$E$7)/Simulador!$G$7)/Simulador!$B$11))/2,IF((($A108-Simulador!$E$7)/Simulador!$G$7)&gt;1-Simulador!$B$11,Simulador!$B$9*(1-COS(PI()*(1-(($A108-Simulador!$E$7)/Simulador!$G$7))/Simulador!$B$11))/2,Simulador!$B$9)))</f>
        <v/>
      </c>
      <c r="E108" s="46">
        <f>IF(OR((($A108-Simulador!$E$8)/Simulador!$G$8)&lt;=0,(($A108-Simulador!$E$8)/Simulador!$G$8)&gt;=1),0,IF((($A108-Simulador!$E$8)/Simulador!$G$8)&lt;Simulador!$B$11,Simulador!$B$10*(1-COS(PI()*(($A108-Simulador!$E$8)/Simulador!$G$8)/Simulador!$B$11))/2,IF((($A108-Simulador!$E$8)/Simulador!$G$8)&gt;1-Simulador!$B$11,Simulador!$B$10*(1-COS(PI()*(1-(($A108-Simulador!$E$8)/Simulador!$G$8))/Simulador!$B$11))/2,Simulador!$B$10)))</f>
        <v/>
      </c>
      <c r="F108" s="46">
        <f>IF(OR((($A108-Simulador!$E$9)/Simulador!$G$9)&lt;=0,(($A108-Simulador!$E$9)/Simulador!$G$9)&gt;=1),0,IF((($A108-Simulador!$E$9)/Simulador!$G$9)&lt;Simulador!$B$11,Simulador!$B$10*(1-COS(PI()*(($A108-Simulador!$E$9)/Simulador!$G$9)/Simulador!$B$11))/2,IF((($A108-Simulador!$E$9)/Simulador!$G$9)&gt;1-Simulador!$B$11,Simulador!$B$10*(1-COS(PI()*(1-(($A108-Simulador!$E$9)/Simulador!$G$9))/Simulador!$B$11))/2,Simulador!$B$10)))</f>
        <v/>
      </c>
      <c r="G108" s="46">
        <f>IF(OR((($A108-Simulador!$E$10)/Simulador!$G$10)&lt;=0,(($A108-Simulador!$E$10)/Simulador!$G$10)&gt;=1),0,IF((($A108-Simulador!$E$10)/Simulador!$G$10)&lt;Simulador!$B$11,Simulador!$B$10*(1-COS(PI()*(($A108-Simulador!$E$10)/Simulador!$G$10)/Simulador!$B$11))/2,IF((($A108-Simulador!$E$10)/Simulador!$G$10)&gt;1-Simulador!$B$11,Simulador!$B$10*(1-COS(PI()*(1-(($A108-Simulador!$E$10)/Simulador!$G$10))/Simulador!$B$11))/2,Simulador!$B$10)))</f>
        <v/>
      </c>
      <c r="Q108" s="48">
        <f>IF(OR((($A108-(Simulador!$E$6+'Salto de dientes'!$B$12))/Simulador!$G$6)&lt;=0,(($A108-(Simulador!$E$6+'Salto de dientes'!$B$12))/Simulador!$G$6)&gt;=1),0,IF((($A108-(Simulador!$E$6+'Salto de dientes'!$B$12))/Simulador!$G$6)&lt;Simulador!$B$11,Simulador!$B$9*(1-COS(PI()*(($A108-(Simulador!$E$6+'Salto de dientes'!$B$12))/Simulador!$G$6)/Simulador!$B$11))/2,IF((($A108-(Simulador!$E$6+'Salto de dientes'!$B$12))/Simulador!$G$6)&gt;1-Simulador!$B$11,Simulador!$B$9*(1-COS(PI()*(1-(($A108-(Simulador!$E$6+'Salto de dientes'!$B$12))/Simulador!$G$6))/Simulador!$B$11))/2,Simulador!$B$9)))</f>
        <v/>
      </c>
      <c r="R108" s="48">
        <f>IF(OR((($A108-(Simulador!$E$9+'Salto de dientes'!$B$12))/Simulador!$G$9)&lt;=0,(($A108-(Simulador!$E$9+'Salto de dientes'!$B$12))/Simulador!$G$9)&gt;=1),0,IF((($A108-(Simulador!$E$9+'Salto de dientes'!$B$12))/Simulador!$G$9)&lt;Simulador!$B$11,Simulador!$B$10*(1-COS(PI()*(($A108-(Simulador!$E$9+'Salto de dientes'!$B$12))/Simulador!$G$9)/Simulador!$B$11))/2,IF((($A108-(Simulador!$E$9+'Salto de dientes'!$B$12))/Simulador!$G$9)&gt;1-Simulador!$B$11,Simulador!$B$10*(1-COS(PI()*(1-(($A108-(Simulador!$E$9+'Salto de dientes'!$B$12))/Simulador!$G$9))/Simulador!$B$11))/2,Simulador!$B$10)))</f>
        <v/>
      </c>
      <c r="W108" t="n">
        <v>138</v>
      </c>
      <c r="X108" s="48">
        <f>('Levas superpuestas'!$B$5+IF(OR(((W108-('Levas superpuestas'!$B$14-'Levas superpuestas'!$B$8/4))/('Levas superpuestas'!$B$8/2))&lt;=0,((W108-('Levas superpuestas'!$B$14-'Levas superpuestas'!$B$8/4))/('Levas superpuestas'!$B$8/2))&gt;=1),0,IF(((W108-('Levas superpuestas'!$B$14-'Levas superpuestas'!$B$8/4))/('Levas superpuestas'!$B$8/2))&lt;Simulador!$B$11,Simulador!$B$9*(1-COS(PI()*((W108-('Levas superpuestas'!$B$14-'Levas superpuestas'!$B$8/4))/('Levas superpuestas'!$B$8/2))/Simulador!$B$11))/2,IF(((W108-('Levas superpuestas'!$B$14-'Levas superpuestas'!$B$8/4))/('Levas superpuestas'!$B$8/2))&gt;1-Simulador!$B$11,Simulador!$B$9*(1-COS(PI()*(1-((W108-('Levas superpuestas'!$B$14-'Levas superpuestas'!$B$8/4))/('Levas superpuestas'!$B$8/2)))/Simulador!$B$11))/2,Simulador!$B$9))))*SIN(RADIANS(W108))</f>
        <v/>
      </c>
      <c r="Y108" s="48">
        <f>('Levas superpuestas'!$B$5+IF(OR(((W108-('Levas superpuestas'!$B$14-'Levas superpuestas'!$B$8/4))/('Levas superpuestas'!$B$8/2))&lt;=0,((W108-('Levas superpuestas'!$B$14-'Levas superpuestas'!$B$8/4))/('Levas superpuestas'!$B$8/2))&gt;=1),0,IF(((W108-('Levas superpuestas'!$B$14-'Levas superpuestas'!$B$8/4))/('Levas superpuestas'!$B$8/2))&lt;Simulador!$B$11,Simulador!$B$9*(1-COS(PI()*((W108-('Levas superpuestas'!$B$14-'Levas superpuestas'!$B$8/4))/('Levas superpuestas'!$B$8/2))/Simulador!$B$11))/2,IF(((W108-('Levas superpuestas'!$B$14-'Levas superpuestas'!$B$8/4))/('Levas superpuestas'!$B$8/2))&gt;1-Simulador!$B$11,Simulador!$B$9*(1-COS(PI()*(1-((W108-('Levas superpuestas'!$B$14-'Levas superpuestas'!$B$8/4))/('Levas superpuestas'!$B$8/2)))/Simulador!$B$11))/2,Simulador!$B$9))))*COS(RADIANS(W108))</f>
        <v/>
      </c>
      <c r="Z108" s="48">
        <f>('Levas superpuestas'!$B$5+IF(OR(((W108-('Levas superpuestas'!$B$15-'Levas superpuestas'!$B$9/4))/('Levas superpuestas'!$B$9/2))&lt;=0,((W108-('Levas superpuestas'!$B$15-'Levas superpuestas'!$B$9/4))/('Levas superpuestas'!$B$9/2))&gt;=1),0,IF(((W108-('Levas superpuestas'!$B$15-'Levas superpuestas'!$B$9/4))/('Levas superpuestas'!$B$9/2))&lt;Simulador!$B$11,Simulador!$B$10*(1-COS(PI()*((W108-('Levas superpuestas'!$B$15-'Levas superpuestas'!$B$9/4))/('Levas superpuestas'!$B$9/2))/Simulador!$B$11))/2,IF(((W108-('Levas superpuestas'!$B$15-'Levas superpuestas'!$B$9/4))/('Levas superpuestas'!$B$9/2))&gt;1-Simulador!$B$11,Simulador!$B$10*(1-COS(PI()*(1-((W108-('Levas superpuestas'!$B$15-'Levas superpuestas'!$B$9/4))/('Levas superpuestas'!$B$9/2)))/Simulador!$B$11))/2,Simulador!$B$10))))*SIN(RADIANS(W108))</f>
        <v/>
      </c>
      <c r="AA108" s="48">
        <f>('Levas superpuestas'!$B$5+IF(OR(((W108-('Levas superpuestas'!$B$15-'Levas superpuestas'!$B$9/4))/('Levas superpuestas'!$B$9/2))&lt;=0,((W108-('Levas superpuestas'!$B$15-'Levas superpuestas'!$B$9/4))/('Levas superpuestas'!$B$9/2))&gt;=1),0,IF(((W108-('Levas superpuestas'!$B$15-'Levas superpuestas'!$B$9/4))/('Levas superpuestas'!$B$9/2))&lt;Simulador!$B$11,Simulador!$B$10*(1-COS(PI()*((W108-('Levas superpuestas'!$B$15-'Levas superpuestas'!$B$9/4))/('Levas superpuestas'!$B$9/2))/Simulador!$B$11))/2,IF(((W108-('Levas superpuestas'!$B$15-'Levas superpuestas'!$B$9/4))/('Levas superpuestas'!$B$9/2))&gt;1-Simulador!$B$11,Simulador!$B$10*(1-COS(PI()*(1-((W108-('Levas superpuestas'!$B$15-'Levas superpuestas'!$B$9/4))/('Levas superpuestas'!$B$9/2)))/Simulador!$B$11))/2,Simulador!$B$10))))*COS(RADIANS(W108))</f>
        <v/>
      </c>
      <c r="AB108">
        <f>'Levas superpuestas'!$B$5*SIN(RADIANS(W108))</f>
        <v/>
      </c>
      <c r="AC108">
        <f>'Levas superpuestas'!$B$5*COS(RADIANS(W108))</f>
        <v/>
      </c>
    </row>
    <row r="109">
      <c r="A109" s="26">
        <f>A108+Simulador!$B$14</f>
        <v/>
      </c>
      <c r="B109" s="46">
        <f>IF(OR((($A109-Simulador!$E$5)/Simulador!$G$5)&lt;=0,(($A109-Simulador!$E$5)/Simulador!$G$5)&gt;=1),0,IF((($A109-Simulador!$E$5)/Simulador!$G$5)&lt;Simulador!$B$11,Simulador!$B$9*(1-COS(PI()*(($A109-Simulador!$E$5)/Simulador!$G$5)/Simulador!$B$11))/2,IF((($A109-Simulador!$E$5)/Simulador!$G$5)&gt;1-Simulador!$B$11,Simulador!$B$9*(1-COS(PI()*(1-(($A109-Simulador!$E$5)/Simulador!$G$5))/Simulador!$B$11))/2,Simulador!$B$9)))</f>
        <v/>
      </c>
      <c r="C109" s="46">
        <f>IF(OR((($A109-Simulador!$E$6)/Simulador!$G$6)&lt;=0,(($A109-Simulador!$E$6)/Simulador!$G$6)&gt;=1),0,IF((($A109-Simulador!$E$6)/Simulador!$G$6)&lt;Simulador!$B$11,Simulador!$B$9*(1-COS(PI()*(($A109-Simulador!$E$6)/Simulador!$G$6)/Simulador!$B$11))/2,IF((($A109-Simulador!$E$6)/Simulador!$G$6)&gt;1-Simulador!$B$11,Simulador!$B$9*(1-COS(PI()*(1-(($A109-Simulador!$E$6)/Simulador!$G$6))/Simulador!$B$11))/2,Simulador!$B$9)))</f>
        <v/>
      </c>
      <c r="D109" s="46">
        <f>IF(OR((($A109-Simulador!$E$7)/Simulador!$G$7)&lt;=0,(($A109-Simulador!$E$7)/Simulador!$G$7)&gt;=1),0,IF((($A109-Simulador!$E$7)/Simulador!$G$7)&lt;Simulador!$B$11,Simulador!$B$9*(1-COS(PI()*(($A109-Simulador!$E$7)/Simulador!$G$7)/Simulador!$B$11))/2,IF((($A109-Simulador!$E$7)/Simulador!$G$7)&gt;1-Simulador!$B$11,Simulador!$B$9*(1-COS(PI()*(1-(($A109-Simulador!$E$7)/Simulador!$G$7))/Simulador!$B$11))/2,Simulador!$B$9)))</f>
        <v/>
      </c>
      <c r="E109" s="46">
        <f>IF(OR((($A109-Simulador!$E$8)/Simulador!$G$8)&lt;=0,(($A109-Simulador!$E$8)/Simulador!$G$8)&gt;=1),0,IF((($A109-Simulador!$E$8)/Simulador!$G$8)&lt;Simulador!$B$11,Simulador!$B$10*(1-COS(PI()*(($A109-Simulador!$E$8)/Simulador!$G$8)/Simulador!$B$11))/2,IF((($A109-Simulador!$E$8)/Simulador!$G$8)&gt;1-Simulador!$B$11,Simulador!$B$10*(1-COS(PI()*(1-(($A109-Simulador!$E$8)/Simulador!$G$8))/Simulador!$B$11))/2,Simulador!$B$10)))</f>
        <v/>
      </c>
      <c r="F109" s="46">
        <f>IF(OR((($A109-Simulador!$E$9)/Simulador!$G$9)&lt;=0,(($A109-Simulador!$E$9)/Simulador!$G$9)&gt;=1),0,IF((($A109-Simulador!$E$9)/Simulador!$G$9)&lt;Simulador!$B$11,Simulador!$B$10*(1-COS(PI()*(($A109-Simulador!$E$9)/Simulador!$G$9)/Simulador!$B$11))/2,IF((($A109-Simulador!$E$9)/Simulador!$G$9)&gt;1-Simulador!$B$11,Simulador!$B$10*(1-COS(PI()*(1-(($A109-Simulador!$E$9)/Simulador!$G$9))/Simulador!$B$11))/2,Simulador!$B$10)))</f>
        <v/>
      </c>
      <c r="G109" s="46">
        <f>IF(OR((($A109-Simulador!$E$10)/Simulador!$G$10)&lt;=0,(($A109-Simulador!$E$10)/Simulador!$G$10)&gt;=1),0,IF((($A109-Simulador!$E$10)/Simulador!$G$10)&lt;Simulador!$B$11,Simulador!$B$10*(1-COS(PI()*(($A109-Simulador!$E$10)/Simulador!$G$10)/Simulador!$B$11))/2,IF((($A109-Simulador!$E$10)/Simulador!$G$10)&gt;1-Simulador!$B$11,Simulador!$B$10*(1-COS(PI()*(1-(($A109-Simulador!$E$10)/Simulador!$G$10))/Simulador!$B$11))/2,Simulador!$B$10)))</f>
        <v/>
      </c>
      <c r="Q109" s="48">
        <f>IF(OR((($A109-(Simulador!$E$6+'Salto de dientes'!$B$12))/Simulador!$G$6)&lt;=0,(($A109-(Simulador!$E$6+'Salto de dientes'!$B$12))/Simulador!$G$6)&gt;=1),0,IF((($A109-(Simulador!$E$6+'Salto de dientes'!$B$12))/Simulador!$G$6)&lt;Simulador!$B$11,Simulador!$B$9*(1-COS(PI()*(($A109-(Simulador!$E$6+'Salto de dientes'!$B$12))/Simulador!$G$6)/Simulador!$B$11))/2,IF((($A109-(Simulador!$E$6+'Salto de dientes'!$B$12))/Simulador!$G$6)&gt;1-Simulador!$B$11,Simulador!$B$9*(1-COS(PI()*(1-(($A109-(Simulador!$E$6+'Salto de dientes'!$B$12))/Simulador!$G$6))/Simulador!$B$11))/2,Simulador!$B$9)))</f>
        <v/>
      </c>
      <c r="R109" s="48">
        <f>IF(OR((($A109-(Simulador!$E$9+'Salto de dientes'!$B$12))/Simulador!$G$9)&lt;=0,(($A109-(Simulador!$E$9+'Salto de dientes'!$B$12))/Simulador!$G$9)&gt;=1),0,IF((($A109-(Simulador!$E$9+'Salto de dientes'!$B$12))/Simulador!$G$9)&lt;Simulador!$B$11,Simulador!$B$10*(1-COS(PI()*(($A109-(Simulador!$E$9+'Salto de dientes'!$B$12))/Simulador!$G$9)/Simulador!$B$11))/2,IF((($A109-(Simulador!$E$9+'Salto de dientes'!$B$12))/Simulador!$G$9)&gt;1-Simulador!$B$11,Simulador!$B$10*(1-COS(PI()*(1-(($A109-(Simulador!$E$9+'Salto de dientes'!$B$12))/Simulador!$G$9))/Simulador!$B$11))/2,Simulador!$B$10)))</f>
        <v/>
      </c>
      <c r="W109" t="n">
        <v>141</v>
      </c>
      <c r="X109" s="48">
        <f>('Levas superpuestas'!$B$5+IF(OR(((W109-('Levas superpuestas'!$B$14-'Levas superpuestas'!$B$8/4))/('Levas superpuestas'!$B$8/2))&lt;=0,((W109-('Levas superpuestas'!$B$14-'Levas superpuestas'!$B$8/4))/('Levas superpuestas'!$B$8/2))&gt;=1),0,IF(((W109-('Levas superpuestas'!$B$14-'Levas superpuestas'!$B$8/4))/('Levas superpuestas'!$B$8/2))&lt;Simulador!$B$11,Simulador!$B$9*(1-COS(PI()*((W109-('Levas superpuestas'!$B$14-'Levas superpuestas'!$B$8/4))/('Levas superpuestas'!$B$8/2))/Simulador!$B$11))/2,IF(((W109-('Levas superpuestas'!$B$14-'Levas superpuestas'!$B$8/4))/('Levas superpuestas'!$B$8/2))&gt;1-Simulador!$B$11,Simulador!$B$9*(1-COS(PI()*(1-((W109-('Levas superpuestas'!$B$14-'Levas superpuestas'!$B$8/4))/('Levas superpuestas'!$B$8/2)))/Simulador!$B$11))/2,Simulador!$B$9))))*SIN(RADIANS(W109))</f>
        <v/>
      </c>
      <c r="Y109" s="48">
        <f>('Levas superpuestas'!$B$5+IF(OR(((W109-('Levas superpuestas'!$B$14-'Levas superpuestas'!$B$8/4))/('Levas superpuestas'!$B$8/2))&lt;=0,((W109-('Levas superpuestas'!$B$14-'Levas superpuestas'!$B$8/4))/('Levas superpuestas'!$B$8/2))&gt;=1),0,IF(((W109-('Levas superpuestas'!$B$14-'Levas superpuestas'!$B$8/4))/('Levas superpuestas'!$B$8/2))&lt;Simulador!$B$11,Simulador!$B$9*(1-COS(PI()*((W109-('Levas superpuestas'!$B$14-'Levas superpuestas'!$B$8/4))/('Levas superpuestas'!$B$8/2))/Simulador!$B$11))/2,IF(((W109-('Levas superpuestas'!$B$14-'Levas superpuestas'!$B$8/4))/('Levas superpuestas'!$B$8/2))&gt;1-Simulador!$B$11,Simulador!$B$9*(1-COS(PI()*(1-((W109-('Levas superpuestas'!$B$14-'Levas superpuestas'!$B$8/4))/('Levas superpuestas'!$B$8/2)))/Simulador!$B$11))/2,Simulador!$B$9))))*COS(RADIANS(W109))</f>
        <v/>
      </c>
      <c r="Z109" s="48">
        <f>('Levas superpuestas'!$B$5+IF(OR(((W109-('Levas superpuestas'!$B$15-'Levas superpuestas'!$B$9/4))/('Levas superpuestas'!$B$9/2))&lt;=0,((W109-('Levas superpuestas'!$B$15-'Levas superpuestas'!$B$9/4))/('Levas superpuestas'!$B$9/2))&gt;=1),0,IF(((W109-('Levas superpuestas'!$B$15-'Levas superpuestas'!$B$9/4))/('Levas superpuestas'!$B$9/2))&lt;Simulador!$B$11,Simulador!$B$10*(1-COS(PI()*((W109-('Levas superpuestas'!$B$15-'Levas superpuestas'!$B$9/4))/('Levas superpuestas'!$B$9/2))/Simulador!$B$11))/2,IF(((W109-('Levas superpuestas'!$B$15-'Levas superpuestas'!$B$9/4))/('Levas superpuestas'!$B$9/2))&gt;1-Simulador!$B$11,Simulador!$B$10*(1-COS(PI()*(1-((W109-('Levas superpuestas'!$B$15-'Levas superpuestas'!$B$9/4))/('Levas superpuestas'!$B$9/2)))/Simulador!$B$11))/2,Simulador!$B$10))))*SIN(RADIANS(W109))</f>
        <v/>
      </c>
      <c r="AA109" s="48">
        <f>('Levas superpuestas'!$B$5+IF(OR(((W109-('Levas superpuestas'!$B$15-'Levas superpuestas'!$B$9/4))/('Levas superpuestas'!$B$9/2))&lt;=0,((W109-('Levas superpuestas'!$B$15-'Levas superpuestas'!$B$9/4))/('Levas superpuestas'!$B$9/2))&gt;=1),0,IF(((W109-('Levas superpuestas'!$B$15-'Levas superpuestas'!$B$9/4))/('Levas superpuestas'!$B$9/2))&lt;Simulador!$B$11,Simulador!$B$10*(1-COS(PI()*((W109-('Levas superpuestas'!$B$15-'Levas superpuestas'!$B$9/4))/('Levas superpuestas'!$B$9/2))/Simulador!$B$11))/2,IF(((W109-('Levas superpuestas'!$B$15-'Levas superpuestas'!$B$9/4))/('Levas superpuestas'!$B$9/2))&gt;1-Simulador!$B$11,Simulador!$B$10*(1-COS(PI()*(1-((W109-('Levas superpuestas'!$B$15-'Levas superpuestas'!$B$9/4))/('Levas superpuestas'!$B$9/2)))/Simulador!$B$11))/2,Simulador!$B$10))))*COS(RADIANS(W109))</f>
        <v/>
      </c>
      <c r="AB109">
        <f>'Levas superpuestas'!$B$5*SIN(RADIANS(W109))</f>
        <v/>
      </c>
      <c r="AC109">
        <f>'Levas superpuestas'!$B$5*COS(RADIANS(W109))</f>
        <v/>
      </c>
    </row>
    <row r="110">
      <c r="A110" s="26">
        <f>A109+Simulador!$B$14</f>
        <v/>
      </c>
      <c r="B110" s="46">
        <f>IF(OR((($A110-Simulador!$E$5)/Simulador!$G$5)&lt;=0,(($A110-Simulador!$E$5)/Simulador!$G$5)&gt;=1),0,IF((($A110-Simulador!$E$5)/Simulador!$G$5)&lt;Simulador!$B$11,Simulador!$B$9*(1-COS(PI()*(($A110-Simulador!$E$5)/Simulador!$G$5)/Simulador!$B$11))/2,IF((($A110-Simulador!$E$5)/Simulador!$G$5)&gt;1-Simulador!$B$11,Simulador!$B$9*(1-COS(PI()*(1-(($A110-Simulador!$E$5)/Simulador!$G$5))/Simulador!$B$11))/2,Simulador!$B$9)))</f>
        <v/>
      </c>
      <c r="C110" s="46">
        <f>IF(OR((($A110-Simulador!$E$6)/Simulador!$G$6)&lt;=0,(($A110-Simulador!$E$6)/Simulador!$G$6)&gt;=1),0,IF((($A110-Simulador!$E$6)/Simulador!$G$6)&lt;Simulador!$B$11,Simulador!$B$9*(1-COS(PI()*(($A110-Simulador!$E$6)/Simulador!$G$6)/Simulador!$B$11))/2,IF((($A110-Simulador!$E$6)/Simulador!$G$6)&gt;1-Simulador!$B$11,Simulador!$B$9*(1-COS(PI()*(1-(($A110-Simulador!$E$6)/Simulador!$G$6))/Simulador!$B$11))/2,Simulador!$B$9)))</f>
        <v/>
      </c>
      <c r="D110" s="46">
        <f>IF(OR((($A110-Simulador!$E$7)/Simulador!$G$7)&lt;=0,(($A110-Simulador!$E$7)/Simulador!$G$7)&gt;=1),0,IF((($A110-Simulador!$E$7)/Simulador!$G$7)&lt;Simulador!$B$11,Simulador!$B$9*(1-COS(PI()*(($A110-Simulador!$E$7)/Simulador!$G$7)/Simulador!$B$11))/2,IF((($A110-Simulador!$E$7)/Simulador!$G$7)&gt;1-Simulador!$B$11,Simulador!$B$9*(1-COS(PI()*(1-(($A110-Simulador!$E$7)/Simulador!$G$7))/Simulador!$B$11))/2,Simulador!$B$9)))</f>
        <v/>
      </c>
      <c r="E110" s="46">
        <f>IF(OR((($A110-Simulador!$E$8)/Simulador!$G$8)&lt;=0,(($A110-Simulador!$E$8)/Simulador!$G$8)&gt;=1),0,IF((($A110-Simulador!$E$8)/Simulador!$G$8)&lt;Simulador!$B$11,Simulador!$B$10*(1-COS(PI()*(($A110-Simulador!$E$8)/Simulador!$G$8)/Simulador!$B$11))/2,IF((($A110-Simulador!$E$8)/Simulador!$G$8)&gt;1-Simulador!$B$11,Simulador!$B$10*(1-COS(PI()*(1-(($A110-Simulador!$E$8)/Simulador!$G$8))/Simulador!$B$11))/2,Simulador!$B$10)))</f>
        <v/>
      </c>
      <c r="F110" s="46">
        <f>IF(OR((($A110-Simulador!$E$9)/Simulador!$G$9)&lt;=0,(($A110-Simulador!$E$9)/Simulador!$G$9)&gt;=1),0,IF((($A110-Simulador!$E$9)/Simulador!$G$9)&lt;Simulador!$B$11,Simulador!$B$10*(1-COS(PI()*(($A110-Simulador!$E$9)/Simulador!$G$9)/Simulador!$B$11))/2,IF((($A110-Simulador!$E$9)/Simulador!$G$9)&gt;1-Simulador!$B$11,Simulador!$B$10*(1-COS(PI()*(1-(($A110-Simulador!$E$9)/Simulador!$G$9))/Simulador!$B$11))/2,Simulador!$B$10)))</f>
        <v/>
      </c>
      <c r="G110" s="46">
        <f>IF(OR((($A110-Simulador!$E$10)/Simulador!$G$10)&lt;=0,(($A110-Simulador!$E$10)/Simulador!$G$10)&gt;=1),0,IF((($A110-Simulador!$E$10)/Simulador!$G$10)&lt;Simulador!$B$11,Simulador!$B$10*(1-COS(PI()*(($A110-Simulador!$E$10)/Simulador!$G$10)/Simulador!$B$11))/2,IF((($A110-Simulador!$E$10)/Simulador!$G$10)&gt;1-Simulador!$B$11,Simulador!$B$10*(1-COS(PI()*(1-(($A110-Simulador!$E$10)/Simulador!$G$10))/Simulador!$B$11))/2,Simulador!$B$10)))</f>
        <v/>
      </c>
      <c r="Q110" s="48">
        <f>IF(OR((($A110-(Simulador!$E$6+'Salto de dientes'!$B$12))/Simulador!$G$6)&lt;=0,(($A110-(Simulador!$E$6+'Salto de dientes'!$B$12))/Simulador!$G$6)&gt;=1),0,IF((($A110-(Simulador!$E$6+'Salto de dientes'!$B$12))/Simulador!$G$6)&lt;Simulador!$B$11,Simulador!$B$9*(1-COS(PI()*(($A110-(Simulador!$E$6+'Salto de dientes'!$B$12))/Simulador!$G$6)/Simulador!$B$11))/2,IF((($A110-(Simulador!$E$6+'Salto de dientes'!$B$12))/Simulador!$G$6)&gt;1-Simulador!$B$11,Simulador!$B$9*(1-COS(PI()*(1-(($A110-(Simulador!$E$6+'Salto de dientes'!$B$12))/Simulador!$G$6))/Simulador!$B$11))/2,Simulador!$B$9)))</f>
        <v/>
      </c>
      <c r="R110" s="48">
        <f>IF(OR((($A110-(Simulador!$E$9+'Salto de dientes'!$B$12))/Simulador!$G$9)&lt;=0,(($A110-(Simulador!$E$9+'Salto de dientes'!$B$12))/Simulador!$G$9)&gt;=1),0,IF((($A110-(Simulador!$E$9+'Salto de dientes'!$B$12))/Simulador!$G$9)&lt;Simulador!$B$11,Simulador!$B$10*(1-COS(PI()*(($A110-(Simulador!$E$9+'Salto de dientes'!$B$12))/Simulador!$G$9)/Simulador!$B$11))/2,IF((($A110-(Simulador!$E$9+'Salto de dientes'!$B$12))/Simulador!$G$9)&gt;1-Simulador!$B$11,Simulador!$B$10*(1-COS(PI()*(1-(($A110-(Simulador!$E$9+'Salto de dientes'!$B$12))/Simulador!$G$9))/Simulador!$B$11))/2,Simulador!$B$10)))</f>
        <v/>
      </c>
      <c r="W110" t="n">
        <v>144</v>
      </c>
      <c r="X110" s="48">
        <f>('Levas superpuestas'!$B$5+IF(OR(((W110-('Levas superpuestas'!$B$14-'Levas superpuestas'!$B$8/4))/('Levas superpuestas'!$B$8/2))&lt;=0,((W110-('Levas superpuestas'!$B$14-'Levas superpuestas'!$B$8/4))/('Levas superpuestas'!$B$8/2))&gt;=1),0,IF(((W110-('Levas superpuestas'!$B$14-'Levas superpuestas'!$B$8/4))/('Levas superpuestas'!$B$8/2))&lt;Simulador!$B$11,Simulador!$B$9*(1-COS(PI()*((W110-('Levas superpuestas'!$B$14-'Levas superpuestas'!$B$8/4))/('Levas superpuestas'!$B$8/2))/Simulador!$B$11))/2,IF(((W110-('Levas superpuestas'!$B$14-'Levas superpuestas'!$B$8/4))/('Levas superpuestas'!$B$8/2))&gt;1-Simulador!$B$11,Simulador!$B$9*(1-COS(PI()*(1-((W110-('Levas superpuestas'!$B$14-'Levas superpuestas'!$B$8/4))/('Levas superpuestas'!$B$8/2)))/Simulador!$B$11))/2,Simulador!$B$9))))*SIN(RADIANS(W110))</f>
        <v/>
      </c>
      <c r="Y110" s="48">
        <f>('Levas superpuestas'!$B$5+IF(OR(((W110-('Levas superpuestas'!$B$14-'Levas superpuestas'!$B$8/4))/('Levas superpuestas'!$B$8/2))&lt;=0,((W110-('Levas superpuestas'!$B$14-'Levas superpuestas'!$B$8/4))/('Levas superpuestas'!$B$8/2))&gt;=1),0,IF(((W110-('Levas superpuestas'!$B$14-'Levas superpuestas'!$B$8/4))/('Levas superpuestas'!$B$8/2))&lt;Simulador!$B$11,Simulador!$B$9*(1-COS(PI()*((W110-('Levas superpuestas'!$B$14-'Levas superpuestas'!$B$8/4))/('Levas superpuestas'!$B$8/2))/Simulador!$B$11))/2,IF(((W110-('Levas superpuestas'!$B$14-'Levas superpuestas'!$B$8/4))/('Levas superpuestas'!$B$8/2))&gt;1-Simulador!$B$11,Simulador!$B$9*(1-COS(PI()*(1-((W110-('Levas superpuestas'!$B$14-'Levas superpuestas'!$B$8/4))/('Levas superpuestas'!$B$8/2)))/Simulador!$B$11))/2,Simulador!$B$9))))*COS(RADIANS(W110))</f>
        <v/>
      </c>
      <c r="Z110" s="48">
        <f>('Levas superpuestas'!$B$5+IF(OR(((W110-('Levas superpuestas'!$B$15-'Levas superpuestas'!$B$9/4))/('Levas superpuestas'!$B$9/2))&lt;=0,((W110-('Levas superpuestas'!$B$15-'Levas superpuestas'!$B$9/4))/('Levas superpuestas'!$B$9/2))&gt;=1),0,IF(((W110-('Levas superpuestas'!$B$15-'Levas superpuestas'!$B$9/4))/('Levas superpuestas'!$B$9/2))&lt;Simulador!$B$11,Simulador!$B$10*(1-COS(PI()*((W110-('Levas superpuestas'!$B$15-'Levas superpuestas'!$B$9/4))/('Levas superpuestas'!$B$9/2))/Simulador!$B$11))/2,IF(((W110-('Levas superpuestas'!$B$15-'Levas superpuestas'!$B$9/4))/('Levas superpuestas'!$B$9/2))&gt;1-Simulador!$B$11,Simulador!$B$10*(1-COS(PI()*(1-((W110-('Levas superpuestas'!$B$15-'Levas superpuestas'!$B$9/4))/('Levas superpuestas'!$B$9/2)))/Simulador!$B$11))/2,Simulador!$B$10))))*SIN(RADIANS(W110))</f>
        <v/>
      </c>
      <c r="AA110" s="48">
        <f>('Levas superpuestas'!$B$5+IF(OR(((W110-('Levas superpuestas'!$B$15-'Levas superpuestas'!$B$9/4))/('Levas superpuestas'!$B$9/2))&lt;=0,((W110-('Levas superpuestas'!$B$15-'Levas superpuestas'!$B$9/4))/('Levas superpuestas'!$B$9/2))&gt;=1),0,IF(((W110-('Levas superpuestas'!$B$15-'Levas superpuestas'!$B$9/4))/('Levas superpuestas'!$B$9/2))&lt;Simulador!$B$11,Simulador!$B$10*(1-COS(PI()*((W110-('Levas superpuestas'!$B$15-'Levas superpuestas'!$B$9/4))/('Levas superpuestas'!$B$9/2))/Simulador!$B$11))/2,IF(((W110-('Levas superpuestas'!$B$15-'Levas superpuestas'!$B$9/4))/('Levas superpuestas'!$B$9/2))&gt;1-Simulador!$B$11,Simulador!$B$10*(1-COS(PI()*(1-((W110-('Levas superpuestas'!$B$15-'Levas superpuestas'!$B$9/4))/('Levas superpuestas'!$B$9/2)))/Simulador!$B$11))/2,Simulador!$B$10))))*COS(RADIANS(W110))</f>
        <v/>
      </c>
      <c r="AB110">
        <f>'Levas superpuestas'!$B$5*SIN(RADIANS(W110))</f>
        <v/>
      </c>
      <c r="AC110">
        <f>'Levas superpuestas'!$B$5*COS(RADIANS(W110))</f>
        <v/>
      </c>
    </row>
    <row r="111">
      <c r="A111" s="26">
        <f>A110+Simulador!$B$14</f>
        <v/>
      </c>
      <c r="B111" s="46">
        <f>IF(OR((($A111-Simulador!$E$5)/Simulador!$G$5)&lt;=0,(($A111-Simulador!$E$5)/Simulador!$G$5)&gt;=1),0,IF((($A111-Simulador!$E$5)/Simulador!$G$5)&lt;Simulador!$B$11,Simulador!$B$9*(1-COS(PI()*(($A111-Simulador!$E$5)/Simulador!$G$5)/Simulador!$B$11))/2,IF((($A111-Simulador!$E$5)/Simulador!$G$5)&gt;1-Simulador!$B$11,Simulador!$B$9*(1-COS(PI()*(1-(($A111-Simulador!$E$5)/Simulador!$G$5))/Simulador!$B$11))/2,Simulador!$B$9)))</f>
        <v/>
      </c>
      <c r="C111" s="46">
        <f>IF(OR((($A111-Simulador!$E$6)/Simulador!$G$6)&lt;=0,(($A111-Simulador!$E$6)/Simulador!$G$6)&gt;=1),0,IF((($A111-Simulador!$E$6)/Simulador!$G$6)&lt;Simulador!$B$11,Simulador!$B$9*(1-COS(PI()*(($A111-Simulador!$E$6)/Simulador!$G$6)/Simulador!$B$11))/2,IF((($A111-Simulador!$E$6)/Simulador!$G$6)&gt;1-Simulador!$B$11,Simulador!$B$9*(1-COS(PI()*(1-(($A111-Simulador!$E$6)/Simulador!$G$6))/Simulador!$B$11))/2,Simulador!$B$9)))</f>
        <v/>
      </c>
      <c r="D111" s="46">
        <f>IF(OR((($A111-Simulador!$E$7)/Simulador!$G$7)&lt;=0,(($A111-Simulador!$E$7)/Simulador!$G$7)&gt;=1),0,IF((($A111-Simulador!$E$7)/Simulador!$G$7)&lt;Simulador!$B$11,Simulador!$B$9*(1-COS(PI()*(($A111-Simulador!$E$7)/Simulador!$G$7)/Simulador!$B$11))/2,IF((($A111-Simulador!$E$7)/Simulador!$G$7)&gt;1-Simulador!$B$11,Simulador!$B$9*(1-COS(PI()*(1-(($A111-Simulador!$E$7)/Simulador!$G$7))/Simulador!$B$11))/2,Simulador!$B$9)))</f>
        <v/>
      </c>
      <c r="E111" s="46">
        <f>IF(OR((($A111-Simulador!$E$8)/Simulador!$G$8)&lt;=0,(($A111-Simulador!$E$8)/Simulador!$G$8)&gt;=1),0,IF((($A111-Simulador!$E$8)/Simulador!$G$8)&lt;Simulador!$B$11,Simulador!$B$10*(1-COS(PI()*(($A111-Simulador!$E$8)/Simulador!$G$8)/Simulador!$B$11))/2,IF((($A111-Simulador!$E$8)/Simulador!$G$8)&gt;1-Simulador!$B$11,Simulador!$B$10*(1-COS(PI()*(1-(($A111-Simulador!$E$8)/Simulador!$G$8))/Simulador!$B$11))/2,Simulador!$B$10)))</f>
        <v/>
      </c>
      <c r="F111" s="46">
        <f>IF(OR((($A111-Simulador!$E$9)/Simulador!$G$9)&lt;=0,(($A111-Simulador!$E$9)/Simulador!$G$9)&gt;=1),0,IF((($A111-Simulador!$E$9)/Simulador!$G$9)&lt;Simulador!$B$11,Simulador!$B$10*(1-COS(PI()*(($A111-Simulador!$E$9)/Simulador!$G$9)/Simulador!$B$11))/2,IF((($A111-Simulador!$E$9)/Simulador!$G$9)&gt;1-Simulador!$B$11,Simulador!$B$10*(1-COS(PI()*(1-(($A111-Simulador!$E$9)/Simulador!$G$9))/Simulador!$B$11))/2,Simulador!$B$10)))</f>
        <v/>
      </c>
      <c r="G111" s="46">
        <f>IF(OR((($A111-Simulador!$E$10)/Simulador!$G$10)&lt;=0,(($A111-Simulador!$E$10)/Simulador!$G$10)&gt;=1),0,IF((($A111-Simulador!$E$10)/Simulador!$G$10)&lt;Simulador!$B$11,Simulador!$B$10*(1-COS(PI()*(($A111-Simulador!$E$10)/Simulador!$G$10)/Simulador!$B$11))/2,IF((($A111-Simulador!$E$10)/Simulador!$G$10)&gt;1-Simulador!$B$11,Simulador!$B$10*(1-COS(PI()*(1-(($A111-Simulador!$E$10)/Simulador!$G$10))/Simulador!$B$11))/2,Simulador!$B$10)))</f>
        <v/>
      </c>
      <c r="Q111" s="48">
        <f>IF(OR((($A111-(Simulador!$E$6+'Salto de dientes'!$B$12))/Simulador!$G$6)&lt;=0,(($A111-(Simulador!$E$6+'Salto de dientes'!$B$12))/Simulador!$G$6)&gt;=1),0,IF((($A111-(Simulador!$E$6+'Salto de dientes'!$B$12))/Simulador!$G$6)&lt;Simulador!$B$11,Simulador!$B$9*(1-COS(PI()*(($A111-(Simulador!$E$6+'Salto de dientes'!$B$12))/Simulador!$G$6)/Simulador!$B$11))/2,IF((($A111-(Simulador!$E$6+'Salto de dientes'!$B$12))/Simulador!$G$6)&gt;1-Simulador!$B$11,Simulador!$B$9*(1-COS(PI()*(1-(($A111-(Simulador!$E$6+'Salto de dientes'!$B$12))/Simulador!$G$6))/Simulador!$B$11))/2,Simulador!$B$9)))</f>
        <v/>
      </c>
      <c r="R111" s="48">
        <f>IF(OR((($A111-(Simulador!$E$9+'Salto de dientes'!$B$12))/Simulador!$G$9)&lt;=0,(($A111-(Simulador!$E$9+'Salto de dientes'!$B$12))/Simulador!$G$9)&gt;=1),0,IF((($A111-(Simulador!$E$9+'Salto de dientes'!$B$12))/Simulador!$G$9)&lt;Simulador!$B$11,Simulador!$B$10*(1-COS(PI()*(($A111-(Simulador!$E$9+'Salto de dientes'!$B$12))/Simulador!$G$9)/Simulador!$B$11))/2,IF((($A111-(Simulador!$E$9+'Salto de dientes'!$B$12))/Simulador!$G$9)&gt;1-Simulador!$B$11,Simulador!$B$10*(1-COS(PI()*(1-(($A111-(Simulador!$E$9+'Salto de dientes'!$B$12))/Simulador!$G$9))/Simulador!$B$11))/2,Simulador!$B$10)))</f>
        <v/>
      </c>
      <c r="W111" t="n">
        <v>147</v>
      </c>
      <c r="X111" s="48">
        <f>('Levas superpuestas'!$B$5+IF(OR(((W111-('Levas superpuestas'!$B$14-'Levas superpuestas'!$B$8/4))/('Levas superpuestas'!$B$8/2))&lt;=0,((W111-('Levas superpuestas'!$B$14-'Levas superpuestas'!$B$8/4))/('Levas superpuestas'!$B$8/2))&gt;=1),0,IF(((W111-('Levas superpuestas'!$B$14-'Levas superpuestas'!$B$8/4))/('Levas superpuestas'!$B$8/2))&lt;Simulador!$B$11,Simulador!$B$9*(1-COS(PI()*((W111-('Levas superpuestas'!$B$14-'Levas superpuestas'!$B$8/4))/('Levas superpuestas'!$B$8/2))/Simulador!$B$11))/2,IF(((W111-('Levas superpuestas'!$B$14-'Levas superpuestas'!$B$8/4))/('Levas superpuestas'!$B$8/2))&gt;1-Simulador!$B$11,Simulador!$B$9*(1-COS(PI()*(1-((W111-('Levas superpuestas'!$B$14-'Levas superpuestas'!$B$8/4))/('Levas superpuestas'!$B$8/2)))/Simulador!$B$11))/2,Simulador!$B$9))))*SIN(RADIANS(W111))</f>
        <v/>
      </c>
      <c r="Y111" s="48">
        <f>('Levas superpuestas'!$B$5+IF(OR(((W111-('Levas superpuestas'!$B$14-'Levas superpuestas'!$B$8/4))/('Levas superpuestas'!$B$8/2))&lt;=0,((W111-('Levas superpuestas'!$B$14-'Levas superpuestas'!$B$8/4))/('Levas superpuestas'!$B$8/2))&gt;=1),0,IF(((W111-('Levas superpuestas'!$B$14-'Levas superpuestas'!$B$8/4))/('Levas superpuestas'!$B$8/2))&lt;Simulador!$B$11,Simulador!$B$9*(1-COS(PI()*((W111-('Levas superpuestas'!$B$14-'Levas superpuestas'!$B$8/4))/('Levas superpuestas'!$B$8/2))/Simulador!$B$11))/2,IF(((W111-('Levas superpuestas'!$B$14-'Levas superpuestas'!$B$8/4))/('Levas superpuestas'!$B$8/2))&gt;1-Simulador!$B$11,Simulador!$B$9*(1-COS(PI()*(1-((W111-('Levas superpuestas'!$B$14-'Levas superpuestas'!$B$8/4))/('Levas superpuestas'!$B$8/2)))/Simulador!$B$11))/2,Simulador!$B$9))))*COS(RADIANS(W111))</f>
        <v/>
      </c>
      <c r="Z111" s="48">
        <f>('Levas superpuestas'!$B$5+IF(OR(((W111-('Levas superpuestas'!$B$15-'Levas superpuestas'!$B$9/4))/('Levas superpuestas'!$B$9/2))&lt;=0,((W111-('Levas superpuestas'!$B$15-'Levas superpuestas'!$B$9/4))/('Levas superpuestas'!$B$9/2))&gt;=1),0,IF(((W111-('Levas superpuestas'!$B$15-'Levas superpuestas'!$B$9/4))/('Levas superpuestas'!$B$9/2))&lt;Simulador!$B$11,Simulador!$B$10*(1-COS(PI()*((W111-('Levas superpuestas'!$B$15-'Levas superpuestas'!$B$9/4))/('Levas superpuestas'!$B$9/2))/Simulador!$B$11))/2,IF(((W111-('Levas superpuestas'!$B$15-'Levas superpuestas'!$B$9/4))/('Levas superpuestas'!$B$9/2))&gt;1-Simulador!$B$11,Simulador!$B$10*(1-COS(PI()*(1-((W111-('Levas superpuestas'!$B$15-'Levas superpuestas'!$B$9/4))/('Levas superpuestas'!$B$9/2)))/Simulador!$B$11))/2,Simulador!$B$10))))*SIN(RADIANS(W111))</f>
        <v/>
      </c>
      <c r="AA111" s="48">
        <f>('Levas superpuestas'!$B$5+IF(OR(((W111-('Levas superpuestas'!$B$15-'Levas superpuestas'!$B$9/4))/('Levas superpuestas'!$B$9/2))&lt;=0,((W111-('Levas superpuestas'!$B$15-'Levas superpuestas'!$B$9/4))/('Levas superpuestas'!$B$9/2))&gt;=1),0,IF(((W111-('Levas superpuestas'!$B$15-'Levas superpuestas'!$B$9/4))/('Levas superpuestas'!$B$9/2))&lt;Simulador!$B$11,Simulador!$B$10*(1-COS(PI()*((W111-('Levas superpuestas'!$B$15-'Levas superpuestas'!$B$9/4))/('Levas superpuestas'!$B$9/2))/Simulador!$B$11))/2,IF(((W111-('Levas superpuestas'!$B$15-'Levas superpuestas'!$B$9/4))/('Levas superpuestas'!$B$9/2))&gt;1-Simulador!$B$11,Simulador!$B$10*(1-COS(PI()*(1-((W111-('Levas superpuestas'!$B$15-'Levas superpuestas'!$B$9/4))/('Levas superpuestas'!$B$9/2)))/Simulador!$B$11))/2,Simulador!$B$10))))*COS(RADIANS(W111))</f>
        <v/>
      </c>
      <c r="AB111">
        <f>'Levas superpuestas'!$B$5*SIN(RADIANS(W111))</f>
        <v/>
      </c>
      <c r="AC111">
        <f>'Levas superpuestas'!$B$5*COS(RADIANS(W111))</f>
        <v/>
      </c>
    </row>
    <row r="112">
      <c r="A112" s="26">
        <f>A111+Simulador!$B$14</f>
        <v/>
      </c>
      <c r="B112" s="46">
        <f>IF(OR((($A112-Simulador!$E$5)/Simulador!$G$5)&lt;=0,(($A112-Simulador!$E$5)/Simulador!$G$5)&gt;=1),0,IF((($A112-Simulador!$E$5)/Simulador!$G$5)&lt;Simulador!$B$11,Simulador!$B$9*(1-COS(PI()*(($A112-Simulador!$E$5)/Simulador!$G$5)/Simulador!$B$11))/2,IF((($A112-Simulador!$E$5)/Simulador!$G$5)&gt;1-Simulador!$B$11,Simulador!$B$9*(1-COS(PI()*(1-(($A112-Simulador!$E$5)/Simulador!$G$5))/Simulador!$B$11))/2,Simulador!$B$9)))</f>
        <v/>
      </c>
      <c r="C112" s="46">
        <f>IF(OR((($A112-Simulador!$E$6)/Simulador!$G$6)&lt;=0,(($A112-Simulador!$E$6)/Simulador!$G$6)&gt;=1),0,IF((($A112-Simulador!$E$6)/Simulador!$G$6)&lt;Simulador!$B$11,Simulador!$B$9*(1-COS(PI()*(($A112-Simulador!$E$6)/Simulador!$G$6)/Simulador!$B$11))/2,IF((($A112-Simulador!$E$6)/Simulador!$G$6)&gt;1-Simulador!$B$11,Simulador!$B$9*(1-COS(PI()*(1-(($A112-Simulador!$E$6)/Simulador!$G$6))/Simulador!$B$11))/2,Simulador!$B$9)))</f>
        <v/>
      </c>
      <c r="D112" s="46">
        <f>IF(OR((($A112-Simulador!$E$7)/Simulador!$G$7)&lt;=0,(($A112-Simulador!$E$7)/Simulador!$G$7)&gt;=1),0,IF((($A112-Simulador!$E$7)/Simulador!$G$7)&lt;Simulador!$B$11,Simulador!$B$9*(1-COS(PI()*(($A112-Simulador!$E$7)/Simulador!$G$7)/Simulador!$B$11))/2,IF((($A112-Simulador!$E$7)/Simulador!$G$7)&gt;1-Simulador!$B$11,Simulador!$B$9*(1-COS(PI()*(1-(($A112-Simulador!$E$7)/Simulador!$G$7))/Simulador!$B$11))/2,Simulador!$B$9)))</f>
        <v/>
      </c>
      <c r="E112" s="46">
        <f>IF(OR((($A112-Simulador!$E$8)/Simulador!$G$8)&lt;=0,(($A112-Simulador!$E$8)/Simulador!$G$8)&gt;=1),0,IF((($A112-Simulador!$E$8)/Simulador!$G$8)&lt;Simulador!$B$11,Simulador!$B$10*(1-COS(PI()*(($A112-Simulador!$E$8)/Simulador!$G$8)/Simulador!$B$11))/2,IF((($A112-Simulador!$E$8)/Simulador!$G$8)&gt;1-Simulador!$B$11,Simulador!$B$10*(1-COS(PI()*(1-(($A112-Simulador!$E$8)/Simulador!$G$8))/Simulador!$B$11))/2,Simulador!$B$10)))</f>
        <v/>
      </c>
      <c r="F112" s="46">
        <f>IF(OR((($A112-Simulador!$E$9)/Simulador!$G$9)&lt;=0,(($A112-Simulador!$E$9)/Simulador!$G$9)&gt;=1),0,IF((($A112-Simulador!$E$9)/Simulador!$G$9)&lt;Simulador!$B$11,Simulador!$B$10*(1-COS(PI()*(($A112-Simulador!$E$9)/Simulador!$G$9)/Simulador!$B$11))/2,IF((($A112-Simulador!$E$9)/Simulador!$G$9)&gt;1-Simulador!$B$11,Simulador!$B$10*(1-COS(PI()*(1-(($A112-Simulador!$E$9)/Simulador!$G$9))/Simulador!$B$11))/2,Simulador!$B$10)))</f>
        <v/>
      </c>
      <c r="G112" s="46">
        <f>IF(OR((($A112-Simulador!$E$10)/Simulador!$G$10)&lt;=0,(($A112-Simulador!$E$10)/Simulador!$G$10)&gt;=1),0,IF((($A112-Simulador!$E$10)/Simulador!$G$10)&lt;Simulador!$B$11,Simulador!$B$10*(1-COS(PI()*(($A112-Simulador!$E$10)/Simulador!$G$10)/Simulador!$B$11))/2,IF((($A112-Simulador!$E$10)/Simulador!$G$10)&gt;1-Simulador!$B$11,Simulador!$B$10*(1-COS(PI()*(1-(($A112-Simulador!$E$10)/Simulador!$G$10))/Simulador!$B$11))/2,Simulador!$B$10)))</f>
        <v/>
      </c>
      <c r="Q112" s="48">
        <f>IF(OR((($A112-(Simulador!$E$6+'Salto de dientes'!$B$12))/Simulador!$G$6)&lt;=0,(($A112-(Simulador!$E$6+'Salto de dientes'!$B$12))/Simulador!$G$6)&gt;=1),0,IF((($A112-(Simulador!$E$6+'Salto de dientes'!$B$12))/Simulador!$G$6)&lt;Simulador!$B$11,Simulador!$B$9*(1-COS(PI()*(($A112-(Simulador!$E$6+'Salto de dientes'!$B$12))/Simulador!$G$6)/Simulador!$B$11))/2,IF((($A112-(Simulador!$E$6+'Salto de dientes'!$B$12))/Simulador!$G$6)&gt;1-Simulador!$B$11,Simulador!$B$9*(1-COS(PI()*(1-(($A112-(Simulador!$E$6+'Salto de dientes'!$B$12))/Simulador!$G$6))/Simulador!$B$11))/2,Simulador!$B$9)))</f>
        <v/>
      </c>
      <c r="R112" s="48">
        <f>IF(OR((($A112-(Simulador!$E$9+'Salto de dientes'!$B$12))/Simulador!$G$9)&lt;=0,(($A112-(Simulador!$E$9+'Salto de dientes'!$B$12))/Simulador!$G$9)&gt;=1),0,IF((($A112-(Simulador!$E$9+'Salto de dientes'!$B$12))/Simulador!$G$9)&lt;Simulador!$B$11,Simulador!$B$10*(1-COS(PI()*(($A112-(Simulador!$E$9+'Salto de dientes'!$B$12))/Simulador!$G$9)/Simulador!$B$11))/2,IF((($A112-(Simulador!$E$9+'Salto de dientes'!$B$12))/Simulador!$G$9)&gt;1-Simulador!$B$11,Simulador!$B$10*(1-COS(PI()*(1-(($A112-(Simulador!$E$9+'Salto de dientes'!$B$12))/Simulador!$G$9))/Simulador!$B$11))/2,Simulador!$B$10)))</f>
        <v/>
      </c>
      <c r="W112" t="n">
        <v>150</v>
      </c>
      <c r="X112" s="48">
        <f>('Levas superpuestas'!$B$5+IF(OR(((W112-('Levas superpuestas'!$B$14-'Levas superpuestas'!$B$8/4))/('Levas superpuestas'!$B$8/2))&lt;=0,((W112-('Levas superpuestas'!$B$14-'Levas superpuestas'!$B$8/4))/('Levas superpuestas'!$B$8/2))&gt;=1),0,IF(((W112-('Levas superpuestas'!$B$14-'Levas superpuestas'!$B$8/4))/('Levas superpuestas'!$B$8/2))&lt;Simulador!$B$11,Simulador!$B$9*(1-COS(PI()*((W112-('Levas superpuestas'!$B$14-'Levas superpuestas'!$B$8/4))/('Levas superpuestas'!$B$8/2))/Simulador!$B$11))/2,IF(((W112-('Levas superpuestas'!$B$14-'Levas superpuestas'!$B$8/4))/('Levas superpuestas'!$B$8/2))&gt;1-Simulador!$B$11,Simulador!$B$9*(1-COS(PI()*(1-((W112-('Levas superpuestas'!$B$14-'Levas superpuestas'!$B$8/4))/('Levas superpuestas'!$B$8/2)))/Simulador!$B$11))/2,Simulador!$B$9))))*SIN(RADIANS(W112))</f>
        <v/>
      </c>
      <c r="Y112" s="48">
        <f>('Levas superpuestas'!$B$5+IF(OR(((W112-('Levas superpuestas'!$B$14-'Levas superpuestas'!$B$8/4))/('Levas superpuestas'!$B$8/2))&lt;=0,((W112-('Levas superpuestas'!$B$14-'Levas superpuestas'!$B$8/4))/('Levas superpuestas'!$B$8/2))&gt;=1),0,IF(((W112-('Levas superpuestas'!$B$14-'Levas superpuestas'!$B$8/4))/('Levas superpuestas'!$B$8/2))&lt;Simulador!$B$11,Simulador!$B$9*(1-COS(PI()*((W112-('Levas superpuestas'!$B$14-'Levas superpuestas'!$B$8/4))/('Levas superpuestas'!$B$8/2))/Simulador!$B$11))/2,IF(((W112-('Levas superpuestas'!$B$14-'Levas superpuestas'!$B$8/4))/('Levas superpuestas'!$B$8/2))&gt;1-Simulador!$B$11,Simulador!$B$9*(1-COS(PI()*(1-((W112-('Levas superpuestas'!$B$14-'Levas superpuestas'!$B$8/4))/('Levas superpuestas'!$B$8/2)))/Simulador!$B$11))/2,Simulador!$B$9))))*COS(RADIANS(W112))</f>
        <v/>
      </c>
      <c r="Z112" s="48">
        <f>('Levas superpuestas'!$B$5+IF(OR(((W112-('Levas superpuestas'!$B$15-'Levas superpuestas'!$B$9/4))/('Levas superpuestas'!$B$9/2))&lt;=0,((W112-('Levas superpuestas'!$B$15-'Levas superpuestas'!$B$9/4))/('Levas superpuestas'!$B$9/2))&gt;=1),0,IF(((W112-('Levas superpuestas'!$B$15-'Levas superpuestas'!$B$9/4))/('Levas superpuestas'!$B$9/2))&lt;Simulador!$B$11,Simulador!$B$10*(1-COS(PI()*((W112-('Levas superpuestas'!$B$15-'Levas superpuestas'!$B$9/4))/('Levas superpuestas'!$B$9/2))/Simulador!$B$11))/2,IF(((W112-('Levas superpuestas'!$B$15-'Levas superpuestas'!$B$9/4))/('Levas superpuestas'!$B$9/2))&gt;1-Simulador!$B$11,Simulador!$B$10*(1-COS(PI()*(1-((W112-('Levas superpuestas'!$B$15-'Levas superpuestas'!$B$9/4))/('Levas superpuestas'!$B$9/2)))/Simulador!$B$11))/2,Simulador!$B$10))))*SIN(RADIANS(W112))</f>
        <v/>
      </c>
      <c r="AA112" s="48">
        <f>('Levas superpuestas'!$B$5+IF(OR(((W112-('Levas superpuestas'!$B$15-'Levas superpuestas'!$B$9/4))/('Levas superpuestas'!$B$9/2))&lt;=0,((W112-('Levas superpuestas'!$B$15-'Levas superpuestas'!$B$9/4))/('Levas superpuestas'!$B$9/2))&gt;=1),0,IF(((W112-('Levas superpuestas'!$B$15-'Levas superpuestas'!$B$9/4))/('Levas superpuestas'!$B$9/2))&lt;Simulador!$B$11,Simulador!$B$10*(1-COS(PI()*((W112-('Levas superpuestas'!$B$15-'Levas superpuestas'!$B$9/4))/('Levas superpuestas'!$B$9/2))/Simulador!$B$11))/2,IF(((W112-('Levas superpuestas'!$B$15-'Levas superpuestas'!$B$9/4))/('Levas superpuestas'!$B$9/2))&gt;1-Simulador!$B$11,Simulador!$B$10*(1-COS(PI()*(1-((W112-('Levas superpuestas'!$B$15-'Levas superpuestas'!$B$9/4))/('Levas superpuestas'!$B$9/2)))/Simulador!$B$11))/2,Simulador!$B$10))))*COS(RADIANS(W112))</f>
        <v/>
      </c>
      <c r="AB112">
        <f>'Levas superpuestas'!$B$5*SIN(RADIANS(W112))</f>
        <v/>
      </c>
      <c r="AC112">
        <f>'Levas superpuestas'!$B$5*COS(RADIANS(W112))</f>
        <v/>
      </c>
    </row>
    <row r="113">
      <c r="A113" s="26">
        <f>A112+Simulador!$B$14</f>
        <v/>
      </c>
      <c r="B113" s="46">
        <f>IF(OR((($A113-Simulador!$E$5)/Simulador!$G$5)&lt;=0,(($A113-Simulador!$E$5)/Simulador!$G$5)&gt;=1),0,IF((($A113-Simulador!$E$5)/Simulador!$G$5)&lt;Simulador!$B$11,Simulador!$B$9*(1-COS(PI()*(($A113-Simulador!$E$5)/Simulador!$G$5)/Simulador!$B$11))/2,IF((($A113-Simulador!$E$5)/Simulador!$G$5)&gt;1-Simulador!$B$11,Simulador!$B$9*(1-COS(PI()*(1-(($A113-Simulador!$E$5)/Simulador!$G$5))/Simulador!$B$11))/2,Simulador!$B$9)))</f>
        <v/>
      </c>
      <c r="C113" s="46">
        <f>IF(OR((($A113-Simulador!$E$6)/Simulador!$G$6)&lt;=0,(($A113-Simulador!$E$6)/Simulador!$G$6)&gt;=1),0,IF((($A113-Simulador!$E$6)/Simulador!$G$6)&lt;Simulador!$B$11,Simulador!$B$9*(1-COS(PI()*(($A113-Simulador!$E$6)/Simulador!$G$6)/Simulador!$B$11))/2,IF((($A113-Simulador!$E$6)/Simulador!$G$6)&gt;1-Simulador!$B$11,Simulador!$B$9*(1-COS(PI()*(1-(($A113-Simulador!$E$6)/Simulador!$G$6))/Simulador!$B$11))/2,Simulador!$B$9)))</f>
        <v/>
      </c>
      <c r="D113" s="46">
        <f>IF(OR((($A113-Simulador!$E$7)/Simulador!$G$7)&lt;=0,(($A113-Simulador!$E$7)/Simulador!$G$7)&gt;=1),0,IF((($A113-Simulador!$E$7)/Simulador!$G$7)&lt;Simulador!$B$11,Simulador!$B$9*(1-COS(PI()*(($A113-Simulador!$E$7)/Simulador!$G$7)/Simulador!$B$11))/2,IF((($A113-Simulador!$E$7)/Simulador!$G$7)&gt;1-Simulador!$B$11,Simulador!$B$9*(1-COS(PI()*(1-(($A113-Simulador!$E$7)/Simulador!$G$7))/Simulador!$B$11))/2,Simulador!$B$9)))</f>
        <v/>
      </c>
      <c r="E113" s="46">
        <f>IF(OR((($A113-Simulador!$E$8)/Simulador!$G$8)&lt;=0,(($A113-Simulador!$E$8)/Simulador!$G$8)&gt;=1),0,IF((($A113-Simulador!$E$8)/Simulador!$G$8)&lt;Simulador!$B$11,Simulador!$B$10*(1-COS(PI()*(($A113-Simulador!$E$8)/Simulador!$G$8)/Simulador!$B$11))/2,IF((($A113-Simulador!$E$8)/Simulador!$G$8)&gt;1-Simulador!$B$11,Simulador!$B$10*(1-COS(PI()*(1-(($A113-Simulador!$E$8)/Simulador!$G$8))/Simulador!$B$11))/2,Simulador!$B$10)))</f>
        <v/>
      </c>
      <c r="F113" s="46">
        <f>IF(OR((($A113-Simulador!$E$9)/Simulador!$G$9)&lt;=0,(($A113-Simulador!$E$9)/Simulador!$G$9)&gt;=1),0,IF((($A113-Simulador!$E$9)/Simulador!$G$9)&lt;Simulador!$B$11,Simulador!$B$10*(1-COS(PI()*(($A113-Simulador!$E$9)/Simulador!$G$9)/Simulador!$B$11))/2,IF((($A113-Simulador!$E$9)/Simulador!$G$9)&gt;1-Simulador!$B$11,Simulador!$B$10*(1-COS(PI()*(1-(($A113-Simulador!$E$9)/Simulador!$G$9))/Simulador!$B$11))/2,Simulador!$B$10)))</f>
        <v/>
      </c>
      <c r="G113" s="46">
        <f>IF(OR((($A113-Simulador!$E$10)/Simulador!$G$10)&lt;=0,(($A113-Simulador!$E$10)/Simulador!$G$10)&gt;=1),0,IF((($A113-Simulador!$E$10)/Simulador!$G$10)&lt;Simulador!$B$11,Simulador!$B$10*(1-COS(PI()*(($A113-Simulador!$E$10)/Simulador!$G$10)/Simulador!$B$11))/2,IF((($A113-Simulador!$E$10)/Simulador!$G$10)&gt;1-Simulador!$B$11,Simulador!$B$10*(1-COS(PI()*(1-(($A113-Simulador!$E$10)/Simulador!$G$10))/Simulador!$B$11))/2,Simulador!$B$10)))</f>
        <v/>
      </c>
      <c r="Q113" s="48">
        <f>IF(OR((($A113-(Simulador!$E$6+'Salto de dientes'!$B$12))/Simulador!$G$6)&lt;=0,(($A113-(Simulador!$E$6+'Salto de dientes'!$B$12))/Simulador!$G$6)&gt;=1),0,IF((($A113-(Simulador!$E$6+'Salto de dientes'!$B$12))/Simulador!$G$6)&lt;Simulador!$B$11,Simulador!$B$9*(1-COS(PI()*(($A113-(Simulador!$E$6+'Salto de dientes'!$B$12))/Simulador!$G$6)/Simulador!$B$11))/2,IF((($A113-(Simulador!$E$6+'Salto de dientes'!$B$12))/Simulador!$G$6)&gt;1-Simulador!$B$11,Simulador!$B$9*(1-COS(PI()*(1-(($A113-(Simulador!$E$6+'Salto de dientes'!$B$12))/Simulador!$G$6))/Simulador!$B$11))/2,Simulador!$B$9)))</f>
        <v/>
      </c>
      <c r="R113" s="48">
        <f>IF(OR((($A113-(Simulador!$E$9+'Salto de dientes'!$B$12))/Simulador!$G$9)&lt;=0,(($A113-(Simulador!$E$9+'Salto de dientes'!$B$12))/Simulador!$G$9)&gt;=1),0,IF((($A113-(Simulador!$E$9+'Salto de dientes'!$B$12))/Simulador!$G$9)&lt;Simulador!$B$11,Simulador!$B$10*(1-COS(PI()*(($A113-(Simulador!$E$9+'Salto de dientes'!$B$12))/Simulador!$G$9)/Simulador!$B$11))/2,IF((($A113-(Simulador!$E$9+'Salto de dientes'!$B$12))/Simulador!$G$9)&gt;1-Simulador!$B$11,Simulador!$B$10*(1-COS(PI()*(1-(($A113-(Simulador!$E$9+'Salto de dientes'!$B$12))/Simulador!$G$9))/Simulador!$B$11))/2,Simulador!$B$10)))</f>
        <v/>
      </c>
      <c r="W113" t="n">
        <v>153</v>
      </c>
      <c r="X113" s="48">
        <f>('Levas superpuestas'!$B$5+IF(OR(((W113-('Levas superpuestas'!$B$14-'Levas superpuestas'!$B$8/4))/('Levas superpuestas'!$B$8/2))&lt;=0,((W113-('Levas superpuestas'!$B$14-'Levas superpuestas'!$B$8/4))/('Levas superpuestas'!$B$8/2))&gt;=1),0,IF(((W113-('Levas superpuestas'!$B$14-'Levas superpuestas'!$B$8/4))/('Levas superpuestas'!$B$8/2))&lt;Simulador!$B$11,Simulador!$B$9*(1-COS(PI()*((W113-('Levas superpuestas'!$B$14-'Levas superpuestas'!$B$8/4))/('Levas superpuestas'!$B$8/2))/Simulador!$B$11))/2,IF(((W113-('Levas superpuestas'!$B$14-'Levas superpuestas'!$B$8/4))/('Levas superpuestas'!$B$8/2))&gt;1-Simulador!$B$11,Simulador!$B$9*(1-COS(PI()*(1-((W113-('Levas superpuestas'!$B$14-'Levas superpuestas'!$B$8/4))/('Levas superpuestas'!$B$8/2)))/Simulador!$B$11))/2,Simulador!$B$9))))*SIN(RADIANS(W113))</f>
        <v/>
      </c>
      <c r="Y113" s="48">
        <f>('Levas superpuestas'!$B$5+IF(OR(((W113-('Levas superpuestas'!$B$14-'Levas superpuestas'!$B$8/4))/('Levas superpuestas'!$B$8/2))&lt;=0,((W113-('Levas superpuestas'!$B$14-'Levas superpuestas'!$B$8/4))/('Levas superpuestas'!$B$8/2))&gt;=1),0,IF(((W113-('Levas superpuestas'!$B$14-'Levas superpuestas'!$B$8/4))/('Levas superpuestas'!$B$8/2))&lt;Simulador!$B$11,Simulador!$B$9*(1-COS(PI()*((W113-('Levas superpuestas'!$B$14-'Levas superpuestas'!$B$8/4))/('Levas superpuestas'!$B$8/2))/Simulador!$B$11))/2,IF(((W113-('Levas superpuestas'!$B$14-'Levas superpuestas'!$B$8/4))/('Levas superpuestas'!$B$8/2))&gt;1-Simulador!$B$11,Simulador!$B$9*(1-COS(PI()*(1-((W113-('Levas superpuestas'!$B$14-'Levas superpuestas'!$B$8/4))/('Levas superpuestas'!$B$8/2)))/Simulador!$B$11))/2,Simulador!$B$9))))*COS(RADIANS(W113))</f>
        <v/>
      </c>
      <c r="Z113" s="48">
        <f>('Levas superpuestas'!$B$5+IF(OR(((W113-('Levas superpuestas'!$B$15-'Levas superpuestas'!$B$9/4))/('Levas superpuestas'!$B$9/2))&lt;=0,((W113-('Levas superpuestas'!$B$15-'Levas superpuestas'!$B$9/4))/('Levas superpuestas'!$B$9/2))&gt;=1),0,IF(((W113-('Levas superpuestas'!$B$15-'Levas superpuestas'!$B$9/4))/('Levas superpuestas'!$B$9/2))&lt;Simulador!$B$11,Simulador!$B$10*(1-COS(PI()*((W113-('Levas superpuestas'!$B$15-'Levas superpuestas'!$B$9/4))/('Levas superpuestas'!$B$9/2))/Simulador!$B$11))/2,IF(((W113-('Levas superpuestas'!$B$15-'Levas superpuestas'!$B$9/4))/('Levas superpuestas'!$B$9/2))&gt;1-Simulador!$B$11,Simulador!$B$10*(1-COS(PI()*(1-((W113-('Levas superpuestas'!$B$15-'Levas superpuestas'!$B$9/4))/('Levas superpuestas'!$B$9/2)))/Simulador!$B$11))/2,Simulador!$B$10))))*SIN(RADIANS(W113))</f>
        <v/>
      </c>
      <c r="AA113" s="48">
        <f>('Levas superpuestas'!$B$5+IF(OR(((W113-('Levas superpuestas'!$B$15-'Levas superpuestas'!$B$9/4))/('Levas superpuestas'!$B$9/2))&lt;=0,((W113-('Levas superpuestas'!$B$15-'Levas superpuestas'!$B$9/4))/('Levas superpuestas'!$B$9/2))&gt;=1),0,IF(((W113-('Levas superpuestas'!$B$15-'Levas superpuestas'!$B$9/4))/('Levas superpuestas'!$B$9/2))&lt;Simulador!$B$11,Simulador!$B$10*(1-COS(PI()*((W113-('Levas superpuestas'!$B$15-'Levas superpuestas'!$B$9/4))/('Levas superpuestas'!$B$9/2))/Simulador!$B$11))/2,IF(((W113-('Levas superpuestas'!$B$15-'Levas superpuestas'!$B$9/4))/('Levas superpuestas'!$B$9/2))&gt;1-Simulador!$B$11,Simulador!$B$10*(1-COS(PI()*(1-((W113-('Levas superpuestas'!$B$15-'Levas superpuestas'!$B$9/4))/('Levas superpuestas'!$B$9/2)))/Simulador!$B$11))/2,Simulador!$B$10))))*COS(RADIANS(W113))</f>
        <v/>
      </c>
      <c r="AB113">
        <f>'Levas superpuestas'!$B$5*SIN(RADIANS(W113))</f>
        <v/>
      </c>
      <c r="AC113">
        <f>'Levas superpuestas'!$B$5*COS(RADIANS(W113))</f>
        <v/>
      </c>
    </row>
    <row r="114">
      <c r="A114" s="26">
        <f>A113+Simulador!$B$14</f>
        <v/>
      </c>
      <c r="B114" s="46">
        <f>IF(OR((($A114-Simulador!$E$5)/Simulador!$G$5)&lt;=0,(($A114-Simulador!$E$5)/Simulador!$G$5)&gt;=1),0,IF((($A114-Simulador!$E$5)/Simulador!$G$5)&lt;Simulador!$B$11,Simulador!$B$9*(1-COS(PI()*(($A114-Simulador!$E$5)/Simulador!$G$5)/Simulador!$B$11))/2,IF((($A114-Simulador!$E$5)/Simulador!$G$5)&gt;1-Simulador!$B$11,Simulador!$B$9*(1-COS(PI()*(1-(($A114-Simulador!$E$5)/Simulador!$G$5))/Simulador!$B$11))/2,Simulador!$B$9)))</f>
        <v/>
      </c>
      <c r="C114" s="46">
        <f>IF(OR((($A114-Simulador!$E$6)/Simulador!$G$6)&lt;=0,(($A114-Simulador!$E$6)/Simulador!$G$6)&gt;=1),0,IF((($A114-Simulador!$E$6)/Simulador!$G$6)&lt;Simulador!$B$11,Simulador!$B$9*(1-COS(PI()*(($A114-Simulador!$E$6)/Simulador!$G$6)/Simulador!$B$11))/2,IF((($A114-Simulador!$E$6)/Simulador!$G$6)&gt;1-Simulador!$B$11,Simulador!$B$9*(1-COS(PI()*(1-(($A114-Simulador!$E$6)/Simulador!$G$6))/Simulador!$B$11))/2,Simulador!$B$9)))</f>
        <v/>
      </c>
      <c r="D114" s="46">
        <f>IF(OR((($A114-Simulador!$E$7)/Simulador!$G$7)&lt;=0,(($A114-Simulador!$E$7)/Simulador!$G$7)&gt;=1),0,IF((($A114-Simulador!$E$7)/Simulador!$G$7)&lt;Simulador!$B$11,Simulador!$B$9*(1-COS(PI()*(($A114-Simulador!$E$7)/Simulador!$G$7)/Simulador!$B$11))/2,IF((($A114-Simulador!$E$7)/Simulador!$G$7)&gt;1-Simulador!$B$11,Simulador!$B$9*(1-COS(PI()*(1-(($A114-Simulador!$E$7)/Simulador!$G$7))/Simulador!$B$11))/2,Simulador!$B$9)))</f>
        <v/>
      </c>
      <c r="E114" s="46">
        <f>IF(OR((($A114-Simulador!$E$8)/Simulador!$G$8)&lt;=0,(($A114-Simulador!$E$8)/Simulador!$G$8)&gt;=1),0,IF((($A114-Simulador!$E$8)/Simulador!$G$8)&lt;Simulador!$B$11,Simulador!$B$10*(1-COS(PI()*(($A114-Simulador!$E$8)/Simulador!$G$8)/Simulador!$B$11))/2,IF((($A114-Simulador!$E$8)/Simulador!$G$8)&gt;1-Simulador!$B$11,Simulador!$B$10*(1-COS(PI()*(1-(($A114-Simulador!$E$8)/Simulador!$G$8))/Simulador!$B$11))/2,Simulador!$B$10)))</f>
        <v/>
      </c>
      <c r="F114" s="46">
        <f>IF(OR((($A114-Simulador!$E$9)/Simulador!$G$9)&lt;=0,(($A114-Simulador!$E$9)/Simulador!$G$9)&gt;=1),0,IF((($A114-Simulador!$E$9)/Simulador!$G$9)&lt;Simulador!$B$11,Simulador!$B$10*(1-COS(PI()*(($A114-Simulador!$E$9)/Simulador!$G$9)/Simulador!$B$11))/2,IF((($A114-Simulador!$E$9)/Simulador!$G$9)&gt;1-Simulador!$B$11,Simulador!$B$10*(1-COS(PI()*(1-(($A114-Simulador!$E$9)/Simulador!$G$9))/Simulador!$B$11))/2,Simulador!$B$10)))</f>
        <v/>
      </c>
      <c r="G114" s="46">
        <f>IF(OR((($A114-Simulador!$E$10)/Simulador!$G$10)&lt;=0,(($A114-Simulador!$E$10)/Simulador!$G$10)&gt;=1),0,IF((($A114-Simulador!$E$10)/Simulador!$G$10)&lt;Simulador!$B$11,Simulador!$B$10*(1-COS(PI()*(($A114-Simulador!$E$10)/Simulador!$G$10)/Simulador!$B$11))/2,IF((($A114-Simulador!$E$10)/Simulador!$G$10)&gt;1-Simulador!$B$11,Simulador!$B$10*(1-COS(PI()*(1-(($A114-Simulador!$E$10)/Simulador!$G$10))/Simulador!$B$11))/2,Simulador!$B$10)))</f>
        <v/>
      </c>
      <c r="Q114" s="48">
        <f>IF(OR((($A114-(Simulador!$E$6+'Salto de dientes'!$B$12))/Simulador!$G$6)&lt;=0,(($A114-(Simulador!$E$6+'Salto de dientes'!$B$12))/Simulador!$G$6)&gt;=1),0,IF((($A114-(Simulador!$E$6+'Salto de dientes'!$B$12))/Simulador!$G$6)&lt;Simulador!$B$11,Simulador!$B$9*(1-COS(PI()*(($A114-(Simulador!$E$6+'Salto de dientes'!$B$12))/Simulador!$G$6)/Simulador!$B$11))/2,IF((($A114-(Simulador!$E$6+'Salto de dientes'!$B$12))/Simulador!$G$6)&gt;1-Simulador!$B$11,Simulador!$B$9*(1-COS(PI()*(1-(($A114-(Simulador!$E$6+'Salto de dientes'!$B$12))/Simulador!$G$6))/Simulador!$B$11))/2,Simulador!$B$9)))</f>
        <v/>
      </c>
      <c r="R114" s="48">
        <f>IF(OR((($A114-(Simulador!$E$9+'Salto de dientes'!$B$12))/Simulador!$G$9)&lt;=0,(($A114-(Simulador!$E$9+'Salto de dientes'!$B$12))/Simulador!$G$9)&gt;=1),0,IF((($A114-(Simulador!$E$9+'Salto de dientes'!$B$12))/Simulador!$G$9)&lt;Simulador!$B$11,Simulador!$B$10*(1-COS(PI()*(($A114-(Simulador!$E$9+'Salto de dientes'!$B$12))/Simulador!$G$9)/Simulador!$B$11))/2,IF((($A114-(Simulador!$E$9+'Salto de dientes'!$B$12))/Simulador!$G$9)&gt;1-Simulador!$B$11,Simulador!$B$10*(1-COS(PI()*(1-(($A114-(Simulador!$E$9+'Salto de dientes'!$B$12))/Simulador!$G$9))/Simulador!$B$11))/2,Simulador!$B$10)))</f>
        <v/>
      </c>
      <c r="W114" t="n">
        <v>156</v>
      </c>
      <c r="X114" s="48">
        <f>('Levas superpuestas'!$B$5+IF(OR(((W114-('Levas superpuestas'!$B$14-'Levas superpuestas'!$B$8/4))/('Levas superpuestas'!$B$8/2))&lt;=0,((W114-('Levas superpuestas'!$B$14-'Levas superpuestas'!$B$8/4))/('Levas superpuestas'!$B$8/2))&gt;=1),0,IF(((W114-('Levas superpuestas'!$B$14-'Levas superpuestas'!$B$8/4))/('Levas superpuestas'!$B$8/2))&lt;Simulador!$B$11,Simulador!$B$9*(1-COS(PI()*((W114-('Levas superpuestas'!$B$14-'Levas superpuestas'!$B$8/4))/('Levas superpuestas'!$B$8/2))/Simulador!$B$11))/2,IF(((W114-('Levas superpuestas'!$B$14-'Levas superpuestas'!$B$8/4))/('Levas superpuestas'!$B$8/2))&gt;1-Simulador!$B$11,Simulador!$B$9*(1-COS(PI()*(1-((W114-('Levas superpuestas'!$B$14-'Levas superpuestas'!$B$8/4))/('Levas superpuestas'!$B$8/2)))/Simulador!$B$11))/2,Simulador!$B$9))))*SIN(RADIANS(W114))</f>
        <v/>
      </c>
      <c r="Y114" s="48">
        <f>('Levas superpuestas'!$B$5+IF(OR(((W114-('Levas superpuestas'!$B$14-'Levas superpuestas'!$B$8/4))/('Levas superpuestas'!$B$8/2))&lt;=0,((W114-('Levas superpuestas'!$B$14-'Levas superpuestas'!$B$8/4))/('Levas superpuestas'!$B$8/2))&gt;=1),0,IF(((W114-('Levas superpuestas'!$B$14-'Levas superpuestas'!$B$8/4))/('Levas superpuestas'!$B$8/2))&lt;Simulador!$B$11,Simulador!$B$9*(1-COS(PI()*((W114-('Levas superpuestas'!$B$14-'Levas superpuestas'!$B$8/4))/('Levas superpuestas'!$B$8/2))/Simulador!$B$11))/2,IF(((W114-('Levas superpuestas'!$B$14-'Levas superpuestas'!$B$8/4))/('Levas superpuestas'!$B$8/2))&gt;1-Simulador!$B$11,Simulador!$B$9*(1-COS(PI()*(1-((W114-('Levas superpuestas'!$B$14-'Levas superpuestas'!$B$8/4))/('Levas superpuestas'!$B$8/2)))/Simulador!$B$11))/2,Simulador!$B$9))))*COS(RADIANS(W114))</f>
        <v/>
      </c>
      <c r="Z114" s="48">
        <f>('Levas superpuestas'!$B$5+IF(OR(((W114-('Levas superpuestas'!$B$15-'Levas superpuestas'!$B$9/4))/('Levas superpuestas'!$B$9/2))&lt;=0,((W114-('Levas superpuestas'!$B$15-'Levas superpuestas'!$B$9/4))/('Levas superpuestas'!$B$9/2))&gt;=1),0,IF(((W114-('Levas superpuestas'!$B$15-'Levas superpuestas'!$B$9/4))/('Levas superpuestas'!$B$9/2))&lt;Simulador!$B$11,Simulador!$B$10*(1-COS(PI()*((W114-('Levas superpuestas'!$B$15-'Levas superpuestas'!$B$9/4))/('Levas superpuestas'!$B$9/2))/Simulador!$B$11))/2,IF(((W114-('Levas superpuestas'!$B$15-'Levas superpuestas'!$B$9/4))/('Levas superpuestas'!$B$9/2))&gt;1-Simulador!$B$11,Simulador!$B$10*(1-COS(PI()*(1-((W114-('Levas superpuestas'!$B$15-'Levas superpuestas'!$B$9/4))/('Levas superpuestas'!$B$9/2)))/Simulador!$B$11))/2,Simulador!$B$10))))*SIN(RADIANS(W114))</f>
        <v/>
      </c>
      <c r="AA114" s="48">
        <f>('Levas superpuestas'!$B$5+IF(OR(((W114-('Levas superpuestas'!$B$15-'Levas superpuestas'!$B$9/4))/('Levas superpuestas'!$B$9/2))&lt;=0,((W114-('Levas superpuestas'!$B$15-'Levas superpuestas'!$B$9/4))/('Levas superpuestas'!$B$9/2))&gt;=1),0,IF(((W114-('Levas superpuestas'!$B$15-'Levas superpuestas'!$B$9/4))/('Levas superpuestas'!$B$9/2))&lt;Simulador!$B$11,Simulador!$B$10*(1-COS(PI()*((W114-('Levas superpuestas'!$B$15-'Levas superpuestas'!$B$9/4))/('Levas superpuestas'!$B$9/2))/Simulador!$B$11))/2,IF(((W114-('Levas superpuestas'!$B$15-'Levas superpuestas'!$B$9/4))/('Levas superpuestas'!$B$9/2))&gt;1-Simulador!$B$11,Simulador!$B$10*(1-COS(PI()*(1-((W114-('Levas superpuestas'!$B$15-'Levas superpuestas'!$B$9/4))/('Levas superpuestas'!$B$9/2)))/Simulador!$B$11))/2,Simulador!$B$10))))*COS(RADIANS(W114))</f>
        <v/>
      </c>
      <c r="AB114">
        <f>'Levas superpuestas'!$B$5*SIN(RADIANS(W114))</f>
        <v/>
      </c>
      <c r="AC114">
        <f>'Levas superpuestas'!$B$5*COS(RADIANS(W114))</f>
        <v/>
      </c>
    </row>
    <row r="115">
      <c r="A115" s="26">
        <f>A114+Simulador!$B$14</f>
        <v/>
      </c>
      <c r="B115" s="46">
        <f>IF(OR((($A115-Simulador!$E$5)/Simulador!$G$5)&lt;=0,(($A115-Simulador!$E$5)/Simulador!$G$5)&gt;=1),0,IF((($A115-Simulador!$E$5)/Simulador!$G$5)&lt;Simulador!$B$11,Simulador!$B$9*(1-COS(PI()*(($A115-Simulador!$E$5)/Simulador!$G$5)/Simulador!$B$11))/2,IF((($A115-Simulador!$E$5)/Simulador!$G$5)&gt;1-Simulador!$B$11,Simulador!$B$9*(1-COS(PI()*(1-(($A115-Simulador!$E$5)/Simulador!$G$5))/Simulador!$B$11))/2,Simulador!$B$9)))</f>
        <v/>
      </c>
      <c r="C115" s="46">
        <f>IF(OR((($A115-Simulador!$E$6)/Simulador!$G$6)&lt;=0,(($A115-Simulador!$E$6)/Simulador!$G$6)&gt;=1),0,IF((($A115-Simulador!$E$6)/Simulador!$G$6)&lt;Simulador!$B$11,Simulador!$B$9*(1-COS(PI()*(($A115-Simulador!$E$6)/Simulador!$G$6)/Simulador!$B$11))/2,IF((($A115-Simulador!$E$6)/Simulador!$G$6)&gt;1-Simulador!$B$11,Simulador!$B$9*(1-COS(PI()*(1-(($A115-Simulador!$E$6)/Simulador!$G$6))/Simulador!$B$11))/2,Simulador!$B$9)))</f>
        <v/>
      </c>
      <c r="D115" s="46">
        <f>IF(OR((($A115-Simulador!$E$7)/Simulador!$G$7)&lt;=0,(($A115-Simulador!$E$7)/Simulador!$G$7)&gt;=1),0,IF((($A115-Simulador!$E$7)/Simulador!$G$7)&lt;Simulador!$B$11,Simulador!$B$9*(1-COS(PI()*(($A115-Simulador!$E$7)/Simulador!$G$7)/Simulador!$B$11))/2,IF((($A115-Simulador!$E$7)/Simulador!$G$7)&gt;1-Simulador!$B$11,Simulador!$B$9*(1-COS(PI()*(1-(($A115-Simulador!$E$7)/Simulador!$G$7))/Simulador!$B$11))/2,Simulador!$B$9)))</f>
        <v/>
      </c>
      <c r="E115" s="46">
        <f>IF(OR((($A115-Simulador!$E$8)/Simulador!$G$8)&lt;=0,(($A115-Simulador!$E$8)/Simulador!$G$8)&gt;=1),0,IF((($A115-Simulador!$E$8)/Simulador!$G$8)&lt;Simulador!$B$11,Simulador!$B$10*(1-COS(PI()*(($A115-Simulador!$E$8)/Simulador!$G$8)/Simulador!$B$11))/2,IF((($A115-Simulador!$E$8)/Simulador!$G$8)&gt;1-Simulador!$B$11,Simulador!$B$10*(1-COS(PI()*(1-(($A115-Simulador!$E$8)/Simulador!$G$8))/Simulador!$B$11))/2,Simulador!$B$10)))</f>
        <v/>
      </c>
      <c r="F115" s="46">
        <f>IF(OR((($A115-Simulador!$E$9)/Simulador!$G$9)&lt;=0,(($A115-Simulador!$E$9)/Simulador!$G$9)&gt;=1),0,IF((($A115-Simulador!$E$9)/Simulador!$G$9)&lt;Simulador!$B$11,Simulador!$B$10*(1-COS(PI()*(($A115-Simulador!$E$9)/Simulador!$G$9)/Simulador!$B$11))/2,IF((($A115-Simulador!$E$9)/Simulador!$G$9)&gt;1-Simulador!$B$11,Simulador!$B$10*(1-COS(PI()*(1-(($A115-Simulador!$E$9)/Simulador!$G$9))/Simulador!$B$11))/2,Simulador!$B$10)))</f>
        <v/>
      </c>
      <c r="G115" s="46">
        <f>IF(OR((($A115-Simulador!$E$10)/Simulador!$G$10)&lt;=0,(($A115-Simulador!$E$10)/Simulador!$G$10)&gt;=1),0,IF((($A115-Simulador!$E$10)/Simulador!$G$10)&lt;Simulador!$B$11,Simulador!$B$10*(1-COS(PI()*(($A115-Simulador!$E$10)/Simulador!$G$10)/Simulador!$B$11))/2,IF((($A115-Simulador!$E$10)/Simulador!$G$10)&gt;1-Simulador!$B$11,Simulador!$B$10*(1-COS(PI()*(1-(($A115-Simulador!$E$10)/Simulador!$G$10))/Simulador!$B$11))/2,Simulador!$B$10)))</f>
        <v/>
      </c>
      <c r="Q115" s="48">
        <f>IF(OR((($A115-(Simulador!$E$6+'Salto de dientes'!$B$12))/Simulador!$G$6)&lt;=0,(($A115-(Simulador!$E$6+'Salto de dientes'!$B$12))/Simulador!$G$6)&gt;=1),0,IF((($A115-(Simulador!$E$6+'Salto de dientes'!$B$12))/Simulador!$G$6)&lt;Simulador!$B$11,Simulador!$B$9*(1-COS(PI()*(($A115-(Simulador!$E$6+'Salto de dientes'!$B$12))/Simulador!$G$6)/Simulador!$B$11))/2,IF((($A115-(Simulador!$E$6+'Salto de dientes'!$B$12))/Simulador!$G$6)&gt;1-Simulador!$B$11,Simulador!$B$9*(1-COS(PI()*(1-(($A115-(Simulador!$E$6+'Salto de dientes'!$B$12))/Simulador!$G$6))/Simulador!$B$11))/2,Simulador!$B$9)))</f>
        <v/>
      </c>
      <c r="R115" s="48">
        <f>IF(OR((($A115-(Simulador!$E$9+'Salto de dientes'!$B$12))/Simulador!$G$9)&lt;=0,(($A115-(Simulador!$E$9+'Salto de dientes'!$B$12))/Simulador!$G$9)&gt;=1),0,IF((($A115-(Simulador!$E$9+'Salto de dientes'!$B$12))/Simulador!$G$9)&lt;Simulador!$B$11,Simulador!$B$10*(1-COS(PI()*(($A115-(Simulador!$E$9+'Salto de dientes'!$B$12))/Simulador!$G$9)/Simulador!$B$11))/2,IF((($A115-(Simulador!$E$9+'Salto de dientes'!$B$12))/Simulador!$G$9)&gt;1-Simulador!$B$11,Simulador!$B$10*(1-COS(PI()*(1-(($A115-(Simulador!$E$9+'Salto de dientes'!$B$12))/Simulador!$G$9))/Simulador!$B$11))/2,Simulador!$B$10)))</f>
        <v/>
      </c>
      <c r="W115" t="n">
        <v>159</v>
      </c>
      <c r="X115" s="48">
        <f>('Levas superpuestas'!$B$5+IF(OR(((W115-('Levas superpuestas'!$B$14-'Levas superpuestas'!$B$8/4))/('Levas superpuestas'!$B$8/2))&lt;=0,((W115-('Levas superpuestas'!$B$14-'Levas superpuestas'!$B$8/4))/('Levas superpuestas'!$B$8/2))&gt;=1),0,IF(((W115-('Levas superpuestas'!$B$14-'Levas superpuestas'!$B$8/4))/('Levas superpuestas'!$B$8/2))&lt;Simulador!$B$11,Simulador!$B$9*(1-COS(PI()*((W115-('Levas superpuestas'!$B$14-'Levas superpuestas'!$B$8/4))/('Levas superpuestas'!$B$8/2))/Simulador!$B$11))/2,IF(((W115-('Levas superpuestas'!$B$14-'Levas superpuestas'!$B$8/4))/('Levas superpuestas'!$B$8/2))&gt;1-Simulador!$B$11,Simulador!$B$9*(1-COS(PI()*(1-((W115-('Levas superpuestas'!$B$14-'Levas superpuestas'!$B$8/4))/('Levas superpuestas'!$B$8/2)))/Simulador!$B$11))/2,Simulador!$B$9))))*SIN(RADIANS(W115))</f>
        <v/>
      </c>
      <c r="Y115" s="48">
        <f>('Levas superpuestas'!$B$5+IF(OR(((W115-('Levas superpuestas'!$B$14-'Levas superpuestas'!$B$8/4))/('Levas superpuestas'!$B$8/2))&lt;=0,((W115-('Levas superpuestas'!$B$14-'Levas superpuestas'!$B$8/4))/('Levas superpuestas'!$B$8/2))&gt;=1),0,IF(((W115-('Levas superpuestas'!$B$14-'Levas superpuestas'!$B$8/4))/('Levas superpuestas'!$B$8/2))&lt;Simulador!$B$11,Simulador!$B$9*(1-COS(PI()*((W115-('Levas superpuestas'!$B$14-'Levas superpuestas'!$B$8/4))/('Levas superpuestas'!$B$8/2))/Simulador!$B$11))/2,IF(((W115-('Levas superpuestas'!$B$14-'Levas superpuestas'!$B$8/4))/('Levas superpuestas'!$B$8/2))&gt;1-Simulador!$B$11,Simulador!$B$9*(1-COS(PI()*(1-((W115-('Levas superpuestas'!$B$14-'Levas superpuestas'!$B$8/4))/('Levas superpuestas'!$B$8/2)))/Simulador!$B$11))/2,Simulador!$B$9))))*COS(RADIANS(W115))</f>
        <v/>
      </c>
      <c r="Z115" s="48">
        <f>('Levas superpuestas'!$B$5+IF(OR(((W115-('Levas superpuestas'!$B$15-'Levas superpuestas'!$B$9/4))/('Levas superpuestas'!$B$9/2))&lt;=0,((W115-('Levas superpuestas'!$B$15-'Levas superpuestas'!$B$9/4))/('Levas superpuestas'!$B$9/2))&gt;=1),0,IF(((W115-('Levas superpuestas'!$B$15-'Levas superpuestas'!$B$9/4))/('Levas superpuestas'!$B$9/2))&lt;Simulador!$B$11,Simulador!$B$10*(1-COS(PI()*((W115-('Levas superpuestas'!$B$15-'Levas superpuestas'!$B$9/4))/('Levas superpuestas'!$B$9/2))/Simulador!$B$11))/2,IF(((W115-('Levas superpuestas'!$B$15-'Levas superpuestas'!$B$9/4))/('Levas superpuestas'!$B$9/2))&gt;1-Simulador!$B$11,Simulador!$B$10*(1-COS(PI()*(1-((W115-('Levas superpuestas'!$B$15-'Levas superpuestas'!$B$9/4))/('Levas superpuestas'!$B$9/2)))/Simulador!$B$11))/2,Simulador!$B$10))))*SIN(RADIANS(W115))</f>
        <v/>
      </c>
      <c r="AA115" s="48">
        <f>('Levas superpuestas'!$B$5+IF(OR(((W115-('Levas superpuestas'!$B$15-'Levas superpuestas'!$B$9/4))/('Levas superpuestas'!$B$9/2))&lt;=0,((W115-('Levas superpuestas'!$B$15-'Levas superpuestas'!$B$9/4))/('Levas superpuestas'!$B$9/2))&gt;=1),0,IF(((W115-('Levas superpuestas'!$B$15-'Levas superpuestas'!$B$9/4))/('Levas superpuestas'!$B$9/2))&lt;Simulador!$B$11,Simulador!$B$10*(1-COS(PI()*((W115-('Levas superpuestas'!$B$15-'Levas superpuestas'!$B$9/4))/('Levas superpuestas'!$B$9/2))/Simulador!$B$11))/2,IF(((W115-('Levas superpuestas'!$B$15-'Levas superpuestas'!$B$9/4))/('Levas superpuestas'!$B$9/2))&gt;1-Simulador!$B$11,Simulador!$B$10*(1-COS(PI()*(1-((W115-('Levas superpuestas'!$B$15-'Levas superpuestas'!$B$9/4))/('Levas superpuestas'!$B$9/2)))/Simulador!$B$11))/2,Simulador!$B$10))))*COS(RADIANS(W115))</f>
        <v/>
      </c>
      <c r="AB115">
        <f>'Levas superpuestas'!$B$5*SIN(RADIANS(W115))</f>
        <v/>
      </c>
      <c r="AC115">
        <f>'Levas superpuestas'!$B$5*COS(RADIANS(W115))</f>
        <v/>
      </c>
    </row>
    <row r="116">
      <c r="A116" s="26">
        <f>A115+Simulador!$B$14</f>
        <v/>
      </c>
      <c r="B116" s="46">
        <f>IF(OR((($A116-Simulador!$E$5)/Simulador!$G$5)&lt;=0,(($A116-Simulador!$E$5)/Simulador!$G$5)&gt;=1),0,IF((($A116-Simulador!$E$5)/Simulador!$G$5)&lt;Simulador!$B$11,Simulador!$B$9*(1-COS(PI()*(($A116-Simulador!$E$5)/Simulador!$G$5)/Simulador!$B$11))/2,IF((($A116-Simulador!$E$5)/Simulador!$G$5)&gt;1-Simulador!$B$11,Simulador!$B$9*(1-COS(PI()*(1-(($A116-Simulador!$E$5)/Simulador!$G$5))/Simulador!$B$11))/2,Simulador!$B$9)))</f>
        <v/>
      </c>
      <c r="C116" s="46">
        <f>IF(OR((($A116-Simulador!$E$6)/Simulador!$G$6)&lt;=0,(($A116-Simulador!$E$6)/Simulador!$G$6)&gt;=1),0,IF((($A116-Simulador!$E$6)/Simulador!$G$6)&lt;Simulador!$B$11,Simulador!$B$9*(1-COS(PI()*(($A116-Simulador!$E$6)/Simulador!$G$6)/Simulador!$B$11))/2,IF((($A116-Simulador!$E$6)/Simulador!$G$6)&gt;1-Simulador!$B$11,Simulador!$B$9*(1-COS(PI()*(1-(($A116-Simulador!$E$6)/Simulador!$G$6))/Simulador!$B$11))/2,Simulador!$B$9)))</f>
        <v/>
      </c>
      <c r="D116" s="46">
        <f>IF(OR((($A116-Simulador!$E$7)/Simulador!$G$7)&lt;=0,(($A116-Simulador!$E$7)/Simulador!$G$7)&gt;=1),0,IF((($A116-Simulador!$E$7)/Simulador!$G$7)&lt;Simulador!$B$11,Simulador!$B$9*(1-COS(PI()*(($A116-Simulador!$E$7)/Simulador!$G$7)/Simulador!$B$11))/2,IF((($A116-Simulador!$E$7)/Simulador!$G$7)&gt;1-Simulador!$B$11,Simulador!$B$9*(1-COS(PI()*(1-(($A116-Simulador!$E$7)/Simulador!$G$7))/Simulador!$B$11))/2,Simulador!$B$9)))</f>
        <v/>
      </c>
      <c r="E116" s="46">
        <f>IF(OR((($A116-Simulador!$E$8)/Simulador!$G$8)&lt;=0,(($A116-Simulador!$E$8)/Simulador!$G$8)&gt;=1),0,IF((($A116-Simulador!$E$8)/Simulador!$G$8)&lt;Simulador!$B$11,Simulador!$B$10*(1-COS(PI()*(($A116-Simulador!$E$8)/Simulador!$G$8)/Simulador!$B$11))/2,IF((($A116-Simulador!$E$8)/Simulador!$G$8)&gt;1-Simulador!$B$11,Simulador!$B$10*(1-COS(PI()*(1-(($A116-Simulador!$E$8)/Simulador!$G$8))/Simulador!$B$11))/2,Simulador!$B$10)))</f>
        <v/>
      </c>
      <c r="F116" s="46">
        <f>IF(OR((($A116-Simulador!$E$9)/Simulador!$G$9)&lt;=0,(($A116-Simulador!$E$9)/Simulador!$G$9)&gt;=1),0,IF((($A116-Simulador!$E$9)/Simulador!$G$9)&lt;Simulador!$B$11,Simulador!$B$10*(1-COS(PI()*(($A116-Simulador!$E$9)/Simulador!$G$9)/Simulador!$B$11))/2,IF((($A116-Simulador!$E$9)/Simulador!$G$9)&gt;1-Simulador!$B$11,Simulador!$B$10*(1-COS(PI()*(1-(($A116-Simulador!$E$9)/Simulador!$G$9))/Simulador!$B$11))/2,Simulador!$B$10)))</f>
        <v/>
      </c>
      <c r="G116" s="46">
        <f>IF(OR((($A116-Simulador!$E$10)/Simulador!$G$10)&lt;=0,(($A116-Simulador!$E$10)/Simulador!$G$10)&gt;=1),0,IF((($A116-Simulador!$E$10)/Simulador!$G$10)&lt;Simulador!$B$11,Simulador!$B$10*(1-COS(PI()*(($A116-Simulador!$E$10)/Simulador!$G$10)/Simulador!$B$11))/2,IF((($A116-Simulador!$E$10)/Simulador!$G$10)&gt;1-Simulador!$B$11,Simulador!$B$10*(1-COS(PI()*(1-(($A116-Simulador!$E$10)/Simulador!$G$10))/Simulador!$B$11))/2,Simulador!$B$10)))</f>
        <v/>
      </c>
      <c r="Q116" s="48">
        <f>IF(OR((($A116-(Simulador!$E$6+'Salto de dientes'!$B$12))/Simulador!$G$6)&lt;=0,(($A116-(Simulador!$E$6+'Salto de dientes'!$B$12))/Simulador!$G$6)&gt;=1),0,IF((($A116-(Simulador!$E$6+'Salto de dientes'!$B$12))/Simulador!$G$6)&lt;Simulador!$B$11,Simulador!$B$9*(1-COS(PI()*(($A116-(Simulador!$E$6+'Salto de dientes'!$B$12))/Simulador!$G$6)/Simulador!$B$11))/2,IF((($A116-(Simulador!$E$6+'Salto de dientes'!$B$12))/Simulador!$G$6)&gt;1-Simulador!$B$11,Simulador!$B$9*(1-COS(PI()*(1-(($A116-(Simulador!$E$6+'Salto de dientes'!$B$12))/Simulador!$G$6))/Simulador!$B$11))/2,Simulador!$B$9)))</f>
        <v/>
      </c>
      <c r="R116" s="48">
        <f>IF(OR((($A116-(Simulador!$E$9+'Salto de dientes'!$B$12))/Simulador!$G$9)&lt;=0,(($A116-(Simulador!$E$9+'Salto de dientes'!$B$12))/Simulador!$G$9)&gt;=1),0,IF((($A116-(Simulador!$E$9+'Salto de dientes'!$B$12))/Simulador!$G$9)&lt;Simulador!$B$11,Simulador!$B$10*(1-COS(PI()*(($A116-(Simulador!$E$9+'Salto de dientes'!$B$12))/Simulador!$G$9)/Simulador!$B$11))/2,IF((($A116-(Simulador!$E$9+'Salto de dientes'!$B$12))/Simulador!$G$9)&gt;1-Simulador!$B$11,Simulador!$B$10*(1-COS(PI()*(1-(($A116-(Simulador!$E$9+'Salto de dientes'!$B$12))/Simulador!$G$9))/Simulador!$B$11))/2,Simulador!$B$10)))</f>
        <v/>
      </c>
      <c r="W116" t="n">
        <v>162</v>
      </c>
      <c r="X116" s="48">
        <f>('Levas superpuestas'!$B$5+IF(OR(((W116-('Levas superpuestas'!$B$14-'Levas superpuestas'!$B$8/4))/('Levas superpuestas'!$B$8/2))&lt;=0,((W116-('Levas superpuestas'!$B$14-'Levas superpuestas'!$B$8/4))/('Levas superpuestas'!$B$8/2))&gt;=1),0,IF(((W116-('Levas superpuestas'!$B$14-'Levas superpuestas'!$B$8/4))/('Levas superpuestas'!$B$8/2))&lt;Simulador!$B$11,Simulador!$B$9*(1-COS(PI()*((W116-('Levas superpuestas'!$B$14-'Levas superpuestas'!$B$8/4))/('Levas superpuestas'!$B$8/2))/Simulador!$B$11))/2,IF(((W116-('Levas superpuestas'!$B$14-'Levas superpuestas'!$B$8/4))/('Levas superpuestas'!$B$8/2))&gt;1-Simulador!$B$11,Simulador!$B$9*(1-COS(PI()*(1-((W116-('Levas superpuestas'!$B$14-'Levas superpuestas'!$B$8/4))/('Levas superpuestas'!$B$8/2)))/Simulador!$B$11))/2,Simulador!$B$9))))*SIN(RADIANS(W116))</f>
        <v/>
      </c>
      <c r="Y116" s="48">
        <f>('Levas superpuestas'!$B$5+IF(OR(((W116-('Levas superpuestas'!$B$14-'Levas superpuestas'!$B$8/4))/('Levas superpuestas'!$B$8/2))&lt;=0,((W116-('Levas superpuestas'!$B$14-'Levas superpuestas'!$B$8/4))/('Levas superpuestas'!$B$8/2))&gt;=1),0,IF(((W116-('Levas superpuestas'!$B$14-'Levas superpuestas'!$B$8/4))/('Levas superpuestas'!$B$8/2))&lt;Simulador!$B$11,Simulador!$B$9*(1-COS(PI()*((W116-('Levas superpuestas'!$B$14-'Levas superpuestas'!$B$8/4))/('Levas superpuestas'!$B$8/2))/Simulador!$B$11))/2,IF(((W116-('Levas superpuestas'!$B$14-'Levas superpuestas'!$B$8/4))/('Levas superpuestas'!$B$8/2))&gt;1-Simulador!$B$11,Simulador!$B$9*(1-COS(PI()*(1-((W116-('Levas superpuestas'!$B$14-'Levas superpuestas'!$B$8/4))/('Levas superpuestas'!$B$8/2)))/Simulador!$B$11))/2,Simulador!$B$9))))*COS(RADIANS(W116))</f>
        <v/>
      </c>
      <c r="Z116" s="48">
        <f>('Levas superpuestas'!$B$5+IF(OR(((W116-('Levas superpuestas'!$B$15-'Levas superpuestas'!$B$9/4))/('Levas superpuestas'!$B$9/2))&lt;=0,((W116-('Levas superpuestas'!$B$15-'Levas superpuestas'!$B$9/4))/('Levas superpuestas'!$B$9/2))&gt;=1),0,IF(((W116-('Levas superpuestas'!$B$15-'Levas superpuestas'!$B$9/4))/('Levas superpuestas'!$B$9/2))&lt;Simulador!$B$11,Simulador!$B$10*(1-COS(PI()*((W116-('Levas superpuestas'!$B$15-'Levas superpuestas'!$B$9/4))/('Levas superpuestas'!$B$9/2))/Simulador!$B$11))/2,IF(((W116-('Levas superpuestas'!$B$15-'Levas superpuestas'!$B$9/4))/('Levas superpuestas'!$B$9/2))&gt;1-Simulador!$B$11,Simulador!$B$10*(1-COS(PI()*(1-((W116-('Levas superpuestas'!$B$15-'Levas superpuestas'!$B$9/4))/('Levas superpuestas'!$B$9/2)))/Simulador!$B$11))/2,Simulador!$B$10))))*SIN(RADIANS(W116))</f>
        <v/>
      </c>
      <c r="AA116" s="48">
        <f>('Levas superpuestas'!$B$5+IF(OR(((W116-('Levas superpuestas'!$B$15-'Levas superpuestas'!$B$9/4))/('Levas superpuestas'!$B$9/2))&lt;=0,((W116-('Levas superpuestas'!$B$15-'Levas superpuestas'!$B$9/4))/('Levas superpuestas'!$B$9/2))&gt;=1),0,IF(((W116-('Levas superpuestas'!$B$15-'Levas superpuestas'!$B$9/4))/('Levas superpuestas'!$B$9/2))&lt;Simulador!$B$11,Simulador!$B$10*(1-COS(PI()*((W116-('Levas superpuestas'!$B$15-'Levas superpuestas'!$B$9/4))/('Levas superpuestas'!$B$9/2))/Simulador!$B$11))/2,IF(((W116-('Levas superpuestas'!$B$15-'Levas superpuestas'!$B$9/4))/('Levas superpuestas'!$B$9/2))&gt;1-Simulador!$B$11,Simulador!$B$10*(1-COS(PI()*(1-((W116-('Levas superpuestas'!$B$15-'Levas superpuestas'!$B$9/4))/('Levas superpuestas'!$B$9/2)))/Simulador!$B$11))/2,Simulador!$B$10))))*COS(RADIANS(W116))</f>
        <v/>
      </c>
      <c r="AB116">
        <f>'Levas superpuestas'!$B$5*SIN(RADIANS(W116))</f>
        <v/>
      </c>
      <c r="AC116">
        <f>'Levas superpuestas'!$B$5*COS(RADIANS(W116))</f>
        <v/>
      </c>
    </row>
    <row r="117">
      <c r="A117" s="26">
        <f>A116+Simulador!$B$14</f>
        <v/>
      </c>
      <c r="B117" s="46">
        <f>IF(OR((($A117-Simulador!$E$5)/Simulador!$G$5)&lt;=0,(($A117-Simulador!$E$5)/Simulador!$G$5)&gt;=1),0,IF((($A117-Simulador!$E$5)/Simulador!$G$5)&lt;Simulador!$B$11,Simulador!$B$9*(1-COS(PI()*(($A117-Simulador!$E$5)/Simulador!$G$5)/Simulador!$B$11))/2,IF((($A117-Simulador!$E$5)/Simulador!$G$5)&gt;1-Simulador!$B$11,Simulador!$B$9*(1-COS(PI()*(1-(($A117-Simulador!$E$5)/Simulador!$G$5))/Simulador!$B$11))/2,Simulador!$B$9)))</f>
        <v/>
      </c>
      <c r="C117" s="46">
        <f>IF(OR((($A117-Simulador!$E$6)/Simulador!$G$6)&lt;=0,(($A117-Simulador!$E$6)/Simulador!$G$6)&gt;=1),0,IF((($A117-Simulador!$E$6)/Simulador!$G$6)&lt;Simulador!$B$11,Simulador!$B$9*(1-COS(PI()*(($A117-Simulador!$E$6)/Simulador!$G$6)/Simulador!$B$11))/2,IF((($A117-Simulador!$E$6)/Simulador!$G$6)&gt;1-Simulador!$B$11,Simulador!$B$9*(1-COS(PI()*(1-(($A117-Simulador!$E$6)/Simulador!$G$6))/Simulador!$B$11))/2,Simulador!$B$9)))</f>
        <v/>
      </c>
      <c r="D117" s="46">
        <f>IF(OR((($A117-Simulador!$E$7)/Simulador!$G$7)&lt;=0,(($A117-Simulador!$E$7)/Simulador!$G$7)&gt;=1),0,IF((($A117-Simulador!$E$7)/Simulador!$G$7)&lt;Simulador!$B$11,Simulador!$B$9*(1-COS(PI()*(($A117-Simulador!$E$7)/Simulador!$G$7)/Simulador!$B$11))/2,IF((($A117-Simulador!$E$7)/Simulador!$G$7)&gt;1-Simulador!$B$11,Simulador!$B$9*(1-COS(PI()*(1-(($A117-Simulador!$E$7)/Simulador!$G$7))/Simulador!$B$11))/2,Simulador!$B$9)))</f>
        <v/>
      </c>
      <c r="E117" s="46">
        <f>IF(OR((($A117-Simulador!$E$8)/Simulador!$G$8)&lt;=0,(($A117-Simulador!$E$8)/Simulador!$G$8)&gt;=1),0,IF((($A117-Simulador!$E$8)/Simulador!$G$8)&lt;Simulador!$B$11,Simulador!$B$10*(1-COS(PI()*(($A117-Simulador!$E$8)/Simulador!$G$8)/Simulador!$B$11))/2,IF((($A117-Simulador!$E$8)/Simulador!$G$8)&gt;1-Simulador!$B$11,Simulador!$B$10*(1-COS(PI()*(1-(($A117-Simulador!$E$8)/Simulador!$G$8))/Simulador!$B$11))/2,Simulador!$B$10)))</f>
        <v/>
      </c>
      <c r="F117" s="46">
        <f>IF(OR((($A117-Simulador!$E$9)/Simulador!$G$9)&lt;=0,(($A117-Simulador!$E$9)/Simulador!$G$9)&gt;=1),0,IF((($A117-Simulador!$E$9)/Simulador!$G$9)&lt;Simulador!$B$11,Simulador!$B$10*(1-COS(PI()*(($A117-Simulador!$E$9)/Simulador!$G$9)/Simulador!$B$11))/2,IF((($A117-Simulador!$E$9)/Simulador!$G$9)&gt;1-Simulador!$B$11,Simulador!$B$10*(1-COS(PI()*(1-(($A117-Simulador!$E$9)/Simulador!$G$9))/Simulador!$B$11))/2,Simulador!$B$10)))</f>
        <v/>
      </c>
      <c r="G117" s="46">
        <f>IF(OR((($A117-Simulador!$E$10)/Simulador!$G$10)&lt;=0,(($A117-Simulador!$E$10)/Simulador!$G$10)&gt;=1),0,IF((($A117-Simulador!$E$10)/Simulador!$G$10)&lt;Simulador!$B$11,Simulador!$B$10*(1-COS(PI()*(($A117-Simulador!$E$10)/Simulador!$G$10)/Simulador!$B$11))/2,IF((($A117-Simulador!$E$10)/Simulador!$G$10)&gt;1-Simulador!$B$11,Simulador!$B$10*(1-COS(PI()*(1-(($A117-Simulador!$E$10)/Simulador!$G$10))/Simulador!$B$11))/2,Simulador!$B$10)))</f>
        <v/>
      </c>
      <c r="Q117" s="48">
        <f>IF(OR((($A117-(Simulador!$E$6+'Salto de dientes'!$B$12))/Simulador!$G$6)&lt;=0,(($A117-(Simulador!$E$6+'Salto de dientes'!$B$12))/Simulador!$G$6)&gt;=1),0,IF((($A117-(Simulador!$E$6+'Salto de dientes'!$B$12))/Simulador!$G$6)&lt;Simulador!$B$11,Simulador!$B$9*(1-COS(PI()*(($A117-(Simulador!$E$6+'Salto de dientes'!$B$12))/Simulador!$G$6)/Simulador!$B$11))/2,IF((($A117-(Simulador!$E$6+'Salto de dientes'!$B$12))/Simulador!$G$6)&gt;1-Simulador!$B$11,Simulador!$B$9*(1-COS(PI()*(1-(($A117-(Simulador!$E$6+'Salto de dientes'!$B$12))/Simulador!$G$6))/Simulador!$B$11))/2,Simulador!$B$9)))</f>
        <v/>
      </c>
      <c r="R117" s="48">
        <f>IF(OR((($A117-(Simulador!$E$9+'Salto de dientes'!$B$12))/Simulador!$G$9)&lt;=0,(($A117-(Simulador!$E$9+'Salto de dientes'!$B$12))/Simulador!$G$9)&gt;=1),0,IF((($A117-(Simulador!$E$9+'Salto de dientes'!$B$12))/Simulador!$G$9)&lt;Simulador!$B$11,Simulador!$B$10*(1-COS(PI()*(($A117-(Simulador!$E$9+'Salto de dientes'!$B$12))/Simulador!$G$9)/Simulador!$B$11))/2,IF((($A117-(Simulador!$E$9+'Salto de dientes'!$B$12))/Simulador!$G$9)&gt;1-Simulador!$B$11,Simulador!$B$10*(1-COS(PI()*(1-(($A117-(Simulador!$E$9+'Salto de dientes'!$B$12))/Simulador!$G$9))/Simulador!$B$11))/2,Simulador!$B$10)))</f>
        <v/>
      </c>
      <c r="W117" t="n">
        <v>165</v>
      </c>
      <c r="X117" s="48">
        <f>('Levas superpuestas'!$B$5+IF(OR(((W117-('Levas superpuestas'!$B$14-'Levas superpuestas'!$B$8/4))/('Levas superpuestas'!$B$8/2))&lt;=0,((W117-('Levas superpuestas'!$B$14-'Levas superpuestas'!$B$8/4))/('Levas superpuestas'!$B$8/2))&gt;=1),0,IF(((W117-('Levas superpuestas'!$B$14-'Levas superpuestas'!$B$8/4))/('Levas superpuestas'!$B$8/2))&lt;Simulador!$B$11,Simulador!$B$9*(1-COS(PI()*((W117-('Levas superpuestas'!$B$14-'Levas superpuestas'!$B$8/4))/('Levas superpuestas'!$B$8/2))/Simulador!$B$11))/2,IF(((W117-('Levas superpuestas'!$B$14-'Levas superpuestas'!$B$8/4))/('Levas superpuestas'!$B$8/2))&gt;1-Simulador!$B$11,Simulador!$B$9*(1-COS(PI()*(1-((W117-('Levas superpuestas'!$B$14-'Levas superpuestas'!$B$8/4))/('Levas superpuestas'!$B$8/2)))/Simulador!$B$11))/2,Simulador!$B$9))))*SIN(RADIANS(W117))</f>
        <v/>
      </c>
      <c r="Y117" s="48">
        <f>('Levas superpuestas'!$B$5+IF(OR(((W117-('Levas superpuestas'!$B$14-'Levas superpuestas'!$B$8/4))/('Levas superpuestas'!$B$8/2))&lt;=0,((W117-('Levas superpuestas'!$B$14-'Levas superpuestas'!$B$8/4))/('Levas superpuestas'!$B$8/2))&gt;=1),0,IF(((W117-('Levas superpuestas'!$B$14-'Levas superpuestas'!$B$8/4))/('Levas superpuestas'!$B$8/2))&lt;Simulador!$B$11,Simulador!$B$9*(1-COS(PI()*((W117-('Levas superpuestas'!$B$14-'Levas superpuestas'!$B$8/4))/('Levas superpuestas'!$B$8/2))/Simulador!$B$11))/2,IF(((W117-('Levas superpuestas'!$B$14-'Levas superpuestas'!$B$8/4))/('Levas superpuestas'!$B$8/2))&gt;1-Simulador!$B$11,Simulador!$B$9*(1-COS(PI()*(1-((W117-('Levas superpuestas'!$B$14-'Levas superpuestas'!$B$8/4))/('Levas superpuestas'!$B$8/2)))/Simulador!$B$11))/2,Simulador!$B$9))))*COS(RADIANS(W117))</f>
        <v/>
      </c>
      <c r="Z117" s="48">
        <f>('Levas superpuestas'!$B$5+IF(OR(((W117-('Levas superpuestas'!$B$15-'Levas superpuestas'!$B$9/4))/('Levas superpuestas'!$B$9/2))&lt;=0,((W117-('Levas superpuestas'!$B$15-'Levas superpuestas'!$B$9/4))/('Levas superpuestas'!$B$9/2))&gt;=1),0,IF(((W117-('Levas superpuestas'!$B$15-'Levas superpuestas'!$B$9/4))/('Levas superpuestas'!$B$9/2))&lt;Simulador!$B$11,Simulador!$B$10*(1-COS(PI()*((W117-('Levas superpuestas'!$B$15-'Levas superpuestas'!$B$9/4))/('Levas superpuestas'!$B$9/2))/Simulador!$B$11))/2,IF(((W117-('Levas superpuestas'!$B$15-'Levas superpuestas'!$B$9/4))/('Levas superpuestas'!$B$9/2))&gt;1-Simulador!$B$11,Simulador!$B$10*(1-COS(PI()*(1-((W117-('Levas superpuestas'!$B$15-'Levas superpuestas'!$B$9/4))/('Levas superpuestas'!$B$9/2)))/Simulador!$B$11))/2,Simulador!$B$10))))*SIN(RADIANS(W117))</f>
        <v/>
      </c>
      <c r="AA117" s="48">
        <f>('Levas superpuestas'!$B$5+IF(OR(((W117-('Levas superpuestas'!$B$15-'Levas superpuestas'!$B$9/4))/('Levas superpuestas'!$B$9/2))&lt;=0,((W117-('Levas superpuestas'!$B$15-'Levas superpuestas'!$B$9/4))/('Levas superpuestas'!$B$9/2))&gt;=1),0,IF(((W117-('Levas superpuestas'!$B$15-'Levas superpuestas'!$B$9/4))/('Levas superpuestas'!$B$9/2))&lt;Simulador!$B$11,Simulador!$B$10*(1-COS(PI()*((W117-('Levas superpuestas'!$B$15-'Levas superpuestas'!$B$9/4))/('Levas superpuestas'!$B$9/2))/Simulador!$B$11))/2,IF(((W117-('Levas superpuestas'!$B$15-'Levas superpuestas'!$B$9/4))/('Levas superpuestas'!$B$9/2))&gt;1-Simulador!$B$11,Simulador!$B$10*(1-COS(PI()*(1-((W117-('Levas superpuestas'!$B$15-'Levas superpuestas'!$B$9/4))/('Levas superpuestas'!$B$9/2)))/Simulador!$B$11))/2,Simulador!$B$10))))*COS(RADIANS(W117))</f>
        <v/>
      </c>
      <c r="AB117">
        <f>'Levas superpuestas'!$B$5*SIN(RADIANS(W117))</f>
        <v/>
      </c>
      <c r="AC117">
        <f>'Levas superpuestas'!$B$5*COS(RADIANS(W117))</f>
        <v/>
      </c>
    </row>
    <row r="118">
      <c r="A118" s="26">
        <f>A117+Simulador!$B$14</f>
        <v/>
      </c>
      <c r="B118" s="46">
        <f>IF(OR((($A118-Simulador!$E$5)/Simulador!$G$5)&lt;=0,(($A118-Simulador!$E$5)/Simulador!$G$5)&gt;=1),0,IF((($A118-Simulador!$E$5)/Simulador!$G$5)&lt;Simulador!$B$11,Simulador!$B$9*(1-COS(PI()*(($A118-Simulador!$E$5)/Simulador!$G$5)/Simulador!$B$11))/2,IF((($A118-Simulador!$E$5)/Simulador!$G$5)&gt;1-Simulador!$B$11,Simulador!$B$9*(1-COS(PI()*(1-(($A118-Simulador!$E$5)/Simulador!$G$5))/Simulador!$B$11))/2,Simulador!$B$9)))</f>
        <v/>
      </c>
      <c r="C118" s="46">
        <f>IF(OR((($A118-Simulador!$E$6)/Simulador!$G$6)&lt;=0,(($A118-Simulador!$E$6)/Simulador!$G$6)&gt;=1),0,IF((($A118-Simulador!$E$6)/Simulador!$G$6)&lt;Simulador!$B$11,Simulador!$B$9*(1-COS(PI()*(($A118-Simulador!$E$6)/Simulador!$G$6)/Simulador!$B$11))/2,IF((($A118-Simulador!$E$6)/Simulador!$G$6)&gt;1-Simulador!$B$11,Simulador!$B$9*(1-COS(PI()*(1-(($A118-Simulador!$E$6)/Simulador!$G$6))/Simulador!$B$11))/2,Simulador!$B$9)))</f>
        <v/>
      </c>
      <c r="D118" s="46">
        <f>IF(OR((($A118-Simulador!$E$7)/Simulador!$G$7)&lt;=0,(($A118-Simulador!$E$7)/Simulador!$G$7)&gt;=1),0,IF((($A118-Simulador!$E$7)/Simulador!$G$7)&lt;Simulador!$B$11,Simulador!$B$9*(1-COS(PI()*(($A118-Simulador!$E$7)/Simulador!$G$7)/Simulador!$B$11))/2,IF((($A118-Simulador!$E$7)/Simulador!$G$7)&gt;1-Simulador!$B$11,Simulador!$B$9*(1-COS(PI()*(1-(($A118-Simulador!$E$7)/Simulador!$G$7))/Simulador!$B$11))/2,Simulador!$B$9)))</f>
        <v/>
      </c>
      <c r="E118" s="46">
        <f>IF(OR((($A118-Simulador!$E$8)/Simulador!$G$8)&lt;=0,(($A118-Simulador!$E$8)/Simulador!$G$8)&gt;=1),0,IF((($A118-Simulador!$E$8)/Simulador!$G$8)&lt;Simulador!$B$11,Simulador!$B$10*(1-COS(PI()*(($A118-Simulador!$E$8)/Simulador!$G$8)/Simulador!$B$11))/2,IF((($A118-Simulador!$E$8)/Simulador!$G$8)&gt;1-Simulador!$B$11,Simulador!$B$10*(1-COS(PI()*(1-(($A118-Simulador!$E$8)/Simulador!$G$8))/Simulador!$B$11))/2,Simulador!$B$10)))</f>
        <v/>
      </c>
      <c r="F118" s="46">
        <f>IF(OR((($A118-Simulador!$E$9)/Simulador!$G$9)&lt;=0,(($A118-Simulador!$E$9)/Simulador!$G$9)&gt;=1),0,IF((($A118-Simulador!$E$9)/Simulador!$G$9)&lt;Simulador!$B$11,Simulador!$B$10*(1-COS(PI()*(($A118-Simulador!$E$9)/Simulador!$G$9)/Simulador!$B$11))/2,IF((($A118-Simulador!$E$9)/Simulador!$G$9)&gt;1-Simulador!$B$11,Simulador!$B$10*(1-COS(PI()*(1-(($A118-Simulador!$E$9)/Simulador!$G$9))/Simulador!$B$11))/2,Simulador!$B$10)))</f>
        <v/>
      </c>
      <c r="G118" s="46">
        <f>IF(OR((($A118-Simulador!$E$10)/Simulador!$G$10)&lt;=0,(($A118-Simulador!$E$10)/Simulador!$G$10)&gt;=1),0,IF((($A118-Simulador!$E$10)/Simulador!$G$10)&lt;Simulador!$B$11,Simulador!$B$10*(1-COS(PI()*(($A118-Simulador!$E$10)/Simulador!$G$10)/Simulador!$B$11))/2,IF((($A118-Simulador!$E$10)/Simulador!$G$10)&gt;1-Simulador!$B$11,Simulador!$B$10*(1-COS(PI()*(1-(($A118-Simulador!$E$10)/Simulador!$G$10))/Simulador!$B$11))/2,Simulador!$B$10)))</f>
        <v/>
      </c>
      <c r="Q118" s="48">
        <f>IF(OR((($A118-(Simulador!$E$6+'Salto de dientes'!$B$12))/Simulador!$G$6)&lt;=0,(($A118-(Simulador!$E$6+'Salto de dientes'!$B$12))/Simulador!$G$6)&gt;=1),0,IF((($A118-(Simulador!$E$6+'Salto de dientes'!$B$12))/Simulador!$G$6)&lt;Simulador!$B$11,Simulador!$B$9*(1-COS(PI()*(($A118-(Simulador!$E$6+'Salto de dientes'!$B$12))/Simulador!$G$6)/Simulador!$B$11))/2,IF((($A118-(Simulador!$E$6+'Salto de dientes'!$B$12))/Simulador!$G$6)&gt;1-Simulador!$B$11,Simulador!$B$9*(1-COS(PI()*(1-(($A118-(Simulador!$E$6+'Salto de dientes'!$B$12))/Simulador!$G$6))/Simulador!$B$11))/2,Simulador!$B$9)))</f>
        <v/>
      </c>
      <c r="R118" s="48">
        <f>IF(OR((($A118-(Simulador!$E$9+'Salto de dientes'!$B$12))/Simulador!$G$9)&lt;=0,(($A118-(Simulador!$E$9+'Salto de dientes'!$B$12))/Simulador!$G$9)&gt;=1),0,IF((($A118-(Simulador!$E$9+'Salto de dientes'!$B$12))/Simulador!$G$9)&lt;Simulador!$B$11,Simulador!$B$10*(1-COS(PI()*(($A118-(Simulador!$E$9+'Salto de dientes'!$B$12))/Simulador!$G$9)/Simulador!$B$11))/2,IF((($A118-(Simulador!$E$9+'Salto de dientes'!$B$12))/Simulador!$G$9)&gt;1-Simulador!$B$11,Simulador!$B$10*(1-COS(PI()*(1-(($A118-(Simulador!$E$9+'Salto de dientes'!$B$12))/Simulador!$G$9))/Simulador!$B$11))/2,Simulador!$B$10)))</f>
        <v/>
      </c>
      <c r="W118" t="n">
        <v>168</v>
      </c>
      <c r="X118" s="48">
        <f>('Levas superpuestas'!$B$5+IF(OR(((W118-('Levas superpuestas'!$B$14-'Levas superpuestas'!$B$8/4))/('Levas superpuestas'!$B$8/2))&lt;=0,((W118-('Levas superpuestas'!$B$14-'Levas superpuestas'!$B$8/4))/('Levas superpuestas'!$B$8/2))&gt;=1),0,IF(((W118-('Levas superpuestas'!$B$14-'Levas superpuestas'!$B$8/4))/('Levas superpuestas'!$B$8/2))&lt;Simulador!$B$11,Simulador!$B$9*(1-COS(PI()*((W118-('Levas superpuestas'!$B$14-'Levas superpuestas'!$B$8/4))/('Levas superpuestas'!$B$8/2))/Simulador!$B$11))/2,IF(((W118-('Levas superpuestas'!$B$14-'Levas superpuestas'!$B$8/4))/('Levas superpuestas'!$B$8/2))&gt;1-Simulador!$B$11,Simulador!$B$9*(1-COS(PI()*(1-((W118-('Levas superpuestas'!$B$14-'Levas superpuestas'!$B$8/4))/('Levas superpuestas'!$B$8/2)))/Simulador!$B$11))/2,Simulador!$B$9))))*SIN(RADIANS(W118))</f>
        <v/>
      </c>
      <c r="Y118" s="48">
        <f>('Levas superpuestas'!$B$5+IF(OR(((W118-('Levas superpuestas'!$B$14-'Levas superpuestas'!$B$8/4))/('Levas superpuestas'!$B$8/2))&lt;=0,((W118-('Levas superpuestas'!$B$14-'Levas superpuestas'!$B$8/4))/('Levas superpuestas'!$B$8/2))&gt;=1),0,IF(((W118-('Levas superpuestas'!$B$14-'Levas superpuestas'!$B$8/4))/('Levas superpuestas'!$B$8/2))&lt;Simulador!$B$11,Simulador!$B$9*(1-COS(PI()*((W118-('Levas superpuestas'!$B$14-'Levas superpuestas'!$B$8/4))/('Levas superpuestas'!$B$8/2))/Simulador!$B$11))/2,IF(((W118-('Levas superpuestas'!$B$14-'Levas superpuestas'!$B$8/4))/('Levas superpuestas'!$B$8/2))&gt;1-Simulador!$B$11,Simulador!$B$9*(1-COS(PI()*(1-((W118-('Levas superpuestas'!$B$14-'Levas superpuestas'!$B$8/4))/('Levas superpuestas'!$B$8/2)))/Simulador!$B$11))/2,Simulador!$B$9))))*COS(RADIANS(W118))</f>
        <v/>
      </c>
      <c r="Z118" s="48">
        <f>('Levas superpuestas'!$B$5+IF(OR(((W118-('Levas superpuestas'!$B$15-'Levas superpuestas'!$B$9/4))/('Levas superpuestas'!$B$9/2))&lt;=0,((W118-('Levas superpuestas'!$B$15-'Levas superpuestas'!$B$9/4))/('Levas superpuestas'!$B$9/2))&gt;=1),0,IF(((W118-('Levas superpuestas'!$B$15-'Levas superpuestas'!$B$9/4))/('Levas superpuestas'!$B$9/2))&lt;Simulador!$B$11,Simulador!$B$10*(1-COS(PI()*((W118-('Levas superpuestas'!$B$15-'Levas superpuestas'!$B$9/4))/('Levas superpuestas'!$B$9/2))/Simulador!$B$11))/2,IF(((W118-('Levas superpuestas'!$B$15-'Levas superpuestas'!$B$9/4))/('Levas superpuestas'!$B$9/2))&gt;1-Simulador!$B$11,Simulador!$B$10*(1-COS(PI()*(1-((W118-('Levas superpuestas'!$B$15-'Levas superpuestas'!$B$9/4))/('Levas superpuestas'!$B$9/2)))/Simulador!$B$11))/2,Simulador!$B$10))))*SIN(RADIANS(W118))</f>
        <v/>
      </c>
      <c r="AA118" s="48">
        <f>('Levas superpuestas'!$B$5+IF(OR(((W118-('Levas superpuestas'!$B$15-'Levas superpuestas'!$B$9/4))/('Levas superpuestas'!$B$9/2))&lt;=0,((W118-('Levas superpuestas'!$B$15-'Levas superpuestas'!$B$9/4))/('Levas superpuestas'!$B$9/2))&gt;=1),0,IF(((W118-('Levas superpuestas'!$B$15-'Levas superpuestas'!$B$9/4))/('Levas superpuestas'!$B$9/2))&lt;Simulador!$B$11,Simulador!$B$10*(1-COS(PI()*((W118-('Levas superpuestas'!$B$15-'Levas superpuestas'!$B$9/4))/('Levas superpuestas'!$B$9/2))/Simulador!$B$11))/2,IF(((W118-('Levas superpuestas'!$B$15-'Levas superpuestas'!$B$9/4))/('Levas superpuestas'!$B$9/2))&gt;1-Simulador!$B$11,Simulador!$B$10*(1-COS(PI()*(1-((W118-('Levas superpuestas'!$B$15-'Levas superpuestas'!$B$9/4))/('Levas superpuestas'!$B$9/2)))/Simulador!$B$11))/2,Simulador!$B$10))))*COS(RADIANS(W118))</f>
        <v/>
      </c>
      <c r="AB118">
        <f>'Levas superpuestas'!$B$5*SIN(RADIANS(W118))</f>
        <v/>
      </c>
      <c r="AC118">
        <f>'Levas superpuestas'!$B$5*COS(RADIANS(W118))</f>
        <v/>
      </c>
    </row>
    <row r="119">
      <c r="A119" s="26">
        <f>A118+Simulador!$B$14</f>
        <v/>
      </c>
      <c r="B119" s="46">
        <f>IF(OR((($A119-Simulador!$E$5)/Simulador!$G$5)&lt;=0,(($A119-Simulador!$E$5)/Simulador!$G$5)&gt;=1),0,IF((($A119-Simulador!$E$5)/Simulador!$G$5)&lt;Simulador!$B$11,Simulador!$B$9*(1-COS(PI()*(($A119-Simulador!$E$5)/Simulador!$G$5)/Simulador!$B$11))/2,IF((($A119-Simulador!$E$5)/Simulador!$G$5)&gt;1-Simulador!$B$11,Simulador!$B$9*(1-COS(PI()*(1-(($A119-Simulador!$E$5)/Simulador!$G$5))/Simulador!$B$11))/2,Simulador!$B$9)))</f>
        <v/>
      </c>
      <c r="C119" s="46">
        <f>IF(OR((($A119-Simulador!$E$6)/Simulador!$G$6)&lt;=0,(($A119-Simulador!$E$6)/Simulador!$G$6)&gt;=1),0,IF((($A119-Simulador!$E$6)/Simulador!$G$6)&lt;Simulador!$B$11,Simulador!$B$9*(1-COS(PI()*(($A119-Simulador!$E$6)/Simulador!$G$6)/Simulador!$B$11))/2,IF((($A119-Simulador!$E$6)/Simulador!$G$6)&gt;1-Simulador!$B$11,Simulador!$B$9*(1-COS(PI()*(1-(($A119-Simulador!$E$6)/Simulador!$G$6))/Simulador!$B$11))/2,Simulador!$B$9)))</f>
        <v/>
      </c>
      <c r="D119" s="46">
        <f>IF(OR((($A119-Simulador!$E$7)/Simulador!$G$7)&lt;=0,(($A119-Simulador!$E$7)/Simulador!$G$7)&gt;=1),0,IF((($A119-Simulador!$E$7)/Simulador!$G$7)&lt;Simulador!$B$11,Simulador!$B$9*(1-COS(PI()*(($A119-Simulador!$E$7)/Simulador!$G$7)/Simulador!$B$11))/2,IF((($A119-Simulador!$E$7)/Simulador!$G$7)&gt;1-Simulador!$B$11,Simulador!$B$9*(1-COS(PI()*(1-(($A119-Simulador!$E$7)/Simulador!$G$7))/Simulador!$B$11))/2,Simulador!$B$9)))</f>
        <v/>
      </c>
      <c r="E119" s="46">
        <f>IF(OR((($A119-Simulador!$E$8)/Simulador!$G$8)&lt;=0,(($A119-Simulador!$E$8)/Simulador!$G$8)&gt;=1),0,IF((($A119-Simulador!$E$8)/Simulador!$G$8)&lt;Simulador!$B$11,Simulador!$B$10*(1-COS(PI()*(($A119-Simulador!$E$8)/Simulador!$G$8)/Simulador!$B$11))/2,IF((($A119-Simulador!$E$8)/Simulador!$G$8)&gt;1-Simulador!$B$11,Simulador!$B$10*(1-COS(PI()*(1-(($A119-Simulador!$E$8)/Simulador!$G$8))/Simulador!$B$11))/2,Simulador!$B$10)))</f>
        <v/>
      </c>
      <c r="F119" s="46">
        <f>IF(OR((($A119-Simulador!$E$9)/Simulador!$G$9)&lt;=0,(($A119-Simulador!$E$9)/Simulador!$G$9)&gt;=1),0,IF((($A119-Simulador!$E$9)/Simulador!$G$9)&lt;Simulador!$B$11,Simulador!$B$10*(1-COS(PI()*(($A119-Simulador!$E$9)/Simulador!$G$9)/Simulador!$B$11))/2,IF((($A119-Simulador!$E$9)/Simulador!$G$9)&gt;1-Simulador!$B$11,Simulador!$B$10*(1-COS(PI()*(1-(($A119-Simulador!$E$9)/Simulador!$G$9))/Simulador!$B$11))/2,Simulador!$B$10)))</f>
        <v/>
      </c>
      <c r="G119" s="46">
        <f>IF(OR((($A119-Simulador!$E$10)/Simulador!$G$10)&lt;=0,(($A119-Simulador!$E$10)/Simulador!$G$10)&gt;=1),0,IF((($A119-Simulador!$E$10)/Simulador!$G$10)&lt;Simulador!$B$11,Simulador!$B$10*(1-COS(PI()*(($A119-Simulador!$E$10)/Simulador!$G$10)/Simulador!$B$11))/2,IF((($A119-Simulador!$E$10)/Simulador!$G$10)&gt;1-Simulador!$B$11,Simulador!$B$10*(1-COS(PI()*(1-(($A119-Simulador!$E$10)/Simulador!$G$10))/Simulador!$B$11))/2,Simulador!$B$10)))</f>
        <v/>
      </c>
      <c r="Q119" s="48">
        <f>IF(OR((($A119-(Simulador!$E$6+'Salto de dientes'!$B$12))/Simulador!$G$6)&lt;=0,(($A119-(Simulador!$E$6+'Salto de dientes'!$B$12))/Simulador!$G$6)&gt;=1),0,IF((($A119-(Simulador!$E$6+'Salto de dientes'!$B$12))/Simulador!$G$6)&lt;Simulador!$B$11,Simulador!$B$9*(1-COS(PI()*(($A119-(Simulador!$E$6+'Salto de dientes'!$B$12))/Simulador!$G$6)/Simulador!$B$11))/2,IF((($A119-(Simulador!$E$6+'Salto de dientes'!$B$12))/Simulador!$G$6)&gt;1-Simulador!$B$11,Simulador!$B$9*(1-COS(PI()*(1-(($A119-(Simulador!$E$6+'Salto de dientes'!$B$12))/Simulador!$G$6))/Simulador!$B$11))/2,Simulador!$B$9)))</f>
        <v/>
      </c>
      <c r="R119" s="48">
        <f>IF(OR((($A119-(Simulador!$E$9+'Salto de dientes'!$B$12))/Simulador!$G$9)&lt;=0,(($A119-(Simulador!$E$9+'Salto de dientes'!$B$12))/Simulador!$G$9)&gt;=1),0,IF((($A119-(Simulador!$E$9+'Salto de dientes'!$B$12))/Simulador!$G$9)&lt;Simulador!$B$11,Simulador!$B$10*(1-COS(PI()*(($A119-(Simulador!$E$9+'Salto de dientes'!$B$12))/Simulador!$G$9)/Simulador!$B$11))/2,IF((($A119-(Simulador!$E$9+'Salto de dientes'!$B$12))/Simulador!$G$9)&gt;1-Simulador!$B$11,Simulador!$B$10*(1-COS(PI()*(1-(($A119-(Simulador!$E$9+'Salto de dientes'!$B$12))/Simulador!$G$9))/Simulador!$B$11))/2,Simulador!$B$10)))</f>
        <v/>
      </c>
      <c r="W119" t="n">
        <v>171</v>
      </c>
      <c r="X119" s="48">
        <f>('Levas superpuestas'!$B$5+IF(OR(((W119-('Levas superpuestas'!$B$14-'Levas superpuestas'!$B$8/4))/('Levas superpuestas'!$B$8/2))&lt;=0,((W119-('Levas superpuestas'!$B$14-'Levas superpuestas'!$B$8/4))/('Levas superpuestas'!$B$8/2))&gt;=1),0,IF(((W119-('Levas superpuestas'!$B$14-'Levas superpuestas'!$B$8/4))/('Levas superpuestas'!$B$8/2))&lt;Simulador!$B$11,Simulador!$B$9*(1-COS(PI()*((W119-('Levas superpuestas'!$B$14-'Levas superpuestas'!$B$8/4))/('Levas superpuestas'!$B$8/2))/Simulador!$B$11))/2,IF(((W119-('Levas superpuestas'!$B$14-'Levas superpuestas'!$B$8/4))/('Levas superpuestas'!$B$8/2))&gt;1-Simulador!$B$11,Simulador!$B$9*(1-COS(PI()*(1-((W119-('Levas superpuestas'!$B$14-'Levas superpuestas'!$B$8/4))/('Levas superpuestas'!$B$8/2)))/Simulador!$B$11))/2,Simulador!$B$9))))*SIN(RADIANS(W119))</f>
        <v/>
      </c>
      <c r="Y119" s="48">
        <f>('Levas superpuestas'!$B$5+IF(OR(((W119-('Levas superpuestas'!$B$14-'Levas superpuestas'!$B$8/4))/('Levas superpuestas'!$B$8/2))&lt;=0,((W119-('Levas superpuestas'!$B$14-'Levas superpuestas'!$B$8/4))/('Levas superpuestas'!$B$8/2))&gt;=1),0,IF(((W119-('Levas superpuestas'!$B$14-'Levas superpuestas'!$B$8/4))/('Levas superpuestas'!$B$8/2))&lt;Simulador!$B$11,Simulador!$B$9*(1-COS(PI()*((W119-('Levas superpuestas'!$B$14-'Levas superpuestas'!$B$8/4))/('Levas superpuestas'!$B$8/2))/Simulador!$B$11))/2,IF(((W119-('Levas superpuestas'!$B$14-'Levas superpuestas'!$B$8/4))/('Levas superpuestas'!$B$8/2))&gt;1-Simulador!$B$11,Simulador!$B$9*(1-COS(PI()*(1-((W119-('Levas superpuestas'!$B$14-'Levas superpuestas'!$B$8/4))/('Levas superpuestas'!$B$8/2)))/Simulador!$B$11))/2,Simulador!$B$9))))*COS(RADIANS(W119))</f>
        <v/>
      </c>
      <c r="Z119" s="48">
        <f>('Levas superpuestas'!$B$5+IF(OR(((W119-('Levas superpuestas'!$B$15-'Levas superpuestas'!$B$9/4))/('Levas superpuestas'!$B$9/2))&lt;=0,((W119-('Levas superpuestas'!$B$15-'Levas superpuestas'!$B$9/4))/('Levas superpuestas'!$B$9/2))&gt;=1),0,IF(((W119-('Levas superpuestas'!$B$15-'Levas superpuestas'!$B$9/4))/('Levas superpuestas'!$B$9/2))&lt;Simulador!$B$11,Simulador!$B$10*(1-COS(PI()*((W119-('Levas superpuestas'!$B$15-'Levas superpuestas'!$B$9/4))/('Levas superpuestas'!$B$9/2))/Simulador!$B$11))/2,IF(((W119-('Levas superpuestas'!$B$15-'Levas superpuestas'!$B$9/4))/('Levas superpuestas'!$B$9/2))&gt;1-Simulador!$B$11,Simulador!$B$10*(1-COS(PI()*(1-((W119-('Levas superpuestas'!$B$15-'Levas superpuestas'!$B$9/4))/('Levas superpuestas'!$B$9/2)))/Simulador!$B$11))/2,Simulador!$B$10))))*SIN(RADIANS(W119))</f>
        <v/>
      </c>
      <c r="AA119" s="48">
        <f>('Levas superpuestas'!$B$5+IF(OR(((W119-('Levas superpuestas'!$B$15-'Levas superpuestas'!$B$9/4))/('Levas superpuestas'!$B$9/2))&lt;=0,((W119-('Levas superpuestas'!$B$15-'Levas superpuestas'!$B$9/4))/('Levas superpuestas'!$B$9/2))&gt;=1),0,IF(((W119-('Levas superpuestas'!$B$15-'Levas superpuestas'!$B$9/4))/('Levas superpuestas'!$B$9/2))&lt;Simulador!$B$11,Simulador!$B$10*(1-COS(PI()*((W119-('Levas superpuestas'!$B$15-'Levas superpuestas'!$B$9/4))/('Levas superpuestas'!$B$9/2))/Simulador!$B$11))/2,IF(((W119-('Levas superpuestas'!$B$15-'Levas superpuestas'!$B$9/4))/('Levas superpuestas'!$B$9/2))&gt;1-Simulador!$B$11,Simulador!$B$10*(1-COS(PI()*(1-((W119-('Levas superpuestas'!$B$15-'Levas superpuestas'!$B$9/4))/('Levas superpuestas'!$B$9/2)))/Simulador!$B$11))/2,Simulador!$B$10))))*COS(RADIANS(W119))</f>
        <v/>
      </c>
      <c r="AB119">
        <f>'Levas superpuestas'!$B$5*SIN(RADIANS(W119))</f>
        <v/>
      </c>
      <c r="AC119">
        <f>'Levas superpuestas'!$B$5*COS(RADIANS(W119))</f>
        <v/>
      </c>
    </row>
    <row r="120">
      <c r="A120" s="26">
        <f>A119+Simulador!$B$14</f>
        <v/>
      </c>
      <c r="B120" s="46">
        <f>IF(OR((($A120-Simulador!$E$5)/Simulador!$G$5)&lt;=0,(($A120-Simulador!$E$5)/Simulador!$G$5)&gt;=1),0,IF((($A120-Simulador!$E$5)/Simulador!$G$5)&lt;Simulador!$B$11,Simulador!$B$9*(1-COS(PI()*(($A120-Simulador!$E$5)/Simulador!$G$5)/Simulador!$B$11))/2,IF((($A120-Simulador!$E$5)/Simulador!$G$5)&gt;1-Simulador!$B$11,Simulador!$B$9*(1-COS(PI()*(1-(($A120-Simulador!$E$5)/Simulador!$G$5))/Simulador!$B$11))/2,Simulador!$B$9)))</f>
        <v/>
      </c>
      <c r="C120" s="46">
        <f>IF(OR((($A120-Simulador!$E$6)/Simulador!$G$6)&lt;=0,(($A120-Simulador!$E$6)/Simulador!$G$6)&gt;=1),0,IF((($A120-Simulador!$E$6)/Simulador!$G$6)&lt;Simulador!$B$11,Simulador!$B$9*(1-COS(PI()*(($A120-Simulador!$E$6)/Simulador!$G$6)/Simulador!$B$11))/2,IF((($A120-Simulador!$E$6)/Simulador!$G$6)&gt;1-Simulador!$B$11,Simulador!$B$9*(1-COS(PI()*(1-(($A120-Simulador!$E$6)/Simulador!$G$6))/Simulador!$B$11))/2,Simulador!$B$9)))</f>
        <v/>
      </c>
      <c r="D120" s="46">
        <f>IF(OR((($A120-Simulador!$E$7)/Simulador!$G$7)&lt;=0,(($A120-Simulador!$E$7)/Simulador!$G$7)&gt;=1),0,IF((($A120-Simulador!$E$7)/Simulador!$G$7)&lt;Simulador!$B$11,Simulador!$B$9*(1-COS(PI()*(($A120-Simulador!$E$7)/Simulador!$G$7)/Simulador!$B$11))/2,IF((($A120-Simulador!$E$7)/Simulador!$G$7)&gt;1-Simulador!$B$11,Simulador!$B$9*(1-COS(PI()*(1-(($A120-Simulador!$E$7)/Simulador!$G$7))/Simulador!$B$11))/2,Simulador!$B$9)))</f>
        <v/>
      </c>
      <c r="E120" s="46">
        <f>IF(OR((($A120-Simulador!$E$8)/Simulador!$G$8)&lt;=0,(($A120-Simulador!$E$8)/Simulador!$G$8)&gt;=1),0,IF((($A120-Simulador!$E$8)/Simulador!$G$8)&lt;Simulador!$B$11,Simulador!$B$10*(1-COS(PI()*(($A120-Simulador!$E$8)/Simulador!$G$8)/Simulador!$B$11))/2,IF((($A120-Simulador!$E$8)/Simulador!$G$8)&gt;1-Simulador!$B$11,Simulador!$B$10*(1-COS(PI()*(1-(($A120-Simulador!$E$8)/Simulador!$G$8))/Simulador!$B$11))/2,Simulador!$B$10)))</f>
        <v/>
      </c>
      <c r="F120" s="46">
        <f>IF(OR((($A120-Simulador!$E$9)/Simulador!$G$9)&lt;=0,(($A120-Simulador!$E$9)/Simulador!$G$9)&gt;=1),0,IF((($A120-Simulador!$E$9)/Simulador!$G$9)&lt;Simulador!$B$11,Simulador!$B$10*(1-COS(PI()*(($A120-Simulador!$E$9)/Simulador!$G$9)/Simulador!$B$11))/2,IF((($A120-Simulador!$E$9)/Simulador!$G$9)&gt;1-Simulador!$B$11,Simulador!$B$10*(1-COS(PI()*(1-(($A120-Simulador!$E$9)/Simulador!$G$9))/Simulador!$B$11))/2,Simulador!$B$10)))</f>
        <v/>
      </c>
      <c r="G120" s="46">
        <f>IF(OR((($A120-Simulador!$E$10)/Simulador!$G$10)&lt;=0,(($A120-Simulador!$E$10)/Simulador!$G$10)&gt;=1),0,IF((($A120-Simulador!$E$10)/Simulador!$G$10)&lt;Simulador!$B$11,Simulador!$B$10*(1-COS(PI()*(($A120-Simulador!$E$10)/Simulador!$G$10)/Simulador!$B$11))/2,IF((($A120-Simulador!$E$10)/Simulador!$G$10)&gt;1-Simulador!$B$11,Simulador!$B$10*(1-COS(PI()*(1-(($A120-Simulador!$E$10)/Simulador!$G$10))/Simulador!$B$11))/2,Simulador!$B$10)))</f>
        <v/>
      </c>
      <c r="Q120" s="48">
        <f>IF(OR((($A120-(Simulador!$E$6+'Salto de dientes'!$B$12))/Simulador!$G$6)&lt;=0,(($A120-(Simulador!$E$6+'Salto de dientes'!$B$12))/Simulador!$G$6)&gt;=1),0,IF((($A120-(Simulador!$E$6+'Salto de dientes'!$B$12))/Simulador!$G$6)&lt;Simulador!$B$11,Simulador!$B$9*(1-COS(PI()*(($A120-(Simulador!$E$6+'Salto de dientes'!$B$12))/Simulador!$G$6)/Simulador!$B$11))/2,IF((($A120-(Simulador!$E$6+'Salto de dientes'!$B$12))/Simulador!$G$6)&gt;1-Simulador!$B$11,Simulador!$B$9*(1-COS(PI()*(1-(($A120-(Simulador!$E$6+'Salto de dientes'!$B$12))/Simulador!$G$6))/Simulador!$B$11))/2,Simulador!$B$9)))</f>
        <v/>
      </c>
      <c r="R120" s="48">
        <f>IF(OR((($A120-(Simulador!$E$9+'Salto de dientes'!$B$12))/Simulador!$G$9)&lt;=0,(($A120-(Simulador!$E$9+'Salto de dientes'!$B$12))/Simulador!$G$9)&gt;=1),0,IF((($A120-(Simulador!$E$9+'Salto de dientes'!$B$12))/Simulador!$G$9)&lt;Simulador!$B$11,Simulador!$B$10*(1-COS(PI()*(($A120-(Simulador!$E$9+'Salto de dientes'!$B$12))/Simulador!$G$9)/Simulador!$B$11))/2,IF((($A120-(Simulador!$E$9+'Salto de dientes'!$B$12))/Simulador!$G$9)&gt;1-Simulador!$B$11,Simulador!$B$10*(1-COS(PI()*(1-(($A120-(Simulador!$E$9+'Salto de dientes'!$B$12))/Simulador!$G$9))/Simulador!$B$11))/2,Simulador!$B$10)))</f>
        <v/>
      </c>
      <c r="W120" t="n">
        <v>174</v>
      </c>
      <c r="X120" s="48">
        <f>('Levas superpuestas'!$B$5+IF(OR(((W120-('Levas superpuestas'!$B$14-'Levas superpuestas'!$B$8/4))/('Levas superpuestas'!$B$8/2))&lt;=0,((W120-('Levas superpuestas'!$B$14-'Levas superpuestas'!$B$8/4))/('Levas superpuestas'!$B$8/2))&gt;=1),0,IF(((W120-('Levas superpuestas'!$B$14-'Levas superpuestas'!$B$8/4))/('Levas superpuestas'!$B$8/2))&lt;Simulador!$B$11,Simulador!$B$9*(1-COS(PI()*((W120-('Levas superpuestas'!$B$14-'Levas superpuestas'!$B$8/4))/('Levas superpuestas'!$B$8/2))/Simulador!$B$11))/2,IF(((W120-('Levas superpuestas'!$B$14-'Levas superpuestas'!$B$8/4))/('Levas superpuestas'!$B$8/2))&gt;1-Simulador!$B$11,Simulador!$B$9*(1-COS(PI()*(1-((W120-('Levas superpuestas'!$B$14-'Levas superpuestas'!$B$8/4))/('Levas superpuestas'!$B$8/2)))/Simulador!$B$11))/2,Simulador!$B$9))))*SIN(RADIANS(W120))</f>
        <v/>
      </c>
      <c r="Y120" s="48">
        <f>('Levas superpuestas'!$B$5+IF(OR(((W120-('Levas superpuestas'!$B$14-'Levas superpuestas'!$B$8/4))/('Levas superpuestas'!$B$8/2))&lt;=0,((W120-('Levas superpuestas'!$B$14-'Levas superpuestas'!$B$8/4))/('Levas superpuestas'!$B$8/2))&gt;=1),0,IF(((W120-('Levas superpuestas'!$B$14-'Levas superpuestas'!$B$8/4))/('Levas superpuestas'!$B$8/2))&lt;Simulador!$B$11,Simulador!$B$9*(1-COS(PI()*((W120-('Levas superpuestas'!$B$14-'Levas superpuestas'!$B$8/4))/('Levas superpuestas'!$B$8/2))/Simulador!$B$11))/2,IF(((W120-('Levas superpuestas'!$B$14-'Levas superpuestas'!$B$8/4))/('Levas superpuestas'!$B$8/2))&gt;1-Simulador!$B$11,Simulador!$B$9*(1-COS(PI()*(1-((W120-('Levas superpuestas'!$B$14-'Levas superpuestas'!$B$8/4))/('Levas superpuestas'!$B$8/2)))/Simulador!$B$11))/2,Simulador!$B$9))))*COS(RADIANS(W120))</f>
        <v/>
      </c>
      <c r="Z120" s="48">
        <f>('Levas superpuestas'!$B$5+IF(OR(((W120-('Levas superpuestas'!$B$15-'Levas superpuestas'!$B$9/4))/('Levas superpuestas'!$B$9/2))&lt;=0,((W120-('Levas superpuestas'!$B$15-'Levas superpuestas'!$B$9/4))/('Levas superpuestas'!$B$9/2))&gt;=1),0,IF(((W120-('Levas superpuestas'!$B$15-'Levas superpuestas'!$B$9/4))/('Levas superpuestas'!$B$9/2))&lt;Simulador!$B$11,Simulador!$B$10*(1-COS(PI()*((W120-('Levas superpuestas'!$B$15-'Levas superpuestas'!$B$9/4))/('Levas superpuestas'!$B$9/2))/Simulador!$B$11))/2,IF(((W120-('Levas superpuestas'!$B$15-'Levas superpuestas'!$B$9/4))/('Levas superpuestas'!$B$9/2))&gt;1-Simulador!$B$11,Simulador!$B$10*(1-COS(PI()*(1-((W120-('Levas superpuestas'!$B$15-'Levas superpuestas'!$B$9/4))/('Levas superpuestas'!$B$9/2)))/Simulador!$B$11))/2,Simulador!$B$10))))*SIN(RADIANS(W120))</f>
        <v/>
      </c>
      <c r="AA120" s="48">
        <f>('Levas superpuestas'!$B$5+IF(OR(((W120-('Levas superpuestas'!$B$15-'Levas superpuestas'!$B$9/4))/('Levas superpuestas'!$B$9/2))&lt;=0,((W120-('Levas superpuestas'!$B$15-'Levas superpuestas'!$B$9/4))/('Levas superpuestas'!$B$9/2))&gt;=1),0,IF(((W120-('Levas superpuestas'!$B$15-'Levas superpuestas'!$B$9/4))/('Levas superpuestas'!$B$9/2))&lt;Simulador!$B$11,Simulador!$B$10*(1-COS(PI()*((W120-('Levas superpuestas'!$B$15-'Levas superpuestas'!$B$9/4))/('Levas superpuestas'!$B$9/2))/Simulador!$B$11))/2,IF(((W120-('Levas superpuestas'!$B$15-'Levas superpuestas'!$B$9/4))/('Levas superpuestas'!$B$9/2))&gt;1-Simulador!$B$11,Simulador!$B$10*(1-COS(PI()*(1-((W120-('Levas superpuestas'!$B$15-'Levas superpuestas'!$B$9/4))/('Levas superpuestas'!$B$9/2)))/Simulador!$B$11))/2,Simulador!$B$10))))*COS(RADIANS(W120))</f>
        <v/>
      </c>
      <c r="AB120">
        <f>'Levas superpuestas'!$B$5*SIN(RADIANS(W120))</f>
        <v/>
      </c>
      <c r="AC120">
        <f>'Levas superpuestas'!$B$5*COS(RADIANS(W120))</f>
        <v/>
      </c>
    </row>
    <row r="121">
      <c r="A121" s="26">
        <f>A120+Simulador!$B$14</f>
        <v/>
      </c>
      <c r="B121" s="46">
        <f>IF(OR((($A121-Simulador!$E$5)/Simulador!$G$5)&lt;=0,(($A121-Simulador!$E$5)/Simulador!$G$5)&gt;=1),0,IF((($A121-Simulador!$E$5)/Simulador!$G$5)&lt;Simulador!$B$11,Simulador!$B$9*(1-COS(PI()*(($A121-Simulador!$E$5)/Simulador!$G$5)/Simulador!$B$11))/2,IF((($A121-Simulador!$E$5)/Simulador!$G$5)&gt;1-Simulador!$B$11,Simulador!$B$9*(1-COS(PI()*(1-(($A121-Simulador!$E$5)/Simulador!$G$5))/Simulador!$B$11))/2,Simulador!$B$9)))</f>
        <v/>
      </c>
      <c r="C121" s="46">
        <f>IF(OR((($A121-Simulador!$E$6)/Simulador!$G$6)&lt;=0,(($A121-Simulador!$E$6)/Simulador!$G$6)&gt;=1),0,IF((($A121-Simulador!$E$6)/Simulador!$G$6)&lt;Simulador!$B$11,Simulador!$B$9*(1-COS(PI()*(($A121-Simulador!$E$6)/Simulador!$G$6)/Simulador!$B$11))/2,IF((($A121-Simulador!$E$6)/Simulador!$G$6)&gt;1-Simulador!$B$11,Simulador!$B$9*(1-COS(PI()*(1-(($A121-Simulador!$E$6)/Simulador!$G$6))/Simulador!$B$11))/2,Simulador!$B$9)))</f>
        <v/>
      </c>
      <c r="D121" s="46">
        <f>IF(OR((($A121-Simulador!$E$7)/Simulador!$G$7)&lt;=0,(($A121-Simulador!$E$7)/Simulador!$G$7)&gt;=1),0,IF((($A121-Simulador!$E$7)/Simulador!$G$7)&lt;Simulador!$B$11,Simulador!$B$9*(1-COS(PI()*(($A121-Simulador!$E$7)/Simulador!$G$7)/Simulador!$B$11))/2,IF((($A121-Simulador!$E$7)/Simulador!$G$7)&gt;1-Simulador!$B$11,Simulador!$B$9*(1-COS(PI()*(1-(($A121-Simulador!$E$7)/Simulador!$G$7))/Simulador!$B$11))/2,Simulador!$B$9)))</f>
        <v/>
      </c>
      <c r="E121" s="46">
        <f>IF(OR((($A121-Simulador!$E$8)/Simulador!$G$8)&lt;=0,(($A121-Simulador!$E$8)/Simulador!$G$8)&gt;=1),0,IF((($A121-Simulador!$E$8)/Simulador!$G$8)&lt;Simulador!$B$11,Simulador!$B$10*(1-COS(PI()*(($A121-Simulador!$E$8)/Simulador!$G$8)/Simulador!$B$11))/2,IF((($A121-Simulador!$E$8)/Simulador!$G$8)&gt;1-Simulador!$B$11,Simulador!$B$10*(1-COS(PI()*(1-(($A121-Simulador!$E$8)/Simulador!$G$8))/Simulador!$B$11))/2,Simulador!$B$10)))</f>
        <v/>
      </c>
      <c r="F121" s="46">
        <f>IF(OR((($A121-Simulador!$E$9)/Simulador!$G$9)&lt;=0,(($A121-Simulador!$E$9)/Simulador!$G$9)&gt;=1),0,IF((($A121-Simulador!$E$9)/Simulador!$G$9)&lt;Simulador!$B$11,Simulador!$B$10*(1-COS(PI()*(($A121-Simulador!$E$9)/Simulador!$G$9)/Simulador!$B$11))/2,IF((($A121-Simulador!$E$9)/Simulador!$G$9)&gt;1-Simulador!$B$11,Simulador!$B$10*(1-COS(PI()*(1-(($A121-Simulador!$E$9)/Simulador!$G$9))/Simulador!$B$11))/2,Simulador!$B$10)))</f>
        <v/>
      </c>
      <c r="G121" s="46">
        <f>IF(OR((($A121-Simulador!$E$10)/Simulador!$G$10)&lt;=0,(($A121-Simulador!$E$10)/Simulador!$G$10)&gt;=1),0,IF((($A121-Simulador!$E$10)/Simulador!$G$10)&lt;Simulador!$B$11,Simulador!$B$10*(1-COS(PI()*(($A121-Simulador!$E$10)/Simulador!$G$10)/Simulador!$B$11))/2,IF((($A121-Simulador!$E$10)/Simulador!$G$10)&gt;1-Simulador!$B$11,Simulador!$B$10*(1-COS(PI()*(1-(($A121-Simulador!$E$10)/Simulador!$G$10))/Simulador!$B$11))/2,Simulador!$B$10)))</f>
        <v/>
      </c>
      <c r="Q121" s="48">
        <f>IF(OR((($A121-(Simulador!$E$6+'Salto de dientes'!$B$12))/Simulador!$G$6)&lt;=0,(($A121-(Simulador!$E$6+'Salto de dientes'!$B$12))/Simulador!$G$6)&gt;=1),0,IF((($A121-(Simulador!$E$6+'Salto de dientes'!$B$12))/Simulador!$G$6)&lt;Simulador!$B$11,Simulador!$B$9*(1-COS(PI()*(($A121-(Simulador!$E$6+'Salto de dientes'!$B$12))/Simulador!$G$6)/Simulador!$B$11))/2,IF((($A121-(Simulador!$E$6+'Salto de dientes'!$B$12))/Simulador!$G$6)&gt;1-Simulador!$B$11,Simulador!$B$9*(1-COS(PI()*(1-(($A121-(Simulador!$E$6+'Salto de dientes'!$B$12))/Simulador!$G$6))/Simulador!$B$11))/2,Simulador!$B$9)))</f>
        <v/>
      </c>
      <c r="R121" s="48">
        <f>IF(OR((($A121-(Simulador!$E$9+'Salto de dientes'!$B$12))/Simulador!$G$9)&lt;=0,(($A121-(Simulador!$E$9+'Salto de dientes'!$B$12))/Simulador!$G$9)&gt;=1),0,IF((($A121-(Simulador!$E$9+'Salto de dientes'!$B$12))/Simulador!$G$9)&lt;Simulador!$B$11,Simulador!$B$10*(1-COS(PI()*(($A121-(Simulador!$E$9+'Salto de dientes'!$B$12))/Simulador!$G$9)/Simulador!$B$11))/2,IF((($A121-(Simulador!$E$9+'Salto de dientes'!$B$12))/Simulador!$G$9)&gt;1-Simulador!$B$11,Simulador!$B$10*(1-COS(PI()*(1-(($A121-(Simulador!$E$9+'Salto de dientes'!$B$12))/Simulador!$G$9))/Simulador!$B$11))/2,Simulador!$B$10)))</f>
        <v/>
      </c>
      <c r="W121" t="n">
        <v>177</v>
      </c>
      <c r="X121" s="48">
        <f>('Levas superpuestas'!$B$5+IF(OR(((W121-('Levas superpuestas'!$B$14-'Levas superpuestas'!$B$8/4))/('Levas superpuestas'!$B$8/2))&lt;=0,((W121-('Levas superpuestas'!$B$14-'Levas superpuestas'!$B$8/4))/('Levas superpuestas'!$B$8/2))&gt;=1),0,IF(((W121-('Levas superpuestas'!$B$14-'Levas superpuestas'!$B$8/4))/('Levas superpuestas'!$B$8/2))&lt;Simulador!$B$11,Simulador!$B$9*(1-COS(PI()*((W121-('Levas superpuestas'!$B$14-'Levas superpuestas'!$B$8/4))/('Levas superpuestas'!$B$8/2))/Simulador!$B$11))/2,IF(((W121-('Levas superpuestas'!$B$14-'Levas superpuestas'!$B$8/4))/('Levas superpuestas'!$B$8/2))&gt;1-Simulador!$B$11,Simulador!$B$9*(1-COS(PI()*(1-((W121-('Levas superpuestas'!$B$14-'Levas superpuestas'!$B$8/4))/('Levas superpuestas'!$B$8/2)))/Simulador!$B$11))/2,Simulador!$B$9))))*SIN(RADIANS(W121))</f>
        <v/>
      </c>
      <c r="Y121" s="48">
        <f>('Levas superpuestas'!$B$5+IF(OR(((W121-('Levas superpuestas'!$B$14-'Levas superpuestas'!$B$8/4))/('Levas superpuestas'!$B$8/2))&lt;=0,((W121-('Levas superpuestas'!$B$14-'Levas superpuestas'!$B$8/4))/('Levas superpuestas'!$B$8/2))&gt;=1),0,IF(((W121-('Levas superpuestas'!$B$14-'Levas superpuestas'!$B$8/4))/('Levas superpuestas'!$B$8/2))&lt;Simulador!$B$11,Simulador!$B$9*(1-COS(PI()*((W121-('Levas superpuestas'!$B$14-'Levas superpuestas'!$B$8/4))/('Levas superpuestas'!$B$8/2))/Simulador!$B$11))/2,IF(((W121-('Levas superpuestas'!$B$14-'Levas superpuestas'!$B$8/4))/('Levas superpuestas'!$B$8/2))&gt;1-Simulador!$B$11,Simulador!$B$9*(1-COS(PI()*(1-((W121-('Levas superpuestas'!$B$14-'Levas superpuestas'!$B$8/4))/('Levas superpuestas'!$B$8/2)))/Simulador!$B$11))/2,Simulador!$B$9))))*COS(RADIANS(W121))</f>
        <v/>
      </c>
      <c r="Z121" s="48">
        <f>('Levas superpuestas'!$B$5+IF(OR(((W121-('Levas superpuestas'!$B$15-'Levas superpuestas'!$B$9/4))/('Levas superpuestas'!$B$9/2))&lt;=0,((W121-('Levas superpuestas'!$B$15-'Levas superpuestas'!$B$9/4))/('Levas superpuestas'!$B$9/2))&gt;=1),0,IF(((W121-('Levas superpuestas'!$B$15-'Levas superpuestas'!$B$9/4))/('Levas superpuestas'!$B$9/2))&lt;Simulador!$B$11,Simulador!$B$10*(1-COS(PI()*((W121-('Levas superpuestas'!$B$15-'Levas superpuestas'!$B$9/4))/('Levas superpuestas'!$B$9/2))/Simulador!$B$11))/2,IF(((W121-('Levas superpuestas'!$B$15-'Levas superpuestas'!$B$9/4))/('Levas superpuestas'!$B$9/2))&gt;1-Simulador!$B$11,Simulador!$B$10*(1-COS(PI()*(1-((W121-('Levas superpuestas'!$B$15-'Levas superpuestas'!$B$9/4))/('Levas superpuestas'!$B$9/2)))/Simulador!$B$11))/2,Simulador!$B$10))))*SIN(RADIANS(W121))</f>
        <v/>
      </c>
      <c r="AA121" s="48">
        <f>('Levas superpuestas'!$B$5+IF(OR(((W121-('Levas superpuestas'!$B$15-'Levas superpuestas'!$B$9/4))/('Levas superpuestas'!$B$9/2))&lt;=0,((W121-('Levas superpuestas'!$B$15-'Levas superpuestas'!$B$9/4))/('Levas superpuestas'!$B$9/2))&gt;=1),0,IF(((W121-('Levas superpuestas'!$B$15-'Levas superpuestas'!$B$9/4))/('Levas superpuestas'!$B$9/2))&lt;Simulador!$B$11,Simulador!$B$10*(1-COS(PI()*((W121-('Levas superpuestas'!$B$15-'Levas superpuestas'!$B$9/4))/('Levas superpuestas'!$B$9/2))/Simulador!$B$11))/2,IF(((W121-('Levas superpuestas'!$B$15-'Levas superpuestas'!$B$9/4))/('Levas superpuestas'!$B$9/2))&gt;1-Simulador!$B$11,Simulador!$B$10*(1-COS(PI()*(1-((W121-('Levas superpuestas'!$B$15-'Levas superpuestas'!$B$9/4))/('Levas superpuestas'!$B$9/2)))/Simulador!$B$11))/2,Simulador!$B$10))))*COS(RADIANS(W121))</f>
        <v/>
      </c>
      <c r="AB121">
        <f>'Levas superpuestas'!$B$5*SIN(RADIANS(W121))</f>
        <v/>
      </c>
      <c r="AC121">
        <f>'Levas superpuestas'!$B$5*COS(RADIANS(W121))</f>
        <v/>
      </c>
    </row>
    <row r="122">
      <c r="A122" s="26">
        <f>A121+Simulador!$B$14</f>
        <v/>
      </c>
      <c r="B122" s="46">
        <f>IF(OR((($A122-Simulador!$E$5)/Simulador!$G$5)&lt;=0,(($A122-Simulador!$E$5)/Simulador!$G$5)&gt;=1),0,IF((($A122-Simulador!$E$5)/Simulador!$G$5)&lt;Simulador!$B$11,Simulador!$B$9*(1-COS(PI()*(($A122-Simulador!$E$5)/Simulador!$G$5)/Simulador!$B$11))/2,IF((($A122-Simulador!$E$5)/Simulador!$G$5)&gt;1-Simulador!$B$11,Simulador!$B$9*(1-COS(PI()*(1-(($A122-Simulador!$E$5)/Simulador!$G$5))/Simulador!$B$11))/2,Simulador!$B$9)))</f>
        <v/>
      </c>
      <c r="C122" s="46">
        <f>IF(OR((($A122-Simulador!$E$6)/Simulador!$G$6)&lt;=0,(($A122-Simulador!$E$6)/Simulador!$G$6)&gt;=1),0,IF((($A122-Simulador!$E$6)/Simulador!$G$6)&lt;Simulador!$B$11,Simulador!$B$9*(1-COS(PI()*(($A122-Simulador!$E$6)/Simulador!$G$6)/Simulador!$B$11))/2,IF((($A122-Simulador!$E$6)/Simulador!$G$6)&gt;1-Simulador!$B$11,Simulador!$B$9*(1-COS(PI()*(1-(($A122-Simulador!$E$6)/Simulador!$G$6))/Simulador!$B$11))/2,Simulador!$B$9)))</f>
        <v/>
      </c>
      <c r="D122" s="46">
        <f>IF(OR((($A122-Simulador!$E$7)/Simulador!$G$7)&lt;=0,(($A122-Simulador!$E$7)/Simulador!$G$7)&gt;=1),0,IF((($A122-Simulador!$E$7)/Simulador!$G$7)&lt;Simulador!$B$11,Simulador!$B$9*(1-COS(PI()*(($A122-Simulador!$E$7)/Simulador!$G$7)/Simulador!$B$11))/2,IF((($A122-Simulador!$E$7)/Simulador!$G$7)&gt;1-Simulador!$B$11,Simulador!$B$9*(1-COS(PI()*(1-(($A122-Simulador!$E$7)/Simulador!$G$7))/Simulador!$B$11))/2,Simulador!$B$9)))</f>
        <v/>
      </c>
      <c r="E122" s="46">
        <f>IF(OR((($A122-Simulador!$E$8)/Simulador!$G$8)&lt;=0,(($A122-Simulador!$E$8)/Simulador!$G$8)&gt;=1),0,IF((($A122-Simulador!$E$8)/Simulador!$G$8)&lt;Simulador!$B$11,Simulador!$B$10*(1-COS(PI()*(($A122-Simulador!$E$8)/Simulador!$G$8)/Simulador!$B$11))/2,IF((($A122-Simulador!$E$8)/Simulador!$G$8)&gt;1-Simulador!$B$11,Simulador!$B$10*(1-COS(PI()*(1-(($A122-Simulador!$E$8)/Simulador!$G$8))/Simulador!$B$11))/2,Simulador!$B$10)))</f>
        <v/>
      </c>
      <c r="F122" s="46">
        <f>IF(OR((($A122-Simulador!$E$9)/Simulador!$G$9)&lt;=0,(($A122-Simulador!$E$9)/Simulador!$G$9)&gt;=1),0,IF((($A122-Simulador!$E$9)/Simulador!$G$9)&lt;Simulador!$B$11,Simulador!$B$10*(1-COS(PI()*(($A122-Simulador!$E$9)/Simulador!$G$9)/Simulador!$B$11))/2,IF((($A122-Simulador!$E$9)/Simulador!$G$9)&gt;1-Simulador!$B$11,Simulador!$B$10*(1-COS(PI()*(1-(($A122-Simulador!$E$9)/Simulador!$G$9))/Simulador!$B$11))/2,Simulador!$B$10)))</f>
        <v/>
      </c>
      <c r="G122" s="46">
        <f>IF(OR((($A122-Simulador!$E$10)/Simulador!$G$10)&lt;=0,(($A122-Simulador!$E$10)/Simulador!$G$10)&gt;=1),0,IF((($A122-Simulador!$E$10)/Simulador!$G$10)&lt;Simulador!$B$11,Simulador!$B$10*(1-COS(PI()*(($A122-Simulador!$E$10)/Simulador!$G$10)/Simulador!$B$11))/2,IF((($A122-Simulador!$E$10)/Simulador!$G$10)&gt;1-Simulador!$B$11,Simulador!$B$10*(1-COS(PI()*(1-(($A122-Simulador!$E$10)/Simulador!$G$10))/Simulador!$B$11))/2,Simulador!$B$10)))</f>
        <v/>
      </c>
      <c r="Q122" s="48">
        <f>IF(OR((($A122-(Simulador!$E$6+'Salto de dientes'!$B$12))/Simulador!$G$6)&lt;=0,(($A122-(Simulador!$E$6+'Salto de dientes'!$B$12))/Simulador!$G$6)&gt;=1),0,IF((($A122-(Simulador!$E$6+'Salto de dientes'!$B$12))/Simulador!$G$6)&lt;Simulador!$B$11,Simulador!$B$9*(1-COS(PI()*(($A122-(Simulador!$E$6+'Salto de dientes'!$B$12))/Simulador!$G$6)/Simulador!$B$11))/2,IF((($A122-(Simulador!$E$6+'Salto de dientes'!$B$12))/Simulador!$G$6)&gt;1-Simulador!$B$11,Simulador!$B$9*(1-COS(PI()*(1-(($A122-(Simulador!$E$6+'Salto de dientes'!$B$12))/Simulador!$G$6))/Simulador!$B$11))/2,Simulador!$B$9)))</f>
        <v/>
      </c>
      <c r="R122" s="48">
        <f>IF(OR((($A122-(Simulador!$E$9+'Salto de dientes'!$B$12))/Simulador!$G$9)&lt;=0,(($A122-(Simulador!$E$9+'Salto de dientes'!$B$12))/Simulador!$G$9)&gt;=1),0,IF((($A122-(Simulador!$E$9+'Salto de dientes'!$B$12))/Simulador!$G$9)&lt;Simulador!$B$11,Simulador!$B$10*(1-COS(PI()*(($A122-(Simulador!$E$9+'Salto de dientes'!$B$12))/Simulador!$G$9)/Simulador!$B$11))/2,IF((($A122-(Simulador!$E$9+'Salto de dientes'!$B$12))/Simulador!$G$9)&gt;1-Simulador!$B$11,Simulador!$B$10*(1-COS(PI()*(1-(($A122-(Simulador!$E$9+'Salto de dientes'!$B$12))/Simulador!$G$9))/Simulador!$B$11))/2,Simulador!$B$10)))</f>
        <v/>
      </c>
      <c r="W122" t="n">
        <v>180</v>
      </c>
      <c r="X122" s="48">
        <f>('Levas superpuestas'!$B$5+IF(OR(((W122-('Levas superpuestas'!$B$14-'Levas superpuestas'!$B$8/4))/('Levas superpuestas'!$B$8/2))&lt;=0,((W122-('Levas superpuestas'!$B$14-'Levas superpuestas'!$B$8/4))/('Levas superpuestas'!$B$8/2))&gt;=1),0,IF(((W122-('Levas superpuestas'!$B$14-'Levas superpuestas'!$B$8/4))/('Levas superpuestas'!$B$8/2))&lt;Simulador!$B$11,Simulador!$B$9*(1-COS(PI()*((W122-('Levas superpuestas'!$B$14-'Levas superpuestas'!$B$8/4))/('Levas superpuestas'!$B$8/2))/Simulador!$B$11))/2,IF(((W122-('Levas superpuestas'!$B$14-'Levas superpuestas'!$B$8/4))/('Levas superpuestas'!$B$8/2))&gt;1-Simulador!$B$11,Simulador!$B$9*(1-COS(PI()*(1-((W122-('Levas superpuestas'!$B$14-'Levas superpuestas'!$B$8/4))/('Levas superpuestas'!$B$8/2)))/Simulador!$B$11))/2,Simulador!$B$9))))*SIN(RADIANS(W122))</f>
        <v/>
      </c>
      <c r="Y122" s="48">
        <f>('Levas superpuestas'!$B$5+IF(OR(((W122-('Levas superpuestas'!$B$14-'Levas superpuestas'!$B$8/4))/('Levas superpuestas'!$B$8/2))&lt;=0,((W122-('Levas superpuestas'!$B$14-'Levas superpuestas'!$B$8/4))/('Levas superpuestas'!$B$8/2))&gt;=1),0,IF(((W122-('Levas superpuestas'!$B$14-'Levas superpuestas'!$B$8/4))/('Levas superpuestas'!$B$8/2))&lt;Simulador!$B$11,Simulador!$B$9*(1-COS(PI()*((W122-('Levas superpuestas'!$B$14-'Levas superpuestas'!$B$8/4))/('Levas superpuestas'!$B$8/2))/Simulador!$B$11))/2,IF(((W122-('Levas superpuestas'!$B$14-'Levas superpuestas'!$B$8/4))/('Levas superpuestas'!$B$8/2))&gt;1-Simulador!$B$11,Simulador!$B$9*(1-COS(PI()*(1-((W122-('Levas superpuestas'!$B$14-'Levas superpuestas'!$B$8/4))/('Levas superpuestas'!$B$8/2)))/Simulador!$B$11))/2,Simulador!$B$9))))*COS(RADIANS(W122))</f>
        <v/>
      </c>
      <c r="Z122" s="48">
        <f>('Levas superpuestas'!$B$5+IF(OR(((W122-('Levas superpuestas'!$B$15-'Levas superpuestas'!$B$9/4))/('Levas superpuestas'!$B$9/2))&lt;=0,((W122-('Levas superpuestas'!$B$15-'Levas superpuestas'!$B$9/4))/('Levas superpuestas'!$B$9/2))&gt;=1),0,IF(((W122-('Levas superpuestas'!$B$15-'Levas superpuestas'!$B$9/4))/('Levas superpuestas'!$B$9/2))&lt;Simulador!$B$11,Simulador!$B$10*(1-COS(PI()*((W122-('Levas superpuestas'!$B$15-'Levas superpuestas'!$B$9/4))/('Levas superpuestas'!$B$9/2))/Simulador!$B$11))/2,IF(((W122-('Levas superpuestas'!$B$15-'Levas superpuestas'!$B$9/4))/('Levas superpuestas'!$B$9/2))&gt;1-Simulador!$B$11,Simulador!$B$10*(1-COS(PI()*(1-((W122-('Levas superpuestas'!$B$15-'Levas superpuestas'!$B$9/4))/('Levas superpuestas'!$B$9/2)))/Simulador!$B$11))/2,Simulador!$B$10))))*SIN(RADIANS(W122))</f>
        <v/>
      </c>
      <c r="AA122" s="48">
        <f>('Levas superpuestas'!$B$5+IF(OR(((W122-('Levas superpuestas'!$B$15-'Levas superpuestas'!$B$9/4))/('Levas superpuestas'!$B$9/2))&lt;=0,((W122-('Levas superpuestas'!$B$15-'Levas superpuestas'!$B$9/4))/('Levas superpuestas'!$B$9/2))&gt;=1),0,IF(((W122-('Levas superpuestas'!$B$15-'Levas superpuestas'!$B$9/4))/('Levas superpuestas'!$B$9/2))&lt;Simulador!$B$11,Simulador!$B$10*(1-COS(PI()*((W122-('Levas superpuestas'!$B$15-'Levas superpuestas'!$B$9/4))/('Levas superpuestas'!$B$9/2))/Simulador!$B$11))/2,IF(((W122-('Levas superpuestas'!$B$15-'Levas superpuestas'!$B$9/4))/('Levas superpuestas'!$B$9/2))&gt;1-Simulador!$B$11,Simulador!$B$10*(1-COS(PI()*(1-((W122-('Levas superpuestas'!$B$15-'Levas superpuestas'!$B$9/4))/('Levas superpuestas'!$B$9/2)))/Simulador!$B$11))/2,Simulador!$B$10))))*COS(RADIANS(W122))</f>
        <v/>
      </c>
      <c r="AB122">
        <f>'Levas superpuestas'!$B$5*SIN(RADIANS(W122))</f>
        <v/>
      </c>
      <c r="AC122">
        <f>'Levas superpuestas'!$B$5*COS(RADIANS(W122))</f>
        <v/>
      </c>
    </row>
    <row r="123">
      <c r="A123" s="26">
        <f>A122+Simulador!$B$14</f>
        <v/>
      </c>
      <c r="B123" s="46">
        <f>IF(OR((($A123-Simulador!$E$5)/Simulador!$G$5)&lt;=0,(($A123-Simulador!$E$5)/Simulador!$G$5)&gt;=1),0,IF((($A123-Simulador!$E$5)/Simulador!$G$5)&lt;Simulador!$B$11,Simulador!$B$9*(1-COS(PI()*(($A123-Simulador!$E$5)/Simulador!$G$5)/Simulador!$B$11))/2,IF((($A123-Simulador!$E$5)/Simulador!$G$5)&gt;1-Simulador!$B$11,Simulador!$B$9*(1-COS(PI()*(1-(($A123-Simulador!$E$5)/Simulador!$G$5))/Simulador!$B$11))/2,Simulador!$B$9)))</f>
        <v/>
      </c>
      <c r="C123" s="46">
        <f>IF(OR((($A123-Simulador!$E$6)/Simulador!$G$6)&lt;=0,(($A123-Simulador!$E$6)/Simulador!$G$6)&gt;=1),0,IF((($A123-Simulador!$E$6)/Simulador!$G$6)&lt;Simulador!$B$11,Simulador!$B$9*(1-COS(PI()*(($A123-Simulador!$E$6)/Simulador!$G$6)/Simulador!$B$11))/2,IF((($A123-Simulador!$E$6)/Simulador!$G$6)&gt;1-Simulador!$B$11,Simulador!$B$9*(1-COS(PI()*(1-(($A123-Simulador!$E$6)/Simulador!$G$6))/Simulador!$B$11))/2,Simulador!$B$9)))</f>
        <v/>
      </c>
      <c r="D123" s="46">
        <f>IF(OR((($A123-Simulador!$E$7)/Simulador!$G$7)&lt;=0,(($A123-Simulador!$E$7)/Simulador!$G$7)&gt;=1),0,IF((($A123-Simulador!$E$7)/Simulador!$G$7)&lt;Simulador!$B$11,Simulador!$B$9*(1-COS(PI()*(($A123-Simulador!$E$7)/Simulador!$G$7)/Simulador!$B$11))/2,IF((($A123-Simulador!$E$7)/Simulador!$G$7)&gt;1-Simulador!$B$11,Simulador!$B$9*(1-COS(PI()*(1-(($A123-Simulador!$E$7)/Simulador!$G$7))/Simulador!$B$11))/2,Simulador!$B$9)))</f>
        <v/>
      </c>
      <c r="E123" s="46">
        <f>IF(OR((($A123-Simulador!$E$8)/Simulador!$G$8)&lt;=0,(($A123-Simulador!$E$8)/Simulador!$G$8)&gt;=1),0,IF((($A123-Simulador!$E$8)/Simulador!$G$8)&lt;Simulador!$B$11,Simulador!$B$10*(1-COS(PI()*(($A123-Simulador!$E$8)/Simulador!$G$8)/Simulador!$B$11))/2,IF((($A123-Simulador!$E$8)/Simulador!$G$8)&gt;1-Simulador!$B$11,Simulador!$B$10*(1-COS(PI()*(1-(($A123-Simulador!$E$8)/Simulador!$G$8))/Simulador!$B$11))/2,Simulador!$B$10)))</f>
        <v/>
      </c>
      <c r="F123" s="46">
        <f>IF(OR((($A123-Simulador!$E$9)/Simulador!$G$9)&lt;=0,(($A123-Simulador!$E$9)/Simulador!$G$9)&gt;=1),0,IF((($A123-Simulador!$E$9)/Simulador!$G$9)&lt;Simulador!$B$11,Simulador!$B$10*(1-COS(PI()*(($A123-Simulador!$E$9)/Simulador!$G$9)/Simulador!$B$11))/2,IF((($A123-Simulador!$E$9)/Simulador!$G$9)&gt;1-Simulador!$B$11,Simulador!$B$10*(1-COS(PI()*(1-(($A123-Simulador!$E$9)/Simulador!$G$9))/Simulador!$B$11))/2,Simulador!$B$10)))</f>
        <v/>
      </c>
      <c r="G123" s="46">
        <f>IF(OR((($A123-Simulador!$E$10)/Simulador!$G$10)&lt;=0,(($A123-Simulador!$E$10)/Simulador!$G$10)&gt;=1),0,IF((($A123-Simulador!$E$10)/Simulador!$G$10)&lt;Simulador!$B$11,Simulador!$B$10*(1-COS(PI()*(($A123-Simulador!$E$10)/Simulador!$G$10)/Simulador!$B$11))/2,IF((($A123-Simulador!$E$10)/Simulador!$G$10)&gt;1-Simulador!$B$11,Simulador!$B$10*(1-COS(PI()*(1-(($A123-Simulador!$E$10)/Simulador!$G$10))/Simulador!$B$11))/2,Simulador!$B$10)))</f>
        <v/>
      </c>
      <c r="Q123" s="48">
        <f>IF(OR((($A123-(Simulador!$E$6+'Salto de dientes'!$B$12))/Simulador!$G$6)&lt;=0,(($A123-(Simulador!$E$6+'Salto de dientes'!$B$12))/Simulador!$G$6)&gt;=1),0,IF((($A123-(Simulador!$E$6+'Salto de dientes'!$B$12))/Simulador!$G$6)&lt;Simulador!$B$11,Simulador!$B$9*(1-COS(PI()*(($A123-(Simulador!$E$6+'Salto de dientes'!$B$12))/Simulador!$G$6)/Simulador!$B$11))/2,IF((($A123-(Simulador!$E$6+'Salto de dientes'!$B$12))/Simulador!$G$6)&gt;1-Simulador!$B$11,Simulador!$B$9*(1-COS(PI()*(1-(($A123-(Simulador!$E$6+'Salto de dientes'!$B$12))/Simulador!$G$6))/Simulador!$B$11))/2,Simulador!$B$9)))</f>
        <v/>
      </c>
      <c r="R123" s="48">
        <f>IF(OR((($A123-(Simulador!$E$9+'Salto de dientes'!$B$12))/Simulador!$G$9)&lt;=0,(($A123-(Simulador!$E$9+'Salto de dientes'!$B$12))/Simulador!$G$9)&gt;=1),0,IF((($A123-(Simulador!$E$9+'Salto de dientes'!$B$12))/Simulador!$G$9)&lt;Simulador!$B$11,Simulador!$B$10*(1-COS(PI()*(($A123-(Simulador!$E$9+'Salto de dientes'!$B$12))/Simulador!$G$9)/Simulador!$B$11))/2,IF((($A123-(Simulador!$E$9+'Salto de dientes'!$B$12))/Simulador!$G$9)&gt;1-Simulador!$B$11,Simulador!$B$10*(1-COS(PI()*(1-(($A123-(Simulador!$E$9+'Salto de dientes'!$B$12))/Simulador!$G$9))/Simulador!$B$11))/2,Simulador!$B$10)))</f>
        <v/>
      </c>
    </row>
    <row r="124">
      <c r="A124" s="26">
        <f>A123+Simulador!$B$14</f>
        <v/>
      </c>
      <c r="B124" s="46">
        <f>IF(OR((($A124-Simulador!$E$5)/Simulador!$G$5)&lt;=0,(($A124-Simulador!$E$5)/Simulador!$G$5)&gt;=1),0,IF((($A124-Simulador!$E$5)/Simulador!$G$5)&lt;Simulador!$B$11,Simulador!$B$9*(1-COS(PI()*(($A124-Simulador!$E$5)/Simulador!$G$5)/Simulador!$B$11))/2,IF((($A124-Simulador!$E$5)/Simulador!$G$5)&gt;1-Simulador!$B$11,Simulador!$B$9*(1-COS(PI()*(1-(($A124-Simulador!$E$5)/Simulador!$G$5))/Simulador!$B$11))/2,Simulador!$B$9)))</f>
        <v/>
      </c>
      <c r="C124" s="46">
        <f>IF(OR((($A124-Simulador!$E$6)/Simulador!$G$6)&lt;=0,(($A124-Simulador!$E$6)/Simulador!$G$6)&gt;=1),0,IF((($A124-Simulador!$E$6)/Simulador!$G$6)&lt;Simulador!$B$11,Simulador!$B$9*(1-COS(PI()*(($A124-Simulador!$E$6)/Simulador!$G$6)/Simulador!$B$11))/2,IF((($A124-Simulador!$E$6)/Simulador!$G$6)&gt;1-Simulador!$B$11,Simulador!$B$9*(1-COS(PI()*(1-(($A124-Simulador!$E$6)/Simulador!$G$6))/Simulador!$B$11))/2,Simulador!$B$9)))</f>
        <v/>
      </c>
      <c r="D124" s="46">
        <f>IF(OR((($A124-Simulador!$E$7)/Simulador!$G$7)&lt;=0,(($A124-Simulador!$E$7)/Simulador!$G$7)&gt;=1),0,IF((($A124-Simulador!$E$7)/Simulador!$G$7)&lt;Simulador!$B$11,Simulador!$B$9*(1-COS(PI()*(($A124-Simulador!$E$7)/Simulador!$G$7)/Simulador!$B$11))/2,IF((($A124-Simulador!$E$7)/Simulador!$G$7)&gt;1-Simulador!$B$11,Simulador!$B$9*(1-COS(PI()*(1-(($A124-Simulador!$E$7)/Simulador!$G$7))/Simulador!$B$11))/2,Simulador!$B$9)))</f>
        <v/>
      </c>
      <c r="E124" s="46">
        <f>IF(OR((($A124-Simulador!$E$8)/Simulador!$G$8)&lt;=0,(($A124-Simulador!$E$8)/Simulador!$G$8)&gt;=1),0,IF((($A124-Simulador!$E$8)/Simulador!$G$8)&lt;Simulador!$B$11,Simulador!$B$10*(1-COS(PI()*(($A124-Simulador!$E$8)/Simulador!$G$8)/Simulador!$B$11))/2,IF((($A124-Simulador!$E$8)/Simulador!$G$8)&gt;1-Simulador!$B$11,Simulador!$B$10*(1-COS(PI()*(1-(($A124-Simulador!$E$8)/Simulador!$G$8))/Simulador!$B$11))/2,Simulador!$B$10)))</f>
        <v/>
      </c>
      <c r="F124" s="46">
        <f>IF(OR((($A124-Simulador!$E$9)/Simulador!$G$9)&lt;=0,(($A124-Simulador!$E$9)/Simulador!$G$9)&gt;=1),0,IF((($A124-Simulador!$E$9)/Simulador!$G$9)&lt;Simulador!$B$11,Simulador!$B$10*(1-COS(PI()*(($A124-Simulador!$E$9)/Simulador!$G$9)/Simulador!$B$11))/2,IF((($A124-Simulador!$E$9)/Simulador!$G$9)&gt;1-Simulador!$B$11,Simulador!$B$10*(1-COS(PI()*(1-(($A124-Simulador!$E$9)/Simulador!$G$9))/Simulador!$B$11))/2,Simulador!$B$10)))</f>
        <v/>
      </c>
      <c r="G124" s="46">
        <f>IF(OR((($A124-Simulador!$E$10)/Simulador!$G$10)&lt;=0,(($A124-Simulador!$E$10)/Simulador!$G$10)&gt;=1),0,IF((($A124-Simulador!$E$10)/Simulador!$G$10)&lt;Simulador!$B$11,Simulador!$B$10*(1-COS(PI()*(($A124-Simulador!$E$10)/Simulador!$G$10)/Simulador!$B$11))/2,IF((($A124-Simulador!$E$10)/Simulador!$G$10)&gt;1-Simulador!$B$11,Simulador!$B$10*(1-COS(PI()*(1-(($A124-Simulador!$E$10)/Simulador!$G$10))/Simulador!$B$11))/2,Simulador!$B$10)))</f>
        <v/>
      </c>
      <c r="Q124" s="48">
        <f>IF(OR((($A124-(Simulador!$E$6+'Salto de dientes'!$B$12))/Simulador!$G$6)&lt;=0,(($A124-(Simulador!$E$6+'Salto de dientes'!$B$12))/Simulador!$G$6)&gt;=1),0,IF((($A124-(Simulador!$E$6+'Salto de dientes'!$B$12))/Simulador!$G$6)&lt;Simulador!$B$11,Simulador!$B$9*(1-COS(PI()*(($A124-(Simulador!$E$6+'Salto de dientes'!$B$12))/Simulador!$G$6)/Simulador!$B$11))/2,IF((($A124-(Simulador!$E$6+'Salto de dientes'!$B$12))/Simulador!$G$6)&gt;1-Simulador!$B$11,Simulador!$B$9*(1-COS(PI()*(1-(($A124-(Simulador!$E$6+'Salto de dientes'!$B$12))/Simulador!$G$6))/Simulador!$B$11))/2,Simulador!$B$9)))</f>
        <v/>
      </c>
      <c r="R124" s="48">
        <f>IF(OR((($A124-(Simulador!$E$9+'Salto de dientes'!$B$12))/Simulador!$G$9)&lt;=0,(($A124-(Simulador!$E$9+'Salto de dientes'!$B$12))/Simulador!$G$9)&gt;=1),0,IF((($A124-(Simulador!$E$9+'Salto de dientes'!$B$12))/Simulador!$G$9)&lt;Simulador!$B$11,Simulador!$B$10*(1-COS(PI()*(($A124-(Simulador!$E$9+'Salto de dientes'!$B$12))/Simulador!$G$9)/Simulador!$B$11))/2,IF((($A124-(Simulador!$E$9+'Salto de dientes'!$B$12))/Simulador!$G$9)&gt;1-Simulador!$B$11,Simulador!$B$10*(1-COS(PI()*(1-(($A124-(Simulador!$E$9+'Salto de dientes'!$B$12))/Simulador!$G$9))/Simulador!$B$11))/2,Simulador!$B$10)))</f>
        <v/>
      </c>
    </row>
    <row r="125">
      <c r="A125" s="26">
        <f>A124+Simulador!$B$14</f>
        <v/>
      </c>
      <c r="B125" s="46">
        <f>IF(OR((($A125-Simulador!$E$5)/Simulador!$G$5)&lt;=0,(($A125-Simulador!$E$5)/Simulador!$G$5)&gt;=1),0,IF((($A125-Simulador!$E$5)/Simulador!$G$5)&lt;Simulador!$B$11,Simulador!$B$9*(1-COS(PI()*(($A125-Simulador!$E$5)/Simulador!$G$5)/Simulador!$B$11))/2,IF((($A125-Simulador!$E$5)/Simulador!$G$5)&gt;1-Simulador!$B$11,Simulador!$B$9*(1-COS(PI()*(1-(($A125-Simulador!$E$5)/Simulador!$G$5))/Simulador!$B$11))/2,Simulador!$B$9)))</f>
        <v/>
      </c>
      <c r="C125" s="46">
        <f>IF(OR((($A125-Simulador!$E$6)/Simulador!$G$6)&lt;=0,(($A125-Simulador!$E$6)/Simulador!$G$6)&gt;=1),0,IF((($A125-Simulador!$E$6)/Simulador!$G$6)&lt;Simulador!$B$11,Simulador!$B$9*(1-COS(PI()*(($A125-Simulador!$E$6)/Simulador!$G$6)/Simulador!$B$11))/2,IF((($A125-Simulador!$E$6)/Simulador!$G$6)&gt;1-Simulador!$B$11,Simulador!$B$9*(1-COS(PI()*(1-(($A125-Simulador!$E$6)/Simulador!$G$6))/Simulador!$B$11))/2,Simulador!$B$9)))</f>
        <v/>
      </c>
      <c r="D125" s="46">
        <f>IF(OR((($A125-Simulador!$E$7)/Simulador!$G$7)&lt;=0,(($A125-Simulador!$E$7)/Simulador!$G$7)&gt;=1),0,IF((($A125-Simulador!$E$7)/Simulador!$G$7)&lt;Simulador!$B$11,Simulador!$B$9*(1-COS(PI()*(($A125-Simulador!$E$7)/Simulador!$G$7)/Simulador!$B$11))/2,IF((($A125-Simulador!$E$7)/Simulador!$G$7)&gt;1-Simulador!$B$11,Simulador!$B$9*(1-COS(PI()*(1-(($A125-Simulador!$E$7)/Simulador!$G$7))/Simulador!$B$11))/2,Simulador!$B$9)))</f>
        <v/>
      </c>
      <c r="E125" s="46">
        <f>IF(OR((($A125-Simulador!$E$8)/Simulador!$G$8)&lt;=0,(($A125-Simulador!$E$8)/Simulador!$G$8)&gt;=1),0,IF((($A125-Simulador!$E$8)/Simulador!$G$8)&lt;Simulador!$B$11,Simulador!$B$10*(1-COS(PI()*(($A125-Simulador!$E$8)/Simulador!$G$8)/Simulador!$B$11))/2,IF((($A125-Simulador!$E$8)/Simulador!$G$8)&gt;1-Simulador!$B$11,Simulador!$B$10*(1-COS(PI()*(1-(($A125-Simulador!$E$8)/Simulador!$G$8))/Simulador!$B$11))/2,Simulador!$B$10)))</f>
        <v/>
      </c>
      <c r="F125" s="46">
        <f>IF(OR((($A125-Simulador!$E$9)/Simulador!$G$9)&lt;=0,(($A125-Simulador!$E$9)/Simulador!$G$9)&gt;=1),0,IF((($A125-Simulador!$E$9)/Simulador!$G$9)&lt;Simulador!$B$11,Simulador!$B$10*(1-COS(PI()*(($A125-Simulador!$E$9)/Simulador!$G$9)/Simulador!$B$11))/2,IF((($A125-Simulador!$E$9)/Simulador!$G$9)&gt;1-Simulador!$B$11,Simulador!$B$10*(1-COS(PI()*(1-(($A125-Simulador!$E$9)/Simulador!$G$9))/Simulador!$B$11))/2,Simulador!$B$10)))</f>
        <v/>
      </c>
      <c r="G125" s="46">
        <f>IF(OR((($A125-Simulador!$E$10)/Simulador!$G$10)&lt;=0,(($A125-Simulador!$E$10)/Simulador!$G$10)&gt;=1),0,IF((($A125-Simulador!$E$10)/Simulador!$G$10)&lt;Simulador!$B$11,Simulador!$B$10*(1-COS(PI()*(($A125-Simulador!$E$10)/Simulador!$G$10)/Simulador!$B$11))/2,IF((($A125-Simulador!$E$10)/Simulador!$G$10)&gt;1-Simulador!$B$11,Simulador!$B$10*(1-COS(PI()*(1-(($A125-Simulador!$E$10)/Simulador!$G$10))/Simulador!$B$11))/2,Simulador!$B$10)))</f>
        <v/>
      </c>
      <c r="Q125" s="48">
        <f>IF(OR((($A125-(Simulador!$E$6+'Salto de dientes'!$B$12))/Simulador!$G$6)&lt;=0,(($A125-(Simulador!$E$6+'Salto de dientes'!$B$12))/Simulador!$G$6)&gt;=1),0,IF((($A125-(Simulador!$E$6+'Salto de dientes'!$B$12))/Simulador!$G$6)&lt;Simulador!$B$11,Simulador!$B$9*(1-COS(PI()*(($A125-(Simulador!$E$6+'Salto de dientes'!$B$12))/Simulador!$G$6)/Simulador!$B$11))/2,IF((($A125-(Simulador!$E$6+'Salto de dientes'!$B$12))/Simulador!$G$6)&gt;1-Simulador!$B$11,Simulador!$B$9*(1-COS(PI()*(1-(($A125-(Simulador!$E$6+'Salto de dientes'!$B$12))/Simulador!$G$6))/Simulador!$B$11))/2,Simulador!$B$9)))</f>
        <v/>
      </c>
      <c r="R125" s="48">
        <f>IF(OR((($A125-(Simulador!$E$9+'Salto de dientes'!$B$12))/Simulador!$G$9)&lt;=0,(($A125-(Simulador!$E$9+'Salto de dientes'!$B$12))/Simulador!$G$9)&gt;=1),0,IF((($A125-(Simulador!$E$9+'Salto de dientes'!$B$12))/Simulador!$G$9)&lt;Simulador!$B$11,Simulador!$B$10*(1-COS(PI()*(($A125-(Simulador!$E$9+'Salto de dientes'!$B$12))/Simulador!$G$9)/Simulador!$B$11))/2,IF((($A125-(Simulador!$E$9+'Salto de dientes'!$B$12))/Simulador!$G$9)&gt;1-Simulador!$B$11,Simulador!$B$10*(1-COS(PI()*(1-(($A125-(Simulador!$E$9+'Salto de dientes'!$B$12))/Simulador!$G$9))/Simulador!$B$11))/2,Simulador!$B$10)))</f>
        <v/>
      </c>
    </row>
    <row r="126">
      <c r="A126" s="26">
        <f>A125+Simulador!$B$14</f>
        <v/>
      </c>
      <c r="B126" s="46">
        <f>IF(OR((($A126-Simulador!$E$5)/Simulador!$G$5)&lt;=0,(($A126-Simulador!$E$5)/Simulador!$G$5)&gt;=1),0,IF((($A126-Simulador!$E$5)/Simulador!$G$5)&lt;Simulador!$B$11,Simulador!$B$9*(1-COS(PI()*(($A126-Simulador!$E$5)/Simulador!$G$5)/Simulador!$B$11))/2,IF((($A126-Simulador!$E$5)/Simulador!$G$5)&gt;1-Simulador!$B$11,Simulador!$B$9*(1-COS(PI()*(1-(($A126-Simulador!$E$5)/Simulador!$G$5))/Simulador!$B$11))/2,Simulador!$B$9)))</f>
        <v/>
      </c>
      <c r="C126" s="46">
        <f>IF(OR((($A126-Simulador!$E$6)/Simulador!$G$6)&lt;=0,(($A126-Simulador!$E$6)/Simulador!$G$6)&gt;=1),0,IF((($A126-Simulador!$E$6)/Simulador!$G$6)&lt;Simulador!$B$11,Simulador!$B$9*(1-COS(PI()*(($A126-Simulador!$E$6)/Simulador!$G$6)/Simulador!$B$11))/2,IF((($A126-Simulador!$E$6)/Simulador!$G$6)&gt;1-Simulador!$B$11,Simulador!$B$9*(1-COS(PI()*(1-(($A126-Simulador!$E$6)/Simulador!$G$6))/Simulador!$B$11))/2,Simulador!$B$9)))</f>
        <v/>
      </c>
      <c r="D126" s="46">
        <f>IF(OR((($A126-Simulador!$E$7)/Simulador!$G$7)&lt;=0,(($A126-Simulador!$E$7)/Simulador!$G$7)&gt;=1),0,IF((($A126-Simulador!$E$7)/Simulador!$G$7)&lt;Simulador!$B$11,Simulador!$B$9*(1-COS(PI()*(($A126-Simulador!$E$7)/Simulador!$G$7)/Simulador!$B$11))/2,IF((($A126-Simulador!$E$7)/Simulador!$G$7)&gt;1-Simulador!$B$11,Simulador!$B$9*(1-COS(PI()*(1-(($A126-Simulador!$E$7)/Simulador!$G$7))/Simulador!$B$11))/2,Simulador!$B$9)))</f>
        <v/>
      </c>
      <c r="E126" s="46">
        <f>IF(OR((($A126-Simulador!$E$8)/Simulador!$G$8)&lt;=0,(($A126-Simulador!$E$8)/Simulador!$G$8)&gt;=1),0,IF((($A126-Simulador!$E$8)/Simulador!$G$8)&lt;Simulador!$B$11,Simulador!$B$10*(1-COS(PI()*(($A126-Simulador!$E$8)/Simulador!$G$8)/Simulador!$B$11))/2,IF((($A126-Simulador!$E$8)/Simulador!$G$8)&gt;1-Simulador!$B$11,Simulador!$B$10*(1-COS(PI()*(1-(($A126-Simulador!$E$8)/Simulador!$G$8))/Simulador!$B$11))/2,Simulador!$B$10)))</f>
        <v/>
      </c>
      <c r="F126" s="46">
        <f>IF(OR((($A126-Simulador!$E$9)/Simulador!$G$9)&lt;=0,(($A126-Simulador!$E$9)/Simulador!$G$9)&gt;=1),0,IF((($A126-Simulador!$E$9)/Simulador!$G$9)&lt;Simulador!$B$11,Simulador!$B$10*(1-COS(PI()*(($A126-Simulador!$E$9)/Simulador!$G$9)/Simulador!$B$11))/2,IF((($A126-Simulador!$E$9)/Simulador!$G$9)&gt;1-Simulador!$B$11,Simulador!$B$10*(1-COS(PI()*(1-(($A126-Simulador!$E$9)/Simulador!$G$9))/Simulador!$B$11))/2,Simulador!$B$10)))</f>
        <v/>
      </c>
      <c r="G126" s="46">
        <f>IF(OR((($A126-Simulador!$E$10)/Simulador!$G$10)&lt;=0,(($A126-Simulador!$E$10)/Simulador!$G$10)&gt;=1),0,IF((($A126-Simulador!$E$10)/Simulador!$G$10)&lt;Simulador!$B$11,Simulador!$B$10*(1-COS(PI()*(($A126-Simulador!$E$10)/Simulador!$G$10)/Simulador!$B$11))/2,IF((($A126-Simulador!$E$10)/Simulador!$G$10)&gt;1-Simulador!$B$11,Simulador!$B$10*(1-COS(PI()*(1-(($A126-Simulador!$E$10)/Simulador!$G$10))/Simulador!$B$11))/2,Simulador!$B$10)))</f>
        <v/>
      </c>
      <c r="Q126" s="48">
        <f>IF(OR((($A126-(Simulador!$E$6+'Salto de dientes'!$B$12))/Simulador!$G$6)&lt;=0,(($A126-(Simulador!$E$6+'Salto de dientes'!$B$12))/Simulador!$G$6)&gt;=1),0,IF((($A126-(Simulador!$E$6+'Salto de dientes'!$B$12))/Simulador!$G$6)&lt;Simulador!$B$11,Simulador!$B$9*(1-COS(PI()*(($A126-(Simulador!$E$6+'Salto de dientes'!$B$12))/Simulador!$G$6)/Simulador!$B$11))/2,IF((($A126-(Simulador!$E$6+'Salto de dientes'!$B$12))/Simulador!$G$6)&gt;1-Simulador!$B$11,Simulador!$B$9*(1-COS(PI()*(1-(($A126-(Simulador!$E$6+'Salto de dientes'!$B$12))/Simulador!$G$6))/Simulador!$B$11))/2,Simulador!$B$9)))</f>
        <v/>
      </c>
      <c r="R126" s="48">
        <f>IF(OR((($A126-(Simulador!$E$9+'Salto de dientes'!$B$12))/Simulador!$G$9)&lt;=0,(($A126-(Simulador!$E$9+'Salto de dientes'!$B$12))/Simulador!$G$9)&gt;=1),0,IF((($A126-(Simulador!$E$9+'Salto de dientes'!$B$12))/Simulador!$G$9)&lt;Simulador!$B$11,Simulador!$B$10*(1-COS(PI()*(($A126-(Simulador!$E$9+'Salto de dientes'!$B$12))/Simulador!$G$9)/Simulador!$B$11))/2,IF((($A126-(Simulador!$E$9+'Salto de dientes'!$B$12))/Simulador!$G$9)&gt;1-Simulador!$B$11,Simulador!$B$10*(1-COS(PI()*(1-(($A126-(Simulador!$E$9+'Salto de dientes'!$B$12))/Simulador!$G$9))/Simulador!$B$11))/2,Simulador!$B$10)))</f>
        <v/>
      </c>
    </row>
    <row r="127">
      <c r="A127" s="26">
        <f>A126+Simulador!$B$14</f>
        <v/>
      </c>
      <c r="B127" s="46">
        <f>IF(OR((($A127-Simulador!$E$5)/Simulador!$G$5)&lt;=0,(($A127-Simulador!$E$5)/Simulador!$G$5)&gt;=1),0,IF((($A127-Simulador!$E$5)/Simulador!$G$5)&lt;Simulador!$B$11,Simulador!$B$9*(1-COS(PI()*(($A127-Simulador!$E$5)/Simulador!$G$5)/Simulador!$B$11))/2,IF((($A127-Simulador!$E$5)/Simulador!$G$5)&gt;1-Simulador!$B$11,Simulador!$B$9*(1-COS(PI()*(1-(($A127-Simulador!$E$5)/Simulador!$G$5))/Simulador!$B$11))/2,Simulador!$B$9)))</f>
        <v/>
      </c>
      <c r="C127" s="46">
        <f>IF(OR((($A127-Simulador!$E$6)/Simulador!$G$6)&lt;=0,(($A127-Simulador!$E$6)/Simulador!$G$6)&gt;=1),0,IF((($A127-Simulador!$E$6)/Simulador!$G$6)&lt;Simulador!$B$11,Simulador!$B$9*(1-COS(PI()*(($A127-Simulador!$E$6)/Simulador!$G$6)/Simulador!$B$11))/2,IF((($A127-Simulador!$E$6)/Simulador!$G$6)&gt;1-Simulador!$B$11,Simulador!$B$9*(1-COS(PI()*(1-(($A127-Simulador!$E$6)/Simulador!$G$6))/Simulador!$B$11))/2,Simulador!$B$9)))</f>
        <v/>
      </c>
      <c r="D127" s="46">
        <f>IF(OR((($A127-Simulador!$E$7)/Simulador!$G$7)&lt;=0,(($A127-Simulador!$E$7)/Simulador!$G$7)&gt;=1),0,IF((($A127-Simulador!$E$7)/Simulador!$G$7)&lt;Simulador!$B$11,Simulador!$B$9*(1-COS(PI()*(($A127-Simulador!$E$7)/Simulador!$G$7)/Simulador!$B$11))/2,IF((($A127-Simulador!$E$7)/Simulador!$G$7)&gt;1-Simulador!$B$11,Simulador!$B$9*(1-COS(PI()*(1-(($A127-Simulador!$E$7)/Simulador!$G$7))/Simulador!$B$11))/2,Simulador!$B$9)))</f>
        <v/>
      </c>
      <c r="E127" s="46">
        <f>IF(OR((($A127-Simulador!$E$8)/Simulador!$G$8)&lt;=0,(($A127-Simulador!$E$8)/Simulador!$G$8)&gt;=1),0,IF((($A127-Simulador!$E$8)/Simulador!$G$8)&lt;Simulador!$B$11,Simulador!$B$10*(1-COS(PI()*(($A127-Simulador!$E$8)/Simulador!$G$8)/Simulador!$B$11))/2,IF((($A127-Simulador!$E$8)/Simulador!$G$8)&gt;1-Simulador!$B$11,Simulador!$B$10*(1-COS(PI()*(1-(($A127-Simulador!$E$8)/Simulador!$G$8))/Simulador!$B$11))/2,Simulador!$B$10)))</f>
        <v/>
      </c>
      <c r="F127" s="46">
        <f>IF(OR((($A127-Simulador!$E$9)/Simulador!$G$9)&lt;=0,(($A127-Simulador!$E$9)/Simulador!$G$9)&gt;=1),0,IF((($A127-Simulador!$E$9)/Simulador!$G$9)&lt;Simulador!$B$11,Simulador!$B$10*(1-COS(PI()*(($A127-Simulador!$E$9)/Simulador!$G$9)/Simulador!$B$11))/2,IF((($A127-Simulador!$E$9)/Simulador!$G$9)&gt;1-Simulador!$B$11,Simulador!$B$10*(1-COS(PI()*(1-(($A127-Simulador!$E$9)/Simulador!$G$9))/Simulador!$B$11))/2,Simulador!$B$10)))</f>
        <v/>
      </c>
      <c r="G127" s="46">
        <f>IF(OR((($A127-Simulador!$E$10)/Simulador!$G$10)&lt;=0,(($A127-Simulador!$E$10)/Simulador!$G$10)&gt;=1),0,IF((($A127-Simulador!$E$10)/Simulador!$G$10)&lt;Simulador!$B$11,Simulador!$B$10*(1-COS(PI()*(($A127-Simulador!$E$10)/Simulador!$G$10)/Simulador!$B$11))/2,IF((($A127-Simulador!$E$10)/Simulador!$G$10)&gt;1-Simulador!$B$11,Simulador!$B$10*(1-COS(PI()*(1-(($A127-Simulador!$E$10)/Simulador!$G$10))/Simulador!$B$11))/2,Simulador!$B$10)))</f>
        <v/>
      </c>
      <c r="Q127" s="48">
        <f>IF(OR((($A127-(Simulador!$E$6+'Salto de dientes'!$B$12))/Simulador!$G$6)&lt;=0,(($A127-(Simulador!$E$6+'Salto de dientes'!$B$12))/Simulador!$G$6)&gt;=1),0,IF((($A127-(Simulador!$E$6+'Salto de dientes'!$B$12))/Simulador!$G$6)&lt;Simulador!$B$11,Simulador!$B$9*(1-COS(PI()*(($A127-(Simulador!$E$6+'Salto de dientes'!$B$12))/Simulador!$G$6)/Simulador!$B$11))/2,IF((($A127-(Simulador!$E$6+'Salto de dientes'!$B$12))/Simulador!$G$6)&gt;1-Simulador!$B$11,Simulador!$B$9*(1-COS(PI()*(1-(($A127-(Simulador!$E$6+'Salto de dientes'!$B$12))/Simulador!$G$6))/Simulador!$B$11))/2,Simulador!$B$9)))</f>
        <v/>
      </c>
      <c r="R127" s="48">
        <f>IF(OR((($A127-(Simulador!$E$9+'Salto de dientes'!$B$12))/Simulador!$G$9)&lt;=0,(($A127-(Simulador!$E$9+'Salto de dientes'!$B$12))/Simulador!$G$9)&gt;=1),0,IF((($A127-(Simulador!$E$9+'Salto de dientes'!$B$12))/Simulador!$G$9)&lt;Simulador!$B$11,Simulador!$B$10*(1-COS(PI()*(($A127-(Simulador!$E$9+'Salto de dientes'!$B$12))/Simulador!$G$9)/Simulador!$B$11))/2,IF((($A127-(Simulador!$E$9+'Salto de dientes'!$B$12))/Simulador!$G$9)&gt;1-Simulador!$B$11,Simulador!$B$10*(1-COS(PI()*(1-(($A127-(Simulador!$E$9+'Salto de dientes'!$B$12))/Simulador!$G$9))/Simulador!$B$11))/2,Simulador!$B$10)))</f>
        <v/>
      </c>
    </row>
    <row r="128">
      <c r="A128" s="26">
        <f>A127+Simulador!$B$14</f>
        <v/>
      </c>
      <c r="B128" s="46">
        <f>IF(OR((($A128-Simulador!$E$5)/Simulador!$G$5)&lt;=0,(($A128-Simulador!$E$5)/Simulador!$G$5)&gt;=1),0,IF((($A128-Simulador!$E$5)/Simulador!$G$5)&lt;Simulador!$B$11,Simulador!$B$9*(1-COS(PI()*(($A128-Simulador!$E$5)/Simulador!$G$5)/Simulador!$B$11))/2,IF((($A128-Simulador!$E$5)/Simulador!$G$5)&gt;1-Simulador!$B$11,Simulador!$B$9*(1-COS(PI()*(1-(($A128-Simulador!$E$5)/Simulador!$G$5))/Simulador!$B$11))/2,Simulador!$B$9)))</f>
        <v/>
      </c>
      <c r="C128" s="46">
        <f>IF(OR((($A128-Simulador!$E$6)/Simulador!$G$6)&lt;=0,(($A128-Simulador!$E$6)/Simulador!$G$6)&gt;=1),0,IF((($A128-Simulador!$E$6)/Simulador!$G$6)&lt;Simulador!$B$11,Simulador!$B$9*(1-COS(PI()*(($A128-Simulador!$E$6)/Simulador!$G$6)/Simulador!$B$11))/2,IF((($A128-Simulador!$E$6)/Simulador!$G$6)&gt;1-Simulador!$B$11,Simulador!$B$9*(1-COS(PI()*(1-(($A128-Simulador!$E$6)/Simulador!$G$6))/Simulador!$B$11))/2,Simulador!$B$9)))</f>
        <v/>
      </c>
      <c r="D128" s="46">
        <f>IF(OR((($A128-Simulador!$E$7)/Simulador!$G$7)&lt;=0,(($A128-Simulador!$E$7)/Simulador!$G$7)&gt;=1),0,IF((($A128-Simulador!$E$7)/Simulador!$G$7)&lt;Simulador!$B$11,Simulador!$B$9*(1-COS(PI()*(($A128-Simulador!$E$7)/Simulador!$G$7)/Simulador!$B$11))/2,IF((($A128-Simulador!$E$7)/Simulador!$G$7)&gt;1-Simulador!$B$11,Simulador!$B$9*(1-COS(PI()*(1-(($A128-Simulador!$E$7)/Simulador!$G$7))/Simulador!$B$11))/2,Simulador!$B$9)))</f>
        <v/>
      </c>
      <c r="E128" s="46">
        <f>IF(OR((($A128-Simulador!$E$8)/Simulador!$G$8)&lt;=0,(($A128-Simulador!$E$8)/Simulador!$G$8)&gt;=1),0,IF((($A128-Simulador!$E$8)/Simulador!$G$8)&lt;Simulador!$B$11,Simulador!$B$10*(1-COS(PI()*(($A128-Simulador!$E$8)/Simulador!$G$8)/Simulador!$B$11))/2,IF((($A128-Simulador!$E$8)/Simulador!$G$8)&gt;1-Simulador!$B$11,Simulador!$B$10*(1-COS(PI()*(1-(($A128-Simulador!$E$8)/Simulador!$G$8))/Simulador!$B$11))/2,Simulador!$B$10)))</f>
        <v/>
      </c>
      <c r="F128" s="46">
        <f>IF(OR((($A128-Simulador!$E$9)/Simulador!$G$9)&lt;=0,(($A128-Simulador!$E$9)/Simulador!$G$9)&gt;=1),0,IF((($A128-Simulador!$E$9)/Simulador!$G$9)&lt;Simulador!$B$11,Simulador!$B$10*(1-COS(PI()*(($A128-Simulador!$E$9)/Simulador!$G$9)/Simulador!$B$11))/2,IF((($A128-Simulador!$E$9)/Simulador!$G$9)&gt;1-Simulador!$B$11,Simulador!$B$10*(1-COS(PI()*(1-(($A128-Simulador!$E$9)/Simulador!$G$9))/Simulador!$B$11))/2,Simulador!$B$10)))</f>
        <v/>
      </c>
      <c r="G128" s="46">
        <f>IF(OR((($A128-Simulador!$E$10)/Simulador!$G$10)&lt;=0,(($A128-Simulador!$E$10)/Simulador!$G$10)&gt;=1),0,IF((($A128-Simulador!$E$10)/Simulador!$G$10)&lt;Simulador!$B$11,Simulador!$B$10*(1-COS(PI()*(($A128-Simulador!$E$10)/Simulador!$G$10)/Simulador!$B$11))/2,IF((($A128-Simulador!$E$10)/Simulador!$G$10)&gt;1-Simulador!$B$11,Simulador!$B$10*(1-COS(PI()*(1-(($A128-Simulador!$E$10)/Simulador!$G$10))/Simulador!$B$11))/2,Simulador!$B$10)))</f>
        <v/>
      </c>
      <c r="Q128" s="48">
        <f>IF(OR((($A128-(Simulador!$E$6+'Salto de dientes'!$B$12))/Simulador!$G$6)&lt;=0,(($A128-(Simulador!$E$6+'Salto de dientes'!$B$12))/Simulador!$G$6)&gt;=1),0,IF((($A128-(Simulador!$E$6+'Salto de dientes'!$B$12))/Simulador!$G$6)&lt;Simulador!$B$11,Simulador!$B$9*(1-COS(PI()*(($A128-(Simulador!$E$6+'Salto de dientes'!$B$12))/Simulador!$G$6)/Simulador!$B$11))/2,IF((($A128-(Simulador!$E$6+'Salto de dientes'!$B$12))/Simulador!$G$6)&gt;1-Simulador!$B$11,Simulador!$B$9*(1-COS(PI()*(1-(($A128-(Simulador!$E$6+'Salto de dientes'!$B$12))/Simulador!$G$6))/Simulador!$B$11))/2,Simulador!$B$9)))</f>
        <v/>
      </c>
      <c r="R128" s="48">
        <f>IF(OR((($A128-(Simulador!$E$9+'Salto de dientes'!$B$12))/Simulador!$G$9)&lt;=0,(($A128-(Simulador!$E$9+'Salto de dientes'!$B$12))/Simulador!$G$9)&gt;=1),0,IF((($A128-(Simulador!$E$9+'Salto de dientes'!$B$12))/Simulador!$G$9)&lt;Simulador!$B$11,Simulador!$B$10*(1-COS(PI()*(($A128-(Simulador!$E$9+'Salto de dientes'!$B$12))/Simulador!$G$9)/Simulador!$B$11))/2,IF((($A128-(Simulador!$E$9+'Salto de dientes'!$B$12))/Simulador!$G$9)&gt;1-Simulador!$B$11,Simulador!$B$10*(1-COS(PI()*(1-(($A128-(Simulador!$E$9+'Salto de dientes'!$B$12))/Simulador!$G$9))/Simulador!$B$11))/2,Simulador!$B$10)))</f>
        <v/>
      </c>
    </row>
    <row r="129">
      <c r="A129" s="26">
        <f>A128+Simulador!$B$14</f>
        <v/>
      </c>
      <c r="B129" s="46">
        <f>IF(OR((($A129-Simulador!$E$5)/Simulador!$G$5)&lt;=0,(($A129-Simulador!$E$5)/Simulador!$G$5)&gt;=1),0,IF((($A129-Simulador!$E$5)/Simulador!$G$5)&lt;Simulador!$B$11,Simulador!$B$9*(1-COS(PI()*(($A129-Simulador!$E$5)/Simulador!$G$5)/Simulador!$B$11))/2,IF((($A129-Simulador!$E$5)/Simulador!$G$5)&gt;1-Simulador!$B$11,Simulador!$B$9*(1-COS(PI()*(1-(($A129-Simulador!$E$5)/Simulador!$G$5))/Simulador!$B$11))/2,Simulador!$B$9)))</f>
        <v/>
      </c>
      <c r="C129" s="46">
        <f>IF(OR((($A129-Simulador!$E$6)/Simulador!$G$6)&lt;=0,(($A129-Simulador!$E$6)/Simulador!$G$6)&gt;=1),0,IF((($A129-Simulador!$E$6)/Simulador!$G$6)&lt;Simulador!$B$11,Simulador!$B$9*(1-COS(PI()*(($A129-Simulador!$E$6)/Simulador!$G$6)/Simulador!$B$11))/2,IF((($A129-Simulador!$E$6)/Simulador!$G$6)&gt;1-Simulador!$B$11,Simulador!$B$9*(1-COS(PI()*(1-(($A129-Simulador!$E$6)/Simulador!$G$6))/Simulador!$B$11))/2,Simulador!$B$9)))</f>
        <v/>
      </c>
      <c r="D129" s="46">
        <f>IF(OR((($A129-Simulador!$E$7)/Simulador!$G$7)&lt;=0,(($A129-Simulador!$E$7)/Simulador!$G$7)&gt;=1),0,IF((($A129-Simulador!$E$7)/Simulador!$G$7)&lt;Simulador!$B$11,Simulador!$B$9*(1-COS(PI()*(($A129-Simulador!$E$7)/Simulador!$G$7)/Simulador!$B$11))/2,IF((($A129-Simulador!$E$7)/Simulador!$G$7)&gt;1-Simulador!$B$11,Simulador!$B$9*(1-COS(PI()*(1-(($A129-Simulador!$E$7)/Simulador!$G$7))/Simulador!$B$11))/2,Simulador!$B$9)))</f>
        <v/>
      </c>
      <c r="E129" s="46">
        <f>IF(OR((($A129-Simulador!$E$8)/Simulador!$G$8)&lt;=0,(($A129-Simulador!$E$8)/Simulador!$G$8)&gt;=1),0,IF((($A129-Simulador!$E$8)/Simulador!$G$8)&lt;Simulador!$B$11,Simulador!$B$10*(1-COS(PI()*(($A129-Simulador!$E$8)/Simulador!$G$8)/Simulador!$B$11))/2,IF((($A129-Simulador!$E$8)/Simulador!$G$8)&gt;1-Simulador!$B$11,Simulador!$B$10*(1-COS(PI()*(1-(($A129-Simulador!$E$8)/Simulador!$G$8))/Simulador!$B$11))/2,Simulador!$B$10)))</f>
        <v/>
      </c>
      <c r="F129" s="46">
        <f>IF(OR((($A129-Simulador!$E$9)/Simulador!$G$9)&lt;=0,(($A129-Simulador!$E$9)/Simulador!$G$9)&gt;=1),0,IF((($A129-Simulador!$E$9)/Simulador!$G$9)&lt;Simulador!$B$11,Simulador!$B$10*(1-COS(PI()*(($A129-Simulador!$E$9)/Simulador!$G$9)/Simulador!$B$11))/2,IF((($A129-Simulador!$E$9)/Simulador!$G$9)&gt;1-Simulador!$B$11,Simulador!$B$10*(1-COS(PI()*(1-(($A129-Simulador!$E$9)/Simulador!$G$9))/Simulador!$B$11))/2,Simulador!$B$10)))</f>
        <v/>
      </c>
      <c r="G129" s="46">
        <f>IF(OR((($A129-Simulador!$E$10)/Simulador!$G$10)&lt;=0,(($A129-Simulador!$E$10)/Simulador!$G$10)&gt;=1),0,IF((($A129-Simulador!$E$10)/Simulador!$G$10)&lt;Simulador!$B$11,Simulador!$B$10*(1-COS(PI()*(($A129-Simulador!$E$10)/Simulador!$G$10)/Simulador!$B$11))/2,IF((($A129-Simulador!$E$10)/Simulador!$G$10)&gt;1-Simulador!$B$11,Simulador!$B$10*(1-COS(PI()*(1-(($A129-Simulador!$E$10)/Simulador!$G$10))/Simulador!$B$11))/2,Simulador!$B$10)))</f>
        <v/>
      </c>
      <c r="Q129" s="48">
        <f>IF(OR((($A129-(Simulador!$E$6+'Salto de dientes'!$B$12))/Simulador!$G$6)&lt;=0,(($A129-(Simulador!$E$6+'Salto de dientes'!$B$12))/Simulador!$G$6)&gt;=1),0,IF((($A129-(Simulador!$E$6+'Salto de dientes'!$B$12))/Simulador!$G$6)&lt;Simulador!$B$11,Simulador!$B$9*(1-COS(PI()*(($A129-(Simulador!$E$6+'Salto de dientes'!$B$12))/Simulador!$G$6)/Simulador!$B$11))/2,IF((($A129-(Simulador!$E$6+'Salto de dientes'!$B$12))/Simulador!$G$6)&gt;1-Simulador!$B$11,Simulador!$B$9*(1-COS(PI()*(1-(($A129-(Simulador!$E$6+'Salto de dientes'!$B$12))/Simulador!$G$6))/Simulador!$B$11))/2,Simulador!$B$9)))</f>
        <v/>
      </c>
      <c r="R129" s="48">
        <f>IF(OR((($A129-(Simulador!$E$9+'Salto de dientes'!$B$12))/Simulador!$G$9)&lt;=0,(($A129-(Simulador!$E$9+'Salto de dientes'!$B$12))/Simulador!$G$9)&gt;=1),0,IF((($A129-(Simulador!$E$9+'Salto de dientes'!$B$12))/Simulador!$G$9)&lt;Simulador!$B$11,Simulador!$B$10*(1-COS(PI()*(($A129-(Simulador!$E$9+'Salto de dientes'!$B$12))/Simulador!$G$9)/Simulador!$B$11))/2,IF((($A129-(Simulador!$E$9+'Salto de dientes'!$B$12))/Simulador!$G$9)&gt;1-Simulador!$B$11,Simulador!$B$10*(1-COS(PI()*(1-(($A129-(Simulador!$E$9+'Salto de dientes'!$B$12))/Simulador!$G$9))/Simulador!$B$11))/2,Simulador!$B$10)))</f>
        <v/>
      </c>
    </row>
    <row r="130">
      <c r="A130" s="26">
        <f>A129+Simulador!$B$14</f>
        <v/>
      </c>
      <c r="B130" s="46">
        <f>IF(OR((($A130-Simulador!$E$5)/Simulador!$G$5)&lt;=0,(($A130-Simulador!$E$5)/Simulador!$G$5)&gt;=1),0,IF((($A130-Simulador!$E$5)/Simulador!$G$5)&lt;Simulador!$B$11,Simulador!$B$9*(1-COS(PI()*(($A130-Simulador!$E$5)/Simulador!$G$5)/Simulador!$B$11))/2,IF((($A130-Simulador!$E$5)/Simulador!$G$5)&gt;1-Simulador!$B$11,Simulador!$B$9*(1-COS(PI()*(1-(($A130-Simulador!$E$5)/Simulador!$G$5))/Simulador!$B$11))/2,Simulador!$B$9)))</f>
        <v/>
      </c>
      <c r="C130" s="46">
        <f>IF(OR((($A130-Simulador!$E$6)/Simulador!$G$6)&lt;=0,(($A130-Simulador!$E$6)/Simulador!$G$6)&gt;=1),0,IF((($A130-Simulador!$E$6)/Simulador!$G$6)&lt;Simulador!$B$11,Simulador!$B$9*(1-COS(PI()*(($A130-Simulador!$E$6)/Simulador!$G$6)/Simulador!$B$11))/2,IF((($A130-Simulador!$E$6)/Simulador!$G$6)&gt;1-Simulador!$B$11,Simulador!$B$9*(1-COS(PI()*(1-(($A130-Simulador!$E$6)/Simulador!$G$6))/Simulador!$B$11))/2,Simulador!$B$9)))</f>
        <v/>
      </c>
      <c r="D130" s="46">
        <f>IF(OR((($A130-Simulador!$E$7)/Simulador!$G$7)&lt;=0,(($A130-Simulador!$E$7)/Simulador!$G$7)&gt;=1),0,IF((($A130-Simulador!$E$7)/Simulador!$G$7)&lt;Simulador!$B$11,Simulador!$B$9*(1-COS(PI()*(($A130-Simulador!$E$7)/Simulador!$G$7)/Simulador!$B$11))/2,IF((($A130-Simulador!$E$7)/Simulador!$G$7)&gt;1-Simulador!$B$11,Simulador!$B$9*(1-COS(PI()*(1-(($A130-Simulador!$E$7)/Simulador!$G$7))/Simulador!$B$11))/2,Simulador!$B$9)))</f>
        <v/>
      </c>
      <c r="E130" s="46">
        <f>IF(OR((($A130-Simulador!$E$8)/Simulador!$G$8)&lt;=0,(($A130-Simulador!$E$8)/Simulador!$G$8)&gt;=1),0,IF((($A130-Simulador!$E$8)/Simulador!$G$8)&lt;Simulador!$B$11,Simulador!$B$10*(1-COS(PI()*(($A130-Simulador!$E$8)/Simulador!$G$8)/Simulador!$B$11))/2,IF((($A130-Simulador!$E$8)/Simulador!$G$8)&gt;1-Simulador!$B$11,Simulador!$B$10*(1-COS(PI()*(1-(($A130-Simulador!$E$8)/Simulador!$G$8))/Simulador!$B$11))/2,Simulador!$B$10)))</f>
        <v/>
      </c>
      <c r="F130" s="46">
        <f>IF(OR((($A130-Simulador!$E$9)/Simulador!$G$9)&lt;=0,(($A130-Simulador!$E$9)/Simulador!$G$9)&gt;=1),0,IF((($A130-Simulador!$E$9)/Simulador!$G$9)&lt;Simulador!$B$11,Simulador!$B$10*(1-COS(PI()*(($A130-Simulador!$E$9)/Simulador!$G$9)/Simulador!$B$11))/2,IF((($A130-Simulador!$E$9)/Simulador!$G$9)&gt;1-Simulador!$B$11,Simulador!$B$10*(1-COS(PI()*(1-(($A130-Simulador!$E$9)/Simulador!$G$9))/Simulador!$B$11))/2,Simulador!$B$10)))</f>
        <v/>
      </c>
      <c r="G130" s="46">
        <f>IF(OR((($A130-Simulador!$E$10)/Simulador!$G$10)&lt;=0,(($A130-Simulador!$E$10)/Simulador!$G$10)&gt;=1),0,IF((($A130-Simulador!$E$10)/Simulador!$G$10)&lt;Simulador!$B$11,Simulador!$B$10*(1-COS(PI()*(($A130-Simulador!$E$10)/Simulador!$G$10)/Simulador!$B$11))/2,IF((($A130-Simulador!$E$10)/Simulador!$G$10)&gt;1-Simulador!$B$11,Simulador!$B$10*(1-COS(PI()*(1-(($A130-Simulador!$E$10)/Simulador!$G$10))/Simulador!$B$11))/2,Simulador!$B$10)))</f>
        <v/>
      </c>
      <c r="Q130" s="48">
        <f>IF(OR((($A130-(Simulador!$E$6+'Salto de dientes'!$B$12))/Simulador!$G$6)&lt;=0,(($A130-(Simulador!$E$6+'Salto de dientes'!$B$12))/Simulador!$G$6)&gt;=1),0,IF((($A130-(Simulador!$E$6+'Salto de dientes'!$B$12))/Simulador!$G$6)&lt;Simulador!$B$11,Simulador!$B$9*(1-COS(PI()*(($A130-(Simulador!$E$6+'Salto de dientes'!$B$12))/Simulador!$G$6)/Simulador!$B$11))/2,IF((($A130-(Simulador!$E$6+'Salto de dientes'!$B$12))/Simulador!$G$6)&gt;1-Simulador!$B$11,Simulador!$B$9*(1-COS(PI()*(1-(($A130-(Simulador!$E$6+'Salto de dientes'!$B$12))/Simulador!$G$6))/Simulador!$B$11))/2,Simulador!$B$9)))</f>
        <v/>
      </c>
      <c r="R130" s="48">
        <f>IF(OR((($A130-(Simulador!$E$9+'Salto de dientes'!$B$12))/Simulador!$G$9)&lt;=0,(($A130-(Simulador!$E$9+'Salto de dientes'!$B$12))/Simulador!$G$9)&gt;=1),0,IF((($A130-(Simulador!$E$9+'Salto de dientes'!$B$12))/Simulador!$G$9)&lt;Simulador!$B$11,Simulador!$B$10*(1-COS(PI()*(($A130-(Simulador!$E$9+'Salto de dientes'!$B$12))/Simulador!$G$9)/Simulador!$B$11))/2,IF((($A130-(Simulador!$E$9+'Salto de dientes'!$B$12))/Simulador!$G$9)&gt;1-Simulador!$B$11,Simulador!$B$10*(1-COS(PI()*(1-(($A130-(Simulador!$E$9+'Salto de dientes'!$B$12))/Simulador!$G$9))/Simulador!$B$11))/2,Simulador!$B$10)))</f>
        <v/>
      </c>
    </row>
    <row r="131">
      <c r="A131" s="26">
        <f>A130+Simulador!$B$14</f>
        <v/>
      </c>
      <c r="B131" s="46">
        <f>IF(OR((($A131-Simulador!$E$5)/Simulador!$G$5)&lt;=0,(($A131-Simulador!$E$5)/Simulador!$G$5)&gt;=1),0,IF((($A131-Simulador!$E$5)/Simulador!$G$5)&lt;Simulador!$B$11,Simulador!$B$9*(1-COS(PI()*(($A131-Simulador!$E$5)/Simulador!$G$5)/Simulador!$B$11))/2,IF((($A131-Simulador!$E$5)/Simulador!$G$5)&gt;1-Simulador!$B$11,Simulador!$B$9*(1-COS(PI()*(1-(($A131-Simulador!$E$5)/Simulador!$G$5))/Simulador!$B$11))/2,Simulador!$B$9)))</f>
        <v/>
      </c>
      <c r="C131" s="46">
        <f>IF(OR((($A131-Simulador!$E$6)/Simulador!$G$6)&lt;=0,(($A131-Simulador!$E$6)/Simulador!$G$6)&gt;=1),0,IF((($A131-Simulador!$E$6)/Simulador!$G$6)&lt;Simulador!$B$11,Simulador!$B$9*(1-COS(PI()*(($A131-Simulador!$E$6)/Simulador!$G$6)/Simulador!$B$11))/2,IF((($A131-Simulador!$E$6)/Simulador!$G$6)&gt;1-Simulador!$B$11,Simulador!$B$9*(1-COS(PI()*(1-(($A131-Simulador!$E$6)/Simulador!$G$6))/Simulador!$B$11))/2,Simulador!$B$9)))</f>
        <v/>
      </c>
      <c r="D131" s="46">
        <f>IF(OR((($A131-Simulador!$E$7)/Simulador!$G$7)&lt;=0,(($A131-Simulador!$E$7)/Simulador!$G$7)&gt;=1),0,IF((($A131-Simulador!$E$7)/Simulador!$G$7)&lt;Simulador!$B$11,Simulador!$B$9*(1-COS(PI()*(($A131-Simulador!$E$7)/Simulador!$G$7)/Simulador!$B$11))/2,IF((($A131-Simulador!$E$7)/Simulador!$G$7)&gt;1-Simulador!$B$11,Simulador!$B$9*(1-COS(PI()*(1-(($A131-Simulador!$E$7)/Simulador!$G$7))/Simulador!$B$11))/2,Simulador!$B$9)))</f>
        <v/>
      </c>
      <c r="E131" s="46">
        <f>IF(OR((($A131-Simulador!$E$8)/Simulador!$G$8)&lt;=0,(($A131-Simulador!$E$8)/Simulador!$G$8)&gt;=1),0,IF((($A131-Simulador!$E$8)/Simulador!$G$8)&lt;Simulador!$B$11,Simulador!$B$10*(1-COS(PI()*(($A131-Simulador!$E$8)/Simulador!$G$8)/Simulador!$B$11))/2,IF((($A131-Simulador!$E$8)/Simulador!$G$8)&gt;1-Simulador!$B$11,Simulador!$B$10*(1-COS(PI()*(1-(($A131-Simulador!$E$8)/Simulador!$G$8))/Simulador!$B$11))/2,Simulador!$B$10)))</f>
        <v/>
      </c>
      <c r="F131" s="46">
        <f>IF(OR((($A131-Simulador!$E$9)/Simulador!$G$9)&lt;=0,(($A131-Simulador!$E$9)/Simulador!$G$9)&gt;=1),0,IF((($A131-Simulador!$E$9)/Simulador!$G$9)&lt;Simulador!$B$11,Simulador!$B$10*(1-COS(PI()*(($A131-Simulador!$E$9)/Simulador!$G$9)/Simulador!$B$11))/2,IF((($A131-Simulador!$E$9)/Simulador!$G$9)&gt;1-Simulador!$B$11,Simulador!$B$10*(1-COS(PI()*(1-(($A131-Simulador!$E$9)/Simulador!$G$9))/Simulador!$B$11))/2,Simulador!$B$10)))</f>
        <v/>
      </c>
      <c r="G131" s="46">
        <f>IF(OR((($A131-Simulador!$E$10)/Simulador!$G$10)&lt;=0,(($A131-Simulador!$E$10)/Simulador!$G$10)&gt;=1),0,IF((($A131-Simulador!$E$10)/Simulador!$G$10)&lt;Simulador!$B$11,Simulador!$B$10*(1-COS(PI()*(($A131-Simulador!$E$10)/Simulador!$G$10)/Simulador!$B$11))/2,IF((($A131-Simulador!$E$10)/Simulador!$G$10)&gt;1-Simulador!$B$11,Simulador!$B$10*(1-COS(PI()*(1-(($A131-Simulador!$E$10)/Simulador!$G$10))/Simulador!$B$11))/2,Simulador!$B$10)))</f>
        <v/>
      </c>
      <c r="Q131" s="48">
        <f>IF(OR((($A131-(Simulador!$E$6+'Salto de dientes'!$B$12))/Simulador!$G$6)&lt;=0,(($A131-(Simulador!$E$6+'Salto de dientes'!$B$12))/Simulador!$G$6)&gt;=1),0,IF((($A131-(Simulador!$E$6+'Salto de dientes'!$B$12))/Simulador!$G$6)&lt;Simulador!$B$11,Simulador!$B$9*(1-COS(PI()*(($A131-(Simulador!$E$6+'Salto de dientes'!$B$12))/Simulador!$G$6)/Simulador!$B$11))/2,IF((($A131-(Simulador!$E$6+'Salto de dientes'!$B$12))/Simulador!$G$6)&gt;1-Simulador!$B$11,Simulador!$B$9*(1-COS(PI()*(1-(($A131-(Simulador!$E$6+'Salto de dientes'!$B$12))/Simulador!$G$6))/Simulador!$B$11))/2,Simulador!$B$9)))</f>
        <v/>
      </c>
      <c r="R131" s="48">
        <f>IF(OR((($A131-(Simulador!$E$9+'Salto de dientes'!$B$12))/Simulador!$G$9)&lt;=0,(($A131-(Simulador!$E$9+'Salto de dientes'!$B$12))/Simulador!$G$9)&gt;=1),0,IF((($A131-(Simulador!$E$9+'Salto de dientes'!$B$12))/Simulador!$G$9)&lt;Simulador!$B$11,Simulador!$B$10*(1-COS(PI()*(($A131-(Simulador!$E$9+'Salto de dientes'!$B$12))/Simulador!$G$9)/Simulador!$B$11))/2,IF((($A131-(Simulador!$E$9+'Salto de dientes'!$B$12))/Simulador!$G$9)&gt;1-Simulador!$B$11,Simulador!$B$10*(1-COS(PI()*(1-(($A131-(Simulador!$E$9+'Salto de dientes'!$B$12))/Simulador!$G$9))/Simulador!$B$11))/2,Simulador!$B$10)))</f>
        <v/>
      </c>
    </row>
    <row r="132">
      <c r="A132" s="26">
        <f>A131+Simulador!$B$14</f>
        <v/>
      </c>
      <c r="B132" s="46">
        <f>IF(OR((($A132-Simulador!$E$5)/Simulador!$G$5)&lt;=0,(($A132-Simulador!$E$5)/Simulador!$G$5)&gt;=1),0,IF((($A132-Simulador!$E$5)/Simulador!$G$5)&lt;Simulador!$B$11,Simulador!$B$9*(1-COS(PI()*(($A132-Simulador!$E$5)/Simulador!$G$5)/Simulador!$B$11))/2,IF((($A132-Simulador!$E$5)/Simulador!$G$5)&gt;1-Simulador!$B$11,Simulador!$B$9*(1-COS(PI()*(1-(($A132-Simulador!$E$5)/Simulador!$G$5))/Simulador!$B$11))/2,Simulador!$B$9)))</f>
        <v/>
      </c>
      <c r="C132" s="46">
        <f>IF(OR((($A132-Simulador!$E$6)/Simulador!$G$6)&lt;=0,(($A132-Simulador!$E$6)/Simulador!$G$6)&gt;=1),0,IF((($A132-Simulador!$E$6)/Simulador!$G$6)&lt;Simulador!$B$11,Simulador!$B$9*(1-COS(PI()*(($A132-Simulador!$E$6)/Simulador!$G$6)/Simulador!$B$11))/2,IF((($A132-Simulador!$E$6)/Simulador!$G$6)&gt;1-Simulador!$B$11,Simulador!$B$9*(1-COS(PI()*(1-(($A132-Simulador!$E$6)/Simulador!$G$6))/Simulador!$B$11))/2,Simulador!$B$9)))</f>
        <v/>
      </c>
      <c r="D132" s="46">
        <f>IF(OR((($A132-Simulador!$E$7)/Simulador!$G$7)&lt;=0,(($A132-Simulador!$E$7)/Simulador!$G$7)&gt;=1),0,IF((($A132-Simulador!$E$7)/Simulador!$G$7)&lt;Simulador!$B$11,Simulador!$B$9*(1-COS(PI()*(($A132-Simulador!$E$7)/Simulador!$G$7)/Simulador!$B$11))/2,IF((($A132-Simulador!$E$7)/Simulador!$G$7)&gt;1-Simulador!$B$11,Simulador!$B$9*(1-COS(PI()*(1-(($A132-Simulador!$E$7)/Simulador!$G$7))/Simulador!$B$11))/2,Simulador!$B$9)))</f>
        <v/>
      </c>
      <c r="E132" s="46">
        <f>IF(OR((($A132-Simulador!$E$8)/Simulador!$G$8)&lt;=0,(($A132-Simulador!$E$8)/Simulador!$G$8)&gt;=1),0,IF((($A132-Simulador!$E$8)/Simulador!$G$8)&lt;Simulador!$B$11,Simulador!$B$10*(1-COS(PI()*(($A132-Simulador!$E$8)/Simulador!$G$8)/Simulador!$B$11))/2,IF((($A132-Simulador!$E$8)/Simulador!$G$8)&gt;1-Simulador!$B$11,Simulador!$B$10*(1-COS(PI()*(1-(($A132-Simulador!$E$8)/Simulador!$G$8))/Simulador!$B$11))/2,Simulador!$B$10)))</f>
        <v/>
      </c>
      <c r="F132" s="46">
        <f>IF(OR((($A132-Simulador!$E$9)/Simulador!$G$9)&lt;=0,(($A132-Simulador!$E$9)/Simulador!$G$9)&gt;=1),0,IF((($A132-Simulador!$E$9)/Simulador!$G$9)&lt;Simulador!$B$11,Simulador!$B$10*(1-COS(PI()*(($A132-Simulador!$E$9)/Simulador!$G$9)/Simulador!$B$11))/2,IF((($A132-Simulador!$E$9)/Simulador!$G$9)&gt;1-Simulador!$B$11,Simulador!$B$10*(1-COS(PI()*(1-(($A132-Simulador!$E$9)/Simulador!$G$9))/Simulador!$B$11))/2,Simulador!$B$10)))</f>
        <v/>
      </c>
      <c r="G132" s="46">
        <f>IF(OR((($A132-Simulador!$E$10)/Simulador!$G$10)&lt;=0,(($A132-Simulador!$E$10)/Simulador!$G$10)&gt;=1),0,IF((($A132-Simulador!$E$10)/Simulador!$G$10)&lt;Simulador!$B$11,Simulador!$B$10*(1-COS(PI()*(($A132-Simulador!$E$10)/Simulador!$G$10)/Simulador!$B$11))/2,IF((($A132-Simulador!$E$10)/Simulador!$G$10)&gt;1-Simulador!$B$11,Simulador!$B$10*(1-COS(PI()*(1-(($A132-Simulador!$E$10)/Simulador!$G$10))/Simulador!$B$11))/2,Simulador!$B$10)))</f>
        <v/>
      </c>
      <c r="Q132" s="48">
        <f>IF(OR((($A132-(Simulador!$E$6+'Salto de dientes'!$B$12))/Simulador!$G$6)&lt;=0,(($A132-(Simulador!$E$6+'Salto de dientes'!$B$12))/Simulador!$G$6)&gt;=1),0,IF((($A132-(Simulador!$E$6+'Salto de dientes'!$B$12))/Simulador!$G$6)&lt;Simulador!$B$11,Simulador!$B$9*(1-COS(PI()*(($A132-(Simulador!$E$6+'Salto de dientes'!$B$12))/Simulador!$G$6)/Simulador!$B$11))/2,IF((($A132-(Simulador!$E$6+'Salto de dientes'!$B$12))/Simulador!$G$6)&gt;1-Simulador!$B$11,Simulador!$B$9*(1-COS(PI()*(1-(($A132-(Simulador!$E$6+'Salto de dientes'!$B$12))/Simulador!$G$6))/Simulador!$B$11))/2,Simulador!$B$9)))</f>
        <v/>
      </c>
      <c r="R132" s="48">
        <f>IF(OR((($A132-(Simulador!$E$9+'Salto de dientes'!$B$12))/Simulador!$G$9)&lt;=0,(($A132-(Simulador!$E$9+'Salto de dientes'!$B$12))/Simulador!$G$9)&gt;=1),0,IF((($A132-(Simulador!$E$9+'Salto de dientes'!$B$12))/Simulador!$G$9)&lt;Simulador!$B$11,Simulador!$B$10*(1-COS(PI()*(($A132-(Simulador!$E$9+'Salto de dientes'!$B$12))/Simulador!$G$9)/Simulador!$B$11))/2,IF((($A132-(Simulador!$E$9+'Salto de dientes'!$B$12))/Simulador!$G$9)&gt;1-Simulador!$B$11,Simulador!$B$10*(1-COS(PI()*(1-(($A132-(Simulador!$E$9+'Salto de dientes'!$B$12))/Simulador!$G$9))/Simulador!$B$11))/2,Simulador!$B$10)))</f>
        <v/>
      </c>
    </row>
    <row r="133">
      <c r="A133" s="26">
        <f>A132+Simulador!$B$14</f>
        <v/>
      </c>
      <c r="B133" s="46">
        <f>IF(OR((($A133-Simulador!$E$5)/Simulador!$G$5)&lt;=0,(($A133-Simulador!$E$5)/Simulador!$G$5)&gt;=1),0,IF((($A133-Simulador!$E$5)/Simulador!$G$5)&lt;Simulador!$B$11,Simulador!$B$9*(1-COS(PI()*(($A133-Simulador!$E$5)/Simulador!$G$5)/Simulador!$B$11))/2,IF((($A133-Simulador!$E$5)/Simulador!$G$5)&gt;1-Simulador!$B$11,Simulador!$B$9*(1-COS(PI()*(1-(($A133-Simulador!$E$5)/Simulador!$G$5))/Simulador!$B$11))/2,Simulador!$B$9)))</f>
        <v/>
      </c>
      <c r="C133" s="46">
        <f>IF(OR((($A133-Simulador!$E$6)/Simulador!$G$6)&lt;=0,(($A133-Simulador!$E$6)/Simulador!$G$6)&gt;=1),0,IF((($A133-Simulador!$E$6)/Simulador!$G$6)&lt;Simulador!$B$11,Simulador!$B$9*(1-COS(PI()*(($A133-Simulador!$E$6)/Simulador!$G$6)/Simulador!$B$11))/2,IF((($A133-Simulador!$E$6)/Simulador!$G$6)&gt;1-Simulador!$B$11,Simulador!$B$9*(1-COS(PI()*(1-(($A133-Simulador!$E$6)/Simulador!$G$6))/Simulador!$B$11))/2,Simulador!$B$9)))</f>
        <v/>
      </c>
      <c r="D133" s="46">
        <f>IF(OR((($A133-Simulador!$E$7)/Simulador!$G$7)&lt;=0,(($A133-Simulador!$E$7)/Simulador!$G$7)&gt;=1),0,IF((($A133-Simulador!$E$7)/Simulador!$G$7)&lt;Simulador!$B$11,Simulador!$B$9*(1-COS(PI()*(($A133-Simulador!$E$7)/Simulador!$G$7)/Simulador!$B$11))/2,IF((($A133-Simulador!$E$7)/Simulador!$G$7)&gt;1-Simulador!$B$11,Simulador!$B$9*(1-COS(PI()*(1-(($A133-Simulador!$E$7)/Simulador!$G$7))/Simulador!$B$11))/2,Simulador!$B$9)))</f>
        <v/>
      </c>
      <c r="E133" s="46">
        <f>IF(OR((($A133-Simulador!$E$8)/Simulador!$G$8)&lt;=0,(($A133-Simulador!$E$8)/Simulador!$G$8)&gt;=1),0,IF((($A133-Simulador!$E$8)/Simulador!$G$8)&lt;Simulador!$B$11,Simulador!$B$10*(1-COS(PI()*(($A133-Simulador!$E$8)/Simulador!$G$8)/Simulador!$B$11))/2,IF((($A133-Simulador!$E$8)/Simulador!$G$8)&gt;1-Simulador!$B$11,Simulador!$B$10*(1-COS(PI()*(1-(($A133-Simulador!$E$8)/Simulador!$G$8))/Simulador!$B$11))/2,Simulador!$B$10)))</f>
        <v/>
      </c>
      <c r="F133" s="46">
        <f>IF(OR((($A133-Simulador!$E$9)/Simulador!$G$9)&lt;=0,(($A133-Simulador!$E$9)/Simulador!$G$9)&gt;=1),0,IF((($A133-Simulador!$E$9)/Simulador!$G$9)&lt;Simulador!$B$11,Simulador!$B$10*(1-COS(PI()*(($A133-Simulador!$E$9)/Simulador!$G$9)/Simulador!$B$11))/2,IF((($A133-Simulador!$E$9)/Simulador!$G$9)&gt;1-Simulador!$B$11,Simulador!$B$10*(1-COS(PI()*(1-(($A133-Simulador!$E$9)/Simulador!$G$9))/Simulador!$B$11))/2,Simulador!$B$10)))</f>
        <v/>
      </c>
      <c r="G133" s="46">
        <f>IF(OR((($A133-Simulador!$E$10)/Simulador!$G$10)&lt;=0,(($A133-Simulador!$E$10)/Simulador!$G$10)&gt;=1),0,IF((($A133-Simulador!$E$10)/Simulador!$G$10)&lt;Simulador!$B$11,Simulador!$B$10*(1-COS(PI()*(($A133-Simulador!$E$10)/Simulador!$G$10)/Simulador!$B$11))/2,IF((($A133-Simulador!$E$10)/Simulador!$G$10)&gt;1-Simulador!$B$11,Simulador!$B$10*(1-COS(PI()*(1-(($A133-Simulador!$E$10)/Simulador!$G$10))/Simulador!$B$11))/2,Simulador!$B$10)))</f>
        <v/>
      </c>
      <c r="Q133" s="48">
        <f>IF(OR((($A133-(Simulador!$E$6+'Salto de dientes'!$B$12))/Simulador!$G$6)&lt;=0,(($A133-(Simulador!$E$6+'Salto de dientes'!$B$12))/Simulador!$G$6)&gt;=1),0,IF((($A133-(Simulador!$E$6+'Salto de dientes'!$B$12))/Simulador!$G$6)&lt;Simulador!$B$11,Simulador!$B$9*(1-COS(PI()*(($A133-(Simulador!$E$6+'Salto de dientes'!$B$12))/Simulador!$G$6)/Simulador!$B$11))/2,IF((($A133-(Simulador!$E$6+'Salto de dientes'!$B$12))/Simulador!$G$6)&gt;1-Simulador!$B$11,Simulador!$B$9*(1-COS(PI()*(1-(($A133-(Simulador!$E$6+'Salto de dientes'!$B$12))/Simulador!$G$6))/Simulador!$B$11))/2,Simulador!$B$9)))</f>
        <v/>
      </c>
      <c r="R133" s="48">
        <f>IF(OR((($A133-(Simulador!$E$9+'Salto de dientes'!$B$12))/Simulador!$G$9)&lt;=0,(($A133-(Simulador!$E$9+'Salto de dientes'!$B$12))/Simulador!$G$9)&gt;=1),0,IF((($A133-(Simulador!$E$9+'Salto de dientes'!$B$12))/Simulador!$G$9)&lt;Simulador!$B$11,Simulador!$B$10*(1-COS(PI()*(($A133-(Simulador!$E$9+'Salto de dientes'!$B$12))/Simulador!$G$9)/Simulador!$B$11))/2,IF((($A133-(Simulador!$E$9+'Salto de dientes'!$B$12))/Simulador!$G$9)&gt;1-Simulador!$B$11,Simulador!$B$10*(1-COS(PI()*(1-(($A133-(Simulador!$E$9+'Salto de dientes'!$B$12))/Simulador!$G$9))/Simulador!$B$11))/2,Simulador!$B$10)))</f>
        <v/>
      </c>
    </row>
    <row r="134">
      <c r="A134" s="26">
        <f>A133+Simulador!$B$14</f>
        <v/>
      </c>
      <c r="B134" s="46">
        <f>IF(OR((($A134-Simulador!$E$5)/Simulador!$G$5)&lt;=0,(($A134-Simulador!$E$5)/Simulador!$G$5)&gt;=1),0,IF((($A134-Simulador!$E$5)/Simulador!$G$5)&lt;Simulador!$B$11,Simulador!$B$9*(1-COS(PI()*(($A134-Simulador!$E$5)/Simulador!$G$5)/Simulador!$B$11))/2,IF((($A134-Simulador!$E$5)/Simulador!$G$5)&gt;1-Simulador!$B$11,Simulador!$B$9*(1-COS(PI()*(1-(($A134-Simulador!$E$5)/Simulador!$G$5))/Simulador!$B$11))/2,Simulador!$B$9)))</f>
        <v/>
      </c>
      <c r="C134" s="46">
        <f>IF(OR((($A134-Simulador!$E$6)/Simulador!$G$6)&lt;=0,(($A134-Simulador!$E$6)/Simulador!$G$6)&gt;=1),0,IF((($A134-Simulador!$E$6)/Simulador!$G$6)&lt;Simulador!$B$11,Simulador!$B$9*(1-COS(PI()*(($A134-Simulador!$E$6)/Simulador!$G$6)/Simulador!$B$11))/2,IF((($A134-Simulador!$E$6)/Simulador!$G$6)&gt;1-Simulador!$B$11,Simulador!$B$9*(1-COS(PI()*(1-(($A134-Simulador!$E$6)/Simulador!$G$6))/Simulador!$B$11))/2,Simulador!$B$9)))</f>
        <v/>
      </c>
      <c r="D134" s="46">
        <f>IF(OR((($A134-Simulador!$E$7)/Simulador!$G$7)&lt;=0,(($A134-Simulador!$E$7)/Simulador!$G$7)&gt;=1),0,IF((($A134-Simulador!$E$7)/Simulador!$G$7)&lt;Simulador!$B$11,Simulador!$B$9*(1-COS(PI()*(($A134-Simulador!$E$7)/Simulador!$G$7)/Simulador!$B$11))/2,IF((($A134-Simulador!$E$7)/Simulador!$G$7)&gt;1-Simulador!$B$11,Simulador!$B$9*(1-COS(PI()*(1-(($A134-Simulador!$E$7)/Simulador!$G$7))/Simulador!$B$11))/2,Simulador!$B$9)))</f>
        <v/>
      </c>
      <c r="E134" s="46">
        <f>IF(OR((($A134-Simulador!$E$8)/Simulador!$G$8)&lt;=0,(($A134-Simulador!$E$8)/Simulador!$G$8)&gt;=1),0,IF((($A134-Simulador!$E$8)/Simulador!$G$8)&lt;Simulador!$B$11,Simulador!$B$10*(1-COS(PI()*(($A134-Simulador!$E$8)/Simulador!$G$8)/Simulador!$B$11))/2,IF((($A134-Simulador!$E$8)/Simulador!$G$8)&gt;1-Simulador!$B$11,Simulador!$B$10*(1-COS(PI()*(1-(($A134-Simulador!$E$8)/Simulador!$G$8))/Simulador!$B$11))/2,Simulador!$B$10)))</f>
        <v/>
      </c>
      <c r="F134" s="46">
        <f>IF(OR((($A134-Simulador!$E$9)/Simulador!$G$9)&lt;=0,(($A134-Simulador!$E$9)/Simulador!$G$9)&gt;=1),0,IF((($A134-Simulador!$E$9)/Simulador!$G$9)&lt;Simulador!$B$11,Simulador!$B$10*(1-COS(PI()*(($A134-Simulador!$E$9)/Simulador!$G$9)/Simulador!$B$11))/2,IF((($A134-Simulador!$E$9)/Simulador!$G$9)&gt;1-Simulador!$B$11,Simulador!$B$10*(1-COS(PI()*(1-(($A134-Simulador!$E$9)/Simulador!$G$9))/Simulador!$B$11))/2,Simulador!$B$10)))</f>
        <v/>
      </c>
      <c r="G134" s="46">
        <f>IF(OR((($A134-Simulador!$E$10)/Simulador!$G$10)&lt;=0,(($A134-Simulador!$E$10)/Simulador!$G$10)&gt;=1),0,IF((($A134-Simulador!$E$10)/Simulador!$G$10)&lt;Simulador!$B$11,Simulador!$B$10*(1-COS(PI()*(($A134-Simulador!$E$10)/Simulador!$G$10)/Simulador!$B$11))/2,IF((($A134-Simulador!$E$10)/Simulador!$G$10)&gt;1-Simulador!$B$11,Simulador!$B$10*(1-COS(PI()*(1-(($A134-Simulador!$E$10)/Simulador!$G$10))/Simulador!$B$11))/2,Simulador!$B$10)))</f>
        <v/>
      </c>
      <c r="Q134" s="48">
        <f>IF(OR((($A134-(Simulador!$E$6+'Salto de dientes'!$B$12))/Simulador!$G$6)&lt;=0,(($A134-(Simulador!$E$6+'Salto de dientes'!$B$12))/Simulador!$G$6)&gt;=1),0,IF((($A134-(Simulador!$E$6+'Salto de dientes'!$B$12))/Simulador!$G$6)&lt;Simulador!$B$11,Simulador!$B$9*(1-COS(PI()*(($A134-(Simulador!$E$6+'Salto de dientes'!$B$12))/Simulador!$G$6)/Simulador!$B$11))/2,IF((($A134-(Simulador!$E$6+'Salto de dientes'!$B$12))/Simulador!$G$6)&gt;1-Simulador!$B$11,Simulador!$B$9*(1-COS(PI()*(1-(($A134-(Simulador!$E$6+'Salto de dientes'!$B$12))/Simulador!$G$6))/Simulador!$B$11))/2,Simulador!$B$9)))</f>
        <v/>
      </c>
      <c r="R134" s="48">
        <f>IF(OR((($A134-(Simulador!$E$9+'Salto de dientes'!$B$12))/Simulador!$G$9)&lt;=0,(($A134-(Simulador!$E$9+'Salto de dientes'!$B$12))/Simulador!$G$9)&gt;=1),0,IF((($A134-(Simulador!$E$9+'Salto de dientes'!$B$12))/Simulador!$G$9)&lt;Simulador!$B$11,Simulador!$B$10*(1-COS(PI()*(($A134-(Simulador!$E$9+'Salto de dientes'!$B$12))/Simulador!$G$9)/Simulador!$B$11))/2,IF((($A134-(Simulador!$E$9+'Salto de dientes'!$B$12))/Simulador!$G$9)&gt;1-Simulador!$B$11,Simulador!$B$10*(1-COS(PI()*(1-(($A134-(Simulador!$E$9+'Salto de dientes'!$B$12))/Simulador!$G$9))/Simulador!$B$11))/2,Simulador!$B$10)))</f>
        <v/>
      </c>
    </row>
    <row r="135">
      <c r="A135" s="26">
        <f>A134+Simulador!$B$14</f>
        <v/>
      </c>
      <c r="B135" s="46">
        <f>IF(OR((($A135-Simulador!$E$5)/Simulador!$G$5)&lt;=0,(($A135-Simulador!$E$5)/Simulador!$G$5)&gt;=1),0,IF((($A135-Simulador!$E$5)/Simulador!$G$5)&lt;Simulador!$B$11,Simulador!$B$9*(1-COS(PI()*(($A135-Simulador!$E$5)/Simulador!$G$5)/Simulador!$B$11))/2,IF((($A135-Simulador!$E$5)/Simulador!$G$5)&gt;1-Simulador!$B$11,Simulador!$B$9*(1-COS(PI()*(1-(($A135-Simulador!$E$5)/Simulador!$G$5))/Simulador!$B$11))/2,Simulador!$B$9)))</f>
        <v/>
      </c>
      <c r="C135" s="46">
        <f>IF(OR((($A135-Simulador!$E$6)/Simulador!$G$6)&lt;=0,(($A135-Simulador!$E$6)/Simulador!$G$6)&gt;=1),0,IF((($A135-Simulador!$E$6)/Simulador!$G$6)&lt;Simulador!$B$11,Simulador!$B$9*(1-COS(PI()*(($A135-Simulador!$E$6)/Simulador!$G$6)/Simulador!$B$11))/2,IF((($A135-Simulador!$E$6)/Simulador!$G$6)&gt;1-Simulador!$B$11,Simulador!$B$9*(1-COS(PI()*(1-(($A135-Simulador!$E$6)/Simulador!$G$6))/Simulador!$B$11))/2,Simulador!$B$9)))</f>
        <v/>
      </c>
      <c r="D135" s="46">
        <f>IF(OR((($A135-Simulador!$E$7)/Simulador!$G$7)&lt;=0,(($A135-Simulador!$E$7)/Simulador!$G$7)&gt;=1),0,IF((($A135-Simulador!$E$7)/Simulador!$G$7)&lt;Simulador!$B$11,Simulador!$B$9*(1-COS(PI()*(($A135-Simulador!$E$7)/Simulador!$G$7)/Simulador!$B$11))/2,IF((($A135-Simulador!$E$7)/Simulador!$G$7)&gt;1-Simulador!$B$11,Simulador!$B$9*(1-COS(PI()*(1-(($A135-Simulador!$E$7)/Simulador!$G$7))/Simulador!$B$11))/2,Simulador!$B$9)))</f>
        <v/>
      </c>
      <c r="E135" s="46">
        <f>IF(OR((($A135-Simulador!$E$8)/Simulador!$G$8)&lt;=0,(($A135-Simulador!$E$8)/Simulador!$G$8)&gt;=1),0,IF((($A135-Simulador!$E$8)/Simulador!$G$8)&lt;Simulador!$B$11,Simulador!$B$10*(1-COS(PI()*(($A135-Simulador!$E$8)/Simulador!$G$8)/Simulador!$B$11))/2,IF((($A135-Simulador!$E$8)/Simulador!$G$8)&gt;1-Simulador!$B$11,Simulador!$B$10*(1-COS(PI()*(1-(($A135-Simulador!$E$8)/Simulador!$G$8))/Simulador!$B$11))/2,Simulador!$B$10)))</f>
        <v/>
      </c>
      <c r="F135" s="46">
        <f>IF(OR((($A135-Simulador!$E$9)/Simulador!$G$9)&lt;=0,(($A135-Simulador!$E$9)/Simulador!$G$9)&gt;=1),0,IF((($A135-Simulador!$E$9)/Simulador!$G$9)&lt;Simulador!$B$11,Simulador!$B$10*(1-COS(PI()*(($A135-Simulador!$E$9)/Simulador!$G$9)/Simulador!$B$11))/2,IF((($A135-Simulador!$E$9)/Simulador!$G$9)&gt;1-Simulador!$B$11,Simulador!$B$10*(1-COS(PI()*(1-(($A135-Simulador!$E$9)/Simulador!$G$9))/Simulador!$B$11))/2,Simulador!$B$10)))</f>
        <v/>
      </c>
      <c r="G135" s="46">
        <f>IF(OR((($A135-Simulador!$E$10)/Simulador!$G$10)&lt;=0,(($A135-Simulador!$E$10)/Simulador!$G$10)&gt;=1),0,IF((($A135-Simulador!$E$10)/Simulador!$G$10)&lt;Simulador!$B$11,Simulador!$B$10*(1-COS(PI()*(($A135-Simulador!$E$10)/Simulador!$G$10)/Simulador!$B$11))/2,IF((($A135-Simulador!$E$10)/Simulador!$G$10)&gt;1-Simulador!$B$11,Simulador!$B$10*(1-COS(PI()*(1-(($A135-Simulador!$E$10)/Simulador!$G$10))/Simulador!$B$11))/2,Simulador!$B$10)))</f>
        <v/>
      </c>
      <c r="Q135" s="48">
        <f>IF(OR((($A135-(Simulador!$E$6+'Salto de dientes'!$B$12))/Simulador!$G$6)&lt;=0,(($A135-(Simulador!$E$6+'Salto de dientes'!$B$12))/Simulador!$G$6)&gt;=1),0,IF((($A135-(Simulador!$E$6+'Salto de dientes'!$B$12))/Simulador!$G$6)&lt;Simulador!$B$11,Simulador!$B$9*(1-COS(PI()*(($A135-(Simulador!$E$6+'Salto de dientes'!$B$12))/Simulador!$G$6)/Simulador!$B$11))/2,IF((($A135-(Simulador!$E$6+'Salto de dientes'!$B$12))/Simulador!$G$6)&gt;1-Simulador!$B$11,Simulador!$B$9*(1-COS(PI()*(1-(($A135-(Simulador!$E$6+'Salto de dientes'!$B$12))/Simulador!$G$6))/Simulador!$B$11))/2,Simulador!$B$9)))</f>
        <v/>
      </c>
      <c r="R135" s="48">
        <f>IF(OR((($A135-(Simulador!$E$9+'Salto de dientes'!$B$12))/Simulador!$G$9)&lt;=0,(($A135-(Simulador!$E$9+'Salto de dientes'!$B$12))/Simulador!$G$9)&gt;=1),0,IF((($A135-(Simulador!$E$9+'Salto de dientes'!$B$12))/Simulador!$G$9)&lt;Simulador!$B$11,Simulador!$B$10*(1-COS(PI()*(($A135-(Simulador!$E$9+'Salto de dientes'!$B$12))/Simulador!$G$9)/Simulador!$B$11))/2,IF((($A135-(Simulador!$E$9+'Salto de dientes'!$B$12))/Simulador!$G$9)&gt;1-Simulador!$B$11,Simulador!$B$10*(1-COS(PI()*(1-(($A135-(Simulador!$E$9+'Salto de dientes'!$B$12))/Simulador!$G$9))/Simulador!$B$11))/2,Simulador!$B$10)))</f>
        <v/>
      </c>
    </row>
    <row r="136">
      <c r="A136" s="26">
        <f>A135+Simulador!$B$14</f>
        <v/>
      </c>
      <c r="B136" s="46">
        <f>IF(OR((($A136-Simulador!$E$5)/Simulador!$G$5)&lt;=0,(($A136-Simulador!$E$5)/Simulador!$G$5)&gt;=1),0,IF((($A136-Simulador!$E$5)/Simulador!$G$5)&lt;Simulador!$B$11,Simulador!$B$9*(1-COS(PI()*(($A136-Simulador!$E$5)/Simulador!$G$5)/Simulador!$B$11))/2,IF((($A136-Simulador!$E$5)/Simulador!$G$5)&gt;1-Simulador!$B$11,Simulador!$B$9*(1-COS(PI()*(1-(($A136-Simulador!$E$5)/Simulador!$G$5))/Simulador!$B$11))/2,Simulador!$B$9)))</f>
        <v/>
      </c>
      <c r="C136" s="46">
        <f>IF(OR((($A136-Simulador!$E$6)/Simulador!$G$6)&lt;=0,(($A136-Simulador!$E$6)/Simulador!$G$6)&gt;=1),0,IF((($A136-Simulador!$E$6)/Simulador!$G$6)&lt;Simulador!$B$11,Simulador!$B$9*(1-COS(PI()*(($A136-Simulador!$E$6)/Simulador!$G$6)/Simulador!$B$11))/2,IF((($A136-Simulador!$E$6)/Simulador!$G$6)&gt;1-Simulador!$B$11,Simulador!$B$9*(1-COS(PI()*(1-(($A136-Simulador!$E$6)/Simulador!$G$6))/Simulador!$B$11))/2,Simulador!$B$9)))</f>
        <v/>
      </c>
      <c r="D136" s="46">
        <f>IF(OR((($A136-Simulador!$E$7)/Simulador!$G$7)&lt;=0,(($A136-Simulador!$E$7)/Simulador!$G$7)&gt;=1),0,IF((($A136-Simulador!$E$7)/Simulador!$G$7)&lt;Simulador!$B$11,Simulador!$B$9*(1-COS(PI()*(($A136-Simulador!$E$7)/Simulador!$G$7)/Simulador!$B$11))/2,IF((($A136-Simulador!$E$7)/Simulador!$G$7)&gt;1-Simulador!$B$11,Simulador!$B$9*(1-COS(PI()*(1-(($A136-Simulador!$E$7)/Simulador!$G$7))/Simulador!$B$11))/2,Simulador!$B$9)))</f>
        <v/>
      </c>
      <c r="E136" s="46">
        <f>IF(OR((($A136-Simulador!$E$8)/Simulador!$G$8)&lt;=0,(($A136-Simulador!$E$8)/Simulador!$G$8)&gt;=1),0,IF((($A136-Simulador!$E$8)/Simulador!$G$8)&lt;Simulador!$B$11,Simulador!$B$10*(1-COS(PI()*(($A136-Simulador!$E$8)/Simulador!$G$8)/Simulador!$B$11))/2,IF((($A136-Simulador!$E$8)/Simulador!$G$8)&gt;1-Simulador!$B$11,Simulador!$B$10*(1-COS(PI()*(1-(($A136-Simulador!$E$8)/Simulador!$G$8))/Simulador!$B$11))/2,Simulador!$B$10)))</f>
        <v/>
      </c>
      <c r="F136" s="46">
        <f>IF(OR((($A136-Simulador!$E$9)/Simulador!$G$9)&lt;=0,(($A136-Simulador!$E$9)/Simulador!$G$9)&gt;=1),0,IF((($A136-Simulador!$E$9)/Simulador!$G$9)&lt;Simulador!$B$11,Simulador!$B$10*(1-COS(PI()*(($A136-Simulador!$E$9)/Simulador!$G$9)/Simulador!$B$11))/2,IF((($A136-Simulador!$E$9)/Simulador!$G$9)&gt;1-Simulador!$B$11,Simulador!$B$10*(1-COS(PI()*(1-(($A136-Simulador!$E$9)/Simulador!$G$9))/Simulador!$B$11))/2,Simulador!$B$10)))</f>
        <v/>
      </c>
      <c r="G136" s="46">
        <f>IF(OR((($A136-Simulador!$E$10)/Simulador!$G$10)&lt;=0,(($A136-Simulador!$E$10)/Simulador!$G$10)&gt;=1),0,IF((($A136-Simulador!$E$10)/Simulador!$G$10)&lt;Simulador!$B$11,Simulador!$B$10*(1-COS(PI()*(($A136-Simulador!$E$10)/Simulador!$G$10)/Simulador!$B$11))/2,IF((($A136-Simulador!$E$10)/Simulador!$G$10)&gt;1-Simulador!$B$11,Simulador!$B$10*(1-COS(PI()*(1-(($A136-Simulador!$E$10)/Simulador!$G$10))/Simulador!$B$11))/2,Simulador!$B$10)))</f>
        <v/>
      </c>
      <c r="Q136" s="48">
        <f>IF(OR((($A136-(Simulador!$E$6+'Salto de dientes'!$B$12))/Simulador!$G$6)&lt;=0,(($A136-(Simulador!$E$6+'Salto de dientes'!$B$12))/Simulador!$G$6)&gt;=1),0,IF((($A136-(Simulador!$E$6+'Salto de dientes'!$B$12))/Simulador!$G$6)&lt;Simulador!$B$11,Simulador!$B$9*(1-COS(PI()*(($A136-(Simulador!$E$6+'Salto de dientes'!$B$12))/Simulador!$G$6)/Simulador!$B$11))/2,IF((($A136-(Simulador!$E$6+'Salto de dientes'!$B$12))/Simulador!$G$6)&gt;1-Simulador!$B$11,Simulador!$B$9*(1-COS(PI()*(1-(($A136-(Simulador!$E$6+'Salto de dientes'!$B$12))/Simulador!$G$6))/Simulador!$B$11))/2,Simulador!$B$9)))</f>
        <v/>
      </c>
      <c r="R136" s="48">
        <f>IF(OR((($A136-(Simulador!$E$9+'Salto de dientes'!$B$12))/Simulador!$G$9)&lt;=0,(($A136-(Simulador!$E$9+'Salto de dientes'!$B$12))/Simulador!$G$9)&gt;=1),0,IF((($A136-(Simulador!$E$9+'Salto de dientes'!$B$12))/Simulador!$G$9)&lt;Simulador!$B$11,Simulador!$B$10*(1-COS(PI()*(($A136-(Simulador!$E$9+'Salto de dientes'!$B$12))/Simulador!$G$9)/Simulador!$B$11))/2,IF((($A136-(Simulador!$E$9+'Salto de dientes'!$B$12))/Simulador!$G$9)&gt;1-Simulador!$B$11,Simulador!$B$10*(1-COS(PI()*(1-(($A136-(Simulador!$E$9+'Salto de dientes'!$B$12))/Simulador!$G$9))/Simulador!$B$11))/2,Simulador!$B$10)))</f>
        <v/>
      </c>
    </row>
    <row r="137">
      <c r="A137" s="26">
        <f>A136+Simulador!$B$14</f>
        <v/>
      </c>
      <c r="B137" s="46">
        <f>IF(OR((($A137-Simulador!$E$5)/Simulador!$G$5)&lt;=0,(($A137-Simulador!$E$5)/Simulador!$G$5)&gt;=1),0,IF((($A137-Simulador!$E$5)/Simulador!$G$5)&lt;Simulador!$B$11,Simulador!$B$9*(1-COS(PI()*(($A137-Simulador!$E$5)/Simulador!$G$5)/Simulador!$B$11))/2,IF((($A137-Simulador!$E$5)/Simulador!$G$5)&gt;1-Simulador!$B$11,Simulador!$B$9*(1-COS(PI()*(1-(($A137-Simulador!$E$5)/Simulador!$G$5))/Simulador!$B$11))/2,Simulador!$B$9)))</f>
        <v/>
      </c>
      <c r="C137" s="46">
        <f>IF(OR((($A137-Simulador!$E$6)/Simulador!$G$6)&lt;=0,(($A137-Simulador!$E$6)/Simulador!$G$6)&gt;=1),0,IF((($A137-Simulador!$E$6)/Simulador!$G$6)&lt;Simulador!$B$11,Simulador!$B$9*(1-COS(PI()*(($A137-Simulador!$E$6)/Simulador!$G$6)/Simulador!$B$11))/2,IF((($A137-Simulador!$E$6)/Simulador!$G$6)&gt;1-Simulador!$B$11,Simulador!$B$9*(1-COS(PI()*(1-(($A137-Simulador!$E$6)/Simulador!$G$6))/Simulador!$B$11))/2,Simulador!$B$9)))</f>
        <v/>
      </c>
      <c r="D137" s="46">
        <f>IF(OR((($A137-Simulador!$E$7)/Simulador!$G$7)&lt;=0,(($A137-Simulador!$E$7)/Simulador!$G$7)&gt;=1),0,IF((($A137-Simulador!$E$7)/Simulador!$G$7)&lt;Simulador!$B$11,Simulador!$B$9*(1-COS(PI()*(($A137-Simulador!$E$7)/Simulador!$G$7)/Simulador!$B$11))/2,IF((($A137-Simulador!$E$7)/Simulador!$G$7)&gt;1-Simulador!$B$11,Simulador!$B$9*(1-COS(PI()*(1-(($A137-Simulador!$E$7)/Simulador!$G$7))/Simulador!$B$11))/2,Simulador!$B$9)))</f>
        <v/>
      </c>
      <c r="E137" s="46">
        <f>IF(OR((($A137-Simulador!$E$8)/Simulador!$G$8)&lt;=0,(($A137-Simulador!$E$8)/Simulador!$G$8)&gt;=1),0,IF((($A137-Simulador!$E$8)/Simulador!$G$8)&lt;Simulador!$B$11,Simulador!$B$10*(1-COS(PI()*(($A137-Simulador!$E$8)/Simulador!$G$8)/Simulador!$B$11))/2,IF((($A137-Simulador!$E$8)/Simulador!$G$8)&gt;1-Simulador!$B$11,Simulador!$B$10*(1-COS(PI()*(1-(($A137-Simulador!$E$8)/Simulador!$G$8))/Simulador!$B$11))/2,Simulador!$B$10)))</f>
        <v/>
      </c>
      <c r="F137" s="46">
        <f>IF(OR((($A137-Simulador!$E$9)/Simulador!$G$9)&lt;=0,(($A137-Simulador!$E$9)/Simulador!$G$9)&gt;=1),0,IF((($A137-Simulador!$E$9)/Simulador!$G$9)&lt;Simulador!$B$11,Simulador!$B$10*(1-COS(PI()*(($A137-Simulador!$E$9)/Simulador!$G$9)/Simulador!$B$11))/2,IF((($A137-Simulador!$E$9)/Simulador!$G$9)&gt;1-Simulador!$B$11,Simulador!$B$10*(1-COS(PI()*(1-(($A137-Simulador!$E$9)/Simulador!$G$9))/Simulador!$B$11))/2,Simulador!$B$10)))</f>
        <v/>
      </c>
      <c r="G137" s="46">
        <f>IF(OR((($A137-Simulador!$E$10)/Simulador!$G$10)&lt;=0,(($A137-Simulador!$E$10)/Simulador!$G$10)&gt;=1),0,IF((($A137-Simulador!$E$10)/Simulador!$G$10)&lt;Simulador!$B$11,Simulador!$B$10*(1-COS(PI()*(($A137-Simulador!$E$10)/Simulador!$G$10)/Simulador!$B$11))/2,IF((($A137-Simulador!$E$10)/Simulador!$G$10)&gt;1-Simulador!$B$11,Simulador!$B$10*(1-COS(PI()*(1-(($A137-Simulador!$E$10)/Simulador!$G$10))/Simulador!$B$11))/2,Simulador!$B$10)))</f>
        <v/>
      </c>
      <c r="Q137" s="48">
        <f>IF(OR((($A137-(Simulador!$E$6+'Salto de dientes'!$B$12))/Simulador!$G$6)&lt;=0,(($A137-(Simulador!$E$6+'Salto de dientes'!$B$12))/Simulador!$G$6)&gt;=1),0,IF((($A137-(Simulador!$E$6+'Salto de dientes'!$B$12))/Simulador!$G$6)&lt;Simulador!$B$11,Simulador!$B$9*(1-COS(PI()*(($A137-(Simulador!$E$6+'Salto de dientes'!$B$12))/Simulador!$G$6)/Simulador!$B$11))/2,IF((($A137-(Simulador!$E$6+'Salto de dientes'!$B$12))/Simulador!$G$6)&gt;1-Simulador!$B$11,Simulador!$B$9*(1-COS(PI()*(1-(($A137-(Simulador!$E$6+'Salto de dientes'!$B$12))/Simulador!$G$6))/Simulador!$B$11))/2,Simulador!$B$9)))</f>
        <v/>
      </c>
      <c r="R137" s="48">
        <f>IF(OR((($A137-(Simulador!$E$9+'Salto de dientes'!$B$12))/Simulador!$G$9)&lt;=0,(($A137-(Simulador!$E$9+'Salto de dientes'!$B$12))/Simulador!$G$9)&gt;=1),0,IF((($A137-(Simulador!$E$9+'Salto de dientes'!$B$12))/Simulador!$G$9)&lt;Simulador!$B$11,Simulador!$B$10*(1-COS(PI()*(($A137-(Simulador!$E$9+'Salto de dientes'!$B$12))/Simulador!$G$9)/Simulador!$B$11))/2,IF((($A137-(Simulador!$E$9+'Salto de dientes'!$B$12))/Simulador!$G$9)&gt;1-Simulador!$B$11,Simulador!$B$10*(1-COS(PI()*(1-(($A137-(Simulador!$E$9+'Salto de dientes'!$B$12))/Simulador!$G$9))/Simulador!$B$11))/2,Simulador!$B$10)))</f>
        <v/>
      </c>
    </row>
    <row r="138">
      <c r="A138" s="26">
        <f>A137+Simulador!$B$14</f>
        <v/>
      </c>
      <c r="B138" s="46">
        <f>IF(OR((($A138-Simulador!$E$5)/Simulador!$G$5)&lt;=0,(($A138-Simulador!$E$5)/Simulador!$G$5)&gt;=1),0,IF((($A138-Simulador!$E$5)/Simulador!$G$5)&lt;Simulador!$B$11,Simulador!$B$9*(1-COS(PI()*(($A138-Simulador!$E$5)/Simulador!$G$5)/Simulador!$B$11))/2,IF((($A138-Simulador!$E$5)/Simulador!$G$5)&gt;1-Simulador!$B$11,Simulador!$B$9*(1-COS(PI()*(1-(($A138-Simulador!$E$5)/Simulador!$G$5))/Simulador!$B$11))/2,Simulador!$B$9)))</f>
        <v/>
      </c>
      <c r="C138" s="46">
        <f>IF(OR((($A138-Simulador!$E$6)/Simulador!$G$6)&lt;=0,(($A138-Simulador!$E$6)/Simulador!$G$6)&gt;=1),0,IF((($A138-Simulador!$E$6)/Simulador!$G$6)&lt;Simulador!$B$11,Simulador!$B$9*(1-COS(PI()*(($A138-Simulador!$E$6)/Simulador!$G$6)/Simulador!$B$11))/2,IF((($A138-Simulador!$E$6)/Simulador!$G$6)&gt;1-Simulador!$B$11,Simulador!$B$9*(1-COS(PI()*(1-(($A138-Simulador!$E$6)/Simulador!$G$6))/Simulador!$B$11))/2,Simulador!$B$9)))</f>
        <v/>
      </c>
      <c r="D138" s="46">
        <f>IF(OR((($A138-Simulador!$E$7)/Simulador!$G$7)&lt;=0,(($A138-Simulador!$E$7)/Simulador!$G$7)&gt;=1),0,IF((($A138-Simulador!$E$7)/Simulador!$G$7)&lt;Simulador!$B$11,Simulador!$B$9*(1-COS(PI()*(($A138-Simulador!$E$7)/Simulador!$G$7)/Simulador!$B$11))/2,IF((($A138-Simulador!$E$7)/Simulador!$G$7)&gt;1-Simulador!$B$11,Simulador!$B$9*(1-COS(PI()*(1-(($A138-Simulador!$E$7)/Simulador!$G$7))/Simulador!$B$11))/2,Simulador!$B$9)))</f>
        <v/>
      </c>
      <c r="E138" s="46">
        <f>IF(OR((($A138-Simulador!$E$8)/Simulador!$G$8)&lt;=0,(($A138-Simulador!$E$8)/Simulador!$G$8)&gt;=1),0,IF((($A138-Simulador!$E$8)/Simulador!$G$8)&lt;Simulador!$B$11,Simulador!$B$10*(1-COS(PI()*(($A138-Simulador!$E$8)/Simulador!$G$8)/Simulador!$B$11))/2,IF((($A138-Simulador!$E$8)/Simulador!$G$8)&gt;1-Simulador!$B$11,Simulador!$B$10*(1-COS(PI()*(1-(($A138-Simulador!$E$8)/Simulador!$G$8))/Simulador!$B$11))/2,Simulador!$B$10)))</f>
        <v/>
      </c>
      <c r="F138" s="46">
        <f>IF(OR((($A138-Simulador!$E$9)/Simulador!$G$9)&lt;=0,(($A138-Simulador!$E$9)/Simulador!$G$9)&gt;=1),0,IF((($A138-Simulador!$E$9)/Simulador!$G$9)&lt;Simulador!$B$11,Simulador!$B$10*(1-COS(PI()*(($A138-Simulador!$E$9)/Simulador!$G$9)/Simulador!$B$11))/2,IF((($A138-Simulador!$E$9)/Simulador!$G$9)&gt;1-Simulador!$B$11,Simulador!$B$10*(1-COS(PI()*(1-(($A138-Simulador!$E$9)/Simulador!$G$9))/Simulador!$B$11))/2,Simulador!$B$10)))</f>
        <v/>
      </c>
      <c r="G138" s="46">
        <f>IF(OR((($A138-Simulador!$E$10)/Simulador!$G$10)&lt;=0,(($A138-Simulador!$E$10)/Simulador!$G$10)&gt;=1),0,IF((($A138-Simulador!$E$10)/Simulador!$G$10)&lt;Simulador!$B$11,Simulador!$B$10*(1-COS(PI()*(($A138-Simulador!$E$10)/Simulador!$G$10)/Simulador!$B$11))/2,IF((($A138-Simulador!$E$10)/Simulador!$G$10)&gt;1-Simulador!$B$11,Simulador!$B$10*(1-COS(PI()*(1-(($A138-Simulador!$E$10)/Simulador!$G$10))/Simulador!$B$11))/2,Simulador!$B$10)))</f>
        <v/>
      </c>
      <c r="Q138" s="48">
        <f>IF(OR((($A138-(Simulador!$E$6+'Salto de dientes'!$B$12))/Simulador!$G$6)&lt;=0,(($A138-(Simulador!$E$6+'Salto de dientes'!$B$12))/Simulador!$G$6)&gt;=1),0,IF((($A138-(Simulador!$E$6+'Salto de dientes'!$B$12))/Simulador!$G$6)&lt;Simulador!$B$11,Simulador!$B$9*(1-COS(PI()*(($A138-(Simulador!$E$6+'Salto de dientes'!$B$12))/Simulador!$G$6)/Simulador!$B$11))/2,IF((($A138-(Simulador!$E$6+'Salto de dientes'!$B$12))/Simulador!$G$6)&gt;1-Simulador!$B$11,Simulador!$B$9*(1-COS(PI()*(1-(($A138-(Simulador!$E$6+'Salto de dientes'!$B$12))/Simulador!$G$6))/Simulador!$B$11))/2,Simulador!$B$9)))</f>
        <v/>
      </c>
      <c r="R138" s="48">
        <f>IF(OR((($A138-(Simulador!$E$9+'Salto de dientes'!$B$12))/Simulador!$G$9)&lt;=0,(($A138-(Simulador!$E$9+'Salto de dientes'!$B$12))/Simulador!$G$9)&gt;=1),0,IF((($A138-(Simulador!$E$9+'Salto de dientes'!$B$12))/Simulador!$G$9)&lt;Simulador!$B$11,Simulador!$B$10*(1-COS(PI()*(($A138-(Simulador!$E$9+'Salto de dientes'!$B$12))/Simulador!$G$9)/Simulador!$B$11))/2,IF((($A138-(Simulador!$E$9+'Salto de dientes'!$B$12))/Simulador!$G$9)&gt;1-Simulador!$B$11,Simulador!$B$10*(1-COS(PI()*(1-(($A138-(Simulador!$E$9+'Salto de dientes'!$B$12))/Simulador!$G$9))/Simulador!$B$11))/2,Simulador!$B$10)))</f>
        <v/>
      </c>
    </row>
    <row r="139">
      <c r="A139" s="26">
        <f>A138+Simulador!$B$14</f>
        <v/>
      </c>
      <c r="B139" s="46">
        <f>IF(OR((($A139-Simulador!$E$5)/Simulador!$G$5)&lt;=0,(($A139-Simulador!$E$5)/Simulador!$G$5)&gt;=1),0,IF((($A139-Simulador!$E$5)/Simulador!$G$5)&lt;Simulador!$B$11,Simulador!$B$9*(1-COS(PI()*(($A139-Simulador!$E$5)/Simulador!$G$5)/Simulador!$B$11))/2,IF((($A139-Simulador!$E$5)/Simulador!$G$5)&gt;1-Simulador!$B$11,Simulador!$B$9*(1-COS(PI()*(1-(($A139-Simulador!$E$5)/Simulador!$G$5))/Simulador!$B$11))/2,Simulador!$B$9)))</f>
        <v/>
      </c>
      <c r="C139" s="46">
        <f>IF(OR((($A139-Simulador!$E$6)/Simulador!$G$6)&lt;=0,(($A139-Simulador!$E$6)/Simulador!$G$6)&gt;=1),0,IF((($A139-Simulador!$E$6)/Simulador!$G$6)&lt;Simulador!$B$11,Simulador!$B$9*(1-COS(PI()*(($A139-Simulador!$E$6)/Simulador!$G$6)/Simulador!$B$11))/2,IF((($A139-Simulador!$E$6)/Simulador!$G$6)&gt;1-Simulador!$B$11,Simulador!$B$9*(1-COS(PI()*(1-(($A139-Simulador!$E$6)/Simulador!$G$6))/Simulador!$B$11))/2,Simulador!$B$9)))</f>
        <v/>
      </c>
      <c r="D139" s="46">
        <f>IF(OR((($A139-Simulador!$E$7)/Simulador!$G$7)&lt;=0,(($A139-Simulador!$E$7)/Simulador!$G$7)&gt;=1),0,IF((($A139-Simulador!$E$7)/Simulador!$G$7)&lt;Simulador!$B$11,Simulador!$B$9*(1-COS(PI()*(($A139-Simulador!$E$7)/Simulador!$G$7)/Simulador!$B$11))/2,IF((($A139-Simulador!$E$7)/Simulador!$G$7)&gt;1-Simulador!$B$11,Simulador!$B$9*(1-COS(PI()*(1-(($A139-Simulador!$E$7)/Simulador!$G$7))/Simulador!$B$11))/2,Simulador!$B$9)))</f>
        <v/>
      </c>
      <c r="E139" s="46">
        <f>IF(OR((($A139-Simulador!$E$8)/Simulador!$G$8)&lt;=0,(($A139-Simulador!$E$8)/Simulador!$G$8)&gt;=1),0,IF((($A139-Simulador!$E$8)/Simulador!$G$8)&lt;Simulador!$B$11,Simulador!$B$10*(1-COS(PI()*(($A139-Simulador!$E$8)/Simulador!$G$8)/Simulador!$B$11))/2,IF((($A139-Simulador!$E$8)/Simulador!$G$8)&gt;1-Simulador!$B$11,Simulador!$B$10*(1-COS(PI()*(1-(($A139-Simulador!$E$8)/Simulador!$G$8))/Simulador!$B$11))/2,Simulador!$B$10)))</f>
        <v/>
      </c>
      <c r="F139" s="46">
        <f>IF(OR((($A139-Simulador!$E$9)/Simulador!$G$9)&lt;=0,(($A139-Simulador!$E$9)/Simulador!$G$9)&gt;=1),0,IF((($A139-Simulador!$E$9)/Simulador!$G$9)&lt;Simulador!$B$11,Simulador!$B$10*(1-COS(PI()*(($A139-Simulador!$E$9)/Simulador!$G$9)/Simulador!$B$11))/2,IF((($A139-Simulador!$E$9)/Simulador!$G$9)&gt;1-Simulador!$B$11,Simulador!$B$10*(1-COS(PI()*(1-(($A139-Simulador!$E$9)/Simulador!$G$9))/Simulador!$B$11))/2,Simulador!$B$10)))</f>
        <v/>
      </c>
      <c r="G139" s="46">
        <f>IF(OR((($A139-Simulador!$E$10)/Simulador!$G$10)&lt;=0,(($A139-Simulador!$E$10)/Simulador!$G$10)&gt;=1),0,IF((($A139-Simulador!$E$10)/Simulador!$G$10)&lt;Simulador!$B$11,Simulador!$B$10*(1-COS(PI()*(($A139-Simulador!$E$10)/Simulador!$G$10)/Simulador!$B$11))/2,IF((($A139-Simulador!$E$10)/Simulador!$G$10)&gt;1-Simulador!$B$11,Simulador!$B$10*(1-COS(PI()*(1-(($A139-Simulador!$E$10)/Simulador!$G$10))/Simulador!$B$11))/2,Simulador!$B$10)))</f>
        <v/>
      </c>
      <c r="Q139" s="48">
        <f>IF(OR((($A139-(Simulador!$E$6+'Salto de dientes'!$B$12))/Simulador!$G$6)&lt;=0,(($A139-(Simulador!$E$6+'Salto de dientes'!$B$12))/Simulador!$G$6)&gt;=1),0,IF((($A139-(Simulador!$E$6+'Salto de dientes'!$B$12))/Simulador!$G$6)&lt;Simulador!$B$11,Simulador!$B$9*(1-COS(PI()*(($A139-(Simulador!$E$6+'Salto de dientes'!$B$12))/Simulador!$G$6)/Simulador!$B$11))/2,IF((($A139-(Simulador!$E$6+'Salto de dientes'!$B$12))/Simulador!$G$6)&gt;1-Simulador!$B$11,Simulador!$B$9*(1-COS(PI()*(1-(($A139-(Simulador!$E$6+'Salto de dientes'!$B$12))/Simulador!$G$6))/Simulador!$B$11))/2,Simulador!$B$9)))</f>
        <v/>
      </c>
      <c r="R139" s="48">
        <f>IF(OR((($A139-(Simulador!$E$9+'Salto de dientes'!$B$12))/Simulador!$G$9)&lt;=0,(($A139-(Simulador!$E$9+'Salto de dientes'!$B$12))/Simulador!$G$9)&gt;=1),0,IF((($A139-(Simulador!$E$9+'Salto de dientes'!$B$12))/Simulador!$G$9)&lt;Simulador!$B$11,Simulador!$B$10*(1-COS(PI()*(($A139-(Simulador!$E$9+'Salto de dientes'!$B$12))/Simulador!$G$9)/Simulador!$B$11))/2,IF((($A139-(Simulador!$E$9+'Salto de dientes'!$B$12))/Simulador!$G$9)&gt;1-Simulador!$B$11,Simulador!$B$10*(1-COS(PI()*(1-(($A139-(Simulador!$E$9+'Salto de dientes'!$B$12))/Simulador!$G$9))/Simulador!$B$11))/2,Simulador!$B$10)))</f>
        <v/>
      </c>
    </row>
    <row r="140">
      <c r="A140" s="26">
        <f>A139+Simulador!$B$14</f>
        <v/>
      </c>
      <c r="B140" s="46">
        <f>IF(OR((($A140-Simulador!$E$5)/Simulador!$G$5)&lt;=0,(($A140-Simulador!$E$5)/Simulador!$G$5)&gt;=1),0,IF((($A140-Simulador!$E$5)/Simulador!$G$5)&lt;Simulador!$B$11,Simulador!$B$9*(1-COS(PI()*(($A140-Simulador!$E$5)/Simulador!$G$5)/Simulador!$B$11))/2,IF((($A140-Simulador!$E$5)/Simulador!$G$5)&gt;1-Simulador!$B$11,Simulador!$B$9*(1-COS(PI()*(1-(($A140-Simulador!$E$5)/Simulador!$G$5))/Simulador!$B$11))/2,Simulador!$B$9)))</f>
        <v/>
      </c>
      <c r="C140" s="46">
        <f>IF(OR((($A140-Simulador!$E$6)/Simulador!$G$6)&lt;=0,(($A140-Simulador!$E$6)/Simulador!$G$6)&gt;=1),0,IF((($A140-Simulador!$E$6)/Simulador!$G$6)&lt;Simulador!$B$11,Simulador!$B$9*(1-COS(PI()*(($A140-Simulador!$E$6)/Simulador!$G$6)/Simulador!$B$11))/2,IF((($A140-Simulador!$E$6)/Simulador!$G$6)&gt;1-Simulador!$B$11,Simulador!$B$9*(1-COS(PI()*(1-(($A140-Simulador!$E$6)/Simulador!$G$6))/Simulador!$B$11))/2,Simulador!$B$9)))</f>
        <v/>
      </c>
      <c r="D140" s="46">
        <f>IF(OR((($A140-Simulador!$E$7)/Simulador!$G$7)&lt;=0,(($A140-Simulador!$E$7)/Simulador!$G$7)&gt;=1),0,IF((($A140-Simulador!$E$7)/Simulador!$G$7)&lt;Simulador!$B$11,Simulador!$B$9*(1-COS(PI()*(($A140-Simulador!$E$7)/Simulador!$G$7)/Simulador!$B$11))/2,IF((($A140-Simulador!$E$7)/Simulador!$G$7)&gt;1-Simulador!$B$11,Simulador!$B$9*(1-COS(PI()*(1-(($A140-Simulador!$E$7)/Simulador!$G$7))/Simulador!$B$11))/2,Simulador!$B$9)))</f>
        <v/>
      </c>
      <c r="E140" s="46">
        <f>IF(OR((($A140-Simulador!$E$8)/Simulador!$G$8)&lt;=0,(($A140-Simulador!$E$8)/Simulador!$G$8)&gt;=1),0,IF((($A140-Simulador!$E$8)/Simulador!$G$8)&lt;Simulador!$B$11,Simulador!$B$10*(1-COS(PI()*(($A140-Simulador!$E$8)/Simulador!$G$8)/Simulador!$B$11))/2,IF((($A140-Simulador!$E$8)/Simulador!$G$8)&gt;1-Simulador!$B$11,Simulador!$B$10*(1-COS(PI()*(1-(($A140-Simulador!$E$8)/Simulador!$G$8))/Simulador!$B$11))/2,Simulador!$B$10)))</f>
        <v/>
      </c>
      <c r="F140" s="46">
        <f>IF(OR((($A140-Simulador!$E$9)/Simulador!$G$9)&lt;=0,(($A140-Simulador!$E$9)/Simulador!$G$9)&gt;=1),0,IF((($A140-Simulador!$E$9)/Simulador!$G$9)&lt;Simulador!$B$11,Simulador!$B$10*(1-COS(PI()*(($A140-Simulador!$E$9)/Simulador!$G$9)/Simulador!$B$11))/2,IF((($A140-Simulador!$E$9)/Simulador!$G$9)&gt;1-Simulador!$B$11,Simulador!$B$10*(1-COS(PI()*(1-(($A140-Simulador!$E$9)/Simulador!$G$9))/Simulador!$B$11))/2,Simulador!$B$10)))</f>
        <v/>
      </c>
      <c r="G140" s="46">
        <f>IF(OR((($A140-Simulador!$E$10)/Simulador!$G$10)&lt;=0,(($A140-Simulador!$E$10)/Simulador!$G$10)&gt;=1),0,IF((($A140-Simulador!$E$10)/Simulador!$G$10)&lt;Simulador!$B$11,Simulador!$B$10*(1-COS(PI()*(($A140-Simulador!$E$10)/Simulador!$G$10)/Simulador!$B$11))/2,IF((($A140-Simulador!$E$10)/Simulador!$G$10)&gt;1-Simulador!$B$11,Simulador!$B$10*(1-COS(PI()*(1-(($A140-Simulador!$E$10)/Simulador!$G$10))/Simulador!$B$11))/2,Simulador!$B$10)))</f>
        <v/>
      </c>
      <c r="Q140" s="48">
        <f>IF(OR((($A140-(Simulador!$E$6+'Salto de dientes'!$B$12))/Simulador!$G$6)&lt;=0,(($A140-(Simulador!$E$6+'Salto de dientes'!$B$12))/Simulador!$G$6)&gt;=1),0,IF((($A140-(Simulador!$E$6+'Salto de dientes'!$B$12))/Simulador!$G$6)&lt;Simulador!$B$11,Simulador!$B$9*(1-COS(PI()*(($A140-(Simulador!$E$6+'Salto de dientes'!$B$12))/Simulador!$G$6)/Simulador!$B$11))/2,IF((($A140-(Simulador!$E$6+'Salto de dientes'!$B$12))/Simulador!$G$6)&gt;1-Simulador!$B$11,Simulador!$B$9*(1-COS(PI()*(1-(($A140-(Simulador!$E$6+'Salto de dientes'!$B$12))/Simulador!$G$6))/Simulador!$B$11))/2,Simulador!$B$9)))</f>
        <v/>
      </c>
      <c r="R140" s="48">
        <f>IF(OR((($A140-(Simulador!$E$9+'Salto de dientes'!$B$12))/Simulador!$G$9)&lt;=0,(($A140-(Simulador!$E$9+'Salto de dientes'!$B$12))/Simulador!$G$9)&gt;=1),0,IF((($A140-(Simulador!$E$9+'Salto de dientes'!$B$12))/Simulador!$G$9)&lt;Simulador!$B$11,Simulador!$B$10*(1-COS(PI()*(($A140-(Simulador!$E$9+'Salto de dientes'!$B$12))/Simulador!$G$9)/Simulador!$B$11))/2,IF((($A140-(Simulador!$E$9+'Salto de dientes'!$B$12))/Simulador!$G$9)&gt;1-Simulador!$B$11,Simulador!$B$10*(1-COS(PI()*(1-(($A140-(Simulador!$E$9+'Salto de dientes'!$B$12))/Simulador!$G$9))/Simulador!$B$11))/2,Simulador!$B$10)))</f>
        <v/>
      </c>
    </row>
    <row r="141">
      <c r="A141" s="26">
        <f>A140+Simulador!$B$14</f>
        <v/>
      </c>
      <c r="B141" s="46">
        <f>IF(OR((($A141-Simulador!$E$5)/Simulador!$G$5)&lt;=0,(($A141-Simulador!$E$5)/Simulador!$G$5)&gt;=1),0,IF((($A141-Simulador!$E$5)/Simulador!$G$5)&lt;Simulador!$B$11,Simulador!$B$9*(1-COS(PI()*(($A141-Simulador!$E$5)/Simulador!$G$5)/Simulador!$B$11))/2,IF((($A141-Simulador!$E$5)/Simulador!$G$5)&gt;1-Simulador!$B$11,Simulador!$B$9*(1-COS(PI()*(1-(($A141-Simulador!$E$5)/Simulador!$G$5))/Simulador!$B$11))/2,Simulador!$B$9)))</f>
        <v/>
      </c>
      <c r="C141" s="46">
        <f>IF(OR((($A141-Simulador!$E$6)/Simulador!$G$6)&lt;=0,(($A141-Simulador!$E$6)/Simulador!$G$6)&gt;=1),0,IF((($A141-Simulador!$E$6)/Simulador!$G$6)&lt;Simulador!$B$11,Simulador!$B$9*(1-COS(PI()*(($A141-Simulador!$E$6)/Simulador!$G$6)/Simulador!$B$11))/2,IF((($A141-Simulador!$E$6)/Simulador!$G$6)&gt;1-Simulador!$B$11,Simulador!$B$9*(1-COS(PI()*(1-(($A141-Simulador!$E$6)/Simulador!$G$6))/Simulador!$B$11))/2,Simulador!$B$9)))</f>
        <v/>
      </c>
      <c r="D141" s="46">
        <f>IF(OR((($A141-Simulador!$E$7)/Simulador!$G$7)&lt;=0,(($A141-Simulador!$E$7)/Simulador!$G$7)&gt;=1),0,IF((($A141-Simulador!$E$7)/Simulador!$G$7)&lt;Simulador!$B$11,Simulador!$B$9*(1-COS(PI()*(($A141-Simulador!$E$7)/Simulador!$G$7)/Simulador!$B$11))/2,IF((($A141-Simulador!$E$7)/Simulador!$G$7)&gt;1-Simulador!$B$11,Simulador!$B$9*(1-COS(PI()*(1-(($A141-Simulador!$E$7)/Simulador!$G$7))/Simulador!$B$11))/2,Simulador!$B$9)))</f>
        <v/>
      </c>
      <c r="E141" s="46">
        <f>IF(OR((($A141-Simulador!$E$8)/Simulador!$G$8)&lt;=0,(($A141-Simulador!$E$8)/Simulador!$G$8)&gt;=1),0,IF((($A141-Simulador!$E$8)/Simulador!$G$8)&lt;Simulador!$B$11,Simulador!$B$10*(1-COS(PI()*(($A141-Simulador!$E$8)/Simulador!$G$8)/Simulador!$B$11))/2,IF((($A141-Simulador!$E$8)/Simulador!$G$8)&gt;1-Simulador!$B$11,Simulador!$B$10*(1-COS(PI()*(1-(($A141-Simulador!$E$8)/Simulador!$G$8))/Simulador!$B$11))/2,Simulador!$B$10)))</f>
        <v/>
      </c>
      <c r="F141" s="46">
        <f>IF(OR((($A141-Simulador!$E$9)/Simulador!$G$9)&lt;=0,(($A141-Simulador!$E$9)/Simulador!$G$9)&gt;=1),0,IF((($A141-Simulador!$E$9)/Simulador!$G$9)&lt;Simulador!$B$11,Simulador!$B$10*(1-COS(PI()*(($A141-Simulador!$E$9)/Simulador!$G$9)/Simulador!$B$11))/2,IF((($A141-Simulador!$E$9)/Simulador!$G$9)&gt;1-Simulador!$B$11,Simulador!$B$10*(1-COS(PI()*(1-(($A141-Simulador!$E$9)/Simulador!$G$9))/Simulador!$B$11))/2,Simulador!$B$10)))</f>
        <v/>
      </c>
      <c r="G141" s="46">
        <f>IF(OR((($A141-Simulador!$E$10)/Simulador!$G$10)&lt;=0,(($A141-Simulador!$E$10)/Simulador!$G$10)&gt;=1),0,IF((($A141-Simulador!$E$10)/Simulador!$G$10)&lt;Simulador!$B$11,Simulador!$B$10*(1-COS(PI()*(($A141-Simulador!$E$10)/Simulador!$G$10)/Simulador!$B$11))/2,IF((($A141-Simulador!$E$10)/Simulador!$G$10)&gt;1-Simulador!$B$11,Simulador!$B$10*(1-COS(PI()*(1-(($A141-Simulador!$E$10)/Simulador!$G$10))/Simulador!$B$11))/2,Simulador!$B$10)))</f>
        <v/>
      </c>
      <c r="Q141" s="48">
        <f>IF(OR((($A141-(Simulador!$E$6+'Salto de dientes'!$B$12))/Simulador!$G$6)&lt;=0,(($A141-(Simulador!$E$6+'Salto de dientes'!$B$12))/Simulador!$G$6)&gt;=1),0,IF((($A141-(Simulador!$E$6+'Salto de dientes'!$B$12))/Simulador!$G$6)&lt;Simulador!$B$11,Simulador!$B$9*(1-COS(PI()*(($A141-(Simulador!$E$6+'Salto de dientes'!$B$12))/Simulador!$G$6)/Simulador!$B$11))/2,IF((($A141-(Simulador!$E$6+'Salto de dientes'!$B$12))/Simulador!$G$6)&gt;1-Simulador!$B$11,Simulador!$B$9*(1-COS(PI()*(1-(($A141-(Simulador!$E$6+'Salto de dientes'!$B$12))/Simulador!$G$6))/Simulador!$B$11))/2,Simulador!$B$9)))</f>
        <v/>
      </c>
      <c r="R141" s="48">
        <f>IF(OR((($A141-(Simulador!$E$9+'Salto de dientes'!$B$12))/Simulador!$G$9)&lt;=0,(($A141-(Simulador!$E$9+'Salto de dientes'!$B$12))/Simulador!$G$9)&gt;=1),0,IF((($A141-(Simulador!$E$9+'Salto de dientes'!$B$12))/Simulador!$G$9)&lt;Simulador!$B$11,Simulador!$B$10*(1-COS(PI()*(($A141-(Simulador!$E$9+'Salto de dientes'!$B$12))/Simulador!$G$9)/Simulador!$B$11))/2,IF((($A141-(Simulador!$E$9+'Salto de dientes'!$B$12))/Simulador!$G$9)&gt;1-Simulador!$B$11,Simulador!$B$10*(1-COS(PI()*(1-(($A141-(Simulador!$E$9+'Salto de dientes'!$B$12))/Simulador!$G$9))/Simulador!$B$11))/2,Simulador!$B$10)))</f>
        <v/>
      </c>
    </row>
    <row r="142">
      <c r="A142" s="26">
        <f>A141+Simulador!$B$14</f>
        <v/>
      </c>
      <c r="B142" s="46">
        <f>IF(OR((($A142-Simulador!$E$5)/Simulador!$G$5)&lt;=0,(($A142-Simulador!$E$5)/Simulador!$G$5)&gt;=1),0,IF((($A142-Simulador!$E$5)/Simulador!$G$5)&lt;Simulador!$B$11,Simulador!$B$9*(1-COS(PI()*(($A142-Simulador!$E$5)/Simulador!$G$5)/Simulador!$B$11))/2,IF((($A142-Simulador!$E$5)/Simulador!$G$5)&gt;1-Simulador!$B$11,Simulador!$B$9*(1-COS(PI()*(1-(($A142-Simulador!$E$5)/Simulador!$G$5))/Simulador!$B$11))/2,Simulador!$B$9)))</f>
        <v/>
      </c>
      <c r="C142" s="46">
        <f>IF(OR((($A142-Simulador!$E$6)/Simulador!$G$6)&lt;=0,(($A142-Simulador!$E$6)/Simulador!$G$6)&gt;=1),0,IF((($A142-Simulador!$E$6)/Simulador!$G$6)&lt;Simulador!$B$11,Simulador!$B$9*(1-COS(PI()*(($A142-Simulador!$E$6)/Simulador!$G$6)/Simulador!$B$11))/2,IF((($A142-Simulador!$E$6)/Simulador!$G$6)&gt;1-Simulador!$B$11,Simulador!$B$9*(1-COS(PI()*(1-(($A142-Simulador!$E$6)/Simulador!$G$6))/Simulador!$B$11))/2,Simulador!$B$9)))</f>
        <v/>
      </c>
      <c r="D142" s="46">
        <f>IF(OR((($A142-Simulador!$E$7)/Simulador!$G$7)&lt;=0,(($A142-Simulador!$E$7)/Simulador!$G$7)&gt;=1),0,IF((($A142-Simulador!$E$7)/Simulador!$G$7)&lt;Simulador!$B$11,Simulador!$B$9*(1-COS(PI()*(($A142-Simulador!$E$7)/Simulador!$G$7)/Simulador!$B$11))/2,IF((($A142-Simulador!$E$7)/Simulador!$G$7)&gt;1-Simulador!$B$11,Simulador!$B$9*(1-COS(PI()*(1-(($A142-Simulador!$E$7)/Simulador!$G$7))/Simulador!$B$11))/2,Simulador!$B$9)))</f>
        <v/>
      </c>
      <c r="E142" s="46">
        <f>IF(OR((($A142-Simulador!$E$8)/Simulador!$G$8)&lt;=0,(($A142-Simulador!$E$8)/Simulador!$G$8)&gt;=1),0,IF((($A142-Simulador!$E$8)/Simulador!$G$8)&lt;Simulador!$B$11,Simulador!$B$10*(1-COS(PI()*(($A142-Simulador!$E$8)/Simulador!$G$8)/Simulador!$B$11))/2,IF((($A142-Simulador!$E$8)/Simulador!$G$8)&gt;1-Simulador!$B$11,Simulador!$B$10*(1-COS(PI()*(1-(($A142-Simulador!$E$8)/Simulador!$G$8))/Simulador!$B$11))/2,Simulador!$B$10)))</f>
        <v/>
      </c>
      <c r="F142" s="46">
        <f>IF(OR((($A142-Simulador!$E$9)/Simulador!$G$9)&lt;=0,(($A142-Simulador!$E$9)/Simulador!$G$9)&gt;=1),0,IF((($A142-Simulador!$E$9)/Simulador!$G$9)&lt;Simulador!$B$11,Simulador!$B$10*(1-COS(PI()*(($A142-Simulador!$E$9)/Simulador!$G$9)/Simulador!$B$11))/2,IF((($A142-Simulador!$E$9)/Simulador!$G$9)&gt;1-Simulador!$B$11,Simulador!$B$10*(1-COS(PI()*(1-(($A142-Simulador!$E$9)/Simulador!$G$9))/Simulador!$B$11))/2,Simulador!$B$10)))</f>
        <v/>
      </c>
      <c r="G142" s="46">
        <f>IF(OR((($A142-Simulador!$E$10)/Simulador!$G$10)&lt;=0,(($A142-Simulador!$E$10)/Simulador!$G$10)&gt;=1),0,IF((($A142-Simulador!$E$10)/Simulador!$G$10)&lt;Simulador!$B$11,Simulador!$B$10*(1-COS(PI()*(($A142-Simulador!$E$10)/Simulador!$G$10)/Simulador!$B$11))/2,IF((($A142-Simulador!$E$10)/Simulador!$G$10)&gt;1-Simulador!$B$11,Simulador!$B$10*(1-COS(PI()*(1-(($A142-Simulador!$E$10)/Simulador!$G$10))/Simulador!$B$11))/2,Simulador!$B$10)))</f>
        <v/>
      </c>
      <c r="Q142" s="48">
        <f>IF(OR((($A142-(Simulador!$E$6+'Salto de dientes'!$B$12))/Simulador!$G$6)&lt;=0,(($A142-(Simulador!$E$6+'Salto de dientes'!$B$12))/Simulador!$G$6)&gt;=1),0,IF((($A142-(Simulador!$E$6+'Salto de dientes'!$B$12))/Simulador!$G$6)&lt;Simulador!$B$11,Simulador!$B$9*(1-COS(PI()*(($A142-(Simulador!$E$6+'Salto de dientes'!$B$12))/Simulador!$G$6)/Simulador!$B$11))/2,IF((($A142-(Simulador!$E$6+'Salto de dientes'!$B$12))/Simulador!$G$6)&gt;1-Simulador!$B$11,Simulador!$B$9*(1-COS(PI()*(1-(($A142-(Simulador!$E$6+'Salto de dientes'!$B$12))/Simulador!$G$6))/Simulador!$B$11))/2,Simulador!$B$9)))</f>
        <v/>
      </c>
      <c r="R142" s="48">
        <f>IF(OR((($A142-(Simulador!$E$9+'Salto de dientes'!$B$12))/Simulador!$G$9)&lt;=0,(($A142-(Simulador!$E$9+'Salto de dientes'!$B$12))/Simulador!$G$9)&gt;=1),0,IF((($A142-(Simulador!$E$9+'Salto de dientes'!$B$12))/Simulador!$G$9)&lt;Simulador!$B$11,Simulador!$B$10*(1-COS(PI()*(($A142-(Simulador!$E$9+'Salto de dientes'!$B$12))/Simulador!$G$9)/Simulador!$B$11))/2,IF((($A142-(Simulador!$E$9+'Salto de dientes'!$B$12))/Simulador!$G$9)&gt;1-Simulador!$B$11,Simulador!$B$10*(1-COS(PI()*(1-(($A142-(Simulador!$E$9+'Salto de dientes'!$B$12))/Simulador!$G$9))/Simulador!$B$11))/2,Simulador!$B$10)))</f>
        <v/>
      </c>
    </row>
    <row r="143">
      <c r="A143" s="26">
        <f>A142+Simulador!$B$14</f>
        <v/>
      </c>
      <c r="B143" s="46">
        <f>IF(OR((($A143-Simulador!$E$5)/Simulador!$G$5)&lt;=0,(($A143-Simulador!$E$5)/Simulador!$G$5)&gt;=1),0,IF((($A143-Simulador!$E$5)/Simulador!$G$5)&lt;Simulador!$B$11,Simulador!$B$9*(1-COS(PI()*(($A143-Simulador!$E$5)/Simulador!$G$5)/Simulador!$B$11))/2,IF((($A143-Simulador!$E$5)/Simulador!$G$5)&gt;1-Simulador!$B$11,Simulador!$B$9*(1-COS(PI()*(1-(($A143-Simulador!$E$5)/Simulador!$G$5))/Simulador!$B$11))/2,Simulador!$B$9)))</f>
        <v/>
      </c>
      <c r="C143" s="46">
        <f>IF(OR((($A143-Simulador!$E$6)/Simulador!$G$6)&lt;=0,(($A143-Simulador!$E$6)/Simulador!$G$6)&gt;=1),0,IF((($A143-Simulador!$E$6)/Simulador!$G$6)&lt;Simulador!$B$11,Simulador!$B$9*(1-COS(PI()*(($A143-Simulador!$E$6)/Simulador!$G$6)/Simulador!$B$11))/2,IF((($A143-Simulador!$E$6)/Simulador!$G$6)&gt;1-Simulador!$B$11,Simulador!$B$9*(1-COS(PI()*(1-(($A143-Simulador!$E$6)/Simulador!$G$6))/Simulador!$B$11))/2,Simulador!$B$9)))</f>
        <v/>
      </c>
      <c r="D143" s="46">
        <f>IF(OR((($A143-Simulador!$E$7)/Simulador!$G$7)&lt;=0,(($A143-Simulador!$E$7)/Simulador!$G$7)&gt;=1),0,IF((($A143-Simulador!$E$7)/Simulador!$G$7)&lt;Simulador!$B$11,Simulador!$B$9*(1-COS(PI()*(($A143-Simulador!$E$7)/Simulador!$G$7)/Simulador!$B$11))/2,IF((($A143-Simulador!$E$7)/Simulador!$G$7)&gt;1-Simulador!$B$11,Simulador!$B$9*(1-COS(PI()*(1-(($A143-Simulador!$E$7)/Simulador!$G$7))/Simulador!$B$11))/2,Simulador!$B$9)))</f>
        <v/>
      </c>
      <c r="E143" s="46">
        <f>IF(OR((($A143-Simulador!$E$8)/Simulador!$G$8)&lt;=0,(($A143-Simulador!$E$8)/Simulador!$G$8)&gt;=1),0,IF((($A143-Simulador!$E$8)/Simulador!$G$8)&lt;Simulador!$B$11,Simulador!$B$10*(1-COS(PI()*(($A143-Simulador!$E$8)/Simulador!$G$8)/Simulador!$B$11))/2,IF((($A143-Simulador!$E$8)/Simulador!$G$8)&gt;1-Simulador!$B$11,Simulador!$B$10*(1-COS(PI()*(1-(($A143-Simulador!$E$8)/Simulador!$G$8))/Simulador!$B$11))/2,Simulador!$B$10)))</f>
        <v/>
      </c>
      <c r="F143" s="46">
        <f>IF(OR((($A143-Simulador!$E$9)/Simulador!$G$9)&lt;=0,(($A143-Simulador!$E$9)/Simulador!$G$9)&gt;=1),0,IF((($A143-Simulador!$E$9)/Simulador!$G$9)&lt;Simulador!$B$11,Simulador!$B$10*(1-COS(PI()*(($A143-Simulador!$E$9)/Simulador!$G$9)/Simulador!$B$11))/2,IF((($A143-Simulador!$E$9)/Simulador!$G$9)&gt;1-Simulador!$B$11,Simulador!$B$10*(1-COS(PI()*(1-(($A143-Simulador!$E$9)/Simulador!$G$9))/Simulador!$B$11))/2,Simulador!$B$10)))</f>
        <v/>
      </c>
      <c r="G143" s="46">
        <f>IF(OR((($A143-Simulador!$E$10)/Simulador!$G$10)&lt;=0,(($A143-Simulador!$E$10)/Simulador!$G$10)&gt;=1),0,IF((($A143-Simulador!$E$10)/Simulador!$G$10)&lt;Simulador!$B$11,Simulador!$B$10*(1-COS(PI()*(($A143-Simulador!$E$10)/Simulador!$G$10)/Simulador!$B$11))/2,IF((($A143-Simulador!$E$10)/Simulador!$G$10)&gt;1-Simulador!$B$11,Simulador!$B$10*(1-COS(PI()*(1-(($A143-Simulador!$E$10)/Simulador!$G$10))/Simulador!$B$11))/2,Simulador!$B$10)))</f>
        <v/>
      </c>
      <c r="Q143" s="48">
        <f>IF(OR((($A143-(Simulador!$E$6+'Salto de dientes'!$B$12))/Simulador!$G$6)&lt;=0,(($A143-(Simulador!$E$6+'Salto de dientes'!$B$12))/Simulador!$G$6)&gt;=1),0,IF((($A143-(Simulador!$E$6+'Salto de dientes'!$B$12))/Simulador!$G$6)&lt;Simulador!$B$11,Simulador!$B$9*(1-COS(PI()*(($A143-(Simulador!$E$6+'Salto de dientes'!$B$12))/Simulador!$G$6)/Simulador!$B$11))/2,IF((($A143-(Simulador!$E$6+'Salto de dientes'!$B$12))/Simulador!$G$6)&gt;1-Simulador!$B$11,Simulador!$B$9*(1-COS(PI()*(1-(($A143-(Simulador!$E$6+'Salto de dientes'!$B$12))/Simulador!$G$6))/Simulador!$B$11))/2,Simulador!$B$9)))</f>
        <v/>
      </c>
      <c r="R143" s="48">
        <f>IF(OR((($A143-(Simulador!$E$9+'Salto de dientes'!$B$12))/Simulador!$G$9)&lt;=0,(($A143-(Simulador!$E$9+'Salto de dientes'!$B$12))/Simulador!$G$9)&gt;=1),0,IF((($A143-(Simulador!$E$9+'Salto de dientes'!$B$12))/Simulador!$G$9)&lt;Simulador!$B$11,Simulador!$B$10*(1-COS(PI()*(($A143-(Simulador!$E$9+'Salto de dientes'!$B$12))/Simulador!$G$9)/Simulador!$B$11))/2,IF((($A143-(Simulador!$E$9+'Salto de dientes'!$B$12))/Simulador!$G$9)&gt;1-Simulador!$B$11,Simulador!$B$10*(1-COS(PI()*(1-(($A143-(Simulador!$E$9+'Salto de dientes'!$B$12))/Simulador!$G$9))/Simulador!$B$11))/2,Simulador!$B$10)))</f>
        <v/>
      </c>
    </row>
    <row r="144">
      <c r="A144" s="26">
        <f>A143+Simulador!$B$14</f>
        <v/>
      </c>
      <c r="B144" s="46">
        <f>IF(OR((($A144-Simulador!$E$5)/Simulador!$G$5)&lt;=0,(($A144-Simulador!$E$5)/Simulador!$G$5)&gt;=1),0,IF((($A144-Simulador!$E$5)/Simulador!$G$5)&lt;Simulador!$B$11,Simulador!$B$9*(1-COS(PI()*(($A144-Simulador!$E$5)/Simulador!$G$5)/Simulador!$B$11))/2,IF((($A144-Simulador!$E$5)/Simulador!$G$5)&gt;1-Simulador!$B$11,Simulador!$B$9*(1-COS(PI()*(1-(($A144-Simulador!$E$5)/Simulador!$G$5))/Simulador!$B$11))/2,Simulador!$B$9)))</f>
        <v/>
      </c>
      <c r="C144" s="46">
        <f>IF(OR((($A144-Simulador!$E$6)/Simulador!$G$6)&lt;=0,(($A144-Simulador!$E$6)/Simulador!$G$6)&gt;=1),0,IF((($A144-Simulador!$E$6)/Simulador!$G$6)&lt;Simulador!$B$11,Simulador!$B$9*(1-COS(PI()*(($A144-Simulador!$E$6)/Simulador!$G$6)/Simulador!$B$11))/2,IF((($A144-Simulador!$E$6)/Simulador!$G$6)&gt;1-Simulador!$B$11,Simulador!$B$9*(1-COS(PI()*(1-(($A144-Simulador!$E$6)/Simulador!$G$6))/Simulador!$B$11))/2,Simulador!$B$9)))</f>
        <v/>
      </c>
      <c r="D144" s="46">
        <f>IF(OR((($A144-Simulador!$E$7)/Simulador!$G$7)&lt;=0,(($A144-Simulador!$E$7)/Simulador!$G$7)&gt;=1),0,IF((($A144-Simulador!$E$7)/Simulador!$G$7)&lt;Simulador!$B$11,Simulador!$B$9*(1-COS(PI()*(($A144-Simulador!$E$7)/Simulador!$G$7)/Simulador!$B$11))/2,IF((($A144-Simulador!$E$7)/Simulador!$G$7)&gt;1-Simulador!$B$11,Simulador!$B$9*(1-COS(PI()*(1-(($A144-Simulador!$E$7)/Simulador!$G$7))/Simulador!$B$11))/2,Simulador!$B$9)))</f>
        <v/>
      </c>
      <c r="E144" s="46">
        <f>IF(OR((($A144-Simulador!$E$8)/Simulador!$G$8)&lt;=0,(($A144-Simulador!$E$8)/Simulador!$G$8)&gt;=1),0,IF((($A144-Simulador!$E$8)/Simulador!$G$8)&lt;Simulador!$B$11,Simulador!$B$10*(1-COS(PI()*(($A144-Simulador!$E$8)/Simulador!$G$8)/Simulador!$B$11))/2,IF((($A144-Simulador!$E$8)/Simulador!$G$8)&gt;1-Simulador!$B$11,Simulador!$B$10*(1-COS(PI()*(1-(($A144-Simulador!$E$8)/Simulador!$G$8))/Simulador!$B$11))/2,Simulador!$B$10)))</f>
        <v/>
      </c>
      <c r="F144" s="46">
        <f>IF(OR((($A144-Simulador!$E$9)/Simulador!$G$9)&lt;=0,(($A144-Simulador!$E$9)/Simulador!$G$9)&gt;=1),0,IF((($A144-Simulador!$E$9)/Simulador!$G$9)&lt;Simulador!$B$11,Simulador!$B$10*(1-COS(PI()*(($A144-Simulador!$E$9)/Simulador!$G$9)/Simulador!$B$11))/2,IF((($A144-Simulador!$E$9)/Simulador!$G$9)&gt;1-Simulador!$B$11,Simulador!$B$10*(1-COS(PI()*(1-(($A144-Simulador!$E$9)/Simulador!$G$9))/Simulador!$B$11))/2,Simulador!$B$10)))</f>
        <v/>
      </c>
      <c r="G144" s="46">
        <f>IF(OR((($A144-Simulador!$E$10)/Simulador!$G$10)&lt;=0,(($A144-Simulador!$E$10)/Simulador!$G$10)&gt;=1),0,IF((($A144-Simulador!$E$10)/Simulador!$G$10)&lt;Simulador!$B$11,Simulador!$B$10*(1-COS(PI()*(($A144-Simulador!$E$10)/Simulador!$G$10)/Simulador!$B$11))/2,IF((($A144-Simulador!$E$10)/Simulador!$G$10)&gt;1-Simulador!$B$11,Simulador!$B$10*(1-COS(PI()*(1-(($A144-Simulador!$E$10)/Simulador!$G$10))/Simulador!$B$11))/2,Simulador!$B$10)))</f>
        <v/>
      </c>
      <c r="Q144" s="48">
        <f>IF(OR((($A144-(Simulador!$E$6+'Salto de dientes'!$B$12))/Simulador!$G$6)&lt;=0,(($A144-(Simulador!$E$6+'Salto de dientes'!$B$12))/Simulador!$G$6)&gt;=1),0,IF((($A144-(Simulador!$E$6+'Salto de dientes'!$B$12))/Simulador!$G$6)&lt;Simulador!$B$11,Simulador!$B$9*(1-COS(PI()*(($A144-(Simulador!$E$6+'Salto de dientes'!$B$12))/Simulador!$G$6)/Simulador!$B$11))/2,IF((($A144-(Simulador!$E$6+'Salto de dientes'!$B$12))/Simulador!$G$6)&gt;1-Simulador!$B$11,Simulador!$B$9*(1-COS(PI()*(1-(($A144-(Simulador!$E$6+'Salto de dientes'!$B$12))/Simulador!$G$6))/Simulador!$B$11))/2,Simulador!$B$9)))</f>
        <v/>
      </c>
      <c r="R144" s="48">
        <f>IF(OR((($A144-(Simulador!$E$9+'Salto de dientes'!$B$12))/Simulador!$G$9)&lt;=0,(($A144-(Simulador!$E$9+'Salto de dientes'!$B$12))/Simulador!$G$9)&gt;=1),0,IF((($A144-(Simulador!$E$9+'Salto de dientes'!$B$12))/Simulador!$G$9)&lt;Simulador!$B$11,Simulador!$B$10*(1-COS(PI()*(($A144-(Simulador!$E$9+'Salto de dientes'!$B$12))/Simulador!$G$9)/Simulador!$B$11))/2,IF((($A144-(Simulador!$E$9+'Salto de dientes'!$B$12))/Simulador!$G$9)&gt;1-Simulador!$B$11,Simulador!$B$10*(1-COS(PI()*(1-(($A144-(Simulador!$E$9+'Salto de dientes'!$B$12))/Simulador!$G$9))/Simulador!$B$11))/2,Simulador!$B$10)))</f>
        <v/>
      </c>
    </row>
    <row r="145">
      <c r="A145" s="26">
        <f>A144+Simulador!$B$14</f>
        <v/>
      </c>
      <c r="B145" s="46">
        <f>IF(OR((($A145-Simulador!$E$5)/Simulador!$G$5)&lt;=0,(($A145-Simulador!$E$5)/Simulador!$G$5)&gt;=1),0,IF((($A145-Simulador!$E$5)/Simulador!$G$5)&lt;Simulador!$B$11,Simulador!$B$9*(1-COS(PI()*(($A145-Simulador!$E$5)/Simulador!$G$5)/Simulador!$B$11))/2,IF((($A145-Simulador!$E$5)/Simulador!$G$5)&gt;1-Simulador!$B$11,Simulador!$B$9*(1-COS(PI()*(1-(($A145-Simulador!$E$5)/Simulador!$G$5))/Simulador!$B$11))/2,Simulador!$B$9)))</f>
        <v/>
      </c>
      <c r="C145" s="46">
        <f>IF(OR((($A145-Simulador!$E$6)/Simulador!$G$6)&lt;=0,(($A145-Simulador!$E$6)/Simulador!$G$6)&gt;=1),0,IF((($A145-Simulador!$E$6)/Simulador!$G$6)&lt;Simulador!$B$11,Simulador!$B$9*(1-COS(PI()*(($A145-Simulador!$E$6)/Simulador!$G$6)/Simulador!$B$11))/2,IF((($A145-Simulador!$E$6)/Simulador!$G$6)&gt;1-Simulador!$B$11,Simulador!$B$9*(1-COS(PI()*(1-(($A145-Simulador!$E$6)/Simulador!$G$6))/Simulador!$B$11))/2,Simulador!$B$9)))</f>
        <v/>
      </c>
      <c r="D145" s="46">
        <f>IF(OR((($A145-Simulador!$E$7)/Simulador!$G$7)&lt;=0,(($A145-Simulador!$E$7)/Simulador!$G$7)&gt;=1),0,IF((($A145-Simulador!$E$7)/Simulador!$G$7)&lt;Simulador!$B$11,Simulador!$B$9*(1-COS(PI()*(($A145-Simulador!$E$7)/Simulador!$G$7)/Simulador!$B$11))/2,IF((($A145-Simulador!$E$7)/Simulador!$G$7)&gt;1-Simulador!$B$11,Simulador!$B$9*(1-COS(PI()*(1-(($A145-Simulador!$E$7)/Simulador!$G$7))/Simulador!$B$11))/2,Simulador!$B$9)))</f>
        <v/>
      </c>
      <c r="E145" s="46">
        <f>IF(OR((($A145-Simulador!$E$8)/Simulador!$G$8)&lt;=0,(($A145-Simulador!$E$8)/Simulador!$G$8)&gt;=1),0,IF((($A145-Simulador!$E$8)/Simulador!$G$8)&lt;Simulador!$B$11,Simulador!$B$10*(1-COS(PI()*(($A145-Simulador!$E$8)/Simulador!$G$8)/Simulador!$B$11))/2,IF((($A145-Simulador!$E$8)/Simulador!$G$8)&gt;1-Simulador!$B$11,Simulador!$B$10*(1-COS(PI()*(1-(($A145-Simulador!$E$8)/Simulador!$G$8))/Simulador!$B$11))/2,Simulador!$B$10)))</f>
        <v/>
      </c>
      <c r="F145" s="46">
        <f>IF(OR((($A145-Simulador!$E$9)/Simulador!$G$9)&lt;=0,(($A145-Simulador!$E$9)/Simulador!$G$9)&gt;=1),0,IF((($A145-Simulador!$E$9)/Simulador!$G$9)&lt;Simulador!$B$11,Simulador!$B$10*(1-COS(PI()*(($A145-Simulador!$E$9)/Simulador!$G$9)/Simulador!$B$11))/2,IF((($A145-Simulador!$E$9)/Simulador!$G$9)&gt;1-Simulador!$B$11,Simulador!$B$10*(1-COS(PI()*(1-(($A145-Simulador!$E$9)/Simulador!$G$9))/Simulador!$B$11))/2,Simulador!$B$10)))</f>
        <v/>
      </c>
      <c r="G145" s="46">
        <f>IF(OR((($A145-Simulador!$E$10)/Simulador!$G$10)&lt;=0,(($A145-Simulador!$E$10)/Simulador!$G$10)&gt;=1),0,IF((($A145-Simulador!$E$10)/Simulador!$G$10)&lt;Simulador!$B$11,Simulador!$B$10*(1-COS(PI()*(($A145-Simulador!$E$10)/Simulador!$G$10)/Simulador!$B$11))/2,IF((($A145-Simulador!$E$10)/Simulador!$G$10)&gt;1-Simulador!$B$11,Simulador!$B$10*(1-COS(PI()*(1-(($A145-Simulador!$E$10)/Simulador!$G$10))/Simulador!$B$11))/2,Simulador!$B$10)))</f>
        <v/>
      </c>
      <c r="Q145" s="48">
        <f>IF(OR((($A145-(Simulador!$E$6+'Salto de dientes'!$B$12))/Simulador!$G$6)&lt;=0,(($A145-(Simulador!$E$6+'Salto de dientes'!$B$12))/Simulador!$G$6)&gt;=1),0,IF((($A145-(Simulador!$E$6+'Salto de dientes'!$B$12))/Simulador!$G$6)&lt;Simulador!$B$11,Simulador!$B$9*(1-COS(PI()*(($A145-(Simulador!$E$6+'Salto de dientes'!$B$12))/Simulador!$G$6)/Simulador!$B$11))/2,IF((($A145-(Simulador!$E$6+'Salto de dientes'!$B$12))/Simulador!$G$6)&gt;1-Simulador!$B$11,Simulador!$B$9*(1-COS(PI()*(1-(($A145-(Simulador!$E$6+'Salto de dientes'!$B$12))/Simulador!$G$6))/Simulador!$B$11))/2,Simulador!$B$9)))</f>
        <v/>
      </c>
      <c r="R145" s="48">
        <f>IF(OR((($A145-(Simulador!$E$9+'Salto de dientes'!$B$12))/Simulador!$G$9)&lt;=0,(($A145-(Simulador!$E$9+'Salto de dientes'!$B$12))/Simulador!$G$9)&gt;=1),0,IF((($A145-(Simulador!$E$9+'Salto de dientes'!$B$12))/Simulador!$G$9)&lt;Simulador!$B$11,Simulador!$B$10*(1-COS(PI()*(($A145-(Simulador!$E$9+'Salto de dientes'!$B$12))/Simulador!$G$9)/Simulador!$B$11))/2,IF((($A145-(Simulador!$E$9+'Salto de dientes'!$B$12))/Simulador!$G$9)&gt;1-Simulador!$B$11,Simulador!$B$10*(1-COS(PI()*(1-(($A145-(Simulador!$E$9+'Salto de dientes'!$B$12))/Simulador!$G$9))/Simulador!$B$11))/2,Simulador!$B$10)))</f>
        <v/>
      </c>
    </row>
    <row r="146">
      <c r="A146" s="26">
        <f>A145+Simulador!$B$14</f>
        <v/>
      </c>
      <c r="B146" s="46">
        <f>IF(OR((($A146-Simulador!$E$5)/Simulador!$G$5)&lt;=0,(($A146-Simulador!$E$5)/Simulador!$G$5)&gt;=1),0,IF((($A146-Simulador!$E$5)/Simulador!$G$5)&lt;Simulador!$B$11,Simulador!$B$9*(1-COS(PI()*(($A146-Simulador!$E$5)/Simulador!$G$5)/Simulador!$B$11))/2,IF((($A146-Simulador!$E$5)/Simulador!$G$5)&gt;1-Simulador!$B$11,Simulador!$B$9*(1-COS(PI()*(1-(($A146-Simulador!$E$5)/Simulador!$G$5))/Simulador!$B$11))/2,Simulador!$B$9)))</f>
        <v/>
      </c>
      <c r="C146" s="46">
        <f>IF(OR((($A146-Simulador!$E$6)/Simulador!$G$6)&lt;=0,(($A146-Simulador!$E$6)/Simulador!$G$6)&gt;=1),0,IF((($A146-Simulador!$E$6)/Simulador!$G$6)&lt;Simulador!$B$11,Simulador!$B$9*(1-COS(PI()*(($A146-Simulador!$E$6)/Simulador!$G$6)/Simulador!$B$11))/2,IF((($A146-Simulador!$E$6)/Simulador!$G$6)&gt;1-Simulador!$B$11,Simulador!$B$9*(1-COS(PI()*(1-(($A146-Simulador!$E$6)/Simulador!$G$6))/Simulador!$B$11))/2,Simulador!$B$9)))</f>
        <v/>
      </c>
      <c r="D146" s="46">
        <f>IF(OR((($A146-Simulador!$E$7)/Simulador!$G$7)&lt;=0,(($A146-Simulador!$E$7)/Simulador!$G$7)&gt;=1),0,IF((($A146-Simulador!$E$7)/Simulador!$G$7)&lt;Simulador!$B$11,Simulador!$B$9*(1-COS(PI()*(($A146-Simulador!$E$7)/Simulador!$G$7)/Simulador!$B$11))/2,IF((($A146-Simulador!$E$7)/Simulador!$G$7)&gt;1-Simulador!$B$11,Simulador!$B$9*(1-COS(PI()*(1-(($A146-Simulador!$E$7)/Simulador!$G$7))/Simulador!$B$11))/2,Simulador!$B$9)))</f>
        <v/>
      </c>
      <c r="E146" s="46">
        <f>IF(OR((($A146-Simulador!$E$8)/Simulador!$G$8)&lt;=0,(($A146-Simulador!$E$8)/Simulador!$G$8)&gt;=1),0,IF((($A146-Simulador!$E$8)/Simulador!$G$8)&lt;Simulador!$B$11,Simulador!$B$10*(1-COS(PI()*(($A146-Simulador!$E$8)/Simulador!$G$8)/Simulador!$B$11))/2,IF((($A146-Simulador!$E$8)/Simulador!$G$8)&gt;1-Simulador!$B$11,Simulador!$B$10*(1-COS(PI()*(1-(($A146-Simulador!$E$8)/Simulador!$G$8))/Simulador!$B$11))/2,Simulador!$B$10)))</f>
        <v/>
      </c>
      <c r="F146" s="46">
        <f>IF(OR((($A146-Simulador!$E$9)/Simulador!$G$9)&lt;=0,(($A146-Simulador!$E$9)/Simulador!$G$9)&gt;=1),0,IF((($A146-Simulador!$E$9)/Simulador!$G$9)&lt;Simulador!$B$11,Simulador!$B$10*(1-COS(PI()*(($A146-Simulador!$E$9)/Simulador!$G$9)/Simulador!$B$11))/2,IF((($A146-Simulador!$E$9)/Simulador!$G$9)&gt;1-Simulador!$B$11,Simulador!$B$10*(1-COS(PI()*(1-(($A146-Simulador!$E$9)/Simulador!$G$9))/Simulador!$B$11))/2,Simulador!$B$10)))</f>
        <v/>
      </c>
      <c r="G146" s="46">
        <f>IF(OR((($A146-Simulador!$E$10)/Simulador!$G$10)&lt;=0,(($A146-Simulador!$E$10)/Simulador!$G$10)&gt;=1),0,IF((($A146-Simulador!$E$10)/Simulador!$G$10)&lt;Simulador!$B$11,Simulador!$B$10*(1-COS(PI()*(($A146-Simulador!$E$10)/Simulador!$G$10)/Simulador!$B$11))/2,IF((($A146-Simulador!$E$10)/Simulador!$G$10)&gt;1-Simulador!$B$11,Simulador!$B$10*(1-COS(PI()*(1-(($A146-Simulador!$E$10)/Simulador!$G$10))/Simulador!$B$11))/2,Simulador!$B$10)))</f>
        <v/>
      </c>
      <c r="Q146" s="48">
        <f>IF(OR((($A146-(Simulador!$E$6+'Salto de dientes'!$B$12))/Simulador!$G$6)&lt;=0,(($A146-(Simulador!$E$6+'Salto de dientes'!$B$12))/Simulador!$G$6)&gt;=1),0,IF((($A146-(Simulador!$E$6+'Salto de dientes'!$B$12))/Simulador!$G$6)&lt;Simulador!$B$11,Simulador!$B$9*(1-COS(PI()*(($A146-(Simulador!$E$6+'Salto de dientes'!$B$12))/Simulador!$G$6)/Simulador!$B$11))/2,IF((($A146-(Simulador!$E$6+'Salto de dientes'!$B$12))/Simulador!$G$6)&gt;1-Simulador!$B$11,Simulador!$B$9*(1-COS(PI()*(1-(($A146-(Simulador!$E$6+'Salto de dientes'!$B$12))/Simulador!$G$6))/Simulador!$B$11))/2,Simulador!$B$9)))</f>
        <v/>
      </c>
      <c r="R146" s="48">
        <f>IF(OR((($A146-(Simulador!$E$9+'Salto de dientes'!$B$12))/Simulador!$G$9)&lt;=0,(($A146-(Simulador!$E$9+'Salto de dientes'!$B$12))/Simulador!$G$9)&gt;=1),0,IF((($A146-(Simulador!$E$9+'Salto de dientes'!$B$12))/Simulador!$G$9)&lt;Simulador!$B$11,Simulador!$B$10*(1-COS(PI()*(($A146-(Simulador!$E$9+'Salto de dientes'!$B$12))/Simulador!$G$9)/Simulador!$B$11))/2,IF((($A146-(Simulador!$E$9+'Salto de dientes'!$B$12))/Simulador!$G$9)&gt;1-Simulador!$B$11,Simulador!$B$10*(1-COS(PI()*(1-(($A146-(Simulador!$E$9+'Salto de dientes'!$B$12))/Simulador!$G$9))/Simulador!$B$11))/2,Simulador!$B$10)))</f>
        <v/>
      </c>
    </row>
    <row r="147">
      <c r="A147" s="26">
        <f>A146+Simulador!$B$14</f>
        <v/>
      </c>
      <c r="B147" s="46">
        <f>IF(OR((($A147-Simulador!$E$5)/Simulador!$G$5)&lt;=0,(($A147-Simulador!$E$5)/Simulador!$G$5)&gt;=1),0,IF((($A147-Simulador!$E$5)/Simulador!$G$5)&lt;Simulador!$B$11,Simulador!$B$9*(1-COS(PI()*(($A147-Simulador!$E$5)/Simulador!$G$5)/Simulador!$B$11))/2,IF((($A147-Simulador!$E$5)/Simulador!$G$5)&gt;1-Simulador!$B$11,Simulador!$B$9*(1-COS(PI()*(1-(($A147-Simulador!$E$5)/Simulador!$G$5))/Simulador!$B$11))/2,Simulador!$B$9)))</f>
        <v/>
      </c>
      <c r="C147" s="46">
        <f>IF(OR((($A147-Simulador!$E$6)/Simulador!$G$6)&lt;=0,(($A147-Simulador!$E$6)/Simulador!$G$6)&gt;=1),0,IF((($A147-Simulador!$E$6)/Simulador!$G$6)&lt;Simulador!$B$11,Simulador!$B$9*(1-COS(PI()*(($A147-Simulador!$E$6)/Simulador!$G$6)/Simulador!$B$11))/2,IF((($A147-Simulador!$E$6)/Simulador!$G$6)&gt;1-Simulador!$B$11,Simulador!$B$9*(1-COS(PI()*(1-(($A147-Simulador!$E$6)/Simulador!$G$6))/Simulador!$B$11))/2,Simulador!$B$9)))</f>
        <v/>
      </c>
      <c r="D147" s="46">
        <f>IF(OR((($A147-Simulador!$E$7)/Simulador!$G$7)&lt;=0,(($A147-Simulador!$E$7)/Simulador!$G$7)&gt;=1),0,IF((($A147-Simulador!$E$7)/Simulador!$G$7)&lt;Simulador!$B$11,Simulador!$B$9*(1-COS(PI()*(($A147-Simulador!$E$7)/Simulador!$G$7)/Simulador!$B$11))/2,IF((($A147-Simulador!$E$7)/Simulador!$G$7)&gt;1-Simulador!$B$11,Simulador!$B$9*(1-COS(PI()*(1-(($A147-Simulador!$E$7)/Simulador!$G$7))/Simulador!$B$11))/2,Simulador!$B$9)))</f>
        <v/>
      </c>
      <c r="E147" s="46">
        <f>IF(OR((($A147-Simulador!$E$8)/Simulador!$G$8)&lt;=0,(($A147-Simulador!$E$8)/Simulador!$G$8)&gt;=1),0,IF((($A147-Simulador!$E$8)/Simulador!$G$8)&lt;Simulador!$B$11,Simulador!$B$10*(1-COS(PI()*(($A147-Simulador!$E$8)/Simulador!$G$8)/Simulador!$B$11))/2,IF((($A147-Simulador!$E$8)/Simulador!$G$8)&gt;1-Simulador!$B$11,Simulador!$B$10*(1-COS(PI()*(1-(($A147-Simulador!$E$8)/Simulador!$G$8))/Simulador!$B$11))/2,Simulador!$B$10)))</f>
        <v/>
      </c>
      <c r="F147" s="46">
        <f>IF(OR((($A147-Simulador!$E$9)/Simulador!$G$9)&lt;=0,(($A147-Simulador!$E$9)/Simulador!$G$9)&gt;=1),0,IF((($A147-Simulador!$E$9)/Simulador!$G$9)&lt;Simulador!$B$11,Simulador!$B$10*(1-COS(PI()*(($A147-Simulador!$E$9)/Simulador!$G$9)/Simulador!$B$11))/2,IF((($A147-Simulador!$E$9)/Simulador!$G$9)&gt;1-Simulador!$B$11,Simulador!$B$10*(1-COS(PI()*(1-(($A147-Simulador!$E$9)/Simulador!$G$9))/Simulador!$B$11))/2,Simulador!$B$10)))</f>
        <v/>
      </c>
      <c r="G147" s="46">
        <f>IF(OR((($A147-Simulador!$E$10)/Simulador!$G$10)&lt;=0,(($A147-Simulador!$E$10)/Simulador!$G$10)&gt;=1),0,IF((($A147-Simulador!$E$10)/Simulador!$G$10)&lt;Simulador!$B$11,Simulador!$B$10*(1-COS(PI()*(($A147-Simulador!$E$10)/Simulador!$G$10)/Simulador!$B$11))/2,IF((($A147-Simulador!$E$10)/Simulador!$G$10)&gt;1-Simulador!$B$11,Simulador!$B$10*(1-COS(PI()*(1-(($A147-Simulador!$E$10)/Simulador!$G$10))/Simulador!$B$11))/2,Simulador!$B$10)))</f>
        <v/>
      </c>
      <c r="Q147" s="48">
        <f>IF(OR((($A147-(Simulador!$E$6+'Salto de dientes'!$B$12))/Simulador!$G$6)&lt;=0,(($A147-(Simulador!$E$6+'Salto de dientes'!$B$12))/Simulador!$G$6)&gt;=1),0,IF((($A147-(Simulador!$E$6+'Salto de dientes'!$B$12))/Simulador!$G$6)&lt;Simulador!$B$11,Simulador!$B$9*(1-COS(PI()*(($A147-(Simulador!$E$6+'Salto de dientes'!$B$12))/Simulador!$G$6)/Simulador!$B$11))/2,IF((($A147-(Simulador!$E$6+'Salto de dientes'!$B$12))/Simulador!$G$6)&gt;1-Simulador!$B$11,Simulador!$B$9*(1-COS(PI()*(1-(($A147-(Simulador!$E$6+'Salto de dientes'!$B$12))/Simulador!$G$6))/Simulador!$B$11))/2,Simulador!$B$9)))</f>
        <v/>
      </c>
      <c r="R147" s="48">
        <f>IF(OR((($A147-(Simulador!$E$9+'Salto de dientes'!$B$12))/Simulador!$G$9)&lt;=0,(($A147-(Simulador!$E$9+'Salto de dientes'!$B$12))/Simulador!$G$9)&gt;=1),0,IF((($A147-(Simulador!$E$9+'Salto de dientes'!$B$12))/Simulador!$G$9)&lt;Simulador!$B$11,Simulador!$B$10*(1-COS(PI()*(($A147-(Simulador!$E$9+'Salto de dientes'!$B$12))/Simulador!$G$9)/Simulador!$B$11))/2,IF((($A147-(Simulador!$E$9+'Salto de dientes'!$B$12))/Simulador!$G$9)&gt;1-Simulador!$B$11,Simulador!$B$10*(1-COS(PI()*(1-(($A147-(Simulador!$E$9+'Salto de dientes'!$B$12))/Simulador!$G$9))/Simulador!$B$11))/2,Simulador!$B$10)))</f>
        <v/>
      </c>
    </row>
    <row r="148">
      <c r="A148" s="26">
        <f>A147+Simulador!$B$14</f>
        <v/>
      </c>
      <c r="B148" s="46">
        <f>IF(OR((($A148-Simulador!$E$5)/Simulador!$G$5)&lt;=0,(($A148-Simulador!$E$5)/Simulador!$G$5)&gt;=1),0,IF((($A148-Simulador!$E$5)/Simulador!$G$5)&lt;Simulador!$B$11,Simulador!$B$9*(1-COS(PI()*(($A148-Simulador!$E$5)/Simulador!$G$5)/Simulador!$B$11))/2,IF((($A148-Simulador!$E$5)/Simulador!$G$5)&gt;1-Simulador!$B$11,Simulador!$B$9*(1-COS(PI()*(1-(($A148-Simulador!$E$5)/Simulador!$G$5))/Simulador!$B$11))/2,Simulador!$B$9)))</f>
        <v/>
      </c>
      <c r="C148" s="46">
        <f>IF(OR((($A148-Simulador!$E$6)/Simulador!$G$6)&lt;=0,(($A148-Simulador!$E$6)/Simulador!$G$6)&gt;=1),0,IF((($A148-Simulador!$E$6)/Simulador!$G$6)&lt;Simulador!$B$11,Simulador!$B$9*(1-COS(PI()*(($A148-Simulador!$E$6)/Simulador!$G$6)/Simulador!$B$11))/2,IF((($A148-Simulador!$E$6)/Simulador!$G$6)&gt;1-Simulador!$B$11,Simulador!$B$9*(1-COS(PI()*(1-(($A148-Simulador!$E$6)/Simulador!$G$6))/Simulador!$B$11))/2,Simulador!$B$9)))</f>
        <v/>
      </c>
      <c r="D148" s="46">
        <f>IF(OR((($A148-Simulador!$E$7)/Simulador!$G$7)&lt;=0,(($A148-Simulador!$E$7)/Simulador!$G$7)&gt;=1),0,IF((($A148-Simulador!$E$7)/Simulador!$G$7)&lt;Simulador!$B$11,Simulador!$B$9*(1-COS(PI()*(($A148-Simulador!$E$7)/Simulador!$G$7)/Simulador!$B$11))/2,IF((($A148-Simulador!$E$7)/Simulador!$G$7)&gt;1-Simulador!$B$11,Simulador!$B$9*(1-COS(PI()*(1-(($A148-Simulador!$E$7)/Simulador!$G$7))/Simulador!$B$11))/2,Simulador!$B$9)))</f>
        <v/>
      </c>
      <c r="E148" s="46">
        <f>IF(OR((($A148-Simulador!$E$8)/Simulador!$G$8)&lt;=0,(($A148-Simulador!$E$8)/Simulador!$G$8)&gt;=1),0,IF((($A148-Simulador!$E$8)/Simulador!$G$8)&lt;Simulador!$B$11,Simulador!$B$10*(1-COS(PI()*(($A148-Simulador!$E$8)/Simulador!$G$8)/Simulador!$B$11))/2,IF((($A148-Simulador!$E$8)/Simulador!$G$8)&gt;1-Simulador!$B$11,Simulador!$B$10*(1-COS(PI()*(1-(($A148-Simulador!$E$8)/Simulador!$G$8))/Simulador!$B$11))/2,Simulador!$B$10)))</f>
        <v/>
      </c>
      <c r="F148" s="46">
        <f>IF(OR((($A148-Simulador!$E$9)/Simulador!$G$9)&lt;=0,(($A148-Simulador!$E$9)/Simulador!$G$9)&gt;=1),0,IF((($A148-Simulador!$E$9)/Simulador!$G$9)&lt;Simulador!$B$11,Simulador!$B$10*(1-COS(PI()*(($A148-Simulador!$E$9)/Simulador!$G$9)/Simulador!$B$11))/2,IF((($A148-Simulador!$E$9)/Simulador!$G$9)&gt;1-Simulador!$B$11,Simulador!$B$10*(1-COS(PI()*(1-(($A148-Simulador!$E$9)/Simulador!$G$9))/Simulador!$B$11))/2,Simulador!$B$10)))</f>
        <v/>
      </c>
      <c r="G148" s="46">
        <f>IF(OR((($A148-Simulador!$E$10)/Simulador!$G$10)&lt;=0,(($A148-Simulador!$E$10)/Simulador!$G$10)&gt;=1),0,IF((($A148-Simulador!$E$10)/Simulador!$G$10)&lt;Simulador!$B$11,Simulador!$B$10*(1-COS(PI()*(($A148-Simulador!$E$10)/Simulador!$G$10)/Simulador!$B$11))/2,IF((($A148-Simulador!$E$10)/Simulador!$G$10)&gt;1-Simulador!$B$11,Simulador!$B$10*(1-COS(PI()*(1-(($A148-Simulador!$E$10)/Simulador!$G$10))/Simulador!$B$11))/2,Simulador!$B$10)))</f>
        <v/>
      </c>
      <c r="Q148" s="48">
        <f>IF(OR((($A148-(Simulador!$E$6+'Salto de dientes'!$B$12))/Simulador!$G$6)&lt;=0,(($A148-(Simulador!$E$6+'Salto de dientes'!$B$12))/Simulador!$G$6)&gt;=1),0,IF((($A148-(Simulador!$E$6+'Salto de dientes'!$B$12))/Simulador!$G$6)&lt;Simulador!$B$11,Simulador!$B$9*(1-COS(PI()*(($A148-(Simulador!$E$6+'Salto de dientes'!$B$12))/Simulador!$G$6)/Simulador!$B$11))/2,IF((($A148-(Simulador!$E$6+'Salto de dientes'!$B$12))/Simulador!$G$6)&gt;1-Simulador!$B$11,Simulador!$B$9*(1-COS(PI()*(1-(($A148-(Simulador!$E$6+'Salto de dientes'!$B$12))/Simulador!$G$6))/Simulador!$B$11))/2,Simulador!$B$9)))</f>
        <v/>
      </c>
      <c r="R148" s="48">
        <f>IF(OR((($A148-(Simulador!$E$9+'Salto de dientes'!$B$12))/Simulador!$G$9)&lt;=0,(($A148-(Simulador!$E$9+'Salto de dientes'!$B$12))/Simulador!$G$9)&gt;=1),0,IF((($A148-(Simulador!$E$9+'Salto de dientes'!$B$12))/Simulador!$G$9)&lt;Simulador!$B$11,Simulador!$B$10*(1-COS(PI()*(($A148-(Simulador!$E$9+'Salto de dientes'!$B$12))/Simulador!$G$9)/Simulador!$B$11))/2,IF((($A148-(Simulador!$E$9+'Salto de dientes'!$B$12))/Simulador!$G$9)&gt;1-Simulador!$B$11,Simulador!$B$10*(1-COS(PI()*(1-(($A148-(Simulador!$E$9+'Salto de dientes'!$B$12))/Simulador!$G$9))/Simulador!$B$11))/2,Simulador!$B$10)))</f>
        <v/>
      </c>
    </row>
    <row r="149">
      <c r="A149" s="26">
        <f>A148+Simulador!$B$14</f>
        <v/>
      </c>
      <c r="B149" s="46">
        <f>IF(OR((($A149-Simulador!$E$5)/Simulador!$G$5)&lt;=0,(($A149-Simulador!$E$5)/Simulador!$G$5)&gt;=1),0,IF((($A149-Simulador!$E$5)/Simulador!$G$5)&lt;Simulador!$B$11,Simulador!$B$9*(1-COS(PI()*(($A149-Simulador!$E$5)/Simulador!$G$5)/Simulador!$B$11))/2,IF((($A149-Simulador!$E$5)/Simulador!$G$5)&gt;1-Simulador!$B$11,Simulador!$B$9*(1-COS(PI()*(1-(($A149-Simulador!$E$5)/Simulador!$G$5))/Simulador!$B$11))/2,Simulador!$B$9)))</f>
        <v/>
      </c>
      <c r="C149" s="46">
        <f>IF(OR((($A149-Simulador!$E$6)/Simulador!$G$6)&lt;=0,(($A149-Simulador!$E$6)/Simulador!$G$6)&gt;=1),0,IF((($A149-Simulador!$E$6)/Simulador!$G$6)&lt;Simulador!$B$11,Simulador!$B$9*(1-COS(PI()*(($A149-Simulador!$E$6)/Simulador!$G$6)/Simulador!$B$11))/2,IF((($A149-Simulador!$E$6)/Simulador!$G$6)&gt;1-Simulador!$B$11,Simulador!$B$9*(1-COS(PI()*(1-(($A149-Simulador!$E$6)/Simulador!$G$6))/Simulador!$B$11))/2,Simulador!$B$9)))</f>
        <v/>
      </c>
      <c r="D149" s="46">
        <f>IF(OR((($A149-Simulador!$E$7)/Simulador!$G$7)&lt;=0,(($A149-Simulador!$E$7)/Simulador!$G$7)&gt;=1),0,IF((($A149-Simulador!$E$7)/Simulador!$G$7)&lt;Simulador!$B$11,Simulador!$B$9*(1-COS(PI()*(($A149-Simulador!$E$7)/Simulador!$G$7)/Simulador!$B$11))/2,IF((($A149-Simulador!$E$7)/Simulador!$G$7)&gt;1-Simulador!$B$11,Simulador!$B$9*(1-COS(PI()*(1-(($A149-Simulador!$E$7)/Simulador!$G$7))/Simulador!$B$11))/2,Simulador!$B$9)))</f>
        <v/>
      </c>
      <c r="E149" s="46">
        <f>IF(OR((($A149-Simulador!$E$8)/Simulador!$G$8)&lt;=0,(($A149-Simulador!$E$8)/Simulador!$G$8)&gt;=1),0,IF((($A149-Simulador!$E$8)/Simulador!$G$8)&lt;Simulador!$B$11,Simulador!$B$10*(1-COS(PI()*(($A149-Simulador!$E$8)/Simulador!$G$8)/Simulador!$B$11))/2,IF((($A149-Simulador!$E$8)/Simulador!$G$8)&gt;1-Simulador!$B$11,Simulador!$B$10*(1-COS(PI()*(1-(($A149-Simulador!$E$8)/Simulador!$G$8))/Simulador!$B$11))/2,Simulador!$B$10)))</f>
        <v/>
      </c>
      <c r="F149" s="46">
        <f>IF(OR((($A149-Simulador!$E$9)/Simulador!$G$9)&lt;=0,(($A149-Simulador!$E$9)/Simulador!$G$9)&gt;=1),0,IF((($A149-Simulador!$E$9)/Simulador!$G$9)&lt;Simulador!$B$11,Simulador!$B$10*(1-COS(PI()*(($A149-Simulador!$E$9)/Simulador!$G$9)/Simulador!$B$11))/2,IF((($A149-Simulador!$E$9)/Simulador!$G$9)&gt;1-Simulador!$B$11,Simulador!$B$10*(1-COS(PI()*(1-(($A149-Simulador!$E$9)/Simulador!$G$9))/Simulador!$B$11))/2,Simulador!$B$10)))</f>
        <v/>
      </c>
      <c r="G149" s="46">
        <f>IF(OR((($A149-Simulador!$E$10)/Simulador!$G$10)&lt;=0,(($A149-Simulador!$E$10)/Simulador!$G$10)&gt;=1),0,IF((($A149-Simulador!$E$10)/Simulador!$G$10)&lt;Simulador!$B$11,Simulador!$B$10*(1-COS(PI()*(($A149-Simulador!$E$10)/Simulador!$G$10)/Simulador!$B$11))/2,IF((($A149-Simulador!$E$10)/Simulador!$G$10)&gt;1-Simulador!$B$11,Simulador!$B$10*(1-COS(PI()*(1-(($A149-Simulador!$E$10)/Simulador!$G$10))/Simulador!$B$11))/2,Simulador!$B$10)))</f>
        <v/>
      </c>
      <c r="Q149" s="48">
        <f>IF(OR((($A149-(Simulador!$E$6+'Salto de dientes'!$B$12))/Simulador!$G$6)&lt;=0,(($A149-(Simulador!$E$6+'Salto de dientes'!$B$12))/Simulador!$G$6)&gt;=1),0,IF((($A149-(Simulador!$E$6+'Salto de dientes'!$B$12))/Simulador!$G$6)&lt;Simulador!$B$11,Simulador!$B$9*(1-COS(PI()*(($A149-(Simulador!$E$6+'Salto de dientes'!$B$12))/Simulador!$G$6)/Simulador!$B$11))/2,IF((($A149-(Simulador!$E$6+'Salto de dientes'!$B$12))/Simulador!$G$6)&gt;1-Simulador!$B$11,Simulador!$B$9*(1-COS(PI()*(1-(($A149-(Simulador!$E$6+'Salto de dientes'!$B$12))/Simulador!$G$6))/Simulador!$B$11))/2,Simulador!$B$9)))</f>
        <v/>
      </c>
      <c r="R149" s="48">
        <f>IF(OR((($A149-(Simulador!$E$9+'Salto de dientes'!$B$12))/Simulador!$G$9)&lt;=0,(($A149-(Simulador!$E$9+'Salto de dientes'!$B$12))/Simulador!$G$9)&gt;=1),0,IF((($A149-(Simulador!$E$9+'Salto de dientes'!$B$12))/Simulador!$G$9)&lt;Simulador!$B$11,Simulador!$B$10*(1-COS(PI()*(($A149-(Simulador!$E$9+'Salto de dientes'!$B$12))/Simulador!$G$9)/Simulador!$B$11))/2,IF((($A149-(Simulador!$E$9+'Salto de dientes'!$B$12))/Simulador!$G$9)&gt;1-Simulador!$B$11,Simulador!$B$10*(1-COS(PI()*(1-(($A149-(Simulador!$E$9+'Salto de dientes'!$B$12))/Simulador!$G$9))/Simulador!$B$11))/2,Simulador!$B$10)))</f>
        <v/>
      </c>
    </row>
    <row r="150">
      <c r="A150" s="26">
        <f>A149+Simulador!$B$14</f>
        <v/>
      </c>
      <c r="B150" s="46">
        <f>IF(OR((($A150-Simulador!$E$5)/Simulador!$G$5)&lt;=0,(($A150-Simulador!$E$5)/Simulador!$G$5)&gt;=1),0,IF((($A150-Simulador!$E$5)/Simulador!$G$5)&lt;Simulador!$B$11,Simulador!$B$9*(1-COS(PI()*(($A150-Simulador!$E$5)/Simulador!$G$5)/Simulador!$B$11))/2,IF((($A150-Simulador!$E$5)/Simulador!$G$5)&gt;1-Simulador!$B$11,Simulador!$B$9*(1-COS(PI()*(1-(($A150-Simulador!$E$5)/Simulador!$G$5))/Simulador!$B$11))/2,Simulador!$B$9)))</f>
        <v/>
      </c>
      <c r="C150" s="46">
        <f>IF(OR((($A150-Simulador!$E$6)/Simulador!$G$6)&lt;=0,(($A150-Simulador!$E$6)/Simulador!$G$6)&gt;=1),0,IF((($A150-Simulador!$E$6)/Simulador!$G$6)&lt;Simulador!$B$11,Simulador!$B$9*(1-COS(PI()*(($A150-Simulador!$E$6)/Simulador!$G$6)/Simulador!$B$11))/2,IF((($A150-Simulador!$E$6)/Simulador!$G$6)&gt;1-Simulador!$B$11,Simulador!$B$9*(1-COS(PI()*(1-(($A150-Simulador!$E$6)/Simulador!$G$6))/Simulador!$B$11))/2,Simulador!$B$9)))</f>
        <v/>
      </c>
      <c r="D150" s="46">
        <f>IF(OR((($A150-Simulador!$E$7)/Simulador!$G$7)&lt;=0,(($A150-Simulador!$E$7)/Simulador!$G$7)&gt;=1),0,IF((($A150-Simulador!$E$7)/Simulador!$G$7)&lt;Simulador!$B$11,Simulador!$B$9*(1-COS(PI()*(($A150-Simulador!$E$7)/Simulador!$G$7)/Simulador!$B$11))/2,IF((($A150-Simulador!$E$7)/Simulador!$G$7)&gt;1-Simulador!$B$11,Simulador!$B$9*(1-COS(PI()*(1-(($A150-Simulador!$E$7)/Simulador!$G$7))/Simulador!$B$11))/2,Simulador!$B$9)))</f>
        <v/>
      </c>
      <c r="E150" s="46">
        <f>IF(OR((($A150-Simulador!$E$8)/Simulador!$G$8)&lt;=0,(($A150-Simulador!$E$8)/Simulador!$G$8)&gt;=1),0,IF((($A150-Simulador!$E$8)/Simulador!$G$8)&lt;Simulador!$B$11,Simulador!$B$10*(1-COS(PI()*(($A150-Simulador!$E$8)/Simulador!$G$8)/Simulador!$B$11))/2,IF((($A150-Simulador!$E$8)/Simulador!$G$8)&gt;1-Simulador!$B$11,Simulador!$B$10*(1-COS(PI()*(1-(($A150-Simulador!$E$8)/Simulador!$G$8))/Simulador!$B$11))/2,Simulador!$B$10)))</f>
        <v/>
      </c>
      <c r="F150" s="46">
        <f>IF(OR((($A150-Simulador!$E$9)/Simulador!$G$9)&lt;=0,(($A150-Simulador!$E$9)/Simulador!$G$9)&gt;=1),0,IF((($A150-Simulador!$E$9)/Simulador!$G$9)&lt;Simulador!$B$11,Simulador!$B$10*(1-COS(PI()*(($A150-Simulador!$E$9)/Simulador!$G$9)/Simulador!$B$11))/2,IF((($A150-Simulador!$E$9)/Simulador!$G$9)&gt;1-Simulador!$B$11,Simulador!$B$10*(1-COS(PI()*(1-(($A150-Simulador!$E$9)/Simulador!$G$9))/Simulador!$B$11))/2,Simulador!$B$10)))</f>
        <v/>
      </c>
      <c r="G150" s="46">
        <f>IF(OR((($A150-Simulador!$E$10)/Simulador!$G$10)&lt;=0,(($A150-Simulador!$E$10)/Simulador!$G$10)&gt;=1),0,IF((($A150-Simulador!$E$10)/Simulador!$G$10)&lt;Simulador!$B$11,Simulador!$B$10*(1-COS(PI()*(($A150-Simulador!$E$10)/Simulador!$G$10)/Simulador!$B$11))/2,IF((($A150-Simulador!$E$10)/Simulador!$G$10)&gt;1-Simulador!$B$11,Simulador!$B$10*(1-COS(PI()*(1-(($A150-Simulador!$E$10)/Simulador!$G$10))/Simulador!$B$11))/2,Simulador!$B$10)))</f>
        <v/>
      </c>
      <c r="Q150" s="48">
        <f>IF(OR((($A150-(Simulador!$E$6+'Salto de dientes'!$B$12))/Simulador!$G$6)&lt;=0,(($A150-(Simulador!$E$6+'Salto de dientes'!$B$12))/Simulador!$G$6)&gt;=1),0,IF((($A150-(Simulador!$E$6+'Salto de dientes'!$B$12))/Simulador!$G$6)&lt;Simulador!$B$11,Simulador!$B$9*(1-COS(PI()*(($A150-(Simulador!$E$6+'Salto de dientes'!$B$12))/Simulador!$G$6)/Simulador!$B$11))/2,IF((($A150-(Simulador!$E$6+'Salto de dientes'!$B$12))/Simulador!$G$6)&gt;1-Simulador!$B$11,Simulador!$B$9*(1-COS(PI()*(1-(($A150-(Simulador!$E$6+'Salto de dientes'!$B$12))/Simulador!$G$6))/Simulador!$B$11))/2,Simulador!$B$9)))</f>
        <v/>
      </c>
      <c r="R150" s="48">
        <f>IF(OR((($A150-(Simulador!$E$9+'Salto de dientes'!$B$12))/Simulador!$G$9)&lt;=0,(($A150-(Simulador!$E$9+'Salto de dientes'!$B$12))/Simulador!$G$9)&gt;=1),0,IF((($A150-(Simulador!$E$9+'Salto de dientes'!$B$12))/Simulador!$G$9)&lt;Simulador!$B$11,Simulador!$B$10*(1-COS(PI()*(($A150-(Simulador!$E$9+'Salto de dientes'!$B$12))/Simulador!$G$9)/Simulador!$B$11))/2,IF((($A150-(Simulador!$E$9+'Salto de dientes'!$B$12))/Simulador!$G$9)&gt;1-Simulador!$B$11,Simulador!$B$10*(1-COS(PI()*(1-(($A150-(Simulador!$E$9+'Salto de dientes'!$B$12))/Simulador!$G$9))/Simulador!$B$11))/2,Simulador!$B$10)))</f>
        <v/>
      </c>
    </row>
    <row r="151">
      <c r="A151" s="26">
        <f>A150+Simulador!$B$14</f>
        <v/>
      </c>
      <c r="B151" s="46">
        <f>IF(OR((($A151-Simulador!$E$5)/Simulador!$G$5)&lt;=0,(($A151-Simulador!$E$5)/Simulador!$G$5)&gt;=1),0,IF((($A151-Simulador!$E$5)/Simulador!$G$5)&lt;Simulador!$B$11,Simulador!$B$9*(1-COS(PI()*(($A151-Simulador!$E$5)/Simulador!$G$5)/Simulador!$B$11))/2,IF((($A151-Simulador!$E$5)/Simulador!$G$5)&gt;1-Simulador!$B$11,Simulador!$B$9*(1-COS(PI()*(1-(($A151-Simulador!$E$5)/Simulador!$G$5))/Simulador!$B$11))/2,Simulador!$B$9)))</f>
        <v/>
      </c>
      <c r="C151" s="46">
        <f>IF(OR((($A151-Simulador!$E$6)/Simulador!$G$6)&lt;=0,(($A151-Simulador!$E$6)/Simulador!$G$6)&gt;=1),0,IF((($A151-Simulador!$E$6)/Simulador!$G$6)&lt;Simulador!$B$11,Simulador!$B$9*(1-COS(PI()*(($A151-Simulador!$E$6)/Simulador!$G$6)/Simulador!$B$11))/2,IF((($A151-Simulador!$E$6)/Simulador!$G$6)&gt;1-Simulador!$B$11,Simulador!$B$9*(1-COS(PI()*(1-(($A151-Simulador!$E$6)/Simulador!$G$6))/Simulador!$B$11))/2,Simulador!$B$9)))</f>
        <v/>
      </c>
      <c r="D151" s="46">
        <f>IF(OR((($A151-Simulador!$E$7)/Simulador!$G$7)&lt;=0,(($A151-Simulador!$E$7)/Simulador!$G$7)&gt;=1),0,IF((($A151-Simulador!$E$7)/Simulador!$G$7)&lt;Simulador!$B$11,Simulador!$B$9*(1-COS(PI()*(($A151-Simulador!$E$7)/Simulador!$G$7)/Simulador!$B$11))/2,IF((($A151-Simulador!$E$7)/Simulador!$G$7)&gt;1-Simulador!$B$11,Simulador!$B$9*(1-COS(PI()*(1-(($A151-Simulador!$E$7)/Simulador!$G$7))/Simulador!$B$11))/2,Simulador!$B$9)))</f>
        <v/>
      </c>
      <c r="E151" s="46">
        <f>IF(OR((($A151-Simulador!$E$8)/Simulador!$G$8)&lt;=0,(($A151-Simulador!$E$8)/Simulador!$G$8)&gt;=1),0,IF((($A151-Simulador!$E$8)/Simulador!$G$8)&lt;Simulador!$B$11,Simulador!$B$10*(1-COS(PI()*(($A151-Simulador!$E$8)/Simulador!$G$8)/Simulador!$B$11))/2,IF((($A151-Simulador!$E$8)/Simulador!$G$8)&gt;1-Simulador!$B$11,Simulador!$B$10*(1-COS(PI()*(1-(($A151-Simulador!$E$8)/Simulador!$G$8))/Simulador!$B$11))/2,Simulador!$B$10)))</f>
        <v/>
      </c>
      <c r="F151" s="46">
        <f>IF(OR((($A151-Simulador!$E$9)/Simulador!$G$9)&lt;=0,(($A151-Simulador!$E$9)/Simulador!$G$9)&gt;=1),0,IF((($A151-Simulador!$E$9)/Simulador!$G$9)&lt;Simulador!$B$11,Simulador!$B$10*(1-COS(PI()*(($A151-Simulador!$E$9)/Simulador!$G$9)/Simulador!$B$11))/2,IF((($A151-Simulador!$E$9)/Simulador!$G$9)&gt;1-Simulador!$B$11,Simulador!$B$10*(1-COS(PI()*(1-(($A151-Simulador!$E$9)/Simulador!$G$9))/Simulador!$B$11))/2,Simulador!$B$10)))</f>
        <v/>
      </c>
      <c r="G151" s="46">
        <f>IF(OR((($A151-Simulador!$E$10)/Simulador!$G$10)&lt;=0,(($A151-Simulador!$E$10)/Simulador!$G$10)&gt;=1),0,IF((($A151-Simulador!$E$10)/Simulador!$G$10)&lt;Simulador!$B$11,Simulador!$B$10*(1-COS(PI()*(($A151-Simulador!$E$10)/Simulador!$G$10)/Simulador!$B$11))/2,IF((($A151-Simulador!$E$10)/Simulador!$G$10)&gt;1-Simulador!$B$11,Simulador!$B$10*(1-COS(PI()*(1-(($A151-Simulador!$E$10)/Simulador!$G$10))/Simulador!$B$11))/2,Simulador!$B$10)))</f>
        <v/>
      </c>
      <c r="Q151" s="48">
        <f>IF(OR((($A151-(Simulador!$E$6+'Salto de dientes'!$B$12))/Simulador!$G$6)&lt;=0,(($A151-(Simulador!$E$6+'Salto de dientes'!$B$12))/Simulador!$G$6)&gt;=1),0,IF((($A151-(Simulador!$E$6+'Salto de dientes'!$B$12))/Simulador!$G$6)&lt;Simulador!$B$11,Simulador!$B$9*(1-COS(PI()*(($A151-(Simulador!$E$6+'Salto de dientes'!$B$12))/Simulador!$G$6)/Simulador!$B$11))/2,IF((($A151-(Simulador!$E$6+'Salto de dientes'!$B$12))/Simulador!$G$6)&gt;1-Simulador!$B$11,Simulador!$B$9*(1-COS(PI()*(1-(($A151-(Simulador!$E$6+'Salto de dientes'!$B$12))/Simulador!$G$6))/Simulador!$B$11))/2,Simulador!$B$9)))</f>
        <v/>
      </c>
      <c r="R151" s="48">
        <f>IF(OR((($A151-(Simulador!$E$9+'Salto de dientes'!$B$12))/Simulador!$G$9)&lt;=0,(($A151-(Simulador!$E$9+'Salto de dientes'!$B$12))/Simulador!$G$9)&gt;=1),0,IF((($A151-(Simulador!$E$9+'Salto de dientes'!$B$12))/Simulador!$G$9)&lt;Simulador!$B$11,Simulador!$B$10*(1-COS(PI()*(($A151-(Simulador!$E$9+'Salto de dientes'!$B$12))/Simulador!$G$9)/Simulador!$B$11))/2,IF((($A151-(Simulador!$E$9+'Salto de dientes'!$B$12))/Simulador!$G$9)&gt;1-Simulador!$B$11,Simulador!$B$10*(1-COS(PI()*(1-(($A151-(Simulador!$E$9+'Salto de dientes'!$B$12))/Simulador!$G$9))/Simulador!$B$11))/2,Simulador!$B$10)))</f>
        <v/>
      </c>
    </row>
    <row r="152">
      <c r="A152" s="26">
        <f>A151+Simulador!$B$14</f>
        <v/>
      </c>
      <c r="B152" s="46">
        <f>IF(OR((($A152-Simulador!$E$5)/Simulador!$G$5)&lt;=0,(($A152-Simulador!$E$5)/Simulador!$G$5)&gt;=1),0,IF((($A152-Simulador!$E$5)/Simulador!$G$5)&lt;Simulador!$B$11,Simulador!$B$9*(1-COS(PI()*(($A152-Simulador!$E$5)/Simulador!$G$5)/Simulador!$B$11))/2,IF((($A152-Simulador!$E$5)/Simulador!$G$5)&gt;1-Simulador!$B$11,Simulador!$B$9*(1-COS(PI()*(1-(($A152-Simulador!$E$5)/Simulador!$G$5))/Simulador!$B$11))/2,Simulador!$B$9)))</f>
        <v/>
      </c>
      <c r="C152" s="46">
        <f>IF(OR((($A152-Simulador!$E$6)/Simulador!$G$6)&lt;=0,(($A152-Simulador!$E$6)/Simulador!$G$6)&gt;=1),0,IF((($A152-Simulador!$E$6)/Simulador!$G$6)&lt;Simulador!$B$11,Simulador!$B$9*(1-COS(PI()*(($A152-Simulador!$E$6)/Simulador!$G$6)/Simulador!$B$11))/2,IF((($A152-Simulador!$E$6)/Simulador!$G$6)&gt;1-Simulador!$B$11,Simulador!$B$9*(1-COS(PI()*(1-(($A152-Simulador!$E$6)/Simulador!$G$6))/Simulador!$B$11))/2,Simulador!$B$9)))</f>
        <v/>
      </c>
      <c r="D152" s="46">
        <f>IF(OR((($A152-Simulador!$E$7)/Simulador!$G$7)&lt;=0,(($A152-Simulador!$E$7)/Simulador!$G$7)&gt;=1),0,IF((($A152-Simulador!$E$7)/Simulador!$G$7)&lt;Simulador!$B$11,Simulador!$B$9*(1-COS(PI()*(($A152-Simulador!$E$7)/Simulador!$G$7)/Simulador!$B$11))/2,IF((($A152-Simulador!$E$7)/Simulador!$G$7)&gt;1-Simulador!$B$11,Simulador!$B$9*(1-COS(PI()*(1-(($A152-Simulador!$E$7)/Simulador!$G$7))/Simulador!$B$11))/2,Simulador!$B$9)))</f>
        <v/>
      </c>
      <c r="E152" s="46">
        <f>IF(OR((($A152-Simulador!$E$8)/Simulador!$G$8)&lt;=0,(($A152-Simulador!$E$8)/Simulador!$G$8)&gt;=1),0,IF((($A152-Simulador!$E$8)/Simulador!$G$8)&lt;Simulador!$B$11,Simulador!$B$10*(1-COS(PI()*(($A152-Simulador!$E$8)/Simulador!$G$8)/Simulador!$B$11))/2,IF((($A152-Simulador!$E$8)/Simulador!$G$8)&gt;1-Simulador!$B$11,Simulador!$B$10*(1-COS(PI()*(1-(($A152-Simulador!$E$8)/Simulador!$G$8))/Simulador!$B$11))/2,Simulador!$B$10)))</f>
        <v/>
      </c>
      <c r="F152" s="46">
        <f>IF(OR((($A152-Simulador!$E$9)/Simulador!$G$9)&lt;=0,(($A152-Simulador!$E$9)/Simulador!$G$9)&gt;=1),0,IF((($A152-Simulador!$E$9)/Simulador!$G$9)&lt;Simulador!$B$11,Simulador!$B$10*(1-COS(PI()*(($A152-Simulador!$E$9)/Simulador!$G$9)/Simulador!$B$11))/2,IF((($A152-Simulador!$E$9)/Simulador!$G$9)&gt;1-Simulador!$B$11,Simulador!$B$10*(1-COS(PI()*(1-(($A152-Simulador!$E$9)/Simulador!$G$9))/Simulador!$B$11))/2,Simulador!$B$10)))</f>
        <v/>
      </c>
      <c r="G152" s="46">
        <f>IF(OR((($A152-Simulador!$E$10)/Simulador!$G$10)&lt;=0,(($A152-Simulador!$E$10)/Simulador!$G$10)&gt;=1),0,IF((($A152-Simulador!$E$10)/Simulador!$G$10)&lt;Simulador!$B$11,Simulador!$B$10*(1-COS(PI()*(($A152-Simulador!$E$10)/Simulador!$G$10)/Simulador!$B$11))/2,IF((($A152-Simulador!$E$10)/Simulador!$G$10)&gt;1-Simulador!$B$11,Simulador!$B$10*(1-COS(PI()*(1-(($A152-Simulador!$E$10)/Simulador!$G$10))/Simulador!$B$11))/2,Simulador!$B$10)))</f>
        <v/>
      </c>
      <c r="Q152" s="48">
        <f>IF(OR((($A152-(Simulador!$E$6+'Salto de dientes'!$B$12))/Simulador!$G$6)&lt;=0,(($A152-(Simulador!$E$6+'Salto de dientes'!$B$12))/Simulador!$G$6)&gt;=1),0,IF((($A152-(Simulador!$E$6+'Salto de dientes'!$B$12))/Simulador!$G$6)&lt;Simulador!$B$11,Simulador!$B$9*(1-COS(PI()*(($A152-(Simulador!$E$6+'Salto de dientes'!$B$12))/Simulador!$G$6)/Simulador!$B$11))/2,IF((($A152-(Simulador!$E$6+'Salto de dientes'!$B$12))/Simulador!$G$6)&gt;1-Simulador!$B$11,Simulador!$B$9*(1-COS(PI()*(1-(($A152-(Simulador!$E$6+'Salto de dientes'!$B$12))/Simulador!$G$6))/Simulador!$B$11))/2,Simulador!$B$9)))</f>
        <v/>
      </c>
      <c r="R152" s="48">
        <f>IF(OR((($A152-(Simulador!$E$9+'Salto de dientes'!$B$12))/Simulador!$G$9)&lt;=0,(($A152-(Simulador!$E$9+'Salto de dientes'!$B$12))/Simulador!$G$9)&gt;=1),0,IF((($A152-(Simulador!$E$9+'Salto de dientes'!$B$12))/Simulador!$G$9)&lt;Simulador!$B$11,Simulador!$B$10*(1-COS(PI()*(($A152-(Simulador!$E$9+'Salto de dientes'!$B$12))/Simulador!$G$9)/Simulador!$B$11))/2,IF((($A152-(Simulador!$E$9+'Salto de dientes'!$B$12))/Simulador!$G$9)&gt;1-Simulador!$B$11,Simulador!$B$10*(1-COS(PI()*(1-(($A152-(Simulador!$E$9+'Salto de dientes'!$B$12))/Simulador!$G$9))/Simulador!$B$11))/2,Simulador!$B$10)))</f>
        <v/>
      </c>
    </row>
    <row r="153">
      <c r="A153" s="26">
        <f>A152+Simulador!$B$14</f>
        <v/>
      </c>
      <c r="B153" s="46">
        <f>IF(OR((($A153-Simulador!$E$5)/Simulador!$G$5)&lt;=0,(($A153-Simulador!$E$5)/Simulador!$G$5)&gt;=1),0,IF((($A153-Simulador!$E$5)/Simulador!$G$5)&lt;Simulador!$B$11,Simulador!$B$9*(1-COS(PI()*(($A153-Simulador!$E$5)/Simulador!$G$5)/Simulador!$B$11))/2,IF((($A153-Simulador!$E$5)/Simulador!$G$5)&gt;1-Simulador!$B$11,Simulador!$B$9*(1-COS(PI()*(1-(($A153-Simulador!$E$5)/Simulador!$G$5))/Simulador!$B$11))/2,Simulador!$B$9)))</f>
        <v/>
      </c>
      <c r="C153" s="46">
        <f>IF(OR((($A153-Simulador!$E$6)/Simulador!$G$6)&lt;=0,(($A153-Simulador!$E$6)/Simulador!$G$6)&gt;=1),0,IF((($A153-Simulador!$E$6)/Simulador!$G$6)&lt;Simulador!$B$11,Simulador!$B$9*(1-COS(PI()*(($A153-Simulador!$E$6)/Simulador!$G$6)/Simulador!$B$11))/2,IF((($A153-Simulador!$E$6)/Simulador!$G$6)&gt;1-Simulador!$B$11,Simulador!$B$9*(1-COS(PI()*(1-(($A153-Simulador!$E$6)/Simulador!$G$6))/Simulador!$B$11))/2,Simulador!$B$9)))</f>
        <v/>
      </c>
      <c r="D153" s="46">
        <f>IF(OR((($A153-Simulador!$E$7)/Simulador!$G$7)&lt;=0,(($A153-Simulador!$E$7)/Simulador!$G$7)&gt;=1),0,IF((($A153-Simulador!$E$7)/Simulador!$G$7)&lt;Simulador!$B$11,Simulador!$B$9*(1-COS(PI()*(($A153-Simulador!$E$7)/Simulador!$G$7)/Simulador!$B$11))/2,IF((($A153-Simulador!$E$7)/Simulador!$G$7)&gt;1-Simulador!$B$11,Simulador!$B$9*(1-COS(PI()*(1-(($A153-Simulador!$E$7)/Simulador!$G$7))/Simulador!$B$11))/2,Simulador!$B$9)))</f>
        <v/>
      </c>
      <c r="E153" s="46">
        <f>IF(OR((($A153-Simulador!$E$8)/Simulador!$G$8)&lt;=0,(($A153-Simulador!$E$8)/Simulador!$G$8)&gt;=1),0,IF((($A153-Simulador!$E$8)/Simulador!$G$8)&lt;Simulador!$B$11,Simulador!$B$10*(1-COS(PI()*(($A153-Simulador!$E$8)/Simulador!$G$8)/Simulador!$B$11))/2,IF((($A153-Simulador!$E$8)/Simulador!$G$8)&gt;1-Simulador!$B$11,Simulador!$B$10*(1-COS(PI()*(1-(($A153-Simulador!$E$8)/Simulador!$G$8))/Simulador!$B$11))/2,Simulador!$B$10)))</f>
        <v/>
      </c>
      <c r="F153" s="46">
        <f>IF(OR((($A153-Simulador!$E$9)/Simulador!$G$9)&lt;=0,(($A153-Simulador!$E$9)/Simulador!$G$9)&gt;=1),0,IF((($A153-Simulador!$E$9)/Simulador!$G$9)&lt;Simulador!$B$11,Simulador!$B$10*(1-COS(PI()*(($A153-Simulador!$E$9)/Simulador!$G$9)/Simulador!$B$11))/2,IF((($A153-Simulador!$E$9)/Simulador!$G$9)&gt;1-Simulador!$B$11,Simulador!$B$10*(1-COS(PI()*(1-(($A153-Simulador!$E$9)/Simulador!$G$9))/Simulador!$B$11))/2,Simulador!$B$10)))</f>
        <v/>
      </c>
      <c r="G153" s="46">
        <f>IF(OR((($A153-Simulador!$E$10)/Simulador!$G$10)&lt;=0,(($A153-Simulador!$E$10)/Simulador!$G$10)&gt;=1),0,IF((($A153-Simulador!$E$10)/Simulador!$G$10)&lt;Simulador!$B$11,Simulador!$B$10*(1-COS(PI()*(($A153-Simulador!$E$10)/Simulador!$G$10)/Simulador!$B$11))/2,IF((($A153-Simulador!$E$10)/Simulador!$G$10)&gt;1-Simulador!$B$11,Simulador!$B$10*(1-COS(PI()*(1-(($A153-Simulador!$E$10)/Simulador!$G$10))/Simulador!$B$11))/2,Simulador!$B$10)))</f>
        <v/>
      </c>
      <c r="Q153" s="48">
        <f>IF(OR((($A153-(Simulador!$E$6+'Salto de dientes'!$B$12))/Simulador!$G$6)&lt;=0,(($A153-(Simulador!$E$6+'Salto de dientes'!$B$12))/Simulador!$G$6)&gt;=1),0,IF((($A153-(Simulador!$E$6+'Salto de dientes'!$B$12))/Simulador!$G$6)&lt;Simulador!$B$11,Simulador!$B$9*(1-COS(PI()*(($A153-(Simulador!$E$6+'Salto de dientes'!$B$12))/Simulador!$G$6)/Simulador!$B$11))/2,IF((($A153-(Simulador!$E$6+'Salto de dientes'!$B$12))/Simulador!$G$6)&gt;1-Simulador!$B$11,Simulador!$B$9*(1-COS(PI()*(1-(($A153-(Simulador!$E$6+'Salto de dientes'!$B$12))/Simulador!$G$6))/Simulador!$B$11))/2,Simulador!$B$9)))</f>
        <v/>
      </c>
      <c r="R153" s="48">
        <f>IF(OR((($A153-(Simulador!$E$9+'Salto de dientes'!$B$12))/Simulador!$G$9)&lt;=0,(($A153-(Simulador!$E$9+'Salto de dientes'!$B$12))/Simulador!$G$9)&gt;=1),0,IF((($A153-(Simulador!$E$9+'Salto de dientes'!$B$12))/Simulador!$G$9)&lt;Simulador!$B$11,Simulador!$B$10*(1-COS(PI()*(($A153-(Simulador!$E$9+'Salto de dientes'!$B$12))/Simulador!$G$9)/Simulador!$B$11))/2,IF((($A153-(Simulador!$E$9+'Salto de dientes'!$B$12))/Simulador!$G$9)&gt;1-Simulador!$B$11,Simulador!$B$10*(1-COS(PI()*(1-(($A153-(Simulador!$E$9+'Salto de dientes'!$B$12))/Simulador!$G$9))/Simulador!$B$11))/2,Simulador!$B$10)))</f>
        <v/>
      </c>
    </row>
    <row r="154">
      <c r="A154" s="26">
        <f>A153+Simulador!$B$14</f>
        <v/>
      </c>
      <c r="B154" s="46">
        <f>IF(OR((($A154-Simulador!$E$5)/Simulador!$G$5)&lt;=0,(($A154-Simulador!$E$5)/Simulador!$G$5)&gt;=1),0,IF((($A154-Simulador!$E$5)/Simulador!$G$5)&lt;Simulador!$B$11,Simulador!$B$9*(1-COS(PI()*(($A154-Simulador!$E$5)/Simulador!$G$5)/Simulador!$B$11))/2,IF((($A154-Simulador!$E$5)/Simulador!$G$5)&gt;1-Simulador!$B$11,Simulador!$B$9*(1-COS(PI()*(1-(($A154-Simulador!$E$5)/Simulador!$G$5))/Simulador!$B$11))/2,Simulador!$B$9)))</f>
        <v/>
      </c>
      <c r="C154" s="46">
        <f>IF(OR((($A154-Simulador!$E$6)/Simulador!$G$6)&lt;=0,(($A154-Simulador!$E$6)/Simulador!$G$6)&gt;=1),0,IF((($A154-Simulador!$E$6)/Simulador!$G$6)&lt;Simulador!$B$11,Simulador!$B$9*(1-COS(PI()*(($A154-Simulador!$E$6)/Simulador!$G$6)/Simulador!$B$11))/2,IF((($A154-Simulador!$E$6)/Simulador!$G$6)&gt;1-Simulador!$B$11,Simulador!$B$9*(1-COS(PI()*(1-(($A154-Simulador!$E$6)/Simulador!$G$6))/Simulador!$B$11))/2,Simulador!$B$9)))</f>
        <v/>
      </c>
      <c r="D154" s="46">
        <f>IF(OR((($A154-Simulador!$E$7)/Simulador!$G$7)&lt;=0,(($A154-Simulador!$E$7)/Simulador!$G$7)&gt;=1),0,IF((($A154-Simulador!$E$7)/Simulador!$G$7)&lt;Simulador!$B$11,Simulador!$B$9*(1-COS(PI()*(($A154-Simulador!$E$7)/Simulador!$G$7)/Simulador!$B$11))/2,IF((($A154-Simulador!$E$7)/Simulador!$G$7)&gt;1-Simulador!$B$11,Simulador!$B$9*(1-COS(PI()*(1-(($A154-Simulador!$E$7)/Simulador!$G$7))/Simulador!$B$11))/2,Simulador!$B$9)))</f>
        <v/>
      </c>
      <c r="E154" s="46">
        <f>IF(OR((($A154-Simulador!$E$8)/Simulador!$G$8)&lt;=0,(($A154-Simulador!$E$8)/Simulador!$G$8)&gt;=1),0,IF((($A154-Simulador!$E$8)/Simulador!$G$8)&lt;Simulador!$B$11,Simulador!$B$10*(1-COS(PI()*(($A154-Simulador!$E$8)/Simulador!$G$8)/Simulador!$B$11))/2,IF((($A154-Simulador!$E$8)/Simulador!$G$8)&gt;1-Simulador!$B$11,Simulador!$B$10*(1-COS(PI()*(1-(($A154-Simulador!$E$8)/Simulador!$G$8))/Simulador!$B$11))/2,Simulador!$B$10)))</f>
        <v/>
      </c>
      <c r="F154" s="46">
        <f>IF(OR((($A154-Simulador!$E$9)/Simulador!$G$9)&lt;=0,(($A154-Simulador!$E$9)/Simulador!$G$9)&gt;=1),0,IF((($A154-Simulador!$E$9)/Simulador!$G$9)&lt;Simulador!$B$11,Simulador!$B$10*(1-COS(PI()*(($A154-Simulador!$E$9)/Simulador!$G$9)/Simulador!$B$11))/2,IF((($A154-Simulador!$E$9)/Simulador!$G$9)&gt;1-Simulador!$B$11,Simulador!$B$10*(1-COS(PI()*(1-(($A154-Simulador!$E$9)/Simulador!$G$9))/Simulador!$B$11))/2,Simulador!$B$10)))</f>
        <v/>
      </c>
      <c r="G154" s="46">
        <f>IF(OR((($A154-Simulador!$E$10)/Simulador!$G$10)&lt;=0,(($A154-Simulador!$E$10)/Simulador!$G$10)&gt;=1),0,IF((($A154-Simulador!$E$10)/Simulador!$G$10)&lt;Simulador!$B$11,Simulador!$B$10*(1-COS(PI()*(($A154-Simulador!$E$10)/Simulador!$G$10)/Simulador!$B$11))/2,IF((($A154-Simulador!$E$10)/Simulador!$G$10)&gt;1-Simulador!$B$11,Simulador!$B$10*(1-COS(PI()*(1-(($A154-Simulador!$E$10)/Simulador!$G$10))/Simulador!$B$11))/2,Simulador!$B$10)))</f>
        <v/>
      </c>
      <c r="Q154" s="48">
        <f>IF(OR((($A154-(Simulador!$E$6+'Salto de dientes'!$B$12))/Simulador!$G$6)&lt;=0,(($A154-(Simulador!$E$6+'Salto de dientes'!$B$12))/Simulador!$G$6)&gt;=1),0,IF((($A154-(Simulador!$E$6+'Salto de dientes'!$B$12))/Simulador!$G$6)&lt;Simulador!$B$11,Simulador!$B$9*(1-COS(PI()*(($A154-(Simulador!$E$6+'Salto de dientes'!$B$12))/Simulador!$G$6)/Simulador!$B$11))/2,IF((($A154-(Simulador!$E$6+'Salto de dientes'!$B$12))/Simulador!$G$6)&gt;1-Simulador!$B$11,Simulador!$B$9*(1-COS(PI()*(1-(($A154-(Simulador!$E$6+'Salto de dientes'!$B$12))/Simulador!$G$6))/Simulador!$B$11))/2,Simulador!$B$9)))</f>
        <v/>
      </c>
      <c r="R154" s="48">
        <f>IF(OR((($A154-(Simulador!$E$9+'Salto de dientes'!$B$12))/Simulador!$G$9)&lt;=0,(($A154-(Simulador!$E$9+'Salto de dientes'!$B$12))/Simulador!$G$9)&gt;=1),0,IF((($A154-(Simulador!$E$9+'Salto de dientes'!$B$12))/Simulador!$G$9)&lt;Simulador!$B$11,Simulador!$B$10*(1-COS(PI()*(($A154-(Simulador!$E$9+'Salto de dientes'!$B$12))/Simulador!$G$9)/Simulador!$B$11))/2,IF((($A154-(Simulador!$E$9+'Salto de dientes'!$B$12))/Simulador!$G$9)&gt;1-Simulador!$B$11,Simulador!$B$10*(1-COS(PI()*(1-(($A154-(Simulador!$E$9+'Salto de dientes'!$B$12))/Simulador!$G$9))/Simulador!$B$11))/2,Simulador!$B$10)))</f>
        <v/>
      </c>
    </row>
    <row r="155">
      <c r="A155" s="26">
        <f>A154+Simulador!$B$14</f>
        <v/>
      </c>
      <c r="B155" s="46">
        <f>IF(OR((($A155-Simulador!$E$5)/Simulador!$G$5)&lt;=0,(($A155-Simulador!$E$5)/Simulador!$G$5)&gt;=1),0,IF((($A155-Simulador!$E$5)/Simulador!$G$5)&lt;Simulador!$B$11,Simulador!$B$9*(1-COS(PI()*(($A155-Simulador!$E$5)/Simulador!$G$5)/Simulador!$B$11))/2,IF((($A155-Simulador!$E$5)/Simulador!$G$5)&gt;1-Simulador!$B$11,Simulador!$B$9*(1-COS(PI()*(1-(($A155-Simulador!$E$5)/Simulador!$G$5))/Simulador!$B$11))/2,Simulador!$B$9)))</f>
        <v/>
      </c>
      <c r="C155" s="46">
        <f>IF(OR((($A155-Simulador!$E$6)/Simulador!$G$6)&lt;=0,(($A155-Simulador!$E$6)/Simulador!$G$6)&gt;=1),0,IF((($A155-Simulador!$E$6)/Simulador!$G$6)&lt;Simulador!$B$11,Simulador!$B$9*(1-COS(PI()*(($A155-Simulador!$E$6)/Simulador!$G$6)/Simulador!$B$11))/2,IF((($A155-Simulador!$E$6)/Simulador!$G$6)&gt;1-Simulador!$B$11,Simulador!$B$9*(1-COS(PI()*(1-(($A155-Simulador!$E$6)/Simulador!$G$6))/Simulador!$B$11))/2,Simulador!$B$9)))</f>
        <v/>
      </c>
      <c r="D155" s="46">
        <f>IF(OR((($A155-Simulador!$E$7)/Simulador!$G$7)&lt;=0,(($A155-Simulador!$E$7)/Simulador!$G$7)&gt;=1),0,IF((($A155-Simulador!$E$7)/Simulador!$G$7)&lt;Simulador!$B$11,Simulador!$B$9*(1-COS(PI()*(($A155-Simulador!$E$7)/Simulador!$G$7)/Simulador!$B$11))/2,IF((($A155-Simulador!$E$7)/Simulador!$G$7)&gt;1-Simulador!$B$11,Simulador!$B$9*(1-COS(PI()*(1-(($A155-Simulador!$E$7)/Simulador!$G$7))/Simulador!$B$11))/2,Simulador!$B$9)))</f>
        <v/>
      </c>
      <c r="E155" s="46">
        <f>IF(OR((($A155-Simulador!$E$8)/Simulador!$G$8)&lt;=0,(($A155-Simulador!$E$8)/Simulador!$G$8)&gt;=1),0,IF((($A155-Simulador!$E$8)/Simulador!$G$8)&lt;Simulador!$B$11,Simulador!$B$10*(1-COS(PI()*(($A155-Simulador!$E$8)/Simulador!$G$8)/Simulador!$B$11))/2,IF((($A155-Simulador!$E$8)/Simulador!$G$8)&gt;1-Simulador!$B$11,Simulador!$B$10*(1-COS(PI()*(1-(($A155-Simulador!$E$8)/Simulador!$G$8))/Simulador!$B$11))/2,Simulador!$B$10)))</f>
        <v/>
      </c>
      <c r="F155" s="46">
        <f>IF(OR((($A155-Simulador!$E$9)/Simulador!$G$9)&lt;=0,(($A155-Simulador!$E$9)/Simulador!$G$9)&gt;=1),0,IF((($A155-Simulador!$E$9)/Simulador!$G$9)&lt;Simulador!$B$11,Simulador!$B$10*(1-COS(PI()*(($A155-Simulador!$E$9)/Simulador!$G$9)/Simulador!$B$11))/2,IF((($A155-Simulador!$E$9)/Simulador!$G$9)&gt;1-Simulador!$B$11,Simulador!$B$10*(1-COS(PI()*(1-(($A155-Simulador!$E$9)/Simulador!$G$9))/Simulador!$B$11))/2,Simulador!$B$10)))</f>
        <v/>
      </c>
      <c r="G155" s="46">
        <f>IF(OR((($A155-Simulador!$E$10)/Simulador!$G$10)&lt;=0,(($A155-Simulador!$E$10)/Simulador!$G$10)&gt;=1),0,IF((($A155-Simulador!$E$10)/Simulador!$G$10)&lt;Simulador!$B$11,Simulador!$B$10*(1-COS(PI()*(($A155-Simulador!$E$10)/Simulador!$G$10)/Simulador!$B$11))/2,IF((($A155-Simulador!$E$10)/Simulador!$G$10)&gt;1-Simulador!$B$11,Simulador!$B$10*(1-COS(PI()*(1-(($A155-Simulador!$E$10)/Simulador!$G$10))/Simulador!$B$11))/2,Simulador!$B$10)))</f>
        <v/>
      </c>
      <c r="Q155" s="48">
        <f>IF(OR((($A155-(Simulador!$E$6+'Salto de dientes'!$B$12))/Simulador!$G$6)&lt;=0,(($A155-(Simulador!$E$6+'Salto de dientes'!$B$12))/Simulador!$G$6)&gt;=1),0,IF((($A155-(Simulador!$E$6+'Salto de dientes'!$B$12))/Simulador!$G$6)&lt;Simulador!$B$11,Simulador!$B$9*(1-COS(PI()*(($A155-(Simulador!$E$6+'Salto de dientes'!$B$12))/Simulador!$G$6)/Simulador!$B$11))/2,IF((($A155-(Simulador!$E$6+'Salto de dientes'!$B$12))/Simulador!$G$6)&gt;1-Simulador!$B$11,Simulador!$B$9*(1-COS(PI()*(1-(($A155-(Simulador!$E$6+'Salto de dientes'!$B$12))/Simulador!$G$6))/Simulador!$B$11))/2,Simulador!$B$9)))</f>
        <v/>
      </c>
      <c r="R155" s="48">
        <f>IF(OR((($A155-(Simulador!$E$9+'Salto de dientes'!$B$12))/Simulador!$G$9)&lt;=0,(($A155-(Simulador!$E$9+'Salto de dientes'!$B$12))/Simulador!$G$9)&gt;=1),0,IF((($A155-(Simulador!$E$9+'Salto de dientes'!$B$12))/Simulador!$G$9)&lt;Simulador!$B$11,Simulador!$B$10*(1-COS(PI()*(($A155-(Simulador!$E$9+'Salto de dientes'!$B$12))/Simulador!$G$9)/Simulador!$B$11))/2,IF((($A155-(Simulador!$E$9+'Salto de dientes'!$B$12))/Simulador!$G$9)&gt;1-Simulador!$B$11,Simulador!$B$10*(1-COS(PI()*(1-(($A155-(Simulador!$E$9+'Salto de dientes'!$B$12))/Simulador!$G$9))/Simulador!$B$11))/2,Simulador!$B$10)))</f>
        <v/>
      </c>
    </row>
    <row r="156">
      <c r="A156" s="26">
        <f>A155+Simulador!$B$14</f>
        <v/>
      </c>
      <c r="B156" s="46">
        <f>IF(OR((($A156-Simulador!$E$5)/Simulador!$G$5)&lt;=0,(($A156-Simulador!$E$5)/Simulador!$G$5)&gt;=1),0,IF((($A156-Simulador!$E$5)/Simulador!$G$5)&lt;Simulador!$B$11,Simulador!$B$9*(1-COS(PI()*(($A156-Simulador!$E$5)/Simulador!$G$5)/Simulador!$B$11))/2,IF((($A156-Simulador!$E$5)/Simulador!$G$5)&gt;1-Simulador!$B$11,Simulador!$B$9*(1-COS(PI()*(1-(($A156-Simulador!$E$5)/Simulador!$G$5))/Simulador!$B$11))/2,Simulador!$B$9)))</f>
        <v/>
      </c>
      <c r="C156" s="46">
        <f>IF(OR((($A156-Simulador!$E$6)/Simulador!$G$6)&lt;=0,(($A156-Simulador!$E$6)/Simulador!$G$6)&gt;=1),0,IF((($A156-Simulador!$E$6)/Simulador!$G$6)&lt;Simulador!$B$11,Simulador!$B$9*(1-COS(PI()*(($A156-Simulador!$E$6)/Simulador!$G$6)/Simulador!$B$11))/2,IF((($A156-Simulador!$E$6)/Simulador!$G$6)&gt;1-Simulador!$B$11,Simulador!$B$9*(1-COS(PI()*(1-(($A156-Simulador!$E$6)/Simulador!$G$6))/Simulador!$B$11))/2,Simulador!$B$9)))</f>
        <v/>
      </c>
      <c r="D156" s="46">
        <f>IF(OR((($A156-Simulador!$E$7)/Simulador!$G$7)&lt;=0,(($A156-Simulador!$E$7)/Simulador!$G$7)&gt;=1),0,IF((($A156-Simulador!$E$7)/Simulador!$G$7)&lt;Simulador!$B$11,Simulador!$B$9*(1-COS(PI()*(($A156-Simulador!$E$7)/Simulador!$G$7)/Simulador!$B$11))/2,IF((($A156-Simulador!$E$7)/Simulador!$G$7)&gt;1-Simulador!$B$11,Simulador!$B$9*(1-COS(PI()*(1-(($A156-Simulador!$E$7)/Simulador!$G$7))/Simulador!$B$11))/2,Simulador!$B$9)))</f>
        <v/>
      </c>
      <c r="E156" s="46">
        <f>IF(OR((($A156-Simulador!$E$8)/Simulador!$G$8)&lt;=0,(($A156-Simulador!$E$8)/Simulador!$G$8)&gt;=1),0,IF((($A156-Simulador!$E$8)/Simulador!$G$8)&lt;Simulador!$B$11,Simulador!$B$10*(1-COS(PI()*(($A156-Simulador!$E$8)/Simulador!$G$8)/Simulador!$B$11))/2,IF((($A156-Simulador!$E$8)/Simulador!$G$8)&gt;1-Simulador!$B$11,Simulador!$B$10*(1-COS(PI()*(1-(($A156-Simulador!$E$8)/Simulador!$G$8))/Simulador!$B$11))/2,Simulador!$B$10)))</f>
        <v/>
      </c>
      <c r="F156" s="46">
        <f>IF(OR((($A156-Simulador!$E$9)/Simulador!$G$9)&lt;=0,(($A156-Simulador!$E$9)/Simulador!$G$9)&gt;=1),0,IF((($A156-Simulador!$E$9)/Simulador!$G$9)&lt;Simulador!$B$11,Simulador!$B$10*(1-COS(PI()*(($A156-Simulador!$E$9)/Simulador!$G$9)/Simulador!$B$11))/2,IF((($A156-Simulador!$E$9)/Simulador!$G$9)&gt;1-Simulador!$B$11,Simulador!$B$10*(1-COS(PI()*(1-(($A156-Simulador!$E$9)/Simulador!$G$9))/Simulador!$B$11))/2,Simulador!$B$10)))</f>
        <v/>
      </c>
      <c r="G156" s="46">
        <f>IF(OR((($A156-Simulador!$E$10)/Simulador!$G$10)&lt;=0,(($A156-Simulador!$E$10)/Simulador!$G$10)&gt;=1),0,IF((($A156-Simulador!$E$10)/Simulador!$G$10)&lt;Simulador!$B$11,Simulador!$B$10*(1-COS(PI()*(($A156-Simulador!$E$10)/Simulador!$G$10)/Simulador!$B$11))/2,IF((($A156-Simulador!$E$10)/Simulador!$G$10)&gt;1-Simulador!$B$11,Simulador!$B$10*(1-COS(PI()*(1-(($A156-Simulador!$E$10)/Simulador!$G$10))/Simulador!$B$11))/2,Simulador!$B$10)))</f>
        <v/>
      </c>
      <c r="Q156" s="48">
        <f>IF(OR((($A156-(Simulador!$E$6+'Salto de dientes'!$B$12))/Simulador!$G$6)&lt;=0,(($A156-(Simulador!$E$6+'Salto de dientes'!$B$12))/Simulador!$G$6)&gt;=1),0,IF((($A156-(Simulador!$E$6+'Salto de dientes'!$B$12))/Simulador!$G$6)&lt;Simulador!$B$11,Simulador!$B$9*(1-COS(PI()*(($A156-(Simulador!$E$6+'Salto de dientes'!$B$12))/Simulador!$G$6)/Simulador!$B$11))/2,IF((($A156-(Simulador!$E$6+'Salto de dientes'!$B$12))/Simulador!$G$6)&gt;1-Simulador!$B$11,Simulador!$B$9*(1-COS(PI()*(1-(($A156-(Simulador!$E$6+'Salto de dientes'!$B$12))/Simulador!$G$6))/Simulador!$B$11))/2,Simulador!$B$9)))</f>
        <v/>
      </c>
      <c r="R156" s="48">
        <f>IF(OR((($A156-(Simulador!$E$9+'Salto de dientes'!$B$12))/Simulador!$G$9)&lt;=0,(($A156-(Simulador!$E$9+'Salto de dientes'!$B$12))/Simulador!$G$9)&gt;=1),0,IF((($A156-(Simulador!$E$9+'Salto de dientes'!$B$12))/Simulador!$G$9)&lt;Simulador!$B$11,Simulador!$B$10*(1-COS(PI()*(($A156-(Simulador!$E$9+'Salto de dientes'!$B$12))/Simulador!$G$9)/Simulador!$B$11))/2,IF((($A156-(Simulador!$E$9+'Salto de dientes'!$B$12))/Simulador!$G$9)&gt;1-Simulador!$B$11,Simulador!$B$10*(1-COS(PI()*(1-(($A156-(Simulador!$E$9+'Salto de dientes'!$B$12))/Simulador!$G$9))/Simulador!$B$11))/2,Simulador!$B$10)))</f>
        <v/>
      </c>
    </row>
    <row r="157">
      <c r="A157" s="26">
        <f>A156+Simulador!$B$14</f>
        <v/>
      </c>
      <c r="B157" s="46">
        <f>IF(OR((($A157-Simulador!$E$5)/Simulador!$G$5)&lt;=0,(($A157-Simulador!$E$5)/Simulador!$G$5)&gt;=1),0,IF((($A157-Simulador!$E$5)/Simulador!$G$5)&lt;Simulador!$B$11,Simulador!$B$9*(1-COS(PI()*(($A157-Simulador!$E$5)/Simulador!$G$5)/Simulador!$B$11))/2,IF((($A157-Simulador!$E$5)/Simulador!$G$5)&gt;1-Simulador!$B$11,Simulador!$B$9*(1-COS(PI()*(1-(($A157-Simulador!$E$5)/Simulador!$G$5))/Simulador!$B$11))/2,Simulador!$B$9)))</f>
        <v/>
      </c>
      <c r="C157" s="46">
        <f>IF(OR((($A157-Simulador!$E$6)/Simulador!$G$6)&lt;=0,(($A157-Simulador!$E$6)/Simulador!$G$6)&gt;=1),0,IF((($A157-Simulador!$E$6)/Simulador!$G$6)&lt;Simulador!$B$11,Simulador!$B$9*(1-COS(PI()*(($A157-Simulador!$E$6)/Simulador!$G$6)/Simulador!$B$11))/2,IF((($A157-Simulador!$E$6)/Simulador!$G$6)&gt;1-Simulador!$B$11,Simulador!$B$9*(1-COS(PI()*(1-(($A157-Simulador!$E$6)/Simulador!$G$6))/Simulador!$B$11))/2,Simulador!$B$9)))</f>
        <v/>
      </c>
      <c r="D157" s="46">
        <f>IF(OR((($A157-Simulador!$E$7)/Simulador!$G$7)&lt;=0,(($A157-Simulador!$E$7)/Simulador!$G$7)&gt;=1),0,IF((($A157-Simulador!$E$7)/Simulador!$G$7)&lt;Simulador!$B$11,Simulador!$B$9*(1-COS(PI()*(($A157-Simulador!$E$7)/Simulador!$G$7)/Simulador!$B$11))/2,IF((($A157-Simulador!$E$7)/Simulador!$G$7)&gt;1-Simulador!$B$11,Simulador!$B$9*(1-COS(PI()*(1-(($A157-Simulador!$E$7)/Simulador!$G$7))/Simulador!$B$11))/2,Simulador!$B$9)))</f>
        <v/>
      </c>
      <c r="E157" s="46">
        <f>IF(OR((($A157-Simulador!$E$8)/Simulador!$G$8)&lt;=0,(($A157-Simulador!$E$8)/Simulador!$G$8)&gt;=1),0,IF((($A157-Simulador!$E$8)/Simulador!$G$8)&lt;Simulador!$B$11,Simulador!$B$10*(1-COS(PI()*(($A157-Simulador!$E$8)/Simulador!$G$8)/Simulador!$B$11))/2,IF((($A157-Simulador!$E$8)/Simulador!$G$8)&gt;1-Simulador!$B$11,Simulador!$B$10*(1-COS(PI()*(1-(($A157-Simulador!$E$8)/Simulador!$G$8))/Simulador!$B$11))/2,Simulador!$B$10)))</f>
        <v/>
      </c>
      <c r="F157" s="46">
        <f>IF(OR((($A157-Simulador!$E$9)/Simulador!$G$9)&lt;=0,(($A157-Simulador!$E$9)/Simulador!$G$9)&gt;=1),0,IF((($A157-Simulador!$E$9)/Simulador!$G$9)&lt;Simulador!$B$11,Simulador!$B$10*(1-COS(PI()*(($A157-Simulador!$E$9)/Simulador!$G$9)/Simulador!$B$11))/2,IF((($A157-Simulador!$E$9)/Simulador!$G$9)&gt;1-Simulador!$B$11,Simulador!$B$10*(1-COS(PI()*(1-(($A157-Simulador!$E$9)/Simulador!$G$9))/Simulador!$B$11))/2,Simulador!$B$10)))</f>
        <v/>
      </c>
      <c r="G157" s="46">
        <f>IF(OR((($A157-Simulador!$E$10)/Simulador!$G$10)&lt;=0,(($A157-Simulador!$E$10)/Simulador!$G$10)&gt;=1),0,IF((($A157-Simulador!$E$10)/Simulador!$G$10)&lt;Simulador!$B$11,Simulador!$B$10*(1-COS(PI()*(($A157-Simulador!$E$10)/Simulador!$G$10)/Simulador!$B$11))/2,IF((($A157-Simulador!$E$10)/Simulador!$G$10)&gt;1-Simulador!$B$11,Simulador!$B$10*(1-COS(PI()*(1-(($A157-Simulador!$E$10)/Simulador!$G$10))/Simulador!$B$11))/2,Simulador!$B$10)))</f>
        <v/>
      </c>
      <c r="Q157" s="48">
        <f>IF(OR((($A157-(Simulador!$E$6+'Salto de dientes'!$B$12))/Simulador!$G$6)&lt;=0,(($A157-(Simulador!$E$6+'Salto de dientes'!$B$12))/Simulador!$G$6)&gt;=1),0,IF((($A157-(Simulador!$E$6+'Salto de dientes'!$B$12))/Simulador!$G$6)&lt;Simulador!$B$11,Simulador!$B$9*(1-COS(PI()*(($A157-(Simulador!$E$6+'Salto de dientes'!$B$12))/Simulador!$G$6)/Simulador!$B$11))/2,IF((($A157-(Simulador!$E$6+'Salto de dientes'!$B$12))/Simulador!$G$6)&gt;1-Simulador!$B$11,Simulador!$B$9*(1-COS(PI()*(1-(($A157-(Simulador!$E$6+'Salto de dientes'!$B$12))/Simulador!$G$6))/Simulador!$B$11))/2,Simulador!$B$9)))</f>
        <v/>
      </c>
      <c r="R157" s="48">
        <f>IF(OR((($A157-(Simulador!$E$9+'Salto de dientes'!$B$12))/Simulador!$G$9)&lt;=0,(($A157-(Simulador!$E$9+'Salto de dientes'!$B$12))/Simulador!$G$9)&gt;=1),0,IF((($A157-(Simulador!$E$9+'Salto de dientes'!$B$12))/Simulador!$G$9)&lt;Simulador!$B$11,Simulador!$B$10*(1-COS(PI()*(($A157-(Simulador!$E$9+'Salto de dientes'!$B$12))/Simulador!$G$9)/Simulador!$B$11))/2,IF((($A157-(Simulador!$E$9+'Salto de dientes'!$B$12))/Simulador!$G$9)&gt;1-Simulador!$B$11,Simulador!$B$10*(1-COS(PI()*(1-(($A157-(Simulador!$E$9+'Salto de dientes'!$B$12))/Simulador!$G$9))/Simulador!$B$11))/2,Simulador!$B$10)))</f>
        <v/>
      </c>
    </row>
    <row r="158">
      <c r="A158" s="26">
        <f>A157+Simulador!$B$14</f>
        <v/>
      </c>
      <c r="B158" s="46">
        <f>IF(OR((($A158-Simulador!$E$5)/Simulador!$G$5)&lt;=0,(($A158-Simulador!$E$5)/Simulador!$G$5)&gt;=1),0,IF((($A158-Simulador!$E$5)/Simulador!$G$5)&lt;Simulador!$B$11,Simulador!$B$9*(1-COS(PI()*(($A158-Simulador!$E$5)/Simulador!$G$5)/Simulador!$B$11))/2,IF((($A158-Simulador!$E$5)/Simulador!$G$5)&gt;1-Simulador!$B$11,Simulador!$B$9*(1-COS(PI()*(1-(($A158-Simulador!$E$5)/Simulador!$G$5))/Simulador!$B$11))/2,Simulador!$B$9)))</f>
        <v/>
      </c>
      <c r="C158" s="46">
        <f>IF(OR((($A158-Simulador!$E$6)/Simulador!$G$6)&lt;=0,(($A158-Simulador!$E$6)/Simulador!$G$6)&gt;=1),0,IF((($A158-Simulador!$E$6)/Simulador!$G$6)&lt;Simulador!$B$11,Simulador!$B$9*(1-COS(PI()*(($A158-Simulador!$E$6)/Simulador!$G$6)/Simulador!$B$11))/2,IF((($A158-Simulador!$E$6)/Simulador!$G$6)&gt;1-Simulador!$B$11,Simulador!$B$9*(1-COS(PI()*(1-(($A158-Simulador!$E$6)/Simulador!$G$6))/Simulador!$B$11))/2,Simulador!$B$9)))</f>
        <v/>
      </c>
      <c r="D158" s="46">
        <f>IF(OR((($A158-Simulador!$E$7)/Simulador!$G$7)&lt;=0,(($A158-Simulador!$E$7)/Simulador!$G$7)&gt;=1),0,IF((($A158-Simulador!$E$7)/Simulador!$G$7)&lt;Simulador!$B$11,Simulador!$B$9*(1-COS(PI()*(($A158-Simulador!$E$7)/Simulador!$G$7)/Simulador!$B$11))/2,IF((($A158-Simulador!$E$7)/Simulador!$G$7)&gt;1-Simulador!$B$11,Simulador!$B$9*(1-COS(PI()*(1-(($A158-Simulador!$E$7)/Simulador!$G$7))/Simulador!$B$11))/2,Simulador!$B$9)))</f>
        <v/>
      </c>
      <c r="E158" s="46">
        <f>IF(OR((($A158-Simulador!$E$8)/Simulador!$G$8)&lt;=0,(($A158-Simulador!$E$8)/Simulador!$G$8)&gt;=1),0,IF((($A158-Simulador!$E$8)/Simulador!$G$8)&lt;Simulador!$B$11,Simulador!$B$10*(1-COS(PI()*(($A158-Simulador!$E$8)/Simulador!$G$8)/Simulador!$B$11))/2,IF((($A158-Simulador!$E$8)/Simulador!$G$8)&gt;1-Simulador!$B$11,Simulador!$B$10*(1-COS(PI()*(1-(($A158-Simulador!$E$8)/Simulador!$G$8))/Simulador!$B$11))/2,Simulador!$B$10)))</f>
        <v/>
      </c>
      <c r="F158" s="46">
        <f>IF(OR((($A158-Simulador!$E$9)/Simulador!$G$9)&lt;=0,(($A158-Simulador!$E$9)/Simulador!$G$9)&gt;=1),0,IF((($A158-Simulador!$E$9)/Simulador!$G$9)&lt;Simulador!$B$11,Simulador!$B$10*(1-COS(PI()*(($A158-Simulador!$E$9)/Simulador!$G$9)/Simulador!$B$11))/2,IF((($A158-Simulador!$E$9)/Simulador!$G$9)&gt;1-Simulador!$B$11,Simulador!$B$10*(1-COS(PI()*(1-(($A158-Simulador!$E$9)/Simulador!$G$9))/Simulador!$B$11))/2,Simulador!$B$10)))</f>
        <v/>
      </c>
      <c r="G158" s="46">
        <f>IF(OR((($A158-Simulador!$E$10)/Simulador!$G$10)&lt;=0,(($A158-Simulador!$E$10)/Simulador!$G$10)&gt;=1),0,IF((($A158-Simulador!$E$10)/Simulador!$G$10)&lt;Simulador!$B$11,Simulador!$B$10*(1-COS(PI()*(($A158-Simulador!$E$10)/Simulador!$G$10)/Simulador!$B$11))/2,IF((($A158-Simulador!$E$10)/Simulador!$G$10)&gt;1-Simulador!$B$11,Simulador!$B$10*(1-COS(PI()*(1-(($A158-Simulador!$E$10)/Simulador!$G$10))/Simulador!$B$11))/2,Simulador!$B$10)))</f>
        <v/>
      </c>
      <c r="Q158" s="48">
        <f>IF(OR((($A158-(Simulador!$E$6+'Salto de dientes'!$B$12))/Simulador!$G$6)&lt;=0,(($A158-(Simulador!$E$6+'Salto de dientes'!$B$12))/Simulador!$G$6)&gt;=1),0,IF((($A158-(Simulador!$E$6+'Salto de dientes'!$B$12))/Simulador!$G$6)&lt;Simulador!$B$11,Simulador!$B$9*(1-COS(PI()*(($A158-(Simulador!$E$6+'Salto de dientes'!$B$12))/Simulador!$G$6)/Simulador!$B$11))/2,IF((($A158-(Simulador!$E$6+'Salto de dientes'!$B$12))/Simulador!$G$6)&gt;1-Simulador!$B$11,Simulador!$B$9*(1-COS(PI()*(1-(($A158-(Simulador!$E$6+'Salto de dientes'!$B$12))/Simulador!$G$6))/Simulador!$B$11))/2,Simulador!$B$9)))</f>
        <v/>
      </c>
      <c r="R158" s="48">
        <f>IF(OR((($A158-(Simulador!$E$9+'Salto de dientes'!$B$12))/Simulador!$G$9)&lt;=0,(($A158-(Simulador!$E$9+'Salto de dientes'!$B$12))/Simulador!$G$9)&gt;=1),0,IF((($A158-(Simulador!$E$9+'Salto de dientes'!$B$12))/Simulador!$G$9)&lt;Simulador!$B$11,Simulador!$B$10*(1-COS(PI()*(($A158-(Simulador!$E$9+'Salto de dientes'!$B$12))/Simulador!$G$9)/Simulador!$B$11))/2,IF((($A158-(Simulador!$E$9+'Salto de dientes'!$B$12))/Simulador!$G$9)&gt;1-Simulador!$B$11,Simulador!$B$10*(1-COS(PI()*(1-(($A158-(Simulador!$E$9+'Salto de dientes'!$B$12))/Simulador!$G$9))/Simulador!$B$11))/2,Simulador!$B$10)))</f>
        <v/>
      </c>
    </row>
    <row r="159">
      <c r="A159" s="26">
        <f>A158+Simulador!$B$14</f>
        <v/>
      </c>
      <c r="B159" s="46">
        <f>IF(OR((($A159-Simulador!$E$5)/Simulador!$G$5)&lt;=0,(($A159-Simulador!$E$5)/Simulador!$G$5)&gt;=1),0,IF((($A159-Simulador!$E$5)/Simulador!$G$5)&lt;Simulador!$B$11,Simulador!$B$9*(1-COS(PI()*(($A159-Simulador!$E$5)/Simulador!$G$5)/Simulador!$B$11))/2,IF((($A159-Simulador!$E$5)/Simulador!$G$5)&gt;1-Simulador!$B$11,Simulador!$B$9*(1-COS(PI()*(1-(($A159-Simulador!$E$5)/Simulador!$G$5))/Simulador!$B$11))/2,Simulador!$B$9)))</f>
        <v/>
      </c>
      <c r="C159" s="46">
        <f>IF(OR((($A159-Simulador!$E$6)/Simulador!$G$6)&lt;=0,(($A159-Simulador!$E$6)/Simulador!$G$6)&gt;=1),0,IF((($A159-Simulador!$E$6)/Simulador!$G$6)&lt;Simulador!$B$11,Simulador!$B$9*(1-COS(PI()*(($A159-Simulador!$E$6)/Simulador!$G$6)/Simulador!$B$11))/2,IF((($A159-Simulador!$E$6)/Simulador!$G$6)&gt;1-Simulador!$B$11,Simulador!$B$9*(1-COS(PI()*(1-(($A159-Simulador!$E$6)/Simulador!$G$6))/Simulador!$B$11))/2,Simulador!$B$9)))</f>
        <v/>
      </c>
      <c r="D159" s="46">
        <f>IF(OR((($A159-Simulador!$E$7)/Simulador!$G$7)&lt;=0,(($A159-Simulador!$E$7)/Simulador!$G$7)&gt;=1),0,IF((($A159-Simulador!$E$7)/Simulador!$G$7)&lt;Simulador!$B$11,Simulador!$B$9*(1-COS(PI()*(($A159-Simulador!$E$7)/Simulador!$G$7)/Simulador!$B$11))/2,IF((($A159-Simulador!$E$7)/Simulador!$G$7)&gt;1-Simulador!$B$11,Simulador!$B$9*(1-COS(PI()*(1-(($A159-Simulador!$E$7)/Simulador!$G$7))/Simulador!$B$11))/2,Simulador!$B$9)))</f>
        <v/>
      </c>
      <c r="E159" s="46">
        <f>IF(OR((($A159-Simulador!$E$8)/Simulador!$G$8)&lt;=0,(($A159-Simulador!$E$8)/Simulador!$G$8)&gt;=1),0,IF((($A159-Simulador!$E$8)/Simulador!$G$8)&lt;Simulador!$B$11,Simulador!$B$10*(1-COS(PI()*(($A159-Simulador!$E$8)/Simulador!$G$8)/Simulador!$B$11))/2,IF((($A159-Simulador!$E$8)/Simulador!$G$8)&gt;1-Simulador!$B$11,Simulador!$B$10*(1-COS(PI()*(1-(($A159-Simulador!$E$8)/Simulador!$G$8))/Simulador!$B$11))/2,Simulador!$B$10)))</f>
        <v/>
      </c>
      <c r="F159" s="46">
        <f>IF(OR((($A159-Simulador!$E$9)/Simulador!$G$9)&lt;=0,(($A159-Simulador!$E$9)/Simulador!$G$9)&gt;=1),0,IF((($A159-Simulador!$E$9)/Simulador!$G$9)&lt;Simulador!$B$11,Simulador!$B$10*(1-COS(PI()*(($A159-Simulador!$E$9)/Simulador!$G$9)/Simulador!$B$11))/2,IF((($A159-Simulador!$E$9)/Simulador!$G$9)&gt;1-Simulador!$B$11,Simulador!$B$10*(1-COS(PI()*(1-(($A159-Simulador!$E$9)/Simulador!$G$9))/Simulador!$B$11))/2,Simulador!$B$10)))</f>
        <v/>
      </c>
      <c r="G159" s="46">
        <f>IF(OR((($A159-Simulador!$E$10)/Simulador!$G$10)&lt;=0,(($A159-Simulador!$E$10)/Simulador!$G$10)&gt;=1),0,IF((($A159-Simulador!$E$10)/Simulador!$G$10)&lt;Simulador!$B$11,Simulador!$B$10*(1-COS(PI()*(($A159-Simulador!$E$10)/Simulador!$G$10)/Simulador!$B$11))/2,IF((($A159-Simulador!$E$10)/Simulador!$G$10)&gt;1-Simulador!$B$11,Simulador!$B$10*(1-COS(PI()*(1-(($A159-Simulador!$E$10)/Simulador!$G$10))/Simulador!$B$11))/2,Simulador!$B$10)))</f>
        <v/>
      </c>
      <c r="Q159" s="48">
        <f>IF(OR((($A159-(Simulador!$E$6+'Salto de dientes'!$B$12))/Simulador!$G$6)&lt;=0,(($A159-(Simulador!$E$6+'Salto de dientes'!$B$12))/Simulador!$G$6)&gt;=1),0,IF((($A159-(Simulador!$E$6+'Salto de dientes'!$B$12))/Simulador!$G$6)&lt;Simulador!$B$11,Simulador!$B$9*(1-COS(PI()*(($A159-(Simulador!$E$6+'Salto de dientes'!$B$12))/Simulador!$G$6)/Simulador!$B$11))/2,IF((($A159-(Simulador!$E$6+'Salto de dientes'!$B$12))/Simulador!$G$6)&gt;1-Simulador!$B$11,Simulador!$B$9*(1-COS(PI()*(1-(($A159-(Simulador!$E$6+'Salto de dientes'!$B$12))/Simulador!$G$6))/Simulador!$B$11))/2,Simulador!$B$9)))</f>
        <v/>
      </c>
      <c r="R159" s="48">
        <f>IF(OR((($A159-(Simulador!$E$9+'Salto de dientes'!$B$12))/Simulador!$G$9)&lt;=0,(($A159-(Simulador!$E$9+'Salto de dientes'!$B$12))/Simulador!$G$9)&gt;=1),0,IF((($A159-(Simulador!$E$9+'Salto de dientes'!$B$12))/Simulador!$G$9)&lt;Simulador!$B$11,Simulador!$B$10*(1-COS(PI()*(($A159-(Simulador!$E$9+'Salto de dientes'!$B$12))/Simulador!$G$9)/Simulador!$B$11))/2,IF((($A159-(Simulador!$E$9+'Salto de dientes'!$B$12))/Simulador!$G$9)&gt;1-Simulador!$B$11,Simulador!$B$10*(1-COS(PI()*(1-(($A159-(Simulador!$E$9+'Salto de dientes'!$B$12))/Simulador!$G$9))/Simulador!$B$11))/2,Simulador!$B$10)))</f>
        <v/>
      </c>
    </row>
    <row r="160">
      <c r="A160" s="26">
        <f>A159+Simulador!$B$14</f>
        <v/>
      </c>
      <c r="B160" s="46">
        <f>IF(OR((($A160-Simulador!$E$5)/Simulador!$G$5)&lt;=0,(($A160-Simulador!$E$5)/Simulador!$G$5)&gt;=1),0,IF((($A160-Simulador!$E$5)/Simulador!$G$5)&lt;Simulador!$B$11,Simulador!$B$9*(1-COS(PI()*(($A160-Simulador!$E$5)/Simulador!$G$5)/Simulador!$B$11))/2,IF((($A160-Simulador!$E$5)/Simulador!$G$5)&gt;1-Simulador!$B$11,Simulador!$B$9*(1-COS(PI()*(1-(($A160-Simulador!$E$5)/Simulador!$G$5))/Simulador!$B$11))/2,Simulador!$B$9)))</f>
        <v/>
      </c>
      <c r="C160" s="46">
        <f>IF(OR((($A160-Simulador!$E$6)/Simulador!$G$6)&lt;=0,(($A160-Simulador!$E$6)/Simulador!$G$6)&gt;=1),0,IF((($A160-Simulador!$E$6)/Simulador!$G$6)&lt;Simulador!$B$11,Simulador!$B$9*(1-COS(PI()*(($A160-Simulador!$E$6)/Simulador!$G$6)/Simulador!$B$11))/2,IF((($A160-Simulador!$E$6)/Simulador!$G$6)&gt;1-Simulador!$B$11,Simulador!$B$9*(1-COS(PI()*(1-(($A160-Simulador!$E$6)/Simulador!$G$6))/Simulador!$B$11))/2,Simulador!$B$9)))</f>
        <v/>
      </c>
      <c r="D160" s="46">
        <f>IF(OR((($A160-Simulador!$E$7)/Simulador!$G$7)&lt;=0,(($A160-Simulador!$E$7)/Simulador!$G$7)&gt;=1),0,IF((($A160-Simulador!$E$7)/Simulador!$G$7)&lt;Simulador!$B$11,Simulador!$B$9*(1-COS(PI()*(($A160-Simulador!$E$7)/Simulador!$G$7)/Simulador!$B$11))/2,IF((($A160-Simulador!$E$7)/Simulador!$G$7)&gt;1-Simulador!$B$11,Simulador!$B$9*(1-COS(PI()*(1-(($A160-Simulador!$E$7)/Simulador!$G$7))/Simulador!$B$11))/2,Simulador!$B$9)))</f>
        <v/>
      </c>
      <c r="E160" s="46">
        <f>IF(OR((($A160-Simulador!$E$8)/Simulador!$G$8)&lt;=0,(($A160-Simulador!$E$8)/Simulador!$G$8)&gt;=1),0,IF((($A160-Simulador!$E$8)/Simulador!$G$8)&lt;Simulador!$B$11,Simulador!$B$10*(1-COS(PI()*(($A160-Simulador!$E$8)/Simulador!$G$8)/Simulador!$B$11))/2,IF((($A160-Simulador!$E$8)/Simulador!$G$8)&gt;1-Simulador!$B$11,Simulador!$B$10*(1-COS(PI()*(1-(($A160-Simulador!$E$8)/Simulador!$G$8))/Simulador!$B$11))/2,Simulador!$B$10)))</f>
        <v/>
      </c>
      <c r="F160" s="46">
        <f>IF(OR((($A160-Simulador!$E$9)/Simulador!$G$9)&lt;=0,(($A160-Simulador!$E$9)/Simulador!$G$9)&gt;=1),0,IF((($A160-Simulador!$E$9)/Simulador!$G$9)&lt;Simulador!$B$11,Simulador!$B$10*(1-COS(PI()*(($A160-Simulador!$E$9)/Simulador!$G$9)/Simulador!$B$11))/2,IF((($A160-Simulador!$E$9)/Simulador!$G$9)&gt;1-Simulador!$B$11,Simulador!$B$10*(1-COS(PI()*(1-(($A160-Simulador!$E$9)/Simulador!$G$9))/Simulador!$B$11))/2,Simulador!$B$10)))</f>
        <v/>
      </c>
      <c r="G160" s="46">
        <f>IF(OR((($A160-Simulador!$E$10)/Simulador!$G$10)&lt;=0,(($A160-Simulador!$E$10)/Simulador!$G$10)&gt;=1),0,IF((($A160-Simulador!$E$10)/Simulador!$G$10)&lt;Simulador!$B$11,Simulador!$B$10*(1-COS(PI()*(($A160-Simulador!$E$10)/Simulador!$G$10)/Simulador!$B$11))/2,IF((($A160-Simulador!$E$10)/Simulador!$G$10)&gt;1-Simulador!$B$11,Simulador!$B$10*(1-COS(PI()*(1-(($A160-Simulador!$E$10)/Simulador!$G$10))/Simulador!$B$11))/2,Simulador!$B$10)))</f>
        <v/>
      </c>
      <c r="Q160" s="48">
        <f>IF(OR((($A160-(Simulador!$E$6+'Salto de dientes'!$B$12))/Simulador!$G$6)&lt;=0,(($A160-(Simulador!$E$6+'Salto de dientes'!$B$12))/Simulador!$G$6)&gt;=1),0,IF((($A160-(Simulador!$E$6+'Salto de dientes'!$B$12))/Simulador!$G$6)&lt;Simulador!$B$11,Simulador!$B$9*(1-COS(PI()*(($A160-(Simulador!$E$6+'Salto de dientes'!$B$12))/Simulador!$G$6)/Simulador!$B$11))/2,IF((($A160-(Simulador!$E$6+'Salto de dientes'!$B$12))/Simulador!$G$6)&gt;1-Simulador!$B$11,Simulador!$B$9*(1-COS(PI()*(1-(($A160-(Simulador!$E$6+'Salto de dientes'!$B$12))/Simulador!$G$6))/Simulador!$B$11))/2,Simulador!$B$9)))</f>
        <v/>
      </c>
      <c r="R160" s="48">
        <f>IF(OR((($A160-(Simulador!$E$9+'Salto de dientes'!$B$12))/Simulador!$G$9)&lt;=0,(($A160-(Simulador!$E$9+'Salto de dientes'!$B$12))/Simulador!$G$9)&gt;=1),0,IF((($A160-(Simulador!$E$9+'Salto de dientes'!$B$12))/Simulador!$G$9)&lt;Simulador!$B$11,Simulador!$B$10*(1-COS(PI()*(($A160-(Simulador!$E$9+'Salto de dientes'!$B$12))/Simulador!$G$9)/Simulador!$B$11))/2,IF((($A160-(Simulador!$E$9+'Salto de dientes'!$B$12))/Simulador!$G$9)&gt;1-Simulador!$B$11,Simulador!$B$10*(1-COS(PI()*(1-(($A160-(Simulador!$E$9+'Salto de dientes'!$B$12))/Simulador!$G$9))/Simulador!$B$11))/2,Simulador!$B$10)))</f>
        <v/>
      </c>
    </row>
    <row r="161">
      <c r="A161" s="26">
        <f>A160+Simulador!$B$14</f>
        <v/>
      </c>
      <c r="B161" s="46">
        <f>IF(OR((($A161-Simulador!$E$5)/Simulador!$G$5)&lt;=0,(($A161-Simulador!$E$5)/Simulador!$G$5)&gt;=1),0,IF((($A161-Simulador!$E$5)/Simulador!$G$5)&lt;Simulador!$B$11,Simulador!$B$9*(1-COS(PI()*(($A161-Simulador!$E$5)/Simulador!$G$5)/Simulador!$B$11))/2,IF((($A161-Simulador!$E$5)/Simulador!$G$5)&gt;1-Simulador!$B$11,Simulador!$B$9*(1-COS(PI()*(1-(($A161-Simulador!$E$5)/Simulador!$G$5))/Simulador!$B$11))/2,Simulador!$B$9)))</f>
        <v/>
      </c>
      <c r="C161" s="46">
        <f>IF(OR((($A161-Simulador!$E$6)/Simulador!$G$6)&lt;=0,(($A161-Simulador!$E$6)/Simulador!$G$6)&gt;=1),0,IF((($A161-Simulador!$E$6)/Simulador!$G$6)&lt;Simulador!$B$11,Simulador!$B$9*(1-COS(PI()*(($A161-Simulador!$E$6)/Simulador!$G$6)/Simulador!$B$11))/2,IF((($A161-Simulador!$E$6)/Simulador!$G$6)&gt;1-Simulador!$B$11,Simulador!$B$9*(1-COS(PI()*(1-(($A161-Simulador!$E$6)/Simulador!$G$6))/Simulador!$B$11))/2,Simulador!$B$9)))</f>
        <v/>
      </c>
      <c r="D161" s="46">
        <f>IF(OR((($A161-Simulador!$E$7)/Simulador!$G$7)&lt;=0,(($A161-Simulador!$E$7)/Simulador!$G$7)&gt;=1),0,IF((($A161-Simulador!$E$7)/Simulador!$G$7)&lt;Simulador!$B$11,Simulador!$B$9*(1-COS(PI()*(($A161-Simulador!$E$7)/Simulador!$G$7)/Simulador!$B$11))/2,IF((($A161-Simulador!$E$7)/Simulador!$G$7)&gt;1-Simulador!$B$11,Simulador!$B$9*(1-COS(PI()*(1-(($A161-Simulador!$E$7)/Simulador!$G$7))/Simulador!$B$11))/2,Simulador!$B$9)))</f>
        <v/>
      </c>
      <c r="E161" s="46">
        <f>IF(OR((($A161-Simulador!$E$8)/Simulador!$G$8)&lt;=0,(($A161-Simulador!$E$8)/Simulador!$G$8)&gt;=1),0,IF((($A161-Simulador!$E$8)/Simulador!$G$8)&lt;Simulador!$B$11,Simulador!$B$10*(1-COS(PI()*(($A161-Simulador!$E$8)/Simulador!$G$8)/Simulador!$B$11))/2,IF((($A161-Simulador!$E$8)/Simulador!$G$8)&gt;1-Simulador!$B$11,Simulador!$B$10*(1-COS(PI()*(1-(($A161-Simulador!$E$8)/Simulador!$G$8))/Simulador!$B$11))/2,Simulador!$B$10)))</f>
        <v/>
      </c>
      <c r="F161" s="46">
        <f>IF(OR((($A161-Simulador!$E$9)/Simulador!$G$9)&lt;=0,(($A161-Simulador!$E$9)/Simulador!$G$9)&gt;=1),0,IF((($A161-Simulador!$E$9)/Simulador!$G$9)&lt;Simulador!$B$11,Simulador!$B$10*(1-COS(PI()*(($A161-Simulador!$E$9)/Simulador!$G$9)/Simulador!$B$11))/2,IF((($A161-Simulador!$E$9)/Simulador!$G$9)&gt;1-Simulador!$B$11,Simulador!$B$10*(1-COS(PI()*(1-(($A161-Simulador!$E$9)/Simulador!$G$9))/Simulador!$B$11))/2,Simulador!$B$10)))</f>
        <v/>
      </c>
      <c r="G161" s="46">
        <f>IF(OR((($A161-Simulador!$E$10)/Simulador!$G$10)&lt;=0,(($A161-Simulador!$E$10)/Simulador!$G$10)&gt;=1),0,IF((($A161-Simulador!$E$10)/Simulador!$G$10)&lt;Simulador!$B$11,Simulador!$B$10*(1-COS(PI()*(($A161-Simulador!$E$10)/Simulador!$G$10)/Simulador!$B$11))/2,IF((($A161-Simulador!$E$10)/Simulador!$G$10)&gt;1-Simulador!$B$11,Simulador!$B$10*(1-COS(PI()*(1-(($A161-Simulador!$E$10)/Simulador!$G$10))/Simulador!$B$11))/2,Simulador!$B$10)))</f>
        <v/>
      </c>
      <c r="Q161" s="48">
        <f>IF(OR((($A161-(Simulador!$E$6+'Salto de dientes'!$B$12))/Simulador!$G$6)&lt;=0,(($A161-(Simulador!$E$6+'Salto de dientes'!$B$12))/Simulador!$G$6)&gt;=1),0,IF((($A161-(Simulador!$E$6+'Salto de dientes'!$B$12))/Simulador!$G$6)&lt;Simulador!$B$11,Simulador!$B$9*(1-COS(PI()*(($A161-(Simulador!$E$6+'Salto de dientes'!$B$12))/Simulador!$G$6)/Simulador!$B$11))/2,IF((($A161-(Simulador!$E$6+'Salto de dientes'!$B$12))/Simulador!$G$6)&gt;1-Simulador!$B$11,Simulador!$B$9*(1-COS(PI()*(1-(($A161-(Simulador!$E$6+'Salto de dientes'!$B$12))/Simulador!$G$6))/Simulador!$B$11))/2,Simulador!$B$9)))</f>
        <v/>
      </c>
      <c r="R161" s="48">
        <f>IF(OR((($A161-(Simulador!$E$9+'Salto de dientes'!$B$12))/Simulador!$G$9)&lt;=0,(($A161-(Simulador!$E$9+'Salto de dientes'!$B$12))/Simulador!$G$9)&gt;=1),0,IF((($A161-(Simulador!$E$9+'Salto de dientes'!$B$12))/Simulador!$G$9)&lt;Simulador!$B$11,Simulador!$B$10*(1-COS(PI()*(($A161-(Simulador!$E$9+'Salto de dientes'!$B$12))/Simulador!$G$9)/Simulador!$B$11))/2,IF((($A161-(Simulador!$E$9+'Salto de dientes'!$B$12))/Simulador!$G$9)&gt;1-Simulador!$B$11,Simulador!$B$10*(1-COS(PI()*(1-(($A161-(Simulador!$E$9+'Salto de dientes'!$B$12))/Simulador!$G$9))/Simulador!$B$11))/2,Simulador!$B$10)))</f>
        <v/>
      </c>
    </row>
    <row r="162">
      <c r="A162" s="26">
        <f>A161+Simulador!$B$14</f>
        <v/>
      </c>
      <c r="B162" s="46">
        <f>IF(OR((($A162-Simulador!$E$5)/Simulador!$G$5)&lt;=0,(($A162-Simulador!$E$5)/Simulador!$G$5)&gt;=1),0,IF((($A162-Simulador!$E$5)/Simulador!$G$5)&lt;Simulador!$B$11,Simulador!$B$9*(1-COS(PI()*(($A162-Simulador!$E$5)/Simulador!$G$5)/Simulador!$B$11))/2,IF((($A162-Simulador!$E$5)/Simulador!$G$5)&gt;1-Simulador!$B$11,Simulador!$B$9*(1-COS(PI()*(1-(($A162-Simulador!$E$5)/Simulador!$G$5))/Simulador!$B$11))/2,Simulador!$B$9)))</f>
        <v/>
      </c>
      <c r="C162" s="46">
        <f>IF(OR((($A162-Simulador!$E$6)/Simulador!$G$6)&lt;=0,(($A162-Simulador!$E$6)/Simulador!$G$6)&gt;=1),0,IF((($A162-Simulador!$E$6)/Simulador!$G$6)&lt;Simulador!$B$11,Simulador!$B$9*(1-COS(PI()*(($A162-Simulador!$E$6)/Simulador!$G$6)/Simulador!$B$11))/2,IF((($A162-Simulador!$E$6)/Simulador!$G$6)&gt;1-Simulador!$B$11,Simulador!$B$9*(1-COS(PI()*(1-(($A162-Simulador!$E$6)/Simulador!$G$6))/Simulador!$B$11))/2,Simulador!$B$9)))</f>
        <v/>
      </c>
      <c r="D162" s="46">
        <f>IF(OR((($A162-Simulador!$E$7)/Simulador!$G$7)&lt;=0,(($A162-Simulador!$E$7)/Simulador!$G$7)&gt;=1),0,IF((($A162-Simulador!$E$7)/Simulador!$G$7)&lt;Simulador!$B$11,Simulador!$B$9*(1-COS(PI()*(($A162-Simulador!$E$7)/Simulador!$G$7)/Simulador!$B$11))/2,IF((($A162-Simulador!$E$7)/Simulador!$G$7)&gt;1-Simulador!$B$11,Simulador!$B$9*(1-COS(PI()*(1-(($A162-Simulador!$E$7)/Simulador!$G$7))/Simulador!$B$11))/2,Simulador!$B$9)))</f>
        <v/>
      </c>
      <c r="E162" s="46">
        <f>IF(OR((($A162-Simulador!$E$8)/Simulador!$G$8)&lt;=0,(($A162-Simulador!$E$8)/Simulador!$G$8)&gt;=1),0,IF((($A162-Simulador!$E$8)/Simulador!$G$8)&lt;Simulador!$B$11,Simulador!$B$10*(1-COS(PI()*(($A162-Simulador!$E$8)/Simulador!$G$8)/Simulador!$B$11))/2,IF((($A162-Simulador!$E$8)/Simulador!$G$8)&gt;1-Simulador!$B$11,Simulador!$B$10*(1-COS(PI()*(1-(($A162-Simulador!$E$8)/Simulador!$G$8))/Simulador!$B$11))/2,Simulador!$B$10)))</f>
        <v/>
      </c>
      <c r="F162" s="46">
        <f>IF(OR((($A162-Simulador!$E$9)/Simulador!$G$9)&lt;=0,(($A162-Simulador!$E$9)/Simulador!$G$9)&gt;=1),0,IF((($A162-Simulador!$E$9)/Simulador!$G$9)&lt;Simulador!$B$11,Simulador!$B$10*(1-COS(PI()*(($A162-Simulador!$E$9)/Simulador!$G$9)/Simulador!$B$11))/2,IF((($A162-Simulador!$E$9)/Simulador!$G$9)&gt;1-Simulador!$B$11,Simulador!$B$10*(1-COS(PI()*(1-(($A162-Simulador!$E$9)/Simulador!$G$9))/Simulador!$B$11))/2,Simulador!$B$10)))</f>
        <v/>
      </c>
      <c r="G162" s="46">
        <f>IF(OR((($A162-Simulador!$E$10)/Simulador!$G$10)&lt;=0,(($A162-Simulador!$E$10)/Simulador!$G$10)&gt;=1),0,IF((($A162-Simulador!$E$10)/Simulador!$G$10)&lt;Simulador!$B$11,Simulador!$B$10*(1-COS(PI()*(($A162-Simulador!$E$10)/Simulador!$G$10)/Simulador!$B$11))/2,IF((($A162-Simulador!$E$10)/Simulador!$G$10)&gt;1-Simulador!$B$11,Simulador!$B$10*(1-COS(PI()*(1-(($A162-Simulador!$E$10)/Simulador!$G$10))/Simulador!$B$11))/2,Simulador!$B$10)))</f>
        <v/>
      </c>
      <c r="Q162" s="48">
        <f>IF(OR((($A162-(Simulador!$E$6+'Salto de dientes'!$B$12))/Simulador!$G$6)&lt;=0,(($A162-(Simulador!$E$6+'Salto de dientes'!$B$12))/Simulador!$G$6)&gt;=1),0,IF((($A162-(Simulador!$E$6+'Salto de dientes'!$B$12))/Simulador!$G$6)&lt;Simulador!$B$11,Simulador!$B$9*(1-COS(PI()*(($A162-(Simulador!$E$6+'Salto de dientes'!$B$12))/Simulador!$G$6)/Simulador!$B$11))/2,IF((($A162-(Simulador!$E$6+'Salto de dientes'!$B$12))/Simulador!$G$6)&gt;1-Simulador!$B$11,Simulador!$B$9*(1-COS(PI()*(1-(($A162-(Simulador!$E$6+'Salto de dientes'!$B$12))/Simulador!$G$6))/Simulador!$B$11))/2,Simulador!$B$9)))</f>
        <v/>
      </c>
      <c r="R162" s="48">
        <f>IF(OR((($A162-(Simulador!$E$9+'Salto de dientes'!$B$12))/Simulador!$G$9)&lt;=0,(($A162-(Simulador!$E$9+'Salto de dientes'!$B$12))/Simulador!$G$9)&gt;=1),0,IF((($A162-(Simulador!$E$9+'Salto de dientes'!$B$12))/Simulador!$G$9)&lt;Simulador!$B$11,Simulador!$B$10*(1-COS(PI()*(($A162-(Simulador!$E$9+'Salto de dientes'!$B$12))/Simulador!$G$9)/Simulador!$B$11))/2,IF((($A162-(Simulador!$E$9+'Salto de dientes'!$B$12))/Simulador!$G$9)&gt;1-Simulador!$B$11,Simulador!$B$10*(1-COS(PI()*(1-(($A162-(Simulador!$E$9+'Salto de dientes'!$B$12))/Simulador!$G$9))/Simulador!$B$11))/2,Simulador!$B$10)))</f>
        <v/>
      </c>
    </row>
    <row r="163">
      <c r="A163" s="26">
        <f>A162+Simulador!$B$14</f>
        <v/>
      </c>
      <c r="B163" s="46">
        <f>IF(OR((($A163-Simulador!$E$5)/Simulador!$G$5)&lt;=0,(($A163-Simulador!$E$5)/Simulador!$G$5)&gt;=1),0,IF((($A163-Simulador!$E$5)/Simulador!$G$5)&lt;Simulador!$B$11,Simulador!$B$9*(1-COS(PI()*(($A163-Simulador!$E$5)/Simulador!$G$5)/Simulador!$B$11))/2,IF((($A163-Simulador!$E$5)/Simulador!$G$5)&gt;1-Simulador!$B$11,Simulador!$B$9*(1-COS(PI()*(1-(($A163-Simulador!$E$5)/Simulador!$G$5))/Simulador!$B$11))/2,Simulador!$B$9)))</f>
        <v/>
      </c>
      <c r="C163" s="46">
        <f>IF(OR((($A163-Simulador!$E$6)/Simulador!$G$6)&lt;=0,(($A163-Simulador!$E$6)/Simulador!$G$6)&gt;=1),0,IF((($A163-Simulador!$E$6)/Simulador!$G$6)&lt;Simulador!$B$11,Simulador!$B$9*(1-COS(PI()*(($A163-Simulador!$E$6)/Simulador!$G$6)/Simulador!$B$11))/2,IF((($A163-Simulador!$E$6)/Simulador!$G$6)&gt;1-Simulador!$B$11,Simulador!$B$9*(1-COS(PI()*(1-(($A163-Simulador!$E$6)/Simulador!$G$6))/Simulador!$B$11))/2,Simulador!$B$9)))</f>
        <v/>
      </c>
      <c r="D163" s="46">
        <f>IF(OR((($A163-Simulador!$E$7)/Simulador!$G$7)&lt;=0,(($A163-Simulador!$E$7)/Simulador!$G$7)&gt;=1),0,IF((($A163-Simulador!$E$7)/Simulador!$G$7)&lt;Simulador!$B$11,Simulador!$B$9*(1-COS(PI()*(($A163-Simulador!$E$7)/Simulador!$G$7)/Simulador!$B$11))/2,IF((($A163-Simulador!$E$7)/Simulador!$G$7)&gt;1-Simulador!$B$11,Simulador!$B$9*(1-COS(PI()*(1-(($A163-Simulador!$E$7)/Simulador!$G$7))/Simulador!$B$11))/2,Simulador!$B$9)))</f>
        <v/>
      </c>
      <c r="E163" s="46">
        <f>IF(OR((($A163-Simulador!$E$8)/Simulador!$G$8)&lt;=0,(($A163-Simulador!$E$8)/Simulador!$G$8)&gt;=1),0,IF((($A163-Simulador!$E$8)/Simulador!$G$8)&lt;Simulador!$B$11,Simulador!$B$10*(1-COS(PI()*(($A163-Simulador!$E$8)/Simulador!$G$8)/Simulador!$B$11))/2,IF((($A163-Simulador!$E$8)/Simulador!$G$8)&gt;1-Simulador!$B$11,Simulador!$B$10*(1-COS(PI()*(1-(($A163-Simulador!$E$8)/Simulador!$G$8))/Simulador!$B$11))/2,Simulador!$B$10)))</f>
        <v/>
      </c>
      <c r="F163" s="46">
        <f>IF(OR((($A163-Simulador!$E$9)/Simulador!$G$9)&lt;=0,(($A163-Simulador!$E$9)/Simulador!$G$9)&gt;=1),0,IF((($A163-Simulador!$E$9)/Simulador!$G$9)&lt;Simulador!$B$11,Simulador!$B$10*(1-COS(PI()*(($A163-Simulador!$E$9)/Simulador!$G$9)/Simulador!$B$11))/2,IF((($A163-Simulador!$E$9)/Simulador!$G$9)&gt;1-Simulador!$B$11,Simulador!$B$10*(1-COS(PI()*(1-(($A163-Simulador!$E$9)/Simulador!$G$9))/Simulador!$B$11))/2,Simulador!$B$10)))</f>
        <v/>
      </c>
      <c r="G163" s="46">
        <f>IF(OR((($A163-Simulador!$E$10)/Simulador!$G$10)&lt;=0,(($A163-Simulador!$E$10)/Simulador!$G$10)&gt;=1),0,IF((($A163-Simulador!$E$10)/Simulador!$G$10)&lt;Simulador!$B$11,Simulador!$B$10*(1-COS(PI()*(($A163-Simulador!$E$10)/Simulador!$G$10)/Simulador!$B$11))/2,IF((($A163-Simulador!$E$10)/Simulador!$G$10)&gt;1-Simulador!$B$11,Simulador!$B$10*(1-COS(PI()*(1-(($A163-Simulador!$E$10)/Simulador!$G$10))/Simulador!$B$11))/2,Simulador!$B$10)))</f>
        <v/>
      </c>
      <c r="Q163" s="48">
        <f>IF(OR((($A163-(Simulador!$E$6+'Salto de dientes'!$B$12))/Simulador!$G$6)&lt;=0,(($A163-(Simulador!$E$6+'Salto de dientes'!$B$12))/Simulador!$G$6)&gt;=1),0,IF((($A163-(Simulador!$E$6+'Salto de dientes'!$B$12))/Simulador!$G$6)&lt;Simulador!$B$11,Simulador!$B$9*(1-COS(PI()*(($A163-(Simulador!$E$6+'Salto de dientes'!$B$12))/Simulador!$G$6)/Simulador!$B$11))/2,IF((($A163-(Simulador!$E$6+'Salto de dientes'!$B$12))/Simulador!$G$6)&gt;1-Simulador!$B$11,Simulador!$B$9*(1-COS(PI()*(1-(($A163-(Simulador!$E$6+'Salto de dientes'!$B$12))/Simulador!$G$6))/Simulador!$B$11))/2,Simulador!$B$9)))</f>
        <v/>
      </c>
      <c r="R163" s="48">
        <f>IF(OR((($A163-(Simulador!$E$9+'Salto de dientes'!$B$12))/Simulador!$G$9)&lt;=0,(($A163-(Simulador!$E$9+'Salto de dientes'!$B$12))/Simulador!$G$9)&gt;=1),0,IF((($A163-(Simulador!$E$9+'Salto de dientes'!$B$12))/Simulador!$G$9)&lt;Simulador!$B$11,Simulador!$B$10*(1-COS(PI()*(($A163-(Simulador!$E$9+'Salto de dientes'!$B$12))/Simulador!$G$9)/Simulador!$B$11))/2,IF((($A163-(Simulador!$E$9+'Salto de dientes'!$B$12))/Simulador!$G$9)&gt;1-Simulador!$B$11,Simulador!$B$10*(1-COS(PI()*(1-(($A163-(Simulador!$E$9+'Salto de dientes'!$B$12))/Simulador!$G$9))/Simulador!$B$11))/2,Simulador!$B$10)))</f>
        <v/>
      </c>
    </row>
    <row r="164">
      <c r="A164" s="26">
        <f>A163+Simulador!$B$14</f>
        <v/>
      </c>
      <c r="B164" s="46">
        <f>IF(OR((($A164-Simulador!$E$5)/Simulador!$G$5)&lt;=0,(($A164-Simulador!$E$5)/Simulador!$G$5)&gt;=1),0,IF((($A164-Simulador!$E$5)/Simulador!$G$5)&lt;Simulador!$B$11,Simulador!$B$9*(1-COS(PI()*(($A164-Simulador!$E$5)/Simulador!$G$5)/Simulador!$B$11))/2,IF((($A164-Simulador!$E$5)/Simulador!$G$5)&gt;1-Simulador!$B$11,Simulador!$B$9*(1-COS(PI()*(1-(($A164-Simulador!$E$5)/Simulador!$G$5))/Simulador!$B$11))/2,Simulador!$B$9)))</f>
        <v/>
      </c>
      <c r="C164" s="46">
        <f>IF(OR((($A164-Simulador!$E$6)/Simulador!$G$6)&lt;=0,(($A164-Simulador!$E$6)/Simulador!$G$6)&gt;=1),0,IF((($A164-Simulador!$E$6)/Simulador!$G$6)&lt;Simulador!$B$11,Simulador!$B$9*(1-COS(PI()*(($A164-Simulador!$E$6)/Simulador!$G$6)/Simulador!$B$11))/2,IF((($A164-Simulador!$E$6)/Simulador!$G$6)&gt;1-Simulador!$B$11,Simulador!$B$9*(1-COS(PI()*(1-(($A164-Simulador!$E$6)/Simulador!$G$6))/Simulador!$B$11))/2,Simulador!$B$9)))</f>
        <v/>
      </c>
      <c r="D164" s="46">
        <f>IF(OR((($A164-Simulador!$E$7)/Simulador!$G$7)&lt;=0,(($A164-Simulador!$E$7)/Simulador!$G$7)&gt;=1),0,IF((($A164-Simulador!$E$7)/Simulador!$G$7)&lt;Simulador!$B$11,Simulador!$B$9*(1-COS(PI()*(($A164-Simulador!$E$7)/Simulador!$G$7)/Simulador!$B$11))/2,IF((($A164-Simulador!$E$7)/Simulador!$G$7)&gt;1-Simulador!$B$11,Simulador!$B$9*(1-COS(PI()*(1-(($A164-Simulador!$E$7)/Simulador!$G$7))/Simulador!$B$11))/2,Simulador!$B$9)))</f>
        <v/>
      </c>
      <c r="E164" s="46">
        <f>IF(OR((($A164-Simulador!$E$8)/Simulador!$G$8)&lt;=0,(($A164-Simulador!$E$8)/Simulador!$G$8)&gt;=1),0,IF((($A164-Simulador!$E$8)/Simulador!$G$8)&lt;Simulador!$B$11,Simulador!$B$10*(1-COS(PI()*(($A164-Simulador!$E$8)/Simulador!$G$8)/Simulador!$B$11))/2,IF((($A164-Simulador!$E$8)/Simulador!$G$8)&gt;1-Simulador!$B$11,Simulador!$B$10*(1-COS(PI()*(1-(($A164-Simulador!$E$8)/Simulador!$G$8))/Simulador!$B$11))/2,Simulador!$B$10)))</f>
        <v/>
      </c>
      <c r="F164" s="46">
        <f>IF(OR((($A164-Simulador!$E$9)/Simulador!$G$9)&lt;=0,(($A164-Simulador!$E$9)/Simulador!$G$9)&gt;=1),0,IF((($A164-Simulador!$E$9)/Simulador!$G$9)&lt;Simulador!$B$11,Simulador!$B$10*(1-COS(PI()*(($A164-Simulador!$E$9)/Simulador!$G$9)/Simulador!$B$11))/2,IF((($A164-Simulador!$E$9)/Simulador!$G$9)&gt;1-Simulador!$B$11,Simulador!$B$10*(1-COS(PI()*(1-(($A164-Simulador!$E$9)/Simulador!$G$9))/Simulador!$B$11))/2,Simulador!$B$10)))</f>
        <v/>
      </c>
      <c r="G164" s="46">
        <f>IF(OR((($A164-Simulador!$E$10)/Simulador!$G$10)&lt;=0,(($A164-Simulador!$E$10)/Simulador!$G$10)&gt;=1),0,IF((($A164-Simulador!$E$10)/Simulador!$G$10)&lt;Simulador!$B$11,Simulador!$B$10*(1-COS(PI()*(($A164-Simulador!$E$10)/Simulador!$G$10)/Simulador!$B$11))/2,IF((($A164-Simulador!$E$10)/Simulador!$G$10)&gt;1-Simulador!$B$11,Simulador!$B$10*(1-COS(PI()*(1-(($A164-Simulador!$E$10)/Simulador!$G$10))/Simulador!$B$11))/2,Simulador!$B$10)))</f>
        <v/>
      </c>
      <c r="Q164" s="48">
        <f>IF(OR((($A164-(Simulador!$E$6+'Salto de dientes'!$B$12))/Simulador!$G$6)&lt;=0,(($A164-(Simulador!$E$6+'Salto de dientes'!$B$12))/Simulador!$G$6)&gt;=1),0,IF((($A164-(Simulador!$E$6+'Salto de dientes'!$B$12))/Simulador!$G$6)&lt;Simulador!$B$11,Simulador!$B$9*(1-COS(PI()*(($A164-(Simulador!$E$6+'Salto de dientes'!$B$12))/Simulador!$G$6)/Simulador!$B$11))/2,IF((($A164-(Simulador!$E$6+'Salto de dientes'!$B$12))/Simulador!$G$6)&gt;1-Simulador!$B$11,Simulador!$B$9*(1-COS(PI()*(1-(($A164-(Simulador!$E$6+'Salto de dientes'!$B$12))/Simulador!$G$6))/Simulador!$B$11))/2,Simulador!$B$9)))</f>
        <v/>
      </c>
      <c r="R164" s="48">
        <f>IF(OR((($A164-(Simulador!$E$9+'Salto de dientes'!$B$12))/Simulador!$G$9)&lt;=0,(($A164-(Simulador!$E$9+'Salto de dientes'!$B$12))/Simulador!$G$9)&gt;=1),0,IF((($A164-(Simulador!$E$9+'Salto de dientes'!$B$12))/Simulador!$G$9)&lt;Simulador!$B$11,Simulador!$B$10*(1-COS(PI()*(($A164-(Simulador!$E$9+'Salto de dientes'!$B$12))/Simulador!$G$9)/Simulador!$B$11))/2,IF((($A164-(Simulador!$E$9+'Salto de dientes'!$B$12))/Simulador!$G$9)&gt;1-Simulador!$B$11,Simulador!$B$10*(1-COS(PI()*(1-(($A164-(Simulador!$E$9+'Salto de dientes'!$B$12))/Simulador!$G$9))/Simulador!$B$11))/2,Simulador!$B$10)))</f>
        <v/>
      </c>
    </row>
    <row r="165">
      <c r="A165" s="26">
        <f>A164+Simulador!$B$14</f>
        <v/>
      </c>
      <c r="B165" s="46">
        <f>IF(OR((($A165-Simulador!$E$5)/Simulador!$G$5)&lt;=0,(($A165-Simulador!$E$5)/Simulador!$G$5)&gt;=1),0,IF((($A165-Simulador!$E$5)/Simulador!$G$5)&lt;Simulador!$B$11,Simulador!$B$9*(1-COS(PI()*(($A165-Simulador!$E$5)/Simulador!$G$5)/Simulador!$B$11))/2,IF((($A165-Simulador!$E$5)/Simulador!$G$5)&gt;1-Simulador!$B$11,Simulador!$B$9*(1-COS(PI()*(1-(($A165-Simulador!$E$5)/Simulador!$G$5))/Simulador!$B$11))/2,Simulador!$B$9)))</f>
        <v/>
      </c>
      <c r="C165" s="46">
        <f>IF(OR((($A165-Simulador!$E$6)/Simulador!$G$6)&lt;=0,(($A165-Simulador!$E$6)/Simulador!$G$6)&gt;=1),0,IF((($A165-Simulador!$E$6)/Simulador!$G$6)&lt;Simulador!$B$11,Simulador!$B$9*(1-COS(PI()*(($A165-Simulador!$E$6)/Simulador!$G$6)/Simulador!$B$11))/2,IF((($A165-Simulador!$E$6)/Simulador!$G$6)&gt;1-Simulador!$B$11,Simulador!$B$9*(1-COS(PI()*(1-(($A165-Simulador!$E$6)/Simulador!$G$6))/Simulador!$B$11))/2,Simulador!$B$9)))</f>
        <v/>
      </c>
      <c r="D165" s="46">
        <f>IF(OR((($A165-Simulador!$E$7)/Simulador!$G$7)&lt;=0,(($A165-Simulador!$E$7)/Simulador!$G$7)&gt;=1),0,IF((($A165-Simulador!$E$7)/Simulador!$G$7)&lt;Simulador!$B$11,Simulador!$B$9*(1-COS(PI()*(($A165-Simulador!$E$7)/Simulador!$G$7)/Simulador!$B$11))/2,IF((($A165-Simulador!$E$7)/Simulador!$G$7)&gt;1-Simulador!$B$11,Simulador!$B$9*(1-COS(PI()*(1-(($A165-Simulador!$E$7)/Simulador!$G$7))/Simulador!$B$11))/2,Simulador!$B$9)))</f>
        <v/>
      </c>
      <c r="E165" s="46">
        <f>IF(OR((($A165-Simulador!$E$8)/Simulador!$G$8)&lt;=0,(($A165-Simulador!$E$8)/Simulador!$G$8)&gt;=1),0,IF((($A165-Simulador!$E$8)/Simulador!$G$8)&lt;Simulador!$B$11,Simulador!$B$10*(1-COS(PI()*(($A165-Simulador!$E$8)/Simulador!$G$8)/Simulador!$B$11))/2,IF((($A165-Simulador!$E$8)/Simulador!$G$8)&gt;1-Simulador!$B$11,Simulador!$B$10*(1-COS(PI()*(1-(($A165-Simulador!$E$8)/Simulador!$G$8))/Simulador!$B$11))/2,Simulador!$B$10)))</f>
        <v/>
      </c>
      <c r="F165" s="46">
        <f>IF(OR((($A165-Simulador!$E$9)/Simulador!$G$9)&lt;=0,(($A165-Simulador!$E$9)/Simulador!$G$9)&gt;=1),0,IF((($A165-Simulador!$E$9)/Simulador!$G$9)&lt;Simulador!$B$11,Simulador!$B$10*(1-COS(PI()*(($A165-Simulador!$E$9)/Simulador!$G$9)/Simulador!$B$11))/2,IF((($A165-Simulador!$E$9)/Simulador!$G$9)&gt;1-Simulador!$B$11,Simulador!$B$10*(1-COS(PI()*(1-(($A165-Simulador!$E$9)/Simulador!$G$9))/Simulador!$B$11))/2,Simulador!$B$10)))</f>
        <v/>
      </c>
      <c r="G165" s="46">
        <f>IF(OR((($A165-Simulador!$E$10)/Simulador!$G$10)&lt;=0,(($A165-Simulador!$E$10)/Simulador!$G$10)&gt;=1),0,IF((($A165-Simulador!$E$10)/Simulador!$G$10)&lt;Simulador!$B$11,Simulador!$B$10*(1-COS(PI()*(($A165-Simulador!$E$10)/Simulador!$G$10)/Simulador!$B$11))/2,IF((($A165-Simulador!$E$10)/Simulador!$G$10)&gt;1-Simulador!$B$11,Simulador!$B$10*(1-COS(PI()*(1-(($A165-Simulador!$E$10)/Simulador!$G$10))/Simulador!$B$11))/2,Simulador!$B$10)))</f>
        <v/>
      </c>
      <c r="Q165" s="48">
        <f>IF(OR((($A165-(Simulador!$E$6+'Salto de dientes'!$B$12))/Simulador!$G$6)&lt;=0,(($A165-(Simulador!$E$6+'Salto de dientes'!$B$12))/Simulador!$G$6)&gt;=1),0,IF((($A165-(Simulador!$E$6+'Salto de dientes'!$B$12))/Simulador!$G$6)&lt;Simulador!$B$11,Simulador!$B$9*(1-COS(PI()*(($A165-(Simulador!$E$6+'Salto de dientes'!$B$12))/Simulador!$G$6)/Simulador!$B$11))/2,IF((($A165-(Simulador!$E$6+'Salto de dientes'!$B$12))/Simulador!$G$6)&gt;1-Simulador!$B$11,Simulador!$B$9*(1-COS(PI()*(1-(($A165-(Simulador!$E$6+'Salto de dientes'!$B$12))/Simulador!$G$6))/Simulador!$B$11))/2,Simulador!$B$9)))</f>
        <v/>
      </c>
      <c r="R165" s="48">
        <f>IF(OR((($A165-(Simulador!$E$9+'Salto de dientes'!$B$12))/Simulador!$G$9)&lt;=0,(($A165-(Simulador!$E$9+'Salto de dientes'!$B$12))/Simulador!$G$9)&gt;=1),0,IF((($A165-(Simulador!$E$9+'Salto de dientes'!$B$12))/Simulador!$G$9)&lt;Simulador!$B$11,Simulador!$B$10*(1-COS(PI()*(($A165-(Simulador!$E$9+'Salto de dientes'!$B$12))/Simulador!$G$9)/Simulador!$B$11))/2,IF((($A165-(Simulador!$E$9+'Salto de dientes'!$B$12))/Simulador!$G$9)&gt;1-Simulador!$B$11,Simulador!$B$10*(1-COS(PI()*(1-(($A165-(Simulador!$E$9+'Salto de dientes'!$B$12))/Simulador!$G$9))/Simulador!$B$11))/2,Simulador!$B$10)))</f>
        <v/>
      </c>
    </row>
    <row r="166">
      <c r="A166" s="26">
        <f>A165+Simulador!$B$14</f>
        <v/>
      </c>
      <c r="B166" s="46">
        <f>IF(OR((($A166-Simulador!$E$5)/Simulador!$G$5)&lt;=0,(($A166-Simulador!$E$5)/Simulador!$G$5)&gt;=1),0,IF((($A166-Simulador!$E$5)/Simulador!$G$5)&lt;Simulador!$B$11,Simulador!$B$9*(1-COS(PI()*(($A166-Simulador!$E$5)/Simulador!$G$5)/Simulador!$B$11))/2,IF((($A166-Simulador!$E$5)/Simulador!$G$5)&gt;1-Simulador!$B$11,Simulador!$B$9*(1-COS(PI()*(1-(($A166-Simulador!$E$5)/Simulador!$G$5))/Simulador!$B$11))/2,Simulador!$B$9)))</f>
        <v/>
      </c>
      <c r="C166" s="46">
        <f>IF(OR((($A166-Simulador!$E$6)/Simulador!$G$6)&lt;=0,(($A166-Simulador!$E$6)/Simulador!$G$6)&gt;=1),0,IF((($A166-Simulador!$E$6)/Simulador!$G$6)&lt;Simulador!$B$11,Simulador!$B$9*(1-COS(PI()*(($A166-Simulador!$E$6)/Simulador!$G$6)/Simulador!$B$11))/2,IF((($A166-Simulador!$E$6)/Simulador!$G$6)&gt;1-Simulador!$B$11,Simulador!$B$9*(1-COS(PI()*(1-(($A166-Simulador!$E$6)/Simulador!$G$6))/Simulador!$B$11))/2,Simulador!$B$9)))</f>
        <v/>
      </c>
      <c r="D166" s="46">
        <f>IF(OR((($A166-Simulador!$E$7)/Simulador!$G$7)&lt;=0,(($A166-Simulador!$E$7)/Simulador!$G$7)&gt;=1),0,IF((($A166-Simulador!$E$7)/Simulador!$G$7)&lt;Simulador!$B$11,Simulador!$B$9*(1-COS(PI()*(($A166-Simulador!$E$7)/Simulador!$G$7)/Simulador!$B$11))/2,IF((($A166-Simulador!$E$7)/Simulador!$G$7)&gt;1-Simulador!$B$11,Simulador!$B$9*(1-COS(PI()*(1-(($A166-Simulador!$E$7)/Simulador!$G$7))/Simulador!$B$11))/2,Simulador!$B$9)))</f>
        <v/>
      </c>
      <c r="E166" s="46">
        <f>IF(OR((($A166-Simulador!$E$8)/Simulador!$G$8)&lt;=0,(($A166-Simulador!$E$8)/Simulador!$G$8)&gt;=1),0,IF((($A166-Simulador!$E$8)/Simulador!$G$8)&lt;Simulador!$B$11,Simulador!$B$10*(1-COS(PI()*(($A166-Simulador!$E$8)/Simulador!$G$8)/Simulador!$B$11))/2,IF((($A166-Simulador!$E$8)/Simulador!$G$8)&gt;1-Simulador!$B$11,Simulador!$B$10*(1-COS(PI()*(1-(($A166-Simulador!$E$8)/Simulador!$G$8))/Simulador!$B$11))/2,Simulador!$B$10)))</f>
        <v/>
      </c>
      <c r="F166" s="46">
        <f>IF(OR((($A166-Simulador!$E$9)/Simulador!$G$9)&lt;=0,(($A166-Simulador!$E$9)/Simulador!$G$9)&gt;=1),0,IF((($A166-Simulador!$E$9)/Simulador!$G$9)&lt;Simulador!$B$11,Simulador!$B$10*(1-COS(PI()*(($A166-Simulador!$E$9)/Simulador!$G$9)/Simulador!$B$11))/2,IF((($A166-Simulador!$E$9)/Simulador!$G$9)&gt;1-Simulador!$B$11,Simulador!$B$10*(1-COS(PI()*(1-(($A166-Simulador!$E$9)/Simulador!$G$9))/Simulador!$B$11))/2,Simulador!$B$10)))</f>
        <v/>
      </c>
      <c r="G166" s="46">
        <f>IF(OR((($A166-Simulador!$E$10)/Simulador!$G$10)&lt;=0,(($A166-Simulador!$E$10)/Simulador!$G$10)&gt;=1),0,IF((($A166-Simulador!$E$10)/Simulador!$G$10)&lt;Simulador!$B$11,Simulador!$B$10*(1-COS(PI()*(($A166-Simulador!$E$10)/Simulador!$G$10)/Simulador!$B$11))/2,IF((($A166-Simulador!$E$10)/Simulador!$G$10)&gt;1-Simulador!$B$11,Simulador!$B$10*(1-COS(PI()*(1-(($A166-Simulador!$E$10)/Simulador!$G$10))/Simulador!$B$11))/2,Simulador!$B$10)))</f>
        <v/>
      </c>
      <c r="Q166" s="48">
        <f>IF(OR((($A166-(Simulador!$E$6+'Salto de dientes'!$B$12))/Simulador!$G$6)&lt;=0,(($A166-(Simulador!$E$6+'Salto de dientes'!$B$12))/Simulador!$G$6)&gt;=1),0,IF((($A166-(Simulador!$E$6+'Salto de dientes'!$B$12))/Simulador!$G$6)&lt;Simulador!$B$11,Simulador!$B$9*(1-COS(PI()*(($A166-(Simulador!$E$6+'Salto de dientes'!$B$12))/Simulador!$G$6)/Simulador!$B$11))/2,IF((($A166-(Simulador!$E$6+'Salto de dientes'!$B$12))/Simulador!$G$6)&gt;1-Simulador!$B$11,Simulador!$B$9*(1-COS(PI()*(1-(($A166-(Simulador!$E$6+'Salto de dientes'!$B$12))/Simulador!$G$6))/Simulador!$B$11))/2,Simulador!$B$9)))</f>
        <v/>
      </c>
      <c r="R166" s="48">
        <f>IF(OR((($A166-(Simulador!$E$9+'Salto de dientes'!$B$12))/Simulador!$G$9)&lt;=0,(($A166-(Simulador!$E$9+'Salto de dientes'!$B$12))/Simulador!$G$9)&gt;=1),0,IF((($A166-(Simulador!$E$9+'Salto de dientes'!$B$12))/Simulador!$G$9)&lt;Simulador!$B$11,Simulador!$B$10*(1-COS(PI()*(($A166-(Simulador!$E$9+'Salto de dientes'!$B$12))/Simulador!$G$9)/Simulador!$B$11))/2,IF((($A166-(Simulador!$E$9+'Salto de dientes'!$B$12))/Simulador!$G$9)&gt;1-Simulador!$B$11,Simulador!$B$10*(1-COS(PI()*(1-(($A166-(Simulador!$E$9+'Salto de dientes'!$B$12))/Simulador!$G$9))/Simulador!$B$11))/2,Simulador!$B$10)))</f>
        <v/>
      </c>
    </row>
    <row r="167">
      <c r="A167" s="26">
        <f>A166+Simulador!$B$14</f>
        <v/>
      </c>
      <c r="B167" s="46">
        <f>IF(OR((($A167-Simulador!$E$5)/Simulador!$G$5)&lt;=0,(($A167-Simulador!$E$5)/Simulador!$G$5)&gt;=1),0,IF((($A167-Simulador!$E$5)/Simulador!$G$5)&lt;Simulador!$B$11,Simulador!$B$9*(1-COS(PI()*(($A167-Simulador!$E$5)/Simulador!$G$5)/Simulador!$B$11))/2,IF((($A167-Simulador!$E$5)/Simulador!$G$5)&gt;1-Simulador!$B$11,Simulador!$B$9*(1-COS(PI()*(1-(($A167-Simulador!$E$5)/Simulador!$G$5))/Simulador!$B$11))/2,Simulador!$B$9)))</f>
        <v/>
      </c>
      <c r="C167" s="46">
        <f>IF(OR((($A167-Simulador!$E$6)/Simulador!$G$6)&lt;=0,(($A167-Simulador!$E$6)/Simulador!$G$6)&gt;=1),0,IF((($A167-Simulador!$E$6)/Simulador!$G$6)&lt;Simulador!$B$11,Simulador!$B$9*(1-COS(PI()*(($A167-Simulador!$E$6)/Simulador!$G$6)/Simulador!$B$11))/2,IF((($A167-Simulador!$E$6)/Simulador!$G$6)&gt;1-Simulador!$B$11,Simulador!$B$9*(1-COS(PI()*(1-(($A167-Simulador!$E$6)/Simulador!$G$6))/Simulador!$B$11))/2,Simulador!$B$9)))</f>
        <v/>
      </c>
      <c r="D167" s="46">
        <f>IF(OR((($A167-Simulador!$E$7)/Simulador!$G$7)&lt;=0,(($A167-Simulador!$E$7)/Simulador!$G$7)&gt;=1),0,IF((($A167-Simulador!$E$7)/Simulador!$G$7)&lt;Simulador!$B$11,Simulador!$B$9*(1-COS(PI()*(($A167-Simulador!$E$7)/Simulador!$G$7)/Simulador!$B$11))/2,IF((($A167-Simulador!$E$7)/Simulador!$G$7)&gt;1-Simulador!$B$11,Simulador!$B$9*(1-COS(PI()*(1-(($A167-Simulador!$E$7)/Simulador!$G$7))/Simulador!$B$11))/2,Simulador!$B$9)))</f>
        <v/>
      </c>
      <c r="E167" s="46">
        <f>IF(OR((($A167-Simulador!$E$8)/Simulador!$G$8)&lt;=0,(($A167-Simulador!$E$8)/Simulador!$G$8)&gt;=1),0,IF((($A167-Simulador!$E$8)/Simulador!$G$8)&lt;Simulador!$B$11,Simulador!$B$10*(1-COS(PI()*(($A167-Simulador!$E$8)/Simulador!$G$8)/Simulador!$B$11))/2,IF((($A167-Simulador!$E$8)/Simulador!$G$8)&gt;1-Simulador!$B$11,Simulador!$B$10*(1-COS(PI()*(1-(($A167-Simulador!$E$8)/Simulador!$G$8))/Simulador!$B$11))/2,Simulador!$B$10)))</f>
        <v/>
      </c>
      <c r="F167" s="46">
        <f>IF(OR((($A167-Simulador!$E$9)/Simulador!$G$9)&lt;=0,(($A167-Simulador!$E$9)/Simulador!$G$9)&gt;=1),0,IF((($A167-Simulador!$E$9)/Simulador!$G$9)&lt;Simulador!$B$11,Simulador!$B$10*(1-COS(PI()*(($A167-Simulador!$E$9)/Simulador!$G$9)/Simulador!$B$11))/2,IF((($A167-Simulador!$E$9)/Simulador!$G$9)&gt;1-Simulador!$B$11,Simulador!$B$10*(1-COS(PI()*(1-(($A167-Simulador!$E$9)/Simulador!$G$9))/Simulador!$B$11))/2,Simulador!$B$10)))</f>
        <v/>
      </c>
      <c r="G167" s="46">
        <f>IF(OR((($A167-Simulador!$E$10)/Simulador!$G$10)&lt;=0,(($A167-Simulador!$E$10)/Simulador!$G$10)&gt;=1),0,IF((($A167-Simulador!$E$10)/Simulador!$G$10)&lt;Simulador!$B$11,Simulador!$B$10*(1-COS(PI()*(($A167-Simulador!$E$10)/Simulador!$G$10)/Simulador!$B$11))/2,IF((($A167-Simulador!$E$10)/Simulador!$G$10)&gt;1-Simulador!$B$11,Simulador!$B$10*(1-COS(PI()*(1-(($A167-Simulador!$E$10)/Simulador!$G$10))/Simulador!$B$11))/2,Simulador!$B$10)))</f>
        <v/>
      </c>
      <c r="Q167" s="48">
        <f>IF(OR((($A167-(Simulador!$E$6+'Salto de dientes'!$B$12))/Simulador!$G$6)&lt;=0,(($A167-(Simulador!$E$6+'Salto de dientes'!$B$12))/Simulador!$G$6)&gt;=1),0,IF((($A167-(Simulador!$E$6+'Salto de dientes'!$B$12))/Simulador!$G$6)&lt;Simulador!$B$11,Simulador!$B$9*(1-COS(PI()*(($A167-(Simulador!$E$6+'Salto de dientes'!$B$12))/Simulador!$G$6)/Simulador!$B$11))/2,IF((($A167-(Simulador!$E$6+'Salto de dientes'!$B$12))/Simulador!$G$6)&gt;1-Simulador!$B$11,Simulador!$B$9*(1-COS(PI()*(1-(($A167-(Simulador!$E$6+'Salto de dientes'!$B$12))/Simulador!$G$6))/Simulador!$B$11))/2,Simulador!$B$9)))</f>
        <v/>
      </c>
      <c r="R167" s="48">
        <f>IF(OR((($A167-(Simulador!$E$9+'Salto de dientes'!$B$12))/Simulador!$G$9)&lt;=0,(($A167-(Simulador!$E$9+'Salto de dientes'!$B$12))/Simulador!$G$9)&gt;=1),0,IF((($A167-(Simulador!$E$9+'Salto de dientes'!$B$12))/Simulador!$G$9)&lt;Simulador!$B$11,Simulador!$B$10*(1-COS(PI()*(($A167-(Simulador!$E$9+'Salto de dientes'!$B$12))/Simulador!$G$9)/Simulador!$B$11))/2,IF((($A167-(Simulador!$E$9+'Salto de dientes'!$B$12))/Simulador!$G$9)&gt;1-Simulador!$B$11,Simulador!$B$10*(1-COS(PI()*(1-(($A167-(Simulador!$E$9+'Salto de dientes'!$B$12))/Simulador!$G$9))/Simulador!$B$11))/2,Simulador!$B$10)))</f>
        <v/>
      </c>
    </row>
    <row r="168">
      <c r="A168" s="26">
        <f>A167+Simulador!$B$14</f>
        <v/>
      </c>
      <c r="B168" s="46">
        <f>IF(OR((($A168-Simulador!$E$5)/Simulador!$G$5)&lt;=0,(($A168-Simulador!$E$5)/Simulador!$G$5)&gt;=1),0,IF((($A168-Simulador!$E$5)/Simulador!$G$5)&lt;Simulador!$B$11,Simulador!$B$9*(1-COS(PI()*(($A168-Simulador!$E$5)/Simulador!$G$5)/Simulador!$B$11))/2,IF((($A168-Simulador!$E$5)/Simulador!$G$5)&gt;1-Simulador!$B$11,Simulador!$B$9*(1-COS(PI()*(1-(($A168-Simulador!$E$5)/Simulador!$G$5))/Simulador!$B$11))/2,Simulador!$B$9)))</f>
        <v/>
      </c>
      <c r="C168" s="46">
        <f>IF(OR((($A168-Simulador!$E$6)/Simulador!$G$6)&lt;=0,(($A168-Simulador!$E$6)/Simulador!$G$6)&gt;=1),0,IF((($A168-Simulador!$E$6)/Simulador!$G$6)&lt;Simulador!$B$11,Simulador!$B$9*(1-COS(PI()*(($A168-Simulador!$E$6)/Simulador!$G$6)/Simulador!$B$11))/2,IF((($A168-Simulador!$E$6)/Simulador!$G$6)&gt;1-Simulador!$B$11,Simulador!$B$9*(1-COS(PI()*(1-(($A168-Simulador!$E$6)/Simulador!$G$6))/Simulador!$B$11))/2,Simulador!$B$9)))</f>
        <v/>
      </c>
      <c r="D168" s="46">
        <f>IF(OR((($A168-Simulador!$E$7)/Simulador!$G$7)&lt;=0,(($A168-Simulador!$E$7)/Simulador!$G$7)&gt;=1),0,IF((($A168-Simulador!$E$7)/Simulador!$G$7)&lt;Simulador!$B$11,Simulador!$B$9*(1-COS(PI()*(($A168-Simulador!$E$7)/Simulador!$G$7)/Simulador!$B$11))/2,IF((($A168-Simulador!$E$7)/Simulador!$G$7)&gt;1-Simulador!$B$11,Simulador!$B$9*(1-COS(PI()*(1-(($A168-Simulador!$E$7)/Simulador!$G$7))/Simulador!$B$11))/2,Simulador!$B$9)))</f>
        <v/>
      </c>
      <c r="E168" s="46">
        <f>IF(OR((($A168-Simulador!$E$8)/Simulador!$G$8)&lt;=0,(($A168-Simulador!$E$8)/Simulador!$G$8)&gt;=1),0,IF((($A168-Simulador!$E$8)/Simulador!$G$8)&lt;Simulador!$B$11,Simulador!$B$10*(1-COS(PI()*(($A168-Simulador!$E$8)/Simulador!$G$8)/Simulador!$B$11))/2,IF((($A168-Simulador!$E$8)/Simulador!$G$8)&gt;1-Simulador!$B$11,Simulador!$B$10*(1-COS(PI()*(1-(($A168-Simulador!$E$8)/Simulador!$G$8))/Simulador!$B$11))/2,Simulador!$B$10)))</f>
        <v/>
      </c>
      <c r="F168" s="46">
        <f>IF(OR((($A168-Simulador!$E$9)/Simulador!$G$9)&lt;=0,(($A168-Simulador!$E$9)/Simulador!$G$9)&gt;=1),0,IF((($A168-Simulador!$E$9)/Simulador!$G$9)&lt;Simulador!$B$11,Simulador!$B$10*(1-COS(PI()*(($A168-Simulador!$E$9)/Simulador!$G$9)/Simulador!$B$11))/2,IF((($A168-Simulador!$E$9)/Simulador!$G$9)&gt;1-Simulador!$B$11,Simulador!$B$10*(1-COS(PI()*(1-(($A168-Simulador!$E$9)/Simulador!$G$9))/Simulador!$B$11))/2,Simulador!$B$10)))</f>
        <v/>
      </c>
      <c r="G168" s="46">
        <f>IF(OR((($A168-Simulador!$E$10)/Simulador!$G$10)&lt;=0,(($A168-Simulador!$E$10)/Simulador!$G$10)&gt;=1),0,IF((($A168-Simulador!$E$10)/Simulador!$G$10)&lt;Simulador!$B$11,Simulador!$B$10*(1-COS(PI()*(($A168-Simulador!$E$10)/Simulador!$G$10)/Simulador!$B$11))/2,IF((($A168-Simulador!$E$10)/Simulador!$G$10)&gt;1-Simulador!$B$11,Simulador!$B$10*(1-COS(PI()*(1-(($A168-Simulador!$E$10)/Simulador!$G$10))/Simulador!$B$11))/2,Simulador!$B$10)))</f>
        <v/>
      </c>
      <c r="Q168" s="48">
        <f>IF(OR((($A168-(Simulador!$E$6+'Salto de dientes'!$B$12))/Simulador!$G$6)&lt;=0,(($A168-(Simulador!$E$6+'Salto de dientes'!$B$12))/Simulador!$G$6)&gt;=1),0,IF((($A168-(Simulador!$E$6+'Salto de dientes'!$B$12))/Simulador!$G$6)&lt;Simulador!$B$11,Simulador!$B$9*(1-COS(PI()*(($A168-(Simulador!$E$6+'Salto de dientes'!$B$12))/Simulador!$G$6)/Simulador!$B$11))/2,IF((($A168-(Simulador!$E$6+'Salto de dientes'!$B$12))/Simulador!$G$6)&gt;1-Simulador!$B$11,Simulador!$B$9*(1-COS(PI()*(1-(($A168-(Simulador!$E$6+'Salto de dientes'!$B$12))/Simulador!$G$6))/Simulador!$B$11))/2,Simulador!$B$9)))</f>
        <v/>
      </c>
      <c r="R168" s="48">
        <f>IF(OR((($A168-(Simulador!$E$9+'Salto de dientes'!$B$12))/Simulador!$G$9)&lt;=0,(($A168-(Simulador!$E$9+'Salto de dientes'!$B$12))/Simulador!$G$9)&gt;=1),0,IF((($A168-(Simulador!$E$9+'Salto de dientes'!$B$12))/Simulador!$G$9)&lt;Simulador!$B$11,Simulador!$B$10*(1-COS(PI()*(($A168-(Simulador!$E$9+'Salto de dientes'!$B$12))/Simulador!$G$9)/Simulador!$B$11))/2,IF((($A168-(Simulador!$E$9+'Salto de dientes'!$B$12))/Simulador!$G$9)&gt;1-Simulador!$B$11,Simulador!$B$10*(1-COS(PI()*(1-(($A168-(Simulador!$E$9+'Salto de dientes'!$B$12))/Simulador!$G$9))/Simulador!$B$11))/2,Simulador!$B$10)))</f>
        <v/>
      </c>
    </row>
    <row r="169">
      <c r="A169" s="26">
        <f>A168+Simulador!$B$14</f>
        <v/>
      </c>
      <c r="B169" s="46">
        <f>IF(OR((($A169-Simulador!$E$5)/Simulador!$G$5)&lt;=0,(($A169-Simulador!$E$5)/Simulador!$G$5)&gt;=1),0,IF((($A169-Simulador!$E$5)/Simulador!$G$5)&lt;Simulador!$B$11,Simulador!$B$9*(1-COS(PI()*(($A169-Simulador!$E$5)/Simulador!$G$5)/Simulador!$B$11))/2,IF((($A169-Simulador!$E$5)/Simulador!$G$5)&gt;1-Simulador!$B$11,Simulador!$B$9*(1-COS(PI()*(1-(($A169-Simulador!$E$5)/Simulador!$G$5))/Simulador!$B$11))/2,Simulador!$B$9)))</f>
        <v/>
      </c>
      <c r="C169" s="46">
        <f>IF(OR((($A169-Simulador!$E$6)/Simulador!$G$6)&lt;=0,(($A169-Simulador!$E$6)/Simulador!$G$6)&gt;=1),0,IF((($A169-Simulador!$E$6)/Simulador!$G$6)&lt;Simulador!$B$11,Simulador!$B$9*(1-COS(PI()*(($A169-Simulador!$E$6)/Simulador!$G$6)/Simulador!$B$11))/2,IF((($A169-Simulador!$E$6)/Simulador!$G$6)&gt;1-Simulador!$B$11,Simulador!$B$9*(1-COS(PI()*(1-(($A169-Simulador!$E$6)/Simulador!$G$6))/Simulador!$B$11))/2,Simulador!$B$9)))</f>
        <v/>
      </c>
      <c r="D169" s="46">
        <f>IF(OR((($A169-Simulador!$E$7)/Simulador!$G$7)&lt;=0,(($A169-Simulador!$E$7)/Simulador!$G$7)&gt;=1),0,IF((($A169-Simulador!$E$7)/Simulador!$G$7)&lt;Simulador!$B$11,Simulador!$B$9*(1-COS(PI()*(($A169-Simulador!$E$7)/Simulador!$G$7)/Simulador!$B$11))/2,IF((($A169-Simulador!$E$7)/Simulador!$G$7)&gt;1-Simulador!$B$11,Simulador!$B$9*(1-COS(PI()*(1-(($A169-Simulador!$E$7)/Simulador!$G$7))/Simulador!$B$11))/2,Simulador!$B$9)))</f>
        <v/>
      </c>
      <c r="E169" s="46">
        <f>IF(OR((($A169-Simulador!$E$8)/Simulador!$G$8)&lt;=0,(($A169-Simulador!$E$8)/Simulador!$G$8)&gt;=1),0,IF((($A169-Simulador!$E$8)/Simulador!$G$8)&lt;Simulador!$B$11,Simulador!$B$10*(1-COS(PI()*(($A169-Simulador!$E$8)/Simulador!$G$8)/Simulador!$B$11))/2,IF((($A169-Simulador!$E$8)/Simulador!$G$8)&gt;1-Simulador!$B$11,Simulador!$B$10*(1-COS(PI()*(1-(($A169-Simulador!$E$8)/Simulador!$G$8))/Simulador!$B$11))/2,Simulador!$B$10)))</f>
        <v/>
      </c>
      <c r="F169" s="46">
        <f>IF(OR((($A169-Simulador!$E$9)/Simulador!$G$9)&lt;=0,(($A169-Simulador!$E$9)/Simulador!$G$9)&gt;=1),0,IF((($A169-Simulador!$E$9)/Simulador!$G$9)&lt;Simulador!$B$11,Simulador!$B$10*(1-COS(PI()*(($A169-Simulador!$E$9)/Simulador!$G$9)/Simulador!$B$11))/2,IF((($A169-Simulador!$E$9)/Simulador!$G$9)&gt;1-Simulador!$B$11,Simulador!$B$10*(1-COS(PI()*(1-(($A169-Simulador!$E$9)/Simulador!$G$9))/Simulador!$B$11))/2,Simulador!$B$10)))</f>
        <v/>
      </c>
      <c r="G169" s="46">
        <f>IF(OR((($A169-Simulador!$E$10)/Simulador!$G$10)&lt;=0,(($A169-Simulador!$E$10)/Simulador!$G$10)&gt;=1),0,IF((($A169-Simulador!$E$10)/Simulador!$G$10)&lt;Simulador!$B$11,Simulador!$B$10*(1-COS(PI()*(($A169-Simulador!$E$10)/Simulador!$G$10)/Simulador!$B$11))/2,IF((($A169-Simulador!$E$10)/Simulador!$G$10)&gt;1-Simulador!$B$11,Simulador!$B$10*(1-COS(PI()*(1-(($A169-Simulador!$E$10)/Simulador!$G$10))/Simulador!$B$11))/2,Simulador!$B$10)))</f>
        <v/>
      </c>
      <c r="Q169" s="48">
        <f>IF(OR((($A169-(Simulador!$E$6+'Salto de dientes'!$B$12))/Simulador!$G$6)&lt;=0,(($A169-(Simulador!$E$6+'Salto de dientes'!$B$12))/Simulador!$G$6)&gt;=1),0,IF((($A169-(Simulador!$E$6+'Salto de dientes'!$B$12))/Simulador!$G$6)&lt;Simulador!$B$11,Simulador!$B$9*(1-COS(PI()*(($A169-(Simulador!$E$6+'Salto de dientes'!$B$12))/Simulador!$G$6)/Simulador!$B$11))/2,IF((($A169-(Simulador!$E$6+'Salto de dientes'!$B$12))/Simulador!$G$6)&gt;1-Simulador!$B$11,Simulador!$B$9*(1-COS(PI()*(1-(($A169-(Simulador!$E$6+'Salto de dientes'!$B$12))/Simulador!$G$6))/Simulador!$B$11))/2,Simulador!$B$9)))</f>
        <v/>
      </c>
      <c r="R169" s="48">
        <f>IF(OR((($A169-(Simulador!$E$9+'Salto de dientes'!$B$12))/Simulador!$G$9)&lt;=0,(($A169-(Simulador!$E$9+'Salto de dientes'!$B$12))/Simulador!$G$9)&gt;=1),0,IF((($A169-(Simulador!$E$9+'Salto de dientes'!$B$12))/Simulador!$G$9)&lt;Simulador!$B$11,Simulador!$B$10*(1-COS(PI()*(($A169-(Simulador!$E$9+'Salto de dientes'!$B$12))/Simulador!$G$9)/Simulador!$B$11))/2,IF((($A169-(Simulador!$E$9+'Salto de dientes'!$B$12))/Simulador!$G$9)&gt;1-Simulador!$B$11,Simulador!$B$10*(1-COS(PI()*(1-(($A169-(Simulador!$E$9+'Salto de dientes'!$B$12))/Simulador!$G$9))/Simulador!$B$11))/2,Simulador!$B$10)))</f>
        <v/>
      </c>
    </row>
    <row r="170">
      <c r="A170" s="26">
        <f>A169+Simulador!$B$14</f>
        <v/>
      </c>
      <c r="B170" s="46">
        <f>IF(OR((($A170-Simulador!$E$5)/Simulador!$G$5)&lt;=0,(($A170-Simulador!$E$5)/Simulador!$G$5)&gt;=1),0,IF((($A170-Simulador!$E$5)/Simulador!$G$5)&lt;Simulador!$B$11,Simulador!$B$9*(1-COS(PI()*(($A170-Simulador!$E$5)/Simulador!$G$5)/Simulador!$B$11))/2,IF((($A170-Simulador!$E$5)/Simulador!$G$5)&gt;1-Simulador!$B$11,Simulador!$B$9*(1-COS(PI()*(1-(($A170-Simulador!$E$5)/Simulador!$G$5))/Simulador!$B$11))/2,Simulador!$B$9)))</f>
        <v/>
      </c>
      <c r="C170" s="46">
        <f>IF(OR((($A170-Simulador!$E$6)/Simulador!$G$6)&lt;=0,(($A170-Simulador!$E$6)/Simulador!$G$6)&gt;=1),0,IF((($A170-Simulador!$E$6)/Simulador!$G$6)&lt;Simulador!$B$11,Simulador!$B$9*(1-COS(PI()*(($A170-Simulador!$E$6)/Simulador!$G$6)/Simulador!$B$11))/2,IF((($A170-Simulador!$E$6)/Simulador!$G$6)&gt;1-Simulador!$B$11,Simulador!$B$9*(1-COS(PI()*(1-(($A170-Simulador!$E$6)/Simulador!$G$6))/Simulador!$B$11))/2,Simulador!$B$9)))</f>
        <v/>
      </c>
      <c r="D170" s="46">
        <f>IF(OR((($A170-Simulador!$E$7)/Simulador!$G$7)&lt;=0,(($A170-Simulador!$E$7)/Simulador!$G$7)&gt;=1),0,IF((($A170-Simulador!$E$7)/Simulador!$G$7)&lt;Simulador!$B$11,Simulador!$B$9*(1-COS(PI()*(($A170-Simulador!$E$7)/Simulador!$G$7)/Simulador!$B$11))/2,IF((($A170-Simulador!$E$7)/Simulador!$G$7)&gt;1-Simulador!$B$11,Simulador!$B$9*(1-COS(PI()*(1-(($A170-Simulador!$E$7)/Simulador!$G$7))/Simulador!$B$11))/2,Simulador!$B$9)))</f>
        <v/>
      </c>
      <c r="E170" s="46">
        <f>IF(OR((($A170-Simulador!$E$8)/Simulador!$G$8)&lt;=0,(($A170-Simulador!$E$8)/Simulador!$G$8)&gt;=1),0,IF((($A170-Simulador!$E$8)/Simulador!$G$8)&lt;Simulador!$B$11,Simulador!$B$10*(1-COS(PI()*(($A170-Simulador!$E$8)/Simulador!$G$8)/Simulador!$B$11))/2,IF((($A170-Simulador!$E$8)/Simulador!$G$8)&gt;1-Simulador!$B$11,Simulador!$B$10*(1-COS(PI()*(1-(($A170-Simulador!$E$8)/Simulador!$G$8))/Simulador!$B$11))/2,Simulador!$B$10)))</f>
        <v/>
      </c>
      <c r="F170" s="46">
        <f>IF(OR((($A170-Simulador!$E$9)/Simulador!$G$9)&lt;=0,(($A170-Simulador!$E$9)/Simulador!$G$9)&gt;=1),0,IF((($A170-Simulador!$E$9)/Simulador!$G$9)&lt;Simulador!$B$11,Simulador!$B$10*(1-COS(PI()*(($A170-Simulador!$E$9)/Simulador!$G$9)/Simulador!$B$11))/2,IF((($A170-Simulador!$E$9)/Simulador!$G$9)&gt;1-Simulador!$B$11,Simulador!$B$10*(1-COS(PI()*(1-(($A170-Simulador!$E$9)/Simulador!$G$9))/Simulador!$B$11))/2,Simulador!$B$10)))</f>
        <v/>
      </c>
      <c r="G170" s="46">
        <f>IF(OR((($A170-Simulador!$E$10)/Simulador!$G$10)&lt;=0,(($A170-Simulador!$E$10)/Simulador!$G$10)&gt;=1),0,IF((($A170-Simulador!$E$10)/Simulador!$G$10)&lt;Simulador!$B$11,Simulador!$B$10*(1-COS(PI()*(($A170-Simulador!$E$10)/Simulador!$G$10)/Simulador!$B$11))/2,IF((($A170-Simulador!$E$10)/Simulador!$G$10)&gt;1-Simulador!$B$11,Simulador!$B$10*(1-COS(PI()*(1-(($A170-Simulador!$E$10)/Simulador!$G$10))/Simulador!$B$11))/2,Simulador!$B$10)))</f>
        <v/>
      </c>
      <c r="Q170" s="48">
        <f>IF(OR((($A170-(Simulador!$E$6+'Salto de dientes'!$B$12))/Simulador!$G$6)&lt;=0,(($A170-(Simulador!$E$6+'Salto de dientes'!$B$12))/Simulador!$G$6)&gt;=1),0,IF((($A170-(Simulador!$E$6+'Salto de dientes'!$B$12))/Simulador!$G$6)&lt;Simulador!$B$11,Simulador!$B$9*(1-COS(PI()*(($A170-(Simulador!$E$6+'Salto de dientes'!$B$12))/Simulador!$G$6)/Simulador!$B$11))/2,IF((($A170-(Simulador!$E$6+'Salto de dientes'!$B$12))/Simulador!$G$6)&gt;1-Simulador!$B$11,Simulador!$B$9*(1-COS(PI()*(1-(($A170-(Simulador!$E$6+'Salto de dientes'!$B$12))/Simulador!$G$6))/Simulador!$B$11))/2,Simulador!$B$9)))</f>
        <v/>
      </c>
      <c r="R170" s="48">
        <f>IF(OR((($A170-(Simulador!$E$9+'Salto de dientes'!$B$12))/Simulador!$G$9)&lt;=0,(($A170-(Simulador!$E$9+'Salto de dientes'!$B$12))/Simulador!$G$9)&gt;=1),0,IF((($A170-(Simulador!$E$9+'Salto de dientes'!$B$12))/Simulador!$G$9)&lt;Simulador!$B$11,Simulador!$B$10*(1-COS(PI()*(($A170-(Simulador!$E$9+'Salto de dientes'!$B$12))/Simulador!$G$9)/Simulador!$B$11))/2,IF((($A170-(Simulador!$E$9+'Salto de dientes'!$B$12))/Simulador!$G$9)&gt;1-Simulador!$B$11,Simulador!$B$10*(1-COS(PI()*(1-(($A170-(Simulador!$E$9+'Salto de dientes'!$B$12))/Simulador!$G$9))/Simulador!$B$11))/2,Simulador!$B$10)))</f>
        <v/>
      </c>
    </row>
    <row r="171">
      <c r="A171" s="26">
        <f>A170+Simulador!$B$14</f>
        <v/>
      </c>
      <c r="B171" s="46">
        <f>IF(OR((($A171-Simulador!$E$5)/Simulador!$G$5)&lt;=0,(($A171-Simulador!$E$5)/Simulador!$G$5)&gt;=1),0,IF((($A171-Simulador!$E$5)/Simulador!$G$5)&lt;Simulador!$B$11,Simulador!$B$9*(1-COS(PI()*(($A171-Simulador!$E$5)/Simulador!$G$5)/Simulador!$B$11))/2,IF((($A171-Simulador!$E$5)/Simulador!$G$5)&gt;1-Simulador!$B$11,Simulador!$B$9*(1-COS(PI()*(1-(($A171-Simulador!$E$5)/Simulador!$G$5))/Simulador!$B$11))/2,Simulador!$B$9)))</f>
        <v/>
      </c>
      <c r="C171" s="46">
        <f>IF(OR((($A171-Simulador!$E$6)/Simulador!$G$6)&lt;=0,(($A171-Simulador!$E$6)/Simulador!$G$6)&gt;=1),0,IF((($A171-Simulador!$E$6)/Simulador!$G$6)&lt;Simulador!$B$11,Simulador!$B$9*(1-COS(PI()*(($A171-Simulador!$E$6)/Simulador!$G$6)/Simulador!$B$11))/2,IF((($A171-Simulador!$E$6)/Simulador!$G$6)&gt;1-Simulador!$B$11,Simulador!$B$9*(1-COS(PI()*(1-(($A171-Simulador!$E$6)/Simulador!$G$6))/Simulador!$B$11))/2,Simulador!$B$9)))</f>
        <v/>
      </c>
      <c r="D171" s="46">
        <f>IF(OR((($A171-Simulador!$E$7)/Simulador!$G$7)&lt;=0,(($A171-Simulador!$E$7)/Simulador!$G$7)&gt;=1),0,IF((($A171-Simulador!$E$7)/Simulador!$G$7)&lt;Simulador!$B$11,Simulador!$B$9*(1-COS(PI()*(($A171-Simulador!$E$7)/Simulador!$G$7)/Simulador!$B$11))/2,IF((($A171-Simulador!$E$7)/Simulador!$G$7)&gt;1-Simulador!$B$11,Simulador!$B$9*(1-COS(PI()*(1-(($A171-Simulador!$E$7)/Simulador!$G$7))/Simulador!$B$11))/2,Simulador!$B$9)))</f>
        <v/>
      </c>
      <c r="E171" s="46">
        <f>IF(OR((($A171-Simulador!$E$8)/Simulador!$G$8)&lt;=0,(($A171-Simulador!$E$8)/Simulador!$G$8)&gt;=1),0,IF((($A171-Simulador!$E$8)/Simulador!$G$8)&lt;Simulador!$B$11,Simulador!$B$10*(1-COS(PI()*(($A171-Simulador!$E$8)/Simulador!$G$8)/Simulador!$B$11))/2,IF((($A171-Simulador!$E$8)/Simulador!$G$8)&gt;1-Simulador!$B$11,Simulador!$B$10*(1-COS(PI()*(1-(($A171-Simulador!$E$8)/Simulador!$G$8))/Simulador!$B$11))/2,Simulador!$B$10)))</f>
        <v/>
      </c>
      <c r="F171" s="46">
        <f>IF(OR((($A171-Simulador!$E$9)/Simulador!$G$9)&lt;=0,(($A171-Simulador!$E$9)/Simulador!$G$9)&gt;=1),0,IF((($A171-Simulador!$E$9)/Simulador!$G$9)&lt;Simulador!$B$11,Simulador!$B$10*(1-COS(PI()*(($A171-Simulador!$E$9)/Simulador!$G$9)/Simulador!$B$11))/2,IF((($A171-Simulador!$E$9)/Simulador!$G$9)&gt;1-Simulador!$B$11,Simulador!$B$10*(1-COS(PI()*(1-(($A171-Simulador!$E$9)/Simulador!$G$9))/Simulador!$B$11))/2,Simulador!$B$10)))</f>
        <v/>
      </c>
      <c r="G171" s="46">
        <f>IF(OR((($A171-Simulador!$E$10)/Simulador!$G$10)&lt;=0,(($A171-Simulador!$E$10)/Simulador!$G$10)&gt;=1),0,IF((($A171-Simulador!$E$10)/Simulador!$G$10)&lt;Simulador!$B$11,Simulador!$B$10*(1-COS(PI()*(($A171-Simulador!$E$10)/Simulador!$G$10)/Simulador!$B$11))/2,IF((($A171-Simulador!$E$10)/Simulador!$G$10)&gt;1-Simulador!$B$11,Simulador!$B$10*(1-COS(PI()*(1-(($A171-Simulador!$E$10)/Simulador!$G$10))/Simulador!$B$11))/2,Simulador!$B$10)))</f>
        <v/>
      </c>
      <c r="Q171" s="48">
        <f>IF(OR((($A171-(Simulador!$E$6+'Salto de dientes'!$B$12))/Simulador!$G$6)&lt;=0,(($A171-(Simulador!$E$6+'Salto de dientes'!$B$12))/Simulador!$G$6)&gt;=1),0,IF((($A171-(Simulador!$E$6+'Salto de dientes'!$B$12))/Simulador!$G$6)&lt;Simulador!$B$11,Simulador!$B$9*(1-COS(PI()*(($A171-(Simulador!$E$6+'Salto de dientes'!$B$12))/Simulador!$G$6)/Simulador!$B$11))/2,IF((($A171-(Simulador!$E$6+'Salto de dientes'!$B$12))/Simulador!$G$6)&gt;1-Simulador!$B$11,Simulador!$B$9*(1-COS(PI()*(1-(($A171-(Simulador!$E$6+'Salto de dientes'!$B$12))/Simulador!$G$6))/Simulador!$B$11))/2,Simulador!$B$9)))</f>
        <v/>
      </c>
      <c r="R171" s="48">
        <f>IF(OR((($A171-(Simulador!$E$9+'Salto de dientes'!$B$12))/Simulador!$G$9)&lt;=0,(($A171-(Simulador!$E$9+'Salto de dientes'!$B$12))/Simulador!$G$9)&gt;=1),0,IF((($A171-(Simulador!$E$9+'Salto de dientes'!$B$12))/Simulador!$G$9)&lt;Simulador!$B$11,Simulador!$B$10*(1-COS(PI()*(($A171-(Simulador!$E$9+'Salto de dientes'!$B$12))/Simulador!$G$9)/Simulador!$B$11))/2,IF((($A171-(Simulador!$E$9+'Salto de dientes'!$B$12))/Simulador!$G$9)&gt;1-Simulador!$B$11,Simulador!$B$10*(1-COS(PI()*(1-(($A171-(Simulador!$E$9+'Salto de dientes'!$B$12))/Simulador!$G$9))/Simulador!$B$11))/2,Simulador!$B$10)))</f>
        <v/>
      </c>
    </row>
    <row r="172">
      <c r="A172" s="26">
        <f>A171+Simulador!$B$14</f>
        <v/>
      </c>
      <c r="B172" s="46">
        <f>IF(OR((($A172-Simulador!$E$5)/Simulador!$G$5)&lt;=0,(($A172-Simulador!$E$5)/Simulador!$G$5)&gt;=1),0,IF((($A172-Simulador!$E$5)/Simulador!$G$5)&lt;Simulador!$B$11,Simulador!$B$9*(1-COS(PI()*(($A172-Simulador!$E$5)/Simulador!$G$5)/Simulador!$B$11))/2,IF((($A172-Simulador!$E$5)/Simulador!$G$5)&gt;1-Simulador!$B$11,Simulador!$B$9*(1-COS(PI()*(1-(($A172-Simulador!$E$5)/Simulador!$G$5))/Simulador!$B$11))/2,Simulador!$B$9)))</f>
        <v/>
      </c>
      <c r="C172" s="46">
        <f>IF(OR((($A172-Simulador!$E$6)/Simulador!$G$6)&lt;=0,(($A172-Simulador!$E$6)/Simulador!$G$6)&gt;=1),0,IF((($A172-Simulador!$E$6)/Simulador!$G$6)&lt;Simulador!$B$11,Simulador!$B$9*(1-COS(PI()*(($A172-Simulador!$E$6)/Simulador!$G$6)/Simulador!$B$11))/2,IF((($A172-Simulador!$E$6)/Simulador!$G$6)&gt;1-Simulador!$B$11,Simulador!$B$9*(1-COS(PI()*(1-(($A172-Simulador!$E$6)/Simulador!$G$6))/Simulador!$B$11))/2,Simulador!$B$9)))</f>
        <v/>
      </c>
      <c r="D172" s="46">
        <f>IF(OR((($A172-Simulador!$E$7)/Simulador!$G$7)&lt;=0,(($A172-Simulador!$E$7)/Simulador!$G$7)&gt;=1),0,IF((($A172-Simulador!$E$7)/Simulador!$G$7)&lt;Simulador!$B$11,Simulador!$B$9*(1-COS(PI()*(($A172-Simulador!$E$7)/Simulador!$G$7)/Simulador!$B$11))/2,IF((($A172-Simulador!$E$7)/Simulador!$G$7)&gt;1-Simulador!$B$11,Simulador!$B$9*(1-COS(PI()*(1-(($A172-Simulador!$E$7)/Simulador!$G$7))/Simulador!$B$11))/2,Simulador!$B$9)))</f>
        <v/>
      </c>
      <c r="E172" s="46">
        <f>IF(OR((($A172-Simulador!$E$8)/Simulador!$G$8)&lt;=0,(($A172-Simulador!$E$8)/Simulador!$G$8)&gt;=1),0,IF((($A172-Simulador!$E$8)/Simulador!$G$8)&lt;Simulador!$B$11,Simulador!$B$10*(1-COS(PI()*(($A172-Simulador!$E$8)/Simulador!$G$8)/Simulador!$B$11))/2,IF((($A172-Simulador!$E$8)/Simulador!$G$8)&gt;1-Simulador!$B$11,Simulador!$B$10*(1-COS(PI()*(1-(($A172-Simulador!$E$8)/Simulador!$G$8))/Simulador!$B$11))/2,Simulador!$B$10)))</f>
        <v/>
      </c>
      <c r="F172" s="46">
        <f>IF(OR((($A172-Simulador!$E$9)/Simulador!$G$9)&lt;=0,(($A172-Simulador!$E$9)/Simulador!$G$9)&gt;=1),0,IF((($A172-Simulador!$E$9)/Simulador!$G$9)&lt;Simulador!$B$11,Simulador!$B$10*(1-COS(PI()*(($A172-Simulador!$E$9)/Simulador!$G$9)/Simulador!$B$11))/2,IF((($A172-Simulador!$E$9)/Simulador!$G$9)&gt;1-Simulador!$B$11,Simulador!$B$10*(1-COS(PI()*(1-(($A172-Simulador!$E$9)/Simulador!$G$9))/Simulador!$B$11))/2,Simulador!$B$10)))</f>
        <v/>
      </c>
      <c r="G172" s="46">
        <f>IF(OR((($A172-Simulador!$E$10)/Simulador!$G$10)&lt;=0,(($A172-Simulador!$E$10)/Simulador!$G$10)&gt;=1),0,IF((($A172-Simulador!$E$10)/Simulador!$G$10)&lt;Simulador!$B$11,Simulador!$B$10*(1-COS(PI()*(($A172-Simulador!$E$10)/Simulador!$G$10)/Simulador!$B$11))/2,IF((($A172-Simulador!$E$10)/Simulador!$G$10)&gt;1-Simulador!$B$11,Simulador!$B$10*(1-COS(PI()*(1-(($A172-Simulador!$E$10)/Simulador!$G$10))/Simulador!$B$11))/2,Simulador!$B$10)))</f>
        <v/>
      </c>
      <c r="Q172" s="48">
        <f>IF(OR((($A172-(Simulador!$E$6+'Salto de dientes'!$B$12))/Simulador!$G$6)&lt;=0,(($A172-(Simulador!$E$6+'Salto de dientes'!$B$12))/Simulador!$G$6)&gt;=1),0,IF((($A172-(Simulador!$E$6+'Salto de dientes'!$B$12))/Simulador!$G$6)&lt;Simulador!$B$11,Simulador!$B$9*(1-COS(PI()*(($A172-(Simulador!$E$6+'Salto de dientes'!$B$12))/Simulador!$G$6)/Simulador!$B$11))/2,IF((($A172-(Simulador!$E$6+'Salto de dientes'!$B$12))/Simulador!$G$6)&gt;1-Simulador!$B$11,Simulador!$B$9*(1-COS(PI()*(1-(($A172-(Simulador!$E$6+'Salto de dientes'!$B$12))/Simulador!$G$6))/Simulador!$B$11))/2,Simulador!$B$9)))</f>
        <v/>
      </c>
      <c r="R172" s="48">
        <f>IF(OR((($A172-(Simulador!$E$9+'Salto de dientes'!$B$12))/Simulador!$G$9)&lt;=0,(($A172-(Simulador!$E$9+'Salto de dientes'!$B$12))/Simulador!$G$9)&gt;=1),0,IF((($A172-(Simulador!$E$9+'Salto de dientes'!$B$12))/Simulador!$G$9)&lt;Simulador!$B$11,Simulador!$B$10*(1-COS(PI()*(($A172-(Simulador!$E$9+'Salto de dientes'!$B$12))/Simulador!$G$9)/Simulador!$B$11))/2,IF((($A172-(Simulador!$E$9+'Salto de dientes'!$B$12))/Simulador!$G$9)&gt;1-Simulador!$B$11,Simulador!$B$10*(1-COS(PI()*(1-(($A172-(Simulador!$E$9+'Salto de dientes'!$B$12))/Simulador!$G$9))/Simulador!$B$11))/2,Simulador!$B$10)))</f>
        <v/>
      </c>
    </row>
    <row r="173">
      <c r="A173" s="26">
        <f>A172+Simulador!$B$14</f>
        <v/>
      </c>
      <c r="B173" s="46">
        <f>IF(OR((($A173-Simulador!$E$5)/Simulador!$G$5)&lt;=0,(($A173-Simulador!$E$5)/Simulador!$G$5)&gt;=1),0,IF((($A173-Simulador!$E$5)/Simulador!$G$5)&lt;Simulador!$B$11,Simulador!$B$9*(1-COS(PI()*(($A173-Simulador!$E$5)/Simulador!$G$5)/Simulador!$B$11))/2,IF((($A173-Simulador!$E$5)/Simulador!$G$5)&gt;1-Simulador!$B$11,Simulador!$B$9*(1-COS(PI()*(1-(($A173-Simulador!$E$5)/Simulador!$G$5))/Simulador!$B$11))/2,Simulador!$B$9)))</f>
        <v/>
      </c>
      <c r="C173" s="46">
        <f>IF(OR((($A173-Simulador!$E$6)/Simulador!$G$6)&lt;=0,(($A173-Simulador!$E$6)/Simulador!$G$6)&gt;=1),0,IF((($A173-Simulador!$E$6)/Simulador!$G$6)&lt;Simulador!$B$11,Simulador!$B$9*(1-COS(PI()*(($A173-Simulador!$E$6)/Simulador!$G$6)/Simulador!$B$11))/2,IF((($A173-Simulador!$E$6)/Simulador!$G$6)&gt;1-Simulador!$B$11,Simulador!$B$9*(1-COS(PI()*(1-(($A173-Simulador!$E$6)/Simulador!$G$6))/Simulador!$B$11))/2,Simulador!$B$9)))</f>
        <v/>
      </c>
      <c r="D173" s="46">
        <f>IF(OR((($A173-Simulador!$E$7)/Simulador!$G$7)&lt;=0,(($A173-Simulador!$E$7)/Simulador!$G$7)&gt;=1),0,IF((($A173-Simulador!$E$7)/Simulador!$G$7)&lt;Simulador!$B$11,Simulador!$B$9*(1-COS(PI()*(($A173-Simulador!$E$7)/Simulador!$G$7)/Simulador!$B$11))/2,IF((($A173-Simulador!$E$7)/Simulador!$G$7)&gt;1-Simulador!$B$11,Simulador!$B$9*(1-COS(PI()*(1-(($A173-Simulador!$E$7)/Simulador!$G$7))/Simulador!$B$11))/2,Simulador!$B$9)))</f>
        <v/>
      </c>
      <c r="E173" s="46">
        <f>IF(OR((($A173-Simulador!$E$8)/Simulador!$G$8)&lt;=0,(($A173-Simulador!$E$8)/Simulador!$G$8)&gt;=1),0,IF((($A173-Simulador!$E$8)/Simulador!$G$8)&lt;Simulador!$B$11,Simulador!$B$10*(1-COS(PI()*(($A173-Simulador!$E$8)/Simulador!$G$8)/Simulador!$B$11))/2,IF((($A173-Simulador!$E$8)/Simulador!$G$8)&gt;1-Simulador!$B$11,Simulador!$B$10*(1-COS(PI()*(1-(($A173-Simulador!$E$8)/Simulador!$G$8))/Simulador!$B$11))/2,Simulador!$B$10)))</f>
        <v/>
      </c>
      <c r="F173" s="46">
        <f>IF(OR((($A173-Simulador!$E$9)/Simulador!$G$9)&lt;=0,(($A173-Simulador!$E$9)/Simulador!$G$9)&gt;=1),0,IF((($A173-Simulador!$E$9)/Simulador!$G$9)&lt;Simulador!$B$11,Simulador!$B$10*(1-COS(PI()*(($A173-Simulador!$E$9)/Simulador!$G$9)/Simulador!$B$11))/2,IF((($A173-Simulador!$E$9)/Simulador!$G$9)&gt;1-Simulador!$B$11,Simulador!$B$10*(1-COS(PI()*(1-(($A173-Simulador!$E$9)/Simulador!$G$9))/Simulador!$B$11))/2,Simulador!$B$10)))</f>
        <v/>
      </c>
      <c r="G173" s="46">
        <f>IF(OR((($A173-Simulador!$E$10)/Simulador!$G$10)&lt;=0,(($A173-Simulador!$E$10)/Simulador!$G$10)&gt;=1),0,IF((($A173-Simulador!$E$10)/Simulador!$G$10)&lt;Simulador!$B$11,Simulador!$B$10*(1-COS(PI()*(($A173-Simulador!$E$10)/Simulador!$G$10)/Simulador!$B$11))/2,IF((($A173-Simulador!$E$10)/Simulador!$G$10)&gt;1-Simulador!$B$11,Simulador!$B$10*(1-COS(PI()*(1-(($A173-Simulador!$E$10)/Simulador!$G$10))/Simulador!$B$11))/2,Simulador!$B$10)))</f>
        <v/>
      </c>
      <c r="Q173" s="48">
        <f>IF(OR((($A173-(Simulador!$E$6+'Salto de dientes'!$B$12))/Simulador!$G$6)&lt;=0,(($A173-(Simulador!$E$6+'Salto de dientes'!$B$12))/Simulador!$G$6)&gt;=1),0,IF((($A173-(Simulador!$E$6+'Salto de dientes'!$B$12))/Simulador!$G$6)&lt;Simulador!$B$11,Simulador!$B$9*(1-COS(PI()*(($A173-(Simulador!$E$6+'Salto de dientes'!$B$12))/Simulador!$G$6)/Simulador!$B$11))/2,IF((($A173-(Simulador!$E$6+'Salto de dientes'!$B$12))/Simulador!$G$6)&gt;1-Simulador!$B$11,Simulador!$B$9*(1-COS(PI()*(1-(($A173-(Simulador!$E$6+'Salto de dientes'!$B$12))/Simulador!$G$6))/Simulador!$B$11))/2,Simulador!$B$9)))</f>
        <v/>
      </c>
      <c r="R173" s="48">
        <f>IF(OR((($A173-(Simulador!$E$9+'Salto de dientes'!$B$12))/Simulador!$G$9)&lt;=0,(($A173-(Simulador!$E$9+'Salto de dientes'!$B$12))/Simulador!$G$9)&gt;=1),0,IF((($A173-(Simulador!$E$9+'Salto de dientes'!$B$12))/Simulador!$G$9)&lt;Simulador!$B$11,Simulador!$B$10*(1-COS(PI()*(($A173-(Simulador!$E$9+'Salto de dientes'!$B$12))/Simulador!$G$9)/Simulador!$B$11))/2,IF((($A173-(Simulador!$E$9+'Salto de dientes'!$B$12))/Simulador!$G$9)&gt;1-Simulador!$B$11,Simulador!$B$10*(1-COS(PI()*(1-(($A173-(Simulador!$E$9+'Salto de dientes'!$B$12))/Simulador!$G$9))/Simulador!$B$11))/2,Simulador!$B$10)))</f>
        <v/>
      </c>
    </row>
    <row r="174">
      <c r="A174" s="26">
        <f>A173+Simulador!$B$14</f>
        <v/>
      </c>
      <c r="B174" s="46">
        <f>IF(OR((($A174-Simulador!$E$5)/Simulador!$G$5)&lt;=0,(($A174-Simulador!$E$5)/Simulador!$G$5)&gt;=1),0,IF((($A174-Simulador!$E$5)/Simulador!$G$5)&lt;Simulador!$B$11,Simulador!$B$9*(1-COS(PI()*(($A174-Simulador!$E$5)/Simulador!$G$5)/Simulador!$B$11))/2,IF((($A174-Simulador!$E$5)/Simulador!$G$5)&gt;1-Simulador!$B$11,Simulador!$B$9*(1-COS(PI()*(1-(($A174-Simulador!$E$5)/Simulador!$G$5))/Simulador!$B$11))/2,Simulador!$B$9)))</f>
        <v/>
      </c>
      <c r="C174" s="46">
        <f>IF(OR((($A174-Simulador!$E$6)/Simulador!$G$6)&lt;=0,(($A174-Simulador!$E$6)/Simulador!$G$6)&gt;=1),0,IF((($A174-Simulador!$E$6)/Simulador!$G$6)&lt;Simulador!$B$11,Simulador!$B$9*(1-COS(PI()*(($A174-Simulador!$E$6)/Simulador!$G$6)/Simulador!$B$11))/2,IF((($A174-Simulador!$E$6)/Simulador!$G$6)&gt;1-Simulador!$B$11,Simulador!$B$9*(1-COS(PI()*(1-(($A174-Simulador!$E$6)/Simulador!$G$6))/Simulador!$B$11))/2,Simulador!$B$9)))</f>
        <v/>
      </c>
      <c r="D174" s="46">
        <f>IF(OR((($A174-Simulador!$E$7)/Simulador!$G$7)&lt;=0,(($A174-Simulador!$E$7)/Simulador!$G$7)&gt;=1),0,IF((($A174-Simulador!$E$7)/Simulador!$G$7)&lt;Simulador!$B$11,Simulador!$B$9*(1-COS(PI()*(($A174-Simulador!$E$7)/Simulador!$G$7)/Simulador!$B$11))/2,IF((($A174-Simulador!$E$7)/Simulador!$G$7)&gt;1-Simulador!$B$11,Simulador!$B$9*(1-COS(PI()*(1-(($A174-Simulador!$E$7)/Simulador!$G$7))/Simulador!$B$11))/2,Simulador!$B$9)))</f>
        <v/>
      </c>
      <c r="E174" s="46">
        <f>IF(OR((($A174-Simulador!$E$8)/Simulador!$G$8)&lt;=0,(($A174-Simulador!$E$8)/Simulador!$G$8)&gt;=1),0,IF((($A174-Simulador!$E$8)/Simulador!$G$8)&lt;Simulador!$B$11,Simulador!$B$10*(1-COS(PI()*(($A174-Simulador!$E$8)/Simulador!$G$8)/Simulador!$B$11))/2,IF((($A174-Simulador!$E$8)/Simulador!$G$8)&gt;1-Simulador!$B$11,Simulador!$B$10*(1-COS(PI()*(1-(($A174-Simulador!$E$8)/Simulador!$G$8))/Simulador!$B$11))/2,Simulador!$B$10)))</f>
        <v/>
      </c>
      <c r="F174" s="46">
        <f>IF(OR((($A174-Simulador!$E$9)/Simulador!$G$9)&lt;=0,(($A174-Simulador!$E$9)/Simulador!$G$9)&gt;=1),0,IF((($A174-Simulador!$E$9)/Simulador!$G$9)&lt;Simulador!$B$11,Simulador!$B$10*(1-COS(PI()*(($A174-Simulador!$E$9)/Simulador!$G$9)/Simulador!$B$11))/2,IF((($A174-Simulador!$E$9)/Simulador!$G$9)&gt;1-Simulador!$B$11,Simulador!$B$10*(1-COS(PI()*(1-(($A174-Simulador!$E$9)/Simulador!$G$9))/Simulador!$B$11))/2,Simulador!$B$10)))</f>
        <v/>
      </c>
      <c r="G174" s="46">
        <f>IF(OR((($A174-Simulador!$E$10)/Simulador!$G$10)&lt;=0,(($A174-Simulador!$E$10)/Simulador!$G$10)&gt;=1),0,IF((($A174-Simulador!$E$10)/Simulador!$G$10)&lt;Simulador!$B$11,Simulador!$B$10*(1-COS(PI()*(($A174-Simulador!$E$10)/Simulador!$G$10)/Simulador!$B$11))/2,IF((($A174-Simulador!$E$10)/Simulador!$G$10)&gt;1-Simulador!$B$11,Simulador!$B$10*(1-COS(PI()*(1-(($A174-Simulador!$E$10)/Simulador!$G$10))/Simulador!$B$11))/2,Simulador!$B$10)))</f>
        <v/>
      </c>
      <c r="Q174" s="48">
        <f>IF(OR((($A174-(Simulador!$E$6+'Salto de dientes'!$B$12))/Simulador!$G$6)&lt;=0,(($A174-(Simulador!$E$6+'Salto de dientes'!$B$12))/Simulador!$G$6)&gt;=1),0,IF((($A174-(Simulador!$E$6+'Salto de dientes'!$B$12))/Simulador!$G$6)&lt;Simulador!$B$11,Simulador!$B$9*(1-COS(PI()*(($A174-(Simulador!$E$6+'Salto de dientes'!$B$12))/Simulador!$G$6)/Simulador!$B$11))/2,IF((($A174-(Simulador!$E$6+'Salto de dientes'!$B$12))/Simulador!$G$6)&gt;1-Simulador!$B$11,Simulador!$B$9*(1-COS(PI()*(1-(($A174-(Simulador!$E$6+'Salto de dientes'!$B$12))/Simulador!$G$6))/Simulador!$B$11))/2,Simulador!$B$9)))</f>
        <v/>
      </c>
      <c r="R174" s="48">
        <f>IF(OR((($A174-(Simulador!$E$9+'Salto de dientes'!$B$12))/Simulador!$G$9)&lt;=0,(($A174-(Simulador!$E$9+'Salto de dientes'!$B$12))/Simulador!$G$9)&gt;=1),0,IF((($A174-(Simulador!$E$9+'Salto de dientes'!$B$12))/Simulador!$G$9)&lt;Simulador!$B$11,Simulador!$B$10*(1-COS(PI()*(($A174-(Simulador!$E$9+'Salto de dientes'!$B$12))/Simulador!$G$9)/Simulador!$B$11))/2,IF((($A174-(Simulador!$E$9+'Salto de dientes'!$B$12))/Simulador!$G$9)&gt;1-Simulador!$B$11,Simulador!$B$10*(1-COS(PI()*(1-(($A174-(Simulador!$E$9+'Salto de dientes'!$B$12))/Simulador!$G$9))/Simulador!$B$11))/2,Simulador!$B$10)))</f>
        <v/>
      </c>
    </row>
    <row r="175">
      <c r="A175" s="26">
        <f>A174+Simulador!$B$14</f>
        <v/>
      </c>
      <c r="B175" s="46">
        <f>IF(OR((($A175-Simulador!$E$5)/Simulador!$G$5)&lt;=0,(($A175-Simulador!$E$5)/Simulador!$G$5)&gt;=1),0,IF((($A175-Simulador!$E$5)/Simulador!$G$5)&lt;Simulador!$B$11,Simulador!$B$9*(1-COS(PI()*(($A175-Simulador!$E$5)/Simulador!$G$5)/Simulador!$B$11))/2,IF((($A175-Simulador!$E$5)/Simulador!$G$5)&gt;1-Simulador!$B$11,Simulador!$B$9*(1-COS(PI()*(1-(($A175-Simulador!$E$5)/Simulador!$G$5))/Simulador!$B$11))/2,Simulador!$B$9)))</f>
        <v/>
      </c>
      <c r="C175" s="46">
        <f>IF(OR((($A175-Simulador!$E$6)/Simulador!$G$6)&lt;=0,(($A175-Simulador!$E$6)/Simulador!$G$6)&gt;=1),0,IF((($A175-Simulador!$E$6)/Simulador!$G$6)&lt;Simulador!$B$11,Simulador!$B$9*(1-COS(PI()*(($A175-Simulador!$E$6)/Simulador!$G$6)/Simulador!$B$11))/2,IF((($A175-Simulador!$E$6)/Simulador!$G$6)&gt;1-Simulador!$B$11,Simulador!$B$9*(1-COS(PI()*(1-(($A175-Simulador!$E$6)/Simulador!$G$6))/Simulador!$B$11))/2,Simulador!$B$9)))</f>
        <v/>
      </c>
      <c r="D175" s="46">
        <f>IF(OR((($A175-Simulador!$E$7)/Simulador!$G$7)&lt;=0,(($A175-Simulador!$E$7)/Simulador!$G$7)&gt;=1),0,IF((($A175-Simulador!$E$7)/Simulador!$G$7)&lt;Simulador!$B$11,Simulador!$B$9*(1-COS(PI()*(($A175-Simulador!$E$7)/Simulador!$G$7)/Simulador!$B$11))/2,IF((($A175-Simulador!$E$7)/Simulador!$G$7)&gt;1-Simulador!$B$11,Simulador!$B$9*(1-COS(PI()*(1-(($A175-Simulador!$E$7)/Simulador!$G$7))/Simulador!$B$11))/2,Simulador!$B$9)))</f>
        <v/>
      </c>
      <c r="E175" s="46">
        <f>IF(OR((($A175-Simulador!$E$8)/Simulador!$G$8)&lt;=0,(($A175-Simulador!$E$8)/Simulador!$G$8)&gt;=1),0,IF((($A175-Simulador!$E$8)/Simulador!$G$8)&lt;Simulador!$B$11,Simulador!$B$10*(1-COS(PI()*(($A175-Simulador!$E$8)/Simulador!$G$8)/Simulador!$B$11))/2,IF((($A175-Simulador!$E$8)/Simulador!$G$8)&gt;1-Simulador!$B$11,Simulador!$B$10*(1-COS(PI()*(1-(($A175-Simulador!$E$8)/Simulador!$G$8))/Simulador!$B$11))/2,Simulador!$B$10)))</f>
        <v/>
      </c>
      <c r="F175" s="46">
        <f>IF(OR((($A175-Simulador!$E$9)/Simulador!$G$9)&lt;=0,(($A175-Simulador!$E$9)/Simulador!$G$9)&gt;=1),0,IF((($A175-Simulador!$E$9)/Simulador!$G$9)&lt;Simulador!$B$11,Simulador!$B$10*(1-COS(PI()*(($A175-Simulador!$E$9)/Simulador!$G$9)/Simulador!$B$11))/2,IF((($A175-Simulador!$E$9)/Simulador!$G$9)&gt;1-Simulador!$B$11,Simulador!$B$10*(1-COS(PI()*(1-(($A175-Simulador!$E$9)/Simulador!$G$9))/Simulador!$B$11))/2,Simulador!$B$10)))</f>
        <v/>
      </c>
      <c r="G175" s="46">
        <f>IF(OR((($A175-Simulador!$E$10)/Simulador!$G$10)&lt;=0,(($A175-Simulador!$E$10)/Simulador!$G$10)&gt;=1),0,IF((($A175-Simulador!$E$10)/Simulador!$G$10)&lt;Simulador!$B$11,Simulador!$B$10*(1-COS(PI()*(($A175-Simulador!$E$10)/Simulador!$G$10)/Simulador!$B$11))/2,IF((($A175-Simulador!$E$10)/Simulador!$G$10)&gt;1-Simulador!$B$11,Simulador!$B$10*(1-COS(PI()*(1-(($A175-Simulador!$E$10)/Simulador!$G$10))/Simulador!$B$11))/2,Simulador!$B$10)))</f>
        <v/>
      </c>
      <c r="Q175" s="48">
        <f>IF(OR((($A175-(Simulador!$E$6+'Salto de dientes'!$B$12))/Simulador!$G$6)&lt;=0,(($A175-(Simulador!$E$6+'Salto de dientes'!$B$12))/Simulador!$G$6)&gt;=1),0,IF((($A175-(Simulador!$E$6+'Salto de dientes'!$B$12))/Simulador!$G$6)&lt;Simulador!$B$11,Simulador!$B$9*(1-COS(PI()*(($A175-(Simulador!$E$6+'Salto de dientes'!$B$12))/Simulador!$G$6)/Simulador!$B$11))/2,IF((($A175-(Simulador!$E$6+'Salto de dientes'!$B$12))/Simulador!$G$6)&gt;1-Simulador!$B$11,Simulador!$B$9*(1-COS(PI()*(1-(($A175-(Simulador!$E$6+'Salto de dientes'!$B$12))/Simulador!$G$6))/Simulador!$B$11))/2,Simulador!$B$9)))</f>
        <v/>
      </c>
      <c r="R175" s="48">
        <f>IF(OR((($A175-(Simulador!$E$9+'Salto de dientes'!$B$12))/Simulador!$G$9)&lt;=0,(($A175-(Simulador!$E$9+'Salto de dientes'!$B$12))/Simulador!$G$9)&gt;=1),0,IF((($A175-(Simulador!$E$9+'Salto de dientes'!$B$12))/Simulador!$G$9)&lt;Simulador!$B$11,Simulador!$B$10*(1-COS(PI()*(($A175-(Simulador!$E$9+'Salto de dientes'!$B$12))/Simulador!$G$9)/Simulador!$B$11))/2,IF((($A175-(Simulador!$E$9+'Salto de dientes'!$B$12))/Simulador!$G$9)&gt;1-Simulador!$B$11,Simulador!$B$10*(1-COS(PI()*(1-(($A175-(Simulador!$E$9+'Salto de dientes'!$B$12))/Simulador!$G$9))/Simulador!$B$11))/2,Simulador!$B$10)))</f>
        <v/>
      </c>
    </row>
    <row r="176">
      <c r="A176" s="26">
        <f>A175+Simulador!$B$14</f>
        <v/>
      </c>
      <c r="B176" s="46">
        <f>IF(OR((($A176-Simulador!$E$5)/Simulador!$G$5)&lt;=0,(($A176-Simulador!$E$5)/Simulador!$G$5)&gt;=1),0,IF((($A176-Simulador!$E$5)/Simulador!$G$5)&lt;Simulador!$B$11,Simulador!$B$9*(1-COS(PI()*(($A176-Simulador!$E$5)/Simulador!$G$5)/Simulador!$B$11))/2,IF((($A176-Simulador!$E$5)/Simulador!$G$5)&gt;1-Simulador!$B$11,Simulador!$B$9*(1-COS(PI()*(1-(($A176-Simulador!$E$5)/Simulador!$G$5))/Simulador!$B$11))/2,Simulador!$B$9)))</f>
        <v/>
      </c>
      <c r="C176" s="46">
        <f>IF(OR((($A176-Simulador!$E$6)/Simulador!$G$6)&lt;=0,(($A176-Simulador!$E$6)/Simulador!$G$6)&gt;=1),0,IF((($A176-Simulador!$E$6)/Simulador!$G$6)&lt;Simulador!$B$11,Simulador!$B$9*(1-COS(PI()*(($A176-Simulador!$E$6)/Simulador!$G$6)/Simulador!$B$11))/2,IF((($A176-Simulador!$E$6)/Simulador!$G$6)&gt;1-Simulador!$B$11,Simulador!$B$9*(1-COS(PI()*(1-(($A176-Simulador!$E$6)/Simulador!$G$6))/Simulador!$B$11))/2,Simulador!$B$9)))</f>
        <v/>
      </c>
      <c r="D176" s="46">
        <f>IF(OR((($A176-Simulador!$E$7)/Simulador!$G$7)&lt;=0,(($A176-Simulador!$E$7)/Simulador!$G$7)&gt;=1),0,IF((($A176-Simulador!$E$7)/Simulador!$G$7)&lt;Simulador!$B$11,Simulador!$B$9*(1-COS(PI()*(($A176-Simulador!$E$7)/Simulador!$G$7)/Simulador!$B$11))/2,IF((($A176-Simulador!$E$7)/Simulador!$G$7)&gt;1-Simulador!$B$11,Simulador!$B$9*(1-COS(PI()*(1-(($A176-Simulador!$E$7)/Simulador!$G$7))/Simulador!$B$11))/2,Simulador!$B$9)))</f>
        <v/>
      </c>
      <c r="E176" s="46">
        <f>IF(OR((($A176-Simulador!$E$8)/Simulador!$G$8)&lt;=0,(($A176-Simulador!$E$8)/Simulador!$G$8)&gt;=1),0,IF((($A176-Simulador!$E$8)/Simulador!$G$8)&lt;Simulador!$B$11,Simulador!$B$10*(1-COS(PI()*(($A176-Simulador!$E$8)/Simulador!$G$8)/Simulador!$B$11))/2,IF((($A176-Simulador!$E$8)/Simulador!$G$8)&gt;1-Simulador!$B$11,Simulador!$B$10*(1-COS(PI()*(1-(($A176-Simulador!$E$8)/Simulador!$G$8))/Simulador!$B$11))/2,Simulador!$B$10)))</f>
        <v/>
      </c>
      <c r="F176" s="46">
        <f>IF(OR((($A176-Simulador!$E$9)/Simulador!$G$9)&lt;=0,(($A176-Simulador!$E$9)/Simulador!$G$9)&gt;=1),0,IF((($A176-Simulador!$E$9)/Simulador!$G$9)&lt;Simulador!$B$11,Simulador!$B$10*(1-COS(PI()*(($A176-Simulador!$E$9)/Simulador!$G$9)/Simulador!$B$11))/2,IF((($A176-Simulador!$E$9)/Simulador!$G$9)&gt;1-Simulador!$B$11,Simulador!$B$10*(1-COS(PI()*(1-(($A176-Simulador!$E$9)/Simulador!$G$9))/Simulador!$B$11))/2,Simulador!$B$10)))</f>
        <v/>
      </c>
      <c r="G176" s="46">
        <f>IF(OR((($A176-Simulador!$E$10)/Simulador!$G$10)&lt;=0,(($A176-Simulador!$E$10)/Simulador!$G$10)&gt;=1),0,IF((($A176-Simulador!$E$10)/Simulador!$G$10)&lt;Simulador!$B$11,Simulador!$B$10*(1-COS(PI()*(($A176-Simulador!$E$10)/Simulador!$G$10)/Simulador!$B$11))/2,IF((($A176-Simulador!$E$10)/Simulador!$G$10)&gt;1-Simulador!$B$11,Simulador!$B$10*(1-COS(PI()*(1-(($A176-Simulador!$E$10)/Simulador!$G$10))/Simulador!$B$11))/2,Simulador!$B$10)))</f>
        <v/>
      </c>
      <c r="Q176" s="48">
        <f>IF(OR((($A176-(Simulador!$E$6+'Salto de dientes'!$B$12))/Simulador!$G$6)&lt;=0,(($A176-(Simulador!$E$6+'Salto de dientes'!$B$12))/Simulador!$G$6)&gt;=1),0,IF((($A176-(Simulador!$E$6+'Salto de dientes'!$B$12))/Simulador!$G$6)&lt;Simulador!$B$11,Simulador!$B$9*(1-COS(PI()*(($A176-(Simulador!$E$6+'Salto de dientes'!$B$12))/Simulador!$G$6)/Simulador!$B$11))/2,IF((($A176-(Simulador!$E$6+'Salto de dientes'!$B$12))/Simulador!$G$6)&gt;1-Simulador!$B$11,Simulador!$B$9*(1-COS(PI()*(1-(($A176-(Simulador!$E$6+'Salto de dientes'!$B$12))/Simulador!$G$6))/Simulador!$B$11))/2,Simulador!$B$9)))</f>
        <v/>
      </c>
      <c r="R176" s="48">
        <f>IF(OR((($A176-(Simulador!$E$9+'Salto de dientes'!$B$12))/Simulador!$G$9)&lt;=0,(($A176-(Simulador!$E$9+'Salto de dientes'!$B$12))/Simulador!$G$9)&gt;=1),0,IF((($A176-(Simulador!$E$9+'Salto de dientes'!$B$12))/Simulador!$G$9)&lt;Simulador!$B$11,Simulador!$B$10*(1-COS(PI()*(($A176-(Simulador!$E$9+'Salto de dientes'!$B$12))/Simulador!$G$9)/Simulador!$B$11))/2,IF((($A176-(Simulador!$E$9+'Salto de dientes'!$B$12))/Simulador!$G$9)&gt;1-Simulador!$B$11,Simulador!$B$10*(1-COS(PI()*(1-(($A176-(Simulador!$E$9+'Salto de dientes'!$B$12))/Simulador!$G$9))/Simulador!$B$11))/2,Simulador!$B$10)))</f>
        <v/>
      </c>
    </row>
    <row r="177">
      <c r="A177" s="26">
        <f>A176+Simulador!$B$14</f>
        <v/>
      </c>
      <c r="B177" s="46">
        <f>IF(OR((($A177-Simulador!$E$5)/Simulador!$G$5)&lt;=0,(($A177-Simulador!$E$5)/Simulador!$G$5)&gt;=1),0,IF((($A177-Simulador!$E$5)/Simulador!$G$5)&lt;Simulador!$B$11,Simulador!$B$9*(1-COS(PI()*(($A177-Simulador!$E$5)/Simulador!$G$5)/Simulador!$B$11))/2,IF((($A177-Simulador!$E$5)/Simulador!$G$5)&gt;1-Simulador!$B$11,Simulador!$B$9*(1-COS(PI()*(1-(($A177-Simulador!$E$5)/Simulador!$G$5))/Simulador!$B$11))/2,Simulador!$B$9)))</f>
        <v/>
      </c>
      <c r="C177" s="46">
        <f>IF(OR((($A177-Simulador!$E$6)/Simulador!$G$6)&lt;=0,(($A177-Simulador!$E$6)/Simulador!$G$6)&gt;=1),0,IF((($A177-Simulador!$E$6)/Simulador!$G$6)&lt;Simulador!$B$11,Simulador!$B$9*(1-COS(PI()*(($A177-Simulador!$E$6)/Simulador!$G$6)/Simulador!$B$11))/2,IF((($A177-Simulador!$E$6)/Simulador!$G$6)&gt;1-Simulador!$B$11,Simulador!$B$9*(1-COS(PI()*(1-(($A177-Simulador!$E$6)/Simulador!$G$6))/Simulador!$B$11))/2,Simulador!$B$9)))</f>
        <v/>
      </c>
      <c r="D177" s="46">
        <f>IF(OR((($A177-Simulador!$E$7)/Simulador!$G$7)&lt;=0,(($A177-Simulador!$E$7)/Simulador!$G$7)&gt;=1),0,IF((($A177-Simulador!$E$7)/Simulador!$G$7)&lt;Simulador!$B$11,Simulador!$B$9*(1-COS(PI()*(($A177-Simulador!$E$7)/Simulador!$G$7)/Simulador!$B$11))/2,IF((($A177-Simulador!$E$7)/Simulador!$G$7)&gt;1-Simulador!$B$11,Simulador!$B$9*(1-COS(PI()*(1-(($A177-Simulador!$E$7)/Simulador!$G$7))/Simulador!$B$11))/2,Simulador!$B$9)))</f>
        <v/>
      </c>
      <c r="E177" s="46">
        <f>IF(OR((($A177-Simulador!$E$8)/Simulador!$G$8)&lt;=0,(($A177-Simulador!$E$8)/Simulador!$G$8)&gt;=1),0,IF((($A177-Simulador!$E$8)/Simulador!$G$8)&lt;Simulador!$B$11,Simulador!$B$10*(1-COS(PI()*(($A177-Simulador!$E$8)/Simulador!$G$8)/Simulador!$B$11))/2,IF((($A177-Simulador!$E$8)/Simulador!$G$8)&gt;1-Simulador!$B$11,Simulador!$B$10*(1-COS(PI()*(1-(($A177-Simulador!$E$8)/Simulador!$G$8))/Simulador!$B$11))/2,Simulador!$B$10)))</f>
        <v/>
      </c>
      <c r="F177" s="46">
        <f>IF(OR((($A177-Simulador!$E$9)/Simulador!$G$9)&lt;=0,(($A177-Simulador!$E$9)/Simulador!$G$9)&gt;=1),0,IF((($A177-Simulador!$E$9)/Simulador!$G$9)&lt;Simulador!$B$11,Simulador!$B$10*(1-COS(PI()*(($A177-Simulador!$E$9)/Simulador!$G$9)/Simulador!$B$11))/2,IF((($A177-Simulador!$E$9)/Simulador!$G$9)&gt;1-Simulador!$B$11,Simulador!$B$10*(1-COS(PI()*(1-(($A177-Simulador!$E$9)/Simulador!$G$9))/Simulador!$B$11))/2,Simulador!$B$10)))</f>
        <v/>
      </c>
      <c r="G177" s="46">
        <f>IF(OR((($A177-Simulador!$E$10)/Simulador!$G$10)&lt;=0,(($A177-Simulador!$E$10)/Simulador!$G$10)&gt;=1),0,IF((($A177-Simulador!$E$10)/Simulador!$G$10)&lt;Simulador!$B$11,Simulador!$B$10*(1-COS(PI()*(($A177-Simulador!$E$10)/Simulador!$G$10)/Simulador!$B$11))/2,IF((($A177-Simulador!$E$10)/Simulador!$G$10)&gt;1-Simulador!$B$11,Simulador!$B$10*(1-COS(PI()*(1-(($A177-Simulador!$E$10)/Simulador!$G$10))/Simulador!$B$11))/2,Simulador!$B$10)))</f>
        <v/>
      </c>
      <c r="Q177" s="48">
        <f>IF(OR((($A177-(Simulador!$E$6+'Salto de dientes'!$B$12))/Simulador!$G$6)&lt;=0,(($A177-(Simulador!$E$6+'Salto de dientes'!$B$12))/Simulador!$G$6)&gt;=1),0,IF((($A177-(Simulador!$E$6+'Salto de dientes'!$B$12))/Simulador!$G$6)&lt;Simulador!$B$11,Simulador!$B$9*(1-COS(PI()*(($A177-(Simulador!$E$6+'Salto de dientes'!$B$12))/Simulador!$G$6)/Simulador!$B$11))/2,IF((($A177-(Simulador!$E$6+'Salto de dientes'!$B$12))/Simulador!$G$6)&gt;1-Simulador!$B$11,Simulador!$B$9*(1-COS(PI()*(1-(($A177-(Simulador!$E$6+'Salto de dientes'!$B$12))/Simulador!$G$6))/Simulador!$B$11))/2,Simulador!$B$9)))</f>
        <v/>
      </c>
      <c r="R177" s="48">
        <f>IF(OR((($A177-(Simulador!$E$9+'Salto de dientes'!$B$12))/Simulador!$G$9)&lt;=0,(($A177-(Simulador!$E$9+'Salto de dientes'!$B$12))/Simulador!$G$9)&gt;=1),0,IF((($A177-(Simulador!$E$9+'Salto de dientes'!$B$12))/Simulador!$G$9)&lt;Simulador!$B$11,Simulador!$B$10*(1-COS(PI()*(($A177-(Simulador!$E$9+'Salto de dientes'!$B$12))/Simulador!$G$9)/Simulador!$B$11))/2,IF((($A177-(Simulador!$E$9+'Salto de dientes'!$B$12))/Simulador!$G$9)&gt;1-Simulador!$B$11,Simulador!$B$10*(1-COS(PI()*(1-(($A177-(Simulador!$E$9+'Salto de dientes'!$B$12))/Simulador!$G$9))/Simulador!$B$11))/2,Simulador!$B$10)))</f>
        <v/>
      </c>
    </row>
    <row r="178">
      <c r="A178" s="26">
        <f>A177+Simulador!$B$14</f>
        <v/>
      </c>
      <c r="B178" s="46">
        <f>IF(OR((($A178-Simulador!$E$5)/Simulador!$G$5)&lt;=0,(($A178-Simulador!$E$5)/Simulador!$G$5)&gt;=1),0,IF((($A178-Simulador!$E$5)/Simulador!$G$5)&lt;Simulador!$B$11,Simulador!$B$9*(1-COS(PI()*(($A178-Simulador!$E$5)/Simulador!$G$5)/Simulador!$B$11))/2,IF((($A178-Simulador!$E$5)/Simulador!$G$5)&gt;1-Simulador!$B$11,Simulador!$B$9*(1-COS(PI()*(1-(($A178-Simulador!$E$5)/Simulador!$G$5))/Simulador!$B$11))/2,Simulador!$B$9)))</f>
        <v/>
      </c>
      <c r="C178" s="46">
        <f>IF(OR((($A178-Simulador!$E$6)/Simulador!$G$6)&lt;=0,(($A178-Simulador!$E$6)/Simulador!$G$6)&gt;=1),0,IF((($A178-Simulador!$E$6)/Simulador!$G$6)&lt;Simulador!$B$11,Simulador!$B$9*(1-COS(PI()*(($A178-Simulador!$E$6)/Simulador!$G$6)/Simulador!$B$11))/2,IF((($A178-Simulador!$E$6)/Simulador!$G$6)&gt;1-Simulador!$B$11,Simulador!$B$9*(1-COS(PI()*(1-(($A178-Simulador!$E$6)/Simulador!$G$6))/Simulador!$B$11))/2,Simulador!$B$9)))</f>
        <v/>
      </c>
      <c r="D178" s="46">
        <f>IF(OR((($A178-Simulador!$E$7)/Simulador!$G$7)&lt;=0,(($A178-Simulador!$E$7)/Simulador!$G$7)&gt;=1),0,IF((($A178-Simulador!$E$7)/Simulador!$G$7)&lt;Simulador!$B$11,Simulador!$B$9*(1-COS(PI()*(($A178-Simulador!$E$7)/Simulador!$G$7)/Simulador!$B$11))/2,IF((($A178-Simulador!$E$7)/Simulador!$G$7)&gt;1-Simulador!$B$11,Simulador!$B$9*(1-COS(PI()*(1-(($A178-Simulador!$E$7)/Simulador!$G$7))/Simulador!$B$11))/2,Simulador!$B$9)))</f>
        <v/>
      </c>
      <c r="E178" s="46">
        <f>IF(OR((($A178-Simulador!$E$8)/Simulador!$G$8)&lt;=0,(($A178-Simulador!$E$8)/Simulador!$G$8)&gt;=1),0,IF((($A178-Simulador!$E$8)/Simulador!$G$8)&lt;Simulador!$B$11,Simulador!$B$10*(1-COS(PI()*(($A178-Simulador!$E$8)/Simulador!$G$8)/Simulador!$B$11))/2,IF((($A178-Simulador!$E$8)/Simulador!$G$8)&gt;1-Simulador!$B$11,Simulador!$B$10*(1-COS(PI()*(1-(($A178-Simulador!$E$8)/Simulador!$G$8))/Simulador!$B$11))/2,Simulador!$B$10)))</f>
        <v/>
      </c>
      <c r="F178" s="46">
        <f>IF(OR((($A178-Simulador!$E$9)/Simulador!$G$9)&lt;=0,(($A178-Simulador!$E$9)/Simulador!$G$9)&gt;=1),0,IF((($A178-Simulador!$E$9)/Simulador!$G$9)&lt;Simulador!$B$11,Simulador!$B$10*(1-COS(PI()*(($A178-Simulador!$E$9)/Simulador!$G$9)/Simulador!$B$11))/2,IF((($A178-Simulador!$E$9)/Simulador!$G$9)&gt;1-Simulador!$B$11,Simulador!$B$10*(1-COS(PI()*(1-(($A178-Simulador!$E$9)/Simulador!$G$9))/Simulador!$B$11))/2,Simulador!$B$10)))</f>
        <v/>
      </c>
      <c r="G178" s="46">
        <f>IF(OR((($A178-Simulador!$E$10)/Simulador!$G$10)&lt;=0,(($A178-Simulador!$E$10)/Simulador!$G$10)&gt;=1),0,IF((($A178-Simulador!$E$10)/Simulador!$G$10)&lt;Simulador!$B$11,Simulador!$B$10*(1-COS(PI()*(($A178-Simulador!$E$10)/Simulador!$G$10)/Simulador!$B$11))/2,IF((($A178-Simulador!$E$10)/Simulador!$G$10)&gt;1-Simulador!$B$11,Simulador!$B$10*(1-COS(PI()*(1-(($A178-Simulador!$E$10)/Simulador!$G$10))/Simulador!$B$11))/2,Simulador!$B$10)))</f>
        <v/>
      </c>
      <c r="Q178" s="48">
        <f>IF(OR((($A178-(Simulador!$E$6+'Salto de dientes'!$B$12))/Simulador!$G$6)&lt;=0,(($A178-(Simulador!$E$6+'Salto de dientes'!$B$12))/Simulador!$G$6)&gt;=1),0,IF((($A178-(Simulador!$E$6+'Salto de dientes'!$B$12))/Simulador!$G$6)&lt;Simulador!$B$11,Simulador!$B$9*(1-COS(PI()*(($A178-(Simulador!$E$6+'Salto de dientes'!$B$12))/Simulador!$G$6)/Simulador!$B$11))/2,IF((($A178-(Simulador!$E$6+'Salto de dientes'!$B$12))/Simulador!$G$6)&gt;1-Simulador!$B$11,Simulador!$B$9*(1-COS(PI()*(1-(($A178-(Simulador!$E$6+'Salto de dientes'!$B$12))/Simulador!$G$6))/Simulador!$B$11))/2,Simulador!$B$9)))</f>
        <v/>
      </c>
      <c r="R178" s="48">
        <f>IF(OR((($A178-(Simulador!$E$9+'Salto de dientes'!$B$12))/Simulador!$G$9)&lt;=0,(($A178-(Simulador!$E$9+'Salto de dientes'!$B$12))/Simulador!$G$9)&gt;=1),0,IF((($A178-(Simulador!$E$9+'Salto de dientes'!$B$12))/Simulador!$G$9)&lt;Simulador!$B$11,Simulador!$B$10*(1-COS(PI()*(($A178-(Simulador!$E$9+'Salto de dientes'!$B$12))/Simulador!$G$9)/Simulador!$B$11))/2,IF((($A178-(Simulador!$E$9+'Salto de dientes'!$B$12))/Simulador!$G$9)&gt;1-Simulador!$B$11,Simulador!$B$10*(1-COS(PI()*(1-(($A178-(Simulador!$E$9+'Salto de dientes'!$B$12))/Simulador!$G$9))/Simulador!$B$11))/2,Simulador!$B$10)))</f>
        <v/>
      </c>
    </row>
    <row r="179">
      <c r="A179" s="26">
        <f>A178+Simulador!$B$14</f>
        <v/>
      </c>
      <c r="B179" s="46">
        <f>IF(OR((($A179-Simulador!$E$5)/Simulador!$G$5)&lt;=0,(($A179-Simulador!$E$5)/Simulador!$G$5)&gt;=1),0,IF((($A179-Simulador!$E$5)/Simulador!$G$5)&lt;Simulador!$B$11,Simulador!$B$9*(1-COS(PI()*(($A179-Simulador!$E$5)/Simulador!$G$5)/Simulador!$B$11))/2,IF((($A179-Simulador!$E$5)/Simulador!$G$5)&gt;1-Simulador!$B$11,Simulador!$B$9*(1-COS(PI()*(1-(($A179-Simulador!$E$5)/Simulador!$G$5))/Simulador!$B$11))/2,Simulador!$B$9)))</f>
        <v/>
      </c>
      <c r="C179" s="46">
        <f>IF(OR((($A179-Simulador!$E$6)/Simulador!$G$6)&lt;=0,(($A179-Simulador!$E$6)/Simulador!$G$6)&gt;=1),0,IF((($A179-Simulador!$E$6)/Simulador!$G$6)&lt;Simulador!$B$11,Simulador!$B$9*(1-COS(PI()*(($A179-Simulador!$E$6)/Simulador!$G$6)/Simulador!$B$11))/2,IF((($A179-Simulador!$E$6)/Simulador!$G$6)&gt;1-Simulador!$B$11,Simulador!$B$9*(1-COS(PI()*(1-(($A179-Simulador!$E$6)/Simulador!$G$6))/Simulador!$B$11))/2,Simulador!$B$9)))</f>
        <v/>
      </c>
      <c r="D179" s="46">
        <f>IF(OR((($A179-Simulador!$E$7)/Simulador!$G$7)&lt;=0,(($A179-Simulador!$E$7)/Simulador!$G$7)&gt;=1),0,IF((($A179-Simulador!$E$7)/Simulador!$G$7)&lt;Simulador!$B$11,Simulador!$B$9*(1-COS(PI()*(($A179-Simulador!$E$7)/Simulador!$G$7)/Simulador!$B$11))/2,IF((($A179-Simulador!$E$7)/Simulador!$G$7)&gt;1-Simulador!$B$11,Simulador!$B$9*(1-COS(PI()*(1-(($A179-Simulador!$E$7)/Simulador!$G$7))/Simulador!$B$11))/2,Simulador!$B$9)))</f>
        <v/>
      </c>
      <c r="E179" s="46">
        <f>IF(OR((($A179-Simulador!$E$8)/Simulador!$G$8)&lt;=0,(($A179-Simulador!$E$8)/Simulador!$G$8)&gt;=1),0,IF((($A179-Simulador!$E$8)/Simulador!$G$8)&lt;Simulador!$B$11,Simulador!$B$10*(1-COS(PI()*(($A179-Simulador!$E$8)/Simulador!$G$8)/Simulador!$B$11))/2,IF((($A179-Simulador!$E$8)/Simulador!$G$8)&gt;1-Simulador!$B$11,Simulador!$B$10*(1-COS(PI()*(1-(($A179-Simulador!$E$8)/Simulador!$G$8))/Simulador!$B$11))/2,Simulador!$B$10)))</f>
        <v/>
      </c>
      <c r="F179" s="46">
        <f>IF(OR((($A179-Simulador!$E$9)/Simulador!$G$9)&lt;=0,(($A179-Simulador!$E$9)/Simulador!$G$9)&gt;=1),0,IF((($A179-Simulador!$E$9)/Simulador!$G$9)&lt;Simulador!$B$11,Simulador!$B$10*(1-COS(PI()*(($A179-Simulador!$E$9)/Simulador!$G$9)/Simulador!$B$11))/2,IF((($A179-Simulador!$E$9)/Simulador!$G$9)&gt;1-Simulador!$B$11,Simulador!$B$10*(1-COS(PI()*(1-(($A179-Simulador!$E$9)/Simulador!$G$9))/Simulador!$B$11))/2,Simulador!$B$10)))</f>
        <v/>
      </c>
      <c r="G179" s="46">
        <f>IF(OR((($A179-Simulador!$E$10)/Simulador!$G$10)&lt;=0,(($A179-Simulador!$E$10)/Simulador!$G$10)&gt;=1),0,IF((($A179-Simulador!$E$10)/Simulador!$G$10)&lt;Simulador!$B$11,Simulador!$B$10*(1-COS(PI()*(($A179-Simulador!$E$10)/Simulador!$G$10)/Simulador!$B$11))/2,IF((($A179-Simulador!$E$10)/Simulador!$G$10)&gt;1-Simulador!$B$11,Simulador!$B$10*(1-COS(PI()*(1-(($A179-Simulador!$E$10)/Simulador!$G$10))/Simulador!$B$11))/2,Simulador!$B$10)))</f>
        <v/>
      </c>
      <c r="Q179" s="48">
        <f>IF(OR((($A179-(Simulador!$E$6+'Salto de dientes'!$B$12))/Simulador!$G$6)&lt;=0,(($A179-(Simulador!$E$6+'Salto de dientes'!$B$12))/Simulador!$G$6)&gt;=1),0,IF((($A179-(Simulador!$E$6+'Salto de dientes'!$B$12))/Simulador!$G$6)&lt;Simulador!$B$11,Simulador!$B$9*(1-COS(PI()*(($A179-(Simulador!$E$6+'Salto de dientes'!$B$12))/Simulador!$G$6)/Simulador!$B$11))/2,IF((($A179-(Simulador!$E$6+'Salto de dientes'!$B$12))/Simulador!$G$6)&gt;1-Simulador!$B$11,Simulador!$B$9*(1-COS(PI()*(1-(($A179-(Simulador!$E$6+'Salto de dientes'!$B$12))/Simulador!$G$6))/Simulador!$B$11))/2,Simulador!$B$9)))</f>
        <v/>
      </c>
      <c r="R179" s="48">
        <f>IF(OR((($A179-(Simulador!$E$9+'Salto de dientes'!$B$12))/Simulador!$G$9)&lt;=0,(($A179-(Simulador!$E$9+'Salto de dientes'!$B$12))/Simulador!$G$9)&gt;=1),0,IF((($A179-(Simulador!$E$9+'Salto de dientes'!$B$12))/Simulador!$G$9)&lt;Simulador!$B$11,Simulador!$B$10*(1-COS(PI()*(($A179-(Simulador!$E$9+'Salto de dientes'!$B$12))/Simulador!$G$9)/Simulador!$B$11))/2,IF((($A179-(Simulador!$E$9+'Salto de dientes'!$B$12))/Simulador!$G$9)&gt;1-Simulador!$B$11,Simulador!$B$10*(1-COS(PI()*(1-(($A179-(Simulador!$E$9+'Salto de dientes'!$B$12))/Simulador!$G$9))/Simulador!$B$11))/2,Simulador!$B$10)))</f>
        <v/>
      </c>
    </row>
    <row r="180">
      <c r="A180" s="26">
        <f>A179+Simulador!$B$14</f>
        <v/>
      </c>
      <c r="B180" s="46">
        <f>IF(OR((($A180-Simulador!$E$5)/Simulador!$G$5)&lt;=0,(($A180-Simulador!$E$5)/Simulador!$G$5)&gt;=1),0,IF((($A180-Simulador!$E$5)/Simulador!$G$5)&lt;Simulador!$B$11,Simulador!$B$9*(1-COS(PI()*(($A180-Simulador!$E$5)/Simulador!$G$5)/Simulador!$B$11))/2,IF((($A180-Simulador!$E$5)/Simulador!$G$5)&gt;1-Simulador!$B$11,Simulador!$B$9*(1-COS(PI()*(1-(($A180-Simulador!$E$5)/Simulador!$G$5))/Simulador!$B$11))/2,Simulador!$B$9)))</f>
        <v/>
      </c>
      <c r="C180" s="46">
        <f>IF(OR((($A180-Simulador!$E$6)/Simulador!$G$6)&lt;=0,(($A180-Simulador!$E$6)/Simulador!$G$6)&gt;=1),0,IF((($A180-Simulador!$E$6)/Simulador!$G$6)&lt;Simulador!$B$11,Simulador!$B$9*(1-COS(PI()*(($A180-Simulador!$E$6)/Simulador!$G$6)/Simulador!$B$11))/2,IF((($A180-Simulador!$E$6)/Simulador!$G$6)&gt;1-Simulador!$B$11,Simulador!$B$9*(1-COS(PI()*(1-(($A180-Simulador!$E$6)/Simulador!$G$6))/Simulador!$B$11))/2,Simulador!$B$9)))</f>
        <v/>
      </c>
      <c r="D180" s="46">
        <f>IF(OR((($A180-Simulador!$E$7)/Simulador!$G$7)&lt;=0,(($A180-Simulador!$E$7)/Simulador!$G$7)&gt;=1),0,IF((($A180-Simulador!$E$7)/Simulador!$G$7)&lt;Simulador!$B$11,Simulador!$B$9*(1-COS(PI()*(($A180-Simulador!$E$7)/Simulador!$G$7)/Simulador!$B$11))/2,IF((($A180-Simulador!$E$7)/Simulador!$G$7)&gt;1-Simulador!$B$11,Simulador!$B$9*(1-COS(PI()*(1-(($A180-Simulador!$E$7)/Simulador!$G$7))/Simulador!$B$11))/2,Simulador!$B$9)))</f>
        <v/>
      </c>
      <c r="E180" s="46">
        <f>IF(OR((($A180-Simulador!$E$8)/Simulador!$G$8)&lt;=0,(($A180-Simulador!$E$8)/Simulador!$G$8)&gt;=1),0,IF((($A180-Simulador!$E$8)/Simulador!$G$8)&lt;Simulador!$B$11,Simulador!$B$10*(1-COS(PI()*(($A180-Simulador!$E$8)/Simulador!$G$8)/Simulador!$B$11))/2,IF((($A180-Simulador!$E$8)/Simulador!$G$8)&gt;1-Simulador!$B$11,Simulador!$B$10*(1-COS(PI()*(1-(($A180-Simulador!$E$8)/Simulador!$G$8))/Simulador!$B$11))/2,Simulador!$B$10)))</f>
        <v/>
      </c>
      <c r="F180" s="46">
        <f>IF(OR((($A180-Simulador!$E$9)/Simulador!$G$9)&lt;=0,(($A180-Simulador!$E$9)/Simulador!$G$9)&gt;=1),0,IF((($A180-Simulador!$E$9)/Simulador!$G$9)&lt;Simulador!$B$11,Simulador!$B$10*(1-COS(PI()*(($A180-Simulador!$E$9)/Simulador!$G$9)/Simulador!$B$11))/2,IF((($A180-Simulador!$E$9)/Simulador!$G$9)&gt;1-Simulador!$B$11,Simulador!$B$10*(1-COS(PI()*(1-(($A180-Simulador!$E$9)/Simulador!$G$9))/Simulador!$B$11))/2,Simulador!$B$10)))</f>
        <v/>
      </c>
      <c r="G180" s="46">
        <f>IF(OR((($A180-Simulador!$E$10)/Simulador!$G$10)&lt;=0,(($A180-Simulador!$E$10)/Simulador!$G$10)&gt;=1),0,IF((($A180-Simulador!$E$10)/Simulador!$G$10)&lt;Simulador!$B$11,Simulador!$B$10*(1-COS(PI()*(($A180-Simulador!$E$10)/Simulador!$G$10)/Simulador!$B$11))/2,IF((($A180-Simulador!$E$10)/Simulador!$G$10)&gt;1-Simulador!$B$11,Simulador!$B$10*(1-COS(PI()*(1-(($A180-Simulador!$E$10)/Simulador!$G$10))/Simulador!$B$11))/2,Simulador!$B$10)))</f>
        <v/>
      </c>
      <c r="Q180" s="48">
        <f>IF(OR((($A180-(Simulador!$E$6+'Salto de dientes'!$B$12))/Simulador!$G$6)&lt;=0,(($A180-(Simulador!$E$6+'Salto de dientes'!$B$12))/Simulador!$G$6)&gt;=1),0,IF((($A180-(Simulador!$E$6+'Salto de dientes'!$B$12))/Simulador!$G$6)&lt;Simulador!$B$11,Simulador!$B$9*(1-COS(PI()*(($A180-(Simulador!$E$6+'Salto de dientes'!$B$12))/Simulador!$G$6)/Simulador!$B$11))/2,IF((($A180-(Simulador!$E$6+'Salto de dientes'!$B$12))/Simulador!$G$6)&gt;1-Simulador!$B$11,Simulador!$B$9*(1-COS(PI()*(1-(($A180-(Simulador!$E$6+'Salto de dientes'!$B$12))/Simulador!$G$6))/Simulador!$B$11))/2,Simulador!$B$9)))</f>
        <v/>
      </c>
      <c r="R180" s="48">
        <f>IF(OR((($A180-(Simulador!$E$9+'Salto de dientes'!$B$12))/Simulador!$G$9)&lt;=0,(($A180-(Simulador!$E$9+'Salto de dientes'!$B$12))/Simulador!$G$9)&gt;=1),0,IF((($A180-(Simulador!$E$9+'Salto de dientes'!$B$12))/Simulador!$G$9)&lt;Simulador!$B$11,Simulador!$B$10*(1-COS(PI()*(($A180-(Simulador!$E$9+'Salto de dientes'!$B$12))/Simulador!$G$9)/Simulador!$B$11))/2,IF((($A180-(Simulador!$E$9+'Salto de dientes'!$B$12))/Simulador!$G$9)&gt;1-Simulador!$B$11,Simulador!$B$10*(1-COS(PI()*(1-(($A180-(Simulador!$E$9+'Salto de dientes'!$B$12))/Simulador!$G$9))/Simulador!$B$11))/2,Simulador!$B$10)))</f>
        <v/>
      </c>
    </row>
    <row r="181">
      <c r="A181" s="26">
        <f>A180+Simulador!$B$14</f>
        <v/>
      </c>
      <c r="B181" s="46">
        <f>IF(OR((($A181-Simulador!$E$5)/Simulador!$G$5)&lt;=0,(($A181-Simulador!$E$5)/Simulador!$G$5)&gt;=1),0,IF((($A181-Simulador!$E$5)/Simulador!$G$5)&lt;Simulador!$B$11,Simulador!$B$9*(1-COS(PI()*(($A181-Simulador!$E$5)/Simulador!$G$5)/Simulador!$B$11))/2,IF((($A181-Simulador!$E$5)/Simulador!$G$5)&gt;1-Simulador!$B$11,Simulador!$B$9*(1-COS(PI()*(1-(($A181-Simulador!$E$5)/Simulador!$G$5))/Simulador!$B$11))/2,Simulador!$B$9)))</f>
        <v/>
      </c>
      <c r="C181" s="46">
        <f>IF(OR((($A181-Simulador!$E$6)/Simulador!$G$6)&lt;=0,(($A181-Simulador!$E$6)/Simulador!$G$6)&gt;=1),0,IF((($A181-Simulador!$E$6)/Simulador!$G$6)&lt;Simulador!$B$11,Simulador!$B$9*(1-COS(PI()*(($A181-Simulador!$E$6)/Simulador!$G$6)/Simulador!$B$11))/2,IF((($A181-Simulador!$E$6)/Simulador!$G$6)&gt;1-Simulador!$B$11,Simulador!$B$9*(1-COS(PI()*(1-(($A181-Simulador!$E$6)/Simulador!$G$6))/Simulador!$B$11))/2,Simulador!$B$9)))</f>
        <v/>
      </c>
      <c r="D181" s="46">
        <f>IF(OR((($A181-Simulador!$E$7)/Simulador!$G$7)&lt;=0,(($A181-Simulador!$E$7)/Simulador!$G$7)&gt;=1),0,IF((($A181-Simulador!$E$7)/Simulador!$G$7)&lt;Simulador!$B$11,Simulador!$B$9*(1-COS(PI()*(($A181-Simulador!$E$7)/Simulador!$G$7)/Simulador!$B$11))/2,IF((($A181-Simulador!$E$7)/Simulador!$G$7)&gt;1-Simulador!$B$11,Simulador!$B$9*(1-COS(PI()*(1-(($A181-Simulador!$E$7)/Simulador!$G$7))/Simulador!$B$11))/2,Simulador!$B$9)))</f>
        <v/>
      </c>
      <c r="E181" s="46">
        <f>IF(OR((($A181-Simulador!$E$8)/Simulador!$G$8)&lt;=0,(($A181-Simulador!$E$8)/Simulador!$G$8)&gt;=1),0,IF((($A181-Simulador!$E$8)/Simulador!$G$8)&lt;Simulador!$B$11,Simulador!$B$10*(1-COS(PI()*(($A181-Simulador!$E$8)/Simulador!$G$8)/Simulador!$B$11))/2,IF((($A181-Simulador!$E$8)/Simulador!$G$8)&gt;1-Simulador!$B$11,Simulador!$B$10*(1-COS(PI()*(1-(($A181-Simulador!$E$8)/Simulador!$G$8))/Simulador!$B$11))/2,Simulador!$B$10)))</f>
        <v/>
      </c>
      <c r="F181" s="46">
        <f>IF(OR((($A181-Simulador!$E$9)/Simulador!$G$9)&lt;=0,(($A181-Simulador!$E$9)/Simulador!$G$9)&gt;=1),0,IF((($A181-Simulador!$E$9)/Simulador!$G$9)&lt;Simulador!$B$11,Simulador!$B$10*(1-COS(PI()*(($A181-Simulador!$E$9)/Simulador!$G$9)/Simulador!$B$11))/2,IF((($A181-Simulador!$E$9)/Simulador!$G$9)&gt;1-Simulador!$B$11,Simulador!$B$10*(1-COS(PI()*(1-(($A181-Simulador!$E$9)/Simulador!$G$9))/Simulador!$B$11))/2,Simulador!$B$10)))</f>
        <v/>
      </c>
      <c r="G181" s="46">
        <f>IF(OR((($A181-Simulador!$E$10)/Simulador!$G$10)&lt;=0,(($A181-Simulador!$E$10)/Simulador!$G$10)&gt;=1),0,IF((($A181-Simulador!$E$10)/Simulador!$G$10)&lt;Simulador!$B$11,Simulador!$B$10*(1-COS(PI()*(($A181-Simulador!$E$10)/Simulador!$G$10)/Simulador!$B$11))/2,IF((($A181-Simulador!$E$10)/Simulador!$G$10)&gt;1-Simulador!$B$11,Simulador!$B$10*(1-COS(PI()*(1-(($A181-Simulador!$E$10)/Simulador!$G$10))/Simulador!$B$11))/2,Simulador!$B$10)))</f>
        <v/>
      </c>
      <c r="Q181" s="48">
        <f>IF(OR((($A181-(Simulador!$E$6+'Salto de dientes'!$B$12))/Simulador!$G$6)&lt;=0,(($A181-(Simulador!$E$6+'Salto de dientes'!$B$12))/Simulador!$G$6)&gt;=1),0,IF((($A181-(Simulador!$E$6+'Salto de dientes'!$B$12))/Simulador!$G$6)&lt;Simulador!$B$11,Simulador!$B$9*(1-COS(PI()*(($A181-(Simulador!$E$6+'Salto de dientes'!$B$12))/Simulador!$G$6)/Simulador!$B$11))/2,IF((($A181-(Simulador!$E$6+'Salto de dientes'!$B$12))/Simulador!$G$6)&gt;1-Simulador!$B$11,Simulador!$B$9*(1-COS(PI()*(1-(($A181-(Simulador!$E$6+'Salto de dientes'!$B$12))/Simulador!$G$6))/Simulador!$B$11))/2,Simulador!$B$9)))</f>
        <v/>
      </c>
      <c r="R181" s="48">
        <f>IF(OR((($A181-(Simulador!$E$9+'Salto de dientes'!$B$12))/Simulador!$G$9)&lt;=0,(($A181-(Simulador!$E$9+'Salto de dientes'!$B$12))/Simulador!$G$9)&gt;=1),0,IF((($A181-(Simulador!$E$9+'Salto de dientes'!$B$12))/Simulador!$G$9)&lt;Simulador!$B$11,Simulador!$B$10*(1-COS(PI()*(($A181-(Simulador!$E$9+'Salto de dientes'!$B$12))/Simulador!$G$9)/Simulador!$B$11))/2,IF((($A181-(Simulador!$E$9+'Salto de dientes'!$B$12))/Simulador!$G$9)&gt;1-Simulador!$B$11,Simulador!$B$10*(1-COS(PI()*(1-(($A181-(Simulador!$E$9+'Salto de dientes'!$B$12))/Simulador!$G$9))/Simulador!$B$11))/2,Simulador!$B$10)))</f>
        <v/>
      </c>
    </row>
    <row r="182">
      <c r="A182" s="26">
        <f>A181+Simulador!$B$14</f>
        <v/>
      </c>
      <c r="B182" s="46">
        <f>IF(OR((($A182-Simulador!$E$5)/Simulador!$G$5)&lt;=0,(($A182-Simulador!$E$5)/Simulador!$G$5)&gt;=1),0,IF((($A182-Simulador!$E$5)/Simulador!$G$5)&lt;Simulador!$B$11,Simulador!$B$9*(1-COS(PI()*(($A182-Simulador!$E$5)/Simulador!$G$5)/Simulador!$B$11))/2,IF((($A182-Simulador!$E$5)/Simulador!$G$5)&gt;1-Simulador!$B$11,Simulador!$B$9*(1-COS(PI()*(1-(($A182-Simulador!$E$5)/Simulador!$G$5))/Simulador!$B$11))/2,Simulador!$B$9)))</f>
        <v/>
      </c>
      <c r="C182" s="46">
        <f>IF(OR((($A182-Simulador!$E$6)/Simulador!$G$6)&lt;=0,(($A182-Simulador!$E$6)/Simulador!$G$6)&gt;=1),0,IF((($A182-Simulador!$E$6)/Simulador!$G$6)&lt;Simulador!$B$11,Simulador!$B$9*(1-COS(PI()*(($A182-Simulador!$E$6)/Simulador!$G$6)/Simulador!$B$11))/2,IF((($A182-Simulador!$E$6)/Simulador!$G$6)&gt;1-Simulador!$B$11,Simulador!$B$9*(1-COS(PI()*(1-(($A182-Simulador!$E$6)/Simulador!$G$6))/Simulador!$B$11))/2,Simulador!$B$9)))</f>
        <v/>
      </c>
      <c r="D182" s="46">
        <f>IF(OR((($A182-Simulador!$E$7)/Simulador!$G$7)&lt;=0,(($A182-Simulador!$E$7)/Simulador!$G$7)&gt;=1),0,IF((($A182-Simulador!$E$7)/Simulador!$G$7)&lt;Simulador!$B$11,Simulador!$B$9*(1-COS(PI()*(($A182-Simulador!$E$7)/Simulador!$G$7)/Simulador!$B$11))/2,IF((($A182-Simulador!$E$7)/Simulador!$G$7)&gt;1-Simulador!$B$11,Simulador!$B$9*(1-COS(PI()*(1-(($A182-Simulador!$E$7)/Simulador!$G$7))/Simulador!$B$11))/2,Simulador!$B$9)))</f>
        <v/>
      </c>
      <c r="E182" s="46">
        <f>IF(OR((($A182-Simulador!$E$8)/Simulador!$G$8)&lt;=0,(($A182-Simulador!$E$8)/Simulador!$G$8)&gt;=1),0,IF((($A182-Simulador!$E$8)/Simulador!$G$8)&lt;Simulador!$B$11,Simulador!$B$10*(1-COS(PI()*(($A182-Simulador!$E$8)/Simulador!$G$8)/Simulador!$B$11))/2,IF((($A182-Simulador!$E$8)/Simulador!$G$8)&gt;1-Simulador!$B$11,Simulador!$B$10*(1-COS(PI()*(1-(($A182-Simulador!$E$8)/Simulador!$G$8))/Simulador!$B$11))/2,Simulador!$B$10)))</f>
        <v/>
      </c>
      <c r="F182" s="46">
        <f>IF(OR((($A182-Simulador!$E$9)/Simulador!$G$9)&lt;=0,(($A182-Simulador!$E$9)/Simulador!$G$9)&gt;=1),0,IF((($A182-Simulador!$E$9)/Simulador!$G$9)&lt;Simulador!$B$11,Simulador!$B$10*(1-COS(PI()*(($A182-Simulador!$E$9)/Simulador!$G$9)/Simulador!$B$11))/2,IF((($A182-Simulador!$E$9)/Simulador!$G$9)&gt;1-Simulador!$B$11,Simulador!$B$10*(1-COS(PI()*(1-(($A182-Simulador!$E$9)/Simulador!$G$9))/Simulador!$B$11))/2,Simulador!$B$10)))</f>
        <v/>
      </c>
      <c r="G182" s="46">
        <f>IF(OR((($A182-Simulador!$E$10)/Simulador!$G$10)&lt;=0,(($A182-Simulador!$E$10)/Simulador!$G$10)&gt;=1),0,IF((($A182-Simulador!$E$10)/Simulador!$G$10)&lt;Simulador!$B$11,Simulador!$B$10*(1-COS(PI()*(($A182-Simulador!$E$10)/Simulador!$G$10)/Simulador!$B$11))/2,IF((($A182-Simulador!$E$10)/Simulador!$G$10)&gt;1-Simulador!$B$11,Simulador!$B$10*(1-COS(PI()*(1-(($A182-Simulador!$E$10)/Simulador!$G$10))/Simulador!$B$11))/2,Simulador!$B$10)))</f>
        <v/>
      </c>
      <c r="Q182" s="48">
        <f>IF(OR((($A182-(Simulador!$E$6+'Salto de dientes'!$B$12))/Simulador!$G$6)&lt;=0,(($A182-(Simulador!$E$6+'Salto de dientes'!$B$12))/Simulador!$G$6)&gt;=1),0,IF((($A182-(Simulador!$E$6+'Salto de dientes'!$B$12))/Simulador!$G$6)&lt;Simulador!$B$11,Simulador!$B$9*(1-COS(PI()*(($A182-(Simulador!$E$6+'Salto de dientes'!$B$12))/Simulador!$G$6)/Simulador!$B$11))/2,IF((($A182-(Simulador!$E$6+'Salto de dientes'!$B$12))/Simulador!$G$6)&gt;1-Simulador!$B$11,Simulador!$B$9*(1-COS(PI()*(1-(($A182-(Simulador!$E$6+'Salto de dientes'!$B$12))/Simulador!$G$6))/Simulador!$B$11))/2,Simulador!$B$9)))</f>
        <v/>
      </c>
      <c r="R182" s="48">
        <f>IF(OR((($A182-(Simulador!$E$9+'Salto de dientes'!$B$12))/Simulador!$G$9)&lt;=0,(($A182-(Simulador!$E$9+'Salto de dientes'!$B$12))/Simulador!$G$9)&gt;=1),0,IF((($A182-(Simulador!$E$9+'Salto de dientes'!$B$12))/Simulador!$G$9)&lt;Simulador!$B$11,Simulador!$B$10*(1-COS(PI()*(($A182-(Simulador!$E$9+'Salto de dientes'!$B$12))/Simulador!$G$9)/Simulador!$B$11))/2,IF((($A182-(Simulador!$E$9+'Salto de dientes'!$B$12))/Simulador!$G$9)&gt;1-Simulador!$B$11,Simulador!$B$10*(1-COS(PI()*(1-(($A182-(Simulador!$E$9+'Salto de dientes'!$B$12))/Simulador!$G$9))/Simulador!$B$11))/2,Simulador!$B$10)))</f>
        <v/>
      </c>
    </row>
    <row r="183">
      <c r="A183" s="26">
        <f>A182+Simulador!$B$14</f>
        <v/>
      </c>
      <c r="B183" s="46">
        <f>IF(OR((($A183-Simulador!$E$5)/Simulador!$G$5)&lt;=0,(($A183-Simulador!$E$5)/Simulador!$G$5)&gt;=1),0,IF((($A183-Simulador!$E$5)/Simulador!$G$5)&lt;Simulador!$B$11,Simulador!$B$9*(1-COS(PI()*(($A183-Simulador!$E$5)/Simulador!$G$5)/Simulador!$B$11))/2,IF((($A183-Simulador!$E$5)/Simulador!$G$5)&gt;1-Simulador!$B$11,Simulador!$B$9*(1-COS(PI()*(1-(($A183-Simulador!$E$5)/Simulador!$G$5))/Simulador!$B$11))/2,Simulador!$B$9)))</f>
        <v/>
      </c>
      <c r="C183" s="46">
        <f>IF(OR((($A183-Simulador!$E$6)/Simulador!$G$6)&lt;=0,(($A183-Simulador!$E$6)/Simulador!$G$6)&gt;=1),0,IF((($A183-Simulador!$E$6)/Simulador!$G$6)&lt;Simulador!$B$11,Simulador!$B$9*(1-COS(PI()*(($A183-Simulador!$E$6)/Simulador!$G$6)/Simulador!$B$11))/2,IF((($A183-Simulador!$E$6)/Simulador!$G$6)&gt;1-Simulador!$B$11,Simulador!$B$9*(1-COS(PI()*(1-(($A183-Simulador!$E$6)/Simulador!$G$6))/Simulador!$B$11))/2,Simulador!$B$9)))</f>
        <v/>
      </c>
      <c r="D183" s="46">
        <f>IF(OR((($A183-Simulador!$E$7)/Simulador!$G$7)&lt;=0,(($A183-Simulador!$E$7)/Simulador!$G$7)&gt;=1),0,IF((($A183-Simulador!$E$7)/Simulador!$G$7)&lt;Simulador!$B$11,Simulador!$B$9*(1-COS(PI()*(($A183-Simulador!$E$7)/Simulador!$G$7)/Simulador!$B$11))/2,IF((($A183-Simulador!$E$7)/Simulador!$G$7)&gt;1-Simulador!$B$11,Simulador!$B$9*(1-COS(PI()*(1-(($A183-Simulador!$E$7)/Simulador!$G$7))/Simulador!$B$11))/2,Simulador!$B$9)))</f>
        <v/>
      </c>
      <c r="E183" s="46">
        <f>IF(OR((($A183-Simulador!$E$8)/Simulador!$G$8)&lt;=0,(($A183-Simulador!$E$8)/Simulador!$G$8)&gt;=1),0,IF((($A183-Simulador!$E$8)/Simulador!$G$8)&lt;Simulador!$B$11,Simulador!$B$10*(1-COS(PI()*(($A183-Simulador!$E$8)/Simulador!$G$8)/Simulador!$B$11))/2,IF((($A183-Simulador!$E$8)/Simulador!$G$8)&gt;1-Simulador!$B$11,Simulador!$B$10*(1-COS(PI()*(1-(($A183-Simulador!$E$8)/Simulador!$G$8))/Simulador!$B$11))/2,Simulador!$B$10)))</f>
        <v/>
      </c>
      <c r="F183" s="46">
        <f>IF(OR((($A183-Simulador!$E$9)/Simulador!$G$9)&lt;=0,(($A183-Simulador!$E$9)/Simulador!$G$9)&gt;=1),0,IF((($A183-Simulador!$E$9)/Simulador!$G$9)&lt;Simulador!$B$11,Simulador!$B$10*(1-COS(PI()*(($A183-Simulador!$E$9)/Simulador!$G$9)/Simulador!$B$11))/2,IF((($A183-Simulador!$E$9)/Simulador!$G$9)&gt;1-Simulador!$B$11,Simulador!$B$10*(1-COS(PI()*(1-(($A183-Simulador!$E$9)/Simulador!$G$9))/Simulador!$B$11))/2,Simulador!$B$10)))</f>
        <v/>
      </c>
      <c r="G183" s="46">
        <f>IF(OR((($A183-Simulador!$E$10)/Simulador!$G$10)&lt;=0,(($A183-Simulador!$E$10)/Simulador!$G$10)&gt;=1),0,IF((($A183-Simulador!$E$10)/Simulador!$G$10)&lt;Simulador!$B$11,Simulador!$B$10*(1-COS(PI()*(($A183-Simulador!$E$10)/Simulador!$G$10)/Simulador!$B$11))/2,IF((($A183-Simulador!$E$10)/Simulador!$G$10)&gt;1-Simulador!$B$11,Simulador!$B$10*(1-COS(PI()*(1-(($A183-Simulador!$E$10)/Simulador!$G$10))/Simulador!$B$11))/2,Simulador!$B$10)))</f>
        <v/>
      </c>
      <c r="Q183" s="48">
        <f>IF(OR((($A183-(Simulador!$E$6+'Salto de dientes'!$B$12))/Simulador!$G$6)&lt;=0,(($A183-(Simulador!$E$6+'Salto de dientes'!$B$12))/Simulador!$G$6)&gt;=1),0,IF((($A183-(Simulador!$E$6+'Salto de dientes'!$B$12))/Simulador!$G$6)&lt;Simulador!$B$11,Simulador!$B$9*(1-COS(PI()*(($A183-(Simulador!$E$6+'Salto de dientes'!$B$12))/Simulador!$G$6)/Simulador!$B$11))/2,IF((($A183-(Simulador!$E$6+'Salto de dientes'!$B$12))/Simulador!$G$6)&gt;1-Simulador!$B$11,Simulador!$B$9*(1-COS(PI()*(1-(($A183-(Simulador!$E$6+'Salto de dientes'!$B$12))/Simulador!$G$6))/Simulador!$B$11))/2,Simulador!$B$9)))</f>
        <v/>
      </c>
      <c r="R183" s="48">
        <f>IF(OR((($A183-(Simulador!$E$9+'Salto de dientes'!$B$12))/Simulador!$G$9)&lt;=0,(($A183-(Simulador!$E$9+'Salto de dientes'!$B$12))/Simulador!$G$9)&gt;=1),0,IF((($A183-(Simulador!$E$9+'Salto de dientes'!$B$12))/Simulador!$G$9)&lt;Simulador!$B$11,Simulador!$B$10*(1-COS(PI()*(($A183-(Simulador!$E$9+'Salto de dientes'!$B$12))/Simulador!$G$9)/Simulador!$B$11))/2,IF((($A183-(Simulador!$E$9+'Salto de dientes'!$B$12))/Simulador!$G$9)&gt;1-Simulador!$B$11,Simulador!$B$10*(1-COS(PI()*(1-(($A183-(Simulador!$E$9+'Salto de dientes'!$B$12))/Simulador!$G$9))/Simulador!$B$11))/2,Simulador!$B$10)))</f>
        <v/>
      </c>
    </row>
    <row r="184">
      <c r="A184" s="26">
        <f>A183+Simulador!$B$14</f>
        <v/>
      </c>
      <c r="B184" s="46">
        <f>IF(OR((($A184-Simulador!$E$5)/Simulador!$G$5)&lt;=0,(($A184-Simulador!$E$5)/Simulador!$G$5)&gt;=1),0,IF((($A184-Simulador!$E$5)/Simulador!$G$5)&lt;Simulador!$B$11,Simulador!$B$9*(1-COS(PI()*(($A184-Simulador!$E$5)/Simulador!$G$5)/Simulador!$B$11))/2,IF((($A184-Simulador!$E$5)/Simulador!$G$5)&gt;1-Simulador!$B$11,Simulador!$B$9*(1-COS(PI()*(1-(($A184-Simulador!$E$5)/Simulador!$G$5))/Simulador!$B$11))/2,Simulador!$B$9)))</f>
        <v/>
      </c>
      <c r="C184" s="46">
        <f>IF(OR((($A184-Simulador!$E$6)/Simulador!$G$6)&lt;=0,(($A184-Simulador!$E$6)/Simulador!$G$6)&gt;=1),0,IF((($A184-Simulador!$E$6)/Simulador!$G$6)&lt;Simulador!$B$11,Simulador!$B$9*(1-COS(PI()*(($A184-Simulador!$E$6)/Simulador!$G$6)/Simulador!$B$11))/2,IF((($A184-Simulador!$E$6)/Simulador!$G$6)&gt;1-Simulador!$B$11,Simulador!$B$9*(1-COS(PI()*(1-(($A184-Simulador!$E$6)/Simulador!$G$6))/Simulador!$B$11))/2,Simulador!$B$9)))</f>
        <v/>
      </c>
      <c r="D184" s="46">
        <f>IF(OR((($A184-Simulador!$E$7)/Simulador!$G$7)&lt;=0,(($A184-Simulador!$E$7)/Simulador!$G$7)&gt;=1),0,IF((($A184-Simulador!$E$7)/Simulador!$G$7)&lt;Simulador!$B$11,Simulador!$B$9*(1-COS(PI()*(($A184-Simulador!$E$7)/Simulador!$G$7)/Simulador!$B$11))/2,IF((($A184-Simulador!$E$7)/Simulador!$G$7)&gt;1-Simulador!$B$11,Simulador!$B$9*(1-COS(PI()*(1-(($A184-Simulador!$E$7)/Simulador!$G$7))/Simulador!$B$11))/2,Simulador!$B$9)))</f>
        <v/>
      </c>
      <c r="E184" s="46">
        <f>IF(OR((($A184-Simulador!$E$8)/Simulador!$G$8)&lt;=0,(($A184-Simulador!$E$8)/Simulador!$G$8)&gt;=1),0,IF((($A184-Simulador!$E$8)/Simulador!$G$8)&lt;Simulador!$B$11,Simulador!$B$10*(1-COS(PI()*(($A184-Simulador!$E$8)/Simulador!$G$8)/Simulador!$B$11))/2,IF((($A184-Simulador!$E$8)/Simulador!$G$8)&gt;1-Simulador!$B$11,Simulador!$B$10*(1-COS(PI()*(1-(($A184-Simulador!$E$8)/Simulador!$G$8))/Simulador!$B$11))/2,Simulador!$B$10)))</f>
        <v/>
      </c>
      <c r="F184" s="46">
        <f>IF(OR((($A184-Simulador!$E$9)/Simulador!$G$9)&lt;=0,(($A184-Simulador!$E$9)/Simulador!$G$9)&gt;=1),0,IF((($A184-Simulador!$E$9)/Simulador!$G$9)&lt;Simulador!$B$11,Simulador!$B$10*(1-COS(PI()*(($A184-Simulador!$E$9)/Simulador!$G$9)/Simulador!$B$11))/2,IF((($A184-Simulador!$E$9)/Simulador!$G$9)&gt;1-Simulador!$B$11,Simulador!$B$10*(1-COS(PI()*(1-(($A184-Simulador!$E$9)/Simulador!$G$9))/Simulador!$B$11))/2,Simulador!$B$10)))</f>
        <v/>
      </c>
      <c r="G184" s="46">
        <f>IF(OR((($A184-Simulador!$E$10)/Simulador!$G$10)&lt;=0,(($A184-Simulador!$E$10)/Simulador!$G$10)&gt;=1),0,IF((($A184-Simulador!$E$10)/Simulador!$G$10)&lt;Simulador!$B$11,Simulador!$B$10*(1-COS(PI()*(($A184-Simulador!$E$10)/Simulador!$G$10)/Simulador!$B$11))/2,IF((($A184-Simulador!$E$10)/Simulador!$G$10)&gt;1-Simulador!$B$11,Simulador!$B$10*(1-COS(PI()*(1-(($A184-Simulador!$E$10)/Simulador!$G$10))/Simulador!$B$11))/2,Simulador!$B$10)))</f>
        <v/>
      </c>
      <c r="Q184" s="48">
        <f>IF(OR((($A184-(Simulador!$E$6+'Salto de dientes'!$B$12))/Simulador!$G$6)&lt;=0,(($A184-(Simulador!$E$6+'Salto de dientes'!$B$12))/Simulador!$G$6)&gt;=1),0,IF((($A184-(Simulador!$E$6+'Salto de dientes'!$B$12))/Simulador!$G$6)&lt;Simulador!$B$11,Simulador!$B$9*(1-COS(PI()*(($A184-(Simulador!$E$6+'Salto de dientes'!$B$12))/Simulador!$G$6)/Simulador!$B$11))/2,IF((($A184-(Simulador!$E$6+'Salto de dientes'!$B$12))/Simulador!$G$6)&gt;1-Simulador!$B$11,Simulador!$B$9*(1-COS(PI()*(1-(($A184-(Simulador!$E$6+'Salto de dientes'!$B$12))/Simulador!$G$6))/Simulador!$B$11))/2,Simulador!$B$9)))</f>
        <v/>
      </c>
      <c r="R184" s="48">
        <f>IF(OR((($A184-(Simulador!$E$9+'Salto de dientes'!$B$12))/Simulador!$G$9)&lt;=0,(($A184-(Simulador!$E$9+'Salto de dientes'!$B$12))/Simulador!$G$9)&gt;=1),0,IF((($A184-(Simulador!$E$9+'Salto de dientes'!$B$12))/Simulador!$G$9)&lt;Simulador!$B$11,Simulador!$B$10*(1-COS(PI()*(($A184-(Simulador!$E$9+'Salto de dientes'!$B$12))/Simulador!$G$9)/Simulador!$B$11))/2,IF((($A184-(Simulador!$E$9+'Salto de dientes'!$B$12))/Simulador!$G$9)&gt;1-Simulador!$B$11,Simulador!$B$10*(1-COS(PI()*(1-(($A184-(Simulador!$E$9+'Salto de dientes'!$B$12))/Simulador!$G$9))/Simulador!$B$11))/2,Simulador!$B$10)))</f>
        <v/>
      </c>
    </row>
    <row r="185">
      <c r="A185" s="26">
        <f>A184+Simulador!$B$14</f>
        <v/>
      </c>
      <c r="B185" s="46">
        <f>IF(OR((($A185-Simulador!$E$5)/Simulador!$G$5)&lt;=0,(($A185-Simulador!$E$5)/Simulador!$G$5)&gt;=1),0,IF((($A185-Simulador!$E$5)/Simulador!$G$5)&lt;Simulador!$B$11,Simulador!$B$9*(1-COS(PI()*(($A185-Simulador!$E$5)/Simulador!$G$5)/Simulador!$B$11))/2,IF((($A185-Simulador!$E$5)/Simulador!$G$5)&gt;1-Simulador!$B$11,Simulador!$B$9*(1-COS(PI()*(1-(($A185-Simulador!$E$5)/Simulador!$G$5))/Simulador!$B$11))/2,Simulador!$B$9)))</f>
        <v/>
      </c>
      <c r="C185" s="46">
        <f>IF(OR((($A185-Simulador!$E$6)/Simulador!$G$6)&lt;=0,(($A185-Simulador!$E$6)/Simulador!$G$6)&gt;=1),0,IF((($A185-Simulador!$E$6)/Simulador!$G$6)&lt;Simulador!$B$11,Simulador!$B$9*(1-COS(PI()*(($A185-Simulador!$E$6)/Simulador!$G$6)/Simulador!$B$11))/2,IF((($A185-Simulador!$E$6)/Simulador!$G$6)&gt;1-Simulador!$B$11,Simulador!$B$9*(1-COS(PI()*(1-(($A185-Simulador!$E$6)/Simulador!$G$6))/Simulador!$B$11))/2,Simulador!$B$9)))</f>
        <v/>
      </c>
      <c r="D185" s="46">
        <f>IF(OR((($A185-Simulador!$E$7)/Simulador!$G$7)&lt;=0,(($A185-Simulador!$E$7)/Simulador!$G$7)&gt;=1),0,IF((($A185-Simulador!$E$7)/Simulador!$G$7)&lt;Simulador!$B$11,Simulador!$B$9*(1-COS(PI()*(($A185-Simulador!$E$7)/Simulador!$G$7)/Simulador!$B$11))/2,IF((($A185-Simulador!$E$7)/Simulador!$G$7)&gt;1-Simulador!$B$11,Simulador!$B$9*(1-COS(PI()*(1-(($A185-Simulador!$E$7)/Simulador!$G$7))/Simulador!$B$11))/2,Simulador!$B$9)))</f>
        <v/>
      </c>
      <c r="E185" s="46">
        <f>IF(OR((($A185-Simulador!$E$8)/Simulador!$G$8)&lt;=0,(($A185-Simulador!$E$8)/Simulador!$G$8)&gt;=1),0,IF((($A185-Simulador!$E$8)/Simulador!$G$8)&lt;Simulador!$B$11,Simulador!$B$10*(1-COS(PI()*(($A185-Simulador!$E$8)/Simulador!$G$8)/Simulador!$B$11))/2,IF((($A185-Simulador!$E$8)/Simulador!$G$8)&gt;1-Simulador!$B$11,Simulador!$B$10*(1-COS(PI()*(1-(($A185-Simulador!$E$8)/Simulador!$G$8))/Simulador!$B$11))/2,Simulador!$B$10)))</f>
        <v/>
      </c>
      <c r="F185" s="46">
        <f>IF(OR((($A185-Simulador!$E$9)/Simulador!$G$9)&lt;=0,(($A185-Simulador!$E$9)/Simulador!$G$9)&gt;=1),0,IF((($A185-Simulador!$E$9)/Simulador!$G$9)&lt;Simulador!$B$11,Simulador!$B$10*(1-COS(PI()*(($A185-Simulador!$E$9)/Simulador!$G$9)/Simulador!$B$11))/2,IF((($A185-Simulador!$E$9)/Simulador!$G$9)&gt;1-Simulador!$B$11,Simulador!$B$10*(1-COS(PI()*(1-(($A185-Simulador!$E$9)/Simulador!$G$9))/Simulador!$B$11))/2,Simulador!$B$10)))</f>
        <v/>
      </c>
      <c r="G185" s="46">
        <f>IF(OR((($A185-Simulador!$E$10)/Simulador!$G$10)&lt;=0,(($A185-Simulador!$E$10)/Simulador!$G$10)&gt;=1),0,IF((($A185-Simulador!$E$10)/Simulador!$G$10)&lt;Simulador!$B$11,Simulador!$B$10*(1-COS(PI()*(($A185-Simulador!$E$10)/Simulador!$G$10)/Simulador!$B$11))/2,IF((($A185-Simulador!$E$10)/Simulador!$G$10)&gt;1-Simulador!$B$11,Simulador!$B$10*(1-COS(PI()*(1-(($A185-Simulador!$E$10)/Simulador!$G$10))/Simulador!$B$11))/2,Simulador!$B$10)))</f>
        <v/>
      </c>
      <c r="Q185" s="48">
        <f>IF(OR((($A185-(Simulador!$E$6+'Salto de dientes'!$B$12))/Simulador!$G$6)&lt;=0,(($A185-(Simulador!$E$6+'Salto de dientes'!$B$12))/Simulador!$G$6)&gt;=1),0,IF((($A185-(Simulador!$E$6+'Salto de dientes'!$B$12))/Simulador!$G$6)&lt;Simulador!$B$11,Simulador!$B$9*(1-COS(PI()*(($A185-(Simulador!$E$6+'Salto de dientes'!$B$12))/Simulador!$G$6)/Simulador!$B$11))/2,IF((($A185-(Simulador!$E$6+'Salto de dientes'!$B$12))/Simulador!$G$6)&gt;1-Simulador!$B$11,Simulador!$B$9*(1-COS(PI()*(1-(($A185-(Simulador!$E$6+'Salto de dientes'!$B$12))/Simulador!$G$6))/Simulador!$B$11))/2,Simulador!$B$9)))</f>
        <v/>
      </c>
      <c r="R185" s="48">
        <f>IF(OR((($A185-(Simulador!$E$9+'Salto de dientes'!$B$12))/Simulador!$G$9)&lt;=0,(($A185-(Simulador!$E$9+'Salto de dientes'!$B$12))/Simulador!$G$9)&gt;=1),0,IF((($A185-(Simulador!$E$9+'Salto de dientes'!$B$12))/Simulador!$G$9)&lt;Simulador!$B$11,Simulador!$B$10*(1-COS(PI()*(($A185-(Simulador!$E$9+'Salto de dientes'!$B$12))/Simulador!$G$9)/Simulador!$B$11))/2,IF((($A185-(Simulador!$E$9+'Salto de dientes'!$B$12))/Simulador!$G$9)&gt;1-Simulador!$B$11,Simulador!$B$10*(1-COS(PI()*(1-(($A185-(Simulador!$E$9+'Salto de dientes'!$B$12))/Simulador!$G$9))/Simulador!$B$11))/2,Simulador!$B$10)))</f>
        <v/>
      </c>
    </row>
    <row r="186">
      <c r="A186" s="26">
        <f>A185+Simulador!$B$14</f>
        <v/>
      </c>
      <c r="B186" s="46">
        <f>IF(OR((($A186-Simulador!$E$5)/Simulador!$G$5)&lt;=0,(($A186-Simulador!$E$5)/Simulador!$G$5)&gt;=1),0,IF((($A186-Simulador!$E$5)/Simulador!$G$5)&lt;Simulador!$B$11,Simulador!$B$9*(1-COS(PI()*(($A186-Simulador!$E$5)/Simulador!$G$5)/Simulador!$B$11))/2,IF((($A186-Simulador!$E$5)/Simulador!$G$5)&gt;1-Simulador!$B$11,Simulador!$B$9*(1-COS(PI()*(1-(($A186-Simulador!$E$5)/Simulador!$G$5))/Simulador!$B$11))/2,Simulador!$B$9)))</f>
        <v/>
      </c>
      <c r="C186" s="46">
        <f>IF(OR((($A186-Simulador!$E$6)/Simulador!$G$6)&lt;=0,(($A186-Simulador!$E$6)/Simulador!$G$6)&gt;=1),0,IF((($A186-Simulador!$E$6)/Simulador!$G$6)&lt;Simulador!$B$11,Simulador!$B$9*(1-COS(PI()*(($A186-Simulador!$E$6)/Simulador!$G$6)/Simulador!$B$11))/2,IF((($A186-Simulador!$E$6)/Simulador!$G$6)&gt;1-Simulador!$B$11,Simulador!$B$9*(1-COS(PI()*(1-(($A186-Simulador!$E$6)/Simulador!$G$6))/Simulador!$B$11))/2,Simulador!$B$9)))</f>
        <v/>
      </c>
      <c r="D186" s="46">
        <f>IF(OR((($A186-Simulador!$E$7)/Simulador!$G$7)&lt;=0,(($A186-Simulador!$E$7)/Simulador!$G$7)&gt;=1),0,IF((($A186-Simulador!$E$7)/Simulador!$G$7)&lt;Simulador!$B$11,Simulador!$B$9*(1-COS(PI()*(($A186-Simulador!$E$7)/Simulador!$G$7)/Simulador!$B$11))/2,IF((($A186-Simulador!$E$7)/Simulador!$G$7)&gt;1-Simulador!$B$11,Simulador!$B$9*(1-COS(PI()*(1-(($A186-Simulador!$E$7)/Simulador!$G$7))/Simulador!$B$11))/2,Simulador!$B$9)))</f>
        <v/>
      </c>
      <c r="E186" s="46">
        <f>IF(OR((($A186-Simulador!$E$8)/Simulador!$G$8)&lt;=0,(($A186-Simulador!$E$8)/Simulador!$G$8)&gt;=1),0,IF((($A186-Simulador!$E$8)/Simulador!$G$8)&lt;Simulador!$B$11,Simulador!$B$10*(1-COS(PI()*(($A186-Simulador!$E$8)/Simulador!$G$8)/Simulador!$B$11))/2,IF((($A186-Simulador!$E$8)/Simulador!$G$8)&gt;1-Simulador!$B$11,Simulador!$B$10*(1-COS(PI()*(1-(($A186-Simulador!$E$8)/Simulador!$G$8))/Simulador!$B$11))/2,Simulador!$B$10)))</f>
        <v/>
      </c>
      <c r="F186" s="46">
        <f>IF(OR((($A186-Simulador!$E$9)/Simulador!$G$9)&lt;=0,(($A186-Simulador!$E$9)/Simulador!$G$9)&gt;=1),0,IF((($A186-Simulador!$E$9)/Simulador!$G$9)&lt;Simulador!$B$11,Simulador!$B$10*(1-COS(PI()*(($A186-Simulador!$E$9)/Simulador!$G$9)/Simulador!$B$11))/2,IF((($A186-Simulador!$E$9)/Simulador!$G$9)&gt;1-Simulador!$B$11,Simulador!$B$10*(1-COS(PI()*(1-(($A186-Simulador!$E$9)/Simulador!$G$9))/Simulador!$B$11))/2,Simulador!$B$10)))</f>
        <v/>
      </c>
      <c r="G186" s="46">
        <f>IF(OR((($A186-Simulador!$E$10)/Simulador!$G$10)&lt;=0,(($A186-Simulador!$E$10)/Simulador!$G$10)&gt;=1),0,IF((($A186-Simulador!$E$10)/Simulador!$G$10)&lt;Simulador!$B$11,Simulador!$B$10*(1-COS(PI()*(($A186-Simulador!$E$10)/Simulador!$G$10)/Simulador!$B$11))/2,IF((($A186-Simulador!$E$10)/Simulador!$G$10)&gt;1-Simulador!$B$11,Simulador!$B$10*(1-COS(PI()*(1-(($A186-Simulador!$E$10)/Simulador!$G$10))/Simulador!$B$11))/2,Simulador!$B$10)))</f>
        <v/>
      </c>
      <c r="Q186" s="48">
        <f>IF(OR((($A186-(Simulador!$E$6+'Salto de dientes'!$B$12))/Simulador!$G$6)&lt;=0,(($A186-(Simulador!$E$6+'Salto de dientes'!$B$12))/Simulador!$G$6)&gt;=1),0,IF((($A186-(Simulador!$E$6+'Salto de dientes'!$B$12))/Simulador!$G$6)&lt;Simulador!$B$11,Simulador!$B$9*(1-COS(PI()*(($A186-(Simulador!$E$6+'Salto de dientes'!$B$12))/Simulador!$G$6)/Simulador!$B$11))/2,IF((($A186-(Simulador!$E$6+'Salto de dientes'!$B$12))/Simulador!$G$6)&gt;1-Simulador!$B$11,Simulador!$B$9*(1-COS(PI()*(1-(($A186-(Simulador!$E$6+'Salto de dientes'!$B$12))/Simulador!$G$6))/Simulador!$B$11))/2,Simulador!$B$9)))</f>
        <v/>
      </c>
      <c r="R186" s="48">
        <f>IF(OR((($A186-(Simulador!$E$9+'Salto de dientes'!$B$12))/Simulador!$G$9)&lt;=0,(($A186-(Simulador!$E$9+'Salto de dientes'!$B$12))/Simulador!$G$9)&gt;=1),0,IF((($A186-(Simulador!$E$9+'Salto de dientes'!$B$12))/Simulador!$G$9)&lt;Simulador!$B$11,Simulador!$B$10*(1-COS(PI()*(($A186-(Simulador!$E$9+'Salto de dientes'!$B$12))/Simulador!$G$9)/Simulador!$B$11))/2,IF((($A186-(Simulador!$E$9+'Salto de dientes'!$B$12))/Simulador!$G$9)&gt;1-Simulador!$B$11,Simulador!$B$10*(1-COS(PI()*(1-(($A186-(Simulador!$E$9+'Salto de dientes'!$B$12))/Simulador!$G$9))/Simulador!$B$11))/2,Simulador!$B$10)))</f>
        <v/>
      </c>
    </row>
    <row r="187">
      <c r="A187" s="26">
        <f>A186+Simulador!$B$14</f>
        <v/>
      </c>
      <c r="B187" s="46">
        <f>IF(OR((($A187-Simulador!$E$5)/Simulador!$G$5)&lt;=0,(($A187-Simulador!$E$5)/Simulador!$G$5)&gt;=1),0,IF((($A187-Simulador!$E$5)/Simulador!$G$5)&lt;Simulador!$B$11,Simulador!$B$9*(1-COS(PI()*(($A187-Simulador!$E$5)/Simulador!$G$5)/Simulador!$B$11))/2,IF((($A187-Simulador!$E$5)/Simulador!$G$5)&gt;1-Simulador!$B$11,Simulador!$B$9*(1-COS(PI()*(1-(($A187-Simulador!$E$5)/Simulador!$G$5))/Simulador!$B$11))/2,Simulador!$B$9)))</f>
        <v/>
      </c>
      <c r="C187" s="46">
        <f>IF(OR((($A187-Simulador!$E$6)/Simulador!$G$6)&lt;=0,(($A187-Simulador!$E$6)/Simulador!$G$6)&gt;=1),0,IF((($A187-Simulador!$E$6)/Simulador!$G$6)&lt;Simulador!$B$11,Simulador!$B$9*(1-COS(PI()*(($A187-Simulador!$E$6)/Simulador!$G$6)/Simulador!$B$11))/2,IF((($A187-Simulador!$E$6)/Simulador!$G$6)&gt;1-Simulador!$B$11,Simulador!$B$9*(1-COS(PI()*(1-(($A187-Simulador!$E$6)/Simulador!$G$6))/Simulador!$B$11))/2,Simulador!$B$9)))</f>
        <v/>
      </c>
      <c r="D187" s="46">
        <f>IF(OR((($A187-Simulador!$E$7)/Simulador!$G$7)&lt;=0,(($A187-Simulador!$E$7)/Simulador!$G$7)&gt;=1),0,IF((($A187-Simulador!$E$7)/Simulador!$G$7)&lt;Simulador!$B$11,Simulador!$B$9*(1-COS(PI()*(($A187-Simulador!$E$7)/Simulador!$G$7)/Simulador!$B$11))/2,IF((($A187-Simulador!$E$7)/Simulador!$G$7)&gt;1-Simulador!$B$11,Simulador!$B$9*(1-COS(PI()*(1-(($A187-Simulador!$E$7)/Simulador!$G$7))/Simulador!$B$11))/2,Simulador!$B$9)))</f>
        <v/>
      </c>
      <c r="E187" s="46">
        <f>IF(OR((($A187-Simulador!$E$8)/Simulador!$G$8)&lt;=0,(($A187-Simulador!$E$8)/Simulador!$G$8)&gt;=1),0,IF((($A187-Simulador!$E$8)/Simulador!$G$8)&lt;Simulador!$B$11,Simulador!$B$10*(1-COS(PI()*(($A187-Simulador!$E$8)/Simulador!$G$8)/Simulador!$B$11))/2,IF((($A187-Simulador!$E$8)/Simulador!$G$8)&gt;1-Simulador!$B$11,Simulador!$B$10*(1-COS(PI()*(1-(($A187-Simulador!$E$8)/Simulador!$G$8))/Simulador!$B$11))/2,Simulador!$B$10)))</f>
        <v/>
      </c>
      <c r="F187" s="46">
        <f>IF(OR((($A187-Simulador!$E$9)/Simulador!$G$9)&lt;=0,(($A187-Simulador!$E$9)/Simulador!$G$9)&gt;=1),0,IF((($A187-Simulador!$E$9)/Simulador!$G$9)&lt;Simulador!$B$11,Simulador!$B$10*(1-COS(PI()*(($A187-Simulador!$E$9)/Simulador!$G$9)/Simulador!$B$11))/2,IF((($A187-Simulador!$E$9)/Simulador!$G$9)&gt;1-Simulador!$B$11,Simulador!$B$10*(1-COS(PI()*(1-(($A187-Simulador!$E$9)/Simulador!$G$9))/Simulador!$B$11))/2,Simulador!$B$10)))</f>
        <v/>
      </c>
      <c r="G187" s="46">
        <f>IF(OR((($A187-Simulador!$E$10)/Simulador!$G$10)&lt;=0,(($A187-Simulador!$E$10)/Simulador!$G$10)&gt;=1),0,IF((($A187-Simulador!$E$10)/Simulador!$G$10)&lt;Simulador!$B$11,Simulador!$B$10*(1-COS(PI()*(($A187-Simulador!$E$10)/Simulador!$G$10)/Simulador!$B$11))/2,IF((($A187-Simulador!$E$10)/Simulador!$G$10)&gt;1-Simulador!$B$11,Simulador!$B$10*(1-COS(PI()*(1-(($A187-Simulador!$E$10)/Simulador!$G$10))/Simulador!$B$11))/2,Simulador!$B$10)))</f>
        <v/>
      </c>
      <c r="Q187" s="48">
        <f>IF(OR((($A187-(Simulador!$E$6+'Salto de dientes'!$B$12))/Simulador!$G$6)&lt;=0,(($A187-(Simulador!$E$6+'Salto de dientes'!$B$12))/Simulador!$G$6)&gt;=1),0,IF((($A187-(Simulador!$E$6+'Salto de dientes'!$B$12))/Simulador!$G$6)&lt;Simulador!$B$11,Simulador!$B$9*(1-COS(PI()*(($A187-(Simulador!$E$6+'Salto de dientes'!$B$12))/Simulador!$G$6)/Simulador!$B$11))/2,IF((($A187-(Simulador!$E$6+'Salto de dientes'!$B$12))/Simulador!$G$6)&gt;1-Simulador!$B$11,Simulador!$B$9*(1-COS(PI()*(1-(($A187-(Simulador!$E$6+'Salto de dientes'!$B$12))/Simulador!$G$6))/Simulador!$B$11))/2,Simulador!$B$9)))</f>
        <v/>
      </c>
      <c r="R187" s="48">
        <f>IF(OR((($A187-(Simulador!$E$9+'Salto de dientes'!$B$12))/Simulador!$G$9)&lt;=0,(($A187-(Simulador!$E$9+'Salto de dientes'!$B$12))/Simulador!$G$9)&gt;=1),0,IF((($A187-(Simulador!$E$9+'Salto de dientes'!$B$12))/Simulador!$G$9)&lt;Simulador!$B$11,Simulador!$B$10*(1-COS(PI()*(($A187-(Simulador!$E$9+'Salto de dientes'!$B$12))/Simulador!$G$9)/Simulador!$B$11))/2,IF((($A187-(Simulador!$E$9+'Salto de dientes'!$B$12))/Simulador!$G$9)&gt;1-Simulador!$B$11,Simulador!$B$10*(1-COS(PI()*(1-(($A187-(Simulador!$E$9+'Salto de dientes'!$B$12))/Simulador!$G$9))/Simulador!$B$11))/2,Simulador!$B$10)))</f>
        <v/>
      </c>
    </row>
    <row r="188">
      <c r="A188" s="26">
        <f>A187+Simulador!$B$14</f>
        <v/>
      </c>
      <c r="B188" s="46">
        <f>IF(OR((($A188-Simulador!$E$5)/Simulador!$G$5)&lt;=0,(($A188-Simulador!$E$5)/Simulador!$G$5)&gt;=1),0,IF((($A188-Simulador!$E$5)/Simulador!$G$5)&lt;Simulador!$B$11,Simulador!$B$9*(1-COS(PI()*(($A188-Simulador!$E$5)/Simulador!$G$5)/Simulador!$B$11))/2,IF((($A188-Simulador!$E$5)/Simulador!$G$5)&gt;1-Simulador!$B$11,Simulador!$B$9*(1-COS(PI()*(1-(($A188-Simulador!$E$5)/Simulador!$G$5))/Simulador!$B$11))/2,Simulador!$B$9)))</f>
        <v/>
      </c>
      <c r="C188" s="46">
        <f>IF(OR((($A188-Simulador!$E$6)/Simulador!$G$6)&lt;=0,(($A188-Simulador!$E$6)/Simulador!$G$6)&gt;=1),0,IF((($A188-Simulador!$E$6)/Simulador!$G$6)&lt;Simulador!$B$11,Simulador!$B$9*(1-COS(PI()*(($A188-Simulador!$E$6)/Simulador!$G$6)/Simulador!$B$11))/2,IF((($A188-Simulador!$E$6)/Simulador!$G$6)&gt;1-Simulador!$B$11,Simulador!$B$9*(1-COS(PI()*(1-(($A188-Simulador!$E$6)/Simulador!$G$6))/Simulador!$B$11))/2,Simulador!$B$9)))</f>
        <v/>
      </c>
      <c r="D188" s="46">
        <f>IF(OR((($A188-Simulador!$E$7)/Simulador!$G$7)&lt;=0,(($A188-Simulador!$E$7)/Simulador!$G$7)&gt;=1),0,IF((($A188-Simulador!$E$7)/Simulador!$G$7)&lt;Simulador!$B$11,Simulador!$B$9*(1-COS(PI()*(($A188-Simulador!$E$7)/Simulador!$G$7)/Simulador!$B$11))/2,IF((($A188-Simulador!$E$7)/Simulador!$G$7)&gt;1-Simulador!$B$11,Simulador!$B$9*(1-COS(PI()*(1-(($A188-Simulador!$E$7)/Simulador!$G$7))/Simulador!$B$11))/2,Simulador!$B$9)))</f>
        <v/>
      </c>
      <c r="E188" s="46">
        <f>IF(OR((($A188-Simulador!$E$8)/Simulador!$G$8)&lt;=0,(($A188-Simulador!$E$8)/Simulador!$G$8)&gt;=1),0,IF((($A188-Simulador!$E$8)/Simulador!$G$8)&lt;Simulador!$B$11,Simulador!$B$10*(1-COS(PI()*(($A188-Simulador!$E$8)/Simulador!$G$8)/Simulador!$B$11))/2,IF((($A188-Simulador!$E$8)/Simulador!$G$8)&gt;1-Simulador!$B$11,Simulador!$B$10*(1-COS(PI()*(1-(($A188-Simulador!$E$8)/Simulador!$G$8))/Simulador!$B$11))/2,Simulador!$B$10)))</f>
        <v/>
      </c>
      <c r="F188" s="46">
        <f>IF(OR((($A188-Simulador!$E$9)/Simulador!$G$9)&lt;=0,(($A188-Simulador!$E$9)/Simulador!$G$9)&gt;=1),0,IF((($A188-Simulador!$E$9)/Simulador!$G$9)&lt;Simulador!$B$11,Simulador!$B$10*(1-COS(PI()*(($A188-Simulador!$E$9)/Simulador!$G$9)/Simulador!$B$11))/2,IF((($A188-Simulador!$E$9)/Simulador!$G$9)&gt;1-Simulador!$B$11,Simulador!$B$10*(1-COS(PI()*(1-(($A188-Simulador!$E$9)/Simulador!$G$9))/Simulador!$B$11))/2,Simulador!$B$10)))</f>
        <v/>
      </c>
      <c r="G188" s="46">
        <f>IF(OR((($A188-Simulador!$E$10)/Simulador!$G$10)&lt;=0,(($A188-Simulador!$E$10)/Simulador!$G$10)&gt;=1),0,IF((($A188-Simulador!$E$10)/Simulador!$G$10)&lt;Simulador!$B$11,Simulador!$B$10*(1-COS(PI()*(($A188-Simulador!$E$10)/Simulador!$G$10)/Simulador!$B$11))/2,IF((($A188-Simulador!$E$10)/Simulador!$G$10)&gt;1-Simulador!$B$11,Simulador!$B$10*(1-COS(PI()*(1-(($A188-Simulador!$E$10)/Simulador!$G$10))/Simulador!$B$11))/2,Simulador!$B$10)))</f>
        <v/>
      </c>
      <c r="Q188" s="48">
        <f>IF(OR((($A188-(Simulador!$E$6+'Salto de dientes'!$B$12))/Simulador!$G$6)&lt;=0,(($A188-(Simulador!$E$6+'Salto de dientes'!$B$12))/Simulador!$G$6)&gt;=1),0,IF((($A188-(Simulador!$E$6+'Salto de dientes'!$B$12))/Simulador!$G$6)&lt;Simulador!$B$11,Simulador!$B$9*(1-COS(PI()*(($A188-(Simulador!$E$6+'Salto de dientes'!$B$12))/Simulador!$G$6)/Simulador!$B$11))/2,IF((($A188-(Simulador!$E$6+'Salto de dientes'!$B$12))/Simulador!$G$6)&gt;1-Simulador!$B$11,Simulador!$B$9*(1-COS(PI()*(1-(($A188-(Simulador!$E$6+'Salto de dientes'!$B$12))/Simulador!$G$6))/Simulador!$B$11))/2,Simulador!$B$9)))</f>
        <v/>
      </c>
      <c r="R188" s="48">
        <f>IF(OR((($A188-(Simulador!$E$9+'Salto de dientes'!$B$12))/Simulador!$G$9)&lt;=0,(($A188-(Simulador!$E$9+'Salto de dientes'!$B$12))/Simulador!$G$9)&gt;=1),0,IF((($A188-(Simulador!$E$9+'Salto de dientes'!$B$12))/Simulador!$G$9)&lt;Simulador!$B$11,Simulador!$B$10*(1-COS(PI()*(($A188-(Simulador!$E$9+'Salto de dientes'!$B$12))/Simulador!$G$9)/Simulador!$B$11))/2,IF((($A188-(Simulador!$E$9+'Salto de dientes'!$B$12))/Simulador!$G$9)&gt;1-Simulador!$B$11,Simulador!$B$10*(1-COS(PI()*(1-(($A188-(Simulador!$E$9+'Salto de dientes'!$B$12))/Simulador!$G$9))/Simulador!$B$11))/2,Simulador!$B$10)))</f>
        <v/>
      </c>
    </row>
    <row r="189">
      <c r="A189" s="26">
        <f>A188+Simulador!$B$14</f>
        <v/>
      </c>
      <c r="B189" s="46">
        <f>IF(OR((($A189-Simulador!$E$5)/Simulador!$G$5)&lt;=0,(($A189-Simulador!$E$5)/Simulador!$G$5)&gt;=1),0,IF((($A189-Simulador!$E$5)/Simulador!$G$5)&lt;Simulador!$B$11,Simulador!$B$9*(1-COS(PI()*(($A189-Simulador!$E$5)/Simulador!$G$5)/Simulador!$B$11))/2,IF((($A189-Simulador!$E$5)/Simulador!$G$5)&gt;1-Simulador!$B$11,Simulador!$B$9*(1-COS(PI()*(1-(($A189-Simulador!$E$5)/Simulador!$G$5))/Simulador!$B$11))/2,Simulador!$B$9)))</f>
        <v/>
      </c>
      <c r="C189" s="46">
        <f>IF(OR((($A189-Simulador!$E$6)/Simulador!$G$6)&lt;=0,(($A189-Simulador!$E$6)/Simulador!$G$6)&gt;=1),0,IF((($A189-Simulador!$E$6)/Simulador!$G$6)&lt;Simulador!$B$11,Simulador!$B$9*(1-COS(PI()*(($A189-Simulador!$E$6)/Simulador!$G$6)/Simulador!$B$11))/2,IF((($A189-Simulador!$E$6)/Simulador!$G$6)&gt;1-Simulador!$B$11,Simulador!$B$9*(1-COS(PI()*(1-(($A189-Simulador!$E$6)/Simulador!$G$6))/Simulador!$B$11))/2,Simulador!$B$9)))</f>
        <v/>
      </c>
      <c r="D189" s="46">
        <f>IF(OR((($A189-Simulador!$E$7)/Simulador!$G$7)&lt;=0,(($A189-Simulador!$E$7)/Simulador!$G$7)&gt;=1),0,IF((($A189-Simulador!$E$7)/Simulador!$G$7)&lt;Simulador!$B$11,Simulador!$B$9*(1-COS(PI()*(($A189-Simulador!$E$7)/Simulador!$G$7)/Simulador!$B$11))/2,IF((($A189-Simulador!$E$7)/Simulador!$G$7)&gt;1-Simulador!$B$11,Simulador!$B$9*(1-COS(PI()*(1-(($A189-Simulador!$E$7)/Simulador!$G$7))/Simulador!$B$11))/2,Simulador!$B$9)))</f>
        <v/>
      </c>
      <c r="E189" s="46">
        <f>IF(OR((($A189-Simulador!$E$8)/Simulador!$G$8)&lt;=0,(($A189-Simulador!$E$8)/Simulador!$G$8)&gt;=1),0,IF((($A189-Simulador!$E$8)/Simulador!$G$8)&lt;Simulador!$B$11,Simulador!$B$10*(1-COS(PI()*(($A189-Simulador!$E$8)/Simulador!$G$8)/Simulador!$B$11))/2,IF((($A189-Simulador!$E$8)/Simulador!$G$8)&gt;1-Simulador!$B$11,Simulador!$B$10*(1-COS(PI()*(1-(($A189-Simulador!$E$8)/Simulador!$G$8))/Simulador!$B$11))/2,Simulador!$B$10)))</f>
        <v/>
      </c>
      <c r="F189" s="46">
        <f>IF(OR((($A189-Simulador!$E$9)/Simulador!$G$9)&lt;=0,(($A189-Simulador!$E$9)/Simulador!$G$9)&gt;=1),0,IF((($A189-Simulador!$E$9)/Simulador!$G$9)&lt;Simulador!$B$11,Simulador!$B$10*(1-COS(PI()*(($A189-Simulador!$E$9)/Simulador!$G$9)/Simulador!$B$11))/2,IF((($A189-Simulador!$E$9)/Simulador!$G$9)&gt;1-Simulador!$B$11,Simulador!$B$10*(1-COS(PI()*(1-(($A189-Simulador!$E$9)/Simulador!$G$9))/Simulador!$B$11))/2,Simulador!$B$10)))</f>
        <v/>
      </c>
      <c r="G189" s="46">
        <f>IF(OR((($A189-Simulador!$E$10)/Simulador!$G$10)&lt;=0,(($A189-Simulador!$E$10)/Simulador!$G$10)&gt;=1),0,IF((($A189-Simulador!$E$10)/Simulador!$G$10)&lt;Simulador!$B$11,Simulador!$B$10*(1-COS(PI()*(($A189-Simulador!$E$10)/Simulador!$G$10)/Simulador!$B$11))/2,IF((($A189-Simulador!$E$10)/Simulador!$G$10)&gt;1-Simulador!$B$11,Simulador!$B$10*(1-COS(PI()*(1-(($A189-Simulador!$E$10)/Simulador!$G$10))/Simulador!$B$11))/2,Simulador!$B$10)))</f>
        <v/>
      </c>
      <c r="Q189" s="48">
        <f>IF(OR((($A189-(Simulador!$E$6+'Salto de dientes'!$B$12))/Simulador!$G$6)&lt;=0,(($A189-(Simulador!$E$6+'Salto de dientes'!$B$12))/Simulador!$G$6)&gt;=1),0,IF((($A189-(Simulador!$E$6+'Salto de dientes'!$B$12))/Simulador!$G$6)&lt;Simulador!$B$11,Simulador!$B$9*(1-COS(PI()*(($A189-(Simulador!$E$6+'Salto de dientes'!$B$12))/Simulador!$G$6)/Simulador!$B$11))/2,IF((($A189-(Simulador!$E$6+'Salto de dientes'!$B$12))/Simulador!$G$6)&gt;1-Simulador!$B$11,Simulador!$B$9*(1-COS(PI()*(1-(($A189-(Simulador!$E$6+'Salto de dientes'!$B$12))/Simulador!$G$6))/Simulador!$B$11))/2,Simulador!$B$9)))</f>
        <v/>
      </c>
      <c r="R189" s="48">
        <f>IF(OR((($A189-(Simulador!$E$9+'Salto de dientes'!$B$12))/Simulador!$G$9)&lt;=0,(($A189-(Simulador!$E$9+'Salto de dientes'!$B$12))/Simulador!$G$9)&gt;=1),0,IF((($A189-(Simulador!$E$9+'Salto de dientes'!$B$12))/Simulador!$G$9)&lt;Simulador!$B$11,Simulador!$B$10*(1-COS(PI()*(($A189-(Simulador!$E$9+'Salto de dientes'!$B$12))/Simulador!$G$9)/Simulador!$B$11))/2,IF((($A189-(Simulador!$E$9+'Salto de dientes'!$B$12))/Simulador!$G$9)&gt;1-Simulador!$B$11,Simulador!$B$10*(1-COS(PI()*(1-(($A189-(Simulador!$E$9+'Salto de dientes'!$B$12))/Simulador!$G$9))/Simulador!$B$11))/2,Simulador!$B$10)))</f>
        <v/>
      </c>
    </row>
    <row r="190">
      <c r="A190" s="26">
        <f>A189+Simulador!$B$14</f>
        <v/>
      </c>
      <c r="B190" s="46">
        <f>IF(OR((($A190-Simulador!$E$5)/Simulador!$G$5)&lt;=0,(($A190-Simulador!$E$5)/Simulador!$G$5)&gt;=1),0,IF((($A190-Simulador!$E$5)/Simulador!$G$5)&lt;Simulador!$B$11,Simulador!$B$9*(1-COS(PI()*(($A190-Simulador!$E$5)/Simulador!$G$5)/Simulador!$B$11))/2,IF((($A190-Simulador!$E$5)/Simulador!$G$5)&gt;1-Simulador!$B$11,Simulador!$B$9*(1-COS(PI()*(1-(($A190-Simulador!$E$5)/Simulador!$G$5))/Simulador!$B$11))/2,Simulador!$B$9)))</f>
        <v/>
      </c>
      <c r="C190" s="46">
        <f>IF(OR((($A190-Simulador!$E$6)/Simulador!$G$6)&lt;=0,(($A190-Simulador!$E$6)/Simulador!$G$6)&gt;=1),0,IF((($A190-Simulador!$E$6)/Simulador!$G$6)&lt;Simulador!$B$11,Simulador!$B$9*(1-COS(PI()*(($A190-Simulador!$E$6)/Simulador!$G$6)/Simulador!$B$11))/2,IF((($A190-Simulador!$E$6)/Simulador!$G$6)&gt;1-Simulador!$B$11,Simulador!$B$9*(1-COS(PI()*(1-(($A190-Simulador!$E$6)/Simulador!$G$6))/Simulador!$B$11))/2,Simulador!$B$9)))</f>
        <v/>
      </c>
      <c r="D190" s="46">
        <f>IF(OR((($A190-Simulador!$E$7)/Simulador!$G$7)&lt;=0,(($A190-Simulador!$E$7)/Simulador!$G$7)&gt;=1),0,IF((($A190-Simulador!$E$7)/Simulador!$G$7)&lt;Simulador!$B$11,Simulador!$B$9*(1-COS(PI()*(($A190-Simulador!$E$7)/Simulador!$G$7)/Simulador!$B$11))/2,IF((($A190-Simulador!$E$7)/Simulador!$G$7)&gt;1-Simulador!$B$11,Simulador!$B$9*(1-COS(PI()*(1-(($A190-Simulador!$E$7)/Simulador!$G$7))/Simulador!$B$11))/2,Simulador!$B$9)))</f>
        <v/>
      </c>
      <c r="E190" s="46">
        <f>IF(OR((($A190-Simulador!$E$8)/Simulador!$G$8)&lt;=0,(($A190-Simulador!$E$8)/Simulador!$G$8)&gt;=1),0,IF((($A190-Simulador!$E$8)/Simulador!$G$8)&lt;Simulador!$B$11,Simulador!$B$10*(1-COS(PI()*(($A190-Simulador!$E$8)/Simulador!$G$8)/Simulador!$B$11))/2,IF((($A190-Simulador!$E$8)/Simulador!$G$8)&gt;1-Simulador!$B$11,Simulador!$B$10*(1-COS(PI()*(1-(($A190-Simulador!$E$8)/Simulador!$G$8))/Simulador!$B$11))/2,Simulador!$B$10)))</f>
        <v/>
      </c>
      <c r="F190" s="46">
        <f>IF(OR((($A190-Simulador!$E$9)/Simulador!$G$9)&lt;=0,(($A190-Simulador!$E$9)/Simulador!$G$9)&gt;=1),0,IF((($A190-Simulador!$E$9)/Simulador!$G$9)&lt;Simulador!$B$11,Simulador!$B$10*(1-COS(PI()*(($A190-Simulador!$E$9)/Simulador!$G$9)/Simulador!$B$11))/2,IF((($A190-Simulador!$E$9)/Simulador!$G$9)&gt;1-Simulador!$B$11,Simulador!$B$10*(1-COS(PI()*(1-(($A190-Simulador!$E$9)/Simulador!$G$9))/Simulador!$B$11))/2,Simulador!$B$10)))</f>
        <v/>
      </c>
      <c r="G190" s="46">
        <f>IF(OR((($A190-Simulador!$E$10)/Simulador!$G$10)&lt;=0,(($A190-Simulador!$E$10)/Simulador!$G$10)&gt;=1),0,IF((($A190-Simulador!$E$10)/Simulador!$G$10)&lt;Simulador!$B$11,Simulador!$B$10*(1-COS(PI()*(($A190-Simulador!$E$10)/Simulador!$G$10)/Simulador!$B$11))/2,IF((($A190-Simulador!$E$10)/Simulador!$G$10)&gt;1-Simulador!$B$11,Simulador!$B$10*(1-COS(PI()*(1-(($A190-Simulador!$E$10)/Simulador!$G$10))/Simulador!$B$11))/2,Simulador!$B$10)))</f>
        <v/>
      </c>
      <c r="Q190" s="48">
        <f>IF(OR((($A190-(Simulador!$E$6+'Salto de dientes'!$B$12))/Simulador!$G$6)&lt;=0,(($A190-(Simulador!$E$6+'Salto de dientes'!$B$12))/Simulador!$G$6)&gt;=1),0,IF((($A190-(Simulador!$E$6+'Salto de dientes'!$B$12))/Simulador!$G$6)&lt;Simulador!$B$11,Simulador!$B$9*(1-COS(PI()*(($A190-(Simulador!$E$6+'Salto de dientes'!$B$12))/Simulador!$G$6)/Simulador!$B$11))/2,IF((($A190-(Simulador!$E$6+'Salto de dientes'!$B$12))/Simulador!$G$6)&gt;1-Simulador!$B$11,Simulador!$B$9*(1-COS(PI()*(1-(($A190-(Simulador!$E$6+'Salto de dientes'!$B$12))/Simulador!$G$6))/Simulador!$B$11))/2,Simulador!$B$9)))</f>
        <v/>
      </c>
      <c r="R190" s="48">
        <f>IF(OR((($A190-(Simulador!$E$9+'Salto de dientes'!$B$12))/Simulador!$G$9)&lt;=0,(($A190-(Simulador!$E$9+'Salto de dientes'!$B$12))/Simulador!$G$9)&gt;=1),0,IF((($A190-(Simulador!$E$9+'Salto de dientes'!$B$12))/Simulador!$G$9)&lt;Simulador!$B$11,Simulador!$B$10*(1-COS(PI()*(($A190-(Simulador!$E$9+'Salto de dientes'!$B$12))/Simulador!$G$9)/Simulador!$B$11))/2,IF((($A190-(Simulador!$E$9+'Salto de dientes'!$B$12))/Simulador!$G$9)&gt;1-Simulador!$B$11,Simulador!$B$10*(1-COS(PI()*(1-(($A190-(Simulador!$E$9+'Salto de dientes'!$B$12))/Simulador!$G$9))/Simulador!$B$11))/2,Simulador!$B$10)))</f>
        <v/>
      </c>
    </row>
    <row r="191">
      <c r="A191" s="26">
        <f>A190+Simulador!$B$14</f>
        <v/>
      </c>
      <c r="B191" s="46">
        <f>IF(OR((($A191-Simulador!$E$5)/Simulador!$G$5)&lt;=0,(($A191-Simulador!$E$5)/Simulador!$G$5)&gt;=1),0,IF((($A191-Simulador!$E$5)/Simulador!$G$5)&lt;Simulador!$B$11,Simulador!$B$9*(1-COS(PI()*(($A191-Simulador!$E$5)/Simulador!$G$5)/Simulador!$B$11))/2,IF((($A191-Simulador!$E$5)/Simulador!$G$5)&gt;1-Simulador!$B$11,Simulador!$B$9*(1-COS(PI()*(1-(($A191-Simulador!$E$5)/Simulador!$G$5))/Simulador!$B$11))/2,Simulador!$B$9)))</f>
        <v/>
      </c>
      <c r="C191" s="46">
        <f>IF(OR((($A191-Simulador!$E$6)/Simulador!$G$6)&lt;=0,(($A191-Simulador!$E$6)/Simulador!$G$6)&gt;=1),0,IF((($A191-Simulador!$E$6)/Simulador!$G$6)&lt;Simulador!$B$11,Simulador!$B$9*(1-COS(PI()*(($A191-Simulador!$E$6)/Simulador!$G$6)/Simulador!$B$11))/2,IF((($A191-Simulador!$E$6)/Simulador!$G$6)&gt;1-Simulador!$B$11,Simulador!$B$9*(1-COS(PI()*(1-(($A191-Simulador!$E$6)/Simulador!$G$6))/Simulador!$B$11))/2,Simulador!$B$9)))</f>
        <v/>
      </c>
      <c r="D191" s="46">
        <f>IF(OR((($A191-Simulador!$E$7)/Simulador!$G$7)&lt;=0,(($A191-Simulador!$E$7)/Simulador!$G$7)&gt;=1),0,IF((($A191-Simulador!$E$7)/Simulador!$G$7)&lt;Simulador!$B$11,Simulador!$B$9*(1-COS(PI()*(($A191-Simulador!$E$7)/Simulador!$G$7)/Simulador!$B$11))/2,IF((($A191-Simulador!$E$7)/Simulador!$G$7)&gt;1-Simulador!$B$11,Simulador!$B$9*(1-COS(PI()*(1-(($A191-Simulador!$E$7)/Simulador!$G$7))/Simulador!$B$11))/2,Simulador!$B$9)))</f>
        <v/>
      </c>
      <c r="E191" s="46">
        <f>IF(OR((($A191-Simulador!$E$8)/Simulador!$G$8)&lt;=0,(($A191-Simulador!$E$8)/Simulador!$G$8)&gt;=1),0,IF((($A191-Simulador!$E$8)/Simulador!$G$8)&lt;Simulador!$B$11,Simulador!$B$10*(1-COS(PI()*(($A191-Simulador!$E$8)/Simulador!$G$8)/Simulador!$B$11))/2,IF((($A191-Simulador!$E$8)/Simulador!$G$8)&gt;1-Simulador!$B$11,Simulador!$B$10*(1-COS(PI()*(1-(($A191-Simulador!$E$8)/Simulador!$G$8))/Simulador!$B$11))/2,Simulador!$B$10)))</f>
        <v/>
      </c>
      <c r="F191" s="46">
        <f>IF(OR((($A191-Simulador!$E$9)/Simulador!$G$9)&lt;=0,(($A191-Simulador!$E$9)/Simulador!$G$9)&gt;=1),0,IF((($A191-Simulador!$E$9)/Simulador!$G$9)&lt;Simulador!$B$11,Simulador!$B$10*(1-COS(PI()*(($A191-Simulador!$E$9)/Simulador!$G$9)/Simulador!$B$11))/2,IF((($A191-Simulador!$E$9)/Simulador!$G$9)&gt;1-Simulador!$B$11,Simulador!$B$10*(1-COS(PI()*(1-(($A191-Simulador!$E$9)/Simulador!$G$9))/Simulador!$B$11))/2,Simulador!$B$10)))</f>
        <v/>
      </c>
      <c r="G191" s="46">
        <f>IF(OR((($A191-Simulador!$E$10)/Simulador!$G$10)&lt;=0,(($A191-Simulador!$E$10)/Simulador!$G$10)&gt;=1),0,IF((($A191-Simulador!$E$10)/Simulador!$G$10)&lt;Simulador!$B$11,Simulador!$B$10*(1-COS(PI()*(($A191-Simulador!$E$10)/Simulador!$G$10)/Simulador!$B$11))/2,IF((($A191-Simulador!$E$10)/Simulador!$G$10)&gt;1-Simulador!$B$11,Simulador!$B$10*(1-COS(PI()*(1-(($A191-Simulador!$E$10)/Simulador!$G$10))/Simulador!$B$11))/2,Simulador!$B$10)))</f>
        <v/>
      </c>
      <c r="Q191" s="48">
        <f>IF(OR((($A191-(Simulador!$E$6+'Salto de dientes'!$B$12))/Simulador!$G$6)&lt;=0,(($A191-(Simulador!$E$6+'Salto de dientes'!$B$12))/Simulador!$G$6)&gt;=1),0,IF((($A191-(Simulador!$E$6+'Salto de dientes'!$B$12))/Simulador!$G$6)&lt;Simulador!$B$11,Simulador!$B$9*(1-COS(PI()*(($A191-(Simulador!$E$6+'Salto de dientes'!$B$12))/Simulador!$G$6)/Simulador!$B$11))/2,IF((($A191-(Simulador!$E$6+'Salto de dientes'!$B$12))/Simulador!$G$6)&gt;1-Simulador!$B$11,Simulador!$B$9*(1-COS(PI()*(1-(($A191-(Simulador!$E$6+'Salto de dientes'!$B$12))/Simulador!$G$6))/Simulador!$B$11))/2,Simulador!$B$9)))</f>
        <v/>
      </c>
      <c r="R191" s="48">
        <f>IF(OR((($A191-(Simulador!$E$9+'Salto de dientes'!$B$12))/Simulador!$G$9)&lt;=0,(($A191-(Simulador!$E$9+'Salto de dientes'!$B$12))/Simulador!$G$9)&gt;=1),0,IF((($A191-(Simulador!$E$9+'Salto de dientes'!$B$12))/Simulador!$G$9)&lt;Simulador!$B$11,Simulador!$B$10*(1-COS(PI()*(($A191-(Simulador!$E$9+'Salto de dientes'!$B$12))/Simulador!$G$9)/Simulador!$B$11))/2,IF((($A191-(Simulador!$E$9+'Salto de dientes'!$B$12))/Simulador!$G$9)&gt;1-Simulador!$B$11,Simulador!$B$10*(1-COS(PI()*(1-(($A191-(Simulador!$E$9+'Salto de dientes'!$B$12))/Simulador!$G$9))/Simulador!$B$11))/2,Simulador!$B$10)))</f>
        <v/>
      </c>
    </row>
    <row r="192">
      <c r="A192" s="26">
        <f>A191+Simulador!$B$14</f>
        <v/>
      </c>
      <c r="B192" s="46">
        <f>IF(OR((($A192-Simulador!$E$5)/Simulador!$G$5)&lt;=0,(($A192-Simulador!$E$5)/Simulador!$G$5)&gt;=1),0,IF((($A192-Simulador!$E$5)/Simulador!$G$5)&lt;Simulador!$B$11,Simulador!$B$9*(1-COS(PI()*(($A192-Simulador!$E$5)/Simulador!$G$5)/Simulador!$B$11))/2,IF((($A192-Simulador!$E$5)/Simulador!$G$5)&gt;1-Simulador!$B$11,Simulador!$B$9*(1-COS(PI()*(1-(($A192-Simulador!$E$5)/Simulador!$G$5))/Simulador!$B$11))/2,Simulador!$B$9)))</f>
        <v/>
      </c>
      <c r="C192" s="46">
        <f>IF(OR((($A192-Simulador!$E$6)/Simulador!$G$6)&lt;=0,(($A192-Simulador!$E$6)/Simulador!$G$6)&gt;=1),0,IF((($A192-Simulador!$E$6)/Simulador!$G$6)&lt;Simulador!$B$11,Simulador!$B$9*(1-COS(PI()*(($A192-Simulador!$E$6)/Simulador!$G$6)/Simulador!$B$11))/2,IF((($A192-Simulador!$E$6)/Simulador!$G$6)&gt;1-Simulador!$B$11,Simulador!$B$9*(1-COS(PI()*(1-(($A192-Simulador!$E$6)/Simulador!$G$6))/Simulador!$B$11))/2,Simulador!$B$9)))</f>
        <v/>
      </c>
      <c r="D192" s="46">
        <f>IF(OR((($A192-Simulador!$E$7)/Simulador!$G$7)&lt;=0,(($A192-Simulador!$E$7)/Simulador!$G$7)&gt;=1),0,IF((($A192-Simulador!$E$7)/Simulador!$G$7)&lt;Simulador!$B$11,Simulador!$B$9*(1-COS(PI()*(($A192-Simulador!$E$7)/Simulador!$G$7)/Simulador!$B$11))/2,IF((($A192-Simulador!$E$7)/Simulador!$G$7)&gt;1-Simulador!$B$11,Simulador!$B$9*(1-COS(PI()*(1-(($A192-Simulador!$E$7)/Simulador!$G$7))/Simulador!$B$11))/2,Simulador!$B$9)))</f>
        <v/>
      </c>
      <c r="E192" s="46">
        <f>IF(OR((($A192-Simulador!$E$8)/Simulador!$G$8)&lt;=0,(($A192-Simulador!$E$8)/Simulador!$G$8)&gt;=1),0,IF((($A192-Simulador!$E$8)/Simulador!$G$8)&lt;Simulador!$B$11,Simulador!$B$10*(1-COS(PI()*(($A192-Simulador!$E$8)/Simulador!$G$8)/Simulador!$B$11))/2,IF((($A192-Simulador!$E$8)/Simulador!$G$8)&gt;1-Simulador!$B$11,Simulador!$B$10*(1-COS(PI()*(1-(($A192-Simulador!$E$8)/Simulador!$G$8))/Simulador!$B$11))/2,Simulador!$B$10)))</f>
        <v/>
      </c>
      <c r="F192" s="46">
        <f>IF(OR((($A192-Simulador!$E$9)/Simulador!$G$9)&lt;=0,(($A192-Simulador!$E$9)/Simulador!$G$9)&gt;=1),0,IF((($A192-Simulador!$E$9)/Simulador!$G$9)&lt;Simulador!$B$11,Simulador!$B$10*(1-COS(PI()*(($A192-Simulador!$E$9)/Simulador!$G$9)/Simulador!$B$11))/2,IF((($A192-Simulador!$E$9)/Simulador!$G$9)&gt;1-Simulador!$B$11,Simulador!$B$10*(1-COS(PI()*(1-(($A192-Simulador!$E$9)/Simulador!$G$9))/Simulador!$B$11))/2,Simulador!$B$10)))</f>
        <v/>
      </c>
      <c r="G192" s="46">
        <f>IF(OR((($A192-Simulador!$E$10)/Simulador!$G$10)&lt;=0,(($A192-Simulador!$E$10)/Simulador!$G$10)&gt;=1),0,IF((($A192-Simulador!$E$10)/Simulador!$G$10)&lt;Simulador!$B$11,Simulador!$B$10*(1-COS(PI()*(($A192-Simulador!$E$10)/Simulador!$G$10)/Simulador!$B$11))/2,IF((($A192-Simulador!$E$10)/Simulador!$G$10)&gt;1-Simulador!$B$11,Simulador!$B$10*(1-COS(PI()*(1-(($A192-Simulador!$E$10)/Simulador!$G$10))/Simulador!$B$11))/2,Simulador!$B$10)))</f>
        <v/>
      </c>
      <c r="Q192" s="48">
        <f>IF(OR((($A192-(Simulador!$E$6+'Salto de dientes'!$B$12))/Simulador!$G$6)&lt;=0,(($A192-(Simulador!$E$6+'Salto de dientes'!$B$12))/Simulador!$G$6)&gt;=1),0,IF((($A192-(Simulador!$E$6+'Salto de dientes'!$B$12))/Simulador!$G$6)&lt;Simulador!$B$11,Simulador!$B$9*(1-COS(PI()*(($A192-(Simulador!$E$6+'Salto de dientes'!$B$12))/Simulador!$G$6)/Simulador!$B$11))/2,IF((($A192-(Simulador!$E$6+'Salto de dientes'!$B$12))/Simulador!$G$6)&gt;1-Simulador!$B$11,Simulador!$B$9*(1-COS(PI()*(1-(($A192-(Simulador!$E$6+'Salto de dientes'!$B$12))/Simulador!$G$6))/Simulador!$B$11))/2,Simulador!$B$9)))</f>
        <v/>
      </c>
      <c r="R192" s="48">
        <f>IF(OR((($A192-(Simulador!$E$9+'Salto de dientes'!$B$12))/Simulador!$G$9)&lt;=0,(($A192-(Simulador!$E$9+'Salto de dientes'!$B$12))/Simulador!$G$9)&gt;=1),0,IF((($A192-(Simulador!$E$9+'Salto de dientes'!$B$12))/Simulador!$G$9)&lt;Simulador!$B$11,Simulador!$B$10*(1-COS(PI()*(($A192-(Simulador!$E$9+'Salto de dientes'!$B$12))/Simulador!$G$9)/Simulador!$B$11))/2,IF((($A192-(Simulador!$E$9+'Salto de dientes'!$B$12))/Simulador!$G$9)&gt;1-Simulador!$B$11,Simulador!$B$10*(1-COS(PI()*(1-(($A192-(Simulador!$E$9+'Salto de dientes'!$B$12))/Simulador!$G$9))/Simulador!$B$11))/2,Simulador!$B$10)))</f>
        <v/>
      </c>
    </row>
    <row r="193">
      <c r="A193" s="26">
        <f>A192+Simulador!$B$14</f>
        <v/>
      </c>
      <c r="B193" s="46">
        <f>IF(OR((($A193-Simulador!$E$5)/Simulador!$G$5)&lt;=0,(($A193-Simulador!$E$5)/Simulador!$G$5)&gt;=1),0,IF((($A193-Simulador!$E$5)/Simulador!$G$5)&lt;Simulador!$B$11,Simulador!$B$9*(1-COS(PI()*(($A193-Simulador!$E$5)/Simulador!$G$5)/Simulador!$B$11))/2,IF((($A193-Simulador!$E$5)/Simulador!$G$5)&gt;1-Simulador!$B$11,Simulador!$B$9*(1-COS(PI()*(1-(($A193-Simulador!$E$5)/Simulador!$G$5))/Simulador!$B$11))/2,Simulador!$B$9)))</f>
        <v/>
      </c>
      <c r="C193" s="46">
        <f>IF(OR((($A193-Simulador!$E$6)/Simulador!$G$6)&lt;=0,(($A193-Simulador!$E$6)/Simulador!$G$6)&gt;=1),0,IF((($A193-Simulador!$E$6)/Simulador!$G$6)&lt;Simulador!$B$11,Simulador!$B$9*(1-COS(PI()*(($A193-Simulador!$E$6)/Simulador!$G$6)/Simulador!$B$11))/2,IF((($A193-Simulador!$E$6)/Simulador!$G$6)&gt;1-Simulador!$B$11,Simulador!$B$9*(1-COS(PI()*(1-(($A193-Simulador!$E$6)/Simulador!$G$6))/Simulador!$B$11))/2,Simulador!$B$9)))</f>
        <v/>
      </c>
      <c r="D193" s="46">
        <f>IF(OR((($A193-Simulador!$E$7)/Simulador!$G$7)&lt;=0,(($A193-Simulador!$E$7)/Simulador!$G$7)&gt;=1),0,IF((($A193-Simulador!$E$7)/Simulador!$G$7)&lt;Simulador!$B$11,Simulador!$B$9*(1-COS(PI()*(($A193-Simulador!$E$7)/Simulador!$G$7)/Simulador!$B$11))/2,IF((($A193-Simulador!$E$7)/Simulador!$G$7)&gt;1-Simulador!$B$11,Simulador!$B$9*(1-COS(PI()*(1-(($A193-Simulador!$E$7)/Simulador!$G$7))/Simulador!$B$11))/2,Simulador!$B$9)))</f>
        <v/>
      </c>
      <c r="E193" s="46">
        <f>IF(OR((($A193-Simulador!$E$8)/Simulador!$G$8)&lt;=0,(($A193-Simulador!$E$8)/Simulador!$G$8)&gt;=1),0,IF((($A193-Simulador!$E$8)/Simulador!$G$8)&lt;Simulador!$B$11,Simulador!$B$10*(1-COS(PI()*(($A193-Simulador!$E$8)/Simulador!$G$8)/Simulador!$B$11))/2,IF((($A193-Simulador!$E$8)/Simulador!$G$8)&gt;1-Simulador!$B$11,Simulador!$B$10*(1-COS(PI()*(1-(($A193-Simulador!$E$8)/Simulador!$G$8))/Simulador!$B$11))/2,Simulador!$B$10)))</f>
        <v/>
      </c>
      <c r="F193" s="46">
        <f>IF(OR((($A193-Simulador!$E$9)/Simulador!$G$9)&lt;=0,(($A193-Simulador!$E$9)/Simulador!$G$9)&gt;=1),0,IF((($A193-Simulador!$E$9)/Simulador!$G$9)&lt;Simulador!$B$11,Simulador!$B$10*(1-COS(PI()*(($A193-Simulador!$E$9)/Simulador!$G$9)/Simulador!$B$11))/2,IF((($A193-Simulador!$E$9)/Simulador!$G$9)&gt;1-Simulador!$B$11,Simulador!$B$10*(1-COS(PI()*(1-(($A193-Simulador!$E$9)/Simulador!$G$9))/Simulador!$B$11))/2,Simulador!$B$10)))</f>
        <v/>
      </c>
      <c r="G193" s="46">
        <f>IF(OR((($A193-Simulador!$E$10)/Simulador!$G$10)&lt;=0,(($A193-Simulador!$E$10)/Simulador!$G$10)&gt;=1),0,IF((($A193-Simulador!$E$10)/Simulador!$G$10)&lt;Simulador!$B$11,Simulador!$B$10*(1-COS(PI()*(($A193-Simulador!$E$10)/Simulador!$G$10)/Simulador!$B$11))/2,IF((($A193-Simulador!$E$10)/Simulador!$G$10)&gt;1-Simulador!$B$11,Simulador!$B$10*(1-COS(PI()*(1-(($A193-Simulador!$E$10)/Simulador!$G$10))/Simulador!$B$11))/2,Simulador!$B$10)))</f>
        <v/>
      </c>
      <c r="Q193" s="48">
        <f>IF(OR((($A193-(Simulador!$E$6+'Salto de dientes'!$B$12))/Simulador!$G$6)&lt;=0,(($A193-(Simulador!$E$6+'Salto de dientes'!$B$12))/Simulador!$G$6)&gt;=1),0,IF((($A193-(Simulador!$E$6+'Salto de dientes'!$B$12))/Simulador!$G$6)&lt;Simulador!$B$11,Simulador!$B$9*(1-COS(PI()*(($A193-(Simulador!$E$6+'Salto de dientes'!$B$12))/Simulador!$G$6)/Simulador!$B$11))/2,IF((($A193-(Simulador!$E$6+'Salto de dientes'!$B$12))/Simulador!$G$6)&gt;1-Simulador!$B$11,Simulador!$B$9*(1-COS(PI()*(1-(($A193-(Simulador!$E$6+'Salto de dientes'!$B$12))/Simulador!$G$6))/Simulador!$B$11))/2,Simulador!$B$9)))</f>
        <v/>
      </c>
      <c r="R193" s="48">
        <f>IF(OR((($A193-(Simulador!$E$9+'Salto de dientes'!$B$12))/Simulador!$G$9)&lt;=0,(($A193-(Simulador!$E$9+'Salto de dientes'!$B$12))/Simulador!$G$9)&gt;=1),0,IF((($A193-(Simulador!$E$9+'Salto de dientes'!$B$12))/Simulador!$G$9)&lt;Simulador!$B$11,Simulador!$B$10*(1-COS(PI()*(($A193-(Simulador!$E$9+'Salto de dientes'!$B$12))/Simulador!$G$9)/Simulador!$B$11))/2,IF((($A193-(Simulador!$E$9+'Salto de dientes'!$B$12))/Simulador!$G$9)&gt;1-Simulador!$B$11,Simulador!$B$10*(1-COS(PI()*(1-(($A193-(Simulador!$E$9+'Salto de dientes'!$B$12))/Simulador!$G$9))/Simulador!$B$11))/2,Simulador!$B$10)))</f>
        <v/>
      </c>
    </row>
    <row r="194">
      <c r="A194" s="26">
        <f>A193+Simulador!$B$14</f>
        <v/>
      </c>
      <c r="B194" s="46">
        <f>IF(OR((($A194-Simulador!$E$5)/Simulador!$G$5)&lt;=0,(($A194-Simulador!$E$5)/Simulador!$G$5)&gt;=1),0,IF((($A194-Simulador!$E$5)/Simulador!$G$5)&lt;Simulador!$B$11,Simulador!$B$9*(1-COS(PI()*(($A194-Simulador!$E$5)/Simulador!$G$5)/Simulador!$B$11))/2,IF((($A194-Simulador!$E$5)/Simulador!$G$5)&gt;1-Simulador!$B$11,Simulador!$B$9*(1-COS(PI()*(1-(($A194-Simulador!$E$5)/Simulador!$G$5))/Simulador!$B$11))/2,Simulador!$B$9)))</f>
        <v/>
      </c>
      <c r="C194" s="46">
        <f>IF(OR((($A194-Simulador!$E$6)/Simulador!$G$6)&lt;=0,(($A194-Simulador!$E$6)/Simulador!$G$6)&gt;=1),0,IF((($A194-Simulador!$E$6)/Simulador!$G$6)&lt;Simulador!$B$11,Simulador!$B$9*(1-COS(PI()*(($A194-Simulador!$E$6)/Simulador!$G$6)/Simulador!$B$11))/2,IF((($A194-Simulador!$E$6)/Simulador!$G$6)&gt;1-Simulador!$B$11,Simulador!$B$9*(1-COS(PI()*(1-(($A194-Simulador!$E$6)/Simulador!$G$6))/Simulador!$B$11))/2,Simulador!$B$9)))</f>
        <v/>
      </c>
      <c r="D194" s="46">
        <f>IF(OR((($A194-Simulador!$E$7)/Simulador!$G$7)&lt;=0,(($A194-Simulador!$E$7)/Simulador!$G$7)&gt;=1),0,IF((($A194-Simulador!$E$7)/Simulador!$G$7)&lt;Simulador!$B$11,Simulador!$B$9*(1-COS(PI()*(($A194-Simulador!$E$7)/Simulador!$G$7)/Simulador!$B$11))/2,IF((($A194-Simulador!$E$7)/Simulador!$G$7)&gt;1-Simulador!$B$11,Simulador!$B$9*(1-COS(PI()*(1-(($A194-Simulador!$E$7)/Simulador!$G$7))/Simulador!$B$11))/2,Simulador!$B$9)))</f>
        <v/>
      </c>
      <c r="E194" s="46">
        <f>IF(OR((($A194-Simulador!$E$8)/Simulador!$G$8)&lt;=0,(($A194-Simulador!$E$8)/Simulador!$G$8)&gt;=1),0,IF((($A194-Simulador!$E$8)/Simulador!$G$8)&lt;Simulador!$B$11,Simulador!$B$10*(1-COS(PI()*(($A194-Simulador!$E$8)/Simulador!$G$8)/Simulador!$B$11))/2,IF((($A194-Simulador!$E$8)/Simulador!$G$8)&gt;1-Simulador!$B$11,Simulador!$B$10*(1-COS(PI()*(1-(($A194-Simulador!$E$8)/Simulador!$G$8))/Simulador!$B$11))/2,Simulador!$B$10)))</f>
        <v/>
      </c>
      <c r="F194" s="46">
        <f>IF(OR((($A194-Simulador!$E$9)/Simulador!$G$9)&lt;=0,(($A194-Simulador!$E$9)/Simulador!$G$9)&gt;=1),0,IF((($A194-Simulador!$E$9)/Simulador!$G$9)&lt;Simulador!$B$11,Simulador!$B$10*(1-COS(PI()*(($A194-Simulador!$E$9)/Simulador!$G$9)/Simulador!$B$11))/2,IF((($A194-Simulador!$E$9)/Simulador!$G$9)&gt;1-Simulador!$B$11,Simulador!$B$10*(1-COS(PI()*(1-(($A194-Simulador!$E$9)/Simulador!$G$9))/Simulador!$B$11))/2,Simulador!$B$10)))</f>
        <v/>
      </c>
      <c r="G194" s="46">
        <f>IF(OR((($A194-Simulador!$E$10)/Simulador!$G$10)&lt;=0,(($A194-Simulador!$E$10)/Simulador!$G$10)&gt;=1),0,IF((($A194-Simulador!$E$10)/Simulador!$G$10)&lt;Simulador!$B$11,Simulador!$B$10*(1-COS(PI()*(($A194-Simulador!$E$10)/Simulador!$G$10)/Simulador!$B$11))/2,IF((($A194-Simulador!$E$10)/Simulador!$G$10)&gt;1-Simulador!$B$11,Simulador!$B$10*(1-COS(PI()*(1-(($A194-Simulador!$E$10)/Simulador!$G$10))/Simulador!$B$11))/2,Simulador!$B$10)))</f>
        <v/>
      </c>
      <c r="Q194" s="48">
        <f>IF(OR((($A194-(Simulador!$E$6+'Salto de dientes'!$B$12))/Simulador!$G$6)&lt;=0,(($A194-(Simulador!$E$6+'Salto de dientes'!$B$12))/Simulador!$G$6)&gt;=1),0,IF((($A194-(Simulador!$E$6+'Salto de dientes'!$B$12))/Simulador!$G$6)&lt;Simulador!$B$11,Simulador!$B$9*(1-COS(PI()*(($A194-(Simulador!$E$6+'Salto de dientes'!$B$12))/Simulador!$G$6)/Simulador!$B$11))/2,IF((($A194-(Simulador!$E$6+'Salto de dientes'!$B$12))/Simulador!$G$6)&gt;1-Simulador!$B$11,Simulador!$B$9*(1-COS(PI()*(1-(($A194-(Simulador!$E$6+'Salto de dientes'!$B$12))/Simulador!$G$6))/Simulador!$B$11))/2,Simulador!$B$9)))</f>
        <v/>
      </c>
      <c r="R194" s="48">
        <f>IF(OR((($A194-(Simulador!$E$9+'Salto de dientes'!$B$12))/Simulador!$G$9)&lt;=0,(($A194-(Simulador!$E$9+'Salto de dientes'!$B$12))/Simulador!$G$9)&gt;=1),0,IF((($A194-(Simulador!$E$9+'Salto de dientes'!$B$12))/Simulador!$G$9)&lt;Simulador!$B$11,Simulador!$B$10*(1-COS(PI()*(($A194-(Simulador!$E$9+'Salto de dientes'!$B$12))/Simulador!$G$9)/Simulador!$B$11))/2,IF((($A194-(Simulador!$E$9+'Salto de dientes'!$B$12))/Simulador!$G$9)&gt;1-Simulador!$B$11,Simulador!$B$10*(1-COS(PI()*(1-(($A194-(Simulador!$E$9+'Salto de dientes'!$B$12))/Simulador!$G$9))/Simulador!$B$11))/2,Simulador!$B$10)))</f>
        <v/>
      </c>
    </row>
    <row r="195">
      <c r="A195" s="26">
        <f>A194+Simulador!$B$14</f>
        <v/>
      </c>
      <c r="B195" s="46">
        <f>IF(OR((($A195-Simulador!$E$5)/Simulador!$G$5)&lt;=0,(($A195-Simulador!$E$5)/Simulador!$G$5)&gt;=1),0,IF((($A195-Simulador!$E$5)/Simulador!$G$5)&lt;Simulador!$B$11,Simulador!$B$9*(1-COS(PI()*(($A195-Simulador!$E$5)/Simulador!$G$5)/Simulador!$B$11))/2,IF((($A195-Simulador!$E$5)/Simulador!$G$5)&gt;1-Simulador!$B$11,Simulador!$B$9*(1-COS(PI()*(1-(($A195-Simulador!$E$5)/Simulador!$G$5))/Simulador!$B$11))/2,Simulador!$B$9)))</f>
        <v/>
      </c>
      <c r="C195" s="46">
        <f>IF(OR((($A195-Simulador!$E$6)/Simulador!$G$6)&lt;=0,(($A195-Simulador!$E$6)/Simulador!$G$6)&gt;=1),0,IF((($A195-Simulador!$E$6)/Simulador!$G$6)&lt;Simulador!$B$11,Simulador!$B$9*(1-COS(PI()*(($A195-Simulador!$E$6)/Simulador!$G$6)/Simulador!$B$11))/2,IF((($A195-Simulador!$E$6)/Simulador!$G$6)&gt;1-Simulador!$B$11,Simulador!$B$9*(1-COS(PI()*(1-(($A195-Simulador!$E$6)/Simulador!$G$6))/Simulador!$B$11))/2,Simulador!$B$9)))</f>
        <v/>
      </c>
      <c r="D195" s="46">
        <f>IF(OR((($A195-Simulador!$E$7)/Simulador!$G$7)&lt;=0,(($A195-Simulador!$E$7)/Simulador!$G$7)&gt;=1),0,IF((($A195-Simulador!$E$7)/Simulador!$G$7)&lt;Simulador!$B$11,Simulador!$B$9*(1-COS(PI()*(($A195-Simulador!$E$7)/Simulador!$G$7)/Simulador!$B$11))/2,IF((($A195-Simulador!$E$7)/Simulador!$G$7)&gt;1-Simulador!$B$11,Simulador!$B$9*(1-COS(PI()*(1-(($A195-Simulador!$E$7)/Simulador!$G$7))/Simulador!$B$11))/2,Simulador!$B$9)))</f>
        <v/>
      </c>
      <c r="E195" s="46">
        <f>IF(OR((($A195-Simulador!$E$8)/Simulador!$G$8)&lt;=0,(($A195-Simulador!$E$8)/Simulador!$G$8)&gt;=1),0,IF((($A195-Simulador!$E$8)/Simulador!$G$8)&lt;Simulador!$B$11,Simulador!$B$10*(1-COS(PI()*(($A195-Simulador!$E$8)/Simulador!$G$8)/Simulador!$B$11))/2,IF((($A195-Simulador!$E$8)/Simulador!$G$8)&gt;1-Simulador!$B$11,Simulador!$B$10*(1-COS(PI()*(1-(($A195-Simulador!$E$8)/Simulador!$G$8))/Simulador!$B$11))/2,Simulador!$B$10)))</f>
        <v/>
      </c>
      <c r="F195" s="46">
        <f>IF(OR((($A195-Simulador!$E$9)/Simulador!$G$9)&lt;=0,(($A195-Simulador!$E$9)/Simulador!$G$9)&gt;=1),0,IF((($A195-Simulador!$E$9)/Simulador!$G$9)&lt;Simulador!$B$11,Simulador!$B$10*(1-COS(PI()*(($A195-Simulador!$E$9)/Simulador!$G$9)/Simulador!$B$11))/2,IF((($A195-Simulador!$E$9)/Simulador!$G$9)&gt;1-Simulador!$B$11,Simulador!$B$10*(1-COS(PI()*(1-(($A195-Simulador!$E$9)/Simulador!$G$9))/Simulador!$B$11))/2,Simulador!$B$10)))</f>
        <v/>
      </c>
      <c r="G195" s="46">
        <f>IF(OR((($A195-Simulador!$E$10)/Simulador!$G$10)&lt;=0,(($A195-Simulador!$E$10)/Simulador!$G$10)&gt;=1),0,IF((($A195-Simulador!$E$10)/Simulador!$G$10)&lt;Simulador!$B$11,Simulador!$B$10*(1-COS(PI()*(($A195-Simulador!$E$10)/Simulador!$G$10)/Simulador!$B$11))/2,IF((($A195-Simulador!$E$10)/Simulador!$G$10)&gt;1-Simulador!$B$11,Simulador!$B$10*(1-COS(PI()*(1-(($A195-Simulador!$E$10)/Simulador!$G$10))/Simulador!$B$11))/2,Simulador!$B$10)))</f>
        <v/>
      </c>
      <c r="Q195" s="48">
        <f>IF(OR((($A195-(Simulador!$E$6+'Salto de dientes'!$B$12))/Simulador!$G$6)&lt;=0,(($A195-(Simulador!$E$6+'Salto de dientes'!$B$12))/Simulador!$G$6)&gt;=1),0,IF((($A195-(Simulador!$E$6+'Salto de dientes'!$B$12))/Simulador!$G$6)&lt;Simulador!$B$11,Simulador!$B$9*(1-COS(PI()*(($A195-(Simulador!$E$6+'Salto de dientes'!$B$12))/Simulador!$G$6)/Simulador!$B$11))/2,IF((($A195-(Simulador!$E$6+'Salto de dientes'!$B$12))/Simulador!$G$6)&gt;1-Simulador!$B$11,Simulador!$B$9*(1-COS(PI()*(1-(($A195-(Simulador!$E$6+'Salto de dientes'!$B$12))/Simulador!$G$6))/Simulador!$B$11))/2,Simulador!$B$9)))</f>
        <v/>
      </c>
      <c r="R195" s="48">
        <f>IF(OR((($A195-(Simulador!$E$9+'Salto de dientes'!$B$12))/Simulador!$G$9)&lt;=0,(($A195-(Simulador!$E$9+'Salto de dientes'!$B$12))/Simulador!$G$9)&gt;=1),0,IF((($A195-(Simulador!$E$9+'Salto de dientes'!$B$12))/Simulador!$G$9)&lt;Simulador!$B$11,Simulador!$B$10*(1-COS(PI()*(($A195-(Simulador!$E$9+'Salto de dientes'!$B$12))/Simulador!$G$9)/Simulador!$B$11))/2,IF((($A195-(Simulador!$E$9+'Salto de dientes'!$B$12))/Simulador!$G$9)&gt;1-Simulador!$B$11,Simulador!$B$10*(1-COS(PI()*(1-(($A195-(Simulador!$E$9+'Salto de dientes'!$B$12))/Simulador!$G$9))/Simulador!$B$11))/2,Simulador!$B$10)))</f>
        <v/>
      </c>
    </row>
    <row r="196">
      <c r="A196" s="26">
        <f>A195+Simulador!$B$14</f>
        <v/>
      </c>
      <c r="B196" s="46">
        <f>IF(OR((($A196-Simulador!$E$5)/Simulador!$G$5)&lt;=0,(($A196-Simulador!$E$5)/Simulador!$G$5)&gt;=1),0,IF((($A196-Simulador!$E$5)/Simulador!$G$5)&lt;Simulador!$B$11,Simulador!$B$9*(1-COS(PI()*(($A196-Simulador!$E$5)/Simulador!$G$5)/Simulador!$B$11))/2,IF((($A196-Simulador!$E$5)/Simulador!$G$5)&gt;1-Simulador!$B$11,Simulador!$B$9*(1-COS(PI()*(1-(($A196-Simulador!$E$5)/Simulador!$G$5))/Simulador!$B$11))/2,Simulador!$B$9)))</f>
        <v/>
      </c>
      <c r="C196" s="46">
        <f>IF(OR((($A196-Simulador!$E$6)/Simulador!$G$6)&lt;=0,(($A196-Simulador!$E$6)/Simulador!$G$6)&gt;=1),0,IF((($A196-Simulador!$E$6)/Simulador!$G$6)&lt;Simulador!$B$11,Simulador!$B$9*(1-COS(PI()*(($A196-Simulador!$E$6)/Simulador!$G$6)/Simulador!$B$11))/2,IF((($A196-Simulador!$E$6)/Simulador!$G$6)&gt;1-Simulador!$B$11,Simulador!$B$9*(1-COS(PI()*(1-(($A196-Simulador!$E$6)/Simulador!$G$6))/Simulador!$B$11))/2,Simulador!$B$9)))</f>
        <v/>
      </c>
      <c r="D196" s="46">
        <f>IF(OR((($A196-Simulador!$E$7)/Simulador!$G$7)&lt;=0,(($A196-Simulador!$E$7)/Simulador!$G$7)&gt;=1),0,IF((($A196-Simulador!$E$7)/Simulador!$G$7)&lt;Simulador!$B$11,Simulador!$B$9*(1-COS(PI()*(($A196-Simulador!$E$7)/Simulador!$G$7)/Simulador!$B$11))/2,IF((($A196-Simulador!$E$7)/Simulador!$G$7)&gt;1-Simulador!$B$11,Simulador!$B$9*(1-COS(PI()*(1-(($A196-Simulador!$E$7)/Simulador!$G$7))/Simulador!$B$11))/2,Simulador!$B$9)))</f>
        <v/>
      </c>
      <c r="E196" s="46">
        <f>IF(OR((($A196-Simulador!$E$8)/Simulador!$G$8)&lt;=0,(($A196-Simulador!$E$8)/Simulador!$G$8)&gt;=1),0,IF((($A196-Simulador!$E$8)/Simulador!$G$8)&lt;Simulador!$B$11,Simulador!$B$10*(1-COS(PI()*(($A196-Simulador!$E$8)/Simulador!$G$8)/Simulador!$B$11))/2,IF((($A196-Simulador!$E$8)/Simulador!$G$8)&gt;1-Simulador!$B$11,Simulador!$B$10*(1-COS(PI()*(1-(($A196-Simulador!$E$8)/Simulador!$G$8))/Simulador!$B$11))/2,Simulador!$B$10)))</f>
        <v/>
      </c>
      <c r="F196" s="46">
        <f>IF(OR((($A196-Simulador!$E$9)/Simulador!$G$9)&lt;=0,(($A196-Simulador!$E$9)/Simulador!$G$9)&gt;=1),0,IF((($A196-Simulador!$E$9)/Simulador!$G$9)&lt;Simulador!$B$11,Simulador!$B$10*(1-COS(PI()*(($A196-Simulador!$E$9)/Simulador!$G$9)/Simulador!$B$11))/2,IF((($A196-Simulador!$E$9)/Simulador!$G$9)&gt;1-Simulador!$B$11,Simulador!$B$10*(1-COS(PI()*(1-(($A196-Simulador!$E$9)/Simulador!$G$9))/Simulador!$B$11))/2,Simulador!$B$10)))</f>
        <v/>
      </c>
      <c r="G196" s="46">
        <f>IF(OR((($A196-Simulador!$E$10)/Simulador!$G$10)&lt;=0,(($A196-Simulador!$E$10)/Simulador!$G$10)&gt;=1),0,IF((($A196-Simulador!$E$10)/Simulador!$G$10)&lt;Simulador!$B$11,Simulador!$B$10*(1-COS(PI()*(($A196-Simulador!$E$10)/Simulador!$G$10)/Simulador!$B$11))/2,IF((($A196-Simulador!$E$10)/Simulador!$G$10)&gt;1-Simulador!$B$11,Simulador!$B$10*(1-COS(PI()*(1-(($A196-Simulador!$E$10)/Simulador!$G$10))/Simulador!$B$11))/2,Simulador!$B$10)))</f>
        <v/>
      </c>
      <c r="Q196" s="48">
        <f>IF(OR((($A196-(Simulador!$E$6+'Salto de dientes'!$B$12))/Simulador!$G$6)&lt;=0,(($A196-(Simulador!$E$6+'Salto de dientes'!$B$12))/Simulador!$G$6)&gt;=1),0,IF((($A196-(Simulador!$E$6+'Salto de dientes'!$B$12))/Simulador!$G$6)&lt;Simulador!$B$11,Simulador!$B$9*(1-COS(PI()*(($A196-(Simulador!$E$6+'Salto de dientes'!$B$12))/Simulador!$G$6)/Simulador!$B$11))/2,IF((($A196-(Simulador!$E$6+'Salto de dientes'!$B$12))/Simulador!$G$6)&gt;1-Simulador!$B$11,Simulador!$B$9*(1-COS(PI()*(1-(($A196-(Simulador!$E$6+'Salto de dientes'!$B$12))/Simulador!$G$6))/Simulador!$B$11))/2,Simulador!$B$9)))</f>
        <v/>
      </c>
      <c r="R196" s="48">
        <f>IF(OR((($A196-(Simulador!$E$9+'Salto de dientes'!$B$12))/Simulador!$G$9)&lt;=0,(($A196-(Simulador!$E$9+'Salto de dientes'!$B$12))/Simulador!$G$9)&gt;=1),0,IF((($A196-(Simulador!$E$9+'Salto de dientes'!$B$12))/Simulador!$G$9)&lt;Simulador!$B$11,Simulador!$B$10*(1-COS(PI()*(($A196-(Simulador!$E$9+'Salto de dientes'!$B$12))/Simulador!$G$9)/Simulador!$B$11))/2,IF((($A196-(Simulador!$E$9+'Salto de dientes'!$B$12))/Simulador!$G$9)&gt;1-Simulador!$B$11,Simulador!$B$10*(1-COS(PI()*(1-(($A196-(Simulador!$E$9+'Salto de dientes'!$B$12))/Simulador!$G$9))/Simulador!$B$11))/2,Simulador!$B$10)))</f>
        <v/>
      </c>
    </row>
    <row r="197">
      <c r="A197" s="26">
        <f>A196+Simulador!$B$14</f>
        <v/>
      </c>
      <c r="B197" s="46">
        <f>IF(OR((($A197-Simulador!$E$5)/Simulador!$G$5)&lt;=0,(($A197-Simulador!$E$5)/Simulador!$G$5)&gt;=1),0,IF((($A197-Simulador!$E$5)/Simulador!$G$5)&lt;Simulador!$B$11,Simulador!$B$9*(1-COS(PI()*(($A197-Simulador!$E$5)/Simulador!$G$5)/Simulador!$B$11))/2,IF((($A197-Simulador!$E$5)/Simulador!$G$5)&gt;1-Simulador!$B$11,Simulador!$B$9*(1-COS(PI()*(1-(($A197-Simulador!$E$5)/Simulador!$G$5))/Simulador!$B$11))/2,Simulador!$B$9)))</f>
        <v/>
      </c>
      <c r="C197" s="46">
        <f>IF(OR((($A197-Simulador!$E$6)/Simulador!$G$6)&lt;=0,(($A197-Simulador!$E$6)/Simulador!$G$6)&gt;=1),0,IF((($A197-Simulador!$E$6)/Simulador!$G$6)&lt;Simulador!$B$11,Simulador!$B$9*(1-COS(PI()*(($A197-Simulador!$E$6)/Simulador!$G$6)/Simulador!$B$11))/2,IF((($A197-Simulador!$E$6)/Simulador!$G$6)&gt;1-Simulador!$B$11,Simulador!$B$9*(1-COS(PI()*(1-(($A197-Simulador!$E$6)/Simulador!$G$6))/Simulador!$B$11))/2,Simulador!$B$9)))</f>
        <v/>
      </c>
      <c r="D197" s="46">
        <f>IF(OR((($A197-Simulador!$E$7)/Simulador!$G$7)&lt;=0,(($A197-Simulador!$E$7)/Simulador!$G$7)&gt;=1),0,IF((($A197-Simulador!$E$7)/Simulador!$G$7)&lt;Simulador!$B$11,Simulador!$B$9*(1-COS(PI()*(($A197-Simulador!$E$7)/Simulador!$G$7)/Simulador!$B$11))/2,IF((($A197-Simulador!$E$7)/Simulador!$G$7)&gt;1-Simulador!$B$11,Simulador!$B$9*(1-COS(PI()*(1-(($A197-Simulador!$E$7)/Simulador!$G$7))/Simulador!$B$11))/2,Simulador!$B$9)))</f>
        <v/>
      </c>
      <c r="E197" s="46">
        <f>IF(OR((($A197-Simulador!$E$8)/Simulador!$G$8)&lt;=0,(($A197-Simulador!$E$8)/Simulador!$G$8)&gt;=1),0,IF((($A197-Simulador!$E$8)/Simulador!$G$8)&lt;Simulador!$B$11,Simulador!$B$10*(1-COS(PI()*(($A197-Simulador!$E$8)/Simulador!$G$8)/Simulador!$B$11))/2,IF((($A197-Simulador!$E$8)/Simulador!$G$8)&gt;1-Simulador!$B$11,Simulador!$B$10*(1-COS(PI()*(1-(($A197-Simulador!$E$8)/Simulador!$G$8))/Simulador!$B$11))/2,Simulador!$B$10)))</f>
        <v/>
      </c>
      <c r="F197" s="46">
        <f>IF(OR((($A197-Simulador!$E$9)/Simulador!$G$9)&lt;=0,(($A197-Simulador!$E$9)/Simulador!$G$9)&gt;=1),0,IF((($A197-Simulador!$E$9)/Simulador!$G$9)&lt;Simulador!$B$11,Simulador!$B$10*(1-COS(PI()*(($A197-Simulador!$E$9)/Simulador!$G$9)/Simulador!$B$11))/2,IF((($A197-Simulador!$E$9)/Simulador!$G$9)&gt;1-Simulador!$B$11,Simulador!$B$10*(1-COS(PI()*(1-(($A197-Simulador!$E$9)/Simulador!$G$9))/Simulador!$B$11))/2,Simulador!$B$10)))</f>
        <v/>
      </c>
      <c r="G197" s="46">
        <f>IF(OR((($A197-Simulador!$E$10)/Simulador!$G$10)&lt;=0,(($A197-Simulador!$E$10)/Simulador!$G$10)&gt;=1),0,IF((($A197-Simulador!$E$10)/Simulador!$G$10)&lt;Simulador!$B$11,Simulador!$B$10*(1-COS(PI()*(($A197-Simulador!$E$10)/Simulador!$G$10)/Simulador!$B$11))/2,IF((($A197-Simulador!$E$10)/Simulador!$G$10)&gt;1-Simulador!$B$11,Simulador!$B$10*(1-COS(PI()*(1-(($A197-Simulador!$E$10)/Simulador!$G$10))/Simulador!$B$11))/2,Simulador!$B$10)))</f>
        <v/>
      </c>
      <c r="Q197" s="48">
        <f>IF(OR((($A197-(Simulador!$E$6+'Salto de dientes'!$B$12))/Simulador!$G$6)&lt;=0,(($A197-(Simulador!$E$6+'Salto de dientes'!$B$12))/Simulador!$G$6)&gt;=1),0,IF((($A197-(Simulador!$E$6+'Salto de dientes'!$B$12))/Simulador!$G$6)&lt;Simulador!$B$11,Simulador!$B$9*(1-COS(PI()*(($A197-(Simulador!$E$6+'Salto de dientes'!$B$12))/Simulador!$G$6)/Simulador!$B$11))/2,IF((($A197-(Simulador!$E$6+'Salto de dientes'!$B$12))/Simulador!$G$6)&gt;1-Simulador!$B$11,Simulador!$B$9*(1-COS(PI()*(1-(($A197-(Simulador!$E$6+'Salto de dientes'!$B$12))/Simulador!$G$6))/Simulador!$B$11))/2,Simulador!$B$9)))</f>
        <v/>
      </c>
      <c r="R197" s="48">
        <f>IF(OR((($A197-(Simulador!$E$9+'Salto de dientes'!$B$12))/Simulador!$G$9)&lt;=0,(($A197-(Simulador!$E$9+'Salto de dientes'!$B$12))/Simulador!$G$9)&gt;=1),0,IF((($A197-(Simulador!$E$9+'Salto de dientes'!$B$12))/Simulador!$G$9)&lt;Simulador!$B$11,Simulador!$B$10*(1-COS(PI()*(($A197-(Simulador!$E$9+'Salto de dientes'!$B$12))/Simulador!$G$9)/Simulador!$B$11))/2,IF((($A197-(Simulador!$E$9+'Salto de dientes'!$B$12))/Simulador!$G$9)&gt;1-Simulador!$B$11,Simulador!$B$10*(1-COS(PI()*(1-(($A197-(Simulador!$E$9+'Salto de dientes'!$B$12))/Simulador!$G$9))/Simulador!$B$11))/2,Simulador!$B$10)))</f>
        <v/>
      </c>
    </row>
    <row r="198">
      <c r="A198" s="26">
        <f>A197+Simulador!$B$14</f>
        <v/>
      </c>
      <c r="B198" s="46">
        <f>IF(OR((($A198-Simulador!$E$5)/Simulador!$G$5)&lt;=0,(($A198-Simulador!$E$5)/Simulador!$G$5)&gt;=1),0,IF((($A198-Simulador!$E$5)/Simulador!$G$5)&lt;Simulador!$B$11,Simulador!$B$9*(1-COS(PI()*(($A198-Simulador!$E$5)/Simulador!$G$5)/Simulador!$B$11))/2,IF((($A198-Simulador!$E$5)/Simulador!$G$5)&gt;1-Simulador!$B$11,Simulador!$B$9*(1-COS(PI()*(1-(($A198-Simulador!$E$5)/Simulador!$G$5))/Simulador!$B$11))/2,Simulador!$B$9)))</f>
        <v/>
      </c>
      <c r="C198" s="46">
        <f>IF(OR((($A198-Simulador!$E$6)/Simulador!$G$6)&lt;=0,(($A198-Simulador!$E$6)/Simulador!$G$6)&gt;=1),0,IF((($A198-Simulador!$E$6)/Simulador!$G$6)&lt;Simulador!$B$11,Simulador!$B$9*(1-COS(PI()*(($A198-Simulador!$E$6)/Simulador!$G$6)/Simulador!$B$11))/2,IF((($A198-Simulador!$E$6)/Simulador!$G$6)&gt;1-Simulador!$B$11,Simulador!$B$9*(1-COS(PI()*(1-(($A198-Simulador!$E$6)/Simulador!$G$6))/Simulador!$B$11))/2,Simulador!$B$9)))</f>
        <v/>
      </c>
      <c r="D198" s="46">
        <f>IF(OR((($A198-Simulador!$E$7)/Simulador!$G$7)&lt;=0,(($A198-Simulador!$E$7)/Simulador!$G$7)&gt;=1),0,IF((($A198-Simulador!$E$7)/Simulador!$G$7)&lt;Simulador!$B$11,Simulador!$B$9*(1-COS(PI()*(($A198-Simulador!$E$7)/Simulador!$G$7)/Simulador!$B$11))/2,IF((($A198-Simulador!$E$7)/Simulador!$G$7)&gt;1-Simulador!$B$11,Simulador!$B$9*(1-COS(PI()*(1-(($A198-Simulador!$E$7)/Simulador!$G$7))/Simulador!$B$11))/2,Simulador!$B$9)))</f>
        <v/>
      </c>
      <c r="E198" s="46">
        <f>IF(OR((($A198-Simulador!$E$8)/Simulador!$G$8)&lt;=0,(($A198-Simulador!$E$8)/Simulador!$G$8)&gt;=1),0,IF((($A198-Simulador!$E$8)/Simulador!$G$8)&lt;Simulador!$B$11,Simulador!$B$10*(1-COS(PI()*(($A198-Simulador!$E$8)/Simulador!$G$8)/Simulador!$B$11))/2,IF((($A198-Simulador!$E$8)/Simulador!$G$8)&gt;1-Simulador!$B$11,Simulador!$B$10*(1-COS(PI()*(1-(($A198-Simulador!$E$8)/Simulador!$G$8))/Simulador!$B$11))/2,Simulador!$B$10)))</f>
        <v/>
      </c>
      <c r="F198" s="46">
        <f>IF(OR((($A198-Simulador!$E$9)/Simulador!$G$9)&lt;=0,(($A198-Simulador!$E$9)/Simulador!$G$9)&gt;=1),0,IF((($A198-Simulador!$E$9)/Simulador!$G$9)&lt;Simulador!$B$11,Simulador!$B$10*(1-COS(PI()*(($A198-Simulador!$E$9)/Simulador!$G$9)/Simulador!$B$11))/2,IF((($A198-Simulador!$E$9)/Simulador!$G$9)&gt;1-Simulador!$B$11,Simulador!$B$10*(1-COS(PI()*(1-(($A198-Simulador!$E$9)/Simulador!$G$9))/Simulador!$B$11))/2,Simulador!$B$10)))</f>
        <v/>
      </c>
      <c r="G198" s="46">
        <f>IF(OR((($A198-Simulador!$E$10)/Simulador!$G$10)&lt;=0,(($A198-Simulador!$E$10)/Simulador!$G$10)&gt;=1),0,IF((($A198-Simulador!$E$10)/Simulador!$G$10)&lt;Simulador!$B$11,Simulador!$B$10*(1-COS(PI()*(($A198-Simulador!$E$10)/Simulador!$G$10)/Simulador!$B$11))/2,IF((($A198-Simulador!$E$10)/Simulador!$G$10)&gt;1-Simulador!$B$11,Simulador!$B$10*(1-COS(PI()*(1-(($A198-Simulador!$E$10)/Simulador!$G$10))/Simulador!$B$11))/2,Simulador!$B$10)))</f>
        <v/>
      </c>
      <c r="Q198" s="48">
        <f>IF(OR((($A198-(Simulador!$E$6+'Salto de dientes'!$B$12))/Simulador!$G$6)&lt;=0,(($A198-(Simulador!$E$6+'Salto de dientes'!$B$12))/Simulador!$G$6)&gt;=1),0,IF((($A198-(Simulador!$E$6+'Salto de dientes'!$B$12))/Simulador!$G$6)&lt;Simulador!$B$11,Simulador!$B$9*(1-COS(PI()*(($A198-(Simulador!$E$6+'Salto de dientes'!$B$12))/Simulador!$G$6)/Simulador!$B$11))/2,IF((($A198-(Simulador!$E$6+'Salto de dientes'!$B$12))/Simulador!$G$6)&gt;1-Simulador!$B$11,Simulador!$B$9*(1-COS(PI()*(1-(($A198-(Simulador!$E$6+'Salto de dientes'!$B$12))/Simulador!$G$6))/Simulador!$B$11))/2,Simulador!$B$9)))</f>
        <v/>
      </c>
      <c r="R198" s="48">
        <f>IF(OR((($A198-(Simulador!$E$9+'Salto de dientes'!$B$12))/Simulador!$G$9)&lt;=0,(($A198-(Simulador!$E$9+'Salto de dientes'!$B$12))/Simulador!$G$9)&gt;=1),0,IF((($A198-(Simulador!$E$9+'Salto de dientes'!$B$12))/Simulador!$G$9)&lt;Simulador!$B$11,Simulador!$B$10*(1-COS(PI()*(($A198-(Simulador!$E$9+'Salto de dientes'!$B$12))/Simulador!$G$9)/Simulador!$B$11))/2,IF((($A198-(Simulador!$E$9+'Salto de dientes'!$B$12))/Simulador!$G$9)&gt;1-Simulador!$B$11,Simulador!$B$10*(1-COS(PI()*(1-(($A198-(Simulador!$E$9+'Salto de dientes'!$B$12))/Simulador!$G$9))/Simulador!$B$11))/2,Simulador!$B$10)))</f>
        <v/>
      </c>
    </row>
    <row r="199">
      <c r="A199" s="26">
        <f>A198+Simulador!$B$14</f>
        <v/>
      </c>
      <c r="B199" s="46">
        <f>IF(OR((($A199-Simulador!$E$5)/Simulador!$G$5)&lt;=0,(($A199-Simulador!$E$5)/Simulador!$G$5)&gt;=1),0,IF((($A199-Simulador!$E$5)/Simulador!$G$5)&lt;Simulador!$B$11,Simulador!$B$9*(1-COS(PI()*(($A199-Simulador!$E$5)/Simulador!$G$5)/Simulador!$B$11))/2,IF((($A199-Simulador!$E$5)/Simulador!$G$5)&gt;1-Simulador!$B$11,Simulador!$B$9*(1-COS(PI()*(1-(($A199-Simulador!$E$5)/Simulador!$G$5))/Simulador!$B$11))/2,Simulador!$B$9)))</f>
        <v/>
      </c>
      <c r="C199" s="46">
        <f>IF(OR((($A199-Simulador!$E$6)/Simulador!$G$6)&lt;=0,(($A199-Simulador!$E$6)/Simulador!$G$6)&gt;=1),0,IF((($A199-Simulador!$E$6)/Simulador!$G$6)&lt;Simulador!$B$11,Simulador!$B$9*(1-COS(PI()*(($A199-Simulador!$E$6)/Simulador!$G$6)/Simulador!$B$11))/2,IF((($A199-Simulador!$E$6)/Simulador!$G$6)&gt;1-Simulador!$B$11,Simulador!$B$9*(1-COS(PI()*(1-(($A199-Simulador!$E$6)/Simulador!$G$6))/Simulador!$B$11))/2,Simulador!$B$9)))</f>
        <v/>
      </c>
      <c r="D199" s="46">
        <f>IF(OR((($A199-Simulador!$E$7)/Simulador!$G$7)&lt;=0,(($A199-Simulador!$E$7)/Simulador!$G$7)&gt;=1),0,IF((($A199-Simulador!$E$7)/Simulador!$G$7)&lt;Simulador!$B$11,Simulador!$B$9*(1-COS(PI()*(($A199-Simulador!$E$7)/Simulador!$G$7)/Simulador!$B$11))/2,IF((($A199-Simulador!$E$7)/Simulador!$G$7)&gt;1-Simulador!$B$11,Simulador!$B$9*(1-COS(PI()*(1-(($A199-Simulador!$E$7)/Simulador!$G$7))/Simulador!$B$11))/2,Simulador!$B$9)))</f>
        <v/>
      </c>
      <c r="E199" s="46">
        <f>IF(OR((($A199-Simulador!$E$8)/Simulador!$G$8)&lt;=0,(($A199-Simulador!$E$8)/Simulador!$G$8)&gt;=1),0,IF((($A199-Simulador!$E$8)/Simulador!$G$8)&lt;Simulador!$B$11,Simulador!$B$10*(1-COS(PI()*(($A199-Simulador!$E$8)/Simulador!$G$8)/Simulador!$B$11))/2,IF((($A199-Simulador!$E$8)/Simulador!$G$8)&gt;1-Simulador!$B$11,Simulador!$B$10*(1-COS(PI()*(1-(($A199-Simulador!$E$8)/Simulador!$G$8))/Simulador!$B$11))/2,Simulador!$B$10)))</f>
        <v/>
      </c>
      <c r="F199" s="46">
        <f>IF(OR((($A199-Simulador!$E$9)/Simulador!$G$9)&lt;=0,(($A199-Simulador!$E$9)/Simulador!$G$9)&gt;=1),0,IF((($A199-Simulador!$E$9)/Simulador!$G$9)&lt;Simulador!$B$11,Simulador!$B$10*(1-COS(PI()*(($A199-Simulador!$E$9)/Simulador!$G$9)/Simulador!$B$11))/2,IF((($A199-Simulador!$E$9)/Simulador!$G$9)&gt;1-Simulador!$B$11,Simulador!$B$10*(1-COS(PI()*(1-(($A199-Simulador!$E$9)/Simulador!$G$9))/Simulador!$B$11))/2,Simulador!$B$10)))</f>
        <v/>
      </c>
      <c r="G199" s="46">
        <f>IF(OR((($A199-Simulador!$E$10)/Simulador!$G$10)&lt;=0,(($A199-Simulador!$E$10)/Simulador!$G$10)&gt;=1),0,IF((($A199-Simulador!$E$10)/Simulador!$G$10)&lt;Simulador!$B$11,Simulador!$B$10*(1-COS(PI()*(($A199-Simulador!$E$10)/Simulador!$G$10)/Simulador!$B$11))/2,IF((($A199-Simulador!$E$10)/Simulador!$G$10)&gt;1-Simulador!$B$11,Simulador!$B$10*(1-COS(PI()*(1-(($A199-Simulador!$E$10)/Simulador!$G$10))/Simulador!$B$11))/2,Simulador!$B$10)))</f>
        <v/>
      </c>
      <c r="Q199" s="48">
        <f>IF(OR((($A199-(Simulador!$E$6+'Salto de dientes'!$B$12))/Simulador!$G$6)&lt;=0,(($A199-(Simulador!$E$6+'Salto de dientes'!$B$12))/Simulador!$G$6)&gt;=1),0,IF((($A199-(Simulador!$E$6+'Salto de dientes'!$B$12))/Simulador!$G$6)&lt;Simulador!$B$11,Simulador!$B$9*(1-COS(PI()*(($A199-(Simulador!$E$6+'Salto de dientes'!$B$12))/Simulador!$G$6)/Simulador!$B$11))/2,IF((($A199-(Simulador!$E$6+'Salto de dientes'!$B$12))/Simulador!$G$6)&gt;1-Simulador!$B$11,Simulador!$B$9*(1-COS(PI()*(1-(($A199-(Simulador!$E$6+'Salto de dientes'!$B$12))/Simulador!$G$6))/Simulador!$B$11))/2,Simulador!$B$9)))</f>
        <v/>
      </c>
      <c r="R199" s="48">
        <f>IF(OR((($A199-(Simulador!$E$9+'Salto de dientes'!$B$12))/Simulador!$G$9)&lt;=0,(($A199-(Simulador!$E$9+'Salto de dientes'!$B$12))/Simulador!$G$9)&gt;=1),0,IF((($A199-(Simulador!$E$9+'Salto de dientes'!$B$12))/Simulador!$G$9)&lt;Simulador!$B$11,Simulador!$B$10*(1-COS(PI()*(($A199-(Simulador!$E$9+'Salto de dientes'!$B$12))/Simulador!$G$9)/Simulador!$B$11))/2,IF((($A199-(Simulador!$E$9+'Salto de dientes'!$B$12))/Simulador!$G$9)&gt;1-Simulador!$B$11,Simulador!$B$10*(1-COS(PI()*(1-(($A199-(Simulador!$E$9+'Salto de dientes'!$B$12))/Simulador!$G$9))/Simulador!$B$11))/2,Simulador!$B$10)))</f>
        <v/>
      </c>
    </row>
    <row r="200">
      <c r="A200" s="26">
        <f>A199+Simulador!$B$14</f>
        <v/>
      </c>
      <c r="B200" s="46">
        <f>IF(OR((($A200-Simulador!$E$5)/Simulador!$G$5)&lt;=0,(($A200-Simulador!$E$5)/Simulador!$G$5)&gt;=1),0,IF((($A200-Simulador!$E$5)/Simulador!$G$5)&lt;Simulador!$B$11,Simulador!$B$9*(1-COS(PI()*(($A200-Simulador!$E$5)/Simulador!$G$5)/Simulador!$B$11))/2,IF((($A200-Simulador!$E$5)/Simulador!$G$5)&gt;1-Simulador!$B$11,Simulador!$B$9*(1-COS(PI()*(1-(($A200-Simulador!$E$5)/Simulador!$G$5))/Simulador!$B$11))/2,Simulador!$B$9)))</f>
        <v/>
      </c>
      <c r="C200" s="46">
        <f>IF(OR((($A200-Simulador!$E$6)/Simulador!$G$6)&lt;=0,(($A200-Simulador!$E$6)/Simulador!$G$6)&gt;=1),0,IF((($A200-Simulador!$E$6)/Simulador!$G$6)&lt;Simulador!$B$11,Simulador!$B$9*(1-COS(PI()*(($A200-Simulador!$E$6)/Simulador!$G$6)/Simulador!$B$11))/2,IF((($A200-Simulador!$E$6)/Simulador!$G$6)&gt;1-Simulador!$B$11,Simulador!$B$9*(1-COS(PI()*(1-(($A200-Simulador!$E$6)/Simulador!$G$6))/Simulador!$B$11))/2,Simulador!$B$9)))</f>
        <v/>
      </c>
      <c r="D200" s="46">
        <f>IF(OR((($A200-Simulador!$E$7)/Simulador!$G$7)&lt;=0,(($A200-Simulador!$E$7)/Simulador!$G$7)&gt;=1),0,IF((($A200-Simulador!$E$7)/Simulador!$G$7)&lt;Simulador!$B$11,Simulador!$B$9*(1-COS(PI()*(($A200-Simulador!$E$7)/Simulador!$G$7)/Simulador!$B$11))/2,IF((($A200-Simulador!$E$7)/Simulador!$G$7)&gt;1-Simulador!$B$11,Simulador!$B$9*(1-COS(PI()*(1-(($A200-Simulador!$E$7)/Simulador!$G$7))/Simulador!$B$11))/2,Simulador!$B$9)))</f>
        <v/>
      </c>
      <c r="E200" s="46">
        <f>IF(OR((($A200-Simulador!$E$8)/Simulador!$G$8)&lt;=0,(($A200-Simulador!$E$8)/Simulador!$G$8)&gt;=1),0,IF((($A200-Simulador!$E$8)/Simulador!$G$8)&lt;Simulador!$B$11,Simulador!$B$10*(1-COS(PI()*(($A200-Simulador!$E$8)/Simulador!$G$8)/Simulador!$B$11))/2,IF((($A200-Simulador!$E$8)/Simulador!$G$8)&gt;1-Simulador!$B$11,Simulador!$B$10*(1-COS(PI()*(1-(($A200-Simulador!$E$8)/Simulador!$G$8))/Simulador!$B$11))/2,Simulador!$B$10)))</f>
        <v/>
      </c>
      <c r="F200" s="46">
        <f>IF(OR((($A200-Simulador!$E$9)/Simulador!$G$9)&lt;=0,(($A200-Simulador!$E$9)/Simulador!$G$9)&gt;=1),0,IF((($A200-Simulador!$E$9)/Simulador!$G$9)&lt;Simulador!$B$11,Simulador!$B$10*(1-COS(PI()*(($A200-Simulador!$E$9)/Simulador!$G$9)/Simulador!$B$11))/2,IF((($A200-Simulador!$E$9)/Simulador!$G$9)&gt;1-Simulador!$B$11,Simulador!$B$10*(1-COS(PI()*(1-(($A200-Simulador!$E$9)/Simulador!$G$9))/Simulador!$B$11))/2,Simulador!$B$10)))</f>
        <v/>
      </c>
      <c r="G200" s="46">
        <f>IF(OR((($A200-Simulador!$E$10)/Simulador!$G$10)&lt;=0,(($A200-Simulador!$E$10)/Simulador!$G$10)&gt;=1),0,IF((($A200-Simulador!$E$10)/Simulador!$G$10)&lt;Simulador!$B$11,Simulador!$B$10*(1-COS(PI()*(($A200-Simulador!$E$10)/Simulador!$G$10)/Simulador!$B$11))/2,IF((($A200-Simulador!$E$10)/Simulador!$G$10)&gt;1-Simulador!$B$11,Simulador!$B$10*(1-COS(PI()*(1-(($A200-Simulador!$E$10)/Simulador!$G$10))/Simulador!$B$11))/2,Simulador!$B$10)))</f>
        <v/>
      </c>
      <c r="Q200" s="48">
        <f>IF(OR((($A200-(Simulador!$E$6+'Salto de dientes'!$B$12))/Simulador!$G$6)&lt;=0,(($A200-(Simulador!$E$6+'Salto de dientes'!$B$12))/Simulador!$G$6)&gt;=1),0,IF((($A200-(Simulador!$E$6+'Salto de dientes'!$B$12))/Simulador!$G$6)&lt;Simulador!$B$11,Simulador!$B$9*(1-COS(PI()*(($A200-(Simulador!$E$6+'Salto de dientes'!$B$12))/Simulador!$G$6)/Simulador!$B$11))/2,IF((($A200-(Simulador!$E$6+'Salto de dientes'!$B$12))/Simulador!$G$6)&gt;1-Simulador!$B$11,Simulador!$B$9*(1-COS(PI()*(1-(($A200-(Simulador!$E$6+'Salto de dientes'!$B$12))/Simulador!$G$6))/Simulador!$B$11))/2,Simulador!$B$9)))</f>
        <v/>
      </c>
      <c r="R200" s="48">
        <f>IF(OR((($A200-(Simulador!$E$9+'Salto de dientes'!$B$12))/Simulador!$G$9)&lt;=0,(($A200-(Simulador!$E$9+'Salto de dientes'!$B$12))/Simulador!$G$9)&gt;=1),0,IF((($A200-(Simulador!$E$9+'Salto de dientes'!$B$12))/Simulador!$G$9)&lt;Simulador!$B$11,Simulador!$B$10*(1-COS(PI()*(($A200-(Simulador!$E$9+'Salto de dientes'!$B$12))/Simulador!$G$9)/Simulador!$B$11))/2,IF((($A200-(Simulador!$E$9+'Salto de dientes'!$B$12))/Simulador!$G$9)&gt;1-Simulador!$B$11,Simulador!$B$10*(1-COS(PI()*(1-(($A200-(Simulador!$E$9+'Salto de dientes'!$B$12))/Simulador!$G$9))/Simulador!$B$11))/2,Simulador!$B$10)))</f>
        <v/>
      </c>
    </row>
    <row r="201">
      <c r="A201" s="26">
        <f>A200+Simulador!$B$14</f>
        <v/>
      </c>
      <c r="B201" s="46">
        <f>IF(OR((($A201-Simulador!$E$5)/Simulador!$G$5)&lt;=0,(($A201-Simulador!$E$5)/Simulador!$G$5)&gt;=1),0,IF((($A201-Simulador!$E$5)/Simulador!$G$5)&lt;Simulador!$B$11,Simulador!$B$9*(1-COS(PI()*(($A201-Simulador!$E$5)/Simulador!$G$5)/Simulador!$B$11))/2,IF((($A201-Simulador!$E$5)/Simulador!$G$5)&gt;1-Simulador!$B$11,Simulador!$B$9*(1-COS(PI()*(1-(($A201-Simulador!$E$5)/Simulador!$G$5))/Simulador!$B$11))/2,Simulador!$B$9)))</f>
        <v/>
      </c>
      <c r="C201" s="46">
        <f>IF(OR((($A201-Simulador!$E$6)/Simulador!$G$6)&lt;=0,(($A201-Simulador!$E$6)/Simulador!$G$6)&gt;=1),0,IF((($A201-Simulador!$E$6)/Simulador!$G$6)&lt;Simulador!$B$11,Simulador!$B$9*(1-COS(PI()*(($A201-Simulador!$E$6)/Simulador!$G$6)/Simulador!$B$11))/2,IF((($A201-Simulador!$E$6)/Simulador!$G$6)&gt;1-Simulador!$B$11,Simulador!$B$9*(1-COS(PI()*(1-(($A201-Simulador!$E$6)/Simulador!$G$6))/Simulador!$B$11))/2,Simulador!$B$9)))</f>
        <v/>
      </c>
      <c r="D201" s="46">
        <f>IF(OR((($A201-Simulador!$E$7)/Simulador!$G$7)&lt;=0,(($A201-Simulador!$E$7)/Simulador!$G$7)&gt;=1),0,IF((($A201-Simulador!$E$7)/Simulador!$G$7)&lt;Simulador!$B$11,Simulador!$B$9*(1-COS(PI()*(($A201-Simulador!$E$7)/Simulador!$G$7)/Simulador!$B$11))/2,IF((($A201-Simulador!$E$7)/Simulador!$G$7)&gt;1-Simulador!$B$11,Simulador!$B$9*(1-COS(PI()*(1-(($A201-Simulador!$E$7)/Simulador!$G$7))/Simulador!$B$11))/2,Simulador!$B$9)))</f>
        <v/>
      </c>
      <c r="E201" s="46">
        <f>IF(OR((($A201-Simulador!$E$8)/Simulador!$G$8)&lt;=0,(($A201-Simulador!$E$8)/Simulador!$G$8)&gt;=1),0,IF((($A201-Simulador!$E$8)/Simulador!$G$8)&lt;Simulador!$B$11,Simulador!$B$10*(1-COS(PI()*(($A201-Simulador!$E$8)/Simulador!$G$8)/Simulador!$B$11))/2,IF((($A201-Simulador!$E$8)/Simulador!$G$8)&gt;1-Simulador!$B$11,Simulador!$B$10*(1-COS(PI()*(1-(($A201-Simulador!$E$8)/Simulador!$G$8))/Simulador!$B$11))/2,Simulador!$B$10)))</f>
        <v/>
      </c>
      <c r="F201" s="46">
        <f>IF(OR((($A201-Simulador!$E$9)/Simulador!$G$9)&lt;=0,(($A201-Simulador!$E$9)/Simulador!$G$9)&gt;=1),0,IF((($A201-Simulador!$E$9)/Simulador!$G$9)&lt;Simulador!$B$11,Simulador!$B$10*(1-COS(PI()*(($A201-Simulador!$E$9)/Simulador!$G$9)/Simulador!$B$11))/2,IF((($A201-Simulador!$E$9)/Simulador!$G$9)&gt;1-Simulador!$B$11,Simulador!$B$10*(1-COS(PI()*(1-(($A201-Simulador!$E$9)/Simulador!$G$9))/Simulador!$B$11))/2,Simulador!$B$10)))</f>
        <v/>
      </c>
      <c r="G201" s="46">
        <f>IF(OR((($A201-Simulador!$E$10)/Simulador!$G$10)&lt;=0,(($A201-Simulador!$E$10)/Simulador!$G$10)&gt;=1),0,IF((($A201-Simulador!$E$10)/Simulador!$G$10)&lt;Simulador!$B$11,Simulador!$B$10*(1-COS(PI()*(($A201-Simulador!$E$10)/Simulador!$G$10)/Simulador!$B$11))/2,IF((($A201-Simulador!$E$10)/Simulador!$G$10)&gt;1-Simulador!$B$11,Simulador!$B$10*(1-COS(PI()*(1-(($A201-Simulador!$E$10)/Simulador!$G$10))/Simulador!$B$11))/2,Simulador!$B$10)))</f>
        <v/>
      </c>
      <c r="Q201" s="48">
        <f>IF(OR((($A201-(Simulador!$E$6+'Salto de dientes'!$B$12))/Simulador!$G$6)&lt;=0,(($A201-(Simulador!$E$6+'Salto de dientes'!$B$12))/Simulador!$G$6)&gt;=1),0,IF((($A201-(Simulador!$E$6+'Salto de dientes'!$B$12))/Simulador!$G$6)&lt;Simulador!$B$11,Simulador!$B$9*(1-COS(PI()*(($A201-(Simulador!$E$6+'Salto de dientes'!$B$12))/Simulador!$G$6)/Simulador!$B$11))/2,IF((($A201-(Simulador!$E$6+'Salto de dientes'!$B$12))/Simulador!$G$6)&gt;1-Simulador!$B$11,Simulador!$B$9*(1-COS(PI()*(1-(($A201-(Simulador!$E$6+'Salto de dientes'!$B$12))/Simulador!$G$6))/Simulador!$B$11))/2,Simulador!$B$9)))</f>
        <v/>
      </c>
      <c r="R201" s="48">
        <f>IF(OR((($A201-(Simulador!$E$9+'Salto de dientes'!$B$12))/Simulador!$G$9)&lt;=0,(($A201-(Simulador!$E$9+'Salto de dientes'!$B$12))/Simulador!$G$9)&gt;=1),0,IF((($A201-(Simulador!$E$9+'Salto de dientes'!$B$12))/Simulador!$G$9)&lt;Simulador!$B$11,Simulador!$B$10*(1-COS(PI()*(($A201-(Simulador!$E$9+'Salto de dientes'!$B$12))/Simulador!$G$9)/Simulador!$B$11))/2,IF((($A201-(Simulador!$E$9+'Salto de dientes'!$B$12))/Simulador!$G$9)&gt;1-Simulador!$B$11,Simulador!$B$10*(1-COS(PI()*(1-(($A201-(Simulador!$E$9+'Salto de dientes'!$B$12))/Simulador!$G$9))/Simulador!$B$11))/2,Simulador!$B$10)))</f>
        <v/>
      </c>
    </row>
    <row r="202">
      <c r="A202" s="26">
        <f>A201+Simulador!$B$14</f>
        <v/>
      </c>
      <c r="B202" s="46">
        <f>IF(OR((($A202-Simulador!$E$5)/Simulador!$G$5)&lt;=0,(($A202-Simulador!$E$5)/Simulador!$G$5)&gt;=1),0,IF((($A202-Simulador!$E$5)/Simulador!$G$5)&lt;Simulador!$B$11,Simulador!$B$9*(1-COS(PI()*(($A202-Simulador!$E$5)/Simulador!$G$5)/Simulador!$B$11))/2,IF((($A202-Simulador!$E$5)/Simulador!$G$5)&gt;1-Simulador!$B$11,Simulador!$B$9*(1-COS(PI()*(1-(($A202-Simulador!$E$5)/Simulador!$G$5))/Simulador!$B$11))/2,Simulador!$B$9)))</f>
        <v/>
      </c>
      <c r="C202" s="46">
        <f>IF(OR((($A202-Simulador!$E$6)/Simulador!$G$6)&lt;=0,(($A202-Simulador!$E$6)/Simulador!$G$6)&gt;=1),0,IF((($A202-Simulador!$E$6)/Simulador!$G$6)&lt;Simulador!$B$11,Simulador!$B$9*(1-COS(PI()*(($A202-Simulador!$E$6)/Simulador!$G$6)/Simulador!$B$11))/2,IF((($A202-Simulador!$E$6)/Simulador!$G$6)&gt;1-Simulador!$B$11,Simulador!$B$9*(1-COS(PI()*(1-(($A202-Simulador!$E$6)/Simulador!$G$6))/Simulador!$B$11))/2,Simulador!$B$9)))</f>
        <v/>
      </c>
      <c r="D202" s="46">
        <f>IF(OR((($A202-Simulador!$E$7)/Simulador!$G$7)&lt;=0,(($A202-Simulador!$E$7)/Simulador!$G$7)&gt;=1),0,IF((($A202-Simulador!$E$7)/Simulador!$G$7)&lt;Simulador!$B$11,Simulador!$B$9*(1-COS(PI()*(($A202-Simulador!$E$7)/Simulador!$G$7)/Simulador!$B$11))/2,IF((($A202-Simulador!$E$7)/Simulador!$G$7)&gt;1-Simulador!$B$11,Simulador!$B$9*(1-COS(PI()*(1-(($A202-Simulador!$E$7)/Simulador!$G$7))/Simulador!$B$11))/2,Simulador!$B$9)))</f>
        <v/>
      </c>
      <c r="E202" s="46">
        <f>IF(OR((($A202-Simulador!$E$8)/Simulador!$G$8)&lt;=0,(($A202-Simulador!$E$8)/Simulador!$G$8)&gt;=1),0,IF((($A202-Simulador!$E$8)/Simulador!$G$8)&lt;Simulador!$B$11,Simulador!$B$10*(1-COS(PI()*(($A202-Simulador!$E$8)/Simulador!$G$8)/Simulador!$B$11))/2,IF((($A202-Simulador!$E$8)/Simulador!$G$8)&gt;1-Simulador!$B$11,Simulador!$B$10*(1-COS(PI()*(1-(($A202-Simulador!$E$8)/Simulador!$G$8))/Simulador!$B$11))/2,Simulador!$B$10)))</f>
        <v/>
      </c>
      <c r="F202" s="46">
        <f>IF(OR((($A202-Simulador!$E$9)/Simulador!$G$9)&lt;=0,(($A202-Simulador!$E$9)/Simulador!$G$9)&gt;=1),0,IF((($A202-Simulador!$E$9)/Simulador!$G$9)&lt;Simulador!$B$11,Simulador!$B$10*(1-COS(PI()*(($A202-Simulador!$E$9)/Simulador!$G$9)/Simulador!$B$11))/2,IF((($A202-Simulador!$E$9)/Simulador!$G$9)&gt;1-Simulador!$B$11,Simulador!$B$10*(1-COS(PI()*(1-(($A202-Simulador!$E$9)/Simulador!$G$9))/Simulador!$B$11))/2,Simulador!$B$10)))</f>
        <v/>
      </c>
      <c r="G202" s="46">
        <f>IF(OR((($A202-Simulador!$E$10)/Simulador!$G$10)&lt;=0,(($A202-Simulador!$E$10)/Simulador!$G$10)&gt;=1),0,IF((($A202-Simulador!$E$10)/Simulador!$G$10)&lt;Simulador!$B$11,Simulador!$B$10*(1-COS(PI()*(($A202-Simulador!$E$10)/Simulador!$G$10)/Simulador!$B$11))/2,IF((($A202-Simulador!$E$10)/Simulador!$G$10)&gt;1-Simulador!$B$11,Simulador!$B$10*(1-COS(PI()*(1-(($A202-Simulador!$E$10)/Simulador!$G$10))/Simulador!$B$11))/2,Simulador!$B$10)))</f>
        <v/>
      </c>
      <c r="Q202" s="48">
        <f>IF(OR((($A202-(Simulador!$E$6+'Salto de dientes'!$B$12))/Simulador!$G$6)&lt;=0,(($A202-(Simulador!$E$6+'Salto de dientes'!$B$12))/Simulador!$G$6)&gt;=1),0,IF((($A202-(Simulador!$E$6+'Salto de dientes'!$B$12))/Simulador!$G$6)&lt;Simulador!$B$11,Simulador!$B$9*(1-COS(PI()*(($A202-(Simulador!$E$6+'Salto de dientes'!$B$12))/Simulador!$G$6)/Simulador!$B$11))/2,IF((($A202-(Simulador!$E$6+'Salto de dientes'!$B$12))/Simulador!$G$6)&gt;1-Simulador!$B$11,Simulador!$B$9*(1-COS(PI()*(1-(($A202-(Simulador!$E$6+'Salto de dientes'!$B$12))/Simulador!$G$6))/Simulador!$B$11))/2,Simulador!$B$9)))</f>
        <v/>
      </c>
      <c r="R202" s="48">
        <f>IF(OR((($A202-(Simulador!$E$9+'Salto de dientes'!$B$12))/Simulador!$G$9)&lt;=0,(($A202-(Simulador!$E$9+'Salto de dientes'!$B$12))/Simulador!$G$9)&gt;=1),0,IF((($A202-(Simulador!$E$9+'Salto de dientes'!$B$12))/Simulador!$G$9)&lt;Simulador!$B$11,Simulador!$B$10*(1-COS(PI()*(($A202-(Simulador!$E$9+'Salto de dientes'!$B$12))/Simulador!$G$9)/Simulador!$B$11))/2,IF((($A202-(Simulador!$E$9+'Salto de dientes'!$B$12))/Simulador!$G$9)&gt;1-Simulador!$B$11,Simulador!$B$10*(1-COS(PI()*(1-(($A202-(Simulador!$E$9+'Salto de dientes'!$B$12))/Simulador!$G$9))/Simulador!$B$11))/2,Simulador!$B$10)))</f>
        <v/>
      </c>
    </row>
    <row r="203">
      <c r="A203" s="26">
        <f>A202+Simulador!$B$14</f>
        <v/>
      </c>
      <c r="B203" s="46">
        <f>IF(OR((($A203-Simulador!$E$5)/Simulador!$G$5)&lt;=0,(($A203-Simulador!$E$5)/Simulador!$G$5)&gt;=1),0,IF((($A203-Simulador!$E$5)/Simulador!$G$5)&lt;Simulador!$B$11,Simulador!$B$9*(1-COS(PI()*(($A203-Simulador!$E$5)/Simulador!$G$5)/Simulador!$B$11))/2,IF((($A203-Simulador!$E$5)/Simulador!$G$5)&gt;1-Simulador!$B$11,Simulador!$B$9*(1-COS(PI()*(1-(($A203-Simulador!$E$5)/Simulador!$G$5))/Simulador!$B$11))/2,Simulador!$B$9)))</f>
        <v/>
      </c>
      <c r="C203" s="46">
        <f>IF(OR((($A203-Simulador!$E$6)/Simulador!$G$6)&lt;=0,(($A203-Simulador!$E$6)/Simulador!$G$6)&gt;=1),0,IF((($A203-Simulador!$E$6)/Simulador!$G$6)&lt;Simulador!$B$11,Simulador!$B$9*(1-COS(PI()*(($A203-Simulador!$E$6)/Simulador!$G$6)/Simulador!$B$11))/2,IF((($A203-Simulador!$E$6)/Simulador!$G$6)&gt;1-Simulador!$B$11,Simulador!$B$9*(1-COS(PI()*(1-(($A203-Simulador!$E$6)/Simulador!$G$6))/Simulador!$B$11))/2,Simulador!$B$9)))</f>
        <v/>
      </c>
      <c r="D203" s="46">
        <f>IF(OR((($A203-Simulador!$E$7)/Simulador!$G$7)&lt;=0,(($A203-Simulador!$E$7)/Simulador!$G$7)&gt;=1),0,IF((($A203-Simulador!$E$7)/Simulador!$G$7)&lt;Simulador!$B$11,Simulador!$B$9*(1-COS(PI()*(($A203-Simulador!$E$7)/Simulador!$G$7)/Simulador!$B$11))/2,IF((($A203-Simulador!$E$7)/Simulador!$G$7)&gt;1-Simulador!$B$11,Simulador!$B$9*(1-COS(PI()*(1-(($A203-Simulador!$E$7)/Simulador!$G$7))/Simulador!$B$11))/2,Simulador!$B$9)))</f>
        <v/>
      </c>
      <c r="E203" s="46">
        <f>IF(OR((($A203-Simulador!$E$8)/Simulador!$G$8)&lt;=0,(($A203-Simulador!$E$8)/Simulador!$G$8)&gt;=1),0,IF((($A203-Simulador!$E$8)/Simulador!$G$8)&lt;Simulador!$B$11,Simulador!$B$10*(1-COS(PI()*(($A203-Simulador!$E$8)/Simulador!$G$8)/Simulador!$B$11))/2,IF((($A203-Simulador!$E$8)/Simulador!$G$8)&gt;1-Simulador!$B$11,Simulador!$B$10*(1-COS(PI()*(1-(($A203-Simulador!$E$8)/Simulador!$G$8))/Simulador!$B$11))/2,Simulador!$B$10)))</f>
        <v/>
      </c>
      <c r="F203" s="46">
        <f>IF(OR((($A203-Simulador!$E$9)/Simulador!$G$9)&lt;=0,(($A203-Simulador!$E$9)/Simulador!$G$9)&gt;=1),0,IF((($A203-Simulador!$E$9)/Simulador!$G$9)&lt;Simulador!$B$11,Simulador!$B$10*(1-COS(PI()*(($A203-Simulador!$E$9)/Simulador!$G$9)/Simulador!$B$11))/2,IF((($A203-Simulador!$E$9)/Simulador!$G$9)&gt;1-Simulador!$B$11,Simulador!$B$10*(1-COS(PI()*(1-(($A203-Simulador!$E$9)/Simulador!$G$9))/Simulador!$B$11))/2,Simulador!$B$10)))</f>
        <v/>
      </c>
      <c r="G203" s="46">
        <f>IF(OR((($A203-Simulador!$E$10)/Simulador!$G$10)&lt;=0,(($A203-Simulador!$E$10)/Simulador!$G$10)&gt;=1),0,IF((($A203-Simulador!$E$10)/Simulador!$G$10)&lt;Simulador!$B$11,Simulador!$B$10*(1-COS(PI()*(($A203-Simulador!$E$10)/Simulador!$G$10)/Simulador!$B$11))/2,IF((($A203-Simulador!$E$10)/Simulador!$G$10)&gt;1-Simulador!$B$11,Simulador!$B$10*(1-COS(PI()*(1-(($A203-Simulador!$E$10)/Simulador!$G$10))/Simulador!$B$11))/2,Simulador!$B$10)))</f>
        <v/>
      </c>
      <c r="Q203" s="48">
        <f>IF(OR((($A203-(Simulador!$E$6+'Salto de dientes'!$B$12))/Simulador!$G$6)&lt;=0,(($A203-(Simulador!$E$6+'Salto de dientes'!$B$12))/Simulador!$G$6)&gt;=1),0,IF((($A203-(Simulador!$E$6+'Salto de dientes'!$B$12))/Simulador!$G$6)&lt;Simulador!$B$11,Simulador!$B$9*(1-COS(PI()*(($A203-(Simulador!$E$6+'Salto de dientes'!$B$12))/Simulador!$G$6)/Simulador!$B$11))/2,IF((($A203-(Simulador!$E$6+'Salto de dientes'!$B$12))/Simulador!$G$6)&gt;1-Simulador!$B$11,Simulador!$B$9*(1-COS(PI()*(1-(($A203-(Simulador!$E$6+'Salto de dientes'!$B$12))/Simulador!$G$6))/Simulador!$B$11))/2,Simulador!$B$9)))</f>
        <v/>
      </c>
      <c r="R203" s="48">
        <f>IF(OR((($A203-(Simulador!$E$9+'Salto de dientes'!$B$12))/Simulador!$G$9)&lt;=0,(($A203-(Simulador!$E$9+'Salto de dientes'!$B$12))/Simulador!$G$9)&gt;=1),0,IF((($A203-(Simulador!$E$9+'Salto de dientes'!$B$12))/Simulador!$G$9)&lt;Simulador!$B$11,Simulador!$B$10*(1-COS(PI()*(($A203-(Simulador!$E$9+'Salto de dientes'!$B$12))/Simulador!$G$9)/Simulador!$B$11))/2,IF((($A203-(Simulador!$E$9+'Salto de dientes'!$B$12))/Simulador!$G$9)&gt;1-Simulador!$B$11,Simulador!$B$10*(1-COS(PI()*(1-(($A203-(Simulador!$E$9+'Salto de dientes'!$B$12))/Simulador!$G$9))/Simulador!$B$11))/2,Simulador!$B$10)))</f>
        <v/>
      </c>
    </row>
    <row r="204">
      <c r="A204" s="26">
        <f>A203+Simulador!$B$14</f>
        <v/>
      </c>
      <c r="B204" s="46">
        <f>IF(OR((($A204-Simulador!$E$5)/Simulador!$G$5)&lt;=0,(($A204-Simulador!$E$5)/Simulador!$G$5)&gt;=1),0,IF((($A204-Simulador!$E$5)/Simulador!$G$5)&lt;Simulador!$B$11,Simulador!$B$9*(1-COS(PI()*(($A204-Simulador!$E$5)/Simulador!$G$5)/Simulador!$B$11))/2,IF((($A204-Simulador!$E$5)/Simulador!$G$5)&gt;1-Simulador!$B$11,Simulador!$B$9*(1-COS(PI()*(1-(($A204-Simulador!$E$5)/Simulador!$G$5))/Simulador!$B$11))/2,Simulador!$B$9)))</f>
        <v/>
      </c>
      <c r="C204" s="46">
        <f>IF(OR((($A204-Simulador!$E$6)/Simulador!$G$6)&lt;=0,(($A204-Simulador!$E$6)/Simulador!$G$6)&gt;=1),0,IF((($A204-Simulador!$E$6)/Simulador!$G$6)&lt;Simulador!$B$11,Simulador!$B$9*(1-COS(PI()*(($A204-Simulador!$E$6)/Simulador!$G$6)/Simulador!$B$11))/2,IF((($A204-Simulador!$E$6)/Simulador!$G$6)&gt;1-Simulador!$B$11,Simulador!$B$9*(1-COS(PI()*(1-(($A204-Simulador!$E$6)/Simulador!$G$6))/Simulador!$B$11))/2,Simulador!$B$9)))</f>
        <v/>
      </c>
      <c r="D204" s="46">
        <f>IF(OR((($A204-Simulador!$E$7)/Simulador!$G$7)&lt;=0,(($A204-Simulador!$E$7)/Simulador!$G$7)&gt;=1),0,IF((($A204-Simulador!$E$7)/Simulador!$G$7)&lt;Simulador!$B$11,Simulador!$B$9*(1-COS(PI()*(($A204-Simulador!$E$7)/Simulador!$G$7)/Simulador!$B$11))/2,IF((($A204-Simulador!$E$7)/Simulador!$G$7)&gt;1-Simulador!$B$11,Simulador!$B$9*(1-COS(PI()*(1-(($A204-Simulador!$E$7)/Simulador!$G$7))/Simulador!$B$11))/2,Simulador!$B$9)))</f>
        <v/>
      </c>
      <c r="E204" s="46">
        <f>IF(OR((($A204-Simulador!$E$8)/Simulador!$G$8)&lt;=0,(($A204-Simulador!$E$8)/Simulador!$G$8)&gt;=1),0,IF((($A204-Simulador!$E$8)/Simulador!$G$8)&lt;Simulador!$B$11,Simulador!$B$10*(1-COS(PI()*(($A204-Simulador!$E$8)/Simulador!$G$8)/Simulador!$B$11))/2,IF((($A204-Simulador!$E$8)/Simulador!$G$8)&gt;1-Simulador!$B$11,Simulador!$B$10*(1-COS(PI()*(1-(($A204-Simulador!$E$8)/Simulador!$G$8))/Simulador!$B$11))/2,Simulador!$B$10)))</f>
        <v/>
      </c>
      <c r="F204" s="46">
        <f>IF(OR((($A204-Simulador!$E$9)/Simulador!$G$9)&lt;=0,(($A204-Simulador!$E$9)/Simulador!$G$9)&gt;=1),0,IF((($A204-Simulador!$E$9)/Simulador!$G$9)&lt;Simulador!$B$11,Simulador!$B$10*(1-COS(PI()*(($A204-Simulador!$E$9)/Simulador!$G$9)/Simulador!$B$11))/2,IF((($A204-Simulador!$E$9)/Simulador!$G$9)&gt;1-Simulador!$B$11,Simulador!$B$10*(1-COS(PI()*(1-(($A204-Simulador!$E$9)/Simulador!$G$9))/Simulador!$B$11))/2,Simulador!$B$10)))</f>
        <v/>
      </c>
      <c r="G204" s="46">
        <f>IF(OR((($A204-Simulador!$E$10)/Simulador!$G$10)&lt;=0,(($A204-Simulador!$E$10)/Simulador!$G$10)&gt;=1),0,IF((($A204-Simulador!$E$10)/Simulador!$G$10)&lt;Simulador!$B$11,Simulador!$B$10*(1-COS(PI()*(($A204-Simulador!$E$10)/Simulador!$G$10)/Simulador!$B$11))/2,IF((($A204-Simulador!$E$10)/Simulador!$G$10)&gt;1-Simulador!$B$11,Simulador!$B$10*(1-COS(PI()*(1-(($A204-Simulador!$E$10)/Simulador!$G$10))/Simulador!$B$11))/2,Simulador!$B$10)))</f>
        <v/>
      </c>
      <c r="Q204" s="48">
        <f>IF(OR((($A204-(Simulador!$E$6+'Salto de dientes'!$B$12))/Simulador!$G$6)&lt;=0,(($A204-(Simulador!$E$6+'Salto de dientes'!$B$12))/Simulador!$G$6)&gt;=1),0,IF((($A204-(Simulador!$E$6+'Salto de dientes'!$B$12))/Simulador!$G$6)&lt;Simulador!$B$11,Simulador!$B$9*(1-COS(PI()*(($A204-(Simulador!$E$6+'Salto de dientes'!$B$12))/Simulador!$G$6)/Simulador!$B$11))/2,IF((($A204-(Simulador!$E$6+'Salto de dientes'!$B$12))/Simulador!$G$6)&gt;1-Simulador!$B$11,Simulador!$B$9*(1-COS(PI()*(1-(($A204-(Simulador!$E$6+'Salto de dientes'!$B$12))/Simulador!$G$6))/Simulador!$B$11))/2,Simulador!$B$9)))</f>
        <v/>
      </c>
      <c r="R204" s="48">
        <f>IF(OR((($A204-(Simulador!$E$9+'Salto de dientes'!$B$12))/Simulador!$G$9)&lt;=0,(($A204-(Simulador!$E$9+'Salto de dientes'!$B$12))/Simulador!$G$9)&gt;=1),0,IF((($A204-(Simulador!$E$9+'Salto de dientes'!$B$12))/Simulador!$G$9)&lt;Simulador!$B$11,Simulador!$B$10*(1-COS(PI()*(($A204-(Simulador!$E$9+'Salto de dientes'!$B$12))/Simulador!$G$9)/Simulador!$B$11))/2,IF((($A204-(Simulador!$E$9+'Salto de dientes'!$B$12))/Simulador!$G$9)&gt;1-Simulador!$B$11,Simulador!$B$10*(1-COS(PI()*(1-(($A204-(Simulador!$E$9+'Salto de dientes'!$B$12))/Simulador!$G$9))/Simulador!$B$11))/2,Simulador!$B$10)))</f>
        <v/>
      </c>
    </row>
    <row r="205">
      <c r="A205" s="26">
        <f>A204+Simulador!$B$14</f>
        <v/>
      </c>
      <c r="B205" s="46">
        <f>IF(OR((($A205-Simulador!$E$5)/Simulador!$G$5)&lt;=0,(($A205-Simulador!$E$5)/Simulador!$G$5)&gt;=1),0,IF((($A205-Simulador!$E$5)/Simulador!$G$5)&lt;Simulador!$B$11,Simulador!$B$9*(1-COS(PI()*(($A205-Simulador!$E$5)/Simulador!$G$5)/Simulador!$B$11))/2,IF((($A205-Simulador!$E$5)/Simulador!$G$5)&gt;1-Simulador!$B$11,Simulador!$B$9*(1-COS(PI()*(1-(($A205-Simulador!$E$5)/Simulador!$G$5))/Simulador!$B$11))/2,Simulador!$B$9)))</f>
        <v/>
      </c>
      <c r="C205" s="46">
        <f>IF(OR((($A205-Simulador!$E$6)/Simulador!$G$6)&lt;=0,(($A205-Simulador!$E$6)/Simulador!$G$6)&gt;=1),0,IF((($A205-Simulador!$E$6)/Simulador!$G$6)&lt;Simulador!$B$11,Simulador!$B$9*(1-COS(PI()*(($A205-Simulador!$E$6)/Simulador!$G$6)/Simulador!$B$11))/2,IF((($A205-Simulador!$E$6)/Simulador!$G$6)&gt;1-Simulador!$B$11,Simulador!$B$9*(1-COS(PI()*(1-(($A205-Simulador!$E$6)/Simulador!$G$6))/Simulador!$B$11))/2,Simulador!$B$9)))</f>
        <v/>
      </c>
      <c r="D205" s="46">
        <f>IF(OR((($A205-Simulador!$E$7)/Simulador!$G$7)&lt;=0,(($A205-Simulador!$E$7)/Simulador!$G$7)&gt;=1),0,IF((($A205-Simulador!$E$7)/Simulador!$G$7)&lt;Simulador!$B$11,Simulador!$B$9*(1-COS(PI()*(($A205-Simulador!$E$7)/Simulador!$G$7)/Simulador!$B$11))/2,IF((($A205-Simulador!$E$7)/Simulador!$G$7)&gt;1-Simulador!$B$11,Simulador!$B$9*(1-COS(PI()*(1-(($A205-Simulador!$E$7)/Simulador!$G$7))/Simulador!$B$11))/2,Simulador!$B$9)))</f>
        <v/>
      </c>
      <c r="E205" s="46">
        <f>IF(OR((($A205-Simulador!$E$8)/Simulador!$G$8)&lt;=0,(($A205-Simulador!$E$8)/Simulador!$G$8)&gt;=1),0,IF((($A205-Simulador!$E$8)/Simulador!$G$8)&lt;Simulador!$B$11,Simulador!$B$10*(1-COS(PI()*(($A205-Simulador!$E$8)/Simulador!$G$8)/Simulador!$B$11))/2,IF((($A205-Simulador!$E$8)/Simulador!$G$8)&gt;1-Simulador!$B$11,Simulador!$B$10*(1-COS(PI()*(1-(($A205-Simulador!$E$8)/Simulador!$G$8))/Simulador!$B$11))/2,Simulador!$B$10)))</f>
        <v/>
      </c>
      <c r="F205" s="46">
        <f>IF(OR((($A205-Simulador!$E$9)/Simulador!$G$9)&lt;=0,(($A205-Simulador!$E$9)/Simulador!$G$9)&gt;=1),0,IF((($A205-Simulador!$E$9)/Simulador!$G$9)&lt;Simulador!$B$11,Simulador!$B$10*(1-COS(PI()*(($A205-Simulador!$E$9)/Simulador!$G$9)/Simulador!$B$11))/2,IF((($A205-Simulador!$E$9)/Simulador!$G$9)&gt;1-Simulador!$B$11,Simulador!$B$10*(1-COS(PI()*(1-(($A205-Simulador!$E$9)/Simulador!$G$9))/Simulador!$B$11))/2,Simulador!$B$10)))</f>
        <v/>
      </c>
      <c r="G205" s="46">
        <f>IF(OR((($A205-Simulador!$E$10)/Simulador!$G$10)&lt;=0,(($A205-Simulador!$E$10)/Simulador!$G$10)&gt;=1),0,IF((($A205-Simulador!$E$10)/Simulador!$G$10)&lt;Simulador!$B$11,Simulador!$B$10*(1-COS(PI()*(($A205-Simulador!$E$10)/Simulador!$G$10)/Simulador!$B$11))/2,IF((($A205-Simulador!$E$10)/Simulador!$G$10)&gt;1-Simulador!$B$11,Simulador!$B$10*(1-COS(PI()*(1-(($A205-Simulador!$E$10)/Simulador!$G$10))/Simulador!$B$11))/2,Simulador!$B$10)))</f>
        <v/>
      </c>
      <c r="Q205" s="48">
        <f>IF(OR((($A205-(Simulador!$E$6+'Salto de dientes'!$B$12))/Simulador!$G$6)&lt;=0,(($A205-(Simulador!$E$6+'Salto de dientes'!$B$12))/Simulador!$G$6)&gt;=1),0,IF((($A205-(Simulador!$E$6+'Salto de dientes'!$B$12))/Simulador!$G$6)&lt;Simulador!$B$11,Simulador!$B$9*(1-COS(PI()*(($A205-(Simulador!$E$6+'Salto de dientes'!$B$12))/Simulador!$G$6)/Simulador!$B$11))/2,IF((($A205-(Simulador!$E$6+'Salto de dientes'!$B$12))/Simulador!$G$6)&gt;1-Simulador!$B$11,Simulador!$B$9*(1-COS(PI()*(1-(($A205-(Simulador!$E$6+'Salto de dientes'!$B$12))/Simulador!$G$6))/Simulador!$B$11))/2,Simulador!$B$9)))</f>
        <v/>
      </c>
      <c r="R205" s="48">
        <f>IF(OR((($A205-(Simulador!$E$9+'Salto de dientes'!$B$12))/Simulador!$G$9)&lt;=0,(($A205-(Simulador!$E$9+'Salto de dientes'!$B$12))/Simulador!$G$9)&gt;=1),0,IF((($A205-(Simulador!$E$9+'Salto de dientes'!$B$12))/Simulador!$G$9)&lt;Simulador!$B$11,Simulador!$B$10*(1-COS(PI()*(($A205-(Simulador!$E$9+'Salto de dientes'!$B$12))/Simulador!$G$9)/Simulador!$B$11))/2,IF((($A205-(Simulador!$E$9+'Salto de dientes'!$B$12))/Simulador!$G$9)&gt;1-Simulador!$B$11,Simulador!$B$10*(1-COS(PI()*(1-(($A205-(Simulador!$E$9+'Salto de dientes'!$B$12))/Simulador!$G$9))/Simulador!$B$11))/2,Simulador!$B$10)))</f>
        <v/>
      </c>
    </row>
    <row r="206">
      <c r="A206" s="26">
        <f>A205+Simulador!$B$14</f>
        <v/>
      </c>
      <c r="B206" s="46">
        <f>IF(OR((($A206-Simulador!$E$5)/Simulador!$G$5)&lt;=0,(($A206-Simulador!$E$5)/Simulador!$G$5)&gt;=1),0,IF((($A206-Simulador!$E$5)/Simulador!$G$5)&lt;Simulador!$B$11,Simulador!$B$9*(1-COS(PI()*(($A206-Simulador!$E$5)/Simulador!$G$5)/Simulador!$B$11))/2,IF((($A206-Simulador!$E$5)/Simulador!$G$5)&gt;1-Simulador!$B$11,Simulador!$B$9*(1-COS(PI()*(1-(($A206-Simulador!$E$5)/Simulador!$G$5))/Simulador!$B$11))/2,Simulador!$B$9)))</f>
        <v/>
      </c>
      <c r="C206" s="46">
        <f>IF(OR((($A206-Simulador!$E$6)/Simulador!$G$6)&lt;=0,(($A206-Simulador!$E$6)/Simulador!$G$6)&gt;=1),0,IF((($A206-Simulador!$E$6)/Simulador!$G$6)&lt;Simulador!$B$11,Simulador!$B$9*(1-COS(PI()*(($A206-Simulador!$E$6)/Simulador!$G$6)/Simulador!$B$11))/2,IF((($A206-Simulador!$E$6)/Simulador!$G$6)&gt;1-Simulador!$B$11,Simulador!$B$9*(1-COS(PI()*(1-(($A206-Simulador!$E$6)/Simulador!$G$6))/Simulador!$B$11))/2,Simulador!$B$9)))</f>
        <v/>
      </c>
      <c r="D206" s="46">
        <f>IF(OR((($A206-Simulador!$E$7)/Simulador!$G$7)&lt;=0,(($A206-Simulador!$E$7)/Simulador!$G$7)&gt;=1),0,IF((($A206-Simulador!$E$7)/Simulador!$G$7)&lt;Simulador!$B$11,Simulador!$B$9*(1-COS(PI()*(($A206-Simulador!$E$7)/Simulador!$G$7)/Simulador!$B$11))/2,IF((($A206-Simulador!$E$7)/Simulador!$G$7)&gt;1-Simulador!$B$11,Simulador!$B$9*(1-COS(PI()*(1-(($A206-Simulador!$E$7)/Simulador!$G$7))/Simulador!$B$11))/2,Simulador!$B$9)))</f>
        <v/>
      </c>
      <c r="E206" s="46">
        <f>IF(OR((($A206-Simulador!$E$8)/Simulador!$G$8)&lt;=0,(($A206-Simulador!$E$8)/Simulador!$G$8)&gt;=1),0,IF((($A206-Simulador!$E$8)/Simulador!$G$8)&lt;Simulador!$B$11,Simulador!$B$10*(1-COS(PI()*(($A206-Simulador!$E$8)/Simulador!$G$8)/Simulador!$B$11))/2,IF((($A206-Simulador!$E$8)/Simulador!$G$8)&gt;1-Simulador!$B$11,Simulador!$B$10*(1-COS(PI()*(1-(($A206-Simulador!$E$8)/Simulador!$G$8))/Simulador!$B$11))/2,Simulador!$B$10)))</f>
        <v/>
      </c>
      <c r="F206" s="46">
        <f>IF(OR((($A206-Simulador!$E$9)/Simulador!$G$9)&lt;=0,(($A206-Simulador!$E$9)/Simulador!$G$9)&gt;=1),0,IF((($A206-Simulador!$E$9)/Simulador!$G$9)&lt;Simulador!$B$11,Simulador!$B$10*(1-COS(PI()*(($A206-Simulador!$E$9)/Simulador!$G$9)/Simulador!$B$11))/2,IF((($A206-Simulador!$E$9)/Simulador!$G$9)&gt;1-Simulador!$B$11,Simulador!$B$10*(1-COS(PI()*(1-(($A206-Simulador!$E$9)/Simulador!$G$9))/Simulador!$B$11))/2,Simulador!$B$10)))</f>
        <v/>
      </c>
      <c r="G206" s="46">
        <f>IF(OR((($A206-Simulador!$E$10)/Simulador!$G$10)&lt;=0,(($A206-Simulador!$E$10)/Simulador!$G$10)&gt;=1),0,IF((($A206-Simulador!$E$10)/Simulador!$G$10)&lt;Simulador!$B$11,Simulador!$B$10*(1-COS(PI()*(($A206-Simulador!$E$10)/Simulador!$G$10)/Simulador!$B$11))/2,IF((($A206-Simulador!$E$10)/Simulador!$G$10)&gt;1-Simulador!$B$11,Simulador!$B$10*(1-COS(PI()*(1-(($A206-Simulador!$E$10)/Simulador!$G$10))/Simulador!$B$11))/2,Simulador!$B$10)))</f>
        <v/>
      </c>
      <c r="Q206" s="48">
        <f>IF(OR((($A206-(Simulador!$E$6+'Salto de dientes'!$B$12))/Simulador!$G$6)&lt;=0,(($A206-(Simulador!$E$6+'Salto de dientes'!$B$12))/Simulador!$G$6)&gt;=1),0,IF((($A206-(Simulador!$E$6+'Salto de dientes'!$B$12))/Simulador!$G$6)&lt;Simulador!$B$11,Simulador!$B$9*(1-COS(PI()*(($A206-(Simulador!$E$6+'Salto de dientes'!$B$12))/Simulador!$G$6)/Simulador!$B$11))/2,IF((($A206-(Simulador!$E$6+'Salto de dientes'!$B$12))/Simulador!$G$6)&gt;1-Simulador!$B$11,Simulador!$B$9*(1-COS(PI()*(1-(($A206-(Simulador!$E$6+'Salto de dientes'!$B$12))/Simulador!$G$6))/Simulador!$B$11))/2,Simulador!$B$9)))</f>
        <v/>
      </c>
      <c r="R206" s="48">
        <f>IF(OR((($A206-(Simulador!$E$9+'Salto de dientes'!$B$12))/Simulador!$G$9)&lt;=0,(($A206-(Simulador!$E$9+'Salto de dientes'!$B$12))/Simulador!$G$9)&gt;=1),0,IF((($A206-(Simulador!$E$9+'Salto de dientes'!$B$12))/Simulador!$G$9)&lt;Simulador!$B$11,Simulador!$B$10*(1-COS(PI()*(($A206-(Simulador!$E$9+'Salto de dientes'!$B$12))/Simulador!$G$9)/Simulador!$B$11))/2,IF((($A206-(Simulador!$E$9+'Salto de dientes'!$B$12))/Simulador!$G$9)&gt;1-Simulador!$B$11,Simulador!$B$10*(1-COS(PI()*(1-(($A206-(Simulador!$E$9+'Salto de dientes'!$B$12))/Simulador!$G$9))/Simulador!$B$11))/2,Simulador!$B$10)))</f>
        <v/>
      </c>
    </row>
    <row r="207">
      <c r="A207" s="26">
        <f>A206+Simulador!$B$14</f>
        <v/>
      </c>
      <c r="B207" s="46">
        <f>IF(OR((($A207-Simulador!$E$5)/Simulador!$G$5)&lt;=0,(($A207-Simulador!$E$5)/Simulador!$G$5)&gt;=1),0,IF((($A207-Simulador!$E$5)/Simulador!$G$5)&lt;Simulador!$B$11,Simulador!$B$9*(1-COS(PI()*(($A207-Simulador!$E$5)/Simulador!$G$5)/Simulador!$B$11))/2,IF((($A207-Simulador!$E$5)/Simulador!$G$5)&gt;1-Simulador!$B$11,Simulador!$B$9*(1-COS(PI()*(1-(($A207-Simulador!$E$5)/Simulador!$G$5))/Simulador!$B$11))/2,Simulador!$B$9)))</f>
        <v/>
      </c>
      <c r="C207" s="46">
        <f>IF(OR((($A207-Simulador!$E$6)/Simulador!$G$6)&lt;=0,(($A207-Simulador!$E$6)/Simulador!$G$6)&gt;=1),0,IF((($A207-Simulador!$E$6)/Simulador!$G$6)&lt;Simulador!$B$11,Simulador!$B$9*(1-COS(PI()*(($A207-Simulador!$E$6)/Simulador!$G$6)/Simulador!$B$11))/2,IF((($A207-Simulador!$E$6)/Simulador!$G$6)&gt;1-Simulador!$B$11,Simulador!$B$9*(1-COS(PI()*(1-(($A207-Simulador!$E$6)/Simulador!$G$6))/Simulador!$B$11))/2,Simulador!$B$9)))</f>
        <v/>
      </c>
      <c r="D207" s="46">
        <f>IF(OR((($A207-Simulador!$E$7)/Simulador!$G$7)&lt;=0,(($A207-Simulador!$E$7)/Simulador!$G$7)&gt;=1),0,IF((($A207-Simulador!$E$7)/Simulador!$G$7)&lt;Simulador!$B$11,Simulador!$B$9*(1-COS(PI()*(($A207-Simulador!$E$7)/Simulador!$G$7)/Simulador!$B$11))/2,IF((($A207-Simulador!$E$7)/Simulador!$G$7)&gt;1-Simulador!$B$11,Simulador!$B$9*(1-COS(PI()*(1-(($A207-Simulador!$E$7)/Simulador!$G$7))/Simulador!$B$11))/2,Simulador!$B$9)))</f>
        <v/>
      </c>
      <c r="E207" s="46">
        <f>IF(OR((($A207-Simulador!$E$8)/Simulador!$G$8)&lt;=0,(($A207-Simulador!$E$8)/Simulador!$G$8)&gt;=1),0,IF((($A207-Simulador!$E$8)/Simulador!$G$8)&lt;Simulador!$B$11,Simulador!$B$10*(1-COS(PI()*(($A207-Simulador!$E$8)/Simulador!$G$8)/Simulador!$B$11))/2,IF((($A207-Simulador!$E$8)/Simulador!$G$8)&gt;1-Simulador!$B$11,Simulador!$B$10*(1-COS(PI()*(1-(($A207-Simulador!$E$8)/Simulador!$G$8))/Simulador!$B$11))/2,Simulador!$B$10)))</f>
        <v/>
      </c>
      <c r="F207" s="46">
        <f>IF(OR((($A207-Simulador!$E$9)/Simulador!$G$9)&lt;=0,(($A207-Simulador!$E$9)/Simulador!$G$9)&gt;=1),0,IF((($A207-Simulador!$E$9)/Simulador!$G$9)&lt;Simulador!$B$11,Simulador!$B$10*(1-COS(PI()*(($A207-Simulador!$E$9)/Simulador!$G$9)/Simulador!$B$11))/2,IF((($A207-Simulador!$E$9)/Simulador!$G$9)&gt;1-Simulador!$B$11,Simulador!$B$10*(1-COS(PI()*(1-(($A207-Simulador!$E$9)/Simulador!$G$9))/Simulador!$B$11))/2,Simulador!$B$10)))</f>
        <v/>
      </c>
      <c r="G207" s="46">
        <f>IF(OR((($A207-Simulador!$E$10)/Simulador!$G$10)&lt;=0,(($A207-Simulador!$E$10)/Simulador!$G$10)&gt;=1),0,IF((($A207-Simulador!$E$10)/Simulador!$G$10)&lt;Simulador!$B$11,Simulador!$B$10*(1-COS(PI()*(($A207-Simulador!$E$10)/Simulador!$G$10)/Simulador!$B$11))/2,IF((($A207-Simulador!$E$10)/Simulador!$G$10)&gt;1-Simulador!$B$11,Simulador!$B$10*(1-COS(PI()*(1-(($A207-Simulador!$E$10)/Simulador!$G$10))/Simulador!$B$11))/2,Simulador!$B$10)))</f>
        <v/>
      </c>
      <c r="Q207" s="48">
        <f>IF(OR((($A207-(Simulador!$E$6+'Salto de dientes'!$B$12))/Simulador!$G$6)&lt;=0,(($A207-(Simulador!$E$6+'Salto de dientes'!$B$12))/Simulador!$G$6)&gt;=1),0,IF((($A207-(Simulador!$E$6+'Salto de dientes'!$B$12))/Simulador!$G$6)&lt;Simulador!$B$11,Simulador!$B$9*(1-COS(PI()*(($A207-(Simulador!$E$6+'Salto de dientes'!$B$12))/Simulador!$G$6)/Simulador!$B$11))/2,IF((($A207-(Simulador!$E$6+'Salto de dientes'!$B$12))/Simulador!$G$6)&gt;1-Simulador!$B$11,Simulador!$B$9*(1-COS(PI()*(1-(($A207-(Simulador!$E$6+'Salto de dientes'!$B$12))/Simulador!$G$6))/Simulador!$B$11))/2,Simulador!$B$9)))</f>
        <v/>
      </c>
      <c r="R207" s="48">
        <f>IF(OR((($A207-(Simulador!$E$9+'Salto de dientes'!$B$12))/Simulador!$G$9)&lt;=0,(($A207-(Simulador!$E$9+'Salto de dientes'!$B$12))/Simulador!$G$9)&gt;=1),0,IF((($A207-(Simulador!$E$9+'Salto de dientes'!$B$12))/Simulador!$G$9)&lt;Simulador!$B$11,Simulador!$B$10*(1-COS(PI()*(($A207-(Simulador!$E$9+'Salto de dientes'!$B$12))/Simulador!$G$9)/Simulador!$B$11))/2,IF((($A207-(Simulador!$E$9+'Salto de dientes'!$B$12))/Simulador!$G$9)&gt;1-Simulador!$B$11,Simulador!$B$10*(1-COS(PI()*(1-(($A207-(Simulador!$E$9+'Salto de dientes'!$B$12))/Simulador!$G$9))/Simulador!$B$11))/2,Simulador!$B$10)))</f>
        <v/>
      </c>
    </row>
    <row r="208">
      <c r="A208" s="26">
        <f>A207+Simulador!$B$14</f>
        <v/>
      </c>
      <c r="B208" s="46">
        <f>IF(OR((($A208-Simulador!$E$5)/Simulador!$G$5)&lt;=0,(($A208-Simulador!$E$5)/Simulador!$G$5)&gt;=1),0,IF((($A208-Simulador!$E$5)/Simulador!$G$5)&lt;Simulador!$B$11,Simulador!$B$9*(1-COS(PI()*(($A208-Simulador!$E$5)/Simulador!$G$5)/Simulador!$B$11))/2,IF((($A208-Simulador!$E$5)/Simulador!$G$5)&gt;1-Simulador!$B$11,Simulador!$B$9*(1-COS(PI()*(1-(($A208-Simulador!$E$5)/Simulador!$G$5))/Simulador!$B$11))/2,Simulador!$B$9)))</f>
        <v/>
      </c>
      <c r="C208" s="46">
        <f>IF(OR((($A208-Simulador!$E$6)/Simulador!$G$6)&lt;=0,(($A208-Simulador!$E$6)/Simulador!$G$6)&gt;=1),0,IF((($A208-Simulador!$E$6)/Simulador!$G$6)&lt;Simulador!$B$11,Simulador!$B$9*(1-COS(PI()*(($A208-Simulador!$E$6)/Simulador!$G$6)/Simulador!$B$11))/2,IF((($A208-Simulador!$E$6)/Simulador!$G$6)&gt;1-Simulador!$B$11,Simulador!$B$9*(1-COS(PI()*(1-(($A208-Simulador!$E$6)/Simulador!$G$6))/Simulador!$B$11))/2,Simulador!$B$9)))</f>
        <v/>
      </c>
      <c r="D208" s="46">
        <f>IF(OR((($A208-Simulador!$E$7)/Simulador!$G$7)&lt;=0,(($A208-Simulador!$E$7)/Simulador!$G$7)&gt;=1),0,IF((($A208-Simulador!$E$7)/Simulador!$G$7)&lt;Simulador!$B$11,Simulador!$B$9*(1-COS(PI()*(($A208-Simulador!$E$7)/Simulador!$G$7)/Simulador!$B$11))/2,IF((($A208-Simulador!$E$7)/Simulador!$G$7)&gt;1-Simulador!$B$11,Simulador!$B$9*(1-COS(PI()*(1-(($A208-Simulador!$E$7)/Simulador!$G$7))/Simulador!$B$11))/2,Simulador!$B$9)))</f>
        <v/>
      </c>
      <c r="E208" s="46">
        <f>IF(OR((($A208-Simulador!$E$8)/Simulador!$G$8)&lt;=0,(($A208-Simulador!$E$8)/Simulador!$G$8)&gt;=1),0,IF((($A208-Simulador!$E$8)/Simulador!$G$8)&lt;Simulador!$B$11,Simulador!$B$10*(1-COS(PI()*(($A208-Simulador!$E$8)/Simulador!$G$8)/Simulador!$B$11))/2,IF((($A208-Simulador!$E$8)/Simulador!$G$8)&gt;1-Simulador!$B$11,Simulador!$B$10*(1-COS(PI()*(1-(($A208-Simulador!$E$8)/Simulador!$G$8))/Simulador!$B$11))/2,Simulador!$B$10)))</f>
        <v/>
      </c>
      <c r="F208" s="46">
        <f>IF(OR((($A208-Simulador!$E$9)/Simulador!$G$9)&lt;=0,(($A208-Simulador!$E$9)/Simulador!$G$9)&gt;=1),0,IF((($A208-Simulador!$E$9)/Simulador!$G$9)&lt;Simulador!$B$11,Simulador!$B$10*(1-COS(PI()*(($A208-Simulador!$E$9)/Simulador!$G$9)/Simulador!$B$11))/2,IF((($A208-Simulador!$E$9)/Simulador!$G$9)&gt;1-Simulador!$B$11,Simulador!$B$10*(1-COS(PI()*(1-(($A208-Simulador!$E$9)/Simulador!$G$9))/Simulador!$B$11))/2,Simulador!$B$10)))</f>
        <v/>
      </c>
      <c r="G208" s="46">
        <f>IF(OR((($A208-Simulador!$E$10)/Simulador!$G$10)&lt;=0,(($A208-Simulador!$E$10)/Simulador!$G$10)&gt;=1),0,IF((($A208-Simulador!$E$10)/Simulador!$G$10)&lt;Simulador!$B$11,Simulador!$B$10*(1-COS(PI()*(($A208-Simulador!$E$10)/Simulador!$G$10)/Simulador!$B$11))/2,IF((($A208-Simulador!$E$10)/Simulador!$G$10)&gt;1-Simulador!$B$11,Simulador!$B$10*(1-COS(PI()*(1-(($A208-Simulador!$E$10)/Simulador!$G$10))/Simulador!$B$11))/2,Simulador!$B$10)))</f>
        <v/>
      </c>
      <c r="Q208" s="48">
        <f>IF(OR((($A208-(Simulador!$E$6+'Salto de dientes'!$B$12))/Simulador!$G$6)&lt;=0,(($A208-(Simulador!$E$6+'Salto de dientes'!$B$12))/Simulador!$G$6)&gt;=1),0,IF((($A208-(Simulador!$E$6+'Salto de dientes'!$B$12))/Simulador!$G$6)&lt;Simulador!$B$11,Simulador!$B$9*(1-COS(PI()*(($A208-(Simulador!$E$6+'Salto de dientes'!$B$12))/Simulador!$G$6)/Simulador!$B$11))/2,IF((($A208-(Simulador!$E$6+'Salto de dientes'!$B$12))/Simulador!$G$6)&gt;1-Simulador!$B$11,Simulador!$B$9*(1-COS(PI()*(1-(($A208-(Simulador!$E$6+'Salto de dientes'!$B$12))/Simulador!$G$6))/Simulador!$B$11))/2,Simulador!$B$9)))</f>
        <v/>
      </c>
      <c r="R208" s="48">
        <f>IF(OR((($A208-(Simulador!$E$9+'Salto de dientes'!$B$12))/Simulador!$G$9)&lt;=0,(($A208-(Simulador!$E$9+'Salto de dientes'!$B$12))/Simulador!$G$9)&gt;=1),0,IF((($A208-(Simulador!$E$9+'Salto de dientes'!$B$12))/Simulador!$G$9)&lt;Simulador!$B$11,Simulador!$B$10*(1-COS(PI()*(($A208-(Simulador!$E$9+'Salto de dientes'!$B$12))/Simulador!$G$9)/Simulador!$B$11))/2,IF((($A208-(Simulador!$E$9+'Salto de dientes'!$B$12))/Simulador!$G$9)&gt;1-Simulador!$B$11,Simulador!$B$10*(1-COS(PI()*(1-(($A208-(Simulador!$E$9+'Salto de dientes'!$B$12))/Simulador!$G$9))/Simulador!$B$11))/2,Simulador!$B$10)))</f>
        <v/>
      </c>
    </row>
    <row r="209">
      <c r="A209" s="26">
        <f>A208+Simulador!$B$14</f>
        <v/>
      </c>
      <c r="B209" s="46">
        <f>IF(OR((($A209-Simulador!$E$5)/Simulador!$G$5)&lt;=0,(($A209-Simulador!$E$5)/Simulador!$G$5)&gt;=1),0,IF((($A209-Simulador!$E$5)/Simulador!$G$5)&lt;Simulador!$B$11,Simulador!$B$9*(1-COS(PI()*(($A209-Simulador!$E$5)/Simulador!$G$5)/Simulador!$B$11))/2,IF((($A209-Simulador!$E$5)/Simulador!$G$5)&gt;1-Simulador!$B$11,Simulador!$B$9*(1-COS(PI()*(1-(($A209-Simulador!$E$5)/Simulador!$G$5))/Simulador!$B$11))/2,Simulador!$B$9)))</f>
        <v/>
      </c>
      <c r="C209" s="46">
        <f>IF(OR((($A209-Simulador!$E$6)/Simulador!$G$6)&lt;=0,(($A209-Simulador!$E$6)/Simulador!$G$6)&gt;=1),0,IF((($A209-Simulador!$E$6)/Simulador!$G$6)&lt;Simulador!$B$11,Simulador!$B$9*(1-COS(PI()*(($A209-Simulador!$E$6)/Simulador!$G$6)/Simulador!$B$11))/2,IF((($A209-Simulador!$E$6)/Simulador!$G$6)&gt;1-Simulador!$B$11,Simulador!$B$9*(1-COS(PI()*(1-(($A209-Simulador!$E$6)/Simulador!$G$6))/Simulador!$B$11))/2,Simulador!$B$9)))</f>
        <v/>
      </c>
      <c r="D209" s="46">
        <f>IF(OR((($A209-Simulador!$E$7)/Simulador!$G$7)&lt;=0,(($A209-Simulador!$E$7)/Simulador!$G$7)&gt;=1),0,IF((($A209-Simulador!$E$7)/Simulador!$G$7)&lt;Simulador!$B$11,Simulador!$B$9*(1-COS(PI()*(($A209-Simulador!$E$7)/Simulador!$G$7)/Simulador!$B$11))/2,IF((($A209-Simulador!$E$7)/Simulador!$G$7)&gt;1-Simulador!$B$11,Simulador!$B$9*(1-COS(PI()*(1-(($A209-Simulador!$E$7)/Simulador!$G$7))/Simulador!$B$11))/2,Simulador!$B$9)))</f>
        <v/>
      </c>
      <c r="E209" s="46">
        <f>IF(OR((($A209-Simulador!$E$8)/Simulador!$G$8)&lt;=0,(($A209-Simulador!$E$8)/Simulador!$G$8)&gt;=1),0,IF((($A209-Simulador!$E$8)/Simulador!$G$8)&lt;Simulador!$B$11,Simulador!$B$10*(1-COS(PI()*(($A209-Simulador!$E$8)/Simulador!$G$8)/Simulador!$B$11))/2,IF((($A209-Simulador!$E$8)/Simulador!$G$8)&gt;1-Simulador!$B$11,Simulador!$B$10*(1-COS(PI()*(1-(($A209-Simulador!$E$8)/Simulador!$G$8))/Simulador!$B$11))/2,Simulador!$B$10)))</f>
        <v/>
      </c>
      <c r="F209" s="46">
        <f>IF(OR((($A209-Simulador!$E$9)/Simulador!$G$9)&lt;=0,(($A209-Simulador!$E$9)/Simulador!$G$9)&gt;=1),0,IF((($A209-Simulador!$E$9)/Simulador!$G$9)&lt;Simulador!$B$11,Simulador!$B$10*(1-COS(PI()*(($A209-Simulador!$E$9)/Simulador!$G$9)/Simulador!$B$11))/2,IF((($A209-Simulador!$E$9)/Simulador!$G$9)&gt;1-Simulador!$B$11,Simulador!$B$10*(1-COS(PI()*(1-(($A209-Simulador!$E$9)/Simulador!$G$9))/Simulador!$B$11))/2,Simulador!$B$10)))</f>
        <v/>
      </c>
      <c r="G209" s="46">
        <f>IF(OR((($A209-Simulador!$E$10)/Simulador!$G$10)&lt;=0,(($A209-Simulador!$E$10)/Simulador!$G$10)&gt;=1),0,IF((($A209-Simulador!$E$10)/Simulador!$G$10)&lt;Simulador!$B$11,Simulador!$B$10*(1-COS(PI()*(($A209-Simulador!$E$10)/Simulador!$G$10)/Simulador!$B$11))/2,IF((($A209-Simulador!$E$10)/Simulador!$G$10)&gt;1-Simulador!$B$11,Simulador!$B$10*(1-COS(PI()*(1-(($A209-Simulador!$E$10)/Simulador!$G$10))/Simulador!$B$11))/2,Simulador!$B$10)))</f>
        <v/>
      </c>
      <c r="Q209" s="48">
        <f>IF(OR((($A209-(Simulador!$E$6+'Salto de dientes'!$B$12))/Simulador!$G$6)&lt;=0,(($A209-(Simulador!$E$6+'Salto de dientes'!$B$12))/Simulador!$G$6)&gt;=1),0,IF((($A209-(Simulador!$E$6+'Salto de dientes'!$B$12))/Simulador!$G$6)&lt;Simulador!$B$11,Simulador!$B$9*(1-COS(PI()*(($A209-(Simulador!$E$6+'Salto de dientes'!$B$12))/Simulador!$G$6)/Simulador!$B$11))/2,IF((($A209-(Simulador!$E$6+'Salto de dientes'!$B$12))/Simulador!$G$6)&gt;1-Simulador!$B$11,Simulador!$B$9*(1-COS(PI()*(1-(($A209-(Simulador!$E$6+'Salto de dientes'!$B$12))/Simulador!$G$6))/Simulador!$B$11))/2,Simulador!$B$9)))</f>
        <v/>
      </c>
      <c r="R209" s="48">
        <f>IF(OR((($A209-(Simulador!$E$9+'Salto de dientes'!$B$12))/Simulador!$G$9)&lt;=0,(($A209-(Simulador!$E$9+'Salto de dientes'!$B$12))/Simulador!$G$9)&gt;=1),0,IF((($A209-(Simulador!$E$9+'Salto de dientes'!$B$12))/Simulador!$G$9)&lt;Simulador!$B$11,Simulador!$B$10*(1-COS(PI()*(($A209-(Simulador!$E$9+'Salto de dientes'!$B$12))/Simulador!$G$9)/Simulador!$B$11))/2,IF((($A209-(Simulador!$E$9+'Salto de dientes'!$B$12))/Simulador!$G$9)&gt;1-Simulador!$B$11,Simulador!$B$10*(1-COS(PI()*(1-(($A209-(Simulador!$E$9+'Salto de dientes'!$B$12))/Simulador!$G$9))/Simulador!$B$11))/2,Simulador!$B$10)))</f>
        <v/>
      </c>
    </row>
    <row r="210">
      <c r="A210" s="26">
        <f>A209+Simulador!$B$14</f>
        <v/>
      </c>
      <c r="B210" s="46">
        <f>IF(OR((($A210-Simulador!$E$5)/Simulador!$G$5)&lt;=0,(($A210-Simulador!$E$5)/Simulador!$G$5)&gt;=1),0,IF((($A210-Simulador!$E$5)/Simulador!$G$5)&lt;Simulador!$B$11,Simulador!$B$9*(1-COS(PI()*(($A210-Simulador!$E$5)/Simulador!$G$5)/Simulador!$B$11))/2,IF((($A210-Simulador!$E$5)/Simulador!$G$5)&gt;1-Simulador!$B$11,Simulador!$B$9*(1-COS(PI()*(1-(($A210-Simulador!$E$5)/Simulador!$G$5))/Simulador!$B$11))/2,Simulador!$B$9)))</f>
        <v/>
      </c>
      <c r="C210" s="46">
        <f>IF(OR((($A210-Simulador!$E$6)/Simulador!$G$6)&lt;=0,(($A210-Simulador!$E$6)/Simulador!$G$6)&gt;=1),0,IF((($A210-Simulador!$E$6)/Simulador!$G$6)&lt;Simulador!$B$11,Simulador!$B$9*(1-COS(PI()*(($A210-Simulador!$E$6)/Simulador!$G$6)/Simulador!$B$11))/2,IF((($A210-Simulador!$E$6)/Simulador!$G$6)&gt;1-Simulador!$B$11,Simulador!$B$9*(1-COS(PI()*(1-(($A210-Simulador!$E$6)/Simulador!$G$6))/Simulador!$B$11))/2,Simulador!$B$9)))</f>
        <v/>
      </c>
      <c r="D210" s="46">
        <f>IF(OR((($A210-Simulador!$E$7)/Simulador!$G$7)&lt;=0,(($A210-Simulador!$E$7)/Simulador!$G$7)&gt;=1),0,IF((($A210-Simulador!$E$7)/Simulador!$G$7)&lt;Simulador!$B$11,Simulador!$B$9*(1-COS(PI()*(($A210-Simulador!$E$7)/Simulador!$G$7)/Simulador!$B$11))/2,IF((($A210-Simulador!$E$7)/Simulador!$G$7)&gt;1-Simulador!$B$11,Simulador!$B$9*(1-COS(PI()*(1-(($A210-Simulador!$E$7)/Simulador!$G$7))/Simulador!$B$11))/2,Simulador!$B$9)))</f>
        <v/>
      </c>
      <c r="E210" s="46">
        <f>IF(OR((($A210-Simulador!$E$8)/Simulador!$G$8)&lt;=0,(($A210-Simulador!$E$8)/Simulador!$G$8)&gt;=1),0,IF((($A210-Simulador!$E$8)/Simulador!$G$8)&lt;Simulador!$B$11,Simulador!$B$10*(1-COS(PI()*(($A210-Simulador!$E$8)/Simulador!$G$8)/Simulador!$B$11))/2,IF((($A210-Simulador!$E$8)/Simulador!$G$8)&gt;1-Simulador!$B$11,Simulador!$B$10*(1-COS(PI()*(1-(($A210-Simulador!$E$8)/Simulador!$G$8))/Simulador!$B$11))/2,Simulador!$B$10)))</f>
        <v/>
      </c>
      <c r="F210" s="46">
        <f>IF(OR((($A210-Simulador!$E$9)/Simulador!$G$9)&lt;=0,(($A210-Simulador!$E$9)/Simulador!$G$9)&gt;=1),0,IF((($A210-Simulador!$E$9)/Simulador!$G$9)&lt;Simulador!$B$11,Simulador!$B$10*(1-COS(PI()*(($A210-Simulador!$E$9)/Simulador!$G$9)/Simulador!$B$11))/2,IF((($A210-Simulador!$E$9)/Simulador!$G$9)&gt;1-Simulador!$B$11,Simulador!$B$10*(1-COS(PI()*(1-(($A210-Simulador!$E$9)/Simulador!$G$9))/Simulador!$B$11))/2,Simulador!$B$10)))</f>
        <v/>
      </c>
      <c r="G210" s="46">
        <f>IF(OR((($A210-Simulador!$E$10)/Simulador!$G$10)&lt;=0,(($A210-Simulador!$E$10)/Simulador!$G$10)&gt;=1),0,IF((($A210-Simulador!$E$10)/Simulador!$G$10)&lt;Simulador!$B$11,Simulador!$B$10*(1-COS(PI()*(($A210-Simulador!$E$10)/Simulador!$G$10)/Simulador!$B$11))/2,IF((($A210-Simulador!$E$10)/Simulador!$G$10)&gt;1-Simulador!$B$11,Simulador!$B$10*(1-COS(PI()*(1-(($A210-Simulador!$E$10)/Simulador!$G$10))/Simulador!$B$11))/2,Simulador!$B$10)))</f>
        <v/>
      </c>
      <c r="Q210" s="48">
        <f>IF(OR((($A210-(Simulador!$E$6+'Salto de dientes'!$B$12))/Simulador!$G$6)&lt;=0,(($A210-(Simulador!$E$6+'Salto de dientes'!$B$12))/Simulador!$G$6)&gt;=1),0,IF((($A210-(Simulador!$E$6+'Salto de dientes'!$B$12))/Simulador!$G$6)&lt;Simulador!$B$11,Simulador!$B$9*(1-COS(PI()*(($A210-(Simulador!$E$6+'Salto de dientes'!$B$12))/Simulador!$G$6)/Simulador!$B$11))/2,IF((($A210-(Simulador!$E$6+'Salto de dientes'!$B$12))/Simulador!$G$6)&gt;1-Simulador!$B$11,Simulador!$B$9*(1-COS(PI()*(1-(($A210-(Simulador!$E$6+'Salto de dientes'!$B$12))/Simulador!$G$6))/Simulador!$B$11))/2,Simulador!$B$9)))</f>
        <v/>
      </c>
      <c r="R210" s="48">
        <f>IF(OR((($A210-(Simulador!$E$9+'Salto de dientes'!$B$12))/Simulador!$G$9)&lt;=0,(($A210-(Simulador!$E$9+'Salto de dientes'!$B$12))/Simulador!$G$9)&gt;=1),0,IF((($A210-(Simulador!$E$9+'Salto de dientes'!$B$12))/Simulador!$G$9)&lt;Simulador!$B$11,Simulador!$B$10*(1-COS(PI()*(($A210-(Simulador!$E$9+'Salto de dientes'!$B$12))/Simulador!$G$9)/Simulador!$B$11))/2,IF((($A210-(Simulador!$E$9+'Salto de dientes'!$B$12))/Simulador!$G$9)&gt;1-Simulador!$B$11,Simulador!$B$10*(1-COS(PI()*(1-(($A210-(Simulador!$E$9+'Salto de dientes'!$B$12))/Simulador!$G$9))/Simulador!$B$11))/2,Simulador!$B$10)))</f>
        <v/>
      </c>
    </row>
    <row r="211">
      <c r="A211" s="26">
        <f>A210+Simulador!$B$14</f>
        <v/>
      </c>
      <c r="B211" s="46">
        <f>IF(OR((($A211-Simulador!$E$5)/Simulador!$G$5)&lt;=0,(($A211-Simulador!$E$5)/Simulador!$G$5)&gt;=1),0,IF((($A211-Simulador!$E$5)/Simulador!$G$5)&lt;Simulador!$B$11,Simulador!$B$9*(1-COS(PI()*(($A211-Simulador!$E$5)/Simulador!$G$5)/Simulador!$B$11))/2,IF((($A211-Simulador!$E$5)/Simulador!$G$5)&gt;1-Simulador!$B$11,Simulador!$B$9*(1-COS(PI()*(1-(($A211-Simulador!$E$5)/Simulador!$G$5))/Simulador!$B$11))/2,Simulador!$B$9)))</f>
        <v/>
      </c>
      <c r="C211" s="46">
        <f>IF(OR((($A211-Simulador!$E$6)/Simulador!$G$6)&lt;=0,(($A211-Simulador!$E$6)/Simulador!$G$6)&gt;=1),0,IF((($A211-Simulador!$E$6)/Simulador!$G$6)&lt;Simulador!$B$11,Simulador!$B$9*(1-COS(PI()*(($A211-Simulador!$E$6)/Simulador!$G$6)/Simulador!$B$11))/2,IF((($A211-Simulador!$E$6)/Simulador!$G$6)&gt;1-Simulador!$B$11,Simulador!$B$9*(1-COS(PI()*(1-(($A211-Simulador!$E$6)/Simulador!$G$6))/Simulador!$B$11))/2,Simulador!$B$9)))</f>
        <v/>
      </c>
      <c r="D211" s="46">
        <f>IF(OR((($A211-Simulador!$E$7)/Simulador!$G$7)&lt;=0,(($A211-Simulador!$E$7)/Simulador!$G$7)&gt;=1),0,IF((($A211-Simulador!$E$7)/Simulador!$G$7)&lt;Simulador!$B$11,Simulador!$B$9*(1-COS(PI()*(($A211-Simulador!$E$7)/Simulador!$G$7)/Simulador!$B$11))/2,IF((($A211-Simulador!$E$7)/Simulador!$G$7)&gt;1-Simulador!$B$11,Simulador!$B$9*(1-COS(PI()*(1-(($A211-Simulador!$E$7)/Simulador!$G$7))/Simulador!$B$11))/2,Simulador!$B$9)))</f>
        <v/>
      </c>
      <c r="E211" s="46">
        <f>IF(OR((($A211-Simulador!$E$8)/Simulador!$G$8)&lt;=0,(($A211-Simulador!$E$8)/Simulador!$G$8)&gt;=1),0,IF((($A211-Simulador!$E$8)/Simulador!$G$8)&lt;Simulador!$B$11,Simulador!$B$10*(1-COS(PI()*(($A211-Simulador!$E$8)/Simulador!$G$8)/Simulador!$B$11))/2,IF((($A211-Simulador!$E$8)/Simulador!$G$8)&gt;1-Simulador!$B$11,Simulador!$B$10*(1-COS(PI()*(1-(($A211-Simulador!$E$8)/Simulador!$G$8))/Simulador!$B$11))/2,Simulador!$B$10)))</f>
        <v/>
      </c>
      <c r="F211" s="46">
        <f>IF(OR((($A211-Simulador!$E$9)/Simulador!$G$9)&lt;=0,(($A211-Simulador!$E$9)/Simulador!$G$9)&gt;=1),0,IF((($A211-Simulador!$E$9)/Simulador!$G$9)&lt;Simulador!$B$11,Simulador!$B$10*(1-COS(PI()*(($A211-Simulador!$E$9)/Simulador!$G$9)/Simulador!$B$11))/2,IF((($A211-Simulador!$E$9)/Simulador!$G$9)&gt;1-Simulador!$B$11,Simulador!$B$10*(1-COS(PI()*(1-(($A211-Simulador!$E$9)/Simulador!$G$9))/Simulador!$B$11))/2,Simulador!$B$10)))</f>
        <v/>
      </c>
      <c r="G211" s="46">
        <f>IF(OR((($A211-Simulador!$E$10)/Simulador!$G$10)&lt;=0,(($A211-Simulador!$E$10)/Simulador!$G$10)&gt;=1),0,IF((($A211-Simulador!$E$10)/Simulador!$G$10)&lt;Simulador!$B$11,Simulador!$B$10*(1-COS(PI()*(($A211-Simulador!$E$10)/Simulador!$G$10)/Simulador!$B$11))/2,IF((($A211-Simulador!$E$10)/Simulador!$G$10)&gt;1-Simulador!$B$11,Simulador!$B$10*(1-COS(PI()*(1-(($A211-Simulador!$E$10)/Simulador!$G$10))/Simulador!$B$11))/2,Simulador!$B$10)))</f>
        <v/>
      </c>
      <c r="Q211" s="48">
        <f>IF(OR((($A211-(Simulador!$E$6+'Salto de dientes'!$B$12))/Simulador!$G$6)&lt;=0,(($A211-(Simulador!$E$6+'Salto de dientes'!$B$12))/Simulador!$G$6)&gt;=1),0,IF((($A211-(Simulador!$E$6+'Salto de dientes'!$B$12))/Simulador!$G$6)&lt;Simulador!$B$11,Simulador!$B$9*(1-COS(PI()*(($A211-(Simulador!$E$6+'Salto de dientes'!$B$12))/Simulador!$G$6)/Simulador!$B$11))/2,IF((($A211-(Simulador!$E$6+'Salto de dientes'!$B$12))/Simulador!$G$6)&gt;1-Simulador!$B$11,Simulador!$B$9*(1-COS(PI()*(1-(($A211-(Simulador!$E$6+'Salto de dientes'!$B$12))/Simulador!$G$6))/Simulador!$B$11))/2,Simulador!$B$9)))</f>
        <v/>
      </c>
      <c r="R211" s="48">
        <f>IF(OR((($A211-(Simulador!$E$9+'Salto de dientes'!$B$12))/Simulador!$G$9)&lt;=0,(($A211-(Simulador!$E$9+'Salto de dientes'!$B$12))/Simulador!$G$9)&gt;=1),0,IF((($A211-(Simulador!$E$9+'Salto de dientes'!$B$12))/Simulador!$G$9)&lt;Simulador!$B$11,Simulador!$B$10*(1-COS(PI()*(($A211-(Simulador!$E$9+'Salto de dientes'!$B$12))/Simulador!$G$9)/Simulador!$B$11))/2,IF((($A211-(Simulador!$E$9+'Salto de dientes'!$B$12))/Simulador!$G$9)&gt;1-Simulador!$B$11,Simulador!$B$10*(1-COS(PI()*(1-(($A211-(Simulador!$E$9+'Salto de dientes'!$B$12))/Simulador!$G$9))/Simulador!$B$11))/2,Simulador!$B$10)))</f>
        <v/>
      </c>
    </row>
    <row r="212">
      <c r="A212" s="26">
        <f>A211+Simulador!$B$14</f>
        <v/>
      </c>
      <c r="B212" s="46">
        <f>IF(OR((($A212-Simulador!$E$5)/Simulador!$G$5)&lt;=0,(($A212-Simulador!$E$5)/Simulador!$G$5)&gt;=1),0,IF((($A212-Simulador!$E$5)/Simulador!$G$5)&lt;Simulador!$B$11,Simulador!$B$9*(1-COS(PI()*(($A212-Simulador!$E$5)/Simulador!$G$5)/Simulador!$B$11))/2,IF((($A212-Simulador!$E$5)/Simulador!$G$5)&gt;1-Simulador!$B$11,Simulador!$B$9*(1-COS(PI()*(1-(($A212-Simulador!$E$5)/Simulador!$G$5))/Simulador!$B$11))/2,Simulador!$B$9)))</f>
        <v/>
      </c>
      <c r="C212" s="46">
        <f>IF(OR((($A212-Simulador!$E$6)/Simulador!$G$6)&lt;=0,(($A212-Simulador!$E$6)/Simulador!$G$6)&gt;=1),0,IF((($A212-Simulador!$E$6)/Simulador!$G$6)&lt;Simulador!$B$11,Simulador!$B$9*(1-COS(PI()*(($A212-Simulador!$E$6)/Simulador!$G$6)/Simulador!$B$11))/2,IF((($A212-Simulador!$E$6)/Simulador!$G$6)&gt;1-Simulador!$B$11,Simulador!$B$9*(1-COS(PI()*(1-(($A212-Simulador!$E$6)/Simulador!$G$6))/Simulador!$B$11))/2,Simulador!$B$9)))</f>
        <v/>
      </c>
      <c r="D212" s="46">
        <f>IF(OR((($A212-Simulador!$E$7)/Simulador!$G$7)&lt;=0,(($A212-Simulador!$E$7)/Simulador!$G$7)&gt;=1),0,IF((($A212-Simulador!$E$7)/Simulador!$G$7)&lt;Simulador!$B$11,Simulador!$B$9*(1-COS(PI()*(($A212-Simulador!$E$7)/Simulador!$G$7)/Simulador!$B$11))/2,IF((($A212-Simulador!$E$7)/Simulador!$G$7)&gt;1-Simulador!$B$11,Simulador!$B$9*(1-COS(PI()*(1-(($A212-Simulador!$E$7)/Simulador!$G$7))/Simulador!$B$11))/2,Simulador!$B$9)))</f>
        <v/>
      </c>
      <c r="E212" s="46">
        <f>IF(OR((($A212-Simulador!$E$8)/Simulador!$G$8)&lt;=0,(($A212-Simulador!$E$8)/Simulador!$G$8)&gt;=1),0,IF((($A212-Simulador!$E$8)/Simulador!$G$8)&lt;Simulador!$B$11,Simulador!$B$10*(1-COS(PI()*(($A212-Simulador!$E$8)/Simulador!$G$8)/Simulador!$B$11))/2,IF((($A212-Simulador!$E$8)/Simulador!$G$8)&gt;1-Simulador!$B$11,Simulador!$B$10*(1-COS(PI()*(1-(($A212-Simulador!$E$8)/Simulador!$G$8))/Simulador!$B$11))/2,Simulador!$B$10)))</f>
        <v/>
      </c>
      <c r="F212" s="46">
        <f>IF(OR((($A212-Simulador!$E$9)/Simulador!$G$9)&lt;=0,(($A212-Simulador!$E$9)/Simulador!$G$9)&gt;=1),0,IF((($A212-Simulador!$E$9)/Simulador!$G$9)&lt;Simulador!$B$11,Simulador!$B$10*(1-COS(PI()*(($A212-Simulador!$E$9)/Simulador!$G$9)/Simulador!$B$11))/2,IF((($A212-Simulador!$E$9)/Simulador!$G$9)&gt;1-Simulador!$B$11,Simulador!$B$10*(1-COS(PI()*(1-(($A212-Simulador!$E$9)/Simulador!$G$9))/Simulador!$B$11))/2,Simulador!$B$10)))</f>
        <v/>
      </c>
      <c r="G212" s="46">
        <f>IF(OR((($A212-Simulador!$E$10)/Simulador!$G$10)&lt;=0,(($A212-Simulador!$E$10)/Simulador!$G$10)&gt;=1),0,IF((($A212-Simulador!$E$10)/Simulador!$G$10)&lt;Simulador!$B$11,Simulador!$B$10*(1-COS(PI()*(($A212-Simulador!$E$10)/Simulador!$G$10)/Simulador!$B$11))/2,IF((($A212-Simulador!$E$10)/Simulador!$G$10)&gt;1-Simulador!$B$11,Simulador!$B$10*(1-COS(PI()*(1-(($A212-Simulador!$E$10)/Simulador!$G$10))/Simulador!$B$11))/2,Simulador!$B$10)))</f>
        <v/>
      </c>
      <c r="Q212" s="48">
        <f>IF(OR((($A212-(Simulador!$E$6+'Salto de dientes'!$B$12))/Simulador!$G$6)&lt;=0,(($A212-(Simulador!$E$6+'Salto de dientes'!$B$12))/Simulador!$G$6)&gt;=1),0,IF((($A212-(Simulador!$E$6+'Salto de dientes'!$B$12))/Simulador!$G$6)&lt;Simulador!$B$11,Simulador!$B$9*(1-COS(PI()*(($A212-(Simulador!$E$6+'Salto de dientes'!$B$12))/Simulador!$G$6)/Simulador!$B$11))/2,IF((($A212-(Simulador!$E$6+'Salto de dientes'!$B$12))/Simulador!$G$6)&gt;1-Simulador!$B$11,Simulador!$B$9*(1-COS(PI()*(1-(($A212-(Simulador!$E$6+'Salto de dientes'!$B$12))/Simulador!$G$6))/Simulador!$B$11))/2,Simulador!$B$9)))</f>
        <v/>
      </c>
      <c r="R212" s="48">
        <f>IF(OR((($A212-(Simulador!$E$9+'Salto de dientes'!$B$12))/Simulador!$G$9)&lt;=0,(($A212-(Simulador!$E$9+'Salto de dientes'!$B$12))/Simulador!$G$9)&gt;=1),0,IF((($A212-(Simulador!$E$9+'Salto de dientes'!$B$12))/Simulador!$G$9)&lt;Simulador!$B$11,Simulador!$B$10*(1-COS(PI()*(($A212-(Simulador!$E$9+'Salto de dientes'!$B$12))/Simulador!$G$9)/Simulador!$B$11))/2,IF((($A212-(Simulador!$E$9+'Salto de dientes'!$B$12))/Simulador!$G$9)&gt;1-Simulador!$B$11,Simulador!$B$10*(1-COS(PI()*(1-(($A212-(Simulador!$E$9+'Salto de dientes'!$B$12))/Simulador!$G$9))/Simulador!$B$11))/2,Simulador!$B$10)))</f>
        <v/>
      </c>
    </row>
    <row r="213">
      <c r="A213" s="26">
        <f>A212+Simulador!$B$14</f>
        <v/>
      </c>
      <c r="B213" s="46">
        <f>IF(OR((($A213-Simulador!$E$5)/Simulador!$G$5)&lt;=0,(($A213-Simulador!$E$5)/Simulador!$G$5)&gt;=1),0,IF((($A213-Simulador!$E$5)/Simulador!$G$5)&lt;Simulador!$B$11,Simulador!$B$9*(1-COS(PI()*(($A213-Simulador!$E$5)/Simulador!$G$5)/Simulador!$B$11))/2,IF((($A213-Simulador!$E$5)/Simulador!$G$5)&gt;1-Simulador!$B$11,Simulador!$B$9*(1-COS(PI()*(1-(($A213-Simulador!$E$5)/Simulador!$G$5))/Simulador!$B$11))/2,Simulador!$B$9)))</f>
        <v/>
      </c>
      <c r="C213" s="46">
        <f>IF(OR((($A213-Simulador!$E$6)/Simulador!$G$6)&lt;=0,(($A213-Simulador!$E$6)/Simulador!$G$6)&gt;=1),0,IF((($A213-Simulador!$E$6)/Simulador!$G$6)&lt;Simulador!$B$11,Simulador!$B$9*(1-COS(PI()*(($A213-Simulador!$E$6)/Simulador!$G$6)/Simulador!$B$11))/2,IF((($A213-Simulador!$E$6)/Simulador!$G$6)&gt;1-Simulador!$B$11,Simulador!$B$9*(1-COS(PI()*(1-(($A213-Simulador!$E$6)/Simulador!$G$6))/Simulador!$B$11))/2,Simulador!$B$9)))</f>
        <v/>
      </c>
      <c r="D213" s="46">
        <f>IF(OR((($A213-Simulador!$E$7)/Simulador!$G$7)&lt;=0,(($A213-Simulador!$E$7)/Simulador!$G$7)&gt;=1),0,IF((($A213-Simulador!$E$7)/Simulador!$G$7)&lt;Simulador!$B$11,Simulador!$B$9*(1-COS(PI()*(($A213-Simulador!$E$7)/Simulador!$G$7)/Simulador!$B$11))/2,IF((($A213-Simulador!$E$7)/Simulador!$G$7)&gt;1-Simulador!$B$11,Simulador!$B$9*(1-COS(PI()*(1-(($A213-Simulador!$E$7)/Simulador!$G$7))/Simulador!$B$11))/2,Simulador!$B$9)))</f>
        <v/>
      </c>
      <c r="E213" s="46">
        <f>IF(OR((($A213-Simulador!$E$8)/Simulador!$G$8)&lt;=0,(($A213-Simulador!$E$8)/Simulador!$G$8)&gt;=1),0,IF((($A213-Simulador!$E$8)/Simulador!$G$8)&lt;Simulador!$B$11,Simulador!$B$10*(1-COS(PI()*(($A213-Simulador!$E$8)/Simulador!$G$8)/Simulador!$B$11))/2,IF((($A213-Simulador!$E$8)/Simulador!$G$8)&gt;1-Simulador!$B$11,Simulador!$B$10*(1-COS(PI()*(1-(($A213-Simulador!$E$8)/Simulador!$G$8))/Simulador!$B$11))/2,Simulador!$B$10)))</f>
        <v/>
      </c>
      <c r="F213" s="46">
        <f>IF(OR((($A213-Simulador!$E$9)/Simulador!$G$9)&lt;=0,(($A213-Simulador!$E$9)/Simulador!$G$9)&gt;=1),0,IF((($A213-Simulador!$E$9)/Simulador!$G$9)&lt;Simulador!$B$11,Simulador!$B$10*(1-COS(PI()*(($A213-Simulador!$E$9)/Simulador!$G$9)/Simulador!$B$11))/2,IF((($A213-Simulador!$E$9)/Simulador!$G$9)&gt;1-Simulador!$B$11,Simulador!$B$10*(1-COS(PI()*(1-(($A213-Simulador!$E$9)/Simulador!$G$9))/Simulador!$B$11))/2,Simulador!$B$10)))</f>
        <v/>
      </c>
      <c r="G213" s="46">
        <f>IF(OR((($A213-Simulador!$E$10)/Simulador!$G$10)&lt;=0,(($A213-Simulador!$E$10)/Simulador!$G$10)&gt;=1),0,IF((($A213-Simulador!$E$10)/Simulador!$G$10)&lt;Simulador!$B$11,Simulador!$B$10*(1-COS(PI()*(($A213-Simulador!$E$10)/Simulador!$G$10)/Simulador!$B$11))/2,IF((($A213-Simulador!$E$10)/Simulador!$G$10)&gt;1-Simulador!$B$11,Simulador!$B$10*(1-COS(PI()*(1-(($A213-Simulador!$E$10)/Simulador!$G$10))/Simulador!$B$11))/2,Simulador!$B$10)))</f>
        <v/>
      </c>
      <c r="Q213" s="48">
        <f>IF(OR((($A213-(Simulador!$E$6+'Salto de dientes'!$B$12))/Simulador!$G$6)&lt;=0,(($A213-(Simulador!$E$6+'Salto de dientes'!$B$12))/Simulador!$G$6)&gt;=1),0,IF((($A213-(Simulador!$E$6+'Salto de dientes'!$B$12))/Simulador!$G$6)&lt;Simulador!$B$11,Simulador!$B$9*(1-COS(PI()*(($A213-(Simulador!$E$6+'Salto de dientes'!$B$12))/Simulador!$G$6)/Simulador!$B$11))/2,IF((($A213-(Simulador!$E$6+'Salto de dientes'!$B$12))/Simulador!$G$6)&gt;1-Simulador!$B$11,Simulador!$B$9*(1-COS(PI()*(1-(($A213-(Simulador!$E$6+'Salto de dientes'!$B$12))/Simulador!$G$6))/Simulador!$B$11))/2,Simulador!$B$9)))</f>
        <v/>
      </c>
      <c r="R213" s="48">
        <f>IF(OR((($A213-(Simulador!$E$9+'Salto de dientes'!$B$12))/Simulador!$G$9)&lt;=0,(($A213-(Simulador!$E$9+'Salto de dientes'!$B$12))/Simulador!$G$9)&gt;=1),0,IF((($A213-(Simulador!$E$9+'Salto de dientes'!$B$12))/Simulador!$G$9)&lt;Simulador!$B$11,Simulador!$B$10*(1-COS(PI()*(($A213-(Simulador!$E$9+'Salto de dientes'!$B$12))/Simulador!$G$9)/Simulador!$B$11))/2,IF((($A213-(Simulador!$E$9+'Salto de dientes'!$B$12))/Simulador!$G$9)&gt;1-Simulador!$B$11,Simulador!$B$10*(1-COS(PI()*(1-(($A213-(Simulador!$E$9+'Salto de dientes'!$B$12))/Simulador!$G$9))/Simulador!$B$11))/2,Simulador!$B$10)))</f>
        <v/>
      </c>
    </row>
    <row r="214">
      <c r="A214" s="26">
        <f>A213+Simulador!$B$14</f>
        <v/>
      </c>
      <c r="B214" s="46">
        <f>IF(OR((($A214-Simulador!$E$5)/Simulador!$G$5)&lt;=0,(($A214-Simulador!$E$5)/Simulador!$G$5)&gt;=1),0,IF((($A214-Simulador!$E$5)/Simulador!$G$5)&lt;Simulador!$B$11,Simulador!$B$9*(1-COS(PI()*(($A214-Simulador!$E$5)/Simulador!$G$5)/Simulador!$B$11))/2,IF((($A214-Simulador!$E$5)/Simulador!$G$5)&gt;1-Simulador!$B$11,Simulador!$B$9*(1-COS(PI()*(1-(($A214-Simulador!$E$5)/Simulador!$G$5))/Simulador!$B$11))/2,Simulador!$B$9)))</f>
        <v/>
      </c>
      <c r="C214" s="46">
        <f>IF(OR((($A214-Simulador!$E$6)/Simulador!$G$6)&lt;=0,(($A214-Simulador!$E$6)/Simulador!$G$6)&gt;=1),0,IF((($A214-Simulador!$E$6)/Simulador!$G$6)&lt;Simulador!$B$11,Simulador!$B$9*(1-COS(PI()*(($A214-Simulador!$E$6)/Simulador!$G$6)/Simulador!$B$11))/2,IF((($A214-Simulador!$E$6)/Simulador!$G$6)&gt;1-Simulador!$B$11,Simulador!$B$9*(1-COS(PI()*(1-(($A214-Simulador!$E$6)/Simulador!$G$6))/Simulador!$B$11))/2,Simulador!$B$9)))</f>
        <v/>
      </c>
      <c r="D214" s="46">
        <f>IF(OR((($A214-Simulador!$E$7)/Simulador!$G$7)&lt;=0,(($A214-Simulador!$E$7)/Simulador!$G$7)&gt;=1),0,IF((($A214-Simulador!$E$7)/Simulador!$G$7)&lt;Simulador!$B$11,Simulador!$B$9*(1-COS(PI()*(($A214-Simulador!$E$7)/Simulador!$G$7)/Simulador!$B$11))/2,IF((($A214-Simulador!$E$7)/Simulador!$G$7)&gt;1-Simulador!$B$11,Simulador!$B$9*(1-COS(PI()*(1-(($A214-Simulador!$E$7)/Simulador!$G$7))/Simulador!$B$11))/2,Simulador!$B$9)))</f>
        <v/>
      </c>
      <c r="E214" s="46">
        <f>IF(OR((($A214-Simulador!$E$8)/Simulador!$G$8)&lt;=0,(($A214-Simulador!$E$8)/Simulador!$G$8)&gt;=1),0,IF((($A214-Simulador!$E$8)/Simulador!$G$8)&lt;Simulador!$B$11,Simulador!$B$10*(1-COS(PI()*(($A214-Simulador!$E$8)/Simulador!$G$8)/Simulador!$B$11))/2,IF((($A214-Simulador!$E$8)/Simulador!$G$8)&gt;1-Simulador!$B$11,Simulador!$B$10*(1-COS(PI()*(1-(($A214-Simulador!$E$8)/Simulador!$G$8))/Simulador!$B$11))/2,Simulador!$B$10)))</f>
        <v/>
      </c>
      <c r="F214" s="46">
        <f>IF(OR((($A214-Simulador!$E$9)/Simulador!$G$9)&lt;=0,(($A214-Simulador!$E$9)/Simulador!$G$9)&gt;=1),0,IF((($A214-Simulador!$E$9)/Simulador!$G$9)&lt;Simulador!$B$11,Simulador!$B$10*(1-COS(PI()*(($A214-Simulador!$E$9)/Simulador!$G$9)/Simulador!$B$11))/2,IF((($A214-Simulador!$E$9)/Simulador!$G$9)&gt;1-Simulador!$B$11,Simulador!$B$10*(1-COS(PI()*(1-(($A214-Simulador!$E$9)/Simulador!$G$9))/Simulador!$B$11))/2,Simulador!$B$10)))</f>
        <v/>
      </c>
      <c r="G214" s="46">
        <f>IF(OR((($A214-Simulador!$E$10)/Simulador!$G$10)&lt;=0,(($A214-Simulador!$E$10)/Simulador!$G$10)&gt;=1),0,IF((($A214-Simulador!$E$10)/Simulador!$G$10)&lt;Simulador!$B$11,Simulador!$B$10*(1-COS(PI()*(($A214-Simulador!$E$10)/Simulador!$G$10)/Simulador!$B$11))/2,IF((($A214-Simulador!$E$10)/Simulador!$G$10)&gt;1-Simulador!$B$11,Simulador!$B$10*(1-COS(PI()*(1-(($A214-Simulador!$E$10)/Simulador!$G$10))/Simulador!$B$11))/2,Simulador!$B$10)))</f>
        <v/>
      </c>
      <c r="Q214" s="48">
        <f>IF(OR((($A214-(Simulador!$E$6+'Salto de dientes'!$B$12))/Simulador!$G$6)&lt;=0,(($A214-(Simulador!$E$6+'Salto de dientes'!$B$12))/Simulador!$G$6)&gt;=1),0,IF((($A214-(Simulador!$E$6+'Salto de dientes'!$B$12))/Simulador!$G$6)&lt;Simulador!$B$11,Simulador!$B$9*(1-COS(PI()*(($A214-(Simulador!$E$6+'Salto de dientes'!$B$12))/Simulador!$G$6)/Simulador!$B$11))/2,IF((($A214-(Simulador!$E$6+'Salto de dientes'!$B$12))/Simulador!$G$6)&gt;1-Simulador!$B$11,Simulador!$B$9*(1-COS(PI()*(1-(($A214-(Simulador!$E$6+'Salto de dientes'!$B$12))/Simulador!$G$6))/Simulador!$B$11))/2,Simulador!$B$9)))</f>
        <v/>
      </c>
      <c r="R214" s="48">
        <f>IF(OR((($A214-(Simulador!$E$9+'Salto de dientes'!$B$12))/Simulador!$G$9)&lt;=0,(($A214-(Simulador!$E$9+'Salto de dientes'!$B$12))/Simulador!$G$9)&gt;=1),0,IF((($A214-(Simulador!$E$9+'Salto de dientes'!$B$12))/Simulador!$G$9)&lt;Simulador!$B$11,Simulador!$B$10*(1-COS(PI()*(($A214-(Simulador!$E$9+'Salto de dientes'!$B$12))/Simulador!$G$9)/Simulador!$B$11))/2,IF((($A214-(Simulador!$E$9+'Salto de dientes'!$B$12))/Simulador!$G$9)&gt;1-Simulador!$B$11,Simulador!$B$10*(1-COS(PI()*(1-(($A214-(Simulador!$E$9+'Salto de dientes'!$B$12))/Simulador!$G$9))/Simulador!$B$11))/2,Simulador!$B$10)))</f>
        <v/>
      </c>
    </row>
    <row r="215">
      <c r="A215" s="26">
        <f>A214+Simulador!$B$14</f>
        <v/>
      </c>
      <c r="B215" s="46">
        <f>IF(OR((($A215-Simulador!$E$5)/Simulador!$G$5)&lt;=0,(($A215-Simulador!$E$5)/Simulador!$G$5)&gt;=1),0,IF((($A215-Simulador!$E$5)/Simulador!$G$5)&lt;Simulador!$B$11,Simulador!$B$9*(1-COS(PI()*(($A215-Simulador!$E$5)/Simulador!$G$5)/Simulador!$B$11))/2,IF((($A215-Simulador!$E$5)/Simulador!$G$5)&gt;1-Simulador!$B$11,Simulador!$B$9*(1-COS(PI()*(1-(($A215-Simulador!$E$5)/Simulador!$G$5))/Simulador!$B$11))/2,Simulador!$B$9)))</f>
        <v/>
      </c>
      <c r="C215" s="46">
        <f>IF(OR((($A215-Simulador!$E$6)/Simulador!$G$6)&lt;=0,(($A215-Simulador!$E$6)/Simulador!$G$6)&gt;=1),0,IF((($A215-Simulador!$E$6)/Simulador!$G$6)&lt;Simulador!$B$11,Simulador!$B$9*(1-COS(PI()*(($A215-Simulador!$E$6)/Simulador!$G$6)/Simulador!$B$11))/2,IF((($A215-Simulador!$E$6)/Simulador!$G$6)&gt;1-Simulador!$B$11,Simulador!$B$9*(1-COS(PI()*(1-(($A215-Simulador!$E$6)/Simulador!$G$6))/Simulador!$B$11))/2,Simulador!$B$9)))</f>
        <v/>
      </c>
      <c r="D215" s="46">
        <f>IF(OR((($A215-Simulador!$E$7)/Simulador!$G$7)&lt;=0,(($A215-Simulador!$E$7)/Simulador!$G$7)&gt;=1),0,IF((($A215-Simulador!$E$7)/Simulador!$G$7)&lt;Simulador!$B$11,Simulador!$B$9*(1-COS(PI()*(($A215-Simulador!$E$7)/Simulador!$G$7)/Simulador!$B$11))/2,IF((($A215-Simulador!$E$7)/Simulador!$G$7)&gt;1-Simulador!$B$11,Simulador!$B$9*(1-COS(PI()*(1-(($A215-Simulador!$E$7)/Simulador!$G$7))/Simulador!$B$11))/2,Simulador!$B$9)))</f>
        <v/>
      </c>
      <c r="E215" s="46">
        <f>IF(OR((($A215-Simulador!$E$8)/Simulador!$G$8)&lt;=0,(($A215-Simulador!$E$8)/Simulador!$G$8)&gt;=1),0,IF((($A215-Simulador!$E$8)/Simulador!$G$8)&lt;Simulador!$B$11,Simulador!$B$10*(1-COS(PI()*(($A215-Simulador!$E$8)/Simulador!$G$8)/Simulador!$B$11))/2,IF((($A215-Simulador!$E$8)/Simulador!$G$8)&gt;1-Simulador!$B$11,Simulador!$B$10*(1-COS(PI()*(1-(($A215-Simulador!$E$8)/Simulador!$G$8))/Simulador!$B$11))/2,Simulador!$B$10)))</f>
        <v/>
      </c>
      <c r="F215" s="46">
        <f>IF(OR((($A215-Simulador!$E$9)/Simulador!$G$9)&lt;=0,(($A215-Simulador!$E$9)/Simulador!$G$9)&gt;=1),0,IF((($A215-Simulador!$E$9)/Simulador!$G$9)&lt;Simulador!$B$11,Simulador!$B$10*(1-COS(PI()*(($A215-Simulador!$E$9)/Simulador!$G$9)/Simulador!$B$11))/2,IF((($A215-Simulador!$E$9)/Simulador!$G$9)&gt;1-Simulador!$B$11,Simulador!$B$10*(1-COS(PI()*(1-(($A215-Simulador!$E$9)/Simulador!$G$9))/Simulador!$B$11))/2,Simulador!$B$10)))</f>
        <v/>
      </c>
      <c r="G215" s="46">
        <f>IF(OR((($A215-Simulador!$E$10)/Simulador!$G$10)&lt;=0,(($A215-Simulador!$E$10)/Simulador!$G$10)&gt;=1),0,IF((($A215-Simulador!$E$10)/Simulador!$G$10)&lt;Simulador!$B$11,Simulador!$B$10*(1-COS(PI()*(($A215-Simulador!$E$10)/Simulador!$G$10)/Simulador!$B$11))/2,IF((($A215-Simulador!$E$10)/Simulador!$G$10)&gt;1-Simulador!$B$11,Simulador!$B$10*(1-COS(PI()*(1-(($A215-Simulador!$E$10)/Simulador!$G$10))/Simulador!$B$11))/2,Simulador!$B$10)))</f>
        <v/>
      </c>
      <c r="Q215" s="48">
        <f>IF(OR((($A215-(Simulador!$E$6+'Salto de dientes'!$B$12))/Simulador!$G$6)&lt;=0,(($A215-(Simulador!$E$6+'Salto de dientes'!$B$12))/Simulador!$G$6)&gt;=1),0,IF((($A215-(Simulador!$E$6+'Salto de dientes'!$B$12))/Simulador!$G$6)&lt;Simulador!$B$11,Simulador!$B$9*(1-COS(PI()*(($A215-(Simulador!$E$6+'Salto de dientes'!$B$12))/Simulador!$G$6)/Simulador!$B$11))/2,IF((($A215-(Simulador!$E$6+'Salto de dientes'!$B$12))/Simulador!$G$6)&gt;1-Simulador!$B$11,Simulador!$B$9*(1-COS(PI()*(1-(($A215-(Simulador!$E$6+'Salto de dientes'!$B$12))/Simulador!$G$6))/Simulador!$B$11))/2,Simulador!$B$9)))</f>
        <v/>
      </c>
      <c r="R215" s="48">
        <f>IF(OR((($A215-(Simulador!$E$9+'Salto de dientes'!$B$12))/Simulador!$G$9)&lt;=0,(($A215-(Simulador!$E$9+'Salto de dientes'!$B$12))/Simulador!$G$9)&gt;=1),0,IF((($A215-(Simulador!$E$9+'Salto de dientes'!$B$12))/Simulador!$G$9)&lt;Simulador!$B$11,Simulador!$B$10*(1-COS(PI()*(($A215-(Simulador!$E$9+'Salto de dientes'!$B$12))/Simulador!$G$9)/Simulador!$B$11))/2,IF((($A215-(Simulador!$E$9+'Salto de dientes'!$B$12))/Simulador!$G$9)&gt;1-Simulador!$B$11,Simulador!$B$10*(1-COS(PI()*(1-(($A215-(Simulador!$E$9+'Salto de dientes'!$B$12))/Simulador!$G$9))/Simulador!$B$11))/2,Simulador!$B$10)))</f>
        <v/>
      </c>
    </row>
    <row r="216">
      <c r="A216" s="26">
        <f>A215+Simulador!$B$14</f>
        <v/>
      </c>
      <c r="B216" s="46">
        <f>IF(OR((($A216-Simulador!$E$5)/Simulador!$G$5)&lt;=0,(($A216-Simulador!$E$5)/Simulador!$G$5)&gt;=1),0,IF((($A216-Simulador!$E$5)/Simulador!$G$5)&lt;Simulador!$B$11,Simulador!$B$9*(1-COS(PI()*(($A216-Simulador!$E$5)/Simulador!$G$5)/Simulador!$B$11))/2,IF((($A216-Simulador!$E$5)/Simulador!$G$5)&gt;1-Simulador!$B$11,Simulador!$B$9*(1-COS(PI()*(1-(($A216-Simulador!$E$5)/Simulador!$G$5))/Simulador!$B$11))/2,Simulador!$B$9)))</f>
        <v/>
      </c>
      <c r="C216" s="46">
        <f>IF(OR((($A216-Simulador!$E$6)/Simulador!$G$6)&lt;=0,(($A216-Simulador!$E$6)/Simulador!$G$6)&gt;=1),0,IF((($A216-Simulador!$E$6)/Simulador!$G$6)&lt;Simulador!$B$11,Simulador!$B$9*(1-COS(PI()*(($A216-Simulador!$E$6)/Simulador!$G$6)/Simulador!$B$11))/2,IF((($A216-Simulador!$E$6)/Simulador!$G$6)&gt;1-Simulador!$B$11,Simulador!$B$9*(1-COS(PI()*(1-(($A216-Simulador!$E$6)/Simulador!$G$6))/Simulador!$B$11))/2,Simulador!$B$9)))</f>
        <v/>
      </c>
      <c r="D216" s="46">
        <f>IF(OR((($A216-Simulador!$E$7)/Simulador!$G$7)&lt;=0,(($A216-Simulador!$E$7)/Simulador!$G$7)&gt;=1),0,IF((($A216-Simulador!$E$7)/Simulador!$G$7)&lt;Simulador!$B$11,Simulador!$B$9*(1-COS(PI()*(($A216-Simulador!$E$7)/Simulador!$G$7)/Simulador!$B$11))/2,IF((($A216-Simulador!$E$7)/Simulador!$G$7)&gt;1-Simulador!$B$11,Simulador!$B$9*(1-COS(PI()*(1-(($A216-Simulador!$E$7)/Simulador!$G$7))/Simulador!$B$11))/2,Simulador!$B$9)))</f>
        <v/>
      </c>
      <c r="E216" s="46">
        <f>IF(OR((($A216-Simulador!$E$8)/Simulador!$G$8)&lt;=0,(($A216-Simulador!$E$8)/Simulador!$G$8)&gt;=1),0,IF((($A216-Simulador!$E$8)/Simulador!$G$8)&lt;Simulador!$B$11,Simulador!$B$10*(1-COS(PI()*(($A216-Simulador!$E$8)/Simulador!$G$8)/Simulador!$B$11))/2,IF((($A216-Simulador!$E$8)/Simulador!$G$8)&gt;1-Simulador!$B$11,Simulador!$B$10*(1-COS(PI()*(1-(($A216-Simulador!$E$8)/Simulador!$G$8))/Simulador!$B$11))/2,Simulador!$B$10)))</f>
        <v/>
      </c>
      <c r="F216" s="46">
        <f>IF(OR((($A216-Simulador!$E$9)/Simulador!$G$9)&lt;=0,(($A216-Simulador!$E$9)/Simulador!$G$9)&gt;=1),0,IF((($A216-Simulador!$E$9)/Simulador!$G$9)&lt;Simulador!$B$11,Simulador!$B$10*(1-COS(PI()*(($A216-Simulador!$E$9)/Simulador!$G$9)/Simulador!$B$11))/2,IF((($A216-Simulador!$E$9)/Simulador!$G$9)&gt;1-Simulador!$B$11,Simulador!$B$10*(1-COS(PI()*(1-(($A216-Simulador!$E$9)/Simulador!$G$9))/Simulador!$B$11))/2,Simulador!$B$10)))</f>
        <v/>
      </c>
      <c r="G216" s="46">
        <f>IF(OR((($A216-Simulador!$E$10)/Simulador!$G$10)&lt;=0,(($A216-Simulador!$E$10)/Simulador!$G$10)&gt;=1),0,IF((($A216-Simulador!$E$10)/Simulador!$G$10)&lt;Simulador!$B$11,Simulador!$B$10*(1-COS(PI()*(($A216-Simulador!$E$10)/Simulador!$G$10)/Simulador!$B$11))/2,IF((($A216-Simulador!$E$10)/Simulador!$G$10)&gt;1-Simulador!$B$11,Simulador!$B$10*(1-COS(PI()*(1-(($A216-Simulador!$E$10)/Simulador!$G$10))/Simulador!$B$11))/2,Simulador!$B$10)))</f>
        <v/>
      </c>
      <c r="Q216" s="48">
        <f>IF(OR((($A216-(Simulador!$E$6+'Salto de dientes'!$B$12))/Simulador!$G$6)&lt;=0,(($A216-(Simulador!$E$6+'Salto de dientes'!$B$12))/Simulador!$G$6)&gt;=1),0,IF((($A216-(Simulador!$E$6+'Salto de dientes'!$B$12))/Simulador!$G$6)&lt;Simulador!$B$11,Simulador!$B$9*(1-COS(PI()*(($A216-(Simulador!$E$6+'Salto de dientes'!$B$12))/Simulador!$G$6)/Simulador!$B$11))/2,IF((($A216-(Simulador!$E$6+'Salto de dientes'!$B$12))/Simulador!$G$6)&gt;1-Simulador!$B$11,Simulador!$B$9*(1-COS(PI()*(1-(($A216-(Simulador!$E$6+'Salto de dientes'!$B$12))/Simulador!$G$6))/Simulador!$B$11))/2,Simulador!$B$9)))</f>
        <v/>
      </c>
      <c r="R216" s="48">
        <f>IF(OR((($A216-(Simulador!$E$9+'Salto de dientes'!$B$12))/Simulador!$G$9)&lt;=0,(($A216-(Simulador!$E$9+'Salto de dientes'!$B$12))/Simulador!$G$9)&gt;=1),0,IF((($A216-(Simulador!$E$9+'Salto de dientes'!$B$12))/Simulador!$G$9)&lt;Simulador!$B$11,Simulador!$B$10*(1-COS(PI()*(($A216-(Simulador!$E$9+'Salto de dientes'!$B$12))/Simulador!$G$9)/Simulador!$B$11))/2,IF((($A216-(Simulador!$E$9+'Salto de dientes'!$B$12))/Simulador!$G$9)&gt;1-Simulador!$B$11,Simulador!$B$10*(1-COS(PI()*(1-(($A216-(Simulador!$E$9+'Salto de dientes'!$B$12))/Simulador!$G$9))/Simulador!$B$11))/2,Simulador!$B$10)))</f>
        <v/>
      </c>
    </row>
    <row r="217">
      <c r="A217" s="26">
        <f>A216+Simulador!$B$14</f>
        <v/>
      </c>
      <c r="B217" s="46">
        <f>IF(OR((($A217-Simulador!$E$5)/Simulador!$G$5)&lt;=0,(($A217-Simulador!$E$5)/Simulador!$G$5)&gt;=1),0,IF((($A217-Simulador!$E$5)/Simulador!$G$5)&lt;Simulador!$B$11,Simulador!$B$9*(1-COS(PI()*(($A217-Simulador!$E$5)/Simulador!$G$5)/Simulador!$B$11))/2,IF((($A217-Simulador!$E$5)/Simulador!$G$5)&gt;1-Simulador!$B$11,Simulador!$B$9*(1-COS(PI()*(1-(($A217-Simulador!$E$5)/Simulador!$G$5))/Simulador!$B$11))/2,Simulador!$B$9)))</f>
        <v/>
      </c>
      <c r="C217" s="46">
        <f>IF(OR((($A217-Simulador!$E$6)/Simulador!$G$6)&lt;=0,(($A217-Simulador!$E$6)/Simulador!$G$6)&gt;=1),0,IF((($A217-Simulador!$E$6)/Simulador!$G$6)&lt;Simulador!$B$11,Simulador!$B$9*(1-COS(PI()*(($A217-Simulador!$E$6)/Simulador!$G$6)/Simulador!$B$11))/2,IF((($A217-Simulador!$E$6)/Simulador!$G$6)&gt;1-Simulador!$B$11,Simulador!$B$9*(1-COS(PI()*(1-(($A217-Simulador!$E$6)/Simulador!$G$6))/Simulador!$B$11))/2,Simulador!$B$9)))</f>
        <v/>
      </c>
      <c r="D217" s="46">
        <f>IF(OR((($A217-Simulador!$E$7)/Simulador!$G$7)&lt;=0,(($A217-Simulador!$E$7)/Simulador!$G$7)&gt;=1),0,IF((($A217-Simulador!$E$7)/Simulador!$G$7)&lt;Simulador!$B$11,Simulador!$B$9*(1-COS(PI()*(($A217-Simulador!$E$7)/Simulador!$G$7)/Simulador!$B$11))/2,IF((($A217-Simulador!$E$7)/Simulador!$G$7)&gt;1-Simulador!$B$11,Simulador!$B$9*(1-COS(PI()*(1-(($A217-Simulador!$E$7)/Simulador!$G$7))/Simulador!$B$11))/2,Simulador!$B$9)))</f>
        <v/>
      </c>
      <c r="E217" s="46">
        <f>IF(OR((($A217-Simulador!$E$8)/Simulador!$G$8)&lt;=0,(($A217-Simulador!$E$8)/Simulador!$G$8)&gt;=1),0,IF((($A217-Simulador!$E$8)/Simulador!$G$8)&lt;Simulador!$B$11,Simulador!$B$10*(1-COS(PI()*(($A217-Simulador!$E$8)/Simulador!$G$8)/Simulador!$B$11))/2,IF((($A217-Simulador!$E$8)/Simulador!$G$8)&gt;1-Simulador!$B$11,Simulador!$B$10*(1-COS(PI()*(1-(($A217-Simulador!$E$8)/Simulador!$G$8))/Simulador!$B$11))/2,Simulador!$B$10)))</f>
        <v/>
      </c>
      <c r="F217" s="46">
        <f>IF(OR((($A217-Simulador!$E$9)/Simulador!$G$9)&lt;=0,(($A217-Simulador!$E$9)/Simulador!$G$9)&gt;=1),0,IF((($A217-Simulador!$E$9)/Simulador!$G$9)&lt;Simulador!$B$11,Simulador!$B$10*(1-COS(PI()*(($A217-Simulador!$E$9)/Simulador!$G$9)/Simulador!$B$11))/2,IF((($A217-Simulador!$E$9)/Simulador!$G$9)&gt;1-Simulador!$B$11,Simulador!$B$10*(1-COS(PI()*(1-(($A217-Simulador!$E$9)/Simulador!$G$9))/Simulador!$B$11))/2,Simulador!$B$10)))</f>
        <v/>
      </c>
      <c r="G217" s="46">
        <f>IF(OR((($A217-Simulador!$E$10)/Simulador!$G$10)&lt;=0,(($A217-Simulador!$E$10)/Simulador!$G$10)&gt;=1),0,IF((($A217-Simulador!$E$10)/Simulador!$G$10)&lt;Simulador!$B$11,Simulador!$B$10*(1-COS(PI()*(($A217-Simulador!$E$10)/Simulador!$G$10)/Simulador!$B$11))/2,IF((($A217-Simulador!$E$10)/Simulador!$G$10)&gt;1-Simulador!$B$11,Simulador!$B$10*(1-COS(PI()*(1-(($A217-Simulador!$E$10)/Simulador!$G$10))/Simulador!$B$11))/2,Simulador!$B$10)))</f>
        <v/>
      </c>
      <c r="Q217" s="48">
        <f>IF(OR((($A217-(Simulador!$E$6+'Salto de dientes'!$B$12))/Simulador!$G$6)&lt;=0,(($A217-(Simulador!$E$6+'Salto de dientes'!$B$12))/Simulador!$G$6)&gt;=1),0,IF((($A217-(Simulador!$E$6+'Salto de dientes'!$B$12))/Simulador!$G$6)&lt;Simulador!$B$11,Simulador!$B$9*(1-COS(PI()*(($A217-(Simulador!$E$6+'Salto de dientes'!$B$12))/Simulador!$G$6)/Simulador!$B$11))/2,IF((($A217-(Simulador!$E$6+'Salto de dientes'!$B$12))/Simulador!$G$6)&gt;1-Simulador!$B$11,Simulador!$B$9*(1-COS(PI()*(1-(($A217-(Simulador!$E$6+'Salto de dientes'!$B$12))/Simulador!$G$6))/Simulador!$B$11))/2,Simulador!$B$9)))</f>
        <v/>
      </c>
      <c r="R217" s="48">
        <f>IF(OR((($A217-(Simulador!$E$9+'Salto de dientes'!$B$12))/Simulador!$G$9)&lt;=0,(($A217-(Simulador!$E$9+'Salto de dientes'!$B$12))/Simulador!$G$9)&gt;=1),0,IF((($A217-(Simulador!$E$9+'Salto de dientes'!$B$12))/Simulador!$G$9)&lt;Simulador!$B$11,Simulador!$B$10*(1-COS(PI()*(($A217-(Simulador!$E$9+'Salto de dientes'!$B$12))/Simulador!$G$9)/Simulador!$B$11))/2,IF((($A217-(Simulador!$E$9+'Salto de dientes'!$B$12))/Simulador!$G$9)&gt;1-Simulador!$B$11,Simulador!$B$10*(1-COS(PI()*(1-(($A217-(Simulador!$E$9+'Salto de dientes'!$B$12))/Simulador!$G$9))/Simulador!$B$11))/2,Simulador!$B$10)))</f>
        <v/>
      </c>
    </row>
    <row r="218">
      <c r="A218" s="26">
        <f>A217+Simulador!$B$14</f>
        <v/>
      </c>
      <c r="B218" s="46">
        <f>IF(OR((($A218-Simulador!$E$5)/Simulador!$G$5)&lt;=0,(($A218-Simulador!$E$5)/Simulador!$G$5)&gt;=1),0,IF((($A218-Simulador!$E$5)/Simulador!$G$5)&lt;Simulador!$B$11,Simulador!$B$9*(1-COS(PI()*(($A218-Simulador!$E$5)/Simulador!$G$5)/Simulador!$B$11))/2,IF((($A218-Simulador!$E$5)/Simulador!$G$5)&gt;1-Simulador!$B$11,Simulador!$B$9*(1-COS(PI()*(1-(($A218-Simulador!$E$5)/Simulador!$G$5))/Simulador!$B$11))/2,Simulador!$B$9)))</f>
        <v/>
      </c>
      <c r="C218" s="46">
        <f>IF(OR((($A218-Simulador!$E$6)/Simulador!$G$6)&lt;=0,(($A218-Simulador!$E$6)/Simulador!$G$6)&gt;=1),0,IF((($A218-Simulador!$E$6)/Simulador!$G$6)&lt;Simulador!$B$11,Simulador!$B$9*(1-COS(PI()*(($A218-Simulador!$E$6)/Simulador!$G$6)/Simulador!$B$11))/2,IF((($A218-Simulador!$E$6)/Simulador!$G$6)&gt;1-Simulador!$B$11,Simulador!$B$9*(1-COS(PI()*(1-(($A218-Simulador!$E$6)/Simulador!$G$6))/Simulador!$B$11))/2,Simulador!$B$9)))</f>
        <v/>
      </c>
      <c r="D218" s="46">
        <f>IF(OR((($A218-Simulador!$E$7)/Simulador!$G$7)&lt;=0,(($A218-Simulador!$E$7)/Simulador!$G$7)&gt;=1),0,IF((($A218-Simulador!$E$7)/Simulador!$G$7)&lt;Simulador!$B$11,Simulador!$B$9*(1-COS(PI()*(($A218-Simulador!$E$7)/Simulador!$G$7)/Simulador!$B$11))/2,IF((($A218-Simulador!$E$7)/Simulador!$G$7)&gt;1-Simulador!$B$11,Simulador!$B$9*(1-COS(PI()*(1-(($A218-Simulador!$E$7)/Simulador!$G$7))/Simulador!$B$11))/2,Simulador!$B$9)))</f>
        <v/>
      </c>
      <c r="E218" s="46">
        <f>IF(OR((($A218-Simulador!$E$8)/Simulador!$G$8)&lt;=0,(($A218-Simulador!$E$8)/Simulador!$G$8)&gt;=1),0,IF((($A218-Simulador!$E$8)/Simulador!$G$8)&lt;Simulador!$B$11,Simulador!$B$10*(1-COS(PI()*(($A218-Simulador!$E$8)/Simulador!$G$8)/Simulador!$B$11))/2,IF((($A218-Simulador!$E$8)/Simulador!$G$8)&gt;1-Simulador!$B$11,Simulador!$B$10*(1-COS(PI()*(1-(($A218-Simulador!$E$8)/Simulador!$G$8))/Simulador!$B$11))/2,Simulador!$B$10)))</f>
        <v/>
      </c>
      <c r="F218" s="46">
        <f>IF(OR((($A218-Simulador!$E$9)/Simulador!$G$9)&lt;=0,(($A218-Simulador!$E$9)/Simulador!$G$9)&gt;=1),0,IF((($A218-Simulador!$E$9)/Simulador!$G$9)&lt;Simulador!$B$11,Simulador!$B$10*(1-COS(PI()*(($A218-Simulador!$E$9)/Simulador!$G$9)/Simulador!$B$11))/2,IF((($A218-Simulador!$E$9)/Simulador!$G$9)&gt;1-Simulador!$B$11,Simulador!$B$10*(1-COS(PI()*(1-(($A218-Simulador!$E$9)/Simulador!$G$9))/Simulador!$B$11))/2,Simulador!$B$10)))</f>
        <v/>
      </c>
      <c r="G218" s="46">
        <f>IF(OR((($A218-Simulador!$E$10)/Simulador!$G$10)&lt;=0,(($A218-Simulador!$E$10)/Simulador!$G$10)&gt;=1),0,IF((($A218-Simulador!$E$10)/Simulador!$G$10)&lt;Simulador!$B$11,Simulador!$B$10*(1-COS(PI()*(($A218-Simulador!$E$10)/Simulador!$G$10)/Simulador!$B$11))/2,IF((($A218-Simulador!$E$10)/Simulador!$G$10)&gt;1-Simulador!$B$11,Simulador!$B$10*(1-COS(PI()*(1-(($A218-Simulador!$E$10)/Simulador!$G$10))/Simulador!$B$11))/2,Simulador!$B$10)))</f>
        <v/>
      </c>
      <c r="Q218" s="48">
        <f>IF(OR((($A218-(Simulador!$E$6+'Salto de dientes'!$B$12))/Simulador!$G$6)&lt;=0,(($A218-(Simulador!$E$6+'Salto de dientes'!$B$12))/Simulador!$G$6)&gt;=1),0,IF((($A218-(Simulador!$E$6+'Salto de dientes'!$B$12))/Simulador!$G$6)&lt;Simulador!$B$11,Simulador!$B$9*(1-COS(PI()*(($A218-(Simulador!$E$6+'Salto de dientes'!$B$12))/Simulador!$G$6)/Simulador!$B$11))/2,IF((($A218-(Simulador!$E$6+'Salto de dientes'!$B$12))/Simulador!$G$6)&gt;1-Simulador!$B$11,Simulador!$B$9*(1-COS(PI()*(1-(($A218-(Simulador!$E$6+'Salto de dientes'!$B$12))/Simulador!$G$6))/Simulador!$B$11))/2,Simulador!$B$9)))</f>
        <v/>
      </c>
      <c r="R218" s="48">
        <f>IF(OR((($A218-(Simulador!$E$9+'Salto de dientes'!$B$12))/Simulador!$G$9)&lt;=0,(($A218-(Simulador!$E$9+'Salto de dientes'!$B$12))/Simulador!$G$9)&gt;=1),0,IF((($A218-(Simulador!$E$9+'Salto de dientes'!$B$12))/Simulador!$G$9)&lt;Simulador!$B$11,Simulador!$B$10*(1-COS(PI()*(($A218-(Simulador!$E$9+'Salto de dientes'!$B$12))/Simulador!$G$9)/Simulador!$B$11))/2,IF((($A218-(Simulador!$E$9+'Salto de dientes'!$B$12))/Simulador!$G$9)&gt;1-Simulador!$B$11,Simulador!$B$10*(1-COS(PI()*(1-(($A218-(Simulador!$E$9+'Salto de dientes'!$B$12))/Simulador!$G$9))/Simulador!$B$11))/2,Simulador!$B$10)))</f>
        <v/>
      </c>
    </row>
    <row r="219">
      <c r="A219" s="26">
        <f>A218+Simulador!$B$14</f>
        <v/>
      </c>
      <c r="B219" s="46">
        <f>IF(OR((($A219-Simulador!$E$5)/Simulador!$G$5)&lt;=0,(($A219-Simulador!$E$5)/Simulador!$G$5)&gt;=1),0,IF((($A219-Simulador!$E$5)/Simulador!$G$5)&lt;Simulador!$B$11,Simulador!$B$9*(1-COS(PI()*(($A219-Simulador!$E$5)/Simulador!$G$5)/Simulador!$B$11))/2,IF((($A219-Simulador!$E$5)/Simulador!$G$5)&gt;1-Simulador!$B$11,Simulador!$B$9*(1-COS(PI()*(1-(($A219-Simulador!$E$5)/Simulador!$G$5))/Simulador!$B$11))/2,Simulador!$B$9)))</f>
        <v/>
      </c>
      <c r="C219" s="46">
        <f>IF(OR((($A219-Simulador!$E$6)/Simulador!$G$6)&lt;=0,(($A219-Simulador!$E$6)/Simulador!$G$6)&gt;=1),0,IF((($A219-Simulador!$E$6)/Simulador!$G$6)&lt;Simulador!$B$11,Simulador!$B$9*(1-COS(PI()*(($A219-Simulador!$E$6)/Simulador!$G$6)/Simulador!$B$11))/2,IF((($A219-Simulador!$E$6)/Simulador!$G$6)&gt;1-Simulador!$B$11,Simulador!$B$9*(1-COS(PI()*(1-(($A219-Simulador!$E$6)/Simulador!$G$6))/Simulador!$B$11))/2,Simulador!$B$9)))</f>
        <v/>
      </c>
      <c r="D219" s="46">
        <f>IF(OR((($A219-Simulador!$E$7)/Simulador!$G$7)&lt;=0,(($A219-Simulador!$E$7)/Simulador!$G$7)&gt;=1),0,IF((($A219-Simulador!$E$7)/Simulador!$G$7)&lt;Simulador!$B$11,Simulador!$B$9*(1-COS(PI()*(($A219-Simulador!$E$7)/Simulador!$G$7)/Simulador!$B$11))/2,IF((($A219-Simulador!$E$7)/Simulador!$G$7)&gt;1-Simulador!$B$11,Simulador!$B$9*(1-COS(PI()*(1-(($A219-Simulador!$E$7)/Simulador!$G$7))/Simulador!$B$11))/2,Simulador!$B$9)))</f>
        <v/>
      </c>
      <c r="E219" s="46">
        <f>IF(OR((($A219-Simulador!$E$8)/Simulador!$G$8)&lt;=0,(($A219-Simulador!$E$8)/Simulador!$G$8)&gt;=1),0,IF((($A219-Simulador!$E$8)/Simulador!$G$8)&lt;Simulador!$B$11,Simulador!$B$10*(1-COS(PI()*(($A219-Simulador!$E$8)/Simulador!$G$8)/Simulador!$B$11))/2,IF((($A219-Simulador!$E$8)/Simulador!$G$8)&gt;1-Simulador!$B$11,Simulador!$B$10*(1-COS(PI()*(1-(($A219-Simulador!$E$8)/Simulador!$G$8))/Simulador!$B$11))/2,Simulador!$B$10)))</f>
        <v/>
      </c>
      <c r="F219" s="46">
        <f>IF(OR((($A219-Simulador!$E$9)/Simulador!$G$9)&lt;=0,(($A219-Simulador!$E$9)/Simulador!$G$9)&gt;=1),0,IF((($A219-Simulador!$E$9)/Simulador!$G$9)&lt;Simulador!$B$11,Simulador!$B$10*(1-COS(PI()*(($A219-Simulador!$E$9)/Simulador!$G$9)/Simulador!$B$11))/2,IF((($A219-Simulador!$E$9)/Simulador!$G$9)&gt;1-Simulador!$B$11,Simulador!$B$10*(1-COS(PI()*(1-(($A219-Simulador!$E$9)/Simulador!$G$9))/Simulador!$B$11))/2,Simulador!$B$10)))</f>
        <v/>
      </c>
      <c r="G219" s="46">
        <f>IF(OR((($A219-Simulador!$E$10)/Simulador!$G$10)&lt;=0,(($A219-Simulador!$E$10)/Simulador!$G$10)&gt;=1),0,IF((($A219-Simulador!$E$10)/Simulador!$G$10)&lt;Simulador!$B$11,Simulador!$B$10*(1-COS(PI()*(($A219-Simulador!$E$10)/Simulador!$G$10)/Simulador!$B$11))/2,IF((($A219-Simulador!$E$10)/Simulador!$G$10)&gt;1-Simulador!$B$11,Simulador!$B$10*(1-COS(PI()*(1-(($A219-Simulador!$E$10)/Simulador!$G$10))/Simulador!$B$11))/2,Simulador!$B$10)))</f>
        <v/>
      </c>
      <c r="Q219" s="48">
        <f>IF(OR((($A219-(Simulador!$E$6+'Salto de dientes'!$B$12))/Simulador!$G$6)&lt;=0,(($A219-(Simulador!$E$6+'Salto de dientes'!$B$12))/Simulador!$G$6)&gt;=1),0,IF((($A219-(Simulador!$E$6+'Salto de dientes'!$B$12))/Simulador!$G$6)&lt;Simulador!$B$11,Simulador!$B$9*(1-COS(PI()*(($A219-(Simulador!$E$6+'Salto de dientes'!$B$12))/Simulador!$G$6)/Simulador!$B$11))/2,IF((($A219-(Simulador!$E$6+'Salto de dientes'!$B$12))/Simulador!$G$6)&gt;1-Simulador!$B$11,Simulador!$B$9*(1-COS(PI()*(1-(($A219-(Simulador!$E$6+'Salto de dientes'!$B$12))/Simulador!$G$6))/Simulador!$B$11))/2,Simulador!$B$9)))</f>
        <v/>
      </c>
      <c r="R219" s="48">
        <f>IF(OR((($A219-(Simulador!$E$9+'Salto de dientes'!$B$12))/Simulador!$G$9)&lt;=0,(($A219-(Simulador!$E$9+'Salto de dientes'!$B$12))/Simulador!$G$9)&gt;=1),0,IF((($A219-(Simulador!$E$9+'Salto de dientes'!$B$12))/Simulador!$G$9)&lt;Simulador!$B$11,Simulador!$B$10*(1-COS(PI()*(($A219-(Simulador!$E$9+'Salto de dientes'!$B$12))/Simulador!$G$9)/Simulador!$B$11))/2,IF((($A219-(Simulador!$E$9+'Salto de dientes'!$B$12))/Simulador!$G$9)&gt;1-Simulador!$B$11,Simulador!$B$10*(1-COS(PI()*(1-(($A219-(Simulador!$E$9+'Salto de dientes'!$B$12))/Simulador!$G$9))/Simulador!$B$11))/2,Simulador!$B$10)))</f>
        <v/>
      </c>
    </row>
    <row r="220">
      <c r="A220" s="26">
        <f>A219+Simulador!$B$14</f>
        <v/>
      </c>
      <c r="B220" s="46">
        <f>IF(OR((($A220-Simulador!$E$5)/Simulador!$G$5)&lt;=0,(($A220-Simulador!$E$5)/Simulador!$G$5)&gt;=1),0,IF((($A220-Simulador!$E$5)/Simulador!$G$5)&lt;Simulador!$B$11,Simulador!$B$9*(1-COS(PI()*(($A220-Simulador!$E$5)/Simulador!$G$5)/Simulador!$B$11))/2,IF((($A220-Simulador!$E$5)/Simulador!$G$5)&gt;1-Simulador!$B$11,Simulador!$B$9*(1-COS(PI()*(1-(($A220-Simulador!$E$5)/Simulador!$G$5))/Simulador!$B$11))/2,Simulador!$B$9)))</f>
        <v/>
      </c>
      <c r="C220" s="46">
        <f>IF(OR((($A220-Simulador!$E$6)/Simulador!$G$6)&lt;=0,(($A220-Simulador!$E$6)/Simulador!$G$6)&gt;=1),0,IF((($A220-Simulador!$E$6)/Simulador!$G$6)&lt;Simulador!$B$11,Simulador!$B$9*(1-COS(PI()*(($A220-Simulador!$E$6)/Simulador!$G$6)/Simulador!$B$11))/2,IF((($A220-Simulador!$E$6)/Simulador!$G$6)&gt;1-Simulador!$B$11,Simulador!$B$9*(1-COS(PI()*(1-(($A220-Simulador!$E$6)/Simulador!$G$6))/Simulador!$B$11))/2,Simulador!$B$9)))</f>
        <v/>
      </c>
      <c r="D220" s="46">
        <f>IF(OR((($A220-Simulador!$E$7)/Simulador!$G$7)&lt;=0,(($A220-Simulador!$E$7)/Simulador!$G$7)&gt;=1),0,IF((($A220-Simulador!$E$7)/Simulador!$G$7)&lt;Simulador!$B$11,Simulador!$B$9*(1-COS(PI()*(($A220-Simulador!$E$7)/Simulador!$G$7)/Simulador!$B$11))/2,IF((($A220-Simulador!$E$7)/Simulador!$G$7)&gt;1-Simulador!$B$11,Simulador!$B$9*(1-COS(PI()*(1-(($A220-Simulador!$E$7)/Simulador!$G$7))/Simulador!$B$11))/2,Simulador!$B$9)))</f>
        <v/>
      </c>
      <c r="E220" s="46">
        <f>IF(OR((($A220-Simulador!$E$8)/Simulador!$G$8)&lt;=0,(($A220-Simulador!$E$8)/Simulador!$G$8)&gt;=1),0,IF((($A220-Simulador!$E$8)/Simulador!$G$8)&lt;Simulador!$B$11,Simulador!$B$10*(1-COS(PI()*(($A220-Simulador!$E$8)/Simulador!$G$8)/Simulador!$B$11))/2,IF((($A220-Simulador!$E$8)/Simulador!$G$8)&gt;1-Simulador!$B$11,Simulador!$B$10*(1-COS(PI()*(1-(($A220-Simulador!$E$8)/Simulador!$G$8))/Simulador!$B$11))/2,Simulador!$B$10)))</f>
        <v/>
      </c>
      <c r="F220" s="46">
        <f>IF(OR((($A220-Simulador!$E$9)/Simulador!$G$9)&lt;=0,(($A220-Simulador!$E$9)/Simulador!$G$9)&gt;=1),0,IF((($A220-Simulador!$E$9)/Simulador!$G$9)&lt;Simulador!$B$11,Simulador!$B$10*(1-COS(PI()*(($A220-Simulador!$E$9)/Simulador!$G$9)/Simulador!$B$11))/2,IF((($A220-Simulador!$E$9)/Simulador!$G$9)&gt;1-Simulador!$B$11,Simulador!$B$10*(1-COS(PI()*(1-(($A220-Simulador!$E$9)/Simulador!$G$9))/Simulador!$B$11))/2,Simulador!$B$10)))</f>
        <v/>
      </c>
      <c r="G220" s="46">
        <f>IF(OR((($A220-Simulador!$E$10)/Simulador!$G$10)&lt;=0,(($A220-Simulador!$E$10)/Simulador!$G$10)&gt;=1),0,IF((($A220-Simulador!$E$10)/Simulador!$G$10)&lt;Simulador!$B$11,Simulador!$B$10*(1-COS(PI()*(($A220-Simulador!$E$10)/Simulador!$G$10)/Simulador!$B$11))/2,IF((($A220-Simulador!$E$10)/Simulador!$G$10)&gt;1-Simulador!$B$11,Simulador!$B$10*(1-COS(PI()*(1-(($A220-Simulador!$E$10)/Simulador!$G$10))/Simulador!$B$11))/2,Simulador!$B$10)))</f>
        <v/>
      </c>
      <c r="Q220" s="48">
        <f>IF(OR((($A220-(Simulador!$E$6+'Salto de dientes'!$B$12))/Simulador!$G$6)&lt;=0,(($A220-(Simulador!$E$6+'Salto de dientes'!$B$12))/Simulador!$G$6)&gt;=1),0,IF((($A220-(Simulador!$E$6+'Salto de dientes'!$B$12))/Simulador!$G$6)&lt;Simulador!$B$11,Simulador!$B$9*(1-COS(PI()*(($A220-(Simulador!$E$6+'Salto de dientes'!$B$12))/Simulador!$G$6)/Simulador!$B$11))/2,IF((($A220-(Simulador!$E$6+'Salto de dientes'!$B$12))/Simulador!$G$6)&gt;1-Simulador!$B$11,Simulador!$B$9*(1-COS(PI()*(1-(($A220-(Simulador!$E$6+'Salto de dientes'!$B$12))/Simulador!$G$6))/Simulador!$B$11))/2,Simulador!$B$9)))</f>
        <v/>
      </c>
      <c r="R220" s="48">
        <f>IF(OR((($A220-(Simulador!$E$9+'Salto de dientes'!$B$12))/Simulador!$G$9)&lt;=0,(($A220-(Simulador!$E$9+'Salto de dientes'!$B$12))/Simulador!$G$9)&gt;=1),0,IF((($A220-(Simulador!$E$9+'Salto de dientes'!$B$12))/Simulador!$G$9)&lt;Simulador!$B$11,Simulador!$B$10*(1-COS(PI()*(($A220-(Simulador!$E$9+'Salto de dientes'!$B$12))/Simulador!$G$9)/Simulador!$B$11))/2,IF((($A220-(Simulador!$E$9+'Salto de dientes'!$B$12))/Simulador!$G$9)&gt;1-Simulador!$B$11,Simulador!$B$10*(1-COS(PI()*(1-(($A220-(Simulador!$E$9+'Salto de dientes'!$B$12))/Simulador!$G$9))/Simulador!$B$11))/2,Simulador!$B$10)))</f>
        <v/>
      </c>
    </row>
    <row r="221">
      <c r="A221" s="26">
        <f>A220+Simulador!$B$14</f>
        <v/>
      </c>
      <c r="B221" s="46">
        <f>IF(OR((($A221-Simulador!$E$5)/Simulador!$G$5)&lt;=0,(($A221-Simulador!$E$5)/Simulador!$G$5)&gt;=1),0,IF((($A221-Simulador!$E$5)/Simulador!$G$5)&lt;Simulador!$B$11,Simulador!$B$9*(1-COS(PI()*(($A221-Simulador!$E$5)/Simulador!$G$5)/Simulador!$B$11))/2,IF((($A221-Simulador!$E$5)/Simulador!$G$5)&gt;1-Simulador!$B$11,Simulador!$B$9*(1-COS(PI()*(1-(($A221-Simulador!$E$5)/Simulador!$G$5))/Simulador!$B$11))/2,Simulador!$B$9)))</f>
        <v/>
      </c>
      <c r="C221" s="46">
        <f>IF(OR((($A221-Simulador!$E$6)/Simulador!$G$6)&lt;=0,(($A221-Simulador!$E$6)/Simulador!$G$6)&gt;=1),0,IF((($A221-Simulador!$E$6)/Simulador!$G$6)&lt;Simulador!$B$11,Simulador!$B$9*(1-COS(PI()*(($A221-Simulador!$E$6)/Simulador!$G$6)/Simulador!$B$11))/2,IF((($A221-Simulador!$E$6)/Simulador!$G$6)&gt;1-Simulador!$B$11,Simulador!$B$9*(1-COS(PI()*(1-(($A221-Simulador!$E$6)/Simulador!$G$6))/Simulador!$B$11))/2,Simulador!$B$9)))</f>
        <v/>
      </c>
      <c r="D221" s="46">
        <f>IF(OR((($A221-Simulador!$E$7)/Simulador!$G$7)&lt;=0,(($A221-Simulador!$E$7)/Simulador!$G$7)&gt;=1),0,IF((($A221-Simulador!$E$7)/Simulador!$G$7)&lt;Simulador!$B$11,Simulador!$B$9*(1-COS(PI()*(($A221-Simulador!$E$7)/Simulador!$G$7)/Simulador!$B$11))/2,IF((($A221-Simulador!$E$7)/Simulador!$G$7)&gt;1-Simulador!$B$11,Simulador!$B$9*(1-COS(PI()*(1-(($A221-Simulador!$E$7)/Simulador!$G$7))/Simulador!$B$11))/2,Simulador!$B$9)))</f>
        <v/>
      </c>
      <c r="E221" s="46">
        <f>IF(OR((($A221-Simulador!$E$8)/Simulador!$G$8)&lt;=0,(($A221-Simulador!$E$8)/Simulador!$G$8)&gt;=1),0,IF((($A221-Simulador!$E$8)/Simulador!$G$8)&lt;Simulador!$B$11,Simulador!$B$10*(1-COS(PI()*(($A221-Simulador!$E$8)/Simulador!$G$8)/Simulador!$B$11))/2,IF((($A221-Simulador!$E$8)/Simulador!$G$8)&gt;1-Simulador!$B$11,Simulador!$B$10*(1-COS(PI()*(1-(($A221-Simulador!$E$8)/Simulador!$G$8))/Simulador!$B$11))/2,Simulador!$B$10)))</f>
        <v/>
      </c>
      <c r="F221" s="46">
        <f>IF(OR((($A221-Simulador!$E$9)/Simulador!$G$9)&lt;=0,(($A221-Simulador!$E$9)/Simulador!$G$9)&gt;=1),0,IF((($A221-Simulador!$E$9)/Simulador!$G$9)&lt;Simulador!$B$11,Simulador!$B$10*(1-COS(PI()*(($A221-Simulador!$E$9)/Simulador!$G$9)/Simulador!$B$11))/2,IF((($A221-Simulador!$E$9)/Simulador!$G$9)&gt;1-Simulador!$B$11,Simulador!$B$10*(1-COS(PI()*(1-(($A221-Simulador!$E$9)/Simulador!$G$9))/Simulador!$B$11))/2,Simulador!$B$10)))</f>
        <v/>
      </c>
      <c r="G221" s="46">
        <f>IF(OR((($A221-Simulador!$E$10)/Simulador!$G$10)&lt;=0,(($A221-Simulador!$E$10)/Simulador!$G$10)&gt;=1),0,IF((($A221-Simulador!$E$10)/Simulador!$G$10)&lt;Simulador!$B$11,Simulador!$B$10*(1-COS(PI()*(($A221-Simulador!$E$10)/Simulador!$G$10)/Simulador!$B$11))/2,IF((($A221-Simulador!$E$10)/Simulador!$G$10)&gt;1-Simulador!$B$11,Simulador!$B$10*(1-COS(PI()*(1-(($A221-Simulador!$E$10)/Simulador!$G$10))/Simulador!$B$11))/2,Simulador!$B$10)))</f>
        <v/>
      </c>
      <c r="Q221" s="48">
        <f>IF(OR((($A221-(Simulador!$E$6+'Salto de dientes'!$B$12))/Simulador!$G$6)&lt;=0,(($A221-(Simulador!$E$6+'Salto de dientes'!$B$12))/Simulador!$G$6)&gt;=1),0,IF((($A221-(Simulador!$E$6+'Salto de dientes'!$B$12))/Simulador!$G$6)&lt;Simulador!$B$11,Simulador!$B$9*(1-COS(PI()*(($A221-(Simulador!$E$6+'Salto de dientes'!$B$12))/Simulador!$G$6)/Simulador!$B$11))/2,IF((($A221-(Simulador!$E$6+'Salto de dientes'!$B$12))/Simulador!$G$6)&gt;1-Simulador!$B$11,Simulador!$B$9*(1-COS(PI()*(1-(($A221-(Simulador!$E$6+'Salto de dientes'!$B$12))/Simulador!$G$6))/Simulador!$B$11))/2,Simulador!$B$9)))</f>
        <v/>
      </c>
      <c r="R221" s="48">
        <f>IF(OR((($A221-(Simulador!$E$9+'Salto de dientes'!$B$12))/Simulador!$G$9)&lt;=0,(($A221-(Simulador!$E$9+'Salto de dientes'!$B$12))/Simulador!$G$9)&gt;=1),0,IF((($A221-(Simulador!$E$9+'Salto de dientes'!$B$12))/Simulador!$G$9)&lt;Simulador!$B$11,Simulador!$B$10*(1-COS(PI()*(($A221-(Simulador!$E$9+'Salto de dientes'!$B$12))/Simulador!$G$9)/Simulador!$B$11))/2,IF((($A221-(Simulador!$E$9+'Salto de dientes'!$B$12))/Simulador!$G$9)&gt;1-Simulador!$B$11,Simulador!$B$10*(1-COS(PI()*(1-(($A221-(Simulador!$E$9+'Salto de dientes'!$B$12))/Simulador!$G$9))/Simulador!$B$11))/2,Simulador!$B$10)))</f>
        <v/>
      </c>
    </row>
    <row r="222">
      <c r="A222" s="26">
        <f>A221+Simulador!$B$14</f>
        <v/>
      </c>
      <c r="B222" s="46">
        <f>IF(OR((($A222-Simulador!$E$5)/Simulador!$G$5)&lt;=0,(($A222-Simulador!$E$5)/Simulador!$G$5)&gt;=1),0,IF((($A222-Simulador!$E$5)/Simulador!$G$5)&lt;Simulador!$B$11,Simulador!$B$9*(1-COS(PI()*(($A222-Simulador!$E$5)/Simulador!$G$5)/Simulador!$B$11))/2,IF((($A222-Simulador!$E$5)/Simulador!$G$5)&gt;1-Simulador!$B$11,Simulador!$B$9*(1-COS(PI()*(1-(($A222-Simulador!$E$5)/Simulador!$G$5))/Simulador!$B$11))/2,Simulador!$B$9)))</f>
        <v/>
      </c>
      <c r="C222" s="46">
        <f>IF(OR((($A222-Simulador!$E$6)/Simulador!$G$6)&lt;=0,(($A222-Simulador!$E$6)/Simulador!$G$6)&gt;=1),0,IF((($A222-Simulador!$E$6)/Simulador!$G$6)&lt;Simulador!$B$11,Simulador!$B$9*(1-COS(PI()*(($A222-Simulador!$E$6)/Simulador!$G$6)/Simulador!$B$11))/2,IF((($A222-Simulador!$E$6)/Simulador!$G$6)&gt;1-Simulador!$B$11,Simulador!$B$9*(1-COS(PI()*(1-(($A222-Simulador!$E$6)/Simulador!$G$6))/Simulador!$B$11))/2,Simulador!$B$9)))</f>
        <v/>
      </c>
      <c r="D222" s="46">
        <f>IF(OR((($A222-Simulador!$E$7)/Simulador!$G$7)&lt;=0,(($A222-Simulador!$E$7)/Simulador!$G$7)&gt;=1),0,IF((($A222-Simulador!$E$7)/Simulador!$G$7)&lt;Simulador!$B$11,Simulador!$B$9*(1-COS(PI()*(($A222-Simulador!$E$7)/Simulador!$G$7)/Simulador!$B$11))/2,IF((($A222-Simulador!$E$7)/Simulador!$G$7)&gt;1-Simulador!$B$11,Simulador!$B$9*(1-COS(PI()*(1-(($A222-Simulador!$E$7)/Simulador!$G$7))/Simulador!$B$11))/2,Simulador!$B$9)))</f>
        <v/>
      </c>
      <c r="E222" s="46">
        <f>IF(OR((($A222-Simulador!$E$8)/Simulador!$G$8)&lt;=0,(($A222-Simulador!$E$8)/Simulador!$G$8)&gt;=1),0,IF((($A222-Simulador!$E$8)/Simulador!$G$8)&lt;Simulador!$B$11,Simulador!$B$10*(1-COS(PI()*(($A222-Simulador!$E$8)/Simulador!$G$8)/Simulador!$B$11))/2,IF((($A222-Simulador!$E$8)/Simulador!$G$8)&gt;1-Simulador!$B$11,Simulador!$B$10*(1-COS(PI()*(1-(($A222-Simulador!$E$8)/Simulador!$G$8))/Simulador!$B$11))/2,Simulador!$B$10)))</f>
        <v/>
      </c>
      <c r="F222" s="46">
        <f>IF(OR((($A222-Simulador!$E$9)/Simulador!$G$9)&lt;=0,(($A222-Simulador!$E$9)/Simulador!$G$9)&gt;=1),0,IF((($A222-Simulador!$E$9)/Simulador!$G$9)&lt;Simulador!$B$11,Simulador!$B$10*(1-COS(PI()*(($A222-Simulador!$E$9)/Simulador!$G$9)/Simulador!$B$11))/2,IF((($A222-Simulador!$E$9)/Simulador!$G$9)&gt;1-Simulador!$B$11,Simulador!$B$10*(1-COS(PI()*(1-(($A222-Simulador!$E$9)/Simulador!$G$9))/Simulador!$B$11))/2,Simulador!$B$10)))</f>
        <v/>
      </c>
      <c r="G222" s="46">
        <f>IF(OR((($A222-Simulador!$E$10)/Simulador!$G$10)&lt;=0,(($A222-Simulador!$E$10)/Simulador!$G$10)&gt;=1),0,IF((($A222-Simulador!$E$10)/Simulador!$G$10)&lt;Simulador!$B$11,Simulador!$B$10*(1-COS(PI()*(($A222-Simulador!$E$10)/Simulador!$G$10)/Simulador!$B$11))/2,IF((($A222-Simulador!$E$10)/Simulador!$G$10)&gt;1-Simulador!$B$11,Simulador!$B$10*(1-COS(PI()*(1-(($A222-Simulador!$E$10)/Simulador!$G$10))/Simulador!$B$11))/2,Simulador!$B$10)))</f>
        <v/>
      </c>
      <c r="Q222" s="48">
        <f>IF(OR((($A222-(Simulador!$E$6+'Salto de dientes'!$B$12))/Simulador!$G$6)&lt;=0,(($A222-(Simulador!$E$6+'Salto de dientes'!$B$12))/Simulador!$G$6)&gt;=1),0,IF((($A222-(Simulador!$E$6+'Salto de dientes'!$B$12))/Simulador!$G$6)&lt;Simulador!$B$11,Simulador!$B$9*(1-COS(PI()*(($A222-(Simulador!$E$6+'Salto de dientes'!$B$12))/Simulador!$G$6)/Simulador!$B$11))/2,IF((($A222-(Simulador!$E$6+'Salto de dientes'!$B$12))/Simulador!$G$6)&gt;1-Simulador!$B$11,Simulador!$B$9*(1-COS(PI()*(1-(($A222-(Simulador!$E$6+'Salto de dientes'!$B$12))/Simulador!$G$6))/Simulador!$B$11))/2,Simulador!$B$9)))</f>
        <v/>
      </c>
      <c r="R222" s="48">
        <f>IF(OR((($A222-(Simulador!$E$9+'Salto de dientes'!$B$12))/Simulador!$G$9)&lt;=0,(($A222-(Simulador!$E$9+'Salto de dientes'!$B$12))/Simulador!$G$9)&gt;=1),0,IF((($A222-(Simulador!$E$9+'Salto de dientes'!$B$12))/Simulador!$G$9)&lt;Simulador!$B$11,Simulador!$B$10*(1-COS(PI()*(($A222-(Simulador!$E$9+'Salto de dientes'!$B$12))/Simulador!$G$9)/Simulador!$B$11))/2,IF((($A222-(Simulador!$E$9+'Salto de dientes'!$B$12))/Simulador!$G$9)&gt;1-Simulador!$B$11,Simulador!$B$10*(1-COS(PI()*(1-(($A222-(Simulador!$E$9+'Salto de dientes'!$B$12))/Simulador!$G$9))/Simulador!$B$11))/2,Simulador!$B$10)))</f>
        <v/>
      </c>
    </row>
    <row r="223">
      <c r="A223" s="26">
        <f>A222+Simulador!$B$14</f>
        <v/>
      </c>
      <c r="B223" s="46">
        <f>IF(OR((($A223-Simulador!$E$5)/Simulador!$G$5)&lt;=0,(($A223-Simulador!$E$5)/Simulador!$G$5)&gt;=1),0,IF((($A223-Simulador!$E$5)/Simulador!$G$5)&lt;Simulador!$B$11,Simulador!$B$9*(1-COS(PI()*(($A223-Simulador!$E$5)/Simulador!$G$5)/Simulador!$B$11))/2,IF((($A223-Simulador!$E$5)/Simulador!$G$5)&gt;1-Simulador!$B$11,Simulador!$B$9*(1-COS(PI()*(1-(($A223-Simulador!$E$5)/Simulador!$G$5))/Simulador!$B$11))/2,Simulador!$B$9)))</f>
        <v/>
      </c>
      <c r="C223" s="46">
        <f>IF(OR((($A223-Simulador!$E$6)/Simulador!$G$6)&lt;=0,(($A223-Simulador!$E$6)/Simulador!$G$6)&gt;=1),0,IF((($A223-Simulador!$E$6)/Simulador!$G$6)&lt;Simulador!$B$11,Simulador!$B$9*(1-COS(PI()*(($A223-Simulador!$E$6)/Simulador!$G$6)/Simulador!$B$11))/2,IF((($A223-Simulador!$E$6)/Simulador!$G$6)&gt;1-Simulador!$B$11,Simulador!$B$9*(1-COS(PI()*(1-(($A223-Simulador!$E$6)/Simulador!$G$6))/Simulador!$B$11))/2,Simulador!$B$9)))</f>
        <v/>
      </c>
      <c r="D223" s="46">
        <f>IF(OR((($A223-Simulador!$E$7)/Simulador!$G$7)&lt;=0,(($A223-Simulador!$E$7)/Simulador!$G$7)&gt;=1),0,IF((($A223-Simulador!$E$7)/Simulador!$G$7)&lt;Simulador!$B$11,Simulador!$B$9*(1-COS(PI()*(($A223-Simulador!$E$7)/Simulador!$G$7)/Simulador!$B$11))/2,IF((($A223-Simulador!$E$7)/Simulador!$G$7)&gt;1-Simulador!$B$11,Simulador!$B$9*(1-COS(PI()*(1-(($A223-Simulador!$E$7)/Simulador!$G$7))/Simulador!$B$11))/2,Simulador!$B$9)))</f>
        <v/>
      </c>
      <c r="E223" s="46">
        <f>IF(OR((($A223-Simulador!$E$8)/Simulador!$G$8)&lt;=0,(($A223-Simulador!$E$8)/Simulador!$G$8)&gt;=1),0,IF((($A223-Simulador!$E$8)/Simulador!$G$8)&lt;Simulador!$B$11,Simulador!$B$10*(1-COS(PI()*(($A223-Simulador!$E$8)/Simulador!$G$8)/Simulador!$B$11))/2,IF((($A223-Simulador!$E$8)/Simulador!$G$8)&gt;1-Simulador!$B$11,Simulador!$B$10*(1-COS(PI()*(1-(($A223-Simulador!$E$8)/Simulador!$G$8))/Simulador!$B$11))/2,Simulador!$B$10)))</f>
        <v/>
      </c>
      <c r="F223" s="46">
        <f>IF(OR((($A223-Simulador!$E$9)/Simulador!$G$9)&lt;=0,(($A223-Simulador!$E$9)/Simulador!$G$9)&gt;=1),0,IF((($A223-Simulador!$E$9)/Simulador!$G$9)&lt;Simulador!$B$11,Simulador!$B$10*(1-COS(PI()*(($A223-Simulador!$E$9)/Simulador!$G$9)/Simulador!$B$11))/2,IF((($A223-Simulador!$E$9)/Simulador!$G$9)&gt;1-Simulador!$B$11,Simulador!$B$10*(1-COS(PI()*(1-(($A223-Simulador!$E$9)/Simulador!$G$9))/Simulador!$B$11))/2,Simulador!$B$10)))</f>
        <v/>
      </c>
      <c r="G223" s="46">
        <f>IF(OR((($A223-Simulador!$E$10)/Simulador!$G$10)&lt;=0,(($A223-Simulador!$E$10)/Simulador!$G$10)&gt;=1),0,IF((($A223-Simulador!$E$10)/Simulador!$G$10)&lt;Simulador!$B$11,Simulador!$B$10*(1-COS(PI()*(($A223-Simulador!$E$10)/Simulador!$G$10)/Simulador!$B$11))/2,IF((($A223-Simulador!$E$10)/Simulador!$G$10)&gt;1-Simulador!$B$11,Simulador!$B$10*(1-COS(PI()*(1-(($A223-Simulador!$E$10)/Simulador!$G$10))/Simulador!$B$11))/2,Simulador!$B$10)))</f>
        <v/>
      </c>
      <c r="Q223" s="48">
        <f>IF(OR((($A223-(Simulador!$E$6+'Salto de dientes'!$B$12))/Simulador!$G$6)&lt;=0,(($A223-(Simulador!$E$6+'Salto de dientes'!$B$12))/Simulador!$G$6)&gt;=1),0,IF((($A223-(Simulador!$E$6+'Salto de dientes'!$B$12))/Simulador!$G$6)&lt;Simulador!$B$11,Simulador!$B$9*(1-COS(PI()*(($A223-(Simulador!$E$6+'Salto de dientes'!$B$12))/Simulador!$G$6)/Simulador!$B$11))/2,IF((($A223-(Simulador!$E$6+'Salto de dientes'!$B$12))/Simulador!$G$6)&gt;1-Simulador!$B$11,Simulador!$B$9*(1-COS(PI()*(1-(($A223-(Simulador!$E$6+'Salto de dientes'!$B$12))/Simulador!$G$6))/Simulador!$B$11))/2,Simulador!$B$9)))</f>
        <v/>
      </c>
      <c r="R223" s="48">
        <f>IF(OR((($A223-(Simulador!$E$9+'Salto de dientes'!$B$12))/Simulador!$G$9)&lt;=0,(($A223-(Simulador!$E$9+'Salto de dientes'!$B$12))/Simulador!$G$9)&gt;=1),0,IF((($A223-(Simulador!$E$9+'Salto de dientes'!$B$12))/Simulador!$G$9)&lt;Simulador!$B$11,Simulador!$B$10*(1-COS(PI()*(($A223-(Simulador!$E$9+'Salto de dientes'!$B$12))/Simulador!$G$9)/Simulador!$B$11))/2,IF((($A223-(Simulador!$E$9+'Salto de dientes'!$B$12))/Simulador!$G$9)&gt;1-Simulador!$B$11,Simulador!$B$10*(1-COS(PI()*(1-(($A223-(Simulador!$E$9+'Salto de dientes'!$B$12))/Simulador!$G$9))/Simulador!$B$11))/2,Simulador!$B$10)))</f>
        <v/>
      </c>
    </row>
    <row r="224">
      <c r="A224" s="26">
        <f>A223+Simulador!$B$14</f>
        <v/>
      </c>
      <c r="B224" s="46">
        <f>IF(OR((($A224-Simulador!$E$5)/Simulador!$G$5)&lt;=0,(($A224-Simulador!$E$5)/Simulador!$G$5)&gt;=1),0,IF((($A224-Simulador!$E$5)/Simulador!$G$5)&lt;Simulador!$B$11,Simulador!$B$9*(1-COS(PI()*(($A224-Simulador!$E$5)/Simulador!$G$5)/Simulador!$B$11))/2,IF((($A224-Simulador!$E$5)/Simulador!$G$5)&gt;1-Simulador!$B$11,Simulador!$B$9*(1-COS(PI()*(1-(($A224-Simulador!$E$5)/Simulador!$G$5))/Simulador!$B$11))/2,Simulador!$B$9)))</f>
        <v/>
      </c>
      <c r="C224" s="46">
        <f>IF(OR((($A224-Simulador!$E$6)/Simulador!$G$6)&lt;=0,(($A224-Simulador!$E$6)/Simulador!$G$6)&gt;=1),0,IF((($A224-Simulador!$E$6)/Simulador!$G$6)&lt;Simulador!$B$11,Simulador!$B$9*(1-COS(PI()*(($A224-Simulador!$E$6)/Simulador!$G$6)/Simulador!$B$11))/2,IF((($A224-Simulador!$E$6)/Simulador!$G$6)&gt;1-Simulador!$B$11,Simulador!$B$9*(1-COS(PI()*(1-(($A224-Simulador!$E$6)/Simulador!$G$6))/Simulador!$B$11))/2,Simulador!$B$9)))</f>
        <v/>
      </c>
      <c r="D224" s="46">
        <f>IF(OR((($A224-Simulador!$E$7)/Simulador!$G$7)&lt;=0,(($A224-Simulador!$E$7)/Simulador!$G$7)&gt;=1),0,IF((($A224-Simulador!$E$7)/Simulador!$G$7)&lt;Simulador!$B$11,Simulador!$B$9*(1-COS(PI()*(($A224-Simulador!$E$7)/Simulador!$G$7)/Simulador!$B$11))/2,IF((($A224-Simulador!$E$7)/Simulador!$G$7)&gt;1-Simulador!$B$11,Simulador!$B$9*(1-COS(PI()*(1-(($A224-Simulador!$E$7)/Simulador!$G$7))/Simulador!$B$11))/2,Simulador!$B$9)))</f>
        <v/>
      </c>
      <c r="E224" s="46">
        <f>IF(OR((($A224-Simulador!$E$8)/Simulador!$G$8)&lt;=0,(($A224-Simulador!$E$8)/Simulador!$G$8)&gt;=1),0,IF((($A224-Simulador!$E$8)/Simulador!$G$8)&lt;Simulador!$B$11,Simulador!$B$10*(1-COS(PI()*(($A224-Simulador!$E$8)/Simulador!$G$8)/Simulador!$B$11))/2,IF((($A224-Simulador!$E$8)/Simulador!$G$8)&gt;1-Simulador!$B$11,Simulador!$B$10*(1-COS(PI()*(1-(($A224-Simulador!$E$8)/Simulador!$G$8))/Simulador!$B$11))/2,Simulador!$B$10)))</f>
        <v/>
      </c>
      <c r="F224" s="46">
        <f>IF(OR((($A224-Simulador!$E$9)/Simulador!$G$9)&lt;=0,(($A224-Simulador!$E$9)/Simulador!$G$9)&gt;=1),0,IF((($A224-Simulador!$E$9)/Simulador!$G$9)&lt;Simulador!$B$11,Simulador!$B$10*(1-COS(PI()*(($A224-Simulador!$E$9)/Simulador!$G$9)/Simulador!$B$11))/2,IF((($A224-Simulador!$E$9)/Simulador!$G$9)&gt;1-Simulador!$B$11,Simulador!$B$10*(1-COS(PI()*(1-(($A224-Simulador!$E$9)/Simulador!$G$9))/Simulador!$B$11))/2,Simulador!$B$10)))</f>
        <v/>
      </c>
      <c r="G224" s="46">
        <f>IF(OR((($A224-Simulador!$E$10)/Simulador!$G$10)&lt;=0,(($A224-Simulador!$E$10)/Simulador!$G$10)&gt;=1),0,IF((($A224-Simulador!$E$10)/Simulador!$G$10)&lt;Simulador!$B$11,Simulador!$B$10*(1-COS(PI()*(($A224-Simulador!$E$10)/Simulador!$G$10)/Simulador!$B$11))/2,IF((($A224-Simulador!$E$10)/Simulador!$G$10)&gt;1-Simulador!$B$11,Simulador!$B$10*(1-COS(PI()*(1-(($A224-Simulador!$E$10)/Simulador!$G$10))/Simulador!$B$11))/2,Simulador!$B$10)))</f>
        <v/>
      </c>
      <c r="Q224" s="48">
        <f>IF(OR((($A224-(Simulador!$E$6+'Salto de dientes'!$B$12))/Simulador!$G$6)&lt;=0,(($A224-(Simulador!$E$6+'Salto de dientes'!$B$12))/Simulador!$G$6)&gt;=1),0,IF((($A224-(Simulador!$E$6+'Salto de dientes'!$B$12))/Simulador!$G$6)&lt;Simulador!$B$11,Simulador!$B$9*(1-COS(PI()*(($A224-(Simulador!$E$6+'Salto de dientes'!$B$12))/Simulador!$G$6)/Simulador!$B$11))/2,IF((($A224-(Simulador!$E$6+'Salto de dientes'!$B$12))/Simulador!$G$6)&gt;1-Simulador!$B$11,Simulador!$B$9*(1-COS(PI()*(1-(($A224-(Simulador!$E$6+'Salto de dientes'!$B$12))/Simulador!$G$6))/Simulador!$B$11))/2,Simulador!$B$9)))</f>
        <v/>
      </c>
      <c r="R224" s="48">
        <f>IF(OR((($A224-(Simulador!$E$9+'Salto de dientes'!$B$12))/Simulador!$G$9)&lt;=0,(($A224-(Simulador!$E$9+'Salto de dientes'!$B$12))/Simulador!$G$9)&gt;=1),0,IF((($A224-(Simulador!$E$9+'Salto de dientes'!$B$12))/Simulador!$G$9)&lt;Simulador!$B$11,Simulador!$B$10*(1-COS(PI()*(($A224-(Simulador!$E$9+'Salto de dientes'!$B$12))/Simulador!$G$9)/Simulador!$B$11))/2,IF((($A224-(Simulador!$E$9+'Salto de dientes'!$B$12))/Simulador!$G$9)&gt;1-Simulador!$B$11,Simulador!$B$10*(1-COS(PI()*(1-(($A224-(Simulador!$E$9+'Salto de dientes'!$B$12))/Simulador!$G$9))/Simulador!$B$11))/2,Simulador!$B$10)))</f>
        <v/>
      </c>
    </row>
    <row r="225">
      <c r="A225" s="26">
        <f>A224+Simulador!$B$14</f>
        <v/>
      </c>
      <c r="B225" s="46">
        <f>IF(OR((($A225-Simulador!$E$5)/Simulador!$G$5)&lt;=0,(($A225-Simulador!$E$5)/Simulador!$G$5)&gt;=1),0,IF((($A225-Simulador!$E$5)/Simulador!$G$5)&lt;Simulador!$B$11,Simulador!$B$9*(1-COS(PI()*(($A225-Simulador!$E$5)/Simulador!$G$5)/Simulador!$B$11))/2,IF((($A225-Simulador!$E$5)/Simulador!$G$5)&gt;1-Simulador!$B$11,Simulador!$B$9*(1-COS(PI()*(1-(($A225-Simulador!$E$5)/Simulador!$G$5))/Simulador!$B$11))/2,Simulador!$B$9)))</f>
        <v/>
      </c>
      <c r="C225" s="46">
        <f>IF(OR((($A225-Simulador!$E$6)/Simulador!$G$6)&lt;=0,(($A225-Simulador!$E$6)/Simulador!$G$6)&gt;=1),0,IF((($A225-Simulador!$E$6)/Simulador!$G$6)&lt;Simulador!$B$11,Simulador!$B$9*(1-COS(PI()*(($A225-Simulador!$E$6)/Simulador!$G$6)/Simulador!$B$11))/2,IF((($A225-Simulador!$E$6)/Simulador!$G$6)&gt;1-Simulador!$B$11,Simulador!$B$9*(1-COS(PI()*(1-(($A225-Simulador!$E$6)/Simulador!$G$6))/Simulador!$B$11))/2,Simulador!$B$9)))</f>
        <v/>
      </c>
      <c r="D225" s="46">
        <f>IF(OR((($A225-Simulador!$E$7)/Simulador!$G$7)&lt;=0,(($A225-Simulador!$E$7)/Simulador!$G$7)&gt;=1),0,IF((($A225-Simulador!$E$7)/Simulador!$G$7)&lt;Simulador!$B$11,Simulador!$B$9*(1-COS(PI()*(($A225-Simulador!$E$7)/Simulador!$G$7)/Simulador!$B$11))/2,IF((($A225-Simulador!$E$7)/Simulador!$G$7)&gt;1-Simulador!$B$11,Simulador!$B$9*(1-COS(PI()*(1-(($A225-Simulador!$E$7)/Simulador!$G$7))/Simulador!$B$11))/2,Simulador!$B$9)))</f>
        <v/>
      </c>
      <c r="E225" s="46">
        <f>IF(OR((($A225-Simulador!$E$8)/Simulador!$G$8)&lt;=0,(($A225-Simulador!$E$8)/Simulador!$G$8)&gt;=1),0,IF((($A225-Simulador!$E$8)/Simulador!$G$8)&lt;Simulador!$B$11,Simulador!$B$10*(1-COS(PI()*(($A225-Simulador!$E$8)/Simulador!$G$8)/Simulador!$B$11))/2,IF((($A225-Simulador!$E$8)/Simulador!$G$8)&gt;1-Simulador!$B$11,Simulador!$B$10*(1-COS(PI()*(1-(($A225-Simulador!$E$8)/Simulador!$G$8))/Simulador!$B$11))/2,Simulador!$B$10)))</f>
        <v/>
      </c>
      <c r="F225" s="46">
        <f>IF(OR((($A225-Simulador!$E$9)/Simulador!$G$9)&lt;=0,(($A225-Simulador!$E$9)/Simulador!$G$9)&gt;=1),0,IF((($A225-Simulador!$E$9)/Simulador!$G$9)&lt;Simulador!$B$11,Simulador!$B$10*(1-COS(PI()*(($A225-Simulador!$E$9)/Simulador!$G$9)/Simulador!$B$11))/2,IF((($A225-Simulador!$E$9)/Simulador!$G$9)&gt;1-Simulador!$B$11,Simulador!$B$10*(1-COS(PI()*(1-(($A225-Simulador!$E$9)/Simulador!$G$9))/Simulador!$B$11))/2,Simulador!$B$10)))</f>
        <v/>
      </c>
      <c r="G225" s="46">
        <f>IF(OR((($A225-Simulador!$E$10)/Simulador!$G$10)&lt;=0,(($A225-Simulador!$E$10)/Simulador!$G$10)&gt;=1),0,IF((($A225-Simulador!$E$10)/Simulador!$G$10)&lt;Simulador!$B$11,Simulador!$B$10*(1-COS(PI()*(($A225-Simulador!$E$10)/Simulador!$G$10)/Simulador!$B$11))/2,IF((($A225-Simulador!$E$10)/Simulador!$G$10)&gt;1-Simulador!$B$11,Simulador!$B$10*(1-COS(PI()*(1-(($A225-Simulador!$E$10)/Simulador!$G$10))/Simulador!$B$11))/2,Simulador!$B$10)))</f>
        <v/>
      </c>
      <c r="Q225" s="48">
        <f>IF(OR((($A225-(Simulador!$E$6+'Salto de dientes'!$B$12))/Simulador!$G$6)&lt;=0,(($A225-(Simulador!$E$6+'Salto de dientes'!$B$12))/Simulador!$G$6)&gt;=1),0,IF((($A225-(Simulador!$E$6+'Salto de dientes'!$B$12))/Simulador!$G$6)&lt;Simulador!$B$11,Simulador!$B$9*(1-COS(PI()*(($A225-(Simulador!$E$6+'Salto de dientes'!$B$12))/Simulador!$G$6)/Simulador!$B$11))/2,IF((($A225-(Simulador!$E$6+'Salto de dientes'!$B$12))/Simulador!$G$6)&gt;1-Simulador!$B$11,Simulador!$B$9*(1-COS(PI()*(1-(($A225-(Simulador!$E$6+'Salto de dientes'!$B$12))/Simulador!$G$6))/Simulador!$B$11))/2,Simulador!$B$9)))</f>
        <v/>
      </c>
      <c r="R225" s="48">
        <f>IF(OR((($A225-(Simulador!$E$9+'Salto de dientes'!$B$12))/Simulador!$G$9)&lt;=0,(($A225-(Simulador!$E$9+'Salto de dientes'!$B$12))/Simulador!$G$9)&gt;=1),0,IF((($A225-(Simulador!$E$9+'Salto de dientes'!$B$12))/Simulador!$G$9)&lt;Simulador!$B$11,Simulador!$B$10*(1-COS(PI()*(($A225-(Simulador!$E$9+'Salto de dientes'!$B$12))/Simulador!$G$9)/Simulador!$B$11))/2,IF((($A225-(Simulador!$E$9+'Salto de dientes'!$B$12))/Simulador!$G$9)&gt;1-Simulador!$B$11,Simulador!$B$10*(1-COS(PI()*(1-(($A225-(Simulador!$E$9+'Salto de dientes'!$B$12))/Simulador!$G$9))/Simulador!$B$11))/2,Simulador!$B$10)))</f>
        <v/>
      </c>
    </row>
    <row r="226">
      <c r="A226" s="26">
        <f>A225+Simulador!$B$14</f>
        <v/>
      </c>
      <c r="B226" s="46">
        <f>IF(OR((($A226-Simulador!$E$5)/Simulador!$G$5)&lt;=0,(($A226-Simulador!$E$5)/Simulador!$G$5)&gt;=1),0,IF((($A226-Simulador!$E$5)/Simulador!$G$5)&lt;Simulador!$B$11,Simulador!$B$9*(1-COS(PI()*(($A226-Simulador!$E$5)/Simulador!$G$5)/Simulador!$B$11))/2,IF((($A226-Simulador!$E$5)/Simulador!$G$5)&gt;1-Simulador!$B$11,Simulador!$B$9*(1-COS(PI()*(1-(($A226-Simulador!$E$5)/Simulador!$G$5))/Simulador!$B$11))/2,Simulador!$B$9)))</f>
        <v/>
      </c>
      <c r="C226" s="46">
        <f>IF(OR((($A226-Simulador!$E$6)/Simulador!$G$6)&lt;=0,(($A226-Simulador!$E$6)/Simulador!$G$6)&gt;=1),0,IF((($A226-Simulador!$E$6)/Simulador!$G$6)&lt;Simulador!$B$11,Simulador!$B$9*(1-COS(PI()*(($A226-Simulador!$E$6)/Simulador!$G$6)/Simulador!$B$11))/2,IF((($A226-Simulador!$E$6)/Simulador!$G$6)&gt;1-Simulador!$B$11,Simulador!$B$9*(1-COS(PI()*(1-(($A226-Simulador!$E$6)/Simulador!$G$6))/Simulador!$B$11))/2,Simulador!$B$9)))</f>
        <v/>
      </c>
      <c r="D226" s="46">
        <f>IF(OR((($A226-Simulador!$E$7)/Simulador!$G$7)&lt;=0,(($A226-Simulador!$E$7)/Simulador!$G$7)&gt;=1),0,IF((($A226-Simulador!$E$7)/Simulador!$G$7)&lt;Simulador!$B$11,Simulador!$B$9*(1-COS(PI()*(($A226-Simulador!$E$7)/Simulador!$G$7)/Simulador!$B$11))/2,IF((($A226-Simulador!$E$7)/Simulador!$G$7)&gt;1-Simulador!$B$11,Simulador!$B$9*(1-COS(PI()*(1-(($A226-Simulador!$E$7)/Simulador!$G$7))/Simulador!$B$11))/2,Simulador!$B$9)))</f>
        <v/>
      </c>
      <c r="E226" s="46">
        <f>IF(OR((($A226-Simulador!$E$8)/Simulador!$G$8)&lt;=0,(($A226-Simulador!$E$8)/Simulador!$G$8)&gt;=1),0,IF((($A226-Simulador!$E$8)/Simulador!$G$8)&lt;Simulador!$B$11,Simulador!$B$10*(1-COS(PI()*(($A226-Simulador!$E$8)/Simulador!$G$8)/Simulador!$B$11))/2,IF((($A226-Simulador!$E$8)/Simulador!$G$8)&gt;1-Simulador!$B$11,Simulador!$B$10*(1-COS(PI()*(1-(($A226-Simulador!$E$8)/Simulador!$G$8))/Simulador!$B$11))/2,Simulador!$B$10)))</f>
        <v/>
      </c>
      <c r="F226" s="46">
        <f>IF(OR((($A226-Simulador!$E$9)/Simulador!$G$9)&lt;=0,(($A226-Simulador!$E$9)/Simulador!$G$9)&gt;=1),0,IF((($A226-Simulador!$E$9)/Simulador!$G$9)&lt;Simulador!$B$11,Simulador!$B$10*(1-COS(PI()*(($A226-Simulador!$E$9)/Simulador!$G$9)/Simulador!$B$11))/2,IF((($A226-Simulador!$E$9)/Simulador!$G$9)&gt;1-Simulador!$B$11,Simulador!$B$10*(1-COS(PI()*(1-(($A226-Simulador!$E$9)/Simulador!$G$9))/Simulador!$B$11))/2,Simulador!$B$10)))</f>
        <v/>
      </c>
      <c r="G226" s="46">
        <f>IF(OR((($A226-Simulador!$E$10)/Simulador!$G$10)&lt;=0,(($A226-Simulador!$E$10)/Simulador!$G$10)&gt;=1),0,IF((($A226-Simulador!$E$10)/Simulador!$G$10)&lt;Simulador!$B$11,Simulador!$B$10*(1-COS(PI()*(($A226-Simulador!$E$10)/Simulador!$G$10)/Simulador!$B$11))/2,IF((($A226-Simulador!$E$10)/Simulador!$G$10)&gt;1-Simulador!$B$11,Simulador!$B$10*(1-COS(PI()*(1-(($A226-Simulador!$E$10)/Simulador!$G$10))/Simulador!$B$11))/2,Simulador!$B$10)))</f>
        <v/>
      </c>
      <c r="Q226" s="48">
        <f>IF(OR((($A226-(Simulador!$E$6+'Salto de dientes'!$B$12))/Simulador!$G$6)&lt;=0,(($A226-(Simulador!$E$6+'Salto de dientes'!$B$12))/Simulador!$G$6)&gt;=1),0,IF((($A226-(Simulador!$E$6+'Salto de dientes'!$B$12))/Simulador!$G$6)&lt;Simulador!$B$11,Simulador!$B$9*(1-COS(PI()*(($A226-(Simulador!$E$6+'Salto de dientes'!$B$12))/Simulador!$G$6)/Simulador!$B$11))/2,IF((($A226-(Simulador!$E$6+'Salto de dientes'!$B$12))/Simulador!$G$6)&gt;1-Simulador!$B$11,Simulador!$B$9*(1-COS(PI()*(1-(($A226-(Simulador!$E$6+'Salto de dientes'!$B$12))/Simulador!$G$6))/Simulador!$B$11))/2,Simulador!$B$9)))</f>
        <v/>
      </c>
      <c r="R226" s="48">
        <f>IF(OR((($A226-(Simulador!$E$9+'Salto de dientes'!$B$12))/Simulador!$G$9)&lt;=0,(($A226-(Simulador!$E$9+'Salto de dientes'!$B$12))/Simulador!$G$9)&gt;=1),0,IF((($A226-(Simulador!$E$9+'Salto de dientes'!$B$12))/Simulador!$G$9)&lt;Simulador!$B$11,Simulador!$B$10*(1-COS(PI()*(($A226-(Simulador!$E$9+'Salto de dientes'!$B$12))/Simulador!$G$9)/Simulador!$B$11))/2,IF((($A226-(Simulador!$E$9+'Salto de dientes'!$B$12))/Simulador!$G$9)&gt;1-Simulador!$B$11,Simulador!$B$10*(1-COS(PI()*(1-(($A226-(Simulador!$E$9+'Salto de dientes'!$B$12))/Simulador!$G$9))/Simulador!$B$11))/2,Simulador!$B$10)))</f>
        <v/>
      </c>
    </row>
    <row r="227">
      <c r="A227" s="26">
        <f>A226+Simulador!$B$14</f>
        <v/>
      </c>
      <c r="B227" s="46">
        <f>IF(OR((($A227-Simulador!$E$5)/Simulador!$G$5)&lt;=0,(($A227-Simulador!$E$5)/Simulador!$G$5)&gt;=1),0,IF((($A227-Simulador!$E$5)/Simulador!$G$5)&lt;Simulador!$B$11,Simulador!$B$9*(1-COS(PI()*(($A227-Simulador!$E$5)/Simulador!$G$5)/Simulador!$B$11))/2,IF((($A227-Simulador!$E$5)/Simulador!$G$5)&gt;1-Simulador!$B$11,Simulador!$B$9*(1-COS(PI()*(1-(($A227-Simulador!$E$5)/Simulador!$G$5))/Simulador!$B$11))/2,Simulador!$B$9)))</f>
        <v/>
      </c>
      <c r="C227" s="46">
        <f>IF(OR((($A227-Simulador!$E$6)/Simulador!$G$6)&lt;=0,(($A227-Simulador!$E$6)/Simulador!$G$6)&gt;=1),0,IF((($A227-Simulador!$E$6)/Simulador!$G$6)&lt;Simulador!$B$11,Simulador!$B$9*(1-COS(PI()*(($A227-Simulador!$E$6)/Simulador!$G$6)/Simulador!$B$11))/2,IF((($A227-Simulador!$E$6)/Simulador!$G$6)&gt;1-Simulador!$B$11,Simulador!$B$9*(1-COS(PI()*(1-(($A227-Simulador!$E$6)/Simulador!$G$6))/Simulador!$B$11))/2,Simulador!$B$9)))</f>
        <v/>
      </c>
      <c r="D227" s="46">
        <f>IF(OR((($A227-Simulador!$E$7)/Simulador!$G$7)&lt;=0,(($A227-Simulador!$E$7)/Simulador!$G$7)&gt;=1),0,IF((($A227-Simulador!$E$7)/Simulador!$G$7)&lt;Simulador!$B$11,Simulador!$B$9*(1-COS(PI()*(($A227-Simulador!$E$7)/Simulador!$G$7)/Simulador!$B$11))/2,IF((($A227-Simulador!$E$7)/Simulador!$G$7)&gt;1-Simulador!$B$11,Simulador!$B$9*(1-COS(PI()*(1-(($A227-Simulador!$E$7)/Simulador!$G$7))/Simulador!$B$11))/2,Simulador!$B$9)))</f>
        <v/>
      </c>
      <c r="E227" s="46">
        <f>IF(OR((($A227-Simulador!$E$8)/Simulador!$G$8)&lt;=0,(($A227-Simulador!$E$8)/Simulador!$G$8)&gt;=1),0,IF((($A227-Simulador!$E$8)/Simulador!$G$8)&lt;Simulador!$B$11,Simulador!$B$10*(1-COS(PI()*(($A227-Simulador!$E$8)/Simulador!$G$8)/Simulador!$B$11))/2,IF((($A227-Simulador!$E$8)/Simulador!$G$8)&gt;1-Simulador!$B$11,Simulador!$B$10*(1-COS(PI()*(1-(($A227-Simulador!$E$8)/Simulador!$G$8))/Simulador!$B$11))/2,Simulador!$B$10)))</f>
        <v/>
      </c>
      <c r="F227" s="46">
        <f>IF(OR((($A227-Simulador!$E$9)/Simulador!$G$9)&lt;=0,(($A227-Simulador!$E$9)/Simulador!$G$9)&gt;=1),0,IF((($A227-Simulador!$E$9)/Simulador!$G$9)&lt;Simulador!$B$11,Simulador!$B$10*(1-COS(PI()*(($A227-Simulador!$E$9)/Simulador!$G$9)/Simulador!$B$11))/2,IF((($A227-Simulador!$E$9)/Simulador!$G$9)&gt;1-Simulador!$B$11,Simulador!$B$10*(1-COS(PI()*(1-(($A227-Simulador!$E$9)/Simulador!$G$9))/Simulador!$B$11))/2,Simulador!$B$10)))</f>
        <v/>
      </c>
      <c r="G227" s="46">
        <f>IF(OR((($A227-Simulador!$E$10)/Simulador!$G$10)&lt;=0,(($A227-Simulador!$E$10)/Simulador!$G$10)&gt;=1),0,IF((($A227-Simulador!$E$10)/Simulador!$G$10)&lt;Simulador!$B$11,Simulador!$B$10*(1-COS(PI()*(($A227-Simulador!$E$10)/Simulador!$G$10)/Simulador!$B$11))/2,IF((($A227-Simulador!$E$10)/Simulador!$G$10)&gt;1-Simulador!$B$11,Simulador!$B$10*(1-COS(PI()*(1-(($A227-Simulador!$E$10)/Simulador!$G$10))/Simulador!$B$11))/2,Simulador!$B$10)))</f>
        <v/>
      </c>
      <c r="Q227" s="48">
        <f>IF(OR((($A227-(Simulador!$E$6+'Salto de dientes'!$B$12))/Simulador!$G$6)&lt;=0,(($A227-(Simulador!$E$6+'Salto de dientes'!$B$12))/Simulador!$G$6)&gt;=1),0,IF((($A227-(Simulador!$E$6+'Salto de dientes'!$B$12))/Simulador!$G$6)&lt;Simulador!$B$11,Simulador!$B$9*(1-COS(PI()*(($A227-(Simulador!$E$6+'Salto de dientes'!$B$12))/Simulador!$G$6)/Simulador!$B$11))/2,IF((($A227-(Simulador!$E$6+'Salto de dientes'!$B$12))/Simulador!$G$6)&gt;1-Simulador!$B$11,Simulador!$B$9*(1-COS(PI()*(1-(($A227-(Simulador!$E$6+'Salto de dientes'!$B$12))/Simulador!$G$6))/Simulador!$B$11))/2,Simulador!$B$9)))</f>
        <v/>
      </c>
      <c r="R227" s="48">
        <f>IF(OR((($A227-(Simulador!$E$9+'Salto de dientes'!$B$12))/Simulador!$G$9)&lt;=0,(($A227-(Simulador!$E$9+'Salto de dientes'!$B$12))/Simulador!$G$9)&gt;=1),0,IF((($A227-(Simulador!$E$9+'Salto de dientes'!$B$12))/Simulador!$G$9)&lt;Simulador!$B$11,Simulador!$B$10*(1-COS(PI()*(($A227-(Simulador!$E$9+'Salto de dientes'!$B$12))/Simulador!$G$9)/Simulador!$B$11))/2,IF((($A227-(Simulador!$E$9+'Salto de dientes'!$B$12))/Simulador!$G$9)&gt;1-Simulador!$B$11,Simulador!$B$10*(1-COS(PI()*(1-(($A227-(Simulador!$E$9+'Salto de dientes'!$B$12))/Simulador!$G$9))/Simulador!$B$11))/2,Simulador!$B$10)))</f>
        <v/>
      </c>
    </row>
    <row r="228">
      <c r="A228" s="26">
        <f>A227+Simulador!$B$14</f>
        <v/>
      </c>
      <c r="B228" s="46">
        <f>IF(OR((($A228-Simulador!$E$5)/Simulador!$G$5)&lt;=0,(($A228-Simulador!$E$5)/Simulador!$G$5)&gt;=1),0,IF((($A228-Simulador!$E$5)/Simulador!$G$5)&lt;Simulador!$B$11,Simulador!$B$9*(1-COS(PI()*(($A228-Simulador!$E$5)/Simulador!$G$5)/Simulador!$B$11))/2,IF((($A228-Simulador!$E$5)/Simulador!$G$5)&gt;1-Simulador!$B$11,Simulador!$B$9*(1-COS(PI()*(1-(($A228-Simulador!$E$5)/Simulador!$G$5))/Simulador!$B$11))/2,Simulador!$B$9)))</f>
        <v/>
      </c>
      <c r="C228" s="46">
        <f>IF(OR((($A228-Simulador!$E$6)/Simulador!$G$6)&lt;=0,(($A228-Simulador!$E$6)/Simulador!$G$6)&gt;=1),0,IF((($A228-Simulador!$E$6)/Simulador!$G$6)&lt;Simulador!$B$11,Simulador!$B$9*(1-COS(PI()*(($A228-Simulador!$E$6)/Simulador!$G$6)/Simulador!$B$11))/2,IF((($A228-Simulador!$E$6)/Simulador!$G$6)&gt;1-Simulador!$B$11,Simulador!$B$9*(1-COS(PI()*(1-(($A228-Simulador!$E$6)/Simulador!$G$6))/Simulador!$B$11))/2,Simulador!$B$9)))</f>
        <v/>
      </c>
      <c r="D228" s="46">
        <f>IF(OR((($A228-Simulador!$E$7)/Simulador!$G$7)&lt;=0,(($A228-Simulador!$E$7)/Simulador!$G$7)&gt;=1),0,IF((($A228-Simulador!$E$7)/Simulador!$G$7)&lt;Simulador!$B$11,Simulador!$B$9*(1-COS(PI()*(($A228-Simulador!$E$7)/Simulador!$G$7)/Simulador!$B$11))/2,IF((($A228-Simulador!$E$7)/Simulador!$G$7)&gt;1-Simulador!$B$11,Simulador!$B$9*(1-COS(PI()*(1-(($A228-Simulador!$E$7)/Simulador!$G$7))/Simulador!$B$11))/2,Simulador!$B$9)))</f>
        <v/>
      </c>
      <c r="E228" s="46">
        <f>IF(OR((($A228-Simulador!$E$8)/Simulador!$G$8)&lt;=0,(($A228-Simulador!$E$8)/Simulador!$G$8)&gt;=1),0,IF((($A228-Simulador!$E$8)/Simulador!$G$8)&lt;Simulador!$B$11,Simulador!$B$10*(1-COS(PI()*(($A228-Simulador!$E$8)/Simulador!$G$8)/Simulador!$B$11))/2,IF((($A228-Simulador!$E$8)/Simulador!$G$8)&gt;1-Simulador!$B$11,Simulador!$B$10*(1-COS(PI()*(1-(($A228-Simulador!$E$8)/Simulador!$G$8))/Simulador!$B$11))/2,Simulador!$B$10)))</f>
        <v/>
      </c>
      <c r="F228" s="46">
        <f>IF(OR((($A228-Simulador!$E$9)/Simulador!$G$9)&lt;=0,(($A228-Simulador!$E$9)/Simulador!$G$9)&gt;=1),0,IF((($A228-Simulador!$E$9)/Simulador!$G$9)&lt;Simulador!$B$11,Simulador!$B$10*(1-COS(PI()*(($A228-Simulador!$E$9)/Simulador!$G$9)/Simulador!$B$11))/2,IF((($A228-Simulador!$E$9)/Simulador!$G$9)&gt;1-Simulador!$B$11,Simulador!$B$10*(1-COS(PI()*(1-(($A228-Simulador!$E$9)/Simulador!$G$9))/Simulador!$B$11))/2,Simulador!$B$10)))</f>
        <v/>
      </c>
      <c r="G228" s="46">
        <f>IF(OR((($A228-Simulador!$E$10)/Simulador!$G$10)&lt;=0,(($A228-Simulador!$E$10)/Simulador!$G$10)&gt;=1),0,IF((($A228-Simulador!$E$10)/Simulador!$G$10)&lt;Simulador!$B$11,Simulador!$B$10*(1-COS(PI()*(($A228-Simulador!$E$10)/Simulador!$G$10)/Simulador!$B$11))/2,IF((($A228-Simulador!$E$10)/Simulador!$G$10)&gt;1-Simulador!$B$11,Simulador!$B$10*(1-COS(PI()*(1-(($A228-Simulador!$E$10)/Simulador!$G$10))/Simulador!$B$11))/2,Simulador!$B$10)))</f>
        <v/>
      </c>
      <c r="Q228" s="48">
        <f>IF(OR((($A228-(Simulador!$E$6+'Salto de dientes'!$B$12))/Simulador!$G$6)&lt;=0,(($A228-(Simulador!$E$6+'Salto de dientes'!$B$12))/Simulador!$G$6)&gt;=1),0,IF((($A228-(Simulador!$E$6+'Salto de dientes'!$B$12))/Simulador!$G$6)&lt;Simulador!$B$11,Simulador!$B$9*(1-COS(PI()*(($A228-(Simulador!$E$6+'Salto de dientes'!$B$12))/Simulador!$G$6)/Simulador!$B$11))/2,IF((($A228-(Simulador!$E$6+'Salto de dientes'!$B$12))/Simulador!$G$6)&gt;1-Simulador!$B$11,Simulador!$B$9*(1-COS(PI()*(1-(($A228-(Simulador!$E$6+'Salto de dientes'!$B$12))/Simulador!$G$6))/Simulador!$B$11))/2,Simulador!$B$9)))</f>
        <v/>
      </c>
      <c r="R228" s="48">
        <f>IF(OR((($A228-(Simulador!$E$9+'Salto de dientes'!$B$12))/Simulador!$G$9)&lt;=0,(($A228-(Simulador!$E$9+'Salto de dientes'!$B$12))/Simulador!$G$9)&gt;=1),0,IF((($A228-(Simulador!$E$9+'Salto de dientes'!$B$12))/Simulador!$G$9)&lt;Simulador!$B$11,Simulador!$B$10*(1-COS(PI()*(($A228-(Simulador!$E$9+'Salto de dientes'!$B$12))/Simulador!$G$9)/Simulador!$B$11))/2,IF((($A228-(Simulador!$E$9+'Salto de dientes'!$B$12))/Simulador!$G$9)&gt;1-Simulador!$B$11,Simulador!$B$10*(1-COS(PI()*(1-(($A228-(Simulador!$E$9+'Salto de dientes'!$B$12))/Simulador!$G$9))/Simulador!$B$11))/2,Simulador!$B$10)))</f>
        <v/>
      </c>
    </row>
    <row r="229">
      <c r="A229" s="26">
        <f>A228+Simulador!$B$14</f>
        <v/>
      </c>
      <c r="B229" s="46">
        <f>IF(OR((($A229-Simulador!$E$5)/Simulador!$G$5)&lt;=0,(($A229-Simulador!$E$5)/Simulador!$G$5)&gt;=1),0,IF((($A229-Simulador!$E$5)/Simulador!$G$5)&lt;Simulador!$B$11,Simulador!$B$9*(1-COS(PI()*(($A229-Simulador!$E$5)/Simulador!$G$5)/Simulador!$B$11))/2,IF((($A229-Simulador!$E$5)/Simulador!$G$5)&gt;1-Simulador!$B$11,Simulador!$B$9*(1-COS(PI()*(1-(($A229-Simulador!$E$5)/Simulador!$G$5))/Simulador!$B$11))/2,Simulador!$B$9)))</f>
        <v/>
      </c>
      <c r="C229" s="46">
        <f>IF(OR((($A229-Simulador!$E$6)/Simulador!$G$6)&lt;=0,(($A229-Simulador!$E$6)/Simulador!$G$6)&gt;=1),0,IF((($A229-Simulador!$E$6)/Simulador!$G$6)&lt;Simulador!$B$11,Simulador!$B$9*(1-COS(PI()*(($A229-Simulador!$E$6)/Simulador!$G$6)/Simulador!$B$11))/2,IF((($A229-Simulador!$E$6)/Simulador!$G$6)&gt;1-Simulador!$B$11,Simulador!$B$9*(1-COS(PI()*(1-(($A229-Simulador!$E$6)/Simulador!$G$6))/Simulador!$B$11))/2,Simulador!$B$9)))</f>
        <v/>
      </c>
      <c r="D229" s="46">
        <f>IF(OR((($A229-Simulador!$E$7)/Simulador!$G$7)&lt;=0,(($A229-Simulador!$E$7)/Simulador!$G$7)&gt;=1),0,IF((($A229-Simulador!$E$7)/Simulador!$G$7)&lt;Simulador!$B$11,Simulador!$B$9*(1-COS(PI()*(($A229-Simulador!$E$7)/Simulador!$G$7)/Simulador!$B$11))/2,IF((($A229-Simulador!$E$7)/Simulador!$G$7)&gt;1-Simulador!$B$11,Simulador!$B$9*(1-COS(PI()*(1-(($A229-Simulador!$E$7)/Simulador!$G$7))/Simulador!$B$11))/2,Simulador!$B$9)))</f>
        <v/>
      </c>
      <c r="E229" s="46">
        <f>IF(OR((($A229-Simulador!$E$8)/Simulador!$G$8)&lt;=0,(($A229-Simulador!$E$8)/Simulador!$G$8)&gt;=1),0,IF((($A229-Simulador!$E$8)/Simulador!$G$8)&lt;Simulador!$B$11,Simulador!$B$10*(1-COS(PI()*(($A229-Simulador!$E$8)/Simulador!$G$8)/Simulador!$B$11))/2,IF((($A229-Simulador!$E$8)/Simulador!$G$8)&gt;1-Simulador!$B$11,Simulador!$B$10*(1-COS(PI()*(1-(($A229-Simulador!$E$8)/Simulador!$G$8))/Simulador!$B$11))/2,Simulador!$B$10)))</f>
        <v/>
      </c>
      <c r="F229" s="46">
        <f>IF(OR((($A229-Simulador!$E$9)/Simulador!$G$9)&lt;=0,(($A229-Simulador!$E$9)/Simulador!$G$9)&gt;=1),0,IF((($A229-Simulador!$E$9)/Simulador!$G$9)&lt;Simulador!$B$11,Simulador!$B$10*(1-COS(PI()*(($A229-Simulador!$E$9)/Simulador!$G$9)/Simulador!$B$11))/2,IF((($A229-Simulador!$E$9)/Simulador!$G$9)&gt;1-Simulador!$B$11,Simulador!$B$10*(1-COS(PI()*(1-(($A229-Simulador!$E$9)/Simulador!$G$9))/Simulador!$B$11))/2,Simulador!$B$10)))</f>
        <v/>
      </c>
      <c r="G229" s="46">
        <f>IF(OR((($A229-Simulador!$E$10)/Simulador!$G$10)&lt;=0,(($A229-Simulador!$E$10)/Simulador!$G$10)&gt;=1),0,IF((($A229-Simulador!$E$10)/Simulador!$G$10)&lt;Simulador!$B$11,Simulador!$B$10*(1-COS(PI()*(($A229-Simulador!$E$10)/Simulador!$G$10)/Simulador!$B$11))/2,IF((($A229-Simulador!$E$10)/Simulador!$G$10)&gt;1-Simulador!$B$11,Simulador!$B$10*(1-COS(PI()*(1-(($A229-Simulador!$E$10)/Simulador!$G$10))/Simulador!$B$11))/2,Simulador!$B$10)))</f>
        <v/>
      </c>
      <c r="Q229" s="48">
        <f>IF(OR((($A229-(Simulador!$E$6+'Salto de dientes'!$B$12))/Simulador!$G$6)&lt;=0,(($A229-(Simulador!$E$6+'Salto de dientes'!$B$12))/Simulador!$G$6)&gt;=1),0,IF((($A229-(Simulador!$E$6+'Salto de dientes'!$B$12))/Simulador!$G$6)&lt;Simulador!$B$11,Simulador!$B$9*(1-COS(PI()*(($A229-(Simulador!$E$6+'Salto de dientes'!$B$12))/Simulador!$G$6)/Simulador!$B$11))/2,IF((($A229-(Simulador!$E$6+'Salto de dientes'!$B$12))/Simulador!$G$6)&gt;1-Simulador!$B$11,Simulador!$B$9*(1-COS(PI()*(1-(($A229-(Simulador!$E$6+'Salto de dientes'!$B$12))/Simulador!$G$6))/Simulador!$B$11))/2,Simulador!$B$9)))</f>
        <v/>
      </c>
      <c r="R229" s="48">
        <f>IF(OR((($A229-(Simulador!$E$9+'Salto de dientes'!$B$12))/Simulador!$G$9)&lt;=0,(($A229-(Simulador!$E$9+'Salto de dientes'!$B$12))/Simulador!$G$9)&gt;=1),0,IF((($A229-(Simulador!$E$9+'Salto de dientes'!$B$12))/Simulador!$G$9)&lt;Simulador!$B$11,Simulador!$B$10*(1-COS(PI()*(($A229-(Simulador!$E$9+'Salto de dientes'!$B$12))/Simulador!$G$9)/Simulador!$B$11))/2,IF((($A229-(Simulador!$E$9+'Salto de dientes'!$B$12))/Simulador!$G$9)&gt;1-Simulador!$B$11,Simulador!$B$10*(1-COS(PI()*(1-(($A229-(Simulador!$E$9+'Salto de dientes'!$B$12))/Simulador!$G$9))/Simulador!$B$11))/2,Simulador!$B$10)))</f>
        <v/>
      </c>
    </row>
    <row r="230">
      <c r="A230" s="26">
        <f>A229+Simulador!$B$14</f>
        <v/>
      </c>
      <c r="B230" s="46">
        <f>IF(OR((($A230-Simulador!$E$5)/Simulador!$G$5)&lt;=0,(($A230-Simulador!$E$5)/Simulador!$G$5)&gt;=1),0,IF((($A230-Simulador!$E$5)/Simulador!$G$5)&lt;Simulador!$B$11,Simulador!$B$9*(1-COS(PI()*(($A230-Simulador!$E$5)/Simulador!$G$5)/Simulador!$B$11))/2,IF((($A230-Simulador!$E$5)/Simulador!$G$5)&gt;1-Simulador!$B$11,Simulador!$B$9*(1-COS(PI()*(1-(($A230-Simulador!$E$5)/Simulador!$G$5))/Simulador!$B$11))/2,Simulador!$B$9)))</f>
        <v/>
      </c>
      <c r="C230" s="46">
        <f>IF(OR((($A230-Simulador!$E$6)/Simulador!$G$6)&lt;=0,(($A230-Simulador!$E$6)/Simulador!$G$6)&gt;=1),0,IF((($A230-Simulador!$E$6)/Simulador!$G$6)&lt;Simulador!$B$11,Simulador!$B$9*(1-COS(PI()*(($A230-Simulador!$E$6)/Simulador!$G$6)/Simulador!$B$11))/2,IF((($A230-Simulador!$E$6)/Simulador!$G$6)&gt;1-Simulador!$B$11,Simulador!$B$9*(1-COS(PI()*(1-(($A230-Simulador!$E$6)/Simulador!$G$6))/Simulador!$B$11))/2,Simulador!$B$9)))</f>
        <v/>
      </c>
      <c r="D230" s="46">
        <f>IF(OR((($A230-Simulador!$E$7)/Simulador!$G$7)&lt;=0,(($A230-Simulador!$E$7)/Simulador!$G$7)&gt;=1),0,IF((($A230-Simulador!$E$7)/Simulador!$G$7)&lt;Simulador!$B$11,Simulador!$B$9*(1-COS(PI()*(($A230-Simulador!$E$7)/Simulador!$G$7)/Simulador!$B$11))/2,IF((($A230-Simulador!$E$7)/Simulador!$G$7)&gt;1-Simulador!$B$11,Simulador!$B$9*(1-COS(PI()*(1-(($A230-Simulador!$E$7)/Simulador!$G$7))/Simulador!$B$11))/2,Simulador!$B$9)))</f>
        <v/>
      </c>
      <c r="E230" s="46">
        <f>IF(OR((($A230-Simulador!$E$8)/Simulador!$G$8)&lt;=0,(($A230-Simulador!$E$8)/Simulador!$G$8)&gt;=1),0,IF((($A230-Simulador!$E$8)/Simulador!$G$8)&lt;Simulador!$B$11,Simulador!$B$10*(1-COS(PI()*(($A230-Simulador!$E$8)/Simulador!$G$8)/Simulador!$B$11))/2,IF((($A230-Simulador!$E$8)/Simulador!$G$8)&gt;1-Simulador!$B$11,Simulador!$B$10*(1-COS(PI()*(1-(($A230-Simulador!$E$8)/Simulador!$G$8))/Simulador!$B$11))/2,Simulador!$B$10)))</f>
        <v/>
      </c>
      <c r="F230" s="46">
        <f>IF(OR((($A230-Simulador!$E$9)/Simulador!$G$9)&lt;=0,(($A230-Simulador!$E$9)/Simulador!$G$9)&gt;=1),0,IF((($A230-Simulador!$E$9)/Simulador!$G$9)&lt;Simulador!$B$11,Simulador!$B$10*(1-COS(PI()*(($A230-Simulador!$E$9)/Simulador!$G$9)/Simulador!$B$11))/2,IF((($A230-Simulador!$E$9)/Simulador!$G$9)&gt;1-Simulador!$B$11,Simulador!$B$10*(1-COS(PI()*(1-(($A230-Simulador!$E$9)/Simulador!$G$9))/Simulador!$B$11))/2,Simulador!$B$10)))</f>
        <v/>
      </c>
      <c r="G230" s="46">
        <f>IF(OR((($A230-Simulador!$E$10)/Simulador!$G$10)&lt;=0,(($A230-Simulador!$E$10)/Simulador!$G$10)&gt;=1),0,IF((($A230-Simulador!$E$10)/Simulador!$G$10)&lt;Simulador!$B$11,Simulador!$B$10*(1-COS(PI()*(($A230-Simulador!$E$10)/Simulador!$G$10)/Simulador!$B$11))/2,IF((($A230-Simulador!$E$10)/Simulador!$G$10)&gt;1-Simulador!$B$11,Simulador!$B$10*(1-COS(PI()*(1-(($A230-Simulador!$E$10)/Simulador!$G$10))/Simulador!$B$11))/2,Simulador!$B$10)))</f>
        <v/>
      </c>
      <c r="Q230" s="48">
        <f>IF(OR((($A230-(Simulador!$E$6+'Salto de dientes'!$B$12))/Simulador!$G$6)&lt;=0,(($A230-(Simulador!$E$6+'Salto de dientes'!$B$12))/Simulador!$G$6)&gt;=1),0,IF((($A230-(Simulador!$E$6+'Salto de dientes'!$B$12))/Simulador!$G$6)&lt;Simulador!$B$11,Simulador!$B$9*(1-COS(PI()*(($A230-(Simulador!$E$6+'Salto de dientes'!$B$12))/Simulador!$G$6)/Simulador!$B$11))/2,IF((($A230-(Simulador!$E$6+'Salto de dientes'!$B$12))/Simulador!$G$6)&gt;1-Simulador!$B$11,Simulador!$B$9*(1-COS(PI()*(1-(($A230-(Simulador!$E$6+'Salto de dientes'!$B$12))/Simulador!$G$6))/Simulador!$B$11))/2,Simulador!$B$9)))</f>
        <v/>
      </c>
      <c r="R230" s="48">
        <f>IF(OR((($A230-(Simulador!$E$9+'Salto de dientes'!$B$12))/Simulador!$G$9)&lt;=0,(($A230-(Simulador!$E$9+'Salto de dientes'!$B$12))/Simulador!$G$9)&gt;=1),0,IF((($A230-(Simulador!$E$9+'Salto de dientes'!$B$12))/Simulador!$G$9)&lt;Simulador!$B$11,Simulador!$B$10*(1-COS(PI()*(($A230-(Simulador!$E$9+'Salto de dientes'!$B$12))/Simulador!$G$9)/Simulador!$B$11))/2,IF((($A230-(Simulador!$E$9+'Salto de dientes'!$B$12))/Simulador!$G$9)&gt;1-Simulador!$B$11,Simulador!$B$10*(1-COS(PI()*(1-(($A230-(Simulador!$E$9+'Salto de dientes'!$B$12))/Simulador!$G$9))/Simulador!$B$11))/2,Simulador!$B$10)))</f>
        <v/>
      </c>
    </row>
    <row r="231">
      <c r="A231" s="26">
        <f>A230+Simulador!$B$14</f>
        <v/>
      </c>
      <c r="B231" s="46">
        <f>IF(OR((($A231-Simulador!$E$5)/Simulador!$G$5)&lt;=0,(($A231-Simulador!$E$5)/Simulador!$G$5)&gt;=1),0,IF((($A231-Simulador!$E$5)/Simulador!$G$5)&lt;Simulador!$B$11,Simulador!$B$9*(1-COS(PI()*(($A231-Simulador!$E$5)/Simulador!$G$5)/Simulador!$B$11))/2,IF((($A231-Simulador!$E$5)/Simulador!$G$5)&gt;1-Simulador!$B$11,Simulador!$B$9*(1-COS(PI()*(1-(($A231-Simulador!$E$5)/Simulador!$G$5))/Simulador!$B$11))/2,Simulador!$B$9)))</f>
        <v/>
      </c>
      <c r="C231" s="46">
        <f>IF(OR((($A231-Simulador!$E$6)/Simulador!$G$6)&lt;=0,(($A231-Simulador!$E$6)/Simulador!$G$6)&gt;=1),0,IF((($A231-Simulador!$E$6)/Simulador!$G$6)&lt;Simulador!$B$11,Simulador!$B$9*(1-COS(PI()*(($A231-Simulador!$E$6)/Simulador!$G$6)/Simulador!$B$11))/2,IF((($A231-Simulador!$E$6)/Simulador!$G$6)&gt;1-Simulador!$B$11,Simulador!$B$9*(1-COS(PI()*(1-(($A231-Simulador!$E$6)/Simulador!$G$6))/Simulador!$B$11))/2,Simulador!$B$9)))</f>
        <v/>
      </c>
      <c r="D231" s="46">
        <f>IF(OR((($A231-Simulador!$E$7)/Simulador!$G$7)&lt;=0,(($A231-Simulador!$E$7)/Simulador!$G$7)&gt;=1),0,IF((($A231-Simulador!$E$7)/Simulador!$G$7)&lt;Simulador!$B$11,Simulador!$B$9*(1-COS(PI()*(($A231-Simulador!$E$7)/Simulador!$G$7)/Simulador!$B$11))/2,IF((($A231-Simulador!$E$7)/Simulador!$G$7)&gt;1-Simulador!$B$11,Simulador!$B$9*(1-COS(PI()*(1-(($A231-Simulador!$E$7)/Simulador!$G$7))/Simulador!$B$11))/2,Simulador!$B$9)))</f>
        <v/>
      </c>
      <c r="E231" s="46">
        <f>IF(OR((($A231-Simulador!$E$8)/Simulador!$G$8)&lt;=0,(($A231-Simulador!$E$8)/Simulador!$G$8)&gt;=1),0,IF((($A231-Simulador!$E$8)/Simulador!$G$8)&lt;Simulador!$B$11,Simulador!$B$10*(1-COS(PI()*(($A231-Simulador!$E$8)/Simulador!$G$8)/Simulador!$B$11))/2,IF((($A231-Simulador!$E$8)/Simulador!$G$8)&gt;1-Simulador!$B$11,Simulador!$B$10*(1-COS(PI()*(1-(($A231-Simulador!$E$8)/Simulador!$G$8))/Simulador!$B$11))/2,Simulador!$B$10)))</f>
        <v/>
      </c>
      <c r="F231" s="46">
        <f>IF(OR((($A231-Simulador!$E$9)/Simulador!$G$9)&lt;=0,(($A231-Simulador!$E$9)/Simulador!$G$9)&gt;=1),0,IF((($A231-Simulador!$E$9)/Simulador!$G$9)&lt;Simulador!$B$11,Simulador!$B$10*(1-COS(PI()*(($A231-Simulador!$E$9)/Simulador!$G$9)/Simulador!$B$11))/2,IF((($A231-Simulador!$E$9)/Simulador!$G$9)&gt;1-Simulador!$B$11,Simulador!$B$10*(1-COS(PI()*(1-(($A231-Simulador!$E$9)/Simulador!$G$9))/Simulador!$B$11))/2,Simulador!$B$10)))</f>
        <v/>
      </c>
      <c r="G231" s="46">
        <f>IF(OR((($A231-Simulador!$E$10)/Simulador!$G$10)&lt;=0,(($A231-Simulador!$E$10)/Simulador!$G$10)&gt;=1),0,IF((($A231-Simulador!$E$10)/Simulador!$G$10)&lt;Simulador!$B$11,Simulador!$B$10*(1-COS(PI()*(($A231-Simulador!$E$10)/Simulador!$G$10)/Simulador!$B$11))/2,IF((($A231-Simulador!$E$10)/Simulador!$G$10)&gt;1-Simulador!$B$11,Simulador!$B$10*(1-COS(PI()*(1-(($A231-Simulador!$E$10)/Simulador!$G$10))/Simulador!$B$11))/2,Simulador!$B$10)))</f>
        <v/>
      </c>
      <c r="Q231" s="48">
        <f>IF(OR((($A231-(Simulador!$E$6+'Salto de dientes'!$B$12))/Simulador!$G$6)&lt;=0,(($A231-(Simulador!$E$6+'Salto de dientes'!$B$12))/Simulador!$G$6)&gt;=1),0,IF((($A231-(Simulador!$E$6+'Salto de dientes'!$B$12))/Simulador!$G$6)&lt;Simulador!$B$11,Simulador!$B$9*(1-COS(PI()*(($A231-(Simulador!$E$6+'Salto de dientes'!$B$12))/Simulador!$G$6)/Simulador!$B$11))/2,IF((($A231-(Simulador!$E$6+'Salto de dientes'!$B$12))/Simulador!$G$6)&gt;1-Simulador!$B$11,Simulador!$B$9*(1-COS(PI()*(1-(($A231-(Simulador!$E$6+'Salto de dientes'!$B$12))/Simulador!$G$6))/Simulador!$B$11))/2,Simulador!$B$9)))</f>
        <v/>
      </c>
      <c r="R231" s="48">
        <f>IF(OR((($A231-(Simulador!$E$9+'Salto de dientes'!$B$12))/Simulador!$G$9)&lt;=0,(($A231-(Simulador!$E$9+'Salto de dientes'!$B$12))/Simulador!$G$9)&gt;=1),0,IF((($A231-(Simulador!$E$9+'Salto de dientes'!$B$12))/Simulador!$G$9)&lt;Simulador!$B$11,Simulador!$B$10*(1-COS(PI()*(($A231-(Simulador!$E$9+'Salto de dientes'!$B$12))/Simulador!$G$9)/Simulador!$B$11))/2,IF((($A231-(Simulador!$E$9+'Salto de dientes'!$B$12))/Simulador!$G$9)&gt;1-Simulador!$B$11,Simulador!$B$10*(1-COS(PI()*(1-(($A231-(Simulador!$E$9+'Salto de dientes'!$B$12))/Simulador!$G$9))/Simulador!$B$11))/2,Simulador!$B$10)))</f>
        <v/>
      </c>
    </row>
    <row r="232">
      <c r="A232" s="26">
        <f>A231+Simulador!$B$14</f>
        <v/>
      </c>
      <c r="B232" s="46">
        <f>IF(OR((($A232-Simulador!$E$5)/Simulador!$G$5)&lt;=0,(($A232-Simulador!$E$5)/Simulador!$G$5)&gt;=1),0,IF((($A232-Simulador!$E$5)/Simulador!$G$5)&lt;Simulador!$B$11,Simulador!$B$9*(1-COS(PI()*(($A232-Simulador!$E$5)/Simulador!$G$5)/Simulador!$B$11))/2,IF((($A232-Simulador!$E$5)/Simulador!$G$5)&gt;1-Simulador!$B$11,Simulador!$B$9*(1-COS(PI()*(1-(($A232-Simulador!$E$5)/Simulador!$G$5))/Simulador!$B$11))/2,Simulador!$B$9)))</f>
        <v/>
      </c>
      <c r="C232" s="46">
        <f>IF(OR((($A232-Simulador!$E$6)/Simulador!$G$6)&lt;=0,(($A232-Simulador!$E$6)/Simulador!$G$6)&gt;=1),0,IF((($A232-Simulador!$E$6)/Simulador!$G$6)&lt;Simulador!$B$11,Simulador!$B$9*(1-COS(PI()*(($A232-Simulador!$E$6)/Simulador!$G$6)/Simulador!$B$11))/2,IF((($A232-Simulador!$E$6)/Simulador!$G$6)&gt;1-Simulador!$B$11,Simulador!$B$9*(1-COS(PI()*(1-(($A232-Simulador!$E$6)/Simulador!$G$6))/Simulador!$B$11))/2,Simulador!$B$9)))</f>
        <v/>
      </c>
      <c r="D232" s="46">
        <f>IF(OR((($A232-Simulador!$E$7)/Simulador!$G$7)&lt;=0,(($A232-Simulador!$E$7)/Simulador!$G$7)&gt;=1),0,IF((($A232-Simulador!$E$7)/Simulador!$G$7)&lt;Simulador!$B$11,Simulador!$B$9*(1-COS(PI()*(($A232-Simulador!$E$7)/Simulador!$G$7)/Simulador!$B$11))/2,IF((($A232-Simulador!$E$7)/Simulador!$G$7)&gt;1-Simulador!$B$11,Simulador!$B$9*(1-COS(PI()*(1-(($A232-Simulador!$E$7)/Simulador!$G$7))/Simulador!$B$11))/2,Simulador!$B$9)))</f>
        <v/>
      </c>
      <c r="E232" s="46">
        <f>IF(OR((($A232-Simulador!$E$8)/Simulador!$G$8)&lt;=0,(($A232-Simulador!$E$8)/Simulador!$G$8)&gt;=1),0,IF((($A232-Simulador!$E$8)/Simulador!$G$8)&lt;Simulador!$B$11,Simulador!$B$10*(1-COS(PI()*(($A232-Simulador!$E$8)/Simulador!$G$8)/Simulador!$B$11))/2,IF((($A232-Simulador!$E$8)/Simulador!$G$8)&gt;1-Simulador!$B$11,Simulador!$B$10*(1-COS(PI()*(1-(($A232-Simulador!$E$8)/Simulador!$G$8))/Simulador!$B$11))/2,Simulador!$B$10)))</f>
        <v/>
      </c>
      <c r="F232" s="46">
        <f>IF(OR((($A232-Simulador!$E$9)/Simulador!$G$9)&lt;=0,(($A232-Simulador!$E$9)/Simulador!$G$9)&gt;=1),0,IF((($A232-Simulador!$E$9)/Simulador!$G$9)&lt;Simulador!$B$11,Simulador!$B$10*(1-COS(PI()*(($A232-Simulador!$E$9)/Simulador!$G$9)/Simulador!$B$11))/2,IF((($A232-Simulador!$E$9)/Simulador!$G$9)&gt;1-Simulador!$B$11,Simulador!$B$10*(1-COS(PI()*(1-(($A232-Simulador!$E$9)/Simulador!$G$9))/Simulador!$B$11))/2,Simulador!$B$10)))</f>
        <v/>
      </c>
      <c r="G232" s="46">
        <f>IF(OR((($A232-Simulador!$E$10)/Simulador!$G$10)&lt;=0,(($A232-Simulador!$E$10)/Simulador!$G$10)&gt;=1),0,IF((($A232-Simulador!$E$10)/Simulador!$G$10)&lt;Simulador!$B$11,Simulador!$B$10*(1-COS(PI()*(($A232-Simulador!$E$10)/Simulador!$G$10)/Simulador!$B$11))/2,IF((($A232-Simulador!$E$10)/Simulador!$G$10)&gt;1-Simulador!$B$11,Simulador!$B$10*(1-COS(PI()*(1-(($A232-Simulador!$E$10)/Simulador!$G$10))/Simulador!$B$11))/2,Simulador!$B$10)))</f>
        <v/>
      </c>
      <c r="Q232" s="48">
        <f>IF(OR((($A232-(Simulador!$E$6+'Salto de dientes'!$B$12))/Simulador!$G$6)&lt;=0,(($A232-(Simulador!$E$6+'Salto de dientes'!$B$12))/Simulador!$G$6)&gt;=1),0,IF((($A232-(Simulador!$E$6+'Salto de dientes'!$B$12))/Simulador!$G$6)&lt;Simulador!$B$11,Simulador!$B$9*(1-COS(PI()*(($A232-(Simulador!$E$6+'Salto de dientes'!$B$12))/Simulador!$G$6)/Simulador!$B$11))/2,IF((($A232-(Simulador!$E$6+'Salto de dientes'!$B$12))/Simulador!$G$6)&gt;1-Simulador!$B$11,Simulador!$B$9*(1-COS(PI()*(1-(($A232-(Simulador!$E$6+'Salto de dientes'!$B$12))/Simulador!$G$6))/Simulador!$B$11))/2,Simulador!$B$9)))</f>
        <v/>
      </c>
      <c r="R232" s="48">
        <f>IF(OR((($A232-(Simulador!$E$9+'Salto de dientes'!$B$12))/Simulador!$G$9)&lt;=0,(($A232-(Simulador!$E$9+'Salto de dientes'!$B$12))/Simulador!$G$9)&gt;=1),0,IF((($A232-(Simulador!$E$9+'Salto de dientes'!$B$12))/Simulador!$G$9)&lt;Simulador!$B$11,Simulador!$B$10*(1-COS(PI()*(($A232-(Simulador!$E$9+'Salto de dientes'!$B$12))/Simulador!$G$9)/Simulador!$B$11))/2,IF((($A232-(Simulador!$E$9+'Salto de dientes'!$B$12))/Simulador!$G$9)&gt;1-Simulador!$B$11,Simulador!$B$10*(1-COS(PI()*(1-(($A232-(Simulador!$E$9+'Salto de dientes'!$B$12))/Simulador!$G$9))/Simulador!$B$11))/2,Simulador!$B$10)))</f>
        <v/>
      </c>
    </row>
    <row r="233">
      <c r="A233" s="26">
        <f>A232+Simulador!$B$14</f>
        <v/>
      </c>
      <c r="B233" s="46">
        <f>IF(OR((($A233-Simulador!$E$5)/Simulador!$G$5)&lt;=0,(($A233-Simulador!$E$5)/Simulador!$G$5)&gt;=1),0,IF((($A233-Simulador!$E$5)/Simulador!$G$5)&lt;Simulador!$B$11,Simulador!$B$9*(1-COS(PI()*(($A233-Simulador!$E$5)/Simulador!$G$5)/Simulador!$B$11))/2,IF((($A233-Simulador!$E$5)/Simulador!$G$5)&gt;1-Simulador!$B$11,Simulador!$B$9*(1-COS(PI()*(1-(($A233-Simulador!$E$5)/Simulador!$G$5))/Simulador!$B$11))/2,Simulador!$B$9)))</f>
        <v/>
      </c>
      <c r="C233" s="46">
        <f>IF(OR((($A233-Simulador!$E$6)/Simulador!$G$6)&lt;=0,(($A233-Simulador!$E$6)/Simulador!$G$6)&gt;=1),0,IF((($A233-Simulador!$E$6)/Simulador!$G$6)&lt;Simulador!$B$11,Simulador!$B$9*(1-COS(PI()*(($A233-Simulador!$E$6)/Simulador!$G$6)/Simulador!$B$11))/2,IF((($A233-Simulador!$E$6)/Simulador!$G$6)&gt;1-Simulador!$B$11,Simulador!$B$9*(1-COS(PI()*(1-(($A233-Simulador!$E$6)/Simulador!$G$6))/Simulador!$B$11))/2,Simulador!$B$9)))</f>
        <v/>
      </c>
      <c r="D233" s="46">
        <f>IF(OR((($A233-Simulador!$E$7)/Simulador!$G$7)&lt;=0,(($A233-Simulador!$E$7)/Simulador!$G$7)&gt;=1),0,IF((($A233-Simulador!$E$7)/Simulador!$G$7)&lt;Simulador!$B$11,Simulador!$B$9*(1-COS(PI()*(($A233-Simulador!$E$7)/Simulador!$G$7)/Simulador!$B$11))/2,IF((($A233-Simulador!$E$7)/Simulador!$G$7)&gt;1-Simulador!$B$11,Simulador!$B$9*(1-COS(PI()*(1-(($A233-Simulador!$E$7)/Simulador!$G$7))/Simulador!$B$11))/2,Simulador!$B$9)))</f>
        <v/>
      </c>
      <c r="E233" s="46">
        <f>IF(OR((($A233-Simulador!$E$8)/Simulador!$G$8)&lt;=0,(($A233-Simulador!$E$8)/Simulador!$G$8)&gt;=1),0,IF((($A233-Simulador!$E$8)/Simulador!$G$8)&lt;Simulador!$B$11,Simulador!$B$10*(1-COS(PI()*(($A233-Simulador!$E$8)/Simulador!$G$8)/Simulador!$B$11))/2,IF((($A233-Simulador!$E$8)/Simulador!$G$8)&gt;1-Simulador!$B$11,Simulador!$B$10*(1-COS(PI()*(1-(($A233-Simulador!$E$8)/Simulador!$G$8))/Simulador!$B$11))/2,Simulador!$B$10)))</f>
        <v/>
      </c>
      <c r="F233" s="46">
        <f>IF(OR((($A233-Simulador!$E$9)/Simulador!$G$9)&lt;=0,(($A233-Simulador!$E$9)/Simulador!$G$9)&gt;=1),0,IF((($A233-Simulador!$E$9)/Simulador!$G$9)&lt;Simulador!$B$11,Simulador!$B$10*(1-COS(PI()*(($A233-Simulador!$E$9)/Simulador!$G$9)/Simulador!$B$11))/2,IF((($A233-Simulador!$E$9)/Simulador!$G$9)&gt;1-Simulador!$B$11,Simulador!$B$10*(1-COS(PI()*(1-(($A233-Simulador!$E$9)/Simulador!$G$9))/Simulador!$B$11))/2,Simulador!$B$10)))</f>
        <v/>
      </c>
      <c r="G233" s="46">
        <f>IF(OR((($A233-Simulador!$E$10)/Simulador!$G$10)&lt;=0,(($A233-Simulador!$E$10)/Simulador!$G$10)&gt;=1),0,IF((($A233-Simulador!$E$10)/Simulador!$G$10)&lt;Simulador!$B$11,Simulador!$B$10*(1-COS(PI()*(($A233-Simulador!$E$10)/Simulador!$G$10)/Simulador!$B$11))/2,IF((($A233-Simulador!$E$10)/Simulador!$G$10)&gt;1-Simulador!$B$11,Simulador!$B$10*(1-COS(PI()*(1-(($A233-Simulador!$E$10)/Simulador!$G$10))/Simulador!$B$11))/2,Simulador!$B$10)))</f>
        <v/>
      </c>
      <c r="Q233" s="48">
        <f>IF(OR((($A233-(Simulador!$E$6+'Salto de dientes'!$B$12))/Simulador!$G$6)&lt;=0,(($A233-(Simulador!$E$6+'Salto de dientes'!$B$12))/Simulador!$G$6)&gt;=1),0,IF((($A233-(Simulador!$E$6+'Salto de dientes'!$B$12))/Simulador!$G$6)&lt;Simulador!$B$11,Simulador!$B$9*(1-COS(PI()*(($A233-(Simulador!$E$6+'Salto de dientes'!$B$12))/Simulador!$G$6)/Simulador!$B$11))/2,IF((($A233-(Simulador!$E$6+'Salto de dientes'!$B$12))/Simulador!$G$6)&gt;1-Simulador!$B$11,Simulador!$B$9*(1-COS(PI()*(1-(($A233-(Simulador!$E$6+'Salto de dientes'!$B$12))/Simulador!$G$6))/Simulador!$B$11))/2,Simulador!$B$9)))</f>
        <v/>
      </c>
      <c r="R233" s="48">
        <f>IF(OR((($A233-(Simulador!$E$9+'Salto de dientes'!$B$12))/Simulador!$G$9)&lt;=0,(($A233-(Simulador!$E$9+'Salto de dientes'!$B$12))/Simulador!$G$9)&gt;=1),0,IF((($A233-(Simulador!$E$9+'Salto de dientes'!$B$12))/Simulador!$G$9)&lt;Simulador!$B$11,Simulador!$B$10*(1-COS(PI()*(($A233-(Simulador!$E$9+'Salto de dientes'!$B$12))/Simulador!$G$9)/Simulador!$B$11))/2,IF((($A233-(Simulador!$E$9+'Salto de dientes'!$B$12))/Simulador!$G$9)&gt;1-Simulador!$B$11,Simulador!$B$10*(1-COS(PI()*(1-(($A233-(Simulador!$E$9+'Salto de dientes'!$B$12))/Simulador!$G$9))/Simulador!$B$11))/2,Simulador!$B$10)))</f>
        <v/>
      </c>
    </row>
    <row r="234">
      <c r="A234" s="26">
        <f>A233+Simulador!$B$14</f>
        <v/>
      </c>
      <c r="B234" s="46">
        <f>IF(OR((($A234-Simulador!$E$5)/Simulador!$G$5)&lt;=0,(($A234-Simulador!$E$5)/Simulador!$G$5)&gt;=1),0,IF((($A234-Simulador!$E$5)/Simulador!$G$5)&lt;Simulador!$B$11,Simulador!$B$9*(1-COS(PI()*(($A234-Simulador!$E$5)/Simulador!$G$5)/Simulador!$B$11))/2,IF((($A234-Simulador!$E$5)/Simulador!$G$5)&gt;1-Simulador!$B$11,Simulador!$B$9*(1-COS(PI()*(1-(($A234-Simulador!$E$5)/Simulador!$G$5))/Simulador!$B$11))/2,Simulador!$B$9)))</f>
        <v/>
      </c>
      <c r="C234" s="46">
        <f>IF(OR((($A234-Simulador!$E$6)/Simulador!$G$6)&lt;=0,(($A234-Simulador!$E$6)/Simulador!$G$6)&gt;=1),0,IF((($A234-Simulador!$E$6)/Simulador!$G$6)&lt;Simulador!$B$11,Simulador!$B$9*(1-COS(PI()*(($A234-Simulador!$E$6)/Simulador!$G$6)/Simulador!$B$11))/2,IF((($A234-Simulador!$E$6)/Simulador!$G$6)&gt;1-Simulador!$B$11,Simulador!$B$9*(1-COS(PI()*(1-(($A234-Simulador!$E$6)/Simulador!$G$6))/Simulador!$B$11))/2,Simulador!$B$9)))</f>
        <v/>
      </c>
      <c r="D234" s="46">
        <f>IF(OR((($A234-Simulador!$E$7)/Simulador!$G$7)&lt;=0,(($A234-Simulador!$E$7)/Simulador!$G$7)&gt;=1),0,IF((($A234-Simulador!$E$7)/Simulador!$G$7)&lt;Simulador!$B$11,Simulador!$B$9*(1-COS(PI()*(($A234-Simulador!$E$7)/Simulador!$G$7)/Simulador!$B$11))/2,IF((($A234-Simulador!$E$7)/Simulador!$G$7)&gt;1-Simulador!$B$11,Simulador!$B$9*(1-COS(PI()*(1-(($A234-Simulador!$E$7)/Simulador!$G$7))/Simulador!$B$11))/2,Simulador!$B$9)))</f>
        <v/>
      </c>
      <c r="E234" s="46">
        <f>IF(OR((($A234-Simulador!$E$8)/Simulador!$G$8)&lt;=0,(($A234-Simulador!$E$8)/Simulador!$G$8)&gt;=1),0,IF((($A234-Simulador!$E$8)/Simulador!$G$8)&lt;Simulador!$B$11,Simulador!$B$10*(1-COS(PI()*(($A234-Simulador!$E$8)/Simulador!$G$8)/Simulador!$B$11))/2,IF((($A234-Simulador!$E$8)/Simulador!$G$8)&gt;1-Simulador!$B$11,Simulador!$B$10*(1-COS(PI()*(1-(($A234-Simulador!$E$8)/Simulador!$G$8))/Simulador!$B$11))/2,Simulador!$B$10)))</f>
        <v/>
      </c>
      <c r="F234" s="46">
        <f>IF(OR((($A234-Simulador!$E$9)/Simulador!$G$9)&lt;=0,(($A234-Simulador!$E$9)/Simulador!$G$9)&gt;=1),0,IF((($A234-Simulador!$E$9)/Simulador!$G$9)&lt;Simulador!$B$11,Simulador!$B$10*(1-COS(PI()*(($A234-Simulador!$E$9)/Simulador!$G$9)/Simulador!$B$11))/2,IF((($A234-Simulador!$E$9)/Simulador!$G$9)&gt;1-Simulador!$B$11,Simulador!$B$10*(1-COS(PI()*(1-(($A234-Simulador!$E$9)/Simulador!$G$9))/Simulador!$B$11))/2,Simulador!$B$10)))</f>
        <v/>
      </c>
      <c r="G234" s="46">
        <f>IF(OR((($A234-Simulador!$E$10)/Simulador!$G$10)&lt;=0,(($A234-Simulador!$E$10)/Simulador!$G$10)&gt;=1),0,IF((($A234-Simulador!$E$10)/Simulador!$G$10)&lt;Simulador!$B$11,Simulador!$B$10*(1-COS(PI()*(($A234-Simulador!$E$10)/Simulador!$G$10)/Simulador!$B$11))/2,IF((($A234-Simulador!$E$10)/Simulador!$G$10)&gt;1-Simulador!$B$11,Simulador!$B$10*(1-COS(PI()*(1-(($A234-Simulador!$E$10)/Simulador!$G$10))/Simulador!$B$11))/2,Simulador!$B$10)))</f>
        <v/>
      </c>
      <c r="Q234" s="48">
        <f>IF(OR((($A234-(Simulador!$E$6+'Salto de dientes'!$B$12))/Simulador!$G$6)&lt;=0,(($A234-(Simulador!$E$6+'Salto de dientes'!$B$12))/Simulador!$G$6)&gt;=1),0,IF((($A234-(Simulador!$E$6+'Salto de dientes'!$B$12))/Simulador!$G$6)&lt;Simulador!$B$11,Simulador!$B$9*(1-COS(PI()*(($A234-(Simulador!$E$6+'Salto de dientes'!$B$12))/Simulador!$G$6)/Simulador!$B$11))/2,IF((($A234-(Simulador!$E$6+'Salto de dientes'!$B$12))/Simulador!$G$6)&gt;1-Simulador!$B$11,Simulador!$B$9*(1-COS(PI()*(1-(($A234-(Simulador!$E$6+'Salto de dientes'!$B$12))/Simulador!$G$6))/Simulador!$B$11))/2,Simulador!$B$9)))</f>
        <v/>
      </c>
      <c r="R234" s="48">
        <f>IF(OR((($A234-(Simulador!$E$9+'Salto de dientes'!$B$12))/Simulador!$G$9)&lt;=0,(($A234-(Simulador!$E$9+'Salto de dientes'!$B$12))/Simulador!$G$9)&gt;=1),0,IF((($A234-(Simulador!$E$9+'Salto de dientes'!$B$12))/Simulador!$G$9)&lt;Simulador!$B$11,Simulador!$B$10*(1-COS(PI()*(($A234-(Simulador!$E$9+'Salto de dientes'!$B$12))/Simulador!$G$9)/Simulador!$B$11))/2,IF((($A234-(Simulador!$E$9+'Salto de dientes'!$B$12))/Simulador!$G$9)&gt;1-Simulador!$B$11,Simulador!$B$10*(1-COS(PI()*(1-(($A234-(Simulador!$E$9+'Salto de dientes'!$B$12))/Simulador!$G$9))/Simulador!$B$11))/2,Simulador!$B$10)))</f>
        <v/>
      </c>
    </row>
    <row r="235">
      <c r="A235" s="26">
        <f>A234+Simulador!$B$14</f>
        <v/>
      </c>
      <c r="B235" s="46">
        <f>IF(OR((($A235-Simulador!$E$5)/Simulador!$G$5)&lt;=0,(($A235-Simulador!$E$5)/Simulador!$G$5)&gt;=1),0,IF((($A235-Simulador!$E$5)/Simulador!$G$5)&lt;Simulador!$B$11,Simulador!$B$9*(1-COS(PI()*(($A235-Simulador!$E$5)/Simulador!$G$5)/Simulador!$B$11))/2,IF((($A235-Simulador!$E$5)/Simulador!$G$5)&gt;1-Simulador!$B$11,Simulador!$B$9*(1-COS(PI()*(1-(($A235-Simulador!$E$5)/Simulador!$G$5))/Simulador!$B$11))/2,Simulador!$B$9)))</f>
        <v/>
      </c>
      <c r="C235" s="46">
        <f>IF(OR((($A235-Simulador!$E$6)/Simulador!$G$6)&lt;=0,(($A235-Simulador!$E$6)/Simulador!$G$6)&gt;=1),0,IF((($A235-Simulador!$E$6)/Simulador!$G$6)&lt;Simulador!$B$11,Simulador!$B$9*(1-COS(PI()*(($A235-Simulador!$E$6)/Simulador!$G$6)/Simulador!$B$11))/2,IF((($A235-Simulador!$E$6)/Simulador!$G$6)&gt;1-Simulador!$B$11,Simulador!$B$9*(1-COS(PI()*(1-(($A235-Simulador!$E$6)/Simulador!$G$6))/Simulador!$B$11))/2,Simulador!$B$9)))</f>
        <v/>
      </c>
      <c r="D235" s="46">
        <f>IF(OR((($A235-Simulador!$E$7)/Simulador!$G$7)&lt;=0,(($A235-Simulador!$E$7)/Simulador!$G$7)&gt;=1),0,IF((($A235-Simulador!$E$7)/Simulador!$G$7)&lt;Simulador!$B$11,Simulador!$B$9*(1-COS(PI()*(($A235-Simulador!$E$7)/Simulador!$G$7)/Simulador!$B$11))/2,IF((($A235-Simulador!$E$7)/Simulador!$G$7)&gt;1-Simulador!$B$11,Simulador!$B$9*(1-COS(PI()*(1-(($A235-Simulador!$E$7)/Simulador!$G$7))/Simulador!$B$11))/2,Simulador!$B$9)))</f>
        <v/>
      </c>
      <c r="E235" s="46">
        <f>IF(OR((($A235-Simulador!$E$8)/Simulador!$G$8)&lt;=0,(($A235-Simulador!$E$8)/Simulador!$G$8)&gt;=1),0,IF((($A235-Simulador!$E$8)/Simulador!$G$8)&lt;Simulador!$B$11,Simulador!$B$10*(1-COS(PI()*(($A235-Simulador!$E$8)/Simulador!$G$8)/Simulador!$B$11))/2,IF((($A235-Simulador!$E$8)/Simulador!$G$8)&gt;1-Simulador!$B$11,Simulador!$B$10*(1-COS(PI()*(1-(($A235-Simulador!$E$8)/Simulador!$G$8))/Simulador!$B$11))/2,Simulador!$B$10)))</f>
        <v/>
      </c>
      <c r="F235" s="46">
        <f>IF(OR((($A235-Simulador!$E$9)/Simulador!$G$9)&lt;=0,(($A235-Simulador!$E$9)/Simulador!$G$9)&gt;=1),0,IF((($A235-Simulador!$E$9)/Simulador!$G$9)&lt;Simulador!$B$11,Simulador!$B$10*(1-COS(PI()*(($A235-Simulador!$E$9)/Simulador!$G$9)/Simulador!$B$11))/2,IF((($A235-Simulador!$E$9)/Simulador!$G$9)&gt;1-Simulador!$B$11,Simulador!$B$10*(1-COS(PI()*(1-(($A235-Simulador!$E$9)/Simulador!$G$9))/Simulador!$B$11))/2,Simulador!$B$10)))</f>
        <v/>
      </c>
      <c r="G235" s="46">
        <f>IF(OR((($A235-Simulador!$E$10)/Simulador!$G$10)&lt;=0,(($A235-Simulador!$E$10)/Simulador!$G$10)&gt;=1),0,IF((($A235-Simulador!$E$10)/Simulador!$G$10)&lt;Simulador!$B$11,Simulador!$B$10*(1-COS(PI()*(($A235-Simulador!$E$10)/Simulador!$G$10)/Simulador!$B$11))/2,IF((($A235-Simulador!$E$10)/Simulador!$G$10)&gt;1-Simulador!$B$11,Simulador!$B$10*(1-COS(PI()*(1-(($A235-Simulador!$E$10)/Simulador!$G$10))/Simulador!$B$11))/2,Simulador!$B$10)))</f>
        <v/>
      </c>
      <c r="Q235" s="48">
        <f>IF(OR((($A235-(Simulador!$E$6+'Salto de dientes'!$B$12))/Simulador!$G$6)&lt;=0,(($A235-(Simulador!$E$6+'Salto de dientes'!$B$12))/Simulador!$G$6)&gt;=1),0,IF((($A235-(Simulador!$E$6+'Salto de dientes'!$B$12))/Simulador!$G$6)&lt;Simulador!$B$11,Simulador!$B$9*(1-COS(PI()*(($A235-(Simulador!$E$6+'Salto de dientes'!$B$12))/Simulador!$G$6)/Simulador!$B$11))/2,IF((($A235-(Simulador!$E$6+'Salto de dientes'!$B$12))/Simulador!$G$6)&gt;1-Simulador!$B$11,Simulador!$B$9*(1-COS(PI()*(1-(($A235-(Simulador!$E$6+'Salto de dientes'!$B$12))/Simulador!$G$6))/Simulador!$B$11))/2,Simulador!$B$9)))</f>
        <v/>
      </c>
      <c r="R235" s="48">
        <f>IF(OR((($A235-(Simulador!$E$9+'Salto de dientes'!$B$12))/Simulador!$G$9)&lt;=0,(($A235-(Simulador!$E$9+'Salto de dientes'!$B$12))/Simulador!$G$9)&gt;=1),0,IF((($A235-(Simulador!$E$9+'Salto de dientes'!$B$12))/Simulador!$G$9)&lt;Simulador!$B$11,Simulador!$B$10*(1-COS(PI()*(($A235-(Simulador!$E$9+'Salto de dientes'!$B$12))/Simulador!$G$9)/Simulador!$B$11))/2,IF((($A235-(Simulador!$E$9+'Salto de dientes'!$B$12))/Simulador!$G$9)&gt;1-Simulador!$B$11,Simulador!$B$10*(1-COS(PI()*(1-(($A235-(Simulador!$E$9+'Salto de dientes'!$B$12))/Simulador!$G$9))/Simulador!$B$11))/2,Simulador!$B$10)))</f>
        <v/>
      </c>
    </row>
    <row r="236">
      <c r="A236" s="26">
        <f>A235+Simulador!$B$14</f>
        <v/>
      </c>
      <c r="B236" s="46">
        <f>IF(OR((($A236-Simulador!$E$5)/Simulador!$G$5)&lt;=0,(($A236-Simulador!$E$5)/Simulador!$G$5)&gt;=1),0,IF((($A236-Simulador!$E$5)/Simulador!$G$5)&lt;Simulador!$B$11,Simulador!$B$9*(1-COS(PI()*(($A236-Simulador!$E$5)/Simulador!$G$5)/Simulador!$B$11))/2,IF((($A236-Simulador!$E$5)/Simulador!$G$5)&gt;1-Simulador!$B$11,Simulador!$B$9*(1-COS(PI()*(1-(($A236-Simulador!$E$5)/Simulador!$G$5))/Simulador!$B$11))/2,Simulador!$B$9)))</f>
        <v/>
      </c>
      <c r="C236" s="46">
        <f>IF(OR((($A236-Simulador!$E$6)/Simulador!$G$6)&lt;=0,(($A236-Simulador!$E$6)/Simulador!$G$6)&gt;=1),0,IF((($A236-Simulador!$E$6)/Simulador!$G$6)&lt;Simulador!$B$11,Simulador!$B$9*(1-COS(PI()*(($A236-Simulador!$E$6)/Simulador!$G$6)/Simulador!$B$11))/2,IF((($A236-Simulador!$E$6)/Simulador!$G$6)&gt;1-Simulador!$B$11,Simulador!$B$9*(1-COS(PI()*(1-(($A236-Simulador!$E$6)/Simulador!$G$6))/Simulador!$B$11))/2,Simulador!$B$9)))</f>
        <v/>
      </c>
      <c r="D236" s="46">
        <f>IF(OR((($A236-Simulador!$E$7)/Simulador!$G$7)&lt;=0,(($A236-Simulador!$E$7)/Simulador!$G$7)&gt;=1),0,IF((($A236-Simulador!$E$7)/Simulador!$G$7)&lt;Simulador!$B$11,Simulador!$B$9*(1-COS(PI()*(($A236-Simulador!$E$7)/Simulador!$G$7)/Simulador!$B$11))/2,IF((($A236-Simulador!$E$7)/Simulador!$G$7)&gt;1-Simulador!$B$11,Simulador!$B$9*(1-COS(PI()*(1-(($A236-Simulador!$E$7)/Simulador!$G$7))/Simulador!$B$11))/2,Simulador!$B$9)))</f>
        <v/>
      </c>
      <c r="E236" s="46">
        <f>IF(OR((($A236-Simulador!$E$8)/Simulador!$G$8)&lt;=0,(($A236-Simulador!$E$8)/Simulador!$G$8)&gt;=1),0,IF((($A236-Simulador!$E$8)/Simulador!$G$8)&lt;Simulador!$B$11,Simulador!$B$10*(1-COS(PI()*(($A236-Simulador!$E$8)/Simulador!$G$8)/Simulador!$B$11))/2,IF((($A236-Simulador!$E$8)/Simulador!$G$8)&gt;1-Simulador!$B$11,Simulador!$B$10*(1-COS(PI()*(1-(($A236-Simulador!$E$8)/Simulador!$G$8))/Simulador!$B$11))/2,Simulador!$B$10)))</f>
        <v/>
      </c>
      <c r="F236" s="46">
        <f>IF(OR((($A236-Simulador!$E$9)/Simulador!$G$9)&lt;=0,(($A236-Simulador!$E$9)/Simulador!$G$9)&gt;=1),0,IF((($A236-Simulador!$E$9)/Simulador!$G$9)&lt;Simulador!$B$11,Simulador!$B$10*(1-COS(PI()*(($A236-Simulador!$E$9)/Simulador!$G$9)/Simulador!$B$11))/2,IF((($A236-Simulador!$E$9)/Simulador!$G$9)&gt;1-Simulador!$B$11,Simulador!$B$10*(1-COS(PI()*(1-(($A236-Simulador!$E$9)/Simulador!$G$9))/Simulador!$B$11))/2,Simulador!$B$10)))</f>
        <v/>
      </c>
      <c r="G236" s="46">
        <f>IF(OR((($A236-Simulador!$E$10)/Simulador!$G$10)&lt;=0,(($A236-Simulador!$E$10)/Simulador!$G$10)&gt;=1),0,IF((($A236-Simulador!$E$10)/Simulador!$G$10)&lt;Simulador!$B$11,Simulador!$B$10*(1-COS(PI()*(($A236-Simulador!$E$10)/Simulador!$G$10)/Simulador!$B$11))/2,IF((($A236-Simulador!$E$10)/Simulador!$G$10)&gt;1-Simulador!$B$11,Simulador!$B$10*(1-COS(PI()*(1-(($A236-Simulador!$E$10)/Simulador!$G$10))/Simulador!$B$11))/2,Simulador!$B$10)))</f>
        <v/>
      </c>
      <c r="Q236" s="48">
        <f>IF(OR((($A236-(Simulador!$E$6+'Salto de dientes'!$B$12))/Simulador!$G$6)&lt;=0,(($A236-(Simulador!$E$6+'Salto de dientes'!$B$12))/Simulador!$G$6)&gt;=1),0,IF((($A236-(Simulador!$E$6+'Salto de dientes'!$B$12))/Simulador!$G$6)&lt;Simulador!$B$11,Simulador!$B$9*(1-COS(PI()*(($A236-(Simulador!$E$6+'Salto de dientes'!$B$12))/Simulador!$G$6)/Simulador!$B$11))/2,IF((($A236-(Simulador!$E$6+'Salto de dientes'!$B$12))/Simulador!$G$6)&gt;1-Simulador!$B$11,Simulador!$B$9*(1-COS(PI()*(1-(($A236-(Simulador!$E$6+'Salto de dientes'!$B$12))/Simulador!$G$6))/Simulador!$B$11))/2,Simulador!$B$9)))</f>
        <v/>
      </c>
      <c r="R236" s="48">
        <f>IF(OR((($A236-(Simulador!$E$9+'Salto de dientes'!$B$12))/Simulador!$G$9)&lt;=0,(($A236-(Simulador!$E$9+'Salto de dientes'!$B$12))/Simulador!$G$9)&gt;=1),0,IF((($A236-(Simulador!$E$9+'Salto de dientes'!$B$12))/Simulador!$G$9)&lt;Simulador!$B$11,Simulador!$B$10*(1-COS(PI()*(($A236-(Simulador!$E$9+'Salto de dientes'!$B$12))/Simulador!$G$9)/Simulador!$B$11))/2,IF((($A236-(Simulador!$E$9+'Salto de dientes'!$B$12))/Simulador!$G$9)&gt;1-Simulador!$B$11,Simulador!$B$10*(1-COS(PI()*(1-(($A236-(Simulador!$E$9+'Salto de dientes'!$B$12))/Simulador!$G$9))/Simulador!$B$11))/2,Simulador!$B$10)))</f>
        <v/>
      </c>
    </row>
    <row r="237">
      <c r="A237" s="26">
        <f>A236+Simulador!$B$14</f>
        <v/>
      </c>
      <c r="B237" s="46">
        <f>IF(OR((($A237-Simulador!$E$5)/Simulador!$G$5)&lt;=0,(($A237-Simulador!$E$5)/Simulador!$G$5)&gt;=1),0,IF((($A237-Simulador!$E$5)/Simulador!$G$5)&lt;Simulador!$B$11,Simulador!$B$9*(1-COS(PI()*(($A237-Simulador!$E$5)/Simulador!$G$5)/Simulador!$B$11))/2,IF((($A237-Simulador!$E$5)/Simulador!$G$5)&gt;1-Simulador!$B$11,Simulador!$B$9*(1-COS(PI()*(1-(($A237-Simulador!$E$5)/Simulador!$G$5))/Simulador!$B$11))/2,Simulador!$B$9)))</f>
        <v/>
      </c>
      <c r="C237" s="46">
        <f>IF(OR((($A237-Simulador!$E$6)/Simulador!$G$6)&lt;=0,(($A237-Simulador!$E$6)/Simulador!$G$6)&gt;=1),0,IF((($A237-Simulador!$E$6)/Simulador!$G$6)&lt;Simulador!$B$11,Simulador!$B$9*(1-COS(PI()*(($A237-Simulador!$E$6)/Simulador!$G$6)/Simulador!$B$11))/2,IF((($A237-Simulador!$E$6)/Simulador!$G$6)&gt;1-Simulador!$B$11,Simulador!$B$9*(1-COS(PI()*(1-(($A237-Simulador!$E$6)/Simulador!$G$6))/Simulador!$B$11))/2,Simulador!$B$9)))</f>
        <v/>
      </c>
      <c r="D237" s="46">
        <f>IF(OR((($A237-Simulador!$E$7)/Simulador!$G$7)&lt;=0,(($A237-Simulador!$E$7)/Simulador!$G$7)&gt;=1),0,IF((($A237-Simulador!$E$7)/Simulador!$G$7)&lt;Simulador!$B$11,Simulador!$B$9*(1-COS(PI()*(($A237-Simulador!$E$7)/Simulador!$G$7)/Simulador!$B$11))/2,IF((($A237-Simulador!$E$7)/Simulador!$G$7)&gt;1-Simulador!$B$11,Simulador!$B$9*(1-COS(PI()*(1-(($A237-Simulador!$E$7)/Simulador!$G$7))/Simulador!$B$11))/2,Simulador!$B$9)))</f>
        <v/>
      </c>
      <c r="E237" s="46">
        <f>IF(OR((($A237-Simulador!$E$8)/Simulador!$G$8)&lt;=0,(($A237-Simulador!$E$8)/Simulador!$G$8)&gt;=1),0,IF((($A237-Simulador!$E$8)/Simulador!$G$8)&lt;Simulador!$B$11,Simulador!$B$10*(1-COS(PI()*(($A237-Simulador!$E$8)/Simulador!$G$8)/Simulador!$B$11))/2,IF((($A237-Simulador!$E$8)/Simulador!$G$8)&gt;1-Simulador!$B$11,Simulador!$B$10*(1-COS(PI()*(1-(($A237-Simulador!$E$8)/Simulador!$G$8))/Simulador!$B$11))/2,Simulador!$B$10)))</f>
        <v/>
      </c>
      <c r="F237" s="46">
        <f>IF(OR((($A237-Simulador!$E$9)/Simulador!$G$9)&lt;=0,(($A237-Simulador!$E$9)/Simulador!$G$9)&gt;=1),0,IF((($A237-Simulador!$E$9)/Simulador!$G$9)&lt;Simulador!$B$11,Simulador!$B$10*(1-COS(PI()*(($A237-Simulador!$E$9)/Simulador!$G$9)/Simulador!$B$11))/2,IF((($A237-Simulador!$E$9)/Simulador!$G$9)&gt;1-Simulador!$B$11,Simulador!$B$10*(1-COS(PI()*(1-(($A237-Simulador!$E$9)/Simulador!$G$9))/Simulador!$B$11))/2,Simulador!$B$10)))</f>
        <v/>
      </c>
      <c r="G237" s="46">
        <f>IF(OR((($A237-Simulador!$E$10)/Simulador!$G$10)&lt;=0,(($A237-Simulador!$E$10)/Simulador!$G$10)&gt;=1),0,IF((($A237-Simulador!$E$10)/Simulador!$G$10)&lt;Simulador!$B$11,Simulador!$B$10*(1-COS(PI()*(($A237-Simulador!$E$10)/Simulador!$G$10)/Simulador!$B$11))/2,IF((($A237-Simulador!$E$10)/Simulador!$G$10)&gt;1-Simulador!$B$11,Simulador!$B$10*(1-COS(PI()*(1-(($A237-Simulador!$E$10)/Simulador!$G$10))/Simulador!$B$11))/2,Simulador!$B$10)))</f>
        <v/>
      </c>
      <c r="Q237" s="48">
        <f>IF(OR((($A237-(Simulador!$E$6+'Salto de dientes'!$B$12))/Simulador!$G$6)&lt;=0,(($A237-(Simulador!$E$6+'Salto de dientes'!$B$12))/Simulador!$G$6)&gt;=1),0,IF((($A237-(Simulador!$E$6+'Salto de dientes'!$B$12))/Simulador!$G$6)&lt;Simulador!$B$11,Simulador!$B$9*(1-COS(PI()*(($A237-(Simulador!$E$6+'Salto de dientes'!$B$12))/Simulador!$G$6)/Simulador!$B$11))/2,IF((($A237-(Simulador!$E$6+'Salto de dientes'!$B$12))/Simulador!$G$6)&gt;1-Simulador!$B$11,Simulador!$B$9*(1-COS(PI()*(1-(($A237-(Simulador!$E$6+'Salto de dientes'!$B$12))/Simulador!$G$6))/Simulador!$B$11))/2,Simulador!$B$9)))</f>
        <v/>
      </c>
      <c r="R237" s="48">
        <f>IF(OR((($A237-(Simulador!$E$9+'Salto de dientes'!$B$12))/Simulador!$G$9)&lt;=0,(($A237-(Simulador!$E$9+'Salto de dientes'!$B$12))/Simulador!$G$9)&gt;=1),0,IF((($A237-(Simulador!$E$9+'Salto de dientes'!$B$12))/Simulador!$G$9)&lt;Simulador!$B$11,Simulador!$B$10*(1-COS(PI()*(($A237-(Simulador!$E$9+'Salto de dientes'!$B$12))/Simulador!$G$9)/Simulador!$B$11))/2,IF((($A237-(Simulador!$E$9+'Salto de dientes'!$B$12))/Simulador!$G$9)&gt;1-Simulador!$B$11,Simulador!$B$10*(1-COS(PI()*(1-(($A237-(Simulador!$E$9+'Salto de dientes'!$B$12))/Simulador!$G$9))/Simulador!$B$11))/2,Simulador!$B$10)))</f>
        <v/>
      </c>
    </row>
    <row r="238">
      <c r="A238" s="26">
        <f>A237+Simulador!$B$14</f>
        <v/>
      </c>
      <c r="B238" s="46">
        <f>IF(OR((($A238-Simulador!$E$5)/Simulador!$G$5)&lt;=0,(($A238-Simulador!$E$5)/Simulador!$G$5)&gt;=1),0,IF((($A238-Simulador!$E$5)/Simulador!$G$5)&lt;Simulador!$B$11,Simulador!$B$9*(1-COS(PI()*(($A238-Simulador!$E$5)/Simulador!$G$5)/Simulador!$B$11))/2,IF((($A238-Simulador!$E$5)/Simulador!$G$5)&gt;1-Simulador!$B$11,Simulador!$B$9*(1-COS(PI()*(1-(($A238-Simulador!$E$5)/Simulador!$G$5))/Simulador!$B$11))/2,Simulador!$B$9)))</f>
        <v/>
      </c>
      <c r="C238" s="46">
        <f>IF(OR((($A238-Simulador!$E$6)/Simulador!$G$6)&lt;=0,(($A238-Simulador!$E$6)/Simulador!$G$6)&gt;=1),0,IF((($A238-Simulador!$E$6)/Simulador!$G$6)&lt;Simulador!$B$11,Simulador!$B$9*(1-COS(PI()*(($A238-Simulador!$E$6)/Simulador!$G$6)/Simulador!$B$11))/2,IF((($A238-Simulador!$E$6)/Simulador!$G$6)&gt;1-Simulador!$B$11,Simulador!$B$9*(1-COS(PI()*(1-(($A238-Simulador!$E$6)/Simulador!$G$6))/Simulador!$B$11))/2,Simulador!$B$9)))</f>
        <v/>
      </c>
      <c r="D238" s="46">
        <f>IF(OR((($A238-Simulador!$E$7)/Simulador!$G$7)&lt;=0,(($A238-Simulador!$E$7)/Simulador!$G$7)&gt;=1),0,IF((($A238-Simulador!$E$7)/Simulador!$G$7)&lt;Simulador!$B$11,Simulador!$B$9*(1-COS(PI()*(($A238-Simulador!$E$7)/Simulador!$G$7)/Simulador!$B$11))/2,IF((($A238-Simulador!$E$7)/Simulador!$G$7)&gt;1-Simulador!$B$11,Simulador!$B$9*(1-COS(PI()*(1-(($A238-Simulador!$E$7)/Simulador!$G$7))/Simulador!$B$11))/2,Simulador!$B$9)))</f>
        <v/>
      </c>
      <c r="E238" s="46">
        <f>IF(OR((($A238-Simulador!$E$8)/Simulador!$G$8)&lt;=0,(($A238-Simulador!$E$8)/Simulador!$G$8)&gt;=1),0,IF((($A238-Simulador!$E$8)/Simulador!$G$8)&lt;Simulador!$B$11,Simulador!$B$10*(1-COS(PI()*(($A238-Simulador!$E$8)/Simulador!$G$8)/Simulador!$B$11))/2,IF((($A238-Simulador!$E$8)/Simulador!$G$8)&gt;1-Simulador!$B$11,Simulador!$B$10*(1-COS(PI()*(1-(($A238-Simulador!$E$8)/Simulador!$G$8))/Simulador!$B$11))/2,Simulador!$B$10)))</f>
        <v/>
      </c>
      <c r="F238" s="46">
        <f>IF(OR((($A238-Simulador!$E$9)/Simulador!$G$9)&lt;=0,(($A238-Simulador!$E$9)/Simulador!$G$9)&gt;=1),0,IF((($A238-Simulador!$E$9)/Simulador!$G$9)&lt;Simulador!$B$11,Simulador!$B$10*(1-COS(PI()*(($A238-Simulador!$E$9)/Simulador!$G$9)/Simulador!$B$11))/2,IF((($A238-Simulador!$E$9)/Simulador!$G$9)&gt;1-Simulador!$B$11,Simulador!$B$10*(1-COS(PI()*(1-(($A238-Simulador!$E$9)/Simulador!$G$9))/Simulador!$B$11))/2,Simulador!$B$10)))</f>
        <v/>
      </c>
      <c r="G238" s="46">
        <f>IF(OR((($A238-Simulador!$E$10)/Simulador!$G$10)&lt;=0,(($A238-Simulador!$E$10)/Simulador!$G$10)&gt;=1),0,IF((($A238-Simulador!$E$10)/Simulador!$G$10)&lt;Simulador!$B$11,Simulador!$B$10*(1-COS(PI()*(($A238-Simulador!$E$10)/Simulador!$G$10)/Simulador!$B$11))/2,IF((($A238-Simulador!$E$10)/Simulador!$G$10)&gt;1-Simulador!$B$11,Simulador!$B$10*(1-COS(PI()*(1-(($A238-Simulador!$E$10)/Simulador!$G$10))/Simulador!$B$11))/2,Simulador!$B$10)))</f>
        <v/>
      </c>
      <c r="Q238" s="48">
        <f>IF(OR((($A238-(Simulador!$E$6+'Salto de dientes'!$B$12))/Simulador!$G$6)&lt;=0,(($A238-(Simulador!$E$6+'Salto de dientes'!$B$12))/Simulador!$G$6)&gt;=1),0,IF((($A238-(Simulador!$E$6+'Salto de dientes'!$B$12))/Simulador!$G$6)&lt;Simulador!$B$11,Simulador!$B$9*(1-COS(PI()*(($A238-(Simulador!$E$6+'Salto de dientes'!$B$12))/Simulador!$G$6)/Simulador!$B$11))/2,IF((($A238-(Simulador!$E$6+'Salto de dientes'!$B$12))/Simulador!$G$6)&gt;1-Simulador!$B$11,Simulador!$B$9*(1-COS(PI()*(1-(($A238-(Simulador!$E$6+'Salto de dientes'!$B$12))/Simulador!$G$6))/Simulador!$B$11))/2,Simulador!$B$9)))</f>
        <v/>
      </c>
      <c r="R238" s="48">
        <f>IF(OR((($A238-(Simulador!$E$9+'Salto de dientes'!$B$12))/Simulador!$G$9)&lt;=0,(($A238-(Simulador!$E$9+'Salto de dientes'!$B$12))/Simulador!$G$9)&gt;=1),0,IF((($A238-(Simulador!$E$9+'Salto de dientes'!$B$12))/Simulador!$G$9)&lt;Simulador!$B$11,Simulador!$B$10*(1-COS(PI()*(($A238-(Simulador!$E$9+'Salto de dientes'!$B$12))/Simulador!$G$9)/Simulador!$B$11))/2,IF((($A238-(Simulador!$E$9+'Salto de dientes'!$B$12))/Simulador!$G$9)&gt;1-Simulador!$B$11,Simulador!$B$10*(1-COS(PI()*(1-(($A238-(Simulador!$E$9+'Salto de dientes'!$B$12))/Simulador!$G$9))/Simulador!$B$11))/2,Simulador!$B$10)))</f>
        <v/>
      </c>
    </row>
    <row r="239">
      <c r="A239" s="26">
        <f>A238+Simulador!$B$14</f>
        <v/>
      </c>
      <c r="B239" s="46">
        <f>IF(OR((($A239-Simulador!$E$5)/Simulador!$G$5)&lt;=0,(($A239-Simulador!$E$5)/Simulador!$G$5)&gt;=1),0,IF((($A239-Simulador!$E$5)/Simulador!$G$5)&lt;Simulador!$B$11,Simulador!$B$9*(1-COS(PI()*(($A239-Simulador!$E$5)/Simulador!$G$5)/Simulador!$B$11))/2,IF((($A239-Simulador!$E$5)/Simulador!$G$5)&gt;1-Simulador!$B$11,Simulador!$B$9*(1-COS(PI()*(1-(($A239-Simulador!$E$5)/Simulador!$G$5))/Simulador!$B$11))/2,Simulador!$B$9)))</f>
        <v/>
      </c>
      <c r="C239" s="46">
        <f>IF(OR((($A239-Simulador!$E$6)/Simulador!$G$6)&lt;=0,(($A239-Simulador!$E$6)/Simulador!$G$6)&gt;=1),0,IF((($A239-Simulador!$E$6)/Simulador!$G$6)&lt;Simulador!$B$11,Simulador!$B$9*(1-COS(PI()*(($A239-Simulador!$E$6)/Simulador!$G$6)/Simulador!$B$11))/2,IF((($A239-Simulador!$E$6)/Simulador!$G$6)&gt;1-Simulador!$B$11,Simulador!$B$9*(1-COS(PI()*(1-(($A239-Simulador!$E$6)/Simulador!$G$6))/Simulador!$B$11))/2,Simulador!$B$9)))</f>
        <v/>
      </c>
      <c r="D239" s="46">
        <f>IF(OR((($A239-Simulador!$E$7)/Simulador!$G$7)&lt;=0,(($A239-Simulador!$E$7)/Simulador!$G$7)&gt;=1),0,IF((($A239-Simulador!$E$7)/Simulador!$G$7)&lt;Simulador!$B$11,Simulador!$B$9*(1-COS(PI()*(($A239-Simulador!$E$7)/Simulador!$G$7)/Simulador!$B$11))/2,IF((($A239-Simulador!$E$7)/Simulador!$G$7)&gt;1-Simulador!$B$11,Simulador!$B$9*(1-COS(PI()*(1-(($A239-Simulador!$E$7)/Simulador!$G$7))/Simulador!$B$11))/2,Simulador!$B$9)))</f>
        <v/>
      </c>
      <c r="E239" s="46">
        <f>IF(OR((($A239-Simulador!$E$8)/Simulador!$G$8)&lt;=0,(($A239-Simulador!$E$8)/Simulador!$G$8)&gt;=1),0,IF((($A239-Simulador!$E$8)/Simulador!$G$8)&lt;Simulador!$B$11,Simulador!$B$10*(1-COS(PI()*(($A239-Simulador!$E$8)/Simulador!$G$8)/Simulador!$B$11))/2,IF((($A239-Simulador!$E$8)/Simulador!$G$8)&gt;1-Simulador!$B$11,Simulador!$B$10*(1-COS(PI()*(1-(($A239-Simulador!$E$8)/Simulador!$G$8))/Simulador!$B$11))/2,Simulador!$B$10)))</f>
        <v/>
      </c>
      <c r="F239" s="46">
        <f>IF(OR((($A239-Simulador!$E$9)/Simulador!$G$9)&lt;=0,(($A239-Simulador!$E$9)/Simulador!$G$9)&gt;=1),0,IF((($A239-Simulador!$E$9)/Simulador!$G$9)&lt;Simulador!$B$11,Simulador!$B$10*(1-COS(PI()*(($A239-Simulador!$E$9)/Simulador!$G$9)/Simulador!$B$11))/2,IF((($A239-Simulador!$E$9)/Simulador!$G$9)&gt;1-Simulador!$B$11,Simulador!$B$10*(1-COS(PI()*(1-(($A239-Simulador!$E$9)/Simulador!$G$9))/Simulador!$B$11))/2,Simulador!$B$10)))</f>
        <v/>
      </c>
      <c r="G239" s="46">
        <f>IF(OR((($A239-Simulador!$E$10)/Simulador!$G$10)&lt;=0,(($A239-Simulador!$E$10)/Simulador!$G$10)&gt;=1),0,IF((($A239-Simulador!$E$10)/Simulador!$G$10)&lt;Simulador!$B$11,Simulador!$B$10*(1-COS(PI()*(($A239-Simulador!$E$10)/Simulador!$G$10)/Simulador!$B$11))/2,IF((($A239-Simulador!$E$10)/Simulador!$G$10)&gt;1-Simulador!$B$11,Simulador!$B$10*(1-COS(PI()*(1-(($A239-Simulador!$E$10)/Simulador!$G$10))/Simulador!$B$11))/2,Simulador!$B$10)))</f>
        <v/>
      </c>
      <c r="Q239" s="48">
        <f>IF(OR((($A239-(Simulador!$E$6+'Salto de dientes'!$B$12))/Simulador!$G$6)&lt;=0,(($A239-(Simulador!$E$6+'Salto de dientes'!$B$12))/Simulador!$G$6)&gt;=1),0,IF((($A239-(Simulador!$E$6+'Salto de dientes'!$B$12))/Simulador!$G$6)&lt;Simulador!$B$11,Simulador!$B$9*(1-COS(PI()*(($A239-(Simulador!$E$6+'Salto de dientes'!$B$12))/Simulador!$G$6)/Simulador!$B$11))/2,IF((($A239-(Simulador!$E$6+'Salto de dientes'!$B$12))/Simulador!$G$6)&gt;1-Simulador!$B$11,Simulador!$B$9*(1-COS(PI()*(1-(($A239-(Simulador!$E$6+'Salto de dientes'!$B$12))/Simulador!$G$6))/Simulador!$B$11))/2,Simulador!$B$9)))</f>
        <v/>
      </c>
      <c r="R239" s="48">
        <f>IF(OR((($A239-(Simulador!$E$9+'Salto de dientes'!$B$12))/Simulador!$G$9)&lt;=0,(($A239-(Simulador!$E$9+'Salto de dientes'!$B$12))/Simulador!$G$9)&gt;=1),0,IF((($A239-(Simulador!$E$9+'Salto de dientes'!$B$12))/Simulador!$G$9)&lt;Simulador!$B$11,Simulador!$B$10*(1-COS(PI()*(($A239-(Simulador!$E$9+'Salto de dientes'!$B$12))/Simulador!$G$9)/Simulador!$B$11))/2,IF((($A239-(Simulador!$E$9+'Salto de dientes'!$B$12))/Simulador!$G$9)&gt;1-Simulador!$B$11,Simulador!$B$10*(1-COS(PI()*(1-(($A239-(Simulador!$E$9+'Salto de dientes'!$B$12))/Simulador!$G$9))/Simulador!$B$11))/2,Simulador!$B$10)))</f>
        <v/>
      </c>
    </row>
    <row r="240">
      <c r="A240" s="26">
        <f>A239+Simulador!$B$14</f>
        <v/>
      </c>
      <c r="B240" s="46">
        <f>IF(OR((($A240-Simulador!$E$5)/Simulador!$G$5)&lt;=0,(($A240-Simulador!$E$5)/Simulador!$G$5)&gt;=1),0,IF((($A240-Simulador!$E$5)/Simulador!$G$5)&lt;Simulador!$B$11,Simulador!$B$9*(1-COS(PI()*(($A240-Simulador!$E$5)/Simulador!$G$5)/Simulador!$B$11))/2,IF((($A240-Simulador!$E$5)/Simulador!$G$5)&gt;1-Simulador!$B$11,Simulador!$B$9*(1-COS(PI()*(1-(($A240-Simulador!$E$5)/Simulador!$G$5))/Simulador!$B$11))/2,Simulador!$B$9)))</f>
        <v/>
      </c>
      <c r="C240" s="46">
        <f>IF(OR((($A240-Simulador!$E$6)/Simulador!$G$6)&lt;=0,(($A240-Simulador!$E$6)/Simulador!$G$6)&gt;=1),0,IF((($A240-Simulador!$E$6)/Simulador!$G$6)&lt;Simulador!$B$11,Simulador!$B$9*(1-COS(PI()*(($A240-Simulador!$E$6)/Simulador!$G$6)/Simulador!$B$11))/2,IF((($A240-Simulador!$E$6)/Simulador!$G$6)&gt;1-Simulador!$B$11,Simulador!$B$9*(1-COS(PI()*(1-(($A240-Simulador!$E$6)/Simulador!$G$6))/Simulador!$B$11))/2,Simulador!$B$9)))</f>
        <v/>
      </c>
      <c r="D240" s="46">
        <f>IF(OR((($A240-Simulador!$E$7)/Simulador!$G$7)&lt;=0,(($A240-Simulador!$E$7)/Simulador!$G$7)&gt;=1),0,IF((($A240-Simulador!$E$7)/Simulador!$G$7)&lt;Simulador!$B$11,Simulador!$B$9*(1-COS(PI()*(($A240-Simulador!$E$7)/Simulador!$G$7)/Simulador!$B$11))/2,IF((($A240-Simulador!$E$7)/Simulador!$G$7)&gt;1-Simulador!$B$11,Simulador!$B$9*(1-COS(PI()*(1-(($A240-Simulador!$E$7)/Simulador!$G$7))/Simulador!$B$11))/2,Simulador!$B$9)))</f>
        <v/>
      </c>
      <c r="E240" s="46">
        <f>IF(OR((($A240-Simulador!$E$8)/Simulador!$G$8)&lt;=0,(($A240-Simulador!$E$8)/Simulador!$G$8)&gt;=1),0,IF((($A240-Simulador!$E$8)/Simulador!$G$8)&lt;Simulador!$B$11,Simulador!$B$10*(1-COS(PI()*(($A240-Simulador!$E$8)/Simulador!$G$8)/Simulador!$B$11))/2,IF((($A240-Simulador!$E$8)/Simulador!$G$8)&gt;1-Simulador!$B$11,Simulador!$B$10*(1-COS(PI()*(1-(($A240-Simulador!$E$8)/Simulador!$G$8))/Simulador!$B$11))/2,Simulador!$B$10)))</f>
        <v/>
      </c>
      <c r="F240" s="46">
        <f>IF(OR((($A240-Simulador!$E$9)/Simulador!$G$9)&lt;=0,(($A240-Simulador!$E$9)/Simulador!$G$9)&gt;=1),0,IF((($A240-Simulador!$E$9)/Simulador!$G$9)&lt;Simulador!$B$11,Simulador!$B$10*(1-COS(PI()*(($A240-Simulador!$E$9)/Simulador!$G$9)/Simulador!$B$11))/2,IF((($A240-Simulador!$E$9)/Simulador!$G$9)&gt;1-Simulador!$B$11,Simulador!$B$10*(1-COS(PI()*(1-(($A240-Simulador!$E$9)/Simulador!$G$9))/Simulador!$B$11))/2,Simulador!$B$10)))</f>
        <v/>
      </c>
      <c r="G240" s="46">
        <f>IF(OR((($A240-Simulador!$E$10)/Simulador!$G$10)&lt;=0,(($A240-Simulador!$E$10)/Simulador!$G$10)&gt;=1),0,IF((($A240-Simulador!$E$10)/Simulador!$G$10)&lt;Simulador!$B$11,Simulador!$B$10*(1-COS(PI()*(($A240-Simulador!$E$10)/Simulador!$G$10)/Simulador!$B$11))/2,IF((($A240-Simulador!$E$10)/Simulador!$G$10)&gt;1-Simulador!$B$11,Simulador!$B$10*(1-COS(PI()*(1-(($A240-Simulador!$E$10)/Simulador!$G$10))/Simulador!$B$11))/2,Simulador!$B$10)))</f>
        <v/>
      </c>
      <c r="Q240" s="48">
        <f>IF(OR((($A240-(Simulador!$E$6+'Salto de dientes'!$B$12))/Simulador!$G$6)&lt;=0,(($A240-(Simulador!$E$6+'Salto de dientes'!$B$12))/Simulador!$G$6)&gt;=1),0,IF((($A240-(Simulador!$E$6+'Salto de dientes'!$B$12))/Simulador!$G$6)&lt;Simulador!$B$11,Simulador!$B$9*(1-COS(PI()*(($A240-(Simulador!$E$6+'Salto de dientes'!$B$12))/Simulador!$G$6)/Simulador!$B$11))/2,IF((($A240-(Simulador!$E$6+'Salto de dientes'!$B$12))/Simulador!$G$6)&gt;1-Simulador!$B$11,Simulador!$B$9*(1-COS(PI()*(1-(($A240-(Simulador!$E$6+'Salto de dientes'!$B$12))/Simulador!$G$6))/Simulador!$B$11))/2,Simulador!$B$9)))</f>
        <v/>
      </c>
      <c r="R240" s="48">
        <f>IF(OR((($A240-(Simulador!$E$9+'Salto de dientes'!$B$12))/Simulador!$G$9)&lt;=0,(($A240-(Simulador!$E$9+'Salto de dientes'!$B$12))/Simulador!$G$9)&gt;=1),0,IF((($A240-(Simulador!$E$9+'Salto de dientes'!$B$12))/Simulador!$G$9)&lt;Simulador!$B$11,Simulador!$B$10*(1-COS(PI()*(($A240-(Simulador!$E$9+'Salto de dientes'!$B$12))/Simulador!$G$9)/Simulador!$B$11))/2,IF((($A240-(Simulador!$E$9+'Salto de dientes'!$B$12))/Simulador!$G$9)&gt;1-Simulador!$B$11,Simulador!$B$10*(1-COS(PI()*(1-(($A240-(Simulador!$E$9+'Salto de dientes'!$B$12))/Simulador!$G$9))/Simulador!$B$11))/2,Simulador!$B$10)))</f>
        <v/>
      </c>
    </row>
    <row r="241">
      <c r="A241" s="26">
        <f>A240+Simulador!$B$14</f>
        <v/>
      </c>
      <c r="B241" s="46">
        <f>IF(OR((($A241-Simulador!$E$5)/Simulador!$G$5)&lt;=0,(($A241-Simulador!$E$5)/Simulador!$G$5)&gt;=1),0,IF((($A241-Simulador!$E$5)/Simulador!$G$5)&lt;Simulador!$B$11,Simulador!$B$9*(1-COS(PI()*(($A241-Simulador!$E$5)/Simulador!$G$5)/Simulador!$B$11))/2,IF((($A241-Simulador!$E$5)/Simulador!$G$5)&gt;1-Simulador!$B$11,Simulador!$B$9*(1-COS(PI()*(1-(($A241-Simulador!$E$5)/Simulador!$G$5))/Simulador!$B$11))/2,Simulador!$B$9)))</f>
        <v/>
      </c>
      <c r="C241" s="46">
        <f>IF(OR((($A241-Simulador!$E$6)/Simulador!$G$6)&lt;=0,(($A241-Simulador!$E$6)/Simulador!$G$6)&gt;=1),0,IF((($A241-Simulador!$E$6)/Simulador!$G$6)&lt;Simulador!$B$11,Simulador!$B$9*(1-COS(PI()*(($A241-Simulador!$E$6)/Simulador!$G$6)/Simulador!$B$11))/2,IF((($A241-Simulador!$E$6)/Simulador!$G$6)&gt;1-Simulador!$B$11,Simulador!$B$9*(1-COS(PI()*(1-(($A241-Simulador!$E$6)/Simulador!$G$6))/Simulador!$B$11))/2,Simulador!$B$9)))</f>
        <v/>
      </c>
      <c r="D241" s="46">
        <f>IF(OR((($A241-Simulador!$E$7)/Simulador!$G$7)&lt;=0,(($A241-Simulador!$E$7)/Simulador!$G$7)&gt;=1),0,IF((($A241-Simulador!$E$7)/Simulador!$G$7)&lt;Simulador!$B$11,Simulador!$B$9*(1-COS(PI()*(($A241-Simulador!$E$7)/Simulador!$G$7)/Simulador!$B$11))/2,IF((($A241-Simulador!$E$7)/Simulador!$G$7)&gt;1-Simulador!$B$11,Simulador!$B$9*(1-COS(PI()*(1-(($A241-Simulador!$E$7)/Simulador!$G$7))/Simulador!$B$11))/2,Simulador!$B$9)))</f>
        <v/>
      </c>
      <c r="E241" s="46">
        <f>IF(OR((($A241-Simulador!$E$8)/Simulador!$G$8)&lt;=0,(($A241-Simulador!$E$8)/Simulador!$G$8)&gt;=1),0,IF((($A241-Simulador!$E$8)/Simulador!$G$8)&lt;Simulador!$B$11,Simulador!$B$10*(1-COS(PI()*(($A241-Simulador!$E$8)/Simulador!$G$8)/Simulador!$B$11))/2,IF((($A241-Simulador!$E$8)/Simulador!$G$8)&gt;1-Simulador!$B$11,Simulador!$B$10*(1-COS(PI()*(1-(($A241-Simulador!$E$8)/Simulador!$G$8))/Simulador!$B$11))/2,Simulador!$B$10)))</f>
        <v/>
      </c>
      <c r="F241" s="46">
        <f>IF(OR((($A241-Simulador!$E$9)/Simulador!$G$9)&lt;=0,(($A241-Simulador!$E$9)/Simulador!$G$9)&gt;=1),0,IF((($A241-Simulador!$E$9)/Simulador!$G$9)&lt;Simulador!$B$11,Simulador!$B$10*(1-COS(PI()*(($A241-Simulador!$E$9)/Simulador!$G$9)/Simulador!$B$11))/2,IF((($A241-Simulador!$E$9)/Simulador!$G$9)&gt;1-Simulador!$B$11,Simulador!$B$10*(1-COS(PI()*(1-(($A241-Simulador!$E$9)/Simulador!$G$9))/Simulador!$B$11))/2,Simulador!$B$10)))</f>
        <v/>
      </c>
      <c r="G241" s="46">
        <f>IF(OR((($A241-Simulador!$E$10)/Simulador!$G$10)&lt;=0,(($A241-Simulador!$E$10)/Simulador!$G$10)&gt;=1),0,IF((($A241-Simulador!$E$10)/Simulador!$G$10)&lt;Simulador!$B$11,Simulador!$B$10*(1-COS(PI()*(($A241-Simulador!$E$10)/Simulador!$G$10)/Simulador!$B$11))/2,IF((($A241-Simulador!$E$10)/Simulador!$G$10)&gt;1-Simulador!$B$11,Simulador!$B$10*(1-COS(PI()*(1-(($A241-Simulador!$E$10)/Simulador!$G$10))/Simulador!$B$11))/2,Simulador!$B$10)))</f>
        <v/>
      </c>
      <c r="Q241" s="48">
        <f>IF(OR((($A241-(Simulador!$E$6+'Salto de dientes'!$B$12))/Simulador!$G$6)&lt;=0,(($A241-(Simulador!$E$6+'Salto de dientes'!$B$12))/Simulador!$G$6)&gt;=1),0,IF((($A241-(Simulador!$E$6+'Salto de dientes'!$B$12))/Simulador!$G$6)&lt;Simulador!$B$11,Simulador!$B$9*(1-COS(PI()*(($A241-(Simulador!$E$6+'Salto de dientes'!$B$12))/Simulador!$G$6)/Simulador!$B$11))/2,IF((($A241-(Simulador!$E$6+'Salto de dientes'!$B$12))/Simulador!$G$6)&gt;1-Simulador!$B$11,Simulador!$B$9*(1-COS(PI()*(1-(($A241-(Simulador!$E$6+'Salto de dientes'!$B$12))/Simulador!$G$6))/Simulador!$B$11))/2,Simulador!$B$9)))</f>
        <v/>
      </c>
      <c r="R241" s="48">
        <f>IF(OR((($A241-(Simulador!$E$9+'Salto de dientes'!$B$12))/Simulador!$G$9)&lt;=0,(($A241-(Simulador!$E$9+'Salto de dientes'!$B$12))/Simulador!$G$9)&gt;=1),0,IF((($A241-(Simulador!$E$9+'Salto de dientes'!$B$12))/Simulador!$G$9)&lt;Simulador!$B$11,Simulador!$B$10*(1-COS(PI()*(($A241-(Simulador!$E$9+'Salto de dientes'!$B$12))/Simulador!$G$9)/Simulador!$B$11))/2,IF((($A241-(Simulador!$E$9+'Salto de dientes'!$B$12))/Simulador!$G$9)&gt;1-Simulador!$B$11,Simulador!$B$10*(1-COS(PI()*(1-(($A241-(Simulador!$E$9+'Salto de dientes'!$B$12))/Simulador!$G$9))/Simulador!$B$11))/2,Simulador!$B$10)))</f>
        <v/>
      </c>
    </row>
    <row r="242">
      <c r="A242" s="26">
        <f>A241+Simulador!$B$14</f>
        <v/>
      </c>
      <c r="B242" s="46">
        <f>IF(OR((($A242-Simulador!$E$5)/Simulador!$G$5)&lt;=0,(($A242-Simulador!$E$5)/Simulador!$G$5)&gt;=1),0,IF((($A242-Simulador!$E$5)/Simulador!$G$5)&lt;Simulador!$B$11,Simulador!$B$9*(1-COS(PI()*(($A242-Simulador!$E$5)/Simulador!$G$5)/Simulador!$B$11))/2,IF((($A242-Simulador!$E$5)/Simulador!$G$5)&gt;1-Simulador!$B$11,Simulador!$B$9*(1-COS(PI()*(1-(($A242-Simulador!$E$5)/Simulador!$G$5))/Simulador!$B$11))/2,Simulador!$B$9)))</f>
        <v/>
      </c>
      <c r="C242" s="46">
        <f>IF(OR((($A242-Simulador!$E$6)/Simulador!$G$6)&lt;=0,(($A242-Simulador!$E$6)/Simulador!$G$6)&gt;=1),0,IF((($A242-Simulador!$E$6)/Simulador!$G$6)&lt;Simulador!$B$11,Simulador!$B$9*(1-COS(PI()*(($A242-Simulador!$E$6)/Simulador!$G$6)/Simulador!$B$11))/2,IF((($A242-Simulador!$E$6)/Simulador!$G$6)&gt;1-Simulador!$B$11,Simulador!$B$9*(1-COS(PI()*(1-(($A242-Simulador!$E$6)/Simulador!$G$6))/Simulador!$B$11))/2,Simulador!$B$9)))</f>
        <v/>
      </c>
      <c r="D242" s="46">
        <f>IF(OR((($A242-Simulador!$E$7)/Simulador!$G$7)&lt;=0,(($A242-Simulador!$E$7)/Simulador!$G$7)&gt;=1),0,IF((($A242-Simulador!$E$7)/Simulador!$G$7)&lt;Simulador!$B$11,Simulador!$B$9*(1-COS(PI()*(($A242-Simulador!$E$7)/Simulador!$G$7)/Simulador!$B$11))/2,IF((($A242-Simulador!$E$7)/Simulador!$G$7)&gt;1-Simulador!$B$11,Simulador!$B$9*(1-COS(PI()*(1-(($A242-Simulador!$E$7)/Simulador!$G$7))/Simulador!$B$11))/2,Simulador!$B$9)))</f>
        <v/>
      </c>
      <c r="E242" s="46">
        <f>IF(OR((($A242-Simulador!$E$8)/Simulador!$G$8)&lt;=0,(($A242-Simulador!$E$8)/Simulador!$G$8)&gt;=1),0,IF((($A242-Simulador!$E$8)/Simulador!$G$8)&lt;Simulador!$B$11,Simulador!$B$10*(1-COS(PI()*(($A242-Simulador!$E$8)/Simulador!$G$8)/Simulador!$B$11))/2,IF((($A242-Simulador!$E$8)/Simulador!$G$8)&gt;1-Simulador!$B$11,Simulador!$B$10*(1-COS(PI()*(1-(($A242-Simulador!$E$8)/Simulador!$G$8))/Simulador!$B$11))/2,Simulador!$B$10)))</f>
        <v/>
      </c>
      <c r="F242" s="46">
        <f>IF(OR((($A242-Simulador!$E$9)/Simulador!$G$9)&lt;=0,(($A242-Simulador!$E$9)/Simulador!$G$9)&gt;=1),0,IF((($A242-Simulador!$E$9)/Simulador!$G$9)&lt;Simulador!$B$11,Simulador!$B$10*(1-COS(PI()*(($A242-Simulador!$E$9)/Simulador!$G$9)/Simulador!$B$11))/2,IF((($A242-Simulador!$E$9)/Simulador!$G$9)&gt;1-Simulador!$B$11,Simulador!$B$10*(1-COS(PI()*(1-(($A242-Simulador!$E$9)/Simulador!$G$9))/Simulador!$B$11))/2,Simulador!$B$10)))</f>
        <v/>
      </c>
      <c r="G242" s="46">
        <f>IF(OR((($A242-Simulador!$E$10)/Simulador!$G$10)&lt;=0,(($A242-Simulador!$E$10)/Simulador!$G$10)&gt;=1),0,IF((($A242-Simulador!$E$10)/Simulador!$G$10)&lt;Simulador!$B$11,Simulador!$B$10*(1-COS(PI()*(($A242-Simulador!$E$10)/Simulador!$G$10)/Simulador!$B$11))/2,IF((($A242-Simulador!$E$10)/Simulador!$G$10)&gt;1-Simulador!$B$11,Simulador!$B$10*(1-COS(PI()*(1-(($A242-Simulador!$E$10)/Simulador!$G$10))/Simulador!$B$11))/2,Simulador!$B$10)))</f>
        <v/>
      </c>
      <c r="Q242" s="48">
        <f>IF(OR((($A242-(Simulador!$E$6+'Salto de dientes'!$B$12))/Simulador!$G$6)&lt;=0,(($A242-(Simulador!$E$6+'Salto de dientes'!$B$12))/Simulador!$G$6)&gt;=1),0,IF((($A242-(Simulador!$E$6+'Salto de dientes'!$B$12))/Simulador!$G$6)&lt;Simulador!$B$11,Simulador!$B$9*(1-COS(PI()*(($A242-(Simulador!$E$6+'Salto de dientes'!$B$12))/Simulador!$G$6)/Simulador!$B$11))/2,IF((($A242-(Simulador!$E$6+'Salto de dientes'!$B$12))/Simulador!$G$6)&gt;1-Simulador!$B$11,Simulador!$B$9*(1-COS(PI()*(1-(($A242-(Simulador!$E$6+'Salto de dientes'!$B$12))/Simulador!$G$6))/Simulador!$B$11))/2,Simulador!$B$9)))</f>
        <v/>
      </c>
      <c r="R242" s="48">
        <f>IF(OR((($A242-(Simulador!$E$9+'Salto de dientes'!$B$12))/Simulador!$G$9)&lt;=0,(($A242-(Simulador!$E$9+'Salto de dientes'!$B$12))/Simulador!$G$9)&gt;=1),0,IF((($A242-(Simulador!$E$9+'Salto de dientes'!$B$12))/Simulador!$G$9)&lt;Simulador!$B$11,Simulador!$B$10*(1-COS(PI()*(($A242-(Simulador!$E$9+'Salto de dientes'!$B$12))/Simulador!$G$9)/Simulador!$B$11))/2,IF((($A242-(Simulador!$E$9+'Salto de dientes'!$B$12))/Simulador!$G$9)&gt;1-Simulador!$B$11,Simulador!$B$10*(1-COS(PI()*(1-(($A242-(Simulador!$E$9+'Salto de dientes'!$B$12))/Simulador!$G$9))/Simulador!$B$11))/2,Simulador!$B$10)))</f>
        <v/>
      </c>
    </row>
    <row r="243">
      <c r="A243" s="26">
        <f>A242+Simulador!$B$14</f>
        <v/>
      </c>
      <c r="B243" s="46">
        <f>IF(OR((($A243-Simulador!$E$5)/Simulador!$G$5)&lt;=0,(($A243-Simulador!$E$5)/Simulador!$G$5)&gt;=1),0,IF((($A243-Simulador!$E$5)/Simulador!$G$5)&lt;Simulador!$B$11,Simulador!$B$9*(1-COS(PI()*(($A243-Simulador!$E$5)/Simulador!$G$5)/Simulador!$B$11))/2,IF((($A243-Simulador!$E$5)/Simulador!$G$5)&gt;1-Simulador!$B$11,Simulador!$B$9*(1-COS(PI()*(1-(($A243-Simulador!$E$5)/Simulador!$G$5))/Simulador!$B$11))/2,Simulador!$B$9)))</f>
        <v/>
      </c>
      <c r="C243" s="46">
        <f>IF(OR((($A243-Simulador!$E$6)/Simulador!$G$6)&lt;=0,(($A243-Simulador!$E$6)/Simulador!$G$6)&gt;=1),0,IF((($A243-Simulador!$E$6)/Simulador!$G$6)&lt;Simulador!$B$11,Simulador!$B$9*(1-COS(PI()*(($A243-Simulador!$E$6)/Simulador!$G$6)/Simulador!$B$11))/2,IF((($A243-Simulador!$E$6)/Simulador!$G$6)&gt;1-Simulador!$B$11,Simulador!$B$9*(1-COS(PI()*(1-(($A243-Simulador!$E$6)/Simulador!$G$6))/Simulador!$B$11))/2,Simulador!$B$9)))</f>
        <v/>
      </c>
      <c r="D243" s="46">
        <f>IF(OR((($A243-Simulador!$E$7)/Simulador!$G$7)&lt;=0,(($A243-Simulador!$E$7)/Simulador!$G$7)&gt;=1),0,IF((($A243-Simulador!$E$7)/Simulador!$G$7)&lt;Simulador!$B$11,Simulador!$B$9*(1-COS(PI()*(($A243-Simulador!$E$7)/Simulador!$G$7)/Simulador!$B$11))/2,IF((($A243-Simulador!$E$7)/Simulador!$G$7)&gt;1-Simulador!$B$11,Simulador!$B$9*(1-COS(PI()*(1-(($A243-Simulador!$E$7)/Simulador!$G$7))/Simulador!$B$11))/2,Simulador!$B$9)))</f>
        <v/>
      </c>
      <c r="E243" s="46">
        <f>IF(OR((($A243-Simulador!$E$8)/Simulador!$G$8)&lt;=0,(($A243-Simulador!$E$8)/Simulador!$G$8)&gt;=1),0,IF((($A243-Simulador!$E$8)/Simulador!$G$8)&lt;Simulador!$B$11,Simulador!$B$10*(1-COS(PI()*(($A243-Simulador!$E$8)/Simulador!$G$8)/Simulador!$B$11))/2,IF((($A243-Simulador!$E$8)/Simulador!$G$8)&gt;1-Simulador!$B$11,Simulador!$B$10*(1-COS(PI()*(1-(($A243-Simulador!$E$8)/Simulador!$G$8))/Simulador!$B$11))/2,Simulador!$B$10)))</f>
        <v/>
      </c>
      <c r="F243" s="46">
        <f>IF(OR((($A243-Simulador!$E$9)/Simulador!$G$9)&lt;=0,(($A243-Simulador!$E$9)/Simulador!$G$9)&gt;=1),0,IF((($A243-Simulador!$E$9)/Simulador!$G$9)&lt;Simulador!$B$11,Simulador!$B$10*(1-COS(PI()*(($A243-Simulador!$E$9)/Simulador!$G$9)/Simulador!$B$11))/2,IF((($A243-Simulador!$E$9)/Simulador!$G$9)&gt;1-Simulador!$B$11,Simulador!$B$10*(1-COS(PI()*(1-(($A243-Simulador!$E$9)/Simulador!$G$9))/Simulador!$B$11))/2,Simulador!$B$10)))</f>
        <v/>
      </c>
      <c r="G243" s="46">
        <f>IF(OR((($A243-Simulador!$E$10)/Simulador!$G$10)&lt;=0,(($A243-Simulador!$E$10)/Simulador!$G$10)&gt;=1),0,IF((($A243-Simulador!$E$10)/Simulador!$G$10)&lt;Simulador!$B$11,Simulador!$B$10*(1-COS(PI()*(($A243-Simulador!$E$10)/Simulador!$G$10)/Simulador!$B$11))/2,IF((($A243-Simulador!$E$10)/Simulador!$G$10)&gt;1-Simulador!$B$11,Simulador!$B$10*(1-COS(PI()*(1-(($A243-Simulador!$E$10)/Simulador!$G$10))/Simulador!$B$11))/2,Simulador!$B$10)))</f>
        <v/>
      </c>
      <c r="Q243" s="48">
        <f>IF(OR((($A243-(Simulador!$E$6+'Salto de dientes'!$B$12))/Simulador!$G$6)&lt;=0,(($A243-(Simulador!$E$6+'Salto de dientes'!$B$12))/Simulador!$G$6)&gt;=1),0,IF((($A243-(Simulador!$E$6+'Salto de dientes'!$B$12))/Simulador!$G$6)&lt;Simulador!$B$11,Simulador!$B$9*(1-COS(PI()*(($A243-(Simulador!$E$6+'Salto de dientes'!$B$12))/Simulador!$G$6)/Simulador!$B$11))/2,IF((($A243-(Simulador!$E$6+'Salto de dientes'!$B$12))/Simulador!$G$6)&gt;1-Simulador!$B$11,Simulador!$B$9*(1-COS(PI()*(1-(($A243-(Simulador!$E$6+'Salto de dientes'!$B$12))/Simulador!$G$6))/Simulador!$B$11))/2,Simulador!$B$9)))</f>
        <v/>
      </c>
      <c r="R243" s="48">
        <f>IF(OR((($A243-(Simulador!$E$9+'Salto de dientes'!$B$12))/Simulador!$G$9)&lt;=0,(($A243-(Simulador!$E$9+'Salto de dientes'!$B$12))/Simulador!$G$9)&gt;=1),0,IF((($A243-(Simulador!$E$9+'Salto de dientes'!$B$12))/Simulador!$G$9)&lt;Simulador!$B$11,Simulador!$B$10*(1-COS(PI()*(($A243-(Simulador!$E$9+'Salto de dientes'!$B$12))/Simulador!$G$9)/Simulador!$B$11))/2,IF((($A243-(Simulador!$E$9+'Salto de dientes'!$B$12))/Simulador!$G$9)&gt;1-Simulador!$B$11,Simulador!$B$10*(1-COS(PI()*(1-(($A243-(Simulador!$E$9+'Salto de dientes'!$B$12))/Simulador!$G$9))/Simulador!$B$11))/2,Simulador!$B$10)))</f>
        <v/>
      </c>
    </row>
    <row r="244">
      <c r="A244" s="26">
        <f>A243+Simulador!$B$14</f>
        <v/>
      </c>
      <c r="B244" s="46">
        <f>IF(OR((($A244-Simulador!$E$5)/Simulador!$G$5)&lt;=0,(($A244-Simulador!$E$5)/Simulador!$G$5)&gt;=1),0,IF((($A244-Simulador!$E$5)/Simulador!$G$5)&lt;Simulador!$B$11,Simulador!$B$9*(1-COS(PI()*(($A244-Simulador!$E$5)/Simulador!$G$5)/Simulador!$B$11))/2,IF((($A244-Simulador!$E$5)/Simulador!$G$5)&gt;1-Simulador!$B$11,Simulador!$B$9*(1-COS(PI()*(1-(($A244-Simulador!$E$5)/Simulador!$G$5))/Simulador!$B$11))/2,Simulador!$B$9)))</f>
        <v/>
      </c>
      <c r="C244" s="46">
        <f>IF(OR((($A244-Simulador!$E$6)/Simulador!$G$6)&lt;=0,(($A244-Simulador!$E$6)/Simulador!$G$6)&gt;=1),0,IF((($A244-Simulador!$E$6)/Simulador!$G$6)&lt;Simulador!$B$11,Simulador!$B$9*(1-COS(PI()*(($A244-Simulador!$E$6)/Simulador!$G$6)/Simulador!$B$11))/2,IF((($A244-Simulador!$E$6)/Simulador!$G$6)&gt;1-Simulador!$B$11,Simulador!$B$9*(1-COS(PI()*(1-(($A244-Simulador!$E$6)/Simulador!$G$6))/Simulador!$B$11))/2,Simulador!$B$9)))</f>
        <v/>
      </c>
      <c r="D244" s="46">
        <f>IF(OR((($A244-Simulador!$E$7)/Simulador!$G$7)&lt;=0,(($A244-Simulador!$E$7)/Simulador!$G$7)&gt;=1),0,IF((($A244-Simulador!$E$7)/Simulador!$G$7)&lt;Simulador!$B$11,Simulador!$B$9*(1-COS(PI()*(($A244-Simulador!$E$7)/Simulador!$G$7)/Simulador!$B$11))/2,IF((($A244-Simulador!$E$7)/Simulador!$G$7)&gt;1-Simulador!$B$11,Simulador!$B$9*(1-COS(PI()*(1-(($A244-Simulador!$E$7)/Simulador!$G$7))/Simulador!$B$11))/2,Simulador!$B$9)))</f>
        <v/>
      </c>
      <c r="E244" s="46">
        <f>IF(OR((($A244-Simulador!$E$8)/Simulador!$G$8)&lt;=0,(($A244-Simulador!$E$8)/Simulador!$G$8)&gt;=1),0,IF((($A244-Simulador!$E$8)/Simulador!$G$8)&lt;Simulador!$B$11,Simulador!$B$10*(1-COS(PI()*(($A244-Simulador!$E$8)/Simulador!$G$8)/Simulador!$B$11))/2,IF((($A244-Simulador!$E$8)/Simulador!$G$8)&gt;1-Simulador!$B$11,Simulador!$B$10*(1-COS(PI()*(1-(($A244-Simulador!$E$8)/Simulador!$G$8))/Simulador!$B$11))/2,Simulador!$B$10)))</f>
        <v/>
      </c>
      <c r="F244" s="46">
        <f>IF(OR((($A244-Simulador!$E$9)/Simulador!$G$9)&lt;=0,(($A244-Simulador!$E$9)/Simulador!$G$9)&gt;=1),0,IF((($A244-Simulador!$E$9)/Simulador!$G$9)&lt;Simulador!$B$11,Simulador!$B$10*(1-COS(PI()*(($A244-Simulador!$E$9)/Simulador!$G$9)/Simulador!$B$11))/2,IF((($A244-Simulador!$E$9)/Simulador!$G$9)&gt;1-Simulador!$B$11,Simulador!$B$10*(1-COS(PI()*(1-(($A244-Simulador!$E$9)/Simulador!$G$9))/Simulador!$B$11))/2,Simulador!$B$10)))</f>
        <v/>
      </c>
      <c r="G244" s="46">
        <f>IF(OR((($A244-Simulador!$E$10)/Simulador!$G$10)&lt;=0,(($A244-Simulador!$E$10)/Simulador!$G$10)&gt;=1),0,IF((($A244-Simulador!$E$10)/Simulador!$G$10)&lt;Simulador!$B$11,Simulador!$B$10*(1-COS(PI()*(($A244-Simulador!$E$10)/Simulador!$G$10)/Simulador!$B$11))/2,IF((($A244-Simulador!$E$10)/Simulador!$G$10)&gt;1-Simulador!$B$11,Simulador!$B$10*(1-COS(PI()*(1-(($A244-Simulador!$E$10)/Simulador!$G$10))/Simulador!$B$11))/2,Simulador!$B$10)))</f>
        <v/>
      </c>
      <c r="Q244" s="48">
        <f>IF(OR((($A244-(Simulador!$E$6+'Salto de dientes'!$B$12))/Simulador!$G$6)&lt;=0,(($A244-(Simulador!$E$6+'Salto de dientes'!$B$12))/Simulador!$G$6)&gt;=1),0,IF((($A244-(Simulador!$E$6+'Salto de dientes'!$B$12))/Simulador!$G$6)&lt;Simulador!$B$11,Simulador!$B$9*(1-COS(PI()*(($A244-(Simulador!$E$6+'Salto de dientes'!$B$12))/Simulador!$G$6)/Simulador!$B$11))/2,IF((($A244-(Simulador!$E$6+'Salto de dientes'!$B$12))/Simulador!$G$6)&gt;1-Simulador!$B$11,Simulador!$B$9*(1-COS(PI()*(1-(($A244-(Simulador!$E$6+'Salto de dientes'!$B$12))/Simulador!$G$6))/Simulador!$B$11))/2,Simulador!$B$9)))</f>
        <v/>
      </c>
      <c r="R244" s="48">
        <f>IF(OR((($A244-(Simulador!$E$9+'Salto de dientes'!$B$12))/Simulador!$G$9)&lt;=0,(($A244-(Simulador!$E$9+'Salto de dientes'!$B$12))/Simulador!$G$9)&gt;=1),0,IF((($A244-(Simulador!$E$9+'Salto de dientes'!$B$12))/Simulador!$G$9)&lt;Simulador!$B$11,Simulador!$B$10*(1-COS(PI()*(($A244-(Simulador!$E$9+'Salto de dientes'!$B$12))/Simulador!$G$9)/Simulador!$B$11))/2,IF((($A244-(Simulador!$E$9+'Salto de dientes'!$B$12))/Simulador!$G$9)&gt;1-Simulador!$B$11,Simulador!$B$10*(1-COS(PI()*(1-(($A244-(Simulador!$E$9+'Salto de dientes'!$B$12))/Simulador!$G$9))/Simulador!$B$11))/2,Simulador!$B$10)))</f>
        <v/>
      </c>
    </row>
    <row r="245">
      <c r="A245" s="26">
        <f>A244+Simulador!$B$14</f>
        <v/>
      </c>
      <c r="B245" s="46">
        <f>IF(OR((($A245-Simulador!$E$5)/Simulador!$G$5)&lt;=0,(($A245-Simulador!$E$5)/Simulador!$G$5)&gt;=1),0,IF((($A245-Simulador!$E$5)/Simulador!$G$5)&lt;Simulador!$B$11,Simulador!$B$9*(1-COS(PI()*(($A245-Simulador!$E$5)/Simulador!$G$5)/Simulador!$B$11))/2,IF((($A245-Simulador!$E$5)/Simulador!$G$5)&gt;1-Simulador!$B$11,Simulador!$B$9*(1-COS(PI()*(1-(($A245-Simulador!$E$5)/Simulador!$G$5))/Simulador!$B$11))/2,Simulador!$B$9)))</f>
        <v/>
      </c>
      <c r="C245" s="46">
        <f>IF(OR((($A245-Simulador!$E$6)/Simulador!$G$6)&lt;=0,(($A245-Simulador!$E$6)/Simulador!$G$6)&gt;=1),0,IF((($A245-Simulador!$E$6)/Simulador!$G$6)&lt;Simulador!$B$11,Simulador!$B$9*(1-COS(PI()*(($A245-Simulador!$E$6)/Simulador!$G$6)/Simulador!$B$11))/2,IF((($A245-Simulador!$E$6)/Simulador!$G$6)&gt;1-Simulador!$B$11,Simulador!$B$9*(1-COS(PI()*(1-(($A245-Simulador!$E$6)/Simulador!$G$6))/Simulador!$B$11))/2,Simulador!$B$9)))</f>
        <v/>
      </c>
      <c r="D245" s="46">
        <f>IF(OR((($A245-Simulador!$E$7)/Simulador!$G$7)&lt;=0,(($A245-Simulador!$E$7)/Simulador!$G$7)&gt;=1),0,IF((($A245-Simulador!$E$7)/Simulador!$G$7)&lt;Simulador!$B$11,Simulador!$B$9*(1-COS(PI()*(($A245-Simulador!$E$7)/Simulador!$G$7)/Simulador!$B$11))/2,IF((($A245-Simulador!$E$7)/Simulador!$G$7)&gt;1-Simulador!$B$11,Simulador!$B$9*(1-COS(PI()*(1-(($A245-Simulador!$E$7)/Simulador!$G$7))/Simulador!$B$11))/2,Simulador!$B$9)))</f>
        <v/>
      </c>
      <c r="E245" s="46">
        <f>IF(OR((($A245-Simulador!$E$8)/Simulador!$G$8)&lt;=0,(($A245-Simulador!$E$8)/Simulador!$G$8)&gt;=1),0,IF((($A245-Simulador!$E$8)/Simulador!$G$8)&lt;Simulador!$B$11,Simulador!$B$10*(1-COS(PI()*(($A245-Simulador!$E$8)/Simulador!$G$8)/Simulador!$B$11))/2,IF((($A245-Simulador!$E$8)/Simulador!$G$8)&gt;1-Simulador!$B$11,Simulador!$B$10*(1-COS(PI()*(1-(($A245-Simulador!$E$8)/Simulador!$G$8))/Simulador!$B$11))/2,Simulador!$B$10)))</f>
        <v/>
      </c>
      <c r="F245" s="46">
        <f>IF(OR((($A245-Simulador!$E$9)/Simulador!$G$9)&lt;=0,(($A245-Simulador!$E$9)/Simulador!$G$9)&gt;=1),0,IF((($A245-Simulador!$E$9)/Simulador!$G$9)&lt;Simulador!$B$11,Simulador!$B$10*(1-COS(PI()*(($A245-Simulador!$E$9)/Simulador!$G$9)/Simulador!$B$11))/2,IF((($A245-Simulador!$E$9)/Simulador!$G$9)&gt;1-Simulador!$B$11,Simulador!$B$10*(1-COS(PI()*(1-(($A245-Simulador!$E$9)/Simulador!$G$9))/Simulador!$B$11))/2,Simulador!$B$10)))</f>
        <v/>
      </c>
      <c r="G245" s="46">
        <f>IF(OR((($A245-Simulador!$E$10)/Simulador!$G$10)&lt;=0,(($A245-Simulador!$E$10)/Simulador!$G$10)&gt;=1),0,IF((($A245-Simulador!$E$10)/Simulador!$G$10)&lt;Simulador!$B$11,Simulador!$B$10*(1-COS(PI()*(($A245-Simulador!$E$10)/Simulador!$G$10)/Simulador!$B$11))/2,IF((($A245-Simulador!$E$10)/Simulador!$G$10)&gt;1-Simulador!$B$11,Simulador!$B$10*(1-COS(PI()*(1-(($A245-Simulador!$E$10)/Simulador!$G$10))/Simulador!$B$11))/2,Simulador!$B$10)))</f>
        <v/>
      </c>
      <c r="Q245" s="48">
        <f>IF(OR((($A245-(Simulador!$E$6+'Salto de dientes'!$B$12))/Simulador!$G$6)&lt;=0,(($A245-(Simulador!$E$6+'Salto de dientes'!$B$12))/Simulador!$G$6)&gt;=1),0,IF((($A245-(Simulador!$E$6+'Salto de dientes'!$B$12))/Simulador!$G$6)&lt;Simulador!$B$11,Simulador!$B$9*(1-COS(PI()*(($A245-(Simulador!$E$6+'Salto de dientes'!$B$12))/Simulador!$G$6)/Simulador!$B$11))/2,IF((($A245-(Simulador!$E$6+'Salto de dientes'!$B$12))/Simulador!$G$6)&gt;1-Simulador!$B$11,Simulador!$B$9*(1-COS(PI()*(1-(($A245-(Simulador!$E$6+'Salto de dientes'!$B$12))/Simulador!$G$6))/Simulador!$B$11))/2,Simulador!$B$9)))</f>
        <v/>
      </c>
      <c r="R245" s="48">
        <f>IF(OR((($A245-(Simulador!$E$9+'Salto de dientes'!$B$12))/Simulador!$G$9)&lt;=0,(($A245-(Simulador!$E$9+'Salto de dientes'!$B$12))/Simulador!$G$9)&gt;=1),0,IF((($A245-(Simulador!$E$9+'Salto de dientes'!$B$12))/Simulador!$G$9)&lt;Simulador!$B$11,Simulador!$B$10*(1-COS(PI()*(($A245-(Simulador!$E$9+'Salto de dientes'!$B$12))/Simulador!$G$9)/Simulador!$B$11))/2,IF((($A245-(Simulador!$E$9+'Salto de dientes'!$B$12))/Simulador!$G$9)&gt;1-Simulador!$B$11,Simulador!$B$10*(1-COS(PI()*(1-(($A245-(Simulador!$E$9+'Salto de dientes'!$B$12))/Simulador!$G$9))/Simulador!$B$11))/2,Simulador!$B$10)))</f>
        <v/>
      </c>
    </row>
    <row r="246">
      <c r="A246" s="26">
        <f>A245+Simulador!$B$14</f>
        <v/>
      </c>
      <c r="B246" s="46">
        <f>IF(OR((($A246-Simulador!$E$5)/Simulador!$G$5)&lt;=0,(($A246-Simulador!$E$5)/Simulador!$G$5)&gt;=1),0,IF((($A246-Simulador!$E$5)/Simulador!$G$5)&lt;Simulador!$B$11,Simulador!$B$9*(1-COS(PI()*(($A246-Simulador!$E$5)/Simulador!$G$5)/Simulador!$B$11))/2,IF((($A246-Simulador!$E$5)/Simulador!$G$5)&gt;1-Simulador!$B$11,Simulador!$B$9*(1-COS(PI()*(1-(($A246-Simulador!$E$5)/Simulador!$G$5))/Simulador!$B$11))/2,Simulador!$B$9)))</f>
        <v/>
      </c>
      <c r="C246" s="46">
        <f>IF(OR((($A246-Simulador!$E$6)/Simulador!$G$6)&lt;=0,(($A246-Simulador!$E$6)/Simulador!$G$6)&gt;=1),0,IF((($A246-Simulador!$E$6)/Simulador!$G$6)&lt;Simulador!$B$11,Simulador!$B$9*(1-COS(PI()*(($A246-Simulador!$E$6)/Simulador!$G$6)/Simulador!$B$11))/2,IF((($A246-Simulador!$E$6)/Simulador!$G$6)&gt;1-Simulador!$B$11,Simulador!$B$9*(1-COS(PI()*(1-(($A246-Simulador!$E$6)/Simulador!$G$6))/Simulador!$B$11))/2,Simulador!$B$9)))</f>
        <v/>
      </c>
      <c r="D246" s="46">
        <f>IF(OR((($A246-Simulador!$E$7)/Simulador!$G$7)&lt;=0,(($A246-Simulador!$E$7)/Simulador!$G$7)&gt;=1),0,IF((($A246-Simulador!$E$7)/Simulador!$G$7)&lt;Simulador!$B$11,Simulador!$B$9*(1-COS(PI()*(($A246-Simulador!$E$7)/Simulador!$G$7)/Simulador!$B$11))/2,IF((($A246-Simulador!$E$7)/Simulador!$G$7)&gt;1-Simulador!$B$11,Simulador!$B$9*(1-COS(PI()*(1-(($A246-Simulador!$E$7)/Simulador!$G$7))/Simulador!$B$11))/2,Simulador!$B$9)))</f>
        <v/>
      </c>
      <c r="E246" s="46">
        <f>IF(OR((($A246-Simulador!$E$8)/Simulador!$G$8)&lt;=0,(($A246-Simulador!$E$8)/Simulador!$G$8)&gt;=1),0,IF((($A246-Simulador!$E$8)/Simulador!$G$8)&lt;Simulador!$B$11,Simulador!$B$10*(1-COS(PI()*(($A246-Simulador!$E$8)/Simulador!$G$8)/Simulador!$B$11))/2,IF((($A246-Simulador!$E$8)/Simulador!$G$8)&gt;1-Simulador!$B$11,Simulador!$B$10*(1-COS(PI()*(1-(($A246-Simulador!$E$8)/Simulador!$G$8))/Simulador!$B$11))/2,Simulador!$B$10)))</f>
        <v/>
      </c>
      <c r="F246" s="46">
        <f>IF(OR((($A246-Simulador!$E$9)/Simulador!$G$9)&lt;=0,(($A246-Simulador!$E$9)/Simulador!$G$9)&gt;=1),0,IF((($A246-Simulador!$E$9)/Simulador!$G$9)&lt;Simulador!$B$11,Simulador!$B$10*(1-COS(PI()*(($A246-Simulador!$E$9)/Simulador!$G$9)/Simulador!$B$11))/2,IF((($A246-Simulador!$E$9)/Simulador!$G$9)&gt;1-Simulador!$B$11,Simulador!$B$10*(1-COS(PI()*(1-(($A246-Simulador!$E$9)/Simulador!$G$9))/Simulador!$B$11))/2,Simulador!$B$10)))</f>
        <v/>
      </c>
      <c r="G246" s="46">
        <f>IF(OR((($A246-Simulador!$E$10)/Simulador!$G$10)&lt;=0,(($A246-Simulador!$E$10)/Simulador!$G$10)&gt;=1),0,IF((($A246-Simulador!$E$10)/Simulador!$G$10)&lt;Simulador!$B$11,Simulador!$B$10*(1-COS(PI()*(($A246-Simulador!$E$10)/Simulador!$G$10)/Simulador!$B$11))/2,IF((($A246-Simulador!$E$10)/Simulador!$G$10)&gt;1-Simulador!$B$11,Simulador!$B$10*(1-COS(PI()*(1-(($A246-Simulador!$E$10)/Simulador!$G$10))/Simulador!$B$11))/2,Simulador!$B$10)))</f>
        <v/>
      </c>
      <c r="Q246" s="48">
        <f>IF(OR((($A246-(Simulador!$E$6+'Salto de dientes'!$B$12))/Simulador!$G$6)&lt;=0,(($A246-(Simulador!$E$6+'Salto de dientes'!$B$12))/Simulador!$G$6)&gt;=1),0,IF((($A246-(Simulador!$E$6+'Salto de dientes'!$B$12))/Simulador!$G$6)&lt;Simulador!$B$11,Simulador!$B$9*(1-COS(PI()*(($A246-(Simulador!$E$6+'Salto de dientes'!$B$12))/Simulador!$G$6)/Simulador!$B$11))/2,IF((($A246-(Simulador!$E$6+'Salto de dientes'!$B$12))/Simulador!$G$6)&gt;1-Simulador!$B$11,Simulador!$B$9*(1-COS(PI()*(1-(($A246-(Simulador!$E$6+'Salto de dientes'!$B$12))/Simulador!$G$6))/Simulador!$B$11))/2,Simulador!$B$9)))</f>
        <v/>
      </c>
      <c r="R246" s="48">
        <f>IF(OR((($A246-(Simulador!$E$9+'Salto de dientes'!$B$12))/Simulador!$G$9)&lt;=0,(($A246-(Simulador!$E$9+'Salto de dientes'!$B$12))/Simulador!$G$9)&gt;=1),0,IF((($A246-(Simulador!$E$9+'Salto de dientes'!$B$12))/Simulador!$G$9)&lt;Simulador!$B$11,Simulador!$B$10*(1-COS(PI()*(($A246-(Simulador!$E$9+'Salto de dientes'!$B$12))/Simulador!$G$9)/Simulador!$B$11))/2,IF((($A246-(Simulador!$E$9+'Salto de dientes'!$B$12))/Simulador!$G$9)&gt;1-Simulador!$B$11,Simulador!$B$10*(1-COS(PI()*(1-(($A246-(Simulador!$E$9+'Salto de dientes'!$B$12))/Simulador!$G$9))/Simulador!$B$11))/2,Simulador!$B$10)))</f>
        <v/>
      </c>
    </row>
    <row r="247">
      <c r="A247" s="26">
        <f>A246+Simulador!$B$14</f>
        <v/>
      </c>
      <c r="B247" s="46">
        <f>IF(OR((($A247-Simulador!$E$5)/Simulador!$G$5)&lt;=0,(($A247-Simulador!$E$5)/Simulador!$G$5)&gt;=1),0,IF((($A247-Simulador!$E$5)/Simulador!$G$5)&lt;Simulador!$B$11,Simulador!$B$9*(1-COS(PI()*(($A247-Simulador!$E$5)/Simulador!$G$5)/Simulador!$B$11))/2,IF((($A247-Simulador!$E$5)/Simulador!$G$5)&gt;1-Simulador!$B$11,Simulador!$B$9*(1-COS(PI()*(1-(($A247-Simulador!$E$5)/Simulador!$G$5))/Simulador!$B$11))/2,Simulador!$B$9)))</f>
        <v/>
      </c>
      <c r="C247" s="46">
        <f>IF(OR((($A247-Simulador!$E$6)/Simulador!$G$6)&lt;=0,(($A247-Simulador!$E$6)/Simulador!$G$6)&gt;=1),0,IF((($A247-Simulador!$E$6)/Simulador!$G$6)&lt;Simulador!$B$11,Simulador!$B$9*(1-COS(PI()*(($A247-Simulador!$E$6)/Simulador!$G$6)/Simulador!$B$11))/2,IF((($A247-Simulador!$E$6)/Simulador!$G$6)&gt;1-Simulador!$B$11,Simulador!$B$9*(1-COS(PI()*(1-(($A247-Simulador!$E$6)/Simulador!$G$6))/Simulador!$B$11))/2,Simulador!$B$9)))</f>
        <v/>
      </c>
      <c r="D247" s="46">
        <f>IF(OR((($A247-Simulador!$E$7)/Simulador!$G$7)&lt;=0,(($A247-Simulador!$E$7)/Simulador!$G$7)&gt;=1),0,IF((($A247-Simulador!$E$7)/Simulador!$G$7)&lt;Simulador!$B$11,Simulador!$B$9*(1-COS(PI()*(($A247-Simulador!$E$7)/Simulador!$G$7)/Simulador!$B$11))/2,IF((($A247-Simulador!$E$7)/Simulador!$G$7)&gt;1-Simulador!$B$11,Simulador!$B$9*(1-COS(PI()*(1-(($A247-Simulador!$E$7)/Simulador!$G$7))/Simulador!$B$11))/2,Simulador!$B$9)))</f>
        <v/>
      </c>
      <c r="E247" s="46">
        <f>IF(OR((($A247-Simulador!$E$8)/Simulador!$G$8)&lt;=0,(($A247-Simulador!$E$8)/Simulador!$G$8)&gt;=1),0,IF((($A247-Simulador!$E$8)/Simulador!$G$8)&lt;Simulador!$B$11,Simulador!$B$10*(1-COS(PI()*(($A247-Simulador!$E$8)/Simulador!$G$8)/Simulador!$B$11))/2,IF((($A247-Simulador!$E$8)/Simulador!$G$8)&gt;1-Simulador!$B$11,Simulador!$B$10*(1-COS(PI()*(1-(($A247-Simulador!$E$8)/Simulador!$G$8))/Simulador!$B$11))/2,Simulador!$B$10)))</f>
        <v/>
      </c>
      <c r="F247" s="46">
        <f>IF(OR((($A247-Simulador!$E$9)/Simulador!$G$9)&lt;=0,(($A247-Simulador!$E$9)/Simulador!$G$9)&gt;=1),0,IF((($A247-Simulador!$E$9)/Simulador!$G$9)&lt;Simulador!$B$11,Simulador!$B$10*(1-COS(PI()*(($A247-Simulador!$E$9)/Simulador!$G$9)/Simulador!$B$11))/2,IF((($A247-Simulador!$E$9)/Simulador!$G$9)&gt;1-Simulador!$B$11,Simulador!$B$10*(1-COS(PI()*(1-(($A247-Simulador!$E$9)/Simulador!$G$9))/Simulador!$B$11))/2,Simulador!$B$10)))</f>
        <v/>
      </c>
      <c r="G247" s="46">
        <f>IF(OR((($A247-Simulador!$E$10)/Simulador!$G$10)&lt;=0,(($A247-Simulador!$E$10)/Simulador!$G$10)&gt;=1),0,IF((($A247-Simulador!$E$10)/Simulador!$G$10)&lt;Simulador!$B$11,Simulador!$B$10*(1-COS(PI()*(($A247-Simulador!$E$10)/Simulador!$G$10)/Simulador!$B$11))/2,IF((($A247-Simulador!$E$10)/Simulador!$G$10)&gt;1-Simulador!$B$11,Simulador!$B$10*(1-COS(PI()*(1-(($A247-Simulador!$E$10)/Simulador!$G$10))/Simulador!$B$11))/2,Simulador!$B$10)))</f>
        <v/>
      </c>
      <c r="Q247" s="48">
        <f>IF(OR((($A247-(Simulador!$E$6+'Salto de dientes'!$B$12))/Simulador!$G$6)&lt;=0,(($A247-(Simulador!$E$6+'Salto de dientes'!$B$12))/Simulador!$G$6)&gt;=1),0,IF((($A247-(Simulador!$E$6+'Salto de dientes'!$B$12))/Simulador!$G$6)&lt;Simulador!$B$11,Simulador!$B$9*(1-COS(PI()*(($A247-(Simulador!$E$6+'Salto de dientes'!$B$12))/Simulador!$G$6)/Simulador!$B$11))/2,IF((($A247-(Simulador!$E$6+'Salto de dientes'!$B$12))/Simulador!$G$6)&gt;1-Simulador!$B$11,Simulador!$B$9*(1-COS(PI()*(1-(($A247-(Simulador!$E$6+'Salto de dientes'!$B$12))/Simulador!$G$6))/Simulador!$B$11))/2,Simulador!$B$9)))</f>
        <v/>
      </c>
      <c r="R247" s="48">
        <f>IF(OR((($A247-(Simulador!$E$9+'Salto de dientes'!$B$12))/Simulador!$G$9)&lt;=0,(($A247-(Simulador!$E$9+'Salto de dientes'!$B$12))/Simulador!$G$9)&gt;=1),0,IF((($A247-(Simulador!$E$9+'Salto de dientes'!$B$12))/Simulador!$G$9)&lt;Simulador!$B$11,Simulador!$B$10*(1-COS(PI()*(($A247-(Simulador!$E$9+'Salto de dientes'!$B$12))/Simulador!$G$9)/Simulador!$B$11))/2,IF((($A247-(Simulador!$E$9+'Salto de dientes'!$B$12))/Simulador!$G$9)&gt;1-Simulador!$B$11,Simulador!$B$10*(1-COS(PI()*(1-(($A247-(Simulador!$E$9+'Salto de dientes'!$B$12))/Simulador!$G$9))/Simulador!$B$11))/2,Simulador!$B$10)))</f>
        <v/>
      </c>
    </row>
    <row r="248">
      <c r="A248" s="26">
        <f>A247+Simulador!$B$14</f>
        <v/>
      </c>
      <c r="B248" s="46">
        <f>IF(OR((($A248-Simulador!$E$5)/Simulador!$G$5)&lt;=0,(($A248-Simulador!$E$5)/Simulador!$G$5)&gt;=1),0,IF((($A248-Simulador!$E$5)/Simulador!$G$5)&lt;Simulador!$B$11,Simulador!$B$9*(1-COS(PI()*(($A248-Simulador!$E$5)/Simulador!$G$5)/Simulador!$B$11))/2,IF((($A248-Simulador!$E$5)/Simulador!$G$5)&gt;1-Simulador!$B$11,Simulador!$B$9*(1-COS(PI()*(1-(($A248-Simulador!$E$5)/Simulador!$G$5))/Simulador!$B$11))/2,Simulador!$B$9)))</f>
        <v/>
      </c>
      <c r="C248" s="46">
        <f>IF(OR((($A248-Simulador!$E$6)/Simulador!$G$6)&lt;=0,(($A248-Simulador!$E$6)/Simulador!$G$6)&gt;=1),0,IF((($A248-Simulador!$E$6)/Simulador!$G$6)&lt;Simulador!$B$11,Simulador!$B$9*(1-COS(PI()*(($A248-Simulador!$E$6)/Simulador!$G$6)/Simulador!$B$11))/2,IF((($A248-Simulador!$E$6)/Simulador!$G$6)&gt;1-Simulador!$B$11,Simulador!$B$9*(1-COS(PI()*(1-(($A248-Simulador!$E$6)/Simulador!$G$6))/Simulador!$B$11))/2,Simulador!$B$9)))</f>
        <v/>
      </c>
      <c r="D248" s="46">
        <f>IF(OR((($A248-Simulador!$E$7)/Simulador!$G$7)&lt;=0,(($A248-Simulador!$E$7)/Simulador!$G$7)&gt;=1),0,IF((($A248-Simulador!$E$7)/Simulador!$G$7)&lt;Simulador!$B$11,Simulador!$B$9*(1-COS(PI()*(($A248-Simulador!$E$7)/Simulador!$G$7)/Simulador!$B$11))/2,IF((($A248-Simulador!$E$7)/Simulador!$G$7)&gt;1-Simulador!$B$11,Simulador!$B$9*(1-COS(PI()*(1-(($A248-Simulador!$E$7)/Simulador!$G$7))/Simulador!$B$11))/2,Simulador!$B$9)))</f>
        <v/>
      </c>
      <c r="E248" s="46">
        <f>IF(OR((($A248-Simulador!$E$8)/Simulador!$G$8)&lt;=0,(($A248-Simulador!$E$8)/Simulador!$G$8)&gt;=1),0,IF((($A248-Simulador!$E$8)/Simulador!$G$8)&lt;Simulador!$B$11,Simulador!$B$10*(1-COS(PI()*(($A248-Simulador!$E$8)/Simulador!$G$8)/Simulador!$B$11))/2,IF((($A248-Simulador!$E$8)/Simulador!$G$8)&gt;1-Simulador!$B$11,Simulador!$B$10*(1-COS(PI()*(1-(($A248-Simulador!$E$8)/Simulador!$G$8))/Simulador!$B$11))/2,Simulador!$B$10)))</f>
        <v/>
      </c>
      <c r="F248" s="46">
        <f>IF(OR((($A248-Simulador!$E$9)/Simulador!$G$9)&lt;=0,(($A248-Simulador!$E$9)/Simulador!$G$9)&gt;=1),0,IF((($A248-Simulador!$E$9)/Simulador!$G$9)&lt;Simulador!$B$11,Simulador!$B$10*(1-COS(PI()*(($A248-Simulador!$E$9)/Simulador!$G$9)/Simulador!$B$11))/2,IF((($A248-Simulador!$E$9)/Simulador!$G$9)&gt;1-Simulador!$B$11,Simulador!$B$10*(1-COS(PI()*(1-(($A248-Simulador!$E$9)/Simulador!$G$9))/Simulador!$B$11))/2,Simulador!$B$10)))</f>
        <v/>
      </c>
      <c r="G248" s="46">
        <f>IF(OR((($A248-Simulador!$E$10)/Simulador!$G$10)&lt;=0,(($A248-Simulador!$E$10)/Simulador!$G$10)&gt;=1),0,IF((($A248-Simulador!$E$10)/Simulador!$G$10)&lt;Simulador!$B$11,Simulador!$B$10*(1-COS(PI()*(($A248-Simulador!$E$10)/Simulador!$G$10)/Simulador!$B$11))/2,IF((($A248-Simulador!$E$10)/Simulador!$G$10)&gt;1-Simulador!$B$11,Simulador!$B$10*(1-COS(PI()*(1-(($A248-Simulador!$E$10)/Simulador!$G$10))/Simulador!$B$11))/2,Simulador!$B$10)))</f>
        <v/>
      </c>
      <c r="Q248" s="48">
        <f>IF(OR((($A248-(Simulador!$E$6+'Salto de dientes'!$B$12))/Simulador!$G$6)&lt;=0,(($A248-(Simulador!$E$6+'Salto de dientes'!$B$12))/Simulador!$G$6)&gt;=1),0,IF((($A248-(Simulador!$E$6+'Salto de dientes'!$B$12))/Simulador!$G$6)&lt;Simulador!$B$11,Simulador!$B$9*(1-COS(PI()*(($A248-(Simulador!$E$6+'Salto de dientes'!$B$12))/Simulador!$G$6)/Simulador!$B$11))/2,IF((($A248-(Simulador!$E$6+'Salto de dientes'!$B$12))/Simulador!$G$6)&gt;1-Simulador!$B$11,Simulador!$B$9*(1-COS(PI()*(1-(($A248-(Simulador!$E$6+'Salto de dientes'!$B$12))/Simulador!$G$6))/Simulador!$B$11))/2,Simulador!$B$9)))</f>
        <v/>
      </c>
      <c r="R248" s="48">
        <f>IF(OR((($A248-(Simulador!$E$9+'Salto de dientes'!$B$12))/Simulador!$G$9)&lt;=0,(($A248-(Simulador!$E$9+'Salto de dientes'!$B$12))/Simulador!$G$9)&gt;=1),0,IF((($A248-(Simulador!$E$9+'Salto de dientes'!$B$12))/Simulador!$G$9)&lt;Simulador!$B$11,Simulador!$B$10*(1-COS(PI()*(($A248-(Simulador!$E$9+'Salto de dientes'!$B$12))/Simulador!$G$9)/Simulador!$B$11))/2,IF((($A248-(Simulador!$E$9+'Salto de dientes'!$B$12))/Simulador!$G$9)&gt;1-Simulador!$B$11,Simulador!$B$10*(1-COS(PI()*(1-(($A248-(Simulador!$E$9+'Salto de dientes'!$B$12))/Simulador!$G$9))/Simulador!$B$11))/2,Simulador!$B$10)))</f>
        <v/>
      </c>
    </row>
    <row r="249">
      <c r="A249" s="26">
        <f>A248+Simulador!$B$14</f>
        <v/>
      </c>
      <c r="B249" s="46">
        <f>IF(OR((($A249-Simulador!$E$5)/Simulador!$G$5)&lt;=0,(($A249-Simulador!$E$5)/Simulador!$G$5)&gt;=1),0,IF((($A249-Simulador!$E$5)/Simulador!$G$5)&lt;Simulador!$B$11,Simulador!$B$9*(1-COS(PI()*(($A249-Simulador!$E$5)/Simulador!$G$5)/Simulador!$B$11))/2,IF((($A249-Simulador!$E$5)/Simulador!$G$5)&gt;1-Simulador!$B$11,Simulador!$B$9*(1-COS(PI()*(1-(($A249-Simulador!$E$5)/Simulador!$G$5))/Simulador!$B$11))/2,Simulador!$B$9)))</f>
        <v/>
      </c>
      <c r="C249" s="46">
        <f>IF(OR((($A249-Simulador!$E$6)/Simulador!$G$6)&lt;=0,(($A249-Simulador!$E$6)/Simulador!$G$6)&gt;=1),0,IF((($A249-Simulador!$E$6)/Simulador!$G$6)&lt;Simulador!$B$11,Simulador!$B$9*(1-COS(PI()*(($A249-Simulador!$E$6)/Simulador!$G$6)/Simulador!$B$11))/2,IF((($A249-Simulador!$E$6)/Simulador!$G$6)&gt;1-Simulador!$B$11,Simulador!$B$9*(1-COS(PI()*(1-(($A249-Simulador!$E$6)/Simulador!$G$6))/Simulador!$B$11))/2,Simulador!$B$9)))</f>
        <v/>
      </c>
      <c r="D249" s="46">
        <f>IF(OR((($A249-Simulador!$E$7)/Simulador!$G$7)&lt;=0,(($A249-Simulador!$E$7)/Simulador!$G$7)&gt;=1),0,IF((($A249-Simulador!$E$7)/Simulador!$G$7)&lt;Simulador!$B$11,Simulador!$B$9*(1-COS(PI()*(($A249-Simulador!$E$7)/Simulador!$G$7)/Simulador!$B$11))/2,IF((($A249-Simulador!$E$7)/Simulador!$G$7)&gt;1-Simulador!$B$11,Simulador!$B$9*(1-COS(PI()*(1-(($A249-Simulador!$E$7)/Simulador!$G$7))/Simulador!$B$11))/2,Simulador!$B$9)))</f>
        <v/>
      </c>
      <c r="E249" s="46">
        <f>IF(OR((($A249-Simulador!$E$8)/Simulador!$G$8)&lt;=0,(($A249-Simulador!$E$8)/Simulador!$G$8)&gt;=1),0,IF((($A249-Simulador!$E$8)/Simulador!$G$8)&lt;Simulador!$B$11,Simulador!$B$10*(1-COS(PI()*(($A249-Simulador!$E$8)/Simulador!$G$8)/Simulador!$B$11))/2,IF((($A249-Simulador!$E$8)/Simulador!$G$8)&gt;1-Simulador!$B$11,Simulador!$B$10*(1-COS(PI()*(1-(($A249-Simulador!$E$8)/Simulador!$G$8))/Simulador!$B$11))/2,Simulador!$B$10)))</f>
        <v/>
      </c>
      <c r="F249" s="46">
        <f>IF(OR((($A249-Simulador!$E$9)/Simulador!$G$9)&lt;=0,(($A249-Simulador!$E$9)/Simulador!$G$9)&gt;=1),0,IF((($A249-Simulador!$E$9)/Simulador!$G$9)&lt;Simulador!$B$11,Simulador!$B$10*(1-COS(PI()*(($A249-Simulador!$E$9)/Simulador!$G$9)/Simulador!$B$11))/2,IF((($A249-Simulador!$E$9)/Simulador!$G$9)&gt;1-Simulador!$B$11,Simulador!$B$10*(1-COS(PI()*(1-(($A249-Simulador!$E$9)/Simulador!$G$9))/Simulador!$B$11))/2,Simulador!$B$10)))</f>
        <v/>
      </c>
      <c r="G249" s="46">
        <f>IF(OR((($A249-Simulador!$E$10)/Simulador!$G$10)&lt;=0,(($A249-Simulador!$E$10)/Simulador!$G$10)&gt;=1),0,IF((($A249-Simulador!$E$10)/Simulador!$G$10)&lt;Simulador!$B$11,Simulador!$B$10*(1-COS(PI()*(($A249-Simulador!$E$10)/Simulador!$G$10)/Simulador!$B$11))/2,IF((($A249-Simulador!$E$10)/Simulador!$G$10)&gt;1-Simulador!$B$11,Simulador!$B$10*(1-COS(PI()*(1-(($A249-Simulador!$E$10)/Simulador!$G$10))/Simulador!$B$11))/2,Simulador!$B$10)))</f>
        <v/>
      </c>
      <c r="Q249" s="48">
        <f>IF(OR((($A249-(Simulador!$E$6+'Salto de dientes'!$B$12))/Simulador!$G$6)&lt;=0,(($A249-(Simulador!$E$6+'Salto de dientes'!$B$12))/Simulador!$G$6)&gt;=1),0,IF((($A249-(Simulador!$E$6+'Salto de dientes'!$B$12))/Simulador!$G$6)&lt;Simulador!$B$11,Simulador!$B$9*(1-COS(PI()*(($A249-(Simulador!$E$6+'Salto de dientes'!$B$12))/Simulador!$G$6)/Simulador!$B$11))/2,IF((($A249-(Simulador!$E$6+'Salto de dientes'!$B$12))/Simulador!$G$6)&gt;1-Simulador!$B$11,Simulador!$B$9*(1-COS(PI()*(1-(($A249-(Simulador!$E$6+'Salto de dientes'!$B$12))/Simulador!$G$6))/Simulador!$B$11))/2,Simulador!$B$9)))</f>
        <v/>
      </c>
      <c r="R249" s="48">
        <f>IF(OR((($A249-(Simulador!$E$9+'Salto de dientes'!$B$12))/Simulador!$G$9)&lt;=0,(($A249-(Simulador!$E$9+'Salto de dientes'!$B$12))/Simulador!$G$9)&gt;=1),0,IF((($A249-(Simulador!$E$9+'Salto de dientes'!$B$12))/Simulador!$G$9)&lt;Simulador!$B$11,Simulador!$B$10*(1-COS(PI()*(($A249-(Simulador!$E$9+'Salto de dientes'!$B$12))/Simulador!$G$9)/Simulador!$B$11))/2,IF((($A249-(Simulador!$E$9+'Salto de dientes'!$B$12))/Simulador!$G$9)&gt;1-Simulador!$B$11,Simulador!$B$10*(1-COS(PI()*(1-(($A249-(Simulador!$E$9+'Salto de dientes'!$B$12))/Simulador!$G$9))/Simulador!$B$11))/2,Simulador!$B$10)))</f>
        <v/>
      </c>
    </row>
    <row r="250">
      <c r="A250" s="26">
        <f>A249+Simulador!$B$14</f>
        <v/>
      </c>
      <c r="B250" s="46">
        <f>IF(OR((($A250-Simulador!$E$5)/Simulador!$G$5)&lt;=0,(($A250-Simulador!$E$5)/Simulador!$G$5)&gt;=1),0,IF((($A250-Simulador!$E$5)/Simulador!$G$5)&lt;Simulador!$B$11,Simulador!$B$9*(1-COS(PI()*(($A250-Simulador!$E$5)/Simulador!$G$5)/Simulador!$B$11))/2,IF((($A250-Simulador!$E$5)/Simulador!$G$5)&gt;1-Simulador!$B$11,Simulador!$B$9*(1-COS(PI()*(1-(($A250-Simulador!$E$5)/Simulador!$G$5))/Simulador!$B$11))/2,Simulador!$B$9)))</f>
        <v/>
      </c>
      <c r="C250" s="46">
        <f>IF(OR((($A250-Simulador!$E$6)/Simulador!$G$6)&lt;=0,(($A250-Simulador!$E$6)/Simulador!$G$6)&gt;=1),0,IF((($A250-Simulador!$E$6)/Simulador!$G$6)&lt;Simulador!$B$11,Simulador!$B$9*(1-COS(PI()*(($A250-Simulador!$E$6)/Simulador!$G$6)/Simulador!$B$11))/2,IF((($A250-Simulador!$E$6)/Simulador!$G$6)&gt;1-Simulador!$B$11,Simulador!$B$9*(1-COS(PI()*(1-(($A250-Simulador!$E$6)/Simulador!$G$6))/Simulador!$B$11))/2,Simulador!$B$9)))</f>
        <v/>
      </c>
      <c r="D250" s="46">
        <f>IF(OR((($A250-Simulador!$E$7)/Simulador!$G$7)&lt;=0,(($A250-Simulador!$E$7)/Simulador!$G$7)&gt;=1),0,IF((($A250-Simulador!$E$7)/Simulador!$G$7)&lt;Simulador!$B$11,Simulador!$B$9*(1-COS(PI()*(($A250-Simulador!$E$7)/Simulador!$G$7)/Simulador!$B$11))/2,IF((($A250-Simulador!$E$7)/Simulador!$G$7)&gt;1-Simulador!$B$11,Simulador!$B$9*(1-COS(PI()*(1-(($A250-Simulador!$E$7)/Simulador!$G$7))/Simulador!$B$11))/2,Simulador!$B$9)))</f>
        <v/>
      </c>
      <c r="E250" s="46">
        <f>IF(OR((($A250-Simulador!$E$8)/Simulador!$G$8)&lt;=0,(($A250-Simulador!$E$8)/Simulador!$G$8)&gt;=1),0,IF((($A250-Simulador!$E$8)/Simulador!$G$8)&lt;Simulador!$B$11,Simulador!$B$10*(1-COS(PI()*(($A250-Simulador!$E$8)/Simulador!$G$8)/Simulador!$B$11))/2,IF((($A250-Simulador!$E$8)/Simulador!$G$8)&gt;1-Simulador!$B$11,Simulador!$B$10*(1-COS(PI()*(1-(($A250-Simulador!$E$8)/Simulador!$G$8))/Simulador!$B$11))/2,Simulador!$B$10)))</f>
        <v/>
      </c>
      <c r="F250" s="46">
        <f>IF(OR((($A250-Simulador!$E$9)/Simulador!$G$9)&lt;=0,(($A250-Simulador!$E$9)/Simulador!$G$9)&gt;=1),0,IF((($A250-Simulador!$E$9)/Simulador!$G$9)&lt;Simulador!$B$11,Simulador!$B$10*(1-COS(PI()*(($A250-Simulador!$E$9)/Simulador!$G$9)/Simulador!$B$11))/2,IF((($A250-Simulador!$E$9)/Simulador!$G$9)&gt;1-Simulador!$B$11,Simulador!$B$10*(1-COS(PI()*(1-(($A250-Simulador!$E$9)/Simulador!$G$9))/Simulador!$B$11))/2,Simulador!$B$10)))</f>
        <v/>
      </c>
      <c r="G250" s="46">
        <f>IF(OR((($A250-Simulador!$E$10)/Simulador!$G$10)&lt;=0,(($A250-Simulador!$E$10)/Simulador!$G$10)&gt;=1),0,IF((($A250-Simulador!$E$10)/Simulador!$G$10)&lt;Simulador!$B$11,Simulador!$B$10*(1-COS(PI()*(($A250-Simulador!$E$10)/Simulador!$G$10)/Simulador!$B$11))/2,IF((($A250-Simulador!$E$10)/Simulador!$G$10)&gt;1-Simulador!$B$11,Simulador!$B$10*(1-COS(PI()*(1-(($A250-Simulador!$E$10)/Simulador!$G$10))/Simulador!$B$11))/2,Simulador!$B$10)))</f>
        <v/>
      </c>
      <c r="Q250" s="48">
        <f>IF(OR((($A250-(Simulador!$E$6+'Salto de dientes'!$B$12))/Simulador!$G$6)&lt;=0,(($A250-(Simulador!$E$6+'Salto de dientes'!$B$12))/Simulador!$G$6)&gt;=1),0,IF((($A250-(Simulador!$E$6+'Salto de dientes'!$B$12))/Simulador!$G$6)&lt;Simulador!$B$11,Simulador!$B$9*(1-COS(PI()*(($A250-(Simulador!$E$6+'Salto de dientes'!$B$12))/Simulador!$G$6)/Simulador!$B$11))/2,IF((($A250-(Simulador!$E$6+'Salto de dientes'!$B$12))/Simulador!$G$6)&gt;1-Simulador!$B$11,Simulador!$B$9*(1-COS(PI()*(1-(($A250-(Simulador!$E$6+'Salto de dientes'!$B$12))/Simulador!$G$6))/Simulador!$B$11))/2,Simulador!$B$9)))</f>
        <v/>
      </c>
      <c r="R250" s="48">
        <f>IF(OR((($A250-(Simulador!$E$9+'Salto de dientes'!$B$12))/Simulador!$G$9)&lt;=0,(($A250-(Simulador!$E$9+'Salto de dientes'!$B$12))/Simulador!$G$9)&gt;=1),0,IF((($A250-(Simulador!$E$9+'Salto de dientes'!$B$12))/Simulador!$G$9)&lt;Simulador!$B$11,Simulador!$B$10*(1-COS(PI()*(($A250-(Simulador!$E$9+'Salto de dientes'!$B$12))/Simulador!$G$9)/Simulador!$B$11))/2,IF((($A250-(Simulador!$E$9+'Salto de dientes'!$B$12))/Simulador!$G$9)&gt;1-Simulador!$B$11,Simulador!$B$10*(1-COS(PI()*(1-(($A250-(Simulador!$E$9+'Salto de dientes'!$B$12))/Simulador!$G$9))/Simulador!$B$11))/2,Simulador!$B$10)))</f>
        <v/>
      </c>
    </row>
    <row r="251">
      <c r="A251" s="26">
        <f>A250+Simulador!$B$14</f>
        <v/>
      </c>
      <c r="B251" s="46">
        <f>IF(OR((($A251-Simulador!$E$5)/Simulador!$G$5)&lt;=0,(($A251-Simulador!$E$5)/Simulador!$G$5)&gt;=1),0,IF((($A251-Simulador!$E$5)/Simulador!$G$5)&lt;Simulador!$B$11,Simulador!$B$9*(1-COS(PI()*(($A251-Simulador!$E$5)/Simulador!$G$5)/Simulador!$B$11))/2,IF((($A251-Simulador!$E$5)/Simulador!$G$5)&gt;1-Simulador!$B$11,Simulador!$B$9*(1-COS(PI()*(1-(($A251-Simulador!$E$5)/Simulador!$G$5))/Simulador!$B$11))/2,Simulador!$B$9)))</f>
        <v/>
      </c>
      <c r="C251" s="46">
        <f>IF(OR((($A251-Simulador!$E$6)/Simulador!$G$6)&lt;=0,(($A251-Simulador!$E$6)/Simulador!$G$6)&gt;=1),0,IF((($A251-Simulador!$E$6)/Simulador!$G$6)&lt;Simulador!$B$11,Simulador!$B$9*(1-COS(PI()*(($A251-Simulador!$E$6)/Simulador!$G$6)/Simulador!$B$11))/2,IF((($A251-Simulador!$E$6)/Simulador!$G$6)&gt;1-Simulador!$B$11,Simulador!$B$9*(1-COS(PI()*(1-(($A251-Simulador!$E$6)/Simulador!$G$6))/Simulador!$B$11))/2,Simulador!$B$9)))</f>
        <v/>
      </c>
      <c r="D251" s="46">
        <f>IF(OR((($A251-Simulador!$E$7)/Simulador!$G$7)&lt;=0,(($A251-Simulador!$E$7)/Simulador!$G$7)&gt;=1),0,IF((($A251-Simulador!$E$7)/Simulador!$G$7)&lt;Simulador!$B$11,Simulador!$B$9*(1-COS(PI()*(($A251-Simulador!$E$7)/Simulador!$G$7)/Simulador!$B$11))/2,IF((($A251-Simulador!$E$7)/Simulador!$G$7)&gt;1-Simulador!$B$11,Simulador!$B$9*(1-COS(PI()*(1-(($A251-Simulador!$E$7)/Simulador!$G$7))/Simulador!$B$11))/2,Simulador!$B$9)))</f>
        <v/>
      </c>
      <c r="E251" s="46">
        <f>IF(OR((($A251-Simulador!$E$8)/Simulador!$G$8)&lt;=0,(($A251-Simulador!$E$8)/Simulador!$G$8)&gt;=1),0,IF((($A251-Simulador!$E$8)/Simulador!$G$8)&lt;Simulador!$B$11,Simulador!$B$10*(1-COS(PI()*(($A251-Simulador!$E$8)/Simulador!$G$8)/Simulador!$B$11))/2,IF((($A251-Simulador!$E$8)/Simulador!$G$8)&gt;1-Simulador!$B$11,Simulador!$B$10*(1-COS(PI()*(1-(($A251-Simulador!$E$8)/Simulador!$G$8))/Simulador!$B$11))/2,Simulador!$B$10)))</f>
        <v/>
      </c>
      <c r="F251" s="46">
        <f>IF(OR((($A251-Simulador!$E$9)/Simulador!$G$9)&lt;=0,(($A251-Simulador!$E$9)/Simulador!$G$9)&gt;=1),0,IF((($A251-Simulador!$E$9)/Simulador!$G$9)&lt;Simulador!$B$11,Simulador!$B$10*(1-COS(PI()*(($A251-Simulador!$E$9)/Simulador!$G$9)/Simulador!$B$11))/2,IF((($A251-Simulador!$E$9)/Simulador!$G$9)&gt;1-Simulador!$B$11,Simulador!$B$10*(1-COS(PI()*(1-(($A251-Simulador!$E$9)/Simulador!$G$9))/Simulador!$B$11))/2,Simulador!$B$10)))</f>
        <v/>
      </c>
      <c r="G251" s="46">
        <f>IF(OR((($A251-Simulador!$E$10)/Simulador!$G$10)&lt;=0,(($A251-Simulador!$E$10)/Simulador!$G$10)&gt;=1),0,IF((($A251-Simulador!$E$10)/Simulador!$G$10)&lt;Simulador!$B$11,Simulador!$B$10*(1-COS(PI()*(($A251-Simulador!$E$10)/Simulador!$G$10)/Simulador!$B$11))/2,IF((($A251-Simulador!$E$10)/Simulador!$G$10)&gt;1-Simulador!$B$11,Simulador!$B$10*(1-COS(PI()*(1-(($A251-Simulador!$E$10)/Simulador!$G$10))/Simulador!$B$11))/2,Simulador!$B$10)))</f>
        <v/>
      </c>
      <c r="Q251" s="48">
        <f>IF(OR((($A251-(Simulador!$E$6+'Salto de dientes'!$B$12))/Simulador!$G$6)&lt;=0,(($A251-(Simulador!$E$6+'Salto de dientes'!$B$12))/Simulador!$G$6)&gt;=1),0,IF((($A251-(Simulador!$E$6+'Salto de dientes'!$B$12))/Simulador!$G$6)&lt;Simulador!$B$11,Simulador!$B$9*(1-COS(PI()*(($A251-(Simulador!$E$6+'Salto de dientes'!$B$12))/Simulador!$G$6)/Simulador!$B$11))/2,IF((($A251-(Simulador!$E$6+'Salto de dientes'!$B$12))/Simulador!$G$6)&gt;1-Simulador!$B$11,Simulador!$B$9*(1-COS(PI()*(1-(($A251-(Simulador!$E$6+'Salto de dientes'!$B$12))/Simulador!$G$6))/Simulador!$B$11))/2,Simulador!$B$9)))</f>
        <v/>
      </c>
      <c r="R251" s="48">
        <f>IF(OR((($A251-(Simulador!$E$9+'Salto de dientes'!$B$12))/Simulador!$G$9)&lt;=0,(($A251-(Simulador!$E$9+'Salto de dientes'!$B$12))/Simulador!$G$9)&gt;=1),0,IF((($A251-(Simulador!$E$9+'Salto de dientes'!$B$12))/Simulador!$G$9)&lt;Simulador!$B$11,Simulador!$B$10*(1-COS(PI()*(($A251-(Simulador!$E$9+'Salto de dientes'!$B$12))/Simulador!$G$9)/Simulador!$B$11))/2,IF((($A251-(Simulador!$E$9+'Salto de dientes'!$B$12))/Simulador!$G$9)&gt;1-Simulador!$B$11,Simulador!$B$10*(1-COS(PI()*(1-(($A251-(Simulador!$E$9+'Salto de dientes'!$B$12))/Simulador!$G$9))/Simulador!$B$11))/2,Simulador!$B$10)))</f>
        <v/>
      </c>
    </row>
    <row r="252">
      <c r="A252" s="26">
        <f>A251+Simulador!$B$14</f>
        <v/>
      </c>
      <c r="B252" s="46">
        <f>IF(OR((($A252-Simulador!$E$5)/Simulador!$G$5)&lt;=0,(($A252-Simulador!$E$5)/Simulador!$G$5)&gt;=1),0,IF((($A252-Simulador!$E$5)/Simulador!$G$5)&lt;Simulador!$B$11,Simulador!$B$9*(1-COS(PI()*(($A252-Simulador!$E$5)/Simulador!$G$5)/Simulador!$B$11))/2,IF((($A252-Simulador!$E$5)/Simulador!$G$5)&gt;1-Simulador!$B$11,Simulador!$B$9*(1-COS(PI()*(1-(($A252-Simulador!$E$5)/Simulador!$G$5))/Simulador!$B$11))/2,Simulador!$B$9)))</f>
        <v/>
      </c>
      <c r="C252" s="46">
        <f>IF(OR((($A252-Simulador!$E$6)/Simulador!$G$6)&lt;=0,(($A252-Simulador!$E$6)/Simulador!$G$6)&gt;=1),0,IF((($A252-Simulador!$E$6)/Simulador!$G$6)&lt;Simulador!$B$11,Simulador!$B$9*(1-COS(PI()*(($A252-Simulador!$E$6)/Simulador!$G$6)/Simulador!$B$11))/2,IF((($A252-Simulador!$E$6)/Simulador!$G$6)&gt;1-Simulador!$B$11,Simulador!$B$9*(1-COS(PI()*(1-(($A252-Simulador!$E$6)/Simulador!$G$6))/Simulador!$B$11))/2,Simulador!$B$9)))</f>
        <v/>
      </c>
      <c r="D252" s="46">
        <f>IF(OR((($A252-Simulador!$E$7)/Simulador!$G$7)&lt;=0,(($A252-Simulador!$E$7)/Simulador!$G$7)&gt;=1),0,IF((($A252-Simulador!$E$7)/Simulador!$G$7)&lt;Simulador!$B$11,Simulador!$B$9*(1-COS(PI()*(($A252-Simulador!$E$7)/Simulador!$G$7)/Simulador!$B$11))/2,IF((($A252-Simulador!$E$7)/Simulador!$G$7)&gt;1-Simulador!$B$11,Simulador!$B$9*(1-COS(PI()*(1-(($A252-Simulador!$E$7)/Simulador!$G$7))/Simulador!$B$11))/2,Simulador!$B$9)))</f>
        <v/>
      </c>
      <c r="E252" s="46">
        <f>IF(OR((($A252-Simulador!$E$8)/Simulador!$G$8)&lt;=0,(($A252-Simulador!$E$8)/Simulador!$G$8)&gt;=1),0,IF((($A252-Simulador!$E$8)/Simulador!$G$8)&lt;Simulador!$B$11,Simulador!$B$10*(1-COS(PI()*(($A252-Simulador!$E$8)/Simulador!$G$8)/Simulador!$B$11))/2,IF((($A252-Simulador!$E$8)/Simulador!$G$8)&gt;1-Simulador!$B$11,Simulador!$B$10*(1-COS(PI()*(1-(($A252-Simulador!$E$8)/Simulador!$G$8))/Simulador!$B$11))/2,Simulador!$B$10)))</f>
        <v/>
      </c>
      <c r="F252" s="46">
        <f>IF(OR((($A252-Simulador!$E$9)/Simulador!$G$9)&lt;=0,(($A252-Simulador!$E$9)/Simulador!$G$9)&gt;=1),0,IF((($A252-Simulador!$E$9)/Simulador!$G$9)&lt;Simulador!$B$11,Simulador!$B$10*(1-COS(PI()*(($A252-Simulador!$E$9)/Simulador!$G$9)/Simulador!$B$11))/2,IF((($A252-Simulador!$E$9)/Simulador!$G$9)&gt;1-Simulador!$B$11,Simulador!$B$10*(1-COS(PI()*(1-(($A252-Simulador!$E$9)/Simulador!$G$9))/Simulador!$B$11))/2,Simulador!$B$10)))</f>
        <v/>
      </c>
      <c r="G252" s="46">
        <f>IF(OR((($A252-Simulador!$E$10)/Simulador!$G$10)&lt;=0,(($A252-Simulador!$E$10)/Simulador!$G$10)&gt;=1),0,IF((($A252-Simulador!$E$10)/Simulador!$G$10)&lt;Simulador!$B$11,Simulador!$B$10*(1-COS(PI()*(($A252-Simulador!$E$10)/Simulador!$G$10)/Simulador!$B$11))/2,IF((($A252-Simulador!$E$10)/Simulador!$G$10)&gt;1-Simulador!$B$11,Simulador!$B$10*(1-COS(PI()*(1-(($A252-Simulador!$E$10)/Simulador!$G$10))/Simulador!$B$11))/2,Simulador!$B$10)))</f>
        <v/>
      </c>
      <c r="Q252" s="48">
        <f>IF(OR((($A252-(Simulador!$E$6+'Salto de dientes'!$B$12))/Simulador!$G$6)&lt;=0,(($A252-(Simulador!$E$6+'Salto de dientes'!$B$12))/Simulador!$G$6)&gt;=1),0,IF((($A252-(Simulador!$E$6+'Salto de dientes'!$B$12))/Simulador!$G$6)&lt;Simulador!$B$11,Simulador!$B$9*(1-COS(PI()*(($A252-(Simulador!$E$6+'Salto de dientes'!$B$12))/Simulador!$G$6)/Simulador!$B$11))/2,IF((($A252-(Simulador!$E$6+'Salto de dientes'!$B$12))/Simulador!$G$6)&gt;1-Simulador!$B$11,Simulador!$B$9*(1-COS(PI()*(1-(($A252-(Simulador!$E$6+'Salto de dientes'!$B$12))/Simulador!$G$6))/Simulador!$B$11))/2,Simulador!$B$9)))</f>
        <v/>
      </c>
      <c r="R252" s="48">
        <f>IF(OR((($A252-(Simulador!$E$9+'Salto de dientes'!$B$12))/Simulador!$G$9)&lt;=0,(($A252-(Simulador!$E$9+'Salto de dientes'!$B$12))/Simulador!$G$9)&gt;=1),0,IF((($A252-(Simulador!$E$9+'Salto de dientes'!$B$12))/Simulador!$G$9)&lt;Simulador!$B$11,Simulador!$B$10*(1-COS(PI()*(($A252-(Simulador!$E$9+'Salto de dientes'!$B$12))/Simulador!$G$9)/Simulador!$B$11))/2,IF((($A252-(Simulador!$E$9+'Salto de dientes'!$B$12))/Simulador!$G$9)&gt;1-Simulador!$B$11,Simulador!$B$10*(1-COS(PI()*(1-(($A252-(Simulador!$E$9+'Salto de dientes'!$B$12))/Simulador!$G$9))/Simulador!$B$11))/2,Simulador!$B$10)))</f>
        <v/>
      </c>
    </row>
    <row r="253">
      <c r="A253" s="26">
        <f>A252+Simulador!$B$14</f>
        <v/>
      </c>
      <c r="B253" s="46">
        <f>IF(OR((($A253-Simulador!$E$5)/Simulador!$G$5)&lt;=0,(($A253-Simulador!$E$5)/Simulador!$G$5)&gt;=1),0,IF((($A253-Simulador!$E$5)/Simulador!$G$5)&lt;Simulador!$B$11,Simulador!$B$9*(1-COS(PI()*(($A253-Simulador!$E$5)/Simulador!$G$5)/Simulador!$B$11))/2,IF((($A253-Simulador!$E$5)/Simulador!$G$5)&gt;1-Simulador!$B$11,Simulador!$B$9*(1-COS(PI()*(1-(($A253-Simulador!$E$5)/Simulador!$G$5))/Simulador!$B$11))/2,Simulador!$B$9)))</f>
        <v/>
      </c>
      <c r="C253" s="46">
        <f>IF(OR((($A253-Simulador!$E$6)/Simulador!$G$6)&lt;=0,(($A253-Simulador!$E$6)/Simulador!$G$6)&gt;=1),0,IF((($A253-Simulador!$E$6)/Simulador!$G$6)&lt;Simulador!$B$11,Simulador!$B$9*(1-COS(PI()*(($A253-Simulador!$E$6)/Simulador!$G$6)/Simulador!$B$11))/2,IF((($A253-Simulador!$E$6)/Simulador!$G$6)&gt;1-Simulador!$B$11,Simulador!$B$9*(1-COS(PI()*(1-(($A253-Simulador!$E$6)/Simulador!$G$6))/Simulador!$B$11))/2,Simulador!$B$9)))</f>
        <v/>
      </c>
      <c r="D253" s="46">
        <f>IF(OR((($A253-Simulador!$E$7)/Simulador!$G$7)&lt;=0,(($A253-Simulador!$E$7)/Simulador!$G$7)&gt;=1),0,IF((($A253-Simulador!$E$7)/Simulador!$G$7)&lt;Simulador!$B$11,Simulador!$B$9*(1-COS(PI()*(($A253-Simulador!$E$7)/Simulador!$G$7)/Simulador!$B$11))/2,IF((($A253-Simulador!$E$7)/Simulador!$G$7)&gt;1-Simulador!$B$11,Simulador!$B$9*(1-COS(PI()*(1-(($A253-Simulador!$E$7)/Simulador!$G$7))/Simulador!$B$11))/2,Simulador!$B$9)))</f>
        <v/>
      </c>
      <c r="E253" s="46">
        <f>IF(OR((($A253-Simulador!$E$8)/Simulador!$G$8)&lt;=0,(($A253-Simulador!$E$8)/Simulador!$G$8)&gt;=1),0,IF((($A253-Simulador!$E$8)/Simulador!$G$8)&lt;Simulador!$B$11,Simulador!$B$10*(1-COS(PI()*(($A253-Simulador!$E$8)/Simulador!$G$8)/Simulador!$B$11))/2,IF((($A253-Simulador!$E$8)/Simulador!$G$8)&gt;1-Simulador!$B$11,Simulador!$B$10*(1-COS(PI()*(1-(($A253-Simulador!$E$8)/Simulador!$G$8))/Simulador!$B$11))/2,Simulador!$B$10)))</f>
        <v/>
      </c>
      <c r="F253" s="46">
        <f>IF(OR((($A253-Simulador!$E$9)/Simulador!$G$9)&lt;=0,(($A253-Simulador!$E$9)/Simulador!$G$9)&gt;=1),0,IF((($A253-Simulador!$E$9)/Simulador!$G$9)&lt;Simulador!$B$11,Simulador!$B$10*(1-COS(PI()*(($A253-Simulador!$E$9)/Simulador!$G$9)/Simulador!$B$11))/2,IF((($A253-Simulador!$E$9)/Simulador!$G$9)&gt;1-Simulador!$B$11,Simulador!$B$10*(1-COS(PI()*(1-(($A253-Simulador!$E$9)/Simulador!$G$9))/Simulador!$B$11))/2,Simulador!$B$10)))</f>
        <v/>
      </c>
      <c r="G253" s="46">
        <f>IF(OR((($A253-Simulador!$E$10)/Simulador!$G$10)&lt;=0,(($A253-Simulador!$E$10)/Simulador!$G$10)&gt;=1),0,IF((($A253-Simulador!$E$10)/Simulador!$G$10)&lt;Simulador!$B$11,Simulador!$B$10*(1-COS(PI()*(($A253-Simulador!$E$10)/Simulador!$G$10)/Simulador!$B$11))/2,IF((($A253-Simulador!$E$10)/Simulador!$G$10)&gt;1-Simulador!$B$11,Simulador!$B$10*(1-COS(PI()*(1-(($A253-Simulador!$E$10)/Simulador!$G$10))/Simulador!$B$11))/2,Simulador!$B$10)))</f>
        <v/>
      </c>
      <c r="Q253" s="48">
        <f>IF(OR((($A253-(Simulador!$E$6+'Salto de dientes'!$B$12))/Simulador!$G$6)&lt;=0,(($A253-(Simulador!$E$6+'Salto de dientes'!$B$12))/Simulador!$G$6)&gt;=1),0,IF((($A253-(Simulador!$E$6+'Salto de dientes'!$B$12))/Simulador!$G$6)&lt;Simulador!$B$11,Simulador!$B$9*(1-COS(PI()*(($A253-(Simulador!$E$6+'Salto de dientes'!$B$12))/Simulador!$G$6)/Simulador!$B$11))/2,IF((($A253-(Simulador!$E$6+'Salto de dientes'!$B$12))/Simulador!$G$6)&gt;1-Simulador!$B$11,Simulador!$B$9*(1-COS(PI()*(1-(($A253-(Simulador!$E$6+'Salto de dientes'!$B$12))/Simulador!$G$6))/Simulador!$B$11))/2,Simulador!$B$9)))</f>
        <v/>
      </c>
      <c r="R253" s="48">
        <f>IF(OR((($A253-(Simulador!$E$9+'Salto de dientes'!$B$12))/Simulador!$G$9)&lt;=0,(($A253-(Simulador!$E$9+'Salto de dientes'!$B$12))/Simulador!$G$9)&gt;=1),0,IF((($A253-(Simulador!$E$9+'Salto de dientes'!$B$12))/Simulador!$G$9)&lt;Simulador!$B$11,Simulador!$B$10*(1-COS(PI()*(($A253-(Simulador!$E$9+'Salto de dientes'!$B$12))/Simulador!$G$9)/Simulador!$B$11))/2,IF((($A253-(Simulador!$E$9+'Salto de dientes'!$B$12))/Simulador!$G$9)&gt;1-Simulador!$B$11,Simulador!$B$10*(1-COS(PI()*(1-(($A253-(Simulador!$E$9+'Salto de dientes'!$B$12))/Simulador!$G$9))/Simulador!$B$11))/2,Simulador!$B$10)))</f>
        <v/>
      </c>
    </row>
    <row r="254">
      <c r="A254" s="26">
        <f>A253+Simulador!$B$14</f>
        <v/>
      </c>
      <c r="B254" s="46">
        <f>IF(OR((($A254-Simulador!$E$5)/Simulador!$G$5)&lt;=0,(($A254-Simulador!$E$5)/Simulador!$G$5)&gt;=1),0,IF((($A254-Simulador!$E$5)/Simulador!$G$5)&lt;Simulador!$B$11,Simulador!$B$9*(1-COS(PI()*(($A254-Simulador!$E$5)/Simulador!$G$5)/Simulador!$B$11))/2,IF((($A254-Simulador!$E$5)/Simulador!$G$5)&gt;1-Simulador!$B$11,Simulador!$B$9*(1-COS(PI()*(1-(($A254-Simulador!$E$5)/Simulador!$G$5))/Simulador!$B$11))/2,Simulador!$B$9)))</f>
        <v/>
      </c>
      <c r="C254" s="46">
        <f>IF(OR((($A254-Simulador!$E$6)/Simulador!$G$6)&lt;=0,(($A254-Simulador!$E$6)/Simulador!$G$6)&gt;=1),0,IF((($A254-Simulador!$E$6)/Simulador!$G$6)&lt;Simulador!$B$11,Simulador!$B$9*(1-COS(PI()*(($A254-Simulador!$E$6)/Simulador!$G$6)/Simulador!$B$11))/2,IF((($A254-Simulador!$E$6)/Simulador!$G$6)&gt;1-Simulador!$B$11,Simulador!$B$9*(1-COS(PI()*(1-(($A254-Simulador!$E$6)/Simulador!$G$6))/Simulador!$B$11))/2,Simulador!$B$9)))</f>
        <v/>
      </c>
      <c r="D254" s="46">
        <f>IF(OR((($A254-Simulador!$E$7)/Simulador!$G$7)&lt;=0,(($A254-Simulador!$E$7)/Simulador!$G$7)&gt;=1),0,IF((($A254-Simulador!$E$7)/Simulador!$G$7)&lt;Simulador!$B$11,Simulador!$B$9*(1-COS(PI()*(($A254-Simulador!$E$7)/Simulador!$G$7)/Simulador!$B$11))/2,IF((($A254-Simulador!$E$7)/Simulador!$G$7)&gt;1-Simulador!$B$11,Simulador!$B$9*(1-COS(PI()*(1-(($A254-Simulador!$E$7)/Simulador!$G$7))/Simulador!$B$11))/2,Simulador!$B$9)))</f>
        <v/>
      </c>
      <c r="E254" s="46">
        <f>IF(OR((($A254-Simulador!$E$8)/Simulador!$G$8)&lt;=0,(($A254-Simulador!$E$8)/Simulador!$G$8)&gt;=1),0,IF((($A254-Simulador!$E$8)/Simulador!$G$8)&lt;Simulador!$B$11,Simulador!$B$10*(1-COS(PI()*(($A254-Simulador!$E$8)/Simulador!$G$8)/Simulador!$B$11))/2,IF((($A254-Simulador!$E$8)/Simulador!$G$8)&gt;1-Simulador!$B$11,Simulador!$B$10*(1-COS(PI()*(1-(($A254-Simulador!$E$8)/Simulador!$G$8))/Simulador!$B$11))/2,Simulador!$B$10)))</f>
        <v/>
      </c>
      <c r="F254" s="46">
        <f>IF(OR((($A254-Simulador!$E$9)/Simulador!$G$9)&lt;=0,(($A254-Simulador!$E$9)/Simulador!$G$9)&gt;=1),0,IF((($A254-Simulador!$E$9)/Simulador!$G$9)&lt;Simulador!$B$11,Simulador!$B$10*(1-COS(PI()*(($A254-Simulador!$E$9)/Simulador!$G$9)/Simulador!$B$11))/2,IF((($A254-Simulador!$E$9)/Simulador!$G$9)&gt;1-Simulador!$B$11,Simulador!$B$10*(1-COS(PI()*(1-(($A254-Simulador!$E$9)/Simulador!$G$9))/Simulador!$B$11))/2,Simulador!$B$10)))</f>
        <v/>
      </c>
      <c r="G254" s="46">
        <f>IF(OR((($A254-Simulador!$E$10)/Simulador!$G$10)&lt;=0,(($A254-Simulador!$E$10)/Simulador!$G$10)&gt;=1),0,IF((($A254-Simulador!$E$10)/Simulador!$G$10)&lt;Simulador!$B$11,Simulador!$B$10*(1-COS(PI()*(($A254-Simulador!$E$10)/Simulador!$G$10)/Simulador!$B$11))/2,IF((($A254-Simulador!$E$10)/Simulador!$G$10)&gt;1-Simulador!$B$11,Simulador!$B$10*(1-COS(PI()*(1-(($A254-Simulador!$E$10)/Simulador!$G$10))/Simulador!$B$11))/2,Simulador!$B$10)))</f>
        <v/>
      </c>
      <c r="Q254" s="48">
        <f>IF(OR((($A254-(Simulador!$E$6+'Salto de dientes'!$B$12))/Simulador!$G$6)&lt;=0,(($A254-(Simulador!$E$6+'Salto de dientes'!$B$12))/Simulador!$G$6)&gt;=1),0,IF((($A254-(Simulador!$E$6+'Salto de dientes'!$B$12))/Simulador!$G$6)&lt;Simulador!$B$11,Simulador!$B$9*(1-COS(PI()*(($A254-(Simulador!$E$6+'Salto de dientes'!$B$12))/Simulador!$G$6)/Simulador!$B$11))/2,IF((($A254-(Simulador!$E$6+'Salto de dientes'!$B$12))/Simulador!$G$6)&gt;1-Simulador!$B$11,Simulador!$B$9*(1-COS(PI()*(1-(($A254-(Simulador!$E$6+'Salto de dientes'!$B$12))/Simulador!$G$6))/Simulador!$B$11))/2,Simulador!$B$9)))</f>
        <v/>
      </c>
      <c r="R254" s="48">
        <f>IF(OR((($A254-(Simulador!$E$9+'Salto de dientes'!$B$12))/Simulador!$G$9)&lt;=0,(($A254-(Simulador!$E$9+'Salto de dientes'!$B$12))/Simulador!$G$9)&gt;=1),0,IF((($A254-(Simulador!$E$9+'Salto de dientes'!$B$12))/Simulador!$G$9)&lt;Simulador!$B$11,Simulador!$B$10*(1-COS(PI()*(($A254-(Simulador!$E$9+'Salto de dientes'!$B$12))/Simulador!$G$9)/Simulador!$B$11))/2,IF((($A254-(Simulador!$E$9+'Salto de dientes'!$B$12))/Simulador!$G$9)&gt;1-Simulador!$B$11,Simulador!$B$10*(1-COS(PI()*(1-(($A254-(Simulador!$E$9+'Salto de dientes'!$B$12))/Simulador!$G$9))/Simulador!$B$11))/2,Simulador!$B$10)))</f>
        <v/>
      </c>
    </row>
    <row r="255">
      <c r="A255" s="26">
        <f>A254+Simulador!$B$14</f>
        <v/>
      </c>
      <c r="B255" s="46">
        <f>IF(OR((($A255-Simulador!$E$5)/Simulador!$G$5)&lt;=0,(($A255-Simulador!$E$5)/Simulador!$G$5)&gt;=1),0,IF((($A255-Simulador!$E$5)/Simulador!$G$5)&lt;Simulador!$B$11,Simulador!$B$9*(1-COS(PI()*(($A255-Simulador!$E$5)/Simulador!$G$5)/Simulador!$B$11))/2,IF((($A255-Simulador!$E$5)/Simulador!$G$5)&gt;1-Simulador!$B$11,Simulador!$B$9*(1-COS(PI()*(1-(($A255-Simulador!$E$5)/Simulador!$G$5))/Simulador!$B$11))/2,Simulador!$B$9)))</f>
        <v/>
      </c>
      <c r="C255" s="46">
        <f>IF(OR((($A255-Simulador!$E$6)/Simulador!$G$6)&lt;=0,(($A255-Simulador!$E$6)/Simulador!$G$6)&gt;=1),0,IF((($A255-Simulador!$E$6)/Simulador!$G$6)&lt;Simulador!$B$11,Simulador!$B$9*(1-COS(PI()*(($A255-Simulador!$E$6)/Simulador!$G$6)/Simulador!$B$11))/2,IF((($A255-Simulador!$E$6)/Simulador!$G$6)&gt;1-Simulador!$B$11,Simulador!$B$9*(1-COS(PI()*(1-(($A255-Simulador!$E$6)/Simulador!$G$6))/Simulador!$B$11))/2,Simulador!$B$9)))</f>
        <v/>
      </c>
      <c r="D255" s="46">
        <f>IF(OR((($A255-Simulador!$E$7)/Simulador!$G$7)&lt;=0,(($A255-Simulador!$E$7)/Simulador!$G$7)&gt;=1),0,IF((($A255-Simulador!$E$7)/Simulador!$G$7)&lt;Simulador!$B$11,Simulador!$B$9*(1-COS(PI()*(($A255-Simulador!$E$7)/Simulador!$G$7)/Simulador!$B$11))/2,IF((($A255-Simulador!$E$7)/Simulador!$G$7)&gt;1-Simulador!$B$11,Simulador!$B$9*(1-COS(PI()*(1-(($A255-Simulador!$E$7)/Simulador!$G$7))/Simulador!$B$11))/2,Simulador!$B$9)))</f>
        <v/>
      </c>
      <c r="E255" s="46">
        <f>IF(OR((($A255-Simulador!$E$8)/Simulador!$G$8)&lt;=0,(($A255-Simulador!$E$8)/Simulador!$G$8)&gt;=1),0,IF((($A255-Simulador!$E$8)/Simulador!$G$8)&lt;Simulador!$B$11,Simulador!$B$10*(1-COS(PI()*(($A255-Simulador!$E$8)/Simulador!$G$8)/Simulador!$B$11))/2,IF((($A255-Simulador!$E$8)/Simulador!$G$8)&gt;1-Simulador!$B$11,Simulador!$B$10*(1-COS(PI()*(1-(($A255-Simulador!$E$8)/Simulador!$G$8))/Simulador!$B$11))/2,Simulador!$B$10)))</f>
        <v/>
      </c>
      <c r="F255" s="46">
        <f>IF(OR((($A255-Simulador!$E$9)/Simulador!$G$9)&lt;=0,(($A255-Simulador!$E$9)/Simulador!$G$9)&gt;=1),0,IF((($A255-Simulador!$E$9)/Simulador!$G$9)&lt;Simulador!$B$11,Simulador!$B$10*(1-COS(PI()*(($A255-Simulador!$E$9)/Simulador!$G$9)/Simulador!$B$11))/2,IF((($A255-Simulador!$E$9)/Simulador!$G$9)&gt;1-Simulador!$B$11,Simulador!$B$10*(1-COS(PI()*(1-(($A255-Simulador!$E$9)/Simulador!$G$9))/Simulador!$B$11))/2,Simulador!$B$10)))</f>
        <v/>
      </c>
      <c r="G255" s="46">
        <f>IF(OR((($A255-Simulador!$E$10)/Simulador!$G$10)&lt;=0,(($A255-Simulador!$E$10)/Simulador!$G$10)&gt;=1),0,IF((($A255-Simulador!$E$10)/Simulador!$G$10)&lt;Simulador!$B$11,Simulador!$B$10*(1-COS(PI()*(($A255-Simulador!$E$10)/Simulador!$G$10)/Simulador!$B$11))/2,IF((($A255-Simulador!$E$10)/Simulador!$G$10)&gt;1-Simulador!$B$11,Simulador!$B$10*(1-COS(PI()*(1-(($A255-Simulador!$E$10)/Simulador!$G$10))/Simulador!$B$11))/2,Simulador!$B$10)))</f>
        <v/>
      </c>
      <c r="Q255" s="48">
        <f>IF(OR((($A255-(Simulador!$E$6+'Salto de dientes'!$B$12))/Simulador!$G$6)&lt;=0,(($A255-(Simulador!$E$6+'Salto de dientes'!$B$12))/Simulador!$G$6)&gt;=1),0,IF((($A255-(Simulador!$E$6+'Salto de dientes'!$B$12))/Simulador!$G$6)&lt;Simulador!$B$11,Simulador!$B$9*(1-COS(PI()*(($A255-(Simulador!$E$6+'Salto de dientes'!$B$12))/Simulador!$G$6)/Simulador!$B$11))/2,IF((($A255-(Simulador!$E$6+'Salto de dientes'!$B$12))/Simulador!$G$6)&gt;1-Simulador!$B$11,Simulador!$B$9*(1-COS(PI()*(1-(($A255-(Simulador!$E$6+'Salto de dientes'!$B$12))/Simulador!$G$6))/Simulador!$B$11))/2,Simulador!$B$9)))</f>
        <v/>
      </c>
      <c r="R255" s="48">
        <f>IF(OR((($A255-(Simulador!$E$9+'Salto de dientes'!$B$12))/Simulador!$G$9)&lt;=0,(($A255-(Simulador!$E$9+'Salto de dientes'!$B$12))/Simulador!$G$9)&gt;=1),0,IF((($A255-(Simulador!$E$9+'Salto de dientes'!$B$12))/Simulador!$G$9)&lt;Simulador!$B$11,Simulador!$B$10*(1-COS(PI()*(($A255-(Simulador!$E$9+'Salto de dientes'!$B$12))/Simulador!$G$9)/Simulador!$B$11))/2,IF((($A255-(Simulador!$E$9+'Salto de dientes'!$B$12))/Simulador!$G$9)&gt;1-Simulador!$B$11,Simulador!$B$10*(1-COS(PI()*(1-(($A255-(Simulador!$E$9+'Salto de dientes'!$B$12))/Simulador!$G$9))/Simulador!$B$11))/2,Simulador!$B$10)))</f>
        <v/>
      </c>
    </row>
    <row r="256">
      <c r="A256" s="26">
        <f>A255+Simulador!$B$14</f>
        <v/>
      </c>
      <c r="B256" s="46">
        <f>IF(OR((($A256-Simulador!$E$5)/Simulador!$G$5)&lt;=0,(($A256-Simulador!$E$5)/Simulador!$G$5)&gt;=1),0,IF((($A256-Simulador!$E$5)/Simulador!$G$5)&lt;Simulador!$B$11,Simulador!$B$9*(1-COS(PI()*(($A256-Simulador!$E$5)/Simulador!$G$5)/Simulador!$B$11))/2,IF((($A256-Simulador!$E$5)/Simulador!$G$5)&gt;1-Simulador!$B$11,Simulador!$B$9*(1-COS(PI()*(1-(($A256-Simulador!$E$5)/Simulador!$G$5))/Simulador!$B$11))/2,Simulador!$B$9)))</f>
        <v/>
      </c>
      <c r="C256" s="46">
        <f>IF(OR((($A256-Simulador!$E$6)/Simulador!$G$6)&lt;=0,(($A256-Simulador!$E$6)/Simulador!$G$6)&gt;=1),0,IF((($A256-Simulador!$E$6)/Simulador!$G$6)&lt;Simulador!$B$11,Simulador!$B$9*(1-COS(PI()*(($A256-Simulador!$E$6)/Simulador!$G$6)/Simulador!$B$11))/2,IF((($A256-Simulador!$E$6)/Simulador!$G$6)&gt;1-Simulador!$B$11,Simulador!$B$9*(1-COS(PI()*(1-(($A256-Simulador!$E$6)/Simulador!$G$6))/Simulador!$B$11))/2,Simulador!$B$9)))</f>
        <v/>
      </c>
      <c r="D256" s="46">
        <f>IF(OR((($A256-Simulador!$E$7)/Simulador!$G$7)&lt;=0,(($A256-Simulador!$E$7)/Simulador!$G$7)&gt;=1),0,IF((($A256-Simulador!$E$7)/Simulador!$G$7)&lt;Simulador!$B$11,Simulador!$B$9*(1-COS(PI()*(($A256-Simulador!$E$7)/Simulador!$G$7)/Simulador!$B$11))/2,IF((($A256-Simulador!$E$7)/Simulador!$G$7)&gt;1-Simulador!$B$11,Simulador!$B$9*(1-COS(PI()*(1-(($A256-Simulador!$E$7)/Simulador!$G$7))/Simulador!$B$11))/2,Simulador!$B$9)))</f>
        <v/>
      </c>
      <c r="E256" s="46">
        <f>IF(OR((($A256-Simulador!$E$8)/Simulador!$G$8)&lt;=0,(($A256-Simulador!$E$8)/Simulador!$G$8)&gt;=1),0,IF((($A256-Simulador!$E$8)/Simulador!$G$8)&lt;Simulador!$B$11,Simulador!$B$10*(1-COS(PI()*(($A256-Simulador!$E$8)/Simulador!$G$8)/Simulador!$B$11))/2,IF((($A256-Simulador!$E$8)/Simulador!$G$8)&gt;1-Simulador!$B$11,Simulador!$B$10*(1-COS(PI()*(1-(($A256-Simulador!$E$8)/Simulador!$G$8))/Simulador!$B$11))/2,Simulador!$B$10)))</f>
        <v/>
      </c>
      <c r="F256" s="46">
        <f>IF(OR((($A256-Simulador!$E$9)/Simulador!$G$9)&lt;=0,(($A256-Simulador!$E$9)/Simulador!$G$9)&gt;=1),0,IF((($A256-Simulador!$E$9)/Simulador!$G$9)&lt;Simulador!$B$11,Simulador!$B$10*(1-COS(PI()*(($A256-Simulador!$E$9)/Simulador!$G$9)/Simulador!$B$11))/2,IF((($A256-Simulador!$E$9)/Simulador!$G$9)&gt;1-Simulador!$B$11,Simulador!$B$10*(1-COS(PI()*(1-(($A256-Simulador!$E$9)/Simulador!$G$9))/Simulador!$B$11))/2,Simulador!$B$10)))</f>
        <v/>
      </c>
      <c r="G256" s="46">
        <f>IF(OR((($A256-Simulador!$E$10)/Simulador!$G$10)&lt;=0,(($A256-Simulador!$E$10)/Simulador!$G$10)&gt;=1),0,IF((($A256-Simulador!$E$10)/Simulador!$G$10)&lt;Simulador!$B$11,Simulador!$B$10*(1-COS(PI()*(($A256-Simulador!$E$10)/Simulador!$G$10)/Simulador!$B$11))/2,IF((($A256-Simulador!$E$10)/Simulador!$G$10)&gt;1-Simulador!$B$11,Simulador!$B$10*(1-COS(PI()*(1-(($A256-Simulador!$E$10)/Simulador!$G$10))/Simulador!$B$11))/2,Simulador!$B$10)))</f>
        <v/>
      </c>
      <c r="Q256" s="48">
        <f>IF(OR((($A256-(Simulador!$E$6+'Salto de dientes'!$B$12))/Simulador!$G$6)&lt;=0,(($A256-(Simulador!$E$6+'Salto de dientes'!$B$12))/Simulador!$G$6)&gt;=1),0,IF((($A256-(Simulador!$E$6+'Salto de dientes'!$B$12))/Simulador!$G$6)&lt;Simulador!$B$11,Simulador!$B$9*(1-COS(PI()*(($A256-(Simulador!$E$6+'Salto de dientes'!$B$12))/Simulador!$G$6)/Simulador!$B$11))/2,IF((($A256-(Simulador!$E$6+'Salto de dientes'!$B$12))/Simulador!$G$6)&gt;1-Simulador!$B$11,Simulador!$B$9*(1-COS(PI()*(1-(($A256-(Simulador!$E$6+'Salto de dientes'!$B$12))/Simulador!$G$6))/Simulador!$B$11))/2,Simulador!$B$9)))</f>
        <v/>
      </c>
      <c r="R256" s="48">
        <f>IF(OR((($A256-(Simulador!$E$9+'Salto de dientes'!$B$12))/Simulador!$G$9)&lt;=0,(($A256-(Simulador!$E$9+'Salto de dientes'!$B$12))/Simulador!$G$9)&gt;=1),0,IF((($A256-(Simulador!$E$9+'Salto de dientes'!$B$12))/Simulador!$G$9)&lt;Simulador!$B$11,Simulador!$B$10*(1-COS(PI()*(($A256-(Simulador!$E$9+'Salto de dientes'!$B$12))/Simulador!$G$9)/Simulador!$B$11))/2,IF((($A256-(Simulador!$E$9+'Salto de dientes'!$B$12))/Simulador!$G$9)&gt;1-Simulador!$B$11,Simulador!$B$10*(1-COS(PI()*(1-(($A256-(Simulador!$E$9+'Salto de dientes'!$B$12))/Simulador!$G$9))/Simulador!$B$11))/2,Simulador!$B$10)))</f>
        <v/>
      </c>
    </row>
    <row r="257">
      <c r="A257" s="26">
        <f>A256+Simulador!$B$14</f>
        <v/>
      </c>
      <c r="B257" s="46">
        <f>IF(OR((($A257-Simulador!$E$5)/Simulador!$G$5)&lt;=0,(($A257-Simulador!$E$5)/Simulador!$G$5)&gt;=1),0,IF((($A257-Simulador!$E$5)/Simulador!$G$5)&lt;Simulador!$B$11,Simulador!$B$9*(1-COS(PI()*(($A257-Simulador!$E$5)/Simulador!$G$5)/Simulador!$B$11))/2,IF((($A257-Simulador!$E$5)/Simulador!$G$5)&gt;1-Simulador!$B$11,Simulador!$B$9*(1-COS(PI()*(1-(($A257-Simulador!$E$5)/Simulador!$G$5))/Simulador!$B$11))/2,Simulador!$B$9)))</f>
        <v/>
      </c>
      <c r="C257" s="46">
        <f>IF(OR((($A257-Simulador!$E$6)/Simulador!$G$6)&lt;=0,(($A257-Simulador!$E$6)/Simulador!$G$6)&gt;=1),0,IF((($A257-Simulador!$E$6)/Simulador!$G$6)&lt;Simulador!$B$11,Simulador!$B$9*(1-COS(PI()*(($A257-Simulador!$E$6)/Simulador!$G$6)/Simulador!$B$11))/2,IF((($A257-Simulador!$E$6)/Simulador!$G$6)&gt;1-Simulador!$B$11,Simulador!$B$9*(1-COS(PI()*(1-(($A257-Simulador!$E$6)/Simulador!$G$6))/Simulador!$B$11))/2,Simulador!$B$9)))</f>
        <v/>
      </c>
      <c r="D257" s="46">
        <f>IF(OR((($A257-Simulador!$E$7)/Simulador!$G$7)&lt;=0,(($A257-Simulador!$E$7)/Simulador!$G$7)&gt;=1),0,IF((($A257-Simulador!$E$7)/Simulador!$G$7)&lt;Simulador!$B$11,Simulador!$B$9*(1-COS(PI()*(($A257-Simulador!$E$7)/Simulador!$G$7)/Simulador!$B$11))/2,IF((($A257-Simulador!$E$7)/Simulador!$G$7)&gt;1-Simulador!$B$11,Simulador!$B$9*(1-COS(PI()*(1-(($A257-Simulador!$E$7)/Simulador!$G$7))/Simulador!$B$11))/2,Simulador!$B$9)))</f>
        <v/>
      </c>
      <c r="E257" s="46">
        <f>IF(OR((($A257-Simulador!$E$8)/Simulador!$G$8)&lt;=0,(($A257-Simulador!$E$8)/Simulador!$G$8)&gt;=1),0,IF((($A257-Simulador!$E$8)/Simulador!$G$8)&lt;Simulador!$B$11,Simulador!$B$10*(1-COS(PI()*(($A257-Simulador!$E$8)/Simulador!$G$8)/Simulador!$B$11))/2,IF((($A257-Simulador!$E$8)/Simulador!$G$8)&gt;1-Simulador!$B$11,Simulador!$B$10*(1-COS(PI()*(1-(($A257-Simulador!$E$8)/Simulador!$G$8))/Simulador!$B$11))/2,Simulador!$B$10)))</f>
        <v/>
      </c>
      <c r="F257" s="46">
        <f>IF(OR((($A257-Simulador!$E$9)/Simulador!$G$9)&lt;=0,(($A257-Simulador!$E$9)/Simulador!$G$9)&gt;=1),0,IF((($A257-Simulador!$E$9)/Simulador!$G$9)&lt;Simulador!$B$11,Simulador!$B$10*(1-COS(PI()*(($A257-Simulador!$E$9)/Simulador!$G$9)/Simulador!$B$11))/2,IF((($A257-Simulador!$E$9)/Simulador!$G$9)&gt;1-Simulador!$B$11,Simulador!$B$10*(1-COS(PI()*(1-(($A257-Simulador!$E$9)/Simulador!$G$9))/Simulador!$B$11))/2,Simulador!$B$10)))</f>
        <v/>
      </c>
      <c r="G257" s="46">
        <f>IF(OR((($A257-Simulador!$E$10)/Simulador!$G$10)&lt;=0,(($A257-Simulador!$E$10)/Simulador!$G$10)&gt;=1),0,IF((($A257-Simulador!$E$10)/Simulador!$G$10)&lt;Simulador!$B$11,Simulador!$B$10*(1-COS(PI()*(($A257-Simulador!$E$10)/Simulador!$G$10)/Simulador!$B$11))/2,IF((($A257-Simulador!$E$10)/Simulador!$G$10)&gt;1-Simulador!$B$11,Simulador!$B$10*(1-COS(PI()*(1-(($A257-Simulador!$E$10)/Simulador!$G$10))/Simulador!$B$11))/2,Simulador!$B$10)))</f>
        <v/>
      </c>
      <c r="Q257" s="48">
        <f>IF(OR((($A257-(Simulador!$E$6+'Salto de dientes'!$B$12))/Simulador!$G$6)&lt;=0,(($A257-(Simulador!$E$6+'Salto de dientes'!$B$12))/Simulador!$G$6)&gt;=1),0,IF((($A257-(Simulador!$E$6+'Salto de dientes'!$B$12))/Simulador!$G$6)&lt;Simulador!$B$11,Simulador!$B$9*(1-COS(PI()*(($A257-(Simulador!$E$6+'Salto de dientes'!$B$12))/Simulador!$G$6)/Simulador!$B$11))/2,IF((($A257-(Simulador!$E$6+'Salto de dientes'!$B$12))/Simulador!$G$6)&gt;1-Simulador!$B$11,Simulador!$B$9*(1-COS(PI()*(1-(($A257-(Simulador!$E$6+'Salto de dientes'!$B$12))/Simulador!$G$6))/Simulador!$B$11))/2,Simulador!$B$9)))</f>
        <v/>
      </c>
      <c r="R257" s="48">
        <f>IF(OR((($A257-(Simulador!$E$9+'Salto de dientes'!$B$12))/Simulador!$G$9)&lt;=0,(($A257-(Simulador!$E$9+'Salto de dientes'!$B$12))/Simulador!$G$9)&gt;=1),0,IF((($A257-(Simulador!$E$9+'Salto de dientes'!$B$12))/Simulador!$G$9)&lt;Simulador!$B$11,Simulador!$B$10*(1-COS(PI()*(($A257-(Simulador!$E$9+'Salto de dientes'!$B$12))/Simulador!$G$9)/Simulador!$B$11))/2,IF((($A257-(Simulador!$E$9+'Salto de dientes'!$B$12))/Simulador!$G$9)&gt;1-Simulador!$B$11,Simulador!$B$10*(1-COS(PI()*(1-(($A257-(Simulador!$E$9+'Salto de dientes'!$B$12))/Simulador!$G$9))/Simulador!$B$11))/2,Simulador!$B$10)))</f>
        <v/>
      </c>
    </row>
    <row r="258">
      <c r="A258" s="26">
        <f>A257+Simulador!$B$14</f>
        <v/>
      </c>
      <c r="B258" s="46">
        <f>IF(OR((($A258-Simulador!$E$5)/Simulador!$G$5)&lt;=0,(($A258-Simulador!$E$5)/Simulador!$G$5)&gt;=1),0,IF((($A258-Simulador!$E$5)/Simulador!$G$5)&lt;Simulador!$B$11,Simulador!$B$9*(1-COS(PI()*(($A258-Simulador!$E$5)/Simulador!$G$5)/Simulador!$B$11))/2,IF((($A258-Simulador!$E$5)/Simulador!$G$5)&gt;1-Simulador!$B$11,Simulador!$B$9*(1-COS(PI()*(1-(($A258-Simulador!$E$5)/Simulador!$G$5))/Simulador!$B$11))/2,Simulador!$B$9)))</f>
        <v/>
      </c>
      <c r="C258" s="46">
        <f>IF(OR((($A258-Simulador!$E$6)/Simulador!$G$6)&lt;=0,(($A258-Simulador!$E$6)/Simulador!$G$6)&gt;=1),0,IF((($A258-Simulador!$E$6)/Simulador!$G$6)&lt;Simulador!$B$11,Simulador!$B$9*(1-COS(PI()*(($A258-Simulador!$E$6)/Simulador!$G$6)/Simulador!$B$11))/2,IF((($A258-Simulador!$E$6)/Simulador!$G$6)&gt;1-Simulador!$B$11,Simulador!$B$9*(1-COS(PI()*(1-(($A258-Simulador!$E$6)/Simulador!$G$6))/Simulador!$B$11))/2,Simulador!$B$9)))</f>
        <v/>
      </c>
      <c r="D258" s="46">
        <f>IF(OR((($A258-Simulador!$E$7)/Simulador!$G$7)&lt;=0,(($A258-Simulador!$E$7)/Simulador!$G$7)&gt;=1),0,IF((($A258-Simulador!$E$7)/Simulador!$G$7)&lt;Simulador!$B$11,Simulador!$B$9*(1-COS(PI()*(($A258-Simulador!$E$7)/Simulador!$G$7)/Simulador!$B$11))/2,IF((($A258-Simulador!$E$7)/Simulador!$G$7)&gt;1-Simulador!$B$11,Simulador!$B$9*(1-COS(PI()*(1-(($A258-Simulador!$E$7)/Simulador!$G$7))/Simulador!$B$11))/2,Simulador!$B$9)))</f>
        <v/>
      </c>
      <c r="E258" s="46">
        <f>IF(OR((($A258-Simulador!$E$8)/Simulador!$G$8)&lt;=0,(($A258-Simulador!$E$8)/Simulador!$G$8)&gt;=1),0,IF((($A258-Simulador!$E$8)/Simulador!$G$8)&lt;Simulador!$B$11,Simulador!$B$10*(1-COS(PI()*(($A258-Simulador!$E$8)/Simulador!$G$8)/Simulador!$B$11))/2,IF((($A258-Simulador!$E$8)/Simulador!$G$8)&gt;1-Simulador!$B$11,Simulador!$B$10*(1-COS(PI()*(1-(($A258-Simulador!$E$8)/Simulador!$G$8))/Simulador!$B$11))/2,Simulador!$B$10)))</f>
        <v/>
      </c>
      <c r="F258" s="46">
        <f>IF(OR((($A258-Simulador!$E$9)/Simulador!$G$9)&lt;=0,(($A258-Simulador!$E$9)/Simulador!$G$9)&gt;=1),0,IF((($A258-Simulador!$E$9)/Simulador!$G$9)&lt;Simulador!$B$11,Simulador!$B$10*(1-COS(PI()*(($A258-Simulador!$E$9)/Simulador!$G$9)/Simulador!$B$11))/2,IF((($A258-Simulador!$E$9)/Simulador!$G$9)&gt;1-Simulador!$B$11,Simulador!$B$10*(1-COS(PI()*(1-(($A258-Simulador!$E$9)/Simulador!$G$9))/Simulador!$B$11))/2,Simulador!$B$10)))</f>
        <v/>
      </c>
      <c r="G258" s="46">
        <f>IF(OR((($A258-Simulador!$E$10)/Simulador!$G$10)&lt;=0,(($A258-Simulador!$E$10)/Simulador!$G$10)&gt;=1),0,IF((($A258-Simulador!$E$10)/Simulador!$G$10)&lt;Simulador!$B$11,Simulador!$B$10*(1-COS(PI()*(($A258-Simulador!$E$10)/Simulador!$G$10)/Simulador!$B$11))/2,IF((($A258-Simulador!$E$10)/Simulador!$G$10)&gt;1-Simulador!$B$11,Simulador!$B$10*(1-COS(PI()*(1-(($A258-Simulador!$E$10)/Simulador!$G$10))/Simulador!$B$11))/2,Simulador!$B$10)))</f>
        <v/>
      </c>
      <c r="Q258" s="48">
        <f>IF(OR((($A258-(Simulador!$E$6+'Salto de dientes'!$B$12))/Simulador!$G$6)&lt;=0,(($A258-(Simulador!$E$6+'Salto de dientes'!$B$12))/Simulador!$G$6)&gt;=1),0,IF((($A258-(Simulador!$E$6+'Salto de dientes'!$B$12))/Simulador!$G$6)&lt;Simulador!$B$11,Simulador!$B$9*(1-COS(PI()*(($A258-(Simulador!$E$6+'Salto de dientes'!$B$12))/Simulador!$G$6)/Simulador!$B$11))/2,IF((($A258-(Simulador!$E$6+'Salto de dientes'!$B$12))/Simulador!$G$6)&gt;1-Simulador!$B$11,Simulador!$B$9*(1-COS(PI()*(1-(($A258-(Simulador!$E$6+'Salto de dientes'!$B$12))/Simulador!$G$6))/Simulador!$B$11))/2,Simulador!$B$9)))</f>
        <v/>
      </c>
      <c r="R258" s="48">
        <f>IF(OR((($A258-(Simulador!$E$9+'Salto de dientes'!$B$12))/Simulador!$G$9)&lt;=0,(($A258-(Simulador!$E$9+'Salto de dientes'!$B$12))/Simulador!$G$9)&gt;=1),0,IF((($A258-(Simulador!$E$9+'Salto de dientes'!$B$12))/Simulador!$G$9)&lt;Simulador!$B$11,Simulador!$B$10*(1-COS(PI()*(($A258-(Simulador!$E$9+'Salto de dientes'!$B$12))/Simulador!$G$9)/Simulador!$B$11))/2,IF((($A258-(Simulador!$E$9+'Salto de dientes'!$B$12))/Simulador!$G$9)&gt;1-Simulador!$B$11,Simulador!$B$10*(1-COS(PI()*(1-(($A258-(Simulador!$E$9+'Salto de dientes'!$B$12))/Simulador!$G$9))/Simulador!$B$11))/2,Simulador!$B$10)))</f>
        <v/>
      </c>
    </row>
    <row r="259">
      <c r="A259" s="26">
        <f>A258+Simulador!$B$14</f>
        <v/>
      </c>
      <c r="B259" s="46">
        <f>IF(OR((($A259-Simulador!$E$5)/Simulador!$G$5)&lt;=0,(($A259-Simulador!$E$5)/Simulador!$G$5)&gt;=1),0,IF((($A259-Simulador!$E$5)/Simulador!$G$5)&lt;Simulador!$B$11,Simulador!$B$9*(1-COS(PI()*(($A259-Simulador!$E$5)/Simulador!$G$5)/Simulador!$B$11))/2,IF((($A259-Simulador!$E$5)/Simulador!$G$5)&gt;1-Simulador!$B$11,Simulador!$B$9*(1-COS(PI()*(1-(($A259-Simulador!$E$5)/Simulador!$G$5))/Simulador!$B$11))/2,Simulador!$B$9)))</f>
        <v/>
      </c>
      <c r="C259" s="46">
        <f>IF(OR((($A259-Simulador!$E$6)/Simulador!$G$6)&lt;=0,(($A259-Simulador!$E$6)/Simulador!$G$6)&gt;=1),0,IF((($A259-Simulador!$E$6)/Simulador!$G$6)&lt;Simulador!$B$11,Simulador!$B$9*(1-COS(PI()*(($A259-Simulador!$E$6)/Simulador!$G$6)/Simulador!$B$11))/2,IF((($A259-Simulador!$E$6)/Simulador!$G$6)&gt;1-Simulador!$B$11,Simulador!$B$9*(1-COS(PI()*(1-(($A259-Simulador!$E$6)/Simulador!$G$6))/Simulador!$B$11))/2,Simulador!$B$9)))</f>
        <v/>
      </c>
      <c r="D259" s="46">
        <f>IF(OR((($A259-Simulador!$E$7)/Simulador!$G$7)&lt;=0,(($A259-Simulador!$E$7)/Simulador!$G$7)&gt;=1),0,IF((($A259-Simulador!$E$7)/Simulador!$G$7)&lt;Simulador!$B$11,Simulador!$B$9*(1-COS(PI()*(($A259-Simulador!$E$7)/Simulador!$G$7)/Simulador!$B$11))/2,IF((($A259-Simulador!$E$7)/Simulador!$G$7)&gt;1-Simulador!$B$11,Simulador!$B$9*(1-COS(PI()*(1-(($A259-Simulador!$E$7)/Simulador!$G$7))/Simulador!$B$11))/2,Simulador!$B$9)))</f>
        <v/>
      </c>
      <c r="E259" s="46">
        <f>IF(OR((($A259-Simulador!$E$8)/Simulador!$G$8)&lt;=0,(($A259-Simulador!$E$8)/Simulador!$G$8)&gt;=1),0,IF((($A259-Simulador!$E$8)/Simulador!$G$8)&lt;Simulador!$B$11,Simulador!$B$10*(1-COS(PI()*(($A259-Simulador!$E$8)/Simulador!$G$8)/Simulador!$B$11))/2,IF((($A259-Simulador!$E$8)/Simulador!$G$8)&gt;1-Simulador!$B$11,Simulador!$B$10*(1-COS(PI()*(1-(($A259-Simulador!$E$8)/Simulador!$G$8))/Simulador!$B$11))/2,Simulador!$B$10)))</f>
        <v/>
      </c>
      <c r="F259" s="46">
        <f>IF(OR((($A259-Simulador!$E$9)/Simulador!$G$9)&lt;=0,(($A259-Simulador!$E$9)/Simulador!$G$9)&gt;=1),0,IF((($A259-Simulador!$E$9)/Simulador!$G$9)&lt;Simulador!$B$11,Simulador!$B$10*(1-COS(PI()*(($A259-Simulador!$E$9)/Simulador!$G$9)/Simulador!$B$11))/2,IF((($A259-Simulador!$E$9)/Simulador!$G$9)&gt;1-Simulador!$B$11,Simulador!$B$10*(1-COS(PI()*(1-(($A259-Simulador!$E$9)/Simulador!$G$9))/Simulador!$B$11))/2,Simulador!$B$10)))</f>
        <v/>
      </c>
      <c r="G259" s="46">
        <f>IF(OR((($A259-Simulador!$E$10)/Simulador!$G$10)&lt;=0,(($A259-Simulador!$E$10)/Simulador!$G$10)&gt;=1),0,IF((($A259-Simulador!$E$10)/Simulador!$G$10)&lt;Simulador!$B$11,Simulador!$B$10*(1-COS(PI()*(($A259-Simulador!$E$10)/Simulador!$G$10)/Simulador!$B$11))/2,IF((($A259-Simulador!$E$10)/Simulador!$G$10)&gt;1-Simulador!$B$11,Simulador!$B$10*(1-COS(PI()*(1-(($A259-Simulador!$E$10)/Simulador!$G$10))/Simulador!$B$11))/2,Simulador!$B$10)))</f>
        <v/>
      </c>
      <c r="Q259" s="48">
        <f>IF(OR((($A259-(Simulador!$E$6+'Salto de dientes'!$B$12))/Simulador!$G$6)&lt;=0,(($A259-(Simulador!$E$6+'Salto de dientes'!$B$12))/Simulador!$G$6)&gt;=1),0,IF((($A259-(Simulador!$E$6+'Salto de dientes'!$B$12))/Simulador!$G$6)&lt;Simulador!$B$11,Simulador!$B$9*(1-COS(PI()*(($A259-(Simulador!$E$6+'Salto de dientes'!$B$12))/Simulador!$G$6)/Simulador!$B$11))/2,IF((($A259-(Simulador!$E$6+'Salto de dientes'!$B$12))/Simulador!$G$6)&gt;1-Simulador!$B$11,Simulador!$B$9*(1-COS(PI()*(1-(($A259-(Simulador!$E$6+'Salto de dientes'!$B$12))/Simulador!$G$6))/Simulador!$B$11))/2,Simulador!$B$9)))</f>
        <v/>
      </c>
      <c r="R259" s="48">
        <f>IF(OR((($A259-(Simulador!$E$9+'Salto de dientes'!$B$12))/Simulador!$G$9)&lt;=0,(($A259-(Simulador!$E$9+'Salto de dientes'!$B$12))/Simulador!$G$9)&gt;=1),0,IF((($A259-(Simulador!$E$9+'Salto de dientes'!$B$12))/Simulador!$G$9)&lt;Simulador!$B$11,Simulador!$B$10*(1-COS(PI()*(($A259-(Simulador!$E$9+'Salto de dientes'!$B$12))/Simulador!$G$9)/Simulador!$B$11))/2,IF((($A259-(Simulador!$E$9+'Salto de dientes'!$B$12))/Simulador!$G$9)&gt;1-Simulador!$B$11,Simulador!$B$10*(1-COS(PI()*(1-(($A259-(Simulador!$E$9+'Salto de dientes'!$B$12))/Simulador!$G$9))/Simulador!$B$11))/2,Simulador!$B$10)))</f>
        <v/>
      </c>
    </row>
    <row r="260">
      <c r="A260" s="26">
        <f>A259+Simulador!$B$14</f>
        <v/>
      </c>
      <c r="B260" s="46">
        <f>IF(OR((($A260-Simulador!$E$5)/Simulador!$G$5)&lt;=0,(($A260-Simulador!$E$5)/Simulador!$G$5)&gt;=1),0,IF((($A260-Simulador!$E$5)/Simulador!$G$5)&lt;Simulador!$B$11,Simulador!$B$9*(1-COS(PI()*(($A260-Simulador!$E$5)/Simulador!$G$5)/Simulador!$B$11))/2,IF((($A260-Simulador!$E$5)/Simulador!$G$5)&gt;1-Simulador!$B$11,Simulador!$B$9*(1-COS(PI()*(1-(($A260-Simulador!$E$5)/Simulador!$G$5))/Simulador!$B$11))/2,Simulador!$B$9)))</f>
        <v/>
      </c>
      <c r="C260" s="46">
        <f>IF(OR((($A260-Simulador!$E$6)/Simulador!$G$6)&lt;=0,(($A260-Simulador!$E$6)/Simulador!$G$6)&gt;=1),0,IF((($A260-Simulador!$E$6)/Simulador!$G$6)&lt;Simulador!$B$11,Simulador!$B$9*(1-COS(PI()*(($A260-Simulador!$E$6)/Simulador!$G$6)/Simulador!$B$11))/2,IF((($A260-Simulador!$E$6)/Simulador!$G$6)&gt;1-Simulador!$B$11,Simulador!$B$9*(1-COS(PI()*(1-(($A260-Simulador!$E$6)/Simulador!$G$6))/Simulador!$B$11))/2,Simulador!$B$9)))</f>
        <v/>
      </c>
      <c r="D260" s="46">
        <f>IF(OR((($A260-Simulador!$E$7)/Simulador!$G$7)&lt;=0,(($A260-Simulador!$E$7)/Simulador!$G$7)&gt;=1),0,IF((($A260-Simulador!$E$7)/Simulador!$G$7)&lt;Simulador!$B$11,Simulador!$B$9*(1-COS(PI()*(($A260-Simulador!$E$7)/Simulador!$G$7)/Simulador!$B$11))/2,IF((($A260-Simulador!$E$7)/Simulador!$G$7)&gt;1-Simulador!$B$11,Simulador!$B$9*(1-COS(PI()*(1-(($A260-Simulador!$E$7)/Simulador!$G$7))/Simulador!$B$11))/2,Simulador!$B$9)))</f>
        <v/>
      </c>
      <c r="E260" s="46">
        <f>IF(OR((($A260-Simulador!$E$8)/Simulador!$G$8)&lt;=0,(($A260-Simulador!$E$8)/Simulador!$G$8)&gt;=1),0,IF((($A260-Simulador!$E$8)/Simulador!$G$8)&lt;Simulador!$B$11,Simulador!$B$10*(1-COS(PI()*(($A260-Simulador!$E$8)/Simulador!$G$8)/Simulador!$B$11))/2,IF((($A260-Simulador!$E$8)/Simulador!$G$8)&gt;1-Simulador!$B$11,Simulador!$B$10*(1-COS(PI()*(1-(($A260-Simulador!$E$8)/Simulador!$G$8))/Simulador!$B$11))/2,Simulador!$B$10)))</f>
        <v/>
      </c>
      <c r="F260" s="46">
        <f>IF(OR((($A260-Simulador!$E$9)/Simulador!$G$9)&lt;=0,(($A260-Simulador!$E$9)/Simulador!$G$9)&gt;=1),0,IF((($A260-Simulador!$E$9)/Simulador!$G$9)&lt;Simulador!$B$11,Simulador!$B$10*(1-COS(PI()*(($A260-Simulador!$E$9)/Simulador!$G$9)/Simulador!$B$11))/2,IF((($A260-Simulador!$E$9)/Simulador!$G$9)&gt;1-Simulador!$B$11,Simulador!$B$10*(1-COS(PI()*(1-(($A260-Simulador!$E$9)/Simulador!$G$9))/Simulador!$B$11))/2,Simulador!$B$10)))</f>
        <v/>
      </c>
      <c r="G260" s="46">
        <f>IF(OR((($A260-Simulador!$E$10)/Simulador!$G$10)&lt;=0,(($A260-Simulador!$E$10)/Simulador!$G$10)&gt;=1),0,IF((($A260-Simulador!$E$10)/Simulador!$G$10)&lt;Simulador!$B$11,Simulador!$B$10*(1-COS(PI()*(($A260-Simulador!$E$10)/Simulador!$G$10)/Simulador!$B$11))/2,IF((($A260-Simulador!$E$10)/Simulador!$G$10)&gt;1-Simulador!$B$11,Simulador!$B$10*(1-COS(PI()*(1-(($A260-Simulador!$E$10)/Simulador!$G$10))/Simulador!$B$11))/2,Simulador!$B$10)))</f>
        <v/>
      </c>
      <c r="Q260" s="48">
        <f>IF(OR((($A260-(Simulador!$E$6+'Salto de dientes'!$B$12))/Simulador!$G$6)&lt;=0,(($A260-(Simulador!$E$6+'Salto de dientes'!$B$12))/Simulador!$G$6)&gt;=1),0,IF((($A260-(Simulador!$E$6+'Salto de dientes'!$B$12))/Simulador!$G$6)&lt;Simulador!$B$11,Simulador!$B$9*(1-COS(PI()*(($A260-(Simulador!$E$6+'Salto de dientes'!$B$12))/Simulador!$G$6)/Simulador!$B$11))/2,IF((($A260-(Simulador!$E$6+'Salto de dientes'!$B$12))/Simulador!$G$6)&gt;1-Simulador!$B$11,Simulador!$B$9*(1-COS(PI()*(1-(($A260-(Simulador!$E$6+'Salto de dientes'!$B$12))/Simulador!$G$6))/Simulador!$B$11))/2,Simulador!$B$9)))</f>
        <v/>
      </c>
      <c r="R260" s="48">
        <f>IF(OR((($A260-(Simulador!$E$9+'Salto de dientes'!$B$12))/Simulador!$G$9)&lt;=0,(($A260-(Simulador!$E$9+'Salto de dientes'!$B$12))/Simulador!$G$9)&gt;=1),0,IF((($A260-(Simulador!$E$9+'Salto de dientes'!$B$12))/Simulador!$G$9)&lt;Simulador!$B$11,Simulador!$B$10*(1-COS(PI()*(($A260-(Simulador!$E$9+'Salto de dientes'!$B$12))/Simulador!$G$9)/Simulador!$B$11))/2,IF((($A260-(Simulador!$E$9+'Salto de dientes'!$B$12))/Simulador!$G$9)&gt;1-Simulador!$B$11,Simulador!$B$10*(1-COS(PI()*(1-(($A260-(Simulador!$E$9+'Salto de dientes'!$B$12))/Simulador!$G$9))/Simulador!$B$11))/2,Simulador!$B$10)))</f>
        <v/>
      </c>
    </row>
    <row r="261">
      <c r="A261" s="26">
        <f>A260+Simulador!$B$14</f>
        <v/>
      </c>
      <c r="B261" s="46">
        <f>IF(OR((($A261-Simulador!$E$5)/Simulador!$G$5)&lt;=0,(($A261-Simulador!$E$5)/Simulador!$G$5)&gt;=1),0,IF((($A261-Simulador!$E$5)/Simulador!$G$5)&lt;Simulador!$B$11,Simulador!$B$9*(1-COS(PI()*(($A261-Simulador!$E$5)/Simulador!$G$5)/Simulador!$B$11))/2,IF((($A261-Simulador!$E$5)/Simulador!$G$5)&gt;1-Simulador!$B$11,Simulador!$B$9*(1-COS(PI()*(1-(($A261-Simulador!$E$5)/Simulador!$G$5))/Simulador!$B$11))/2,Simulador!$B$9)))</f>
        <v/>
      </c>
      <c r="C261" s="46">
        <f>IF(OR((($A261-Simulador!$E$6)/Simulador!$G$6)&lt;=0,(($A261-Simulador!$E$6)/Simulador!$G$6)&gt;=1),0,IF((($A261-Simulador!$E$6)/Simulador!$G$6)&lt;Simulador!$B$11,Simulador!$B$9*(1-COS(PI()*(($A261-Simulador!$E$6)/Simulador!$G$6)/Simulador!$B$11))/2,IF((($A261-Simulador!$E$6)/Simulador!$G$6)&gt;1-Simulador!$B$11,Simulador!$B$9*(1-COS(PI()*(1-(($A261-Simulador!$E$6)/Simulador!$G$6))/Simulador!$B$11))/2,Simulador!$B$9)))</f>
        <v/>
      </c>
      <c r="D261" s="46">
        <f>IF(OR((($A261-Simulador!$E$7)/Simulador!$G$7)&lt;=0,(($A261-Simulador!$E$7)/Simulador!$G$7)&gt;=1),0,IF((($A261-Simulador!$E$7)/Simulador!$G$7)&lt;Simulador!$B$11,Simulador!$B$9*(1-COS(PI()*(($A261-Simulador!$E$7)/Simulador!$G$7)/Simulador!$B$11))/2,IF((($A261-Simulador!$E$7)/Simulador!$G$7)&gt;1-Simulador!$B$11,Simulador!$B$9*(1-COS(PI()*(1-(($A261-Simulador!$E$7)/Simulador!$G$7))/Simulador!$B$11))/2,Simulador!$B$9)))</f>
        <v/>
      </c>
      <c r="E261" s="46">
        <f>IF(OR((($A261-Simulador!$E$8)/Simulador!$G$8)&lt;=0,(($A261-Simulador!$E$8)/Simulador!$G$8)&gt;=1),0,IF((($A261-Simulador!$E$8)/Simulador!$G$8)&lt;Simulador!$B$11,Simulador!$B$10*(1-COS(PI()*(($A261-Simulador!$E$8)/Simulador!$G$8)/Simulador!$B$11))/2,IF((($A261-Simulador!$E$8)/Simulador!$G$8)&gt;1-Simulador!$B$11,Simulador!$B$10*(1-COS(PI()*(1-(($A261-Simulador!$E$8)/Simulador!$G$8))/Simulador!$B$11))/2,Simulador!$B$10)))</f>
        <v/>
      </c>
      <c r="F261" s="46">
        <f>IF(OR((($A261-Simulador!$E$9)/Simulador!$G$9)&lt;=0,(($A261-Simulador!$E$9)/Simulador!$G$9)&gt;=1),0,IF((($A261-Simulador!$E$9)/Simulador!$G$9)&lt;Simulador!$B$11,Simulador!$B$10*(1-COS(PI()*(($A261-Simulador!$E$9)/Simulador!$G$9)/Simulador!$B$11))/2,IF((($A261-Simulador!$E$9)/Simulador!$G$9)&gt;1-Simulador!$B$11,Simulador!$B$10*(1-COS(PI()*(1-(($A261-Simulador!$E$9)/Simulador!$G$9))/Simulador!$B$11))/2,Simulador!$B$10)))</f>
        <v/>
      </c>
      <c r="G261" s="46">
        <f>IF(OR((($A261-Simulador!$E$10)/Simulador!$G$10)&lt;=0,(($A261-Simulador!$E$10)/Simulador!$G$10)&gt;=1),0,IF((($A261-Simulador!$E$10)/Simulador!$G$10)&lt;Simulador!$B$11,Simulador!$B$10*(1-COS(PI()*(($A261-Simulador!$E$10)/Simulador!$G$10)/Simulador!$B$11))/2,IF((($A261-Simulador!$E$10)/Simulador!$G$10)&gt;1-Simulador!$B$11,Simulador!$B$10*(1-COS(PI()*(1-(($A261-Simulador!$E$10)/Simulador!$G$10))/Simulador!$B$11))/2,Simulador!$B$10)))</f>
        <v/>
      </c>
      <c r="Q261" s="48">
        <f>IF(OR((($A261-(Simulador!$E$6+'Salto de dientes'!$B$12))/Simulador!$G$6)&lt;=0,(($A261-(Simulador!$E$6+'Salto de dientes'!$B$12))/Simulador!$G$6)&gt;=1),0,IF((($A261-(Simulador!$E$6+'Salto de dientes'!$B$12))/Simulador!$G$6)&lt;Simulador!$B$11,Simulador!$B$9*(1-COS(PI()*(($A261-(Simulador!$E$6+'Salto de dientes'!$B$12))/Simulador!$G$6)/Simulador!$B$11))/2,IF((($A261-(Simulador!$E$6+'Salto de dientes'!$B$12))/Simulador!$G$6)&gt;1-Simulador!$B$11,Simulador!$B$9*(1-COS(PI()*(1-(($A261-(Simulador!$E$6+'Salto de dientes'!$B$12))/Simulador!$G$6))/Simulador!$B$11))/2,Simulador!$B$9)))</f>
        <v/>
      </c>
      <c r="R261" s="48">
        <f>IF(OR((($A261-(Simulador!$E$9+'Salto de dientes'!$B$12))/Simulador!$G$9)&lt;=0,(($A261-(Simulador!$E$9+'Salto de dientes'!$B$12))/Simulador!$G$9)&gt;=1),0,IF((($A261-(Simulador!$E$9+'Salto de dientes'!$B$12))/Simulador!$G$9)&lt;Simulador!$B$11,Simulador!$B$10*(1-COS(PI()*(($A261-(Simulador!$E$9+'Salto de dientes'!$B$12))/Simulador!$G$9)/Simulador!$B$11))/2,IF((($A261-(Simulador!$E$9+'Salto de dientes'!$B$12))/Simulador!$G$9)&gt;1-Simulador!$B$11,Simulador!$B$10*(1-COS(PI()*(1-(($A261-(Simulador!$E$9+'Salto de dientes'!$B$12))/Simulador!$G$9))/Simulador!$B$11))/2,Simulador!$B$10)))</f>
        <v/>
      </c>
    </row>
    <row r="262">
      <c r="A262" s="26">
        <f>A261+Simulador!$B$14</f>
        <v/>
      </c>
      <c r="B262" s="46">
        <f>IF(OR((($A262-Simulador!$E$5)/Simulador!$G$5)&lt;=0,(($A262-Simulador!$E$5)/Simulador!$G$5)&gt;=1),0,IF((($A262-Simulador!$E$5)/Simulador!$G$5)&lt;Simulador!$B$11,Simulador!$B$9*(1-COS(PI()*(($A262-Simulador!$E$5)/Simulador!$G$5)/Simulador!$B$11))/2,IF((($A262-Simulador!$E$5)/Simulador!$G$5)&gt;1-Simulador!$B$11,Simulador!$B$9*(1-COS(PI()*(1-(($A262-Simulador!$E$5)/Simulador!$G$5))/Simulador!$B$11))/2,Simulador!$B$9)))</f>
        <v/>
      </c>
      <c r="C262" s="46">
        <f>IF(OR((($A262-Simulador!$E$6)/Simulador!$G$6)&lt;=0,(($A262-Simulador!$E$6)/Simulador!$G$6)&gt;=1),0,IF((($A262-Simulador!$E$6)/Simulador!$G$6)&lt;Simulador!$B$11,Simulador!$B$9*(1-COS(PI()*(($A262-Simulador!$E$6)/Simulador!$G$6)/Simulador!$B$11))/2,IF((($A262-Simulador!$E$6)/Simulador!$G$6)&gt;1-Simulador!$B$11,Simulador!$B$9*(1-COS(PI()*(1-(($A262-Simulador!$E$6)/Simulador!$G$6))/Simulador!$B$11))/2,Simulador!$B$9)))</f>
        <v/>
      </c>
      <c r="D262" s="46">
        <f>IF(OR((($A262-Simulador!$E$7)/Simulador!$G$7)&lt;=0,(($A262-Simulador!$E$7)/Simulador!$G$7)&gt;=1),0,IF((($A262-Simulador!$E$7)/Simulador!$G$7)&lt;Simulador!$B$11,Simulador!$B$9*(1-COS(PI()*(($A262-Simulador!$E$7)/Simulador!$G$7)/Simulador!$B$11))/2,IF((($A262-Simulador!$E$7)/Simulador!$G$7)&gt;1-Simulador!$B$11,Simulador!$B$9*(1-COS(PI()*(1-(($A262-Simulador!$E$7)/Simulador!$G$7))/Simulador!$B$11))/2,Simulador!$B$9)))</f>
        <v/>
      </c>
      <c r="E262" s="46">
        <f>IF(OR((($A262-Simulador!$E$8)/Simulador!$G$8)&lt;=0,(($A262-Simulador!$E$8)/Simulador!$G$8)&gt;=1),0,IF((($A262-Simulador!$E$8)/Simulador!$G$8)&lt;Simulador!$B$11,Simulador!$B$10*(1-COS(PI()*(($A262-Simulador!$E$8)/Simulador!$G$8)/Simulador!$B$11))/2,IF((($A262-Simulador!$E$8)/Simulador!$G$8)&gt;1-Simulador!$B$11,Simulador!$B$10*(1-COS(PI()*(1-(($A262-Simulador!$E$8)/Simulador!$G$8))/Simulador!$B$11))/2,Simulador!$B$10)))</f>
        <v/>
      </c>
      <c r="F262" s="46">
        <f>IF(OR((($A262-Simulador!$E$9)/Simulador!$G$9)&lt;=0,(($A262-Simulador!$E$9)/Simulador!$G$9)&gt;=1),0,IF((($A262-Simulador!$E$9)/Simulador!$G$9)&lt;Simulador!$B$11,Simulador!$B$10*(1-COS(PI()*(($A262-Simulador!$E$9)/Simulador!$G$9)/Simulador!$B$11))/2,IF((($A262-Simulador!$E$9)/Simulador!$G$9)&gt;1-Simulador!$B$11,Simulador!$B$10*(1-COS(PI()*(1-(($A262-Simulador!$E$9)/Simulador!$G$9))/Simulador!$B$11))/2,Simulador!$B$10)))</f>
        <v/>
      </c>
      <c r="G262" s="46">
        <f>IF(OR((($A262-Simulador!$E$10)/Simulador!$G$10)&lt;=0,(($A262-Simulador!$E$10)/Simulador!$G$10)&gt;=1),0,IF((($A262-Simulador!$E$10)/Simulador!$G$10)&lt;Simulador!$B$11,Simulador!$B$10*(1-COS(PI()*(($A262-Simulador!$E$10)/Simulador!$G$10)/Simulador!$B$11))/2,IF((($A262-Simulador!$E$10)/Simulador!$G$10)&gt;1-Simulador!$B$11,Simulador!$B$10*(1-COS(PI()*(1-(($A262-Simulador!$E$10)/Simulador!$G$10))/Simulador!$B$11))/2,Simulador!$B$10)))</f>
        <v/>
      </c>
      <c r="Q262" s="48">
        <f>IF(OR((($A262-(Simulador!$E$6+'Salto de dientes'!$B$12))/Simulador!$G$6)&lt;=0,(($A262-(Simulador!$E$6+'Salto de dientes'!$B$12))/Simulador!$G$6)&gt;=1),0,IF((($A262-(Simulador!$E$6+'Salto de dientes'!$B$12))/Simulador!$G$6)&lt;Simulador!$B$11,Simulador!$B$9*(1-COS(PI()*(($A262-(Simulador!$E$6+'Salto de dientes'!$B$12))/Simulador!$G$6)/Simulador!$B$11))/2,IF((($A262-(Simulador!$E$6+'Salto de dientes'!$B$12))/Simulador!$G$6)&gt;1-Simulador!$B$11,Simulador!$B$9*(1-COS(PI()*(1-(($A262-(Simulador!$E$6+'Salto de dientes'!$B$12))/Simulador!$G$6))/Simulador!$B$11))/2,Simulador!$B$9)))</f>
        <v/>
      </c>
      <c r="R262" s="48">
        <f>IF(OR((($A262-(Simulador!$E$9+'Salto de dientes'!$B$12))/Simulador!$G$9)&lt;=0,(($A262-(Simulador!$E$9+'Salto de dientes'!$B$12))/Simulador!$G$9)&gt;=1),0,IF((($A262-(Simulador!$E$9+'Salto de dientes'!$B$12))/Simulador!$G$9)&lt;Simulador!$B$11,Simulador!$B$10*(1-COS(PI()*(($A262-(Simulador!$E$9+'Salto de dientes'!$B$12))/Simulador!$G$9)/Simulador!$B$11))/2,IF((($A262-(Simulador!$E$9+'Salto de dientes'!$B$12))/Simulador!$G$9)&gt;1-Simulador!$B$11,Simulador!$B$10*(1-COS(PI()*(1-(($A262-(Simulador!$E$9+'Salto de dientes'!$B$12))/Simulador!$G$9))/Simulador!$B$11))/2,Simulador!$B$10)))</f>
        <v/>
      </c>
    </row>
    <row r="263">
      <c r="A263" s="26">
        <f>A262+Simulador!$B$14</f>
        <v/>
      </c>
      <c r="B263" s="46">
        <f>IF(OR((($A263-Simulador!$E$5)/Simulador!$G$5)&lt;=0,(($A263-Simulador!$E$5)/Simulador!$G$5)&gt;=1),0,IF((($A263-Simulador!$E$5)/Simulador!$G$5)&lt;Simulador!$B$11,Simulador!$B$9*(1-COS(PI()*(($A263-Simulador!$E$5)/Simulador!$G$5)/Simulador!$B$11))/2,IF((($A263-Simulador!$E$5)/Simulador!$G$5)&gt;1-Simulador!$B$11,Simulador!$B$9*(1-COS(PI()*(1-(($A263-Simulador!$E$5)/Simulador!$G$5))/Simulador!$B$11))/2,Simulador!$B$9)))</f>
        <v/>
      </c>
      <c r="C263" s="46">
        <f>IF(OR((($A263-Simulador!$E$6)/Simulador!$G$6)&lt;=0,(($A263-Simulador!$E$6)/Simulador!$G$6)&gt;=1),0,IF((($A263-Simulador!$E$6)/Simulador!$G$6)&lt;Simulador!$B$11,Simulador!$B$9*(1-COS(PI()*(($A263-Simulador!$E$6)/Simulador!$G$6)/Simulador!$B$11))/2,IF((($A263-Simulador!$E$6)/Simulador!$G$6)&gt;1-Simulador!$B$11,Simulador!$B$9*(1-COS(PI()*(1-(($A263-Simulador!$E$6)/Simulador!$G$6))/Simulador!$B$11))/2,Simulador!$B$9)))</f>
        <v/>
      </c>
      <c r="D263" s="46">
        <f>IF(OR((($A263-Simulador!$E$7)/Simulador!$G$7)&lt;=0,(($A263-Simulador!$E$7)/Simulador!$G$7)&gt;=1),0,IF((($A263-Simulador!$E$7)/Simulador!$G$7)&lt;Simulador!$B$11,Simulador!$B$9*(1-COS(PI()*(($A263-Simulador!$E$7)/Simulador!$G$7)/Simulador!$B$11))/2,IF((($A263-Simulador!$E$7)/Simulador!$G$7)&gt;1-Simulador!$B$11,Simulador!$B$9*(1-COS(PI()*(1-(($A263-Simulador!$E$7)/Simulador!$G$7))/Simulador!$B$11))/2,Simulador!$B$9)))</f>
        <v/>
      </c>
      <c r="E263" s="46">
        <f>IF(OR((($A263-Simulador!$E$8)/Simulador!$G$8)&lt;=0,(($A263-Simulador!$E$8)/Simulador!$G$8)&gt;=1),0,IF((($A263-Simulador!$E$8)/Simulador!$G$8)&lt;Simulador!$B$11,Simulador!$B$10*(1-COS(PI()*(($A263-Simulador!$E$8)/Simulador!$G$8)/Simulador!$B$11))/2,IF((($A263-Simulador!$E$8)/Simulador!$G$8)&gt;1-Simulador!$B$11,Simulador!$B$10*(1-COS(PI()*(1-(($A263-Simulador!$E$8)/Simulador!$G$8))/Simulador!$B$11))/2,Simulador!$B$10)))</f>
        <v/>
      </c>
      <c r="F263" s="46">
        <f>IF(OR((($A263-Simulador!$E$9)/Simulador!$G$9)&lt;=0,(($A263-Simulador!$E$9)/Simulador!$G$9)&gt;=1),0,IF((($A263-Simulador!$E$9)/Simulador!$G$9)&lt;Simulador!$B$11,Simulador!$B$10*(1-COS(PI()*(($A263-Simulador!$E$9)/Simulador!$G$9)/Simulador!$B$11))/2,IF((($A263-Simulador!$E$9)/Simulador!$G$9)&gt;1-Simulador!$B$11,Simulador!$B$10*(1-COS(PI()*(1-(($A263-Simulador!$E$9)/Simulador!$G$9))/Simulador!$B$11))/2,Simulador!$B$10)))</f>
        <v/>
      </c>
      <c r="G263" s="46">
        <f>IF(OR((($A263-Simulador!$E$10)/Simulador!$G$10)&lt;=0,(($A263-Simulador!$E$10)/Simulador!$G$10)&gt;=1),0,IF((($A263-Simulador!$E$10)/Simulador!$G$10)&lt;Simulador!$B$11,Simulador!$B$10*(1-COS(PI()*(($A263-Simulador!$E$10)/Simulador!$G$10)/Simulador!$B$11))/2,IF((($A263-Simulador!$E$10)/Simulador!$G$10)&gt;1-Simulador!$B$11,Simulador!$B$10*(1-COS(PI()*(1-(($A263-Simulador!$E$10)/Simulador!$G$10))/Simulador!$B$11))/2,Simulador!$B$10)))</f>
        <v/>
      </c>
      <c r="Q263" s="48">
        <f>IF(OR((($A263-(Simulador!$E$6+'Salto de dientes'!$B$12))/Simulador!$G$6)&lt;=0,(($A263-(Simulador!$E$6+'Salto de dientes'!$B$12))/Simulador!$G$6)&gt;=1),0,IF((($A263-(Simulador!$E$6+'Salto de dientes'!$B$12))/Simulador!$G$6)&lt;Simulador!$B$11,Simulador!$B$9*(1-COS(PI()*(($A263-(Simulador!$E$6+'Salto de dientes'!$B$12))/Simulador!$G$6)/Simulador!$B$11))/2,IF((($A263-(Simulador!$E$6+'Salto de dientes'!$B$12))/Simulador!$G$6)&gt;1-Simulador!$B$11,Simulador!$B$9*(1-COS(PI()*(1-(($A263-(Simulador!$E$6+'Salto de dientes'!$B$12))/Simulador!$G$6))/Simulador!$B$11))/2,Simulador!$B$9)))</f>
        <v/>
      </c>
      <c r="R263" s="48">
        <f>IF(OR((($A263-(Simulador!$E$9+'Salto de dientes'!$B$12))/Simulador!$G$9)&lt;=0,(($A263-(Simulador!$E$9+'Salto de dientes'!$B$12))/Simulador!$G$9)&gt;=1),0,IF((($A263-(Simulador!$E$9+'Salto de dientes'!$B$12))/Simulador!$G$9)&lt;Simulador!$B$11,Simulador!$B$10*(1-COS(PI()*(($A263-(Simulador!$E$9+'Salto de dientes'!$B$12))/Simulador!$G$9)/Simulador!$B$11))/2,IF((($A263-(Simulador!$E$9+'Salto de dientes'!$B$12))/Simulador!$G$9)&gt;1-Simulador!$B$11,Simulador!$B$10*(1-COS(PI()*(1-(($A263-(Simulador!$E$9+'Salto de dientes'!$B$12))/Simulador!$G$9))/Simulador!$B$11))/2,Simulador!$B$10)))</f>
        <v/>
      </c>
    </row>
    <row r="264">
      <c r="A264" s="26">
        <f>A263+Simulador!$B$14</f>
        <v/>
      </c>
      <c r="B264" s="46">
        <f>IF(OR((($A264-Simulador!$E$5)/Simulador!$G$5)&lt;=0,(($A264-Simulador!$E$5)/Simulador!$G$5)&gt;=1),0,IF((($A264-Simulador!$E$5)/Simulador!$G$5)&lt;Simulador!$B$11,Simulador!$B$9*(1-COS(PI()*(($A264-Simulador!$E$5)/Simulador!$G$5)/Simulador!$B$11))/2,IF((($A264-Simulador!$E$5)/Simulador!$G$5)&gt;1-Simulador!$B$11,Simulador!$B$9*(1-COS(PI()*(1-(($A264-Simulador!$E$5)/Simulador!$G$5))/Simulador!$B$11))/2,Simulador!$B$9)))</f>
        <v/>
      </c>
      <c r="C264" s="46">
        <f>IF(OR((($A264-Simulador!$E$6)/Simulador!$G$6)&lt;=0,(($A264-Simulador!$E$6)/Simulador!$G$6)&gt;=1),0,IF((($A264-Simulador!$E$6)/Simulador!$G$6)&lt;Simulador!$B$11,Simulador!$B$9*(1-COS(PI()*(($A264-Simulador!$E$6)/Simulador!$G$6)/Simulador!$B$11))/2,IF((($A264-Simulador!$E$6)/Simulador!$G$6)&gt;1-Simulador!$B$11,Simulador!$B$9*(1-COS(PI()*(1-(($A264-Simulador!$E$6)/Simulador!$G$6))/Simulador!$B$11))/2,Simulador!$B$9)))</f>
        <v/>
      </c>
      <c r="D264" s="46">
        <f>IF(OR((($A264-Simulador!$E$7)/Simulador!$G$7)&lt;=0,(($A264-Simulador!$E$7)/Simulador!$G$7)&gt;=1),0,IF((($A264-Simulador!$E$7)/Simulador!$G$7)&lt;Simulador!$B$11,Simulador!$B$9*(1-COS(PI()*(($A264-Simulador!$E$7)/Simulador!$G$7)/Simulador!$B$11))/2,IF((($A264-Simulador!$E$7)/Simulador!$G$7)&gt;1-Simulador!$B$11,Simulador!$B$9*(1-COS(PI()*(1-(($A264-Simulador!$E$7)/Simulador!$G$7))/Simulador!$B$11))/2,Simulador!$B$9)))</f>
        <v/>
      </c>
      <c r="E264" s="46">
        <f>IF(OR((($A264-Simulador!$E$8)/Simulador!$G$8)&lt;=0,(($A264-Simulador!$E$8)/Simulador!$G$8)&gt;=1),0,IF((($A264-Simulador!$E$8)/Simulador!$G$8)&lt;Simulador!$B$11,Simulador!$B$10*(1-COS(PI()*(($A264-Simulador!$E$8)/Simulador!$G$8)/Simulador!$B$11))/2,IF((($A264-Simulador!$E$8)/Simulador!$G$8)&gt;1-Simulador!$B$11,Simulador!$B$10*(1-COS(PI()*(1-(($A264-Simulador!$E$8)/Simulador!$G$8))/Simulador!$B$11))/2,Simulador!$B$10)))</f>
        <v/>
      </c>
      <c r="F264" s="46">
        <f>IF(OR((($A264-Simulador!$E$9)/Simulador!$G$9)&lt;=0,(($A264-Simulador!$E$9)/Simulador!$G$9)&gt;=1),0,IF((($A264-Simulador!$E$9)/Simulador!$G$9)&lt;Simulador!$B$11,Simulador!$B$10*(1-COS(PI()*(($A264-Simulador!$E$9)/Simulador!$G$9)/Simulador!$B$11))/2,IF((($A264-Simulador!$E$9)/Simulador!$G$9)&gt;1-Simulador!$B$11,Simulador!$B$10*(1-COS(PI()*(1-(($A264-Simulador!$E$9)/Simulador!$G$9))/Simulador!$B$11))/2,Simulador!$B$10)))</f>
        <v/>
      </c>
      <c r="G264" s="46">
        <f>IF(OR((($A264-Simulador!$E$10)/Simulador!$G$10)&lt;=0,(($A264-Simulador!$E$10)/Simulador!$G$10)&gt;=1),0,IF((($A264-Simulador!$E$10)/Simulador!$G$10)&lt;Simulador!$B$11,Simulador!$B$10*(1-COS(PI()*(($A264-Simulador!$E$10)/Simulador!$G$10)/Simulador!$B$11))/2,IF((($A264-Simulador!$E$10)/Simulador!$G$10)&gt;1-Simulador!$B$11,Simulador!$B$10*(1-COS(PI()*(1-(($A264-Simulador!$E$10)/Simulador!$G$10))/Simulador!$B$11))/2,Simulador!$B$10)))</f>
        <v/>
      </c>
      <c r="Q264" s="48">
        <f>IF(OR((($A264-(Simulador!$E$6+'Salto de dientes'!$B$12))/Simulador!$G$6)&lt;=0,(($A264-(Simulador!$E$6+'Salto de dientes'!$B$12))/Simulador!$G$6)&gt;=1),0,IF((($A264-(Simulador!$E$6+'Salto de dientes'!$B$12))/Simulador!$G$6)&lt;Simulador!$B$11,Simulador!$B$9*(1-COS(PI()*(($A264-(Simulador!$E$6+'Salto de dientes'!$B$12))/Simulador!$G$6)/Simulador!$B$11))/2,IF((($A264-(Simulador!$E$6+'Salto de dientes'!$B$12))/Simulador!$G$6)&gt;1-Simulador!$B$11,Simulador!$B$9*(1-COS(PI()*(1-(($A264-(Simulador!$E$6+'Salto de dientes'!$B$12))/Simulador!$G$6))/Simulador!$B$11))/2,Simulador!$B$9)))</f>
        <v/>
      </c>
      <c r="R264" s="48">
        <f>IF(OR((($A264-(Simulador!$E$9+'Salto de dientes'!$B$12))/Simulador!$G$9)&lt;=0,(($A264-(Simulador!$E$9+'Salto de dientes'!$B$12))/Simulador!$G$9)&gt;=1),0,IF((($A264-(Simulador!$E$9+'Salto de dientes'!$B$12))/Simulador!$G$9)&lt;Simulador!$B$11,Simulador!$B$10*(1-COS(PI()*(($A264-(Simulador!$E$9+'Salto de dientes'!$B$12))/Simulador!$G$9)/Simulador!$B$11))/2,IF((($A264-(Simulador!$E$9+'Salto de dientes'!$B$12))/Simulador!$G$9)&gt;1-Simulador!$B$11,Simulador!$B$10*(1-COS(PI()*(1-(($A264-(Simulador!$E$9+'Salto de dientes'!$B$12))/Simulador!$G$9))/Simulador!$B$11))/2,Simulador!$B$10)))</f>
        <v/>
      </c>
    </row>
    <row r="265">
      <c r="A265" s="26">
        <f>A264+Simulador!$B$14</f>
        <v/>
      </c>
      <c r="B265" s="46">
        <f>IF(OR((($A265-Simulador!$E$5)/Simulador!$G$5)&lt;=0,(($A265-Simulador!$E$5)/Simulador!$G$5)&gt;=1),0,IF((($A265-Simulador!$E$5)/Simulador!$G$5)&lt;Simulador!$B$11,Simulador!$B$9*(1-COS(PI()*(($A265-Simulador!$E$5)/Simulador!$G$5)/Simulador!$B$11))/2,IF((($A265-Simulador!$E$5)/Simulador!$G$5)&gt;1-Simulador!$B$11,Simulador!$B$9*(1-COS(PI()*(1-(($A265-Simulador!$E$5)/Simulador!$G$5))/Simulador!$B$11))/2,Simulador!$B$9)))</f>
        <v/>
      </c>
      <c r="C265" s="46">
        <f>IF(OR((($A265-Simulador!$E$6)/Simulador!$G$6)&lt;=0,(($A265-Simulador!$E$6)/Simulador!$G$6)&gt;=1),0,IF((($A265-Simulador!$E$6)/Simulador!$G$6)&lt;Simulador!$B$11,Simulador!$B$9*(1-COS(PI()*(($A265-Simulador!$E$6)/Simulador!$G$6)/Simulador!$B$11))/2,IF((($A265-Simulador!$E$6)/Simulador!$G$6)&gt;1-Simulador!$B$11,Simulador!$B$9*(1-COS(PI()*(1-(($A265-Simulador!$E$6)/Simulador!$G$6))/Simulador!$B$11))/2,Simulador!$B$9)))</f>
        <v/>
      </c>
      <c r="D265" s="46">
        <f>IF(OR((($A265-Simulador!$E$7)/Simulador!$G$7)&lt;=0,(($A265-Simulador!$E$7)/Simulador!$G$7)&gt;=1),0,IF((($A265-Simulador!$E$7)/Simulador!$G$7)&lt;Simulador!$B$11,Simulador!$B$9*(1-COS(PI()*(($A265-Simulador!$E$7)/Simulador!$G$7)/Simulador!$B$11))/2,IF((($A265-Simulador!$E$7)/Simulador!$G$7)&gt;1-Simulador!$B$11,Simulador!$B$9*(1-COS(PI()*(1-(($A265-Simulador!$E$7)/Simulador!$G$7))/Simulador!$B$11))/2,Simulador!$B$9)))</f>
        <v/>
      </c>
      <c r="E265" s="46">
        <f>IF(OR((($A265-Simulador!$E$8)/Simulador!$G$8)&lt;=0,(($A265-Simulador!$E$8)/Simulador!$G$8)&gt;=1),0,IF((($A265-Simulador!$E$8)/Simulador!$G$8)&lt;Simulador!$B$11,Simulador!$B$10*(1-COS(PI()*(($A265-Simulador!$E$8)/Simulador!$G$8)/Simulador!$B$11))/2,IF((($A265-Simulador!$E$8)/Simulador!$G$8)&gt;1-Simulador!$B$11,Simulador!$B$10*(1-COS(PI()*(1-(($A265-Simulador!$E$8)/Simulador!$G$8))/Simulador!$B$11))/2,Simulador!$B$10)))</f>
        <v/>
      </c>
      <c r="F265" s="46">
        <f>IF(OR((($A265-Simulador!$E$9)/Simulador!$G$9)&lt;=0,(($A265-Simulador!$E$9)/Simulador!$G$9)&gt;=1),0,IF((($A265-Simulador!$E$9)/Simulador!$G$9)&lt;Simulador!$B$11,Simulador!$B$10*(1-COS(PI()*(($A265-Simulador!$E$9)/Simulador!$G$9)/Simulador!$B$11))/2,IF((($A265-Simulador!$E$9)/Simulador!$G$9)&gt;1-Simulador!$B$11,Simulador!$B$10*(1-COS(PI()*(1-(($A265-Simulador!$E$9)/Simulador!$G$9))/Simulador!$B$11))/2,Simulador!$B$10)))</f>
        <v/>
      </c>
      <c r="G265" s="46">
        <f>IF(OR((($A265-Simulador!$E$10)/Simulador!$G$10)&lt;=0,(($A265-Simulador!$E$10)/Simulador!$G$10)&gt;=1),0,IF((($A265-Simulador!$E$10)/Simulador!$G$10)&lt;Simulador!$B$11,Simulador!$B$10*(1-COS(PI()*(($A265-Simulador!$E$10)/Simulador!$G$10)/Simulador!$B$11))/2,IF((($A265-Simulador!$E$10)/Simulador!$G$10)&gt;1-Simulador!$B$11,Simulador!$B$10*(1-COS(PI()*(1-(($A265-Simulador!$E$10)/Simulador!$G$10))/Simulador!$B$11))/2,Simulador!$B$10)))</f>
        <v/>
      </c>
      <c r="Q265" s="48">
        <f>IF(OR((($A265-(Simulador!$E$6+'Salto de dientes'!$B$12))/Simulador!$G$6)&lt;=0,(($A265-(Simulador!$E$6+'Salto de dientes'!$B$12))/Simulador!$G$6)&gt;=1),0,IF((($A265-(Simulador!$E$6+'Salto de dientes'!$B$12))/Simulador!$G$6)&lt;Simulador!$B$11,Simulador!$B$9*(1-COS(PI()*(($A265-(Simulador!$E$6+'Salto de dientes'!$B$12))/Simulador!$G$6)/Simulador!$B$11))/2,IF((($A265-(Simulador!$E$6+'Salto de dientes'!$B$12))/Simulador!$G$6)&gt;1-Simulador!$B$11,Simulador!$B$9*(1-COS(PI()*(1-(($A265-(Simulador!$E$6+'Salto de dientes'!$B$12))/Simulador!$G$6))/Simulador!$B$11))/2,Simulador!$B$9)))</f>
        <v/>
      </c>
      <c r="R265" s="48">
        <f>IF(OR((($A265-(Simulador!$E$9+'Salto de dientes'!$B$12))/Simulador!$G$9)&lt;=0,(($A265-(Simulador!$E$9+'Salto de dientes'!$B$12))/Simulador!$G$9)&gt;=1),0,IF((($A265-(Simulador!$E$9+'Salto de dientes'!$B$12))/Simulador!$G$9)&lt;Simulador!$B$11,Simulador!$B$10*(1-COS(PI()*(($A265-(Simulador!$E$9+'Salto de dientes'!$B$12))/Simulador!$G$9)/Simulador!$B$11))/2,IF((($A265-(Simulador!$E$9+'Salto de dientes'!$B$12))/Simulador!$G$9)&gt;1-Simulador!$B$11,Simulador!$B$10*(1-COS(PI()*(1-(($A265-(Simulador!$E$9+'Salto de dientes'!$B$12))/Simulador!$G$9))/Simulador!$B$11))/2,Simulador!$B$10)))</f>
        <v/>
      </c>
    </row>
    <row r="266">
      <c r="A266" s="26">
        <f>A265+Simulador!$B$14</f>
        <v/>
      </c>
      <c r="B266" s="46">
        <f>IF(OR((($A266-Simulador!$E$5)/Simulador!$G$5)&lt;=0,(($A266-Simulador!$E$5)/Simulador!$G$5)&gt;=1),0,IF((($A266-Simulador!$E$5)/Simulador!$G$5)&lt;Simulador!$B$11,Simulador!$B$9*(1-COS(PI()*(($A266-Simulador!$E$5)/Simulador!$G$5)/Simulador!$B$11))/2,IF((($A266-Simulador!$E$5)/Simulador!$G$5)&gt;1-Simulador!$B$11,Simulador!$B$9*(1-COS(PI()*(1-(($A266-Simulador!$E$5)/Simulador!$G$5))/Simulador!$B$11))/2,Simulador!$B$9)))</f>
        <v/>
      </c>
      <c r="C266" s="46">
        <f>IF(OR((($A266-Simulador!$E$6)/Simulador!$G$6)&lt;=0,(($A266-Simulador!$E$6)/Simulador!$G$6)&gt;=1),0,IF((($A266-Simulador!$E$6)/Simulador!$G$6)&lt;Simulador!$B$11,Simulador!$B$9*(1-COS(PI()*(($A266-Simulador!$E$6)/Simulador!$G$6)/Simulador!$B$11))/2,IF((($A266-Simulador!$E$6)/Simulador!$G$6)&gt;1-Simulador!$B$11,Simulador!$B$9*(1-COS(PI()*(1-(($A266-Simulador!$E$6)/Simulador!$G$6))/Simulador!$B$11))/2,Simulador!$B$9)))</f>
        <v/>
      </c>
      <c r="D266" s="46">
        <f>IF(OR((($A266-Simulador!$E$7)/Simulador!$G$7)&lt;=0,(($A266-Simulador!$E$7)/Simulador!$G$7)&gt;=1),0,IF((($A266-Simulador!$E$7)/Simulador!$G$7)&lt;Simulador!$B$11,Simulador!$B$9*(1-COS(PI()*(($A266-Simulador!$E$7)/Simulador!$G$7)/Simulador!$B$11))/2,IF((($A266-Simulador!$E$7)/Simulador!$G$7)&gt;1-Simulador!$B$11,Simulador!$B$9*(1-COS(PI()*(1-(($A266-Simulador!$E$7)/Simulador!$G$7))/Simulador!$B$11))/2,Simulador!$B$9)))</f>
        <v/>
      </c>
      <c r="E266" s="46">
        <f>IF(OR((($A266-Simulador!$E$8)/Simulador!$G$8)&lt;=0,(($A266-Simulador!$E$8)/Simulador!$G$8)&gt;=1),0,IF((($A266-Simulador!$E$8)/Simulador!$G$8)&lt;Simulador!$B$11,Simulador!$B$10*(1-COS(PI()*(($A266-Simulador!$E$8)/Simulador!$G$8)/Simulador!$B$11))/2,IF((($A266-Simulador!$E$8)/Simulador!$G$8)&gt;1-Simulador!$B$11,Simulador!$B$10*(1-COS(PI()*(1-(($A266-Simulador!$E$8)/Simulador!$G$8))/Simulador!$B$11))/2,Simulador!$B$10)))</f>
        <v/>
      </c>
      <c r="F266" s="46">
        <f>IF(OR((($A266-Simulador!$E$9)/Simulador!$G$9)&lt;=0,(($A266-Simulador!$E$9)/Simulador!$G$9)&gt;=1),0,IF((($A266-Simulador!$E$9)/Simulador!$G$9)&lt;Simulador!$B$11,Simulador!$B$10*(1-COS(PI()*(($A266-Simulador!$E$9)/Simulador!$G$9)/Simulador!$B$11))/2,IF((($A266-Simulador!$E$9)/Simulador!$G$9)&gt;1-Simulador!$B$11,Simulador!$B$10*(1-COS(PI()*(1-(($A266-Simulador!$E$9)/Simulador!$G$9))/Simulador!$B$11))/2,Simulador!$B$10)))</f>
        <v/>
      </c>
      <c r="G266" s="46">
        <f>IF(OR((($A266-Simulador!$E$10)/Simulador!$G$10)&lt;=0,(($A266-Simulador!$E$10)/Simulador!$G$10)&gt;=1),0,IF((($A266-Simulador!$E$10)/Simulador!$G$10)&lt;Simulador!$B$11,Simulador!$B$10*(1-COS(PI()*(($A266-Simulador!$E$10)/Simulador!$G$10)/Simulador!$B$11))/2,IF((($A266-Simulador!$E$10)/Simulador!$G$10)&gt;1-Simulador!$B$11,Simulador!$B$10*(1-COS(PI()*(1-(($A266-Simulador!$E$10)/Simulador!$G$10))/Simulador!$B$11))/2,Simulador!$B$10)))</f>
        <v/>
      </c>
      <c r="Q266" s="48">
        <f>IF(OR((($A266-(Simulador!$E$6+'Salto de dientes'!$B$12))/Simulador!$G$6)&lt;=0,(($A266-(Simulador!$E$6+'Salto de dientes'!$B$12))/Simulador!$G$6)&gt;=1),0,IF((($A266-(Simulador!$E$6+'Salto de dientes'!$B$12))/Simulador!$G$6)&lt;Simulador!$B$11,Simulador!$B$9*(1-COS(PI()*(($A266-(Simulador!$E$6+'Salto de dientes'!$B$12))/Simulador!$G$6)/Simulador!$B$11))/2,IF((($A266-(Simulador!$E$6+'Salto de dientes'!$B$12))/Simulador!$G$6)&gt;1-Simulador!$B$11,Simulador!$B$9*(1-COS(PI()*(1-(($A266-(Simulador!$E$6+'Salto de dientes'!$B$12))/Simulador!$G$6))/Simulador!$B$11))/2,Simulador!$B$9)))</f>
        <v/>
      </c>
      <c r="R266" s="48">
        <f>IF(OR((($A266-(Simulador!$E$9+'Salto de dientes'!$B$12))/Simulador!$G$9)&lt;=0,(($A266-(Simulador!$E$9+'Salto de dientes'!$B$12))/Simulador!$G$9)&gt;=1),0,IF((($A266-(Simulador!$E$9+'Salto de dientes'!$B$12))/Simulador!$G$9)&lt;Simulador!$B$11,Simulador!$B$10*(1-COS(PI()*(($A266-(Simulador!$E$9+'Salto de dientes'!$B$12))/Simulador!$G$9)/Simulador!$B$11))/2,IF((($A266-(Simulador!$E$9+'Salto de dientes'!$B$12))/Simulador!$G$9)&gt;1-Simulador!$B$11,Simulador!$B$10*(1-COS(PI()*(1-(($A266-(Simulador!$E$9+'Salto de dientes'!$B$12))/Simulador!$G$9))/Simulador!$B$11))/2,Simulador!$B$10)))</f>
        <v/>
      </c>
    </row>
    <row r="267">
      <c r="A267" s="26">
        <f>A266+Simulador!$B$14</f>
        <v/>
      </c>
      <c r="B267" s="46">
        <f>IF(OR((($A267-Simulador!$E$5)/Simulador!$G$5)&lt;=0,(($A267-Simulador!$E$5)/Simulador!$G$5)&gt;=1),0,IF((($A267-Simulador!$E$5)/Simulador!$G$5)&lt;Simulador!$B$11,Simulador!$B$9*(1-COS(PI()*(($A267-Simulador!$E$5)/Simulador!$G$5)/Simulador!$B$11))/2,IF((($A267-Simulador!$E$5)/Simulador!$G$5)&gt;1-Simulador!$B$11,Simulador!$B$9*(1-COS(PI()*(1-(($A267-Simulador!$E$5)/Simulador!$G$5))/Simulador!$B$11))/2,Simulador!$B$9)))</f>
        <v/>
      </c>
      <c r="C267" s="46">
        <f>IF(OR((($A267-Simulador!$E$6)/Simulador!$G$6)&lt;=0,(($A267-Simulador!$E$6)/Simulador!$G$6)&gt;=1),0,IF((($A267-Simulador!$E$6)/Simulador!$G$6)&lt;Simulador!$B$11,Simulador!$B$9*(1-COS(PI()*(($A267-Simulador!$E$6)/Simulador!$G$6)/Simulador!$B$11))/2,IF((($A267-Simulador!$E$6)/Simulador!$G$6)&gt;1-Simulador!$B$11,Simulador!$B$9*(1-COS(PI()*(1-(($A267-Simulador!$E$6)/Simulador!$G$6))/Simulador!$B$11))/2,Simulador!$B$9)))</f>
        <v/>
      </c>
      <c r="D267" s="46">
        <f>IF(OR((($A267-Simulador!$E$7)/Simulador!$G$7)&lt;=0,(($A267-Simulador!$E$7)/Simulador!$G$7)&gt;=1),0,IF((($A267-Simulador!$E$7)/Simulador!$G$7)&lt;Simulador!$B$11,Simulador!$B$9*(1-COS(PI()*(($A267-Simulador!$E$7)/Simulador!$G$7)/Simulador!$B$11))/2,IF((($A267-Simulador!$E$7)/Simulador!$G$7)&gt;1-Simulador!$B$11,Simulador!$B$9*(1-COS(PI()*(1-(($A267-Simulador!$E$7)/Simulador!$G$7))/Simulador!$B$11))/2,Simulador!$B$9)))</f>
        <v/>
      </c>
      <c r="E267" s="46">
        <f>IF(OR((($A267-Simulador!$E$8)/Simulador!$G$8)&lt;=0,(($A267-Simulador!$E$8)/Simulador!$G$8)&gt;=1),0,IF((($A267-Simulador!$E$8)/Simulador!$G$8)&lt;Simulador!$B$11,Simulador!$B$10*(1-COS(PI()*(($A267-Simulador!$E$8)/Simulador!$G$8)/Simulador!$B$11))/2,IF((($A267-Simulador!$E$8)/Simulador!$G$8)&gt;1-Simulador!$B$11,Simulador!$B$10*(1-COS(PI()*(1-(($A267-Simulador!$E$8)/Simulador!$G$8))/Simulador!$B$11))/2,Simulador!$B$10)))</f>
        <v/>
      </c>
      <c r="F267" s="46">
        <f>IF(OR((($A267-Simulador!$E$9)/Simulador!$G$9)&lt;=0,(($A267-Simulador!$E$9)/Simulador!$G$9)&gt;=1),0,IF((($A267-Simulador!$E$9)/Simulador!$G$9)&lt;Simulador!$B$11,Simulador!$B$10*(1-COS(PI()*(($A267-Simulador!$E$9)/Simulador!$G$9)/Simulador!$B$11))/2,IF((($A267-Simulador!$E$9)/Simulador!$G$9)&gt;1-Simulador!$B$11,Simulador!$B$10*(1-COS(PI()*(1-(($A267-Simulador!$E$9)/Simulador!$G$9))/Simulador!$B$11))/2,Simulador!$B$10)))</f>
        <v/>
      </c>
      <c r="G267" s="46">
        <f>IF(OR((($A267-Simulador!$E$10)/Simulador!$G$10)&lt;=0,(($A267-Simulador!$E$10)/Simulador!$G$10)&gt;=1),0,IF((($A267-Simulador!$E$10)/Simulador!$G$10)&lt;Simulador!$B$11,Simulador!$B$10*(1-COS(PI()*(($A267-Simulador!$E$10)/Simulador!$G$10)/Simulador!$B$11))/2,IF((($A267-Simulador!$E$10)/Simulador!$G$10)&gt;1-Simulador!$B$11,Simulador!$B$10*(1-COS(PI()*(1-(($A267-Simulador!$E$10)/Simulador!$G$10))/Simulador!$B$11))/2,Simulador!$B$10)))</f>
        <v/>
      </c>
      <c r="Q267" s="48">
        <f>IF(OR((($A267-(Simulador!$E$6+'Salto de dientes'!$B$12))/Simulador!$G$6)&lt;=0,(($A267-(Simulador!$E$6+'Salto de dientes'!$B$12))/Simulador!$G$6)&gt;=1),0,IF((($A267-(Simulador!$E$6+'Salto de dientes'!$B$12))/Simulador!$G$6)&lt;Simulador!$B$11,Simulador!$B$9*(1-COS(PI()*(($A267-(Simulador!$E$6+'Salto de dientes'!$B$12))/Simulador!$G$6)/Simulador!$B$11))/2,IF((($A267-(Simulador!$E$6+'Salto de dientes'!$B$12))/Simulador!$G$6)&gt;1-Simulador!$B$11,Simulador!$B$9*(1-COS(PI()*(1-(($A267-(Simulador!$E$6+'Salto de dientes'!$B$12))/Simulador!$G$6))/Simulador!$B$11))/2,Simulador!$B$9)))</f>
        <v/>
      </c>
      <c r="R267" s="48">
        <f>IF(OR((($A267-(Simulador!$E$9+'Salto de dientes'!$B$12))/Simulador!$G$9)&lt;=0,(($A267-(Simulador!$E$9+'Salto de dientes'!$B$12))/Simulador!$G$9)&gt;=1),0,IF((($A267-(Simulador!$E$9+'Salto de dientes'!$B$12))/Simulador!$G$9)&lt;Simulador!$B$11,Simulador!$B$10*(1-COS(PI()*(($A267-(Simulador!$E$9+'Salto de dientes'!$B$12))/Simulador!$G$9)/Simulador!$B$11))/2,IF((($A267-(Simulador!$E$9+'Salto de dientes'!$B$12))/Simulador!$G$9)&gt;1-Simulador!$B$11,Simulador!$B$10*(1-COS(PI()*(1-(($A267-(Simulador!$E$9+'Salto de dientes'!$B$12))/Simulador!$G$9))/Simulador!$B$11))/2,Simulador!$B$10)))</f>
        <v/>
      </c>
    </row>
    <row r="268">
      <c r="A268" s="26">
        <f>A267+Simulador!$B$14</f>
        <v/>
      </c>
      <c r="B268" s="46">
        <f>IF(OR((($A268-Simulador!$E$5)/Simulador!$G$5)&lt;=0,(($A268-Simulador!$E$5)/Simulador!$G$5)&gt;=1),0,IF((($A268-Simulador!$E$5)/Simulador!$G$5)&lt;Simulador!$B$11,Simulador!$B$9*(1-COS(PI()*(($A268-Simulador!$E$5)/Simulador!$G$5)/Simulador!$B$11))/2,IF((($A268-Simulador!$E$5)/Simulador!$G$5)&gt;1-Simulador!$B$11,Simulador!$B$9*(1-COS(PI()*(1-(($A268-Simulador!$E$5)/Simulador!$G$5))/Simulador!$B$11))/2,Simulador!$B$9)))</f>
        <v/>
      </c>
      <c r="C268" s="46">
        <f>IF(OR((($A268-Simulador!$E$6)/Simulador!$G$6)&lt;=0,(($A268-Simulador!$E$6)/Simulador!$G$6)&gt;=1),0,IF((($A268-Simulador!$E$6)/Simulador!$G$6)&lt;Simulador!$B$11,Simulador!$B$9*(1-COS(PI()*(($A268-Simulador!$E$6)/Simulador!$G$6)/Simulador!$B$11))/2,IF((($A268-Simulador!$E$6)/Simulador!$G$6)&gt;1-Simulador!$B$11,Simulador!$B$9*(1-COS(PI()*(1-(($A268-Simulador!$E$6)/Simulador!$G$6))/Simulador!$B$11))/2,Simulador!$B$9)))</f>
        <v/>
      </c>
      <c r="D268" s="46">
        <f>IF(OR((($A268-Simulador!$E$7)/Simulador!$G$7)&lt;=0,(($A268-Simulador!$E$7)/Simulador!$G$7)&gt;=1),0,IF((($A268-Simulador!$E$7)/Simulador!$G$7)&lt;Simulador!$B$11,Simulador!$B$9*(1-COS(PI()*(($A268-Simulador!$E$7)/Simulador!$G$7)/Simulador!$B$11))/2,IF((($A268-Simulador!$E$7)/Simulador!$G$7)&gt;1-Simulador!$B$11,Simulador!$B$9*(1-COS(PI()*(1-(($A268-Simulador!$E$7)/Simulador!$G$7))/Simulador!$B$11))/2,Simulador!$B$9)))</f>
        <v/>
      </c>
      <c r="E268" s="46">
        <f>IF(OR((($A268-Simulador!$E$8)/Simulador!$G$8)&lt;=0,(($A268-Simulador!$E$8)/Simulador!$G$8)&gt;=1),0,IF((($A268-Simulador!$E$8)/Simulador!$G$8)&lt;Simulador!$B$11,Simulador!$B$10*(1-COS(PI()*(($A268-Simulador!$E$8)/Simulador!$G$8)/Simulador!$B$11))/2,IF((($A268-Simulador!$E$8)/Simulador!$G$8)&gt;1-Simulador!$B$11,Simulador!$B$10*(1-COS(PI()*(1-(($A268-Simulador!$E$8)/Simulador!$G$8))/Simulador!$B$11))/2,Simulador!$B$10)))</f>
        <v/>
      </c>
      <c r="F268" s="46">
        <f>IF(OR((($A268-Simulador!$E$9)/Simulador!$G$9)&lt;=0,(($A268-Simulador!$E$9)/Simulador!$G$9)&gt;=1),0,IF((($A268-Simulador!$E$9)/Simulador!$G$9)&lt;Simulador!$B$11,Simulador!$B$10*(1-COS(PI()*(($A268-Simulador!$E$9)/Simulador!$G$9)/Simulador!$B$11))/2,IF((($A268-Simulador!$E$9)/Simulador!$G$9)&gt;1-Simulador!$B$11,Simulador!$B$10*(1-COS(PI()*(1-(($A268-Simulador!$E$9)/Simulador!$G$9))/Simulador!$B$11))/2,Simulador!$B$10)))</f>
        <v/>
      </c>
      <c r="G268" s="46">
        <f>IF(OR((($A268-Simulador!$E$10)/Simulador!$G$10)&lt;=0,(($A268-Simulador!$E$10)/Simulador!$G$10)&gt;=1),0,IF((($A268-Simulador!$E$10)/Simulador!$G$10)&lt;Simulador!$B$11,Simulador!$B$10*(1-COS(PI()*(($A268-Simulador!$E$10)/Simulador!$G$10)/Simulador!$B$11))/2,IF((($A268-Simulador!$E$10)/Simulador!$G$10)&gt;1-Simulador!$B$11,Simulador!$B$10*(1-COS(PI()*(1-(($A268-Simulador!$E$10)/Simulador!$G$10))/Simulador!$B$11))/2,Simulador!$B$10)))</f>
        <v/>
      </c>
      <c r="Q268" s="48">
        <f>IF(OR((($A268-(Simulador!$E$6+'Salto de dientes'!$B$12))/Simulador!$G$6)&lt;=0,(($A268-(Simulador!$E$6+'Salto de dientes'!$B$12))/Simulador!$G$6)&gt;=1),0,IF((($A268-(Simulador!$E$6+'Salto de dientes'!$B$12))/Simulador!$G$6)&lt;Simulador!$B$11,Simulador!$B$9*(1-COS(PI()*(($A268-(Simulador!$E$6+'Salto de dientes'!$B$12))/Simulador!$G$6)/Simulador!$B$11))/2,IF((($A268-(Simulador!$E$6+'Salto de dientes'!$B$12))/Simulador!$G$6)&gt;1-Simulador!$B$11,Simulador!$B$9*(1-COS(PI()*(1-(($A268-(Simulador!$E$6+'Salto de dientes'!$B$12))/Simulador!$G$6))/Simulador!$B$11))/2,Simulador!$B$9)))</f>
        <v/>
      </c>
      <c r="R268" s="48">
        <f>IF(OR((($A268-(Simulador!$E$9+'Salto de dientes'!$B$12))/Simulador!$G$9)&lt;=0,(($A268-(Simulador!$E$9+'Salto de dientes'!$B$12))/Simulador!$G$9)&gt;=1),0,IF((($A268-(Simulador!$E$9+'Salto de dientes'!$B$12))/Simulador!$G$9)&lt;Simulador!$B$11,Simulador!$B$10*(1-COS(PI()*(($A268-(Simulador!$E$9+'Salto de dientes'!$B$12))/Simulador!$G$9)/Simulador!$B$11))/2,IF((($A268-(Simulador!$E$9+'Salto de dientes'!$B$12))/Simulador!$G$9)&gt;1-Simulador!$B$11,Simulador!$B$10*(1-COS(PI()*(1-(($A268-(Simulador!$E$9+'Salto de dientes'!$B$12))/Simulador!$G$9))/Simulador!$B$11))/2,Simulador!$B$10)))</f>
        <v/>
      </c>
    </row>
    <row r="269">
      <c r="A269" s="26">
        <f>A268+Simulador!$B$14</f>
        <v/>
      </c>
      <c r="B269" s="46">
        <f>IF(OR((($A269-Simulador!$E$5)/Simulador!$G$5)&lt;=0,(($A269-Simulador!$E$5)/Simulador!$G$5)&gt;=1),0,IF((($A269-Simulador!$E$5)/Simulador!$G$5)&lt;Simulador!$B$11,Simulador!$B$9*(1-COS(PI()*(($A269-Simulador!$E$5)/Simulador!$G$5)/Simulador!$B$11))/2,IF((($A269-Simulador!$E$5)/Simulador!$G$5)&gt;1-Simulador!$B$11,Simulador!$B$9*(1-COS(PI()*(1-(($A269-Simulador!$E$5)/Simulador!$G$5))/Simulador!$B$11))/2,Simulador!$B$9)))</f>
        <v/>
      </c>
      <c r="C269" s="46">
        <f>IF(OR((($A269-Simulador!$E$6)/Simulador!$G$6)&lt;=0,(($A269-Simulador!$E$6)/Simulador!$G$6)&gt;=1),0,IF((($A269-Simulador!$E$6)/Simulador!$G$6)&lt;Simulador!$B$11,Simulador!$B$9*(1-COS(PI()*(($A269-Simulador!$E$6)/Simulador!$G$6)/Simulador!$B$11))/2,IF((($A269-Simulador!$E$6)/Simulador!$G$6)&gt;1-Simulador!$B$11,Simulador!$B$9*(1-COS(PI()*(1-(($A269-Simulador!$E$6)/Simulador!$G$6))/Simulador!$B$11))/2,Simulador!$B$9)))</f>
        <v/>
      </c>
      <c r="D269" s="46">
        <f>IF(OR((($A269-Simulador!$E$7)/Simulador!$G$7)&lt;=0,(($A269-Simulador!$E$7)/Simulador!$G$7)&gt;=1),0,IF((($A269-Simulador!$E$7)/Simulador!$G$7)&lt;Simulador!$B$11,Simulador!$B$9*(1-COS(PI()*(($A269-Simulador!$E$7)/Simulador!$G$7)/Simulador!$B$11))/2,IF((($A269-Simulador!$E$7)/Simulador!$G$7)&gt;1-Simulador!$B$11,Simulador!$B$9*(1-COS(PI()*(1-(($A269-Simulador!$E$7)/Simulador!$G$7))/Simulador!$B$11))/2,Simulador!$B$9)))</f>
        <v/>
      </c>
      <c r="E269" s="46">
        <f>IF(OR((($A269-Simulador!$E$8)/Simulador!$G$8)&lt;=0,(($A269-Simulador!$E$8)/Simulador!$G$8)&gt;=1),0,IF((($A269-Simulador!$E$8)/Simulador!$G$8)&lt;Simulador!$B$11,Simulador!$B$10*(1-COS(PI()*(($A269-Simulador!$E$8)/Simulador!$G$8)/Simulador!$B$11))/2,IF((($A269-Simulador!$E$8)/Simulador!$G$8)&gt;1-Simulador!$B$11,Simulador!$B$10*(1-COS(PI()*(1-(($A269-Simulador!$E$8)/Simulador!$G$8))/Simulador!$B$11))/2,Simulador!$B$10)))</f>
        <v/>
      </c>
      <c r="F269" s="46">
        <f>IF(OR((($A269-Simulador!$E$9)/Simulador!$G$9)&lt;=0,(($A269-Simulador!$E$9)/Simulador!$G$9)&gt;=1),0,IF((($A269-Simulador!$E$9)/Simulador!$G$9)&lt;Simulador!$B$11,Simulador!$B$10*(1-COS(PI()*(($A269-Simulador!$E$9)/Simulador!$G$9)/Simulador!$B$11))/2,IF((($A269-Simulador!$E$9)/Simulador!$G$9)&gt;1-Simulador!$B$11,Simulador!$B$10*(1-COS(PI()*(1-(($A269-Simulador!$E$9)/Simulador!$G$9))/Simulador!$B$11))/2,Simulador!$B$10)))</f>
        <v/>
      </c>
      <c r="G269" s="46">
        <f>IF(OR((($A269-Simulador!$E$10)/Simulador!$G$10)&lt;=0,(($A269-Simulador!$E$10)/Simulador!$G$10)&gt;=1),0,IF((($A269-Simulador!$E$10)/Simulador!$G$10)&lt;Simulador!$B$11,Simulador!$B$10*(1-COS(PI()*(($A269-Simulador!$E$10)/Simulador!$G$10)/Simulador!$B$11))/2,IF((($A269-Simulador!$E$10)/Simulador!$G$10)&gt;1-Simulador!$B$11,Simulador!$B$10*(1-COS(PI()*(1-(($A269-Simulador!$E$10)/Simulador!$G$10))/Simulador!$B$11))/2,Simulador!$B$10)))</f>
        <v/>
      </c>
      <c r="Q269" s="48">
        <f>IF(OR((($A269-(Simulador!$E$6+'Salto de dientes'!$B$12))/Simulador!$G$6)&lt;=0,(($A269-(Simulador!$E$6+'Salto de dientes'!$B$12))/Simulador!$G$6)&gt;=1),0,IF((($A269-(Simulador!$E$6+'Salto de dientes'!$B$12))/Simulador!$G$6)&lt;Simulador!$B$11,Simulador!$B$9*(1-COS(PI()*(($A269-(Simulador!$E$6+'Salto de dientes'!$B$12))/Simulador!$G$6)/Simulador!$B$11))/2,IF((($A269-(Simulador!$E$6+'Salto de dientes'!$B$12))/Simulador!$G$6)&gt;1-Simulador!$B$11,Simulador!$B$9*(1-COS(PI()*(1-(($A269-(Simulador!$E$6+'Salto de dientes'!$B$12))/Simulador!$G$6))/Simulador!$B$11))/2,Simulador!$B$9)))</f>
        <v/>
      </c>
      <c r="R269" s="48">
        <f>IF(OR((($A269-(Simulador!$E$9+'Salto de dientes'!$B$12))/Simulador!$G$9)&lt;=0,(($A269-(Simulador!$E$9+'Salto de dientes'!$B$12))/Simulador!$G$9)&gt;=1),0,IF((($A269-(Simulador!$E$9+'Salto de dientes'!$B$12))/Simulador!$G$9)&lt;Simulador!$B$11,Simulador!$B$10*(1-COS(PI()*(($A269-(Simulador!$E$9+'Salto de dientes'!$B$12))/Simulador!$G$9)/Simulador!$B$11))/2,IF((($A269-(Simulador!$E$9+'Salto de dientes'!$B$12))/Simulador!$G$9)&gt;1-Simulador!$B$11,Simulador!$B$10*(1-COS(PI()*(1-(($A269-(Simulador!$E$9+'Salto de dientes'!$B$12))/Simulador!$G$9))/Simulador!$B$11))/2,Simulador!$B$10)))</f>
        <v/>
      </c>
    </row>
    <row r="270">
      <c r="A270" s="26">
        <f>A269+Simulador!$B$14</f>
        <v/>
      </c>
      <c r="B270" s="46">
        <f>IF(OR((($A270-Simulador!$E$5)/Simulador!$G$5)&lt;=0,(($A270-Simulador!$E$5)/Simulador!$G$5)&gt;=1),0,IF((($A270-Simulador!$E$5)/Simulador!$G$5)&lt;Simulador!$B$11,Simulador!$B$9*(1-COS(PI()*(($A270-Simulador!$E$5)/Simulador!$G$5)/Simulador!$B$11))/2,IF((($A270-Simulador!$E$5)/Simulador!$G$5)&gt;1-Simulador!$B$11,Simulador!$B$9*(1-COS(PI()*(1-(($A270-Simulador!$E$5)/Simulador!$G$5))/Simulador!$B$11))/2,Simulador!$B$9)))</f>
        <v/>
      </c>
      <c r="C270" s="46">
        <f>IF(OR((($A270-Simulador!$E$6)/Simulador!$G$6)&lt;=0,(($A270-Simulador!$E$6)/Simulador!$G$6)&gt;=1),0,IF((($A270-Simulador!$E$6)/Simulador!$G$6)&lt;Simulador!$B$11,Simulador!$B$9*(1-COS(PI()*(($A270-Simulador!$E$6)/Simulador!$G$6)/Simulador!$B$11))/2,IF((($A270-Simulador!$E$6)/Simulador!$G$6)&gt;1-Simulador!$B$11,Simulador!$B$9*(1-COS(PI()*(1-(($A270-Simulador!$E$6)/Simulador!$G$6))/Simulador!$B$11))/2,Simulador!$B$9)))</f>
        <v/>
      </c>
      <c r="D270" s="46">
        <f>IF(OR((($A270-Simulador!$E$7)/Simulador!$G$7)&lt;=0,(($A270-Simulador!$E$7)/Simulador!$G$7)&gt;=1),0,IF((($A270-Simulador!$E$7)/Simulador!$G$7)&lt;Simulador!$B$11,Simulador!$B$9*(1-COS(PI()*(($A270-Simulador!$E$7)/Simulador!$G$7)/Simulador!$B$11))/2,IF((($A270-Simulador!$E$7)/Simulador!$G$7)&gt;1-Simulador!$B$11,Simulador!$B$9*(1-COS(PI()*(1-(($A270-Simulador!$E$7)/Simulador!$G$7))/Simulador!$B$11))/2,Simulador!$B$9)))</f>
        <v/>
      </c>
      <c r="E270" s="46">
        <f>IF(OR((($A270-Simulador!$E$8)/Simulador!$G$8)&lt;=0,(($A270-Simulador!$E$8)/Simulador!$G$8)&gt;=1),0,IF((($A270-Simulador!$E$8)/Simulador!$G$8)&lt;Simulador!$B$11,Simulador!$B$10*(1-COS(PI()*(($A270-Simulador!$E$8)/Simulador!$G$8)/Simulador!$B$11))/2,IF((($A270-Simulador!$E$8)/Simulador!$G$8)&gt;1-Simulador!$B$11,Simulador!$B$10*(1-COS(PI()*(1-(($A270-Simulador!$E$8)/Simulador!$G$8))/Simulador!$B$11))/2,Simulador!$B$10)))</f>
        <v/>
      </c>
      <c r="F270" s="46">
        <f>IF(OR((($A270-Simulador!$E$9)/Simulador!$G$9)&lt;=0,(($A270-Simulador!$E$9)/Simulador!$G$9)&gt;=1),0,IF((($A270-Simulador!$E$9)/Simulador!$G$9)&lt;Simulador!$B$11,Simulador!$B$10*(1-COS(PI()*(($A270-Simulador!$E$9)/Simulador!$G$9)/Simulador!$B$11))/2,IF((($A270-Simulador!$E$9)/Simulador!$G$9)&gt;1-Simulador!$B$11,Simulador!$B$10*(1-COS(PI()*(1-(($A270-Simulador!$E$9)/Simulador!$G$9))/Simulador!$B$11))/2,Simulador!$B$10)))</f>
        <v/>
      </c>
      <c r="G270" s="46">
        <f>IF(OR((($A270-Simulador!$E$10)/Simulador!$G$10)&lt;=0,(($A270-Simulador!$E$10)/Simulador!$G$10)&gt;=1),0,IF((($A270-Simulador!$E$10)/Simulador!$G$10)&lt;Simulador!$B$11,Simulador!$B$10*(1-COS(PI()*(($A270-Simulador!$E$10)/Simulador!$G$10)/Simulador!$B$11))/2,IF((($A270-Simulador!$E$10)/Simulador!$G$10)&gt;1-Simulador!$B$11,Simulador!$B$10*(1-COS(PI()*(1-(($A270-Simulador!$E$10)/Simulador!$G$10))/Simulador!$B$11))/2,Simulador!$B$10)))</f>
        <v/>
      </c>
      <c r="Q270" s="48">
        <f>IF(OR((($A270-(Simulador!$E$6+'Salto de dientes'!$B$12))/Simulador!$G$6)&lt;=0,(($A270-(Simulador!$E$6+'Salto de dientes'!$B$12))/Simulador!$G$6)&gt;=1),0,IF((($A270-(Simulador!$E$6+'Salto de dientes'!$B$12))/Simulador!$G$6)&lt;Simulador!$B$11,Simulador!$B$9*(1-COS(PI()*(($A270-(Simulador!$E$6+'Salto de dientes'!$B$12))/Simulador!$G$6)/Simulador!$B$11))/2,IF((($A270-(Simulador!$E$6+'Salto de dientes'!$B$12))/Simulador!$G$6)&gt;1-Simulador!$B$11,Simulador!$B$9*(1-COS(PI()*(1-(($A270-(Simulador!$E$6+'Salto de dientes'!$B$12))/Simulador!$G$6))/Simulador!$B$11))/2,Simulador!$B$9)))</f>
        <v/>
      </c>
      <c r="R270" s="48">
        <f>IF(OR((($A270-(Simulador!$E$9+'Salto de dientes'!$B$12))/Simulador!$G$9)&lt;=0,(($A270-(Simulador!$E$9+'Salto de dientes'!$B$12))/Simulador!$G$9)&gt;=1),0,IF((($A270-(Simulador!$E$9+'Salto de dientes'!$B$12))/Simulador!$G$9)&lt;Simulador!$B$11,Simulador!$B$10*(1-COS(PI()*(($A270-(Simulador!$E$9+'Salto de dientes'!$B$12))/Simulador!$G$9)/Simulador!$B$11))/2,IF((($A270-(Simulador!$E$9+'Salto de dientes'!$B$12))/Simulador!$G$9)&gt;1-Simulador!$B$11,Simulador!$B$10*(1-COS(PI()*(1-(($A270-(Simulador!$E$9+'Salto de dientes'!$B$12))/Simulador!$G$9))/Simulador!$B$11))/2,Simulador!$B$10)))</f>
        <v/>
      </c>
    </row>
    <row r="271">
      <c r="A271" s="26">
        <f>A270+Simulador!$B$14</f>
        <v/>
      </c>
      <c r="B271" s="46">
        <f>IF(OR((($A271-Simulador!$E$5)/Simulador!$G$5)&lt;=0,(($A271-Simulador!$E$5)/Simulador!$G$5)&gt;=1),0,IF((($A271-Simulador!$E$5)/Simulador!$G$5)&lt;Simulador!$B$11,Simulador!$B$9*(1-COS(PI()*(($A271-Simulador!$E$5)/Simulador!$G$5)/Simulador!$B$11))/2,IF((($A271-Simulador!$E$5)/Simulador!$G$5)&gt;1-Simulador!$B$11,Simulador!$B$9*(1-COS(PI()*(1-(($A271-Simulador!$E$5)/Simulador!$G$5))/Simulador!$B$11))/2,Simulador!$B$9)))</f>
        <v/>
      </c>
      <c r="C271" s="46">
        <f>IF(OR((($A271-Simulador!$E$6)/Simulador!$G$6)&lt;=0,(($A271-Simulador!$E$6)/Simulador!$G$6)&gt;=1),0,IF((($A271-Simulador!$E$6)/Simulador!$G$6)&lt;Simulador!$B$11,Simulador!$B$9*(1-COS(PI()*(($A271-Simulador!$E$6)/Simulador!$G$6)/Simulador!$B$11))/2,IF((($A271-Simulador!$E$6)/Simulador!$G$6)&gt;1-Simulador!$B$11,Simulador!$B$9*(1-COS(PI()*(1-(($A271-Simulador!$E$6)/Simulador!$G$6))/Simulador!$B$11))/2,Simulador!$B$9)))</f>
        <v/>
      </c>
      <c r="D271" s="46">
        <f>IF(OR((($A271-Simulador!$E$7)/Simulador!$G$7)&lt;=0,(($A271-Simulador!$E$7)/Simulador!$G$7)&gt;=1),0,IF((($A271-Simulador!$E$7)/Simulador!$G$7)&lt;Simulador!$B$11,Simulador!$B$9*(1-COS(PI()*(($A271-Simulador!$E$7)/Simulador!$G$7)/Simulador!$B$11))/2,IF((($A271-Simulador!$E$7)/Simulador!$G$7)&gt;1-Simulador!$B$11,Simulador!$B$9*(1-COS(PI()*(1-(($A271-Simulador!$E$7)/Simulador!$G$7))/Simulador!$B$11))/2,Simulador!$B$9)))</f>
        <v/>
      </c>
      <c r="E271" s="46">
        <f>IF(OR((($A271-Simulador!$E$8)/Simulador!$G$8)&lt;=0,(($A271-Simulador!$E$8)/Simulador!$G$8)&gt;=1),0,IF((($A271-Simulador!$E$8)/Simulador!$G$8)&lt;Simulador!$B$11,Simulador!$B$10*(1-COS(PI()*(($A271-Simulador!$E$8)/Simulador!$G$8)/Simulador!$B$11))/2,IF((($A271-Simulador!$E$8)/Simulador!$G$8)&gt;1-Simulador!$B$11,Simulador!$B$10*(1-COS(PI()*(1-(($A271-Simulador!$E$8)/Simulador!$G$8))/Simulador!$B$11))/2,Simulador!$B$10)))</f>
        <v/>
      </c>
      <c r="F271" s="46">
        <f>IF(OR((($A271-Simulador!$E$9)/Simulador!$G$9)&lt;=0,(($A271-Simulador!$E$9)/Simulador!$G$9)&gt;=1),0,IF((($A271-Simulador!$E$9)/Simulador!$G$9)&lt;Simulador!$B$11,Simulador!$B$10*(1-COS(PI()*(($A271-Simulador!$E$9)/Simulador!$G$9)/Simulador!$B$11))/2,IF((($A271-Simulador!$E$9)/Simulador!$G$9)&gt;1-Simulador!$B$11,Simulador!$B$10*(1-COS(PI()*(1-(($A271-Simulador!$E$9)/Simulador!$G$9))/Simulador!$B$11))/2,Simulador!$B$10)))</f>
        <v/>
      </c>
      <c r="G271" s="46">
        <f>IF(OR((($A271-Simulador!$E$10)/Simulador!$G$10)&lt;=0,(($A271-Simulador!$E$10)/Simulador!$G$10)&gt;=1),0,IF((($A271-Simulador!$E$10)/Simulador!$G$10)&lt;Simulador!$B$11,Simulador!$B$10*(1-COS(PI()*(($A271-Simulador!$E$10)/Simulador!$G$10)/Simulador!$B$11))/2,IF((($A271-Simulador!$E$10)/Simulador!$G$10)&gt;1-Simulador!$B$11,Simulador!$B$10*(1-COS(PI()*(1-(($A271-Simulador!$E$10)/Simulador!$G$10))/Simulador!$B$11))/2,Simulador!$B$10)))</f>
        <v/>
      </c>
      <c r="Q271" s="48">
        <f>IF(OR((($A271-(Simulador!$E$6+'Salto de dientes'!$B$12))/Simulador!$G$6)&lt;=0,(($A271-(Simulador!$E$6+'Salto de dientes'!$B$12))/Simulador!$G$6)&gt;=1),0,IF((($A271-(Simulador!$E$6+'Salto de dientes'!$B$12))/Simulador!$G$6)&lt;Simulador!$B$11,Simulador!$B$9*(1-COS(PI()*(($A271-(Simulador!$E$6+'Salto de dientes'!$B$12))/Simulador!$G$6)/Simulador!$B$11))/2,IF((($A271-(Simulador!$E$6+'Salto de dientes'!$B$12))/Simulador!$G$6)&gt;1-Simulador!$B$11,Simulador!$B$9*(1-COS(PI()*(1-(($A271-(Simulador!$E$6+'Salto de dientes'!$B$12))/Simulador!$G$6))/Simulador!$B$11))/2,Simulador!$B$9)))</f>
        <v/>
      </c>
      <c r="R271" s="48">
        <f>IF(OR((($A271-(Simulador!$E$9+'Salto de dientes'!$B$12))/Simulador!$G$9)&lt;=0,(($A271-(Simulador!$E$9+'Salto de dientes'!$B$12))/Simulador!$G$9)&gt;=1),0,IF((($A271-(Simulador!$E$9+'Salto de dientes'!$B$12))/Simulador!$G$9)&lt;Simulador!$B$11,Simulador!$B$10*(1-COS(PI()*(($A271-(Simulador!$E$9+'Salto de dientes'!$B$12))/Simulador!$G$9)/Simulador!$B$11))/2,IF((($A271-(Simulador!$E$9+'Salto de dientes'!$B$12))/Simulador!$G$9)&gt;1-Simulador!$B$11,Simulador!$B$10*(1-COS(PI()*(1-(($A271-(Simulador!$E$9+'Salto de dientes'!$B$12))/Simulador!$G$9))/Simulador!$B$11))/2,Simulador!$B$10)))</f>
        <v/>
      </c>
    </row>
    <row r="272">
      <c r="A272" s="26">
        <f>A271+Simulador!$B$14</f>
        <v/>
      </c>
      <c r="B272" s="46">
        <f>IF(OR((($A272-Simulador!$E$5)/Simulador!$G$5)&lt;=0,(($A272-Simulador!$E$5)/Simulador!$G$5)&gt;=1),0,IF((($A272-Simulador!$E$5)/Simulador!$G$5)&lt;Simulador!$B$11,Simulador!$B$9*(1-COS(PI()*(($A272-Simulador!$E$5)/Simulador!$G$5)/Simulador!$B$11))/2,IF((($A272-Simulador!$E$5)/Simulador!$G$5)&gt;1-Simulador!$B$11,Simulador!$B$9*(1-COS(PI()*(1-(($A272-Simulador!$E$5)/Simulador!$G$5))/Simulador!$B$11))/2,Simulador!$B$9)))</f>
        <v/>
      </c>
      <c r="C272" s="46">
        <f>IF(OR((($A272-Simulador!$E$6)/Simulador!$G$6)&lt;=0,(($A272-Simulador!$E$6)/Simulador!$G$6)&gt;=1),0,IF((($A272-Simulador!$E$6)/Simulador!$G$6)&lt;Simulador!$B$11,Simulador!$B$9*(1-COS(PI()*(($A272-Simulador!$E$6)/Simulador!$G$6)/Simulador!$B$11))/2,IF((($A272-Simulador!$E$6)/Simulador!$G$6)&gt;1-Simulador!$B$11,Simulador!$B$9*(1-COS(PI()*(1-(($A272-Simulador!$E$6)/Simulador!$G$6))/Simulador!$B$11))/2,Simulador!$B$9)))</f>
        <v/>
      </c>
      <c r="D272" s="46">
        <f>IF(OR((($A272-Simulador!$E$7)/Simulador!$G$7)&lt;=0,(($A272-Simulador!$E$7)/Simulador!$G$7)&gt;=1),0,IF((($A272-Simulador!$E$7)/Simulador!$G$7)&lt;Simulador!$B$11,Simulador!$B$9*(1-COS(PI()*(($A272-Simulador!$E$7)/Simulador!$G$7)/Simulador!$B$11))/2,IF((($A272-Simulador!$E$7)/Simulador!$G$7)&gt;1-Simulador!$B$11,Simulador!$B$9*(1-COS(PI()*(1-(($A272-Simulador!$E$7)/Simulador!$G$7))/Simulador!$B$11))/2,Simulador!$B$9)))</f>
        <v/>
      </c>
      <c r="E272" s="46">
        <f>IF(OR((($A272-Simulador!$E$8)/Simulador!$G$8)&lt;=0,(($A272-Simulador!$E$8)/Simulador!$G$8)&gt;=1),0,IF((($A272-Simulador!$E$8)/Simulador!$G$8)&lt;Simulador!$B$11,Simulador!$B$10*(1-COS(PI()*(($A272-Simulador!$E$8)/Simulador!$G$8)/Simulador!$B$11))/2,IF((($A272-Simulador!$E$8)/Simulador!$G$8)&gt;1-Simulador!$B$11,Simulador!$B$10*(1-COS(PI()*(1-(($A272-Simulador!$E$8)/Simulador!$G$8))/Simulador!$B$11))/2,Simulador!$B$10)))</f>
        <v/>
      </c>
      <c r="F272" s="46">
        <f>IF(OR((($A272-Simulador!$E$9)/Simulador!$G$9)&lt;=0,(($A272-Simulador!$E$9)/Simulador!$G$9)&gt;=1),0,IF((($A272-Simulador!$E$9)/Simulador!$G$9)&lt;Simulador!$B$11,Simulador!$B$10*(1-COS(PI()*(($A272-Simulador!$E$9)/Simulador!$G$9)/Simulador!$B$11))/2,IF((($A272-Simulador!$E$9)/Simulador!$G$9)&gt;1-Simulador!$B$11,Simulador!$B$10*(1-COS(PI()*(1-(($A272-Simulador!$E$9)/Simulador!$G$9))/Simulador!$B$11))/2,Simulador!$B$10)))</f>
        <v/>
      </c>
      <c r="G272" s="46">
        <f>IF(OR((($A272-Simulador!$E$10)/Simulador!$G$10)&lt;=0,(($A272-Simulador!$E$10)/Simulador!$G$10)&gt;=1),0,IF((($A272-Simulador!$E$10)/Simulador!$G$10)&lt;Simulador!$B$11,Simulador!$B$10*(1-COS(PI()*(($A272-Simulador!$E$10)/Simulador!$G$10)/Simulador!$B$11))/2,IF((($A272-Simulador!$E$10)/Simulador!$G$10)&gt;1-Simulador!$B$11,Simulador!$B$10*(1-COS(PI()*(1-(($A272-Simulador!$E$10)/Simulador!$G$10))/Simulador!$B$11))/2,Simulador!$B$10)))</f>
        <v/>
      </c>
      <c r="Q272" s="48">
        <f>IF(OR((($A272-(Simulador!$E$6+'Salto de dientes'!$B$12))/Simulador!$G$6)&lt;=0,(($A272-(Simulador!$E$6+'Salto de dientes'!$B$12))/Simulador!$G$6)&gt;=1),0,IF((($A272-(Simulador!$E$6+'Salto de dientes'!$B$12))/Simulador!$G$6)&lt;Simulador!$B$11,Simulador!$B$9*(1-COS(PI()*(($A272-(Simulador!$E$6+'Salto de dientes'!$B$12))/Simulador!$G$6)/Simulador!$B$11))/2,IF((($A272-(Simulador!$E$6+'Salto de dientes'!$B$12))/Simulador!$G$6)&gt;1-Simulador!$B$11,Simulador!$B$9*(1-COS(PI()*(1-(($A272-(Simulador!$E$6+'Salto de dientes'!$B$12))/Simulador!$G$6))/Simulador!$B$11))/2,Simulador!$B$9)))</f>
        <v/>
      </c>
      <c r="R272" s="48">
        <f>IF(OR((($A272-(Simulador!$E$9+'Salto de dientes'!$B$12))/Simulador!$G$9)&lt;=0,(($A272-(Simulador!$E$9+'Salto de dientes'!$B$12))/Simulador!$G$9)&gt;=1),0,IF((($A272-(Simulador!$E$9+'Salto de dientes'!$B$12))/Simulador!$G$9)&lt;Simulador!$B$11,Simulador!$B$10*(1-COS(PI()*(($A272-(Simulador!$E$9+'Salto de dientes'!$B$12))/Simulador!$G$9)/Simulador!$B$11))/2,IF((($A272-(Simulador!$E$9+'Salto de dientes'!$B$12))/Simulador!$G$9)&gt;1-Simulador!$B$11,Simulador!$B$10*(1-COS(PI()*(1-(($A272-(Simulador!$E$9+'Salto de dientes'!$B$12))/Simulador!$G$9))/Simulador!$B$11))/2,Simulador!$B$10)))</f>
        <v/>
      </c>
    </row>
    <row r="273">
      <c r="A273" s="26">
        <f>A272+Simulador!$B$14</f>
        <v/>
      </c>
      <c r="B273" s="46">
        <f>IF(OR((($A273-Simulador!$E$5)/Simulador!$G$5)&lt;=0,(($A273-Simulador!$E$5)/Simulador!$G$5)&gt;=1),0,IF((($A273-Simulador!$E$5)/Simulador!$G$5)&lt;Simulador!$B$11,Simulador!$B$9*(1-COS(PI()*(($A273-Simulador!$E$5)/Simulador!$G$5)/Simulador!$B$11))/2,IF((($A273-Simulador!$E$5)/Simulador!$G$5)&gt;1-Simulador!$B$11,Simulador!$B$9*(1-COS(PI()*(1-(($A273-Simulador!$E$5)/Simulador!$G$5))/Simulador!$B$11))/2,Simulador!$B$9)))</f>
        <v/>
      </c>
      <c r="C273" s="46">
        <f>IF(OR((($A273-Simulador!$E$6)/Simulador!$G$6)&lt;=0,(($A273-Simulador!$E$6)/Simulador!$G$6)&gt;=1),0,IF((($A273-Simulador!$E$6)/Simulador!$G$6)&lt;Simulador!$B$11,Simulador!$B$9*(1-COS(PI()*(($A273-Simulador!$E$6)/Simulador!$G$6)/Simulador!$B$11))/2,IF((($A273-Simulador!$E$6)/Simulador!$G$6)&gt;1-Simulador!$B$11,Simulador!$B$9*(1-COS(PI()*(1-(($A273-Simulador!$E$6)/Simulador!$G$6))/Simulador!$B$11))/2,Simulador!$B$9)))</f>
        <v/>
      </c>
      <c r="D273" s="46">
        <f>IF(OR((($A273-Simulador!$E$7)/Simulador!$G$7)&lt;=0,(($A273-Simulador!$E$7)/Simulador!$G$7)&gt;=1),0,IF((($A273-Simulador!$E$7)/Simulador!$G$7)&lt;Simulador!$B$11,Simulador!$B$9*(1-COS(PI()*(($A273-Simulador!$E$7)/Simulador!$G$7)/Simulador!$B$11))/2,IF((($A273-Simulador!$E$7)/Simulador!$G$7)&gt;1-Simulador!$B$11,Simulador!$B$9*(1-COS(PI()*(1-(($A273-Simulador!$E$7)/Simulador!$G$7))/Simulador!$B$11))/2,Simulador!$B$9)))</f>
        <v/>
      </c>
      <c r="E273" s="46">
        <f>IF(OR((($A273-Simulador!$E$8)/Simulador!$G$8)&lt;=0,(($A273-Simulador!$E$8)/Simulador!$G$8)&gt;=1),0,IF((($A273-Simulador!$E$8)/Simulador!$G$8)&lt;Simulador!$B$11,Simulador!$B$10*(1-COS(PI()*(($A273-Simulador!$E$8)/Simulador!$G$8)/Simulador!$B$11))/2,IF((($A273-Simulador!$E$8)/Simulador!$G$8)&gt;1-Simulador!$B$11,Simulador!$B$10*(1-COS(PI()*(1-(($A273-Simulador!$E$8)/Simulador!$G$8))/Simulador!$B$11))/2,Simulador!$B$10)))</f>
        <v/>
      </c>
      <c r="F273" s="46">
        <f>IF(OR((($A273-Simulador!$E$9)/Simulador!$G$9)&lt;=0,(($A273-Simulador!$E$9)/Simulador!$G$9)&gt;=1),0,IF((($A273-Simulador!$E$9)/Simulador!$G$9)&lt;Simulador!$B$11,Simulador!$B$10*(1-COS(PI()*(($A273-Simulador!$E$9)/Simulador!$G$9)/Simulador!$B$11))/2,IF((($A273-Simulador!$E$9)/Simulador!$G$9)&gt;1-Simulador!$B$11,Simulador!$B$10*(1-COS(PI()*(1-(($A273-Simulador!$E$9)/Simulador!$G$9))/Simulador!$B$11))/2,Simulador!$B$10)))</f>
        <v/>
      </c>
      <c r="G273" s="46">
        <f>IF(OR((($A273-Simulador!$E$10)/Simulador!$G$10)&lt;=0,(($A273-Simulador!$E$10)/Simulador!$G$10)&gt;=1),0,IF((($A273-Simulador!$E$10)/Simulador!$G$10)&lt;Simulador!$B$11,Simulador!$B$10*(1-COS(PI()*(($A273-Simulador!$E$10)/Simulador!$G$10)/Simulador!$B$11))/2,IF((($A273-Simulador!$E$10)/Simulador!$G$10)&gt;1-Simulador!$B$11,Simulador!$B$10*(1-COS(PI()*(1-(($A273-Simulador!$E$10)/Simulador!$G$10))/Simulador!$B$11))/2,Simulador!$B$10)))</f>
        <v/>
      </c>
      <c r="Q273" s="48">
        <f>IF(OR((($A273-(Simulador!$E$6+'Salto de dientes'!$B$12))/Simulador!$G$6)&lt;=0,(($A273-(Simulador!$E$6+'Salto de dientes'!$B$12))/Simulador!$G$6)&gt;=1),0,IF((($A273-(Simulador!$E$6+'Salto de dientes'!$B$12))/Simulador!$G$6)&lt;Simulador!$B$11,Simulador!$B$9*(1-COS(PI()*(($A273-(Simulador!$E$6+'Salto de dientes'!$B$12))/Simulador!$G$6)/Simulador!$B$11))/2,IF((($A273-(Simulador!$E$6+'Salto de dientes'!$B$12))/Simulador!$G$6)&gt;1-Simulador!$B$11,Simulador!$B$9*(1-COS(PI()*(1-(($A273-(Simulador!$E$6+'Salto de dientes'!$B$12))/Simulador!$G$6))/Simulador!$B$11))/2,Simulador!$B$9)))</f>
        <v/>
      </c>
      <c r="R273" s="48">
        <f>IF(OR((($A273-(Simulador!$E$9+'Salto de dientes'!$B$12))/Simulador!$G$9)&lt;=0,(($A273-(Simulador!$E$9+'Salto de dientes'!$B$12))/Simulador!$G$9)&gt;=1),0,IF((($A273-(Simulador!$E$9+'Salto de dientes'!$B$12))/Simulador!$G$9)&lt;Simulador!$B$11,Simulador!$B$10*(1-COS(PI()*(($A273-(Simulador!$E$9+'Salto de dientes'!$B$12))/Simulador!$G$9)/Simulador!$B$11))/2,IF((($A273-(Simulador!$E$9+'Salto de dientes'!$B$12))/Simulador!$G$9)&gt;1-Simulador!$B$11,Simulador!$B$10*(1-COS(PI()*(1-(($A273-(Simulador!$E$9+'Salto de dientes'!$B$12))/Simulador!$G$9))/Simulador!$B$11))/2,Simulador!$B$10)))</f>
        <v/>
      </c>
    </row>
    <row r="274">
      <c r="A274" s="26">
        <f>A273+Simulador!$B$14</f>
        <v/>
      </c>
      <c r="B274" s="46">
        <f>IF(OR((($A274-Simulador!$E$5)/Simulador!$G$5)&lt;=0,(($A274-Simulador!$E$5)/Simulador!$G$5)&gt;=1),0,IF((($A274-Simulador!$E$5)/Simulador!$G$5)&lt;Simulador!$B$11,Simulador!$B$9*(1-COS(PI()*(($A274-Simulador!$E$5)/Simulador!$G$5)/Simulador!$B$11))/2,IF((($A274-Simulador!$E$5)/Simulador!$G$5)&gt;1-Simulador!$B$11,Simulador!$B$9*(1-COS(PI()*(1-(($A274-Simulador!$E$5)/Simulador!$G$5))/Simulador!$B$11))/2,Simulador!$B$9)))</f>
        <v/>
      </c>
      <c r="C274" s="46">
        <f>IF(OR((($A274-Simulador!$E$6)/Simulador!$G$6)&lt;=0,(($A274-Simulador!$E$6)/Simulador!$G$6)&gt;=1),0,IF((($A274-Simulador!$E$6)/Simulador!$G$6)&lt;Simulador!$B$11,Simulador!$B$9*(1-COS(PI()*(($A274-Simulador!$E$6)/Simulador!$G$6)/Simulador!$B$11))/2,IF((($A274-Simulador!$E$6)/Simulador!$G$6)&gt;1-Simulador!$B$11,Simulador!$B$9*(1-COS(PI()*(1-(($A274-Simulador!$E$6)/Simulador!$G$6))/Simulador!$B$11))/2,Simulador!$B$9)))</f>
        <v/>
      </c>
      <c r="D274" s="46">
        <f>IF(OR((($A274-Simulador!$E$7)/Simulador!$G$7)&lt;=0,(($A274-Simulador!$E$7)/Simulador!$G$7)&gt;=1),0,IF((($A274-Simulador!$E$7)/Simulador!$G$7)&lt;Simulador!$B$11,Simulador!$B$9*(1-COS(PI()*(($A274-Simulador!$E$7)/Simulador!$G$7)/Simulador!$B$11))/2,IF((($A274-Simulador!$E$7)/Simulador!$G$7)&gt;1-Simulador!$B$11,Simulador!$B$9*(1-COS(PI()*(1-(($A274-Simulador!$E$7)/Simulador!$G$7))/Simulador!$B$11))/2,Simulador!$B$9)))</f>
        <v/>
      </c>
      <c r="E274" s="46">
        <f>IF(OR((($A274-Simulador!$E$8)/Simulador!$G$8)&lt;=0,(($A274-Simulador!$E$8)/Simulador!$G$8)&gt;=1),0,IF((($A274-Simulador!$E$8)/Simulador!$G$8)&lt;Simulador!$B$11,Simulador!$B$10*(1-COS(PI()*(($A274-Simulador!$E$8)/Simulador!$G$8)/Simulador!$B$11))/2,IF((($A274-Simulador!$E$8)/Simulador!$G$8)&gt;1-Simulador!$B$11,Simulador!$B$10*(1-COS(PI()*(1-(($A274-Simulador!$E$8)/Simulador!$G$8))/Simulador!$B$11))/2,Simulador!$B$10)))</f>
        <v/>
      </c>
      <c r="F274" s="46">
        <f>IF(OR((($A274-Simulador!$E$9)/Simulador!$G$9)&lt;=0,(($A274-Simulador!$E$9)/Simulador!$G$9)&gt;=1),0,IF((($A274-Simulador!$E$9)/Simulador!$G$9)&lt;Simulador!$B$11,Simulador!$B$10*(1-COS(PI()*(($A274-Simulador!$E$9)/Simulador!$G$9)/Simulador!$B$11))/2,IF((($A274-Simulador!$E$9)/Simulador!$G$9)&gt;1-Simulador!$B$11,Simulador!$B$10*(1-COS(PI()*(1-(($A274-Simulador!$E$9)/Simulador!$G$9))/Simulador!$B$11))/2,Simulador!$B$10)))</f>
        <v/>
      </c>
      <c r="G274" s="46">
        <f>IF(OR((($A274-Simulador!$E$10)/Simulador!$G$10)&lt;=0,(($A274-Simulador!$E$10)/Simulador!$G$10)&gt;=1),0,IF((($A274-Simulador!$E$10)/Simulador!$G$10)&lt;Simulador!$B$11,Simulador!$B$10*(1-COS(PI()*(($A274-Simulador!$E$10)/Simulador!$G$10)/Simulador!$B$11))/2,IF((($A274-Simulador!$E$10)/Simulador!$G$10)&gt;1-Simulador!$B$11,Simulador!$B$10*(1-COS(PI()*(1-(($A274-Simulador!$E$10)/Simulador!$G$10))/Simulador!$B$11))/2,Simulador!$B$10)))</f>
        <v/>
      </c>
      <c r="Q274" s="48">
        <f>IF(OR((($A274-(Simulador!$E$6+'Salto de dientes'!$B$12))/Simulador!$G$6)&lt;=0,(($A274-(Simulador!$E$6+'Salto de dientes'!$B$12))/Simulador!$G$6)&gt;=1),0,IF((($A274-(Simulador!$E$6+'Salto de dientes'!$B$12))/Simulador!$G$6)&lt;Simulador!$B$11,Simulador!$B$9*(1-COS(PI()*(($A274-(Simulador!$E$6+'Salto de dientes'!$B$12))/Simulador!$G$6)/Simulador!$B$11))/2,IF((($A274-(Simulador!$E$6+'Salto de dientes'!$B$12))/Simulador!$G$6)&gt;1-Simulador!$B$11,Simulador!$B$9*(1-COS(PI()*(1-(($A274-(Simulador!$E$6+'Salto de dientes'!$B$12))/Simulador!$G$6))/Simulador!$B$11))/2,Simulador!$B$9)))</f>
        <v/>
      </c>
      <c r="R274" s="48">
        <f>IF(OR((($A274-(Simulador!$E$9+'Salto de dientes'!$B$12))/Simulador!$G$9)&lt;=0,(($A274-(Simulador!$E$9+'Salto de dientes'!$B$12))/Simulador!$G$9)&gt;=1),0,IF((($A274-(Simulador!$E$9+'Salto de dientes'!$B$12))/Simulador!$G$9)&lt;Simulador!$B$11,Simulador!$B$10*(1-COS(PI()*(($A274-(Simulador!$E$9+'Salto de dientes'!$B$12))/Simulador!$G$9)/Simulador!$B$11))/2,IF((($A274-(Simulador!$E$9+'Salto de dientes'!$B$12))/Simulador!$G$9)&gt;1-Simulador!$B$11,Simulador!$B$10*(1-COS(PI()*(1-(($A274-(Simulador!$E$9+'Salto de dientes'!$B$12))/Simulador!$G$9))/Simulador!$B$11))/2,Simulador!$B$10)))</f>
        <v/>
      </c>
    </row>
    <row r="275">
      <c r="A275" s="26">
        <f>A274+Simulador!$B$14</f>
        <v/>
      </c>
      <c r="B275" s="46">
        <f>IF(OR((($A275-Simulador!$E$5)/Simulador!$G$5)&lt;=0,(($A275-Simulador!$E$5)/Simulador!$G$5)&gt;=1),0,IF((($A275-Simulador!$E$5)/Simulador!$G$5)&lt;Simulador!$B$11,Simulador!$B$9*(1-COS(PI()*(($A275-Simulador!$E$5)/Simulador!$G$5)/Simulador!$B$11))/2,IF((($A275-Simulador!$E$5)/Simulador!$G$5)&gt;1-Simulador!$B$11,Simulador!$B$9*(1-COS(PI()*(1-(($A275-Simulador!$E$5)/Simulador!$G$5))/Simulador!$B$11))/2,Simulador!$B$9)))</f>
        <v/>
      </c>
      <c r="C275" s="46">
        <f>IF(OR((($A275-Simulador!$E$6)/Simulador!$G$6)&lt;=0,(($A275-Simulador!$E$6)/Simulador!$G$6)&gt;=1),0,IF((($A275-Simulador!$E$6)/Simulador!$G$6)&lt;Simulador!$B$11,Simulador!$B$9*(1-COS(PI()*(($A275-Simulador!$E$6)/Simulador!$G$6)/Simulador!$B$11))/2,IF((($A275-Simulador!$E$6)/Simulador!$G$6)&gt;1-Simulador!$B$11,Simulador!$B$9*(1-COS(PI()*(1-(($A275-Simulador!$E$6)/Simulador!$G$6))/Simulador!$B$11))/2,Simulador!$B$9)))</f>
        <v/>
      </c>
      <c r="D275" s="46">
        <f>IF(OR((($A275-Simulador!$E$7)/Simulador!$G$7)&lt;=0,(($A275-Simulador!$E$7)/Simulador!$G$7)&gt;=1),0,IF((($A275-Simulador!$E$7)/Simulador!$G$7)&lt;Simulador!$B$11,Simulador!$B$9*(1-COS(PI()*(($A275-Simulador!$E$7)/Simulador!$G$7)/Simulador!$B$11))/2,IF((($A275-Simulador!$E$7)/Simulador!$G$7)&gt;1-Simulador!$B$11,Simulador!$B$9*(1-COS(PI()*(1-(($A275-Simulador!$E$7)/Simulador!$G$7))/Simulador!$B$11))/2,Simulador!$B$9)))</f>
        <v/>
      </c>
      <c r="E275" s="46">
        <f>IF(OR((($A275-Simulador!$E$8)/Simulador!$G$8)&lt;=0,(($A275-Simulador!$E$8)/Simulador!$G$8)&gt;=1),0,IF((($A275-Simulador!$E$8)/Simulador!$G$8)&lt;Simulador!$B$11,Simulador!$B$10*(1-COS(PI()*(($A275-Simulador!$E$8)/Simulador!$G$8)/Simulador!$B$11))/2,IF((($A275-Simulador!$E$8)/Simulador!$G$8)&gt;1-Simulador!$B$11,Simulador!$B$10*(1-COS(PI()*(1-(($A275-Simulador!$E$8)/Simulador!$G$8))/Simulador!$B$11))/2,Simulador!$B$10)))</f>
        <v/>
      </c>
      <c r="F275" s="46">
        <f>IF(OR((($A275-Simulador!$E$9)/Simulador!$G$9)&lt;=0,(($A275-Simulador!$E$9)/Simulador!$G$9)&gt;=1),0,IF((($A275-Simulador!$E$9)/Simulador!$G$9)&lt;Simulador!$B$11,Simulador!$B$10*(1-COS(PI()*(($A275-Simulador!$E$9)/Simulador!$G$9)/Simulador!$B$11))/2,IF((($A275-Simulador!$E$9)/Simulador!$G$9)&gt;1-Simulador!$B$11,Simulador!$B$10*(1-COS(PI()*(1-(($A275-Simulador!$E$9)/Simulador!$G$9))/Simulador!$B$11))/2,Simulador!$B$10)))</f>
        <v/>
      </c>
      <c r="G275" s="46">
        <f>IF(OR((($A275-Simulador!$E$10)/Simulador!$G$10)&lt;=0,(($A275-Simulador!$E$10)/Simulador!$G$10)&gt;=1),0,IF((($A275-Simulador!$E$10)/Simulador!$G$10)&lt;Simulador!$B$11,Simulador!$B$10*(1-COS(PI()*(($A275-Simulador!$E$10)/Simulador!$G$10)/Simulador!$B$11))/2,IF((($A275-Simulador!$E$10)/Simulador!$G$10)&gt;1-Simulador!$B$11,Simulador!$B$10*(1-COS(PI()*(1-(($A275-Simulador!$E$10)/Simulador!$G$10))/Simulador!$B$11))/2,Simulador!$B$10)))</f>
        <v/>
      </c>
      <c r="Q275" s="48">
        <f>IF(OR((($A275-(Simulador!$E$6+'Salto de dientes'!$B$12))/Simulador!$G$6)&lt;=0,(($A275-(Simulador!$E$6+'Salto de dientes'!$B$12))/Simulador!$G$6)&gt;=1),0,IF((($A275-(Simulador!$E$6+'Salto de dientes'!$B$12))/Simulador!$G$6)&lt;Simulador!$B$11,Simulador!$B$9*(1-COS(PI()*(($A275-(Simulador!$E$6+'Salto de dientes'!$B$12))/Simulador!$G$6)/Simulador!$B$11))/2,IF((($A275-(Simulador!$E$6+'Salto de dientes'!$B$12))/Simulador!$G$6)&gt;1-Simulador!$B$11,Simulador!$B$9*(1-COS(PI()*(1-(($A275-(Simulador!$E$6+'Salto de dientes'!$B$12))/Simulador!$G$6))/Simulador!$B$11))/2,Simulador!$B$9)))</f>
        <v/>
      </c>
      <c r="R275" s="48">
        <f>IF(OR((($A275-(Simulador!$E$9+'Salto de dientes'!$B$12))/Simulador!$G$9)&lt;=0,(($A275-(Simulador!$E$9+'Salto de dientes'!$B$12))/Simulador!$G$9)&gt;=1),0,IF((($A275-(Simulador!$E$9+'Salto de dientes'!$B$12))/Simulador!$G$9)&lt;Simulador!$B$11,Simulador!$B$10*(1-COS(PI()*(($A275-(Simulador!$E$9+'Salto de dientes'!$B$12))/Simulador!$G$9)/Simulador!$B$11))/2,IF((($A275-(Simulador!$E$9+'Salto de dientes'!$B$12))/Simulador!$G$9)&gt;1-Simulador!$B$11,Simulador!$B$10*(1-COS(PI()*(1-(($A275-(Simulador!$E$9+'Salto de dientes'!$B$12))/Simulador!$G$9))/Simulador!$B$11))/2,Simulador!$B$10)))</f>
        <v/>
      </c>
    </row>
    <row r="276">
      <c r="A276" s="26">
        <f>A275+Simulador!$B$14</f>
        <v/>
      </c>
      <c r="B276" s="46">
        <f>IF(OR((($A276-Simulador!$E$5)/Simulador!$G$5)&lt;=0,(($A276-Simulador!$E$5)/Simulador!$G$5)&gt;=1),0,IF((($A276-Simulador!$E$5)/Simulador!$G$5)&lt;Simulador!$B$11,Simulador!$B$9*(1-COS(PI()*(($A276-Simulador!$E$5)/Simulador!$G$5)/Simulador!$B$11))/2,IF((($A276-Simulador!$E$5)/Simulador!$G$5)&gt;1-Simulador!$B$11,Simulador!$B$9*(1-COS(PI()*(1-(($A276-Simulador!$E$5)/Simulador!$G$5))/Simulador!$B$11))/2,Simulador!$B$9)))</f>
        <v/>
      </c>
      <c r="C276" s="46">
        <f>IF(OR((($A276-Simulador!$E$6)/Simulador!$G$6)&lt;=0,(($A276-Simulador!$E$6)/Simulador!$G$6)&gt;=1),0,IF((($A276-Simulador!$E$6)/Simulador!$G$6)&lt;Simulador!$B$11,Simulador!$B$9*(1-COS(PI()*(($A276-Simulador!$E$6)/Simulador!$G$6)/Simulador!$B$11))/2,IF((($A276-Simulador!$E$6)/Simulador!$G$6)&gt;1-Simulador!$B$11,Simulador!$B$9*(1-COS(PI()*(1-(($A276-Simulador!$E$6)/Simulador!$G$6))/Simulador!$B$11))/2,Simulador!$B$9)))</f>
        <v/>
      </c>
      <c r="D276" s="46">
        <f>IF(OR((($A276-Simulador!$E$7)/Simulador!$G$7)&lt;=0,(($A276-Simulador!$E$7)/Simulador!$G$7)&gt;=1),0,IF((($A276-Simulador!$E$7)/Simulador!$G$7)&lt;Simulador!$B$11,Simulador!$B$9*(1-COS(PI()*(($A276-Simulador!$E$7)/Simulador!$G$7)/Simulador!$B$11))/2,IF((($A276-Simulador!$E$7)/Simulador!$G$7)&gt;1-Simulador!$B$11,Simulador!$B$9*(1-COS(PI()*(1-(($A276-Simulador!$E$7)/Simulador!$G$7))/Simulador!$B$11))/2,Simulador!$B$9)))</f>
        <v/>
      </c>
      <c r="E276" s="46">
        <f>IF(OR((($A276-Simulador!$E$8)/Simulador!$G$8)&lt;=0,(($A276-Simulador!$E$8)/Simulador!$G$8)&gt;=1),0,IF((($A276-Simulador!$E$8)/Simulador!$G$8)&lt;Simulador!$B$11,Simulador!$B$10*(1-COS(PI()*(($A276-Simulador!$E$8)/Simulador!$G$8)/Simulador!$B$11))/2,IF((($A276-Simulador!$E$8)/Simulador!$G$8)&gt;1-Simulador!$B$11,Simulador!$B$10*(1-COS(PI()*(1-(($A276-Simulador!$E$8)/Simulador!$G$8))/Simulador!$B$11))/2,Simulador!$B$10)))</f>
        <v/>
      </c>
      <c r="F276" s="46">
        <f>IF(OR((($A276-Simulador!$E$9)/Simulador!$G$9)&lt;=0,(($A276-Simulador!$E$9)/Simulador!$G$9)&gt;=1),0,IF((($A276-Simulador!$E$9)/Simulador!$G$9)&lt;Simulador!$B$11,Simulador!$B$10*(1-COS(PI()*(($A276-Simulador!$E$9)/Simulador!$G$9)/Simulador!$B$11))/2,IF((($A276-Simulador!$E$9)/Simulador!$G$9)&gt;1-Simulador!$B$11,Simulador!$B$10*(1-COS(PI()*(1-(($A276-Simulador!$E$9)/Simulador!$G$9))/Simulador!$B$11))/2,Simulador!$B$10)))</f>
        <v/>
      </c>
      <c r="G276" s="46">
        <f>IF(OR((($A276-Simulador!$E$10)/Simulador!$G$10)&lt;=0,(($A276-Simulador!$E$10)/Simulador!$G$10)&gt;=1),0,IF((($A276-Simulador!$E$10)/Simulador!$G$10)&lt;Simulador!$B$11,Simulador!$B$10*(1-COS(PI()*(($A276-Simulador!$E$10)/Simulador!$G$10)/Simulador!$B$11))/2,IF((($A276-Simulador!$E$10)/Simulador!$G$10)&gt;1-Simulador!$B$11,Simulador!$B$10*(1-COS(PI()*(1-(($A276-Simulador!$E$10)/Simulador!$G$10))/Simulador!$B$11))/2,Simulador!$B$10)))</f>
        <v/>
      </c>
      <c r="Q276" s="48">
        <f>IF(OR((($A276-(Simulador!$E$6+'Salto de dientes'!$B$12))/Simulador!$G$6)&lt;=0,(($A276-(Simulador!$E$6+'Salto de dientes'!$B$12))/Simulador!$G$6)&gt;=1),0,IF((($A276-(Simulador!$E$6+'Salto de dientes'!$B$12))/Simulador!$G$6)&lt;Simulador!$B$11,Simulador!$B$9*(1-COS(PI()*(($A276-(Simulador!$E$6+'Salto de dientes'!$B$12))/Simulador!$G$6)/Simulador!$B$11))/2,IF((($A276-(Simulador!$E$6+'Salto de dientes'!$B$12))/Simulador!$G$6)&gt;1-Simulador!$B$11,Simulador!$B$9*(1-COS(PI()*(1-(($A276-(Simulador!$E$6+'Salto de dientes'!$B$12))/Simulador!$G$6))/Simulador!$B$11))/2,Simulador!$B$9)))</f>
        <v/>
      </c>
      <c r="R276" s="48">
        <f>IF(OR((($A276-(Simulador!$E$9+'Salto de dientes'!$B$12))/Simulador!$G$9)&lt;=0,(($A276-(Simulador!$E$9+'Salto de dientes'!$B$12))/Simulador!$G$9)&gt;=1),0,IF((($A276-(Simulador!$E$9+'Salto de dientes'!$B$12))/Simulador!$G$9)&lt;Simulador!$B$11,Simulador!$B$10*(1-COS(PI()*(($A276-(Simulador!$E$9+'Salto de dientes'!$B$12))/Simulador!$G$9)/Simulador!$B$11))/2,IF((($A276-(Simulador!$E$9+'Salto de dientes'!$B$12))/Simulador!$G$9)&gt;1-Simulador!$B$11,Simulador!$B$10*(1-COS(PI()*(1-(($A276-(Simulador!$E$9+'Salto de dientes'!$B$12))/Simulador!$G$9))/Simulador!$B$11))/2,Simulador!$B$10)))</f>
        <v/>
      </c>
    </row>
    <row r="277">
      <c r="A277" s="26">
        <f>A276+Simulador!$B$14</f>
        <v/>
      </c>
      <c r="B277" s="46">
        <f>IF(OR((($A277-Simulador!$E$5)/Simulador!$G$5)&lt;=0,(($A277-Simulador!$E$5)/Simulador!$G$5)&gt;=1),0,IF((($A277-Simulador!$E$5)/Simulador!$G$5)&lt;Simulador!$B$11,Simulador!$B$9*(1-COS(PI()*(($A277-Simulador!$E$5)/Simulador!$G$5)/Simulador!$B$11))/2,IF((($A277-Simulador!$E$5)/Simulador!$G$5)&gt;1-Simulador!$B$11,Simulador!$B$9*(1-COS(PI()*(1-(($A277-Simulador!$E$5)/Simulador!$G$5))/Simulador!$B$11))/2,Simulador!$B$9)))</f>
        <v/>
      </c>
      <c r="C277" s="46">
        <f>IF(OR((($A277-Simulador!$E$6)/Simulador!$G$6)&lt;=0,(($A277-Simulador!$E$6)/Simulador!$G$6)&gt;=1),0,IF((($A277-Simulador!$E$6)/Simulador!$G$6)&lt;Simulador!$B$11,Simulador!$B$9*(1-COS(PI()*(($A277-Simulador!$E$6)/Simulador!$G$6)/Simulador!$B$11))/2,IF((($A277-Simulador!$E$6)/Simulador!$G$6)&gt;1-Simulador!$B$11,Simulador!$B$9*(1-COS(PI()*(1-(($A277-Simulador!$E$6)/Simulador!$G$6))/Simulador!$B$11))/2,Simulador!$B$9)))</f>
        <v/>
      </c>
      <c r="D277" s="46">
        <f>IF(OR((($A277-Simulador!$E$7)/Simulador!$G$7)&lt;=0,(($A277-Simulador!$E$7)/Simulador!$G$7)&gt;=1),0,IF((($A277-Simulador!$E$7)/Simulador!$G$7)&lt;Simulador!$B$11,Simulador!$B$9*(1-COS(PI()*(($A277-Simulador!$E$7)/Simulador!$G$7)/Simulador!$B$11))/2,IF((($A277-Simulador!$E$7)/Simulador!$G$7)&gt;1-Simulador!$B$11,Simulador!$B$9*(1-COS(PI()*(1-(($A277-Simulador!$E$7)/Simulador!$G$7))/Simulador!$B$11))/2,Simulador!$B$9)))</f>
        <v/>
      </c>
      <c r="E277" s="46">
        <f>IF(OR((($A277-Simulador!$E$8)/Simulador!$G$8)&lt;=0,(($A277-Simulador!$E$8)/Simulador!$G$8)&gt;=1),0,IF((($A277-Simulador!$E$8)/Simulador!$G$8)&lt;Simulador!$B$11,Simulador!$B$10*(1-COS(PI()*(($A277-Simulador!$E$8)/Simulador!$G$8)/Simulador!$B$11))/2,IF((($A277-Simulador!$E$8)/Simulador!$G$8)&gt;1-Simulador!$B$11,Simulador!$B$10*(1-COS(PI()*(1-(($A277-Simulador!$E$8)/Simulador!$G$8))/Simulador!$B$11))/2,Simulador!$B$10)))</f>
        <v/>
      </c>
      <c r="F277" s="46">
        <f>IF(OR((($A277-Simulador!$E$9)/Simulador!$G$9)&lt;=0,(($A277-Simulador!$E$9)/Simulador!$G$9)&gt;=1),0,IF((($A277-Simulador!$E$9)/Simulador!$G$9)&lt;Simulador!$B$11,Simulador!$B$10*(1-COS(PI()*(($A277-Simulador!$E$9)/Simulador!$G$9)/Simulador!$B$11))/2,IF((($A277-Simulador!$E$9)/Simulador!$G$9)&gt;1-Simulador!$B$11,Simulador!$B$10*(1-COS(PI()*(1-(($A277-Simulador!$E$9)/Simulador!$G$9))/Simulador!$B$11))/2,Simulador!$B$10)))</f>
        <v/>
      </c>
      <c r="G277" s="46">
        <f>IF(OR((($A277-Simulador!$E$10)/Simulador!$G$10)&lt;=0,(($A277-Simulador!$E$10)/Simulador!$G$10)&gt;=1),0,IF((($A277-Simulador!$E$10)/Simulador!$G$10)&lt;Simulador!$B$11,Simulador!$B$10*(1-COS(PI()*(($A277-Simulador!$E$10)/Simulador!$G$10)/Simulador!$B$11))/2,IF((($A277-Simulador!$E$10)/Simulador!$G$10)&gt;1-Simulador!$B$11,Simulador!$B$10*(1-COS(PI()*(1-(($A277-Simulador!$E$10)/Simulador!$G$10))/Simulador!$B$11))/2,Simulador!$B$10)))</f>
        <v/>
      </c>
      <c r="Q277" s="48">
        <f>IF(OR((($A277-(Simulador!$E$6+'Salto de dientes'!$B$12))/Simulador!$G$6)&lt;=0,(($A277-(Simulador!$E$6+'Salto de dientes'!$B$12))/Simulador!$G$6)&gt;=1),0,IF((($A277-(Simulador!$E$6+'Salto de dientes'!$B$12))/Simulador!$G$6)&lt;Simulador!$B$11,Simulador!$B$9*(1-COS(PI()*(($A277-(Simulador!$E$6+'Salto de dientes'!$B$12))/Simulador!$G$6)/Simulador!$B$11))/2,IF((($A277-(Simulador!$E$6+'Salto de dientes'!$B$12))/Simulador!$G$6)&gt;1-Simulador!$B$11,Simulador!$B$9*(1-COS(PI()*(1-(($A277-(Simulador!$E$6+'Salto de dientes'!$B$12))/Simulador!$G$6))/Simulador!$B$11))/2,Simulador!$B$9)))</f>
        <v/>
      </c>
      <c r="R277" s="48">
        <f>IF(OR((($A277-(Simulador!$E$9+'Salto de dientes'!$B$12))/Simulador!$G$9)&lt;=0,(($A277-(Simulador!$E$9+'Salto de dientes'!$B$12))/Simulador!$G$9)&gt;=1),0,IF((($A277-(Simulador!$E$9+'Salto de dientes'!$B$12))/Simulador!$G$9)&lt;Simulador!$B$11,Simulador!$B$10*(1-COS(PI()*(($A277-(Simulador!$E$9+'Salto de dientes'!$B$12))/Simulador!$G$9)/Simulador!$B$11))/2,IF((($A277-(Simulador!$E$9+'Salto de dientes'!$B$12))/Simulador!$G$9)&gt;1-Simulador!$B$11,Simulador!$B$10*(1-COS(PI()*(1-(($A277-(Simulador!$E$9+'Salto de dientes'!$B$12))/Simulador!$G$9))/Simulador!$B$11))/2,Simulador!$B$10)))</f>
        <v/>
      </c>
    </row>
    <row r="278">
      <c r="A278" s="26">
        <f>A277+Simulador!$B$14</f>
        <v/>
      </c>
      <c r="B278" s="46">
        <f>IF(OR((($A278-Simulador!$E$5)/Simulador!$G$5)&lt;=0,(($A278-Simulador!$E$5)/Simulador!$G$5)&gt;=1),0,IF((($A278-Simulador!$E$5)/Simulador!$G$5)&lt;Simulador!$B$11,Simulador!$B$9*(1-COS(PI()*(($A278-Simulador!$E$5)/Simulador!$G$5)/Simulador!$B$11))/2,IF((($A278-Simulador!$E$5)/Simulador!$G$5)&gt;1-Simulador!$B$11,Simulador!$B$9*(1-COS(PI()*(1-(($A278-Simulador!$E$5)/Simulador!$G$5))/Simulador!$B$11))/2,Simulador!$B$9)))</f>
        <v/>
      </c>
      <c r="C278" s="46">
        <f>IF(OR((($A278-Simulador!$E$6)/Simulador!$G$6)&lt;=0,(($A278-Simulador!$E$6)/Simulador!$G$6)&gt;=1),0,IF((($A278-Simulador!$E$6)/Simulador!$G$6)&lt;Simulador!$B$11,Simulador!$B$9*(1-COS(PI()*(($A278-Simulador!$E$6)/Simulador!$G$6)/Simulador!$B$11))/2,IF((($A278-Simulador!$E$6)/Simulador!$G$6)&gt;1-Simulador!$B$11,Simulador!$B$9*(1-COS(PI()*(1-(($A278-Simulador!$E$6)/Simulador!$G$6))/Simulador!$B$11))/2,Simulador!$B$9)))</f>
        <v/>
      </c>
      <c r="D278" s="46">
        <f>IF(OR((($A278-Simulador!$E$7)/Simulador!$G$7)&lt;=0,(($A278-Simulador!$E$7)/Simulador!$G$7)&gt;=1),0,IF((($A278-Simulador!$E$7)/Simulador!$G$7)&lt;Simulador!$B$11,Simulador!$B$9*(1-COS(PI()*(($A278-Simulador!$E$7)/Simulador!$G$7)/Simulador!$B$11))/2,IF((($A278-Simulador!$E$7)/Simulador!$G$7)&gt;1-Simulador!$B$11,Simulador!$B$9*(1-COS(PI()*(1-(($A278-Simulador!$E$7)/Simulador!$G$7))/Simulador!$B$11))/2,Simulador!$B$9)))</f>
        <v/>
      </c>
      <c r="E278" s="46">
        <f>IF(OR((($A278-Simulador!$E$8)/Simulador!$G$8)&lt;=0,(($A278-Simulador!$E$8)/Simulador!$G$8)&gt;=1),0,IF((($A278-Simulador!$E$8)/Simulador!$G$8)&lt;Simulador!$B$11,Simulador!$B$10*(1-COS(PI()*(($A278-Simulador!$E$8)/Simulador!$G$8)/Simulador!$B$11))/2,IF((($A278-Simulador!$E$8)/Simulador!$G$8)&gt;1-Simulador!$B$11,Simulador!$B$10*(1-COS(PI()*(1-(($A278-Simulador!$E$8)/Simulador!$G$8))/Simulador!$B$11))/2,Simulador!$B$10)))</f>
        <v/>
      </c>
      <c r="F278" s="46">
        <f>IF(OR((($A278-Simulador!$E$9)/Simulador!$G$9)&lt;=0,(($A278-Simulador!$E$9)/Simulador!$G$9)&gt;=1),0,IF((($A278-Simulador!$E$9)/Simulador!$G$9)&lt;Simulador!$B$11,Simulador!$B$10*(1-COS(PI()*(($A278-Simulador!$E$9)/Simulador!$G$9)/Simulador!$B$11))/2,IF((($A278-Simulador!$E$9)/Simulador!$G$9)&gt;1-Simulador!$B$11,Simulador!$B$10*(1-COS(PI()*(1-(($A278-Simulador!$E$9)/Simulador!$G$9))/Simulador!$B$11))/2,Simulador!$B$10)))</f>
        <v/>
      </c>
      <c r="G278" s="46">
        <f>IF(OR((($A278-Simulador!$E$10)/Simulador!$G$10)&lt;=0,(($A278-Simulador!$E$10)/Simulador!$G$10)&gt;=1),0,IF((($A278-Simulador!$E$10)/Simulador!$G$10)&lt;Simulador!$B$11,Simulador!$B$10*(1-COS(PI()*(($A278-Simulador!$E$10)/Simulador!$G$10)/Simulador!$B$11))/2,IF((($A278-Simulador!$E$10)/Simulador!$G$10)&gt;1-Simulador!$B$11,Simulador!$B$10*(1-COS(PI()*(1-(($A278-Simulador!$E$10)/Simulador!$G$10))/Simulador!$B$11))/2,Simulador!$B$10)))</f>
        <v/>
      </c>
      <c r="Q278" s="48">
        <f>IF(OR((($A278-(Simulador!$E$6+'Salto de dientes'!$B$12))/Simulador!$G$6)&lt;=0,(($A278-(Simulador!$E$6+'Salto de dientes'!$B$12))/Simulador!$G$6)&gt;=1),0,IF((($A278-(Simulador!$E$6+'Salto de dientes'!$B$12))/Simulador!$G$6)&lt;Simulador!$B$11,Simulador!$B$9*(1-COS(PI()*(($A278-(Simulador!$E$6+'Salto de dientes'!$B$12))/Simulador!$G$6)/Simulador!$B$11))/2,IF((($A278-(Simulador!$E$6+'Salto de dientes'!$B$12))/Simulador!$G$6)&gt;1-Simulador!$B$11,Simulador!$B$9*(1-COS(PI()*(1-(($A278-(Simulador!$E$6+'Salto de dientes'!$B$12))/Simulador!$G$6))/Simulador!$B$11))/2,Simulador!$B$9)))</f>
        <v/>
      </c>
      <c r="R278" s="48">
        <f>IF(OR((($A278-(Simulador!$E$9+'Salto de dientes'!$B$12))/Simulador!$G$9)&lt;=0,(($A278-(Simulador!$E$9+'Salto de dientes'!$B$12))/Simulador!$G$9)&gt;=1),0,IF((($A278-(Simulador!$E$9+'Salto de dientes'!$B$12))/Simulador!$G$9)&lt;Simulador!$B$11,Simulador!$B$10*(1-COS(PI()*(($A278-(Simulador!$E$9+'Salto de dientes'!$B$12))/Simulador!$G$9)/Simulador!$B$11))/2,IF((($A278-(Simulador!$E$9+'Salto de dientes'!$B$12))/Simulador!$G$9)&gt;1-Simulador!$B$11,Simulador!$B$10*(1-COS(PI()*(1-(($A278-(Simulador!$E$9+'Salto de dientes'!$B$12))/Simulador!$G$9))/Simulador!$B$11))/2,Simulador!$B$10)))</f>
        <v/>
      </c>
    </row>
    <row r="279">
      <c r="A279" s="26">
        <f>A278+Simulador!$B$14</f>
        <v/>
      </c>
      <c r="B279" s="46">
        <f>IF(OR((($A279-Simulador!$E$5)/Simulador!$G$5)&lt;=0,(($A279-Simulador!$E$5)/Simulador!$G$5)&gt;=1),0,IF((($A279-Simulador!$E$5)/Simulador!$G$5)&lt;Simulador!$B$11,Simulador!$B$9*(1-COS(PI()*(($A279-Simulador!$E$5)/Simulador!$G$5)/Simulador!$B$11))/2,IF((($A279-Simulador!$E$5)/Simulador!$G$5)&gt;1-Simulador!$B$11,Simulador!$B$9*(1-COS(PI()*(1-(($A279-Simulador!$E$5)/Simulador!$G$5))/Simulador!$B$11))/2,Simulador!$B$9)))</f>
        <v/>
      </c>
      <c r="C279" s="46">
        <f>IF(OR((($A279-Simulador!$E$6)/Simulador!$G$6)&lt;=0,(($A279-Simulador!$E$6)/Simulador!$G$6)&gt;=1),0,IF((($A279-Simulador!$E$6)/Simulador!$G$6)&lt;Simulador!$B$11,Simulador!$B$9*(1-COS(PI()*(($A279-Simulador!$E$6)/Simulador!$G$6)/Simulador!$B$11))/2,IF((($A279-Simulador!$E$6)/Simulador!$G$6)&gt;1-Simulador!$B$11,Simulador!$B$9*(1-COS(PI()*(1-(($A279-Simulador!$E$6)/Simulador!$G$6))/Simulador!$B$11))/2,Simulador!$B$9)))</f>
        <v/>
      </c>
      <c r="D279" s="46">
        <f>IF(OR((($A279-Simulador!$E$7)/Simulador!$G$7)&lt;=0,(($A279-Simulador!$E$7)/Simulador!$G$7)&gt;=1),0,IF((($A279-Simulador!$E$7)/Simulador!$G$7)&lt;Simulador!$B$11,Simulador!$B$9*(1-COS(PI()*(($A279-Simulador!$E$7)/Simulador!$G$7)/Simulador!$B$11))/2,IF((($A279-Simulador!$E$7)/Simulador!$G$7)&gt;1-Simulador!$B$11,Simulador!$B$9*(1-COS(PI()*(1-(($A279-Simulador!$E$7)/Simulador!$G$7))/Simulador!$B$11))/2,Simulador!$B$9)))</f>
        <v/>
      </c>
      <c r="E279" s="46">
        <f>IF(OR((($A279-Simulador!$E$8)/Simulador!$G$8)&lt;=0,(($A279-Simulador!$E$8)/Simulador!$G$8)&gt;=1),0,IF((($A279-Simulador!$E$8)/Simulador!$G$8)&lt;Simulador!$B$11,Simulador!$B$10*(1-COS(PI()*(($A279-Simulador!$E$8)/Simulador!$G$8)/Simulador!$B$11))/2,IF((($A279-Simulador!$E$8)/Simulador!$G$8)&gt;1-Simulador!$B$11,Simulador!$B$10*(1-COS(PI()*(1-(($A279-Simulador!$E$8)/Simulador!$G$8))/Simulador!$B$11))/2,Simulador!$B$10)))</f>
        <v/>
      </c>
      <c r="F279" s="46">
        <f>IF(OR((($A279-Simulador!$E$9)/Simulador!$G$9)&lt;=0,(($A279-Simulador!$E$9)/Simulador!$G$9)&gt;=1),0,IF((($A279-Simulador!$E$9)/Simulador!$G$9)&lt;Simulador!$B$11,Simulador!$B$10*(1-COS(PI()*(($A279-Simulador!$E$9)/Simulador!$G$9)/Simulador!$B$11))/2,IF((($A279-Simulador!$E$9)/Simulador!$G$9)&gt;1-Simulador!$B$11,Simulador!$B$10*(1-COS(PI()*(1-(($A279-Simulador!$E$9)/Simulador!$G$9))/Simulador!$B$11))/2,Simulador!$B$10)))</f>
        <v/>
      </c>
      <c r="G279" s="46">
        <f>IF(OR((($A279-Simulador!$E$10)/Simulador!$G$10)&lt;=0,(($A279-Simulador!$E$10)/Simulador!$G$10)&gt;=1),0,IF((($A279-Simulador!$E$10)/Simulador!$G$10)&lt;Simulador!$B$11,Simulador!$B$10*(1-COS(PI()*(($A279-Simulador!$E$10)/Simulador!$G$10)/Simulador!$B$11))/2,IF((($A279-Simulador!$E$10)/Simulador!$G$10)&gt;1-Simulador!$B$11,Simulador!$B$10*(1-COS(PI()*(1-(($A279-Simulador!$E$10)/Simulador!$G$10))/Simulador!$B$11))/2,Simulador!$B$10)))</f>
        <v/>
      </c>
      <c r="Q279" s="48">
        <f>IF(OR((($A279-(Simulador!$E$6+'Salto de dientes'!$B$12))/Simulador!$G$6)&lt;=0,(($A279-(Simulador!$E$6+'Salto de dientes'!$B$12))/Simulador!$G$6)&gt;=1),0,IF((($A279-(Simulador!$E$6+'Salto de dientes'!$B$12))/Simulador!$G$6)&lt;Simulador!$B$11,Simulador!$B$9*(1-COS(PI()*(($A279-(Simulador!$E$6+'Salto de dientes'!$B$12))/Simulador!$G$6)/Simulador!$B$11))/2,IF((($A279-(Simulador!$E$6+'Salto de dientes'!$B$12))/Simulador!$G$6)&gt;1-Simulador!$B$11,Simulador!$B$9*(1-COS(PI()*(1-(($A279-(Simulador!$E$6+'Salto de dientes'!$B$12))/Simulador!$G$6))/Simulador!$B$11))/2,Simulador!$B$9)))</f>
        <v/>
      </c>
      <c r="R279" s="48">
        <f>IF(OR((($A279-(Simulador!$E$9+'Salto de dientes'!$B$12))/Simulador!$G$9)&lt;=0,(($A279-(Simulador!$E$9+'Salto de dientes'!$B$12))/Simulador!$G$9)&gt;=1),0,IF((($A279-(Simulador!$E$9+'Salto de dientes'!$B$12))/Simulador!$G$9)&lt;Simulador!$B$11,Simulador!$B$10*(1-COS(PI()*(($A279-(Simulador!$E$9+'Salto de dientes'!$B$12))/Simulador!$G$9)/Simulador!$B$11))/2,IF((($A279-(Simulador!$E$9+'Salto de dientes'!$B$12))/Simulador!$G$9)&gt;1-Simulador!$B$11,Simulador!$B$10*(1-COS(PI()*(1-(($A279-(Simulador!$E$9+'Salto de dientes'!$B$12))/Simulador!$G$9))/Simulador!$B$11))/2,Simulador!$B$10)))</f>
        <v/>
      </c>
    </row>
    <row r="280">
      <c r="A280" s="26">
        <f>A279+Simulador!$B$14</f>
        <v/>
      </c>
      <c r="B280" s="46">
        <f>IF(OR((($A280-Simulador!$E$5)/Simulador!$G$5)&lt;=0,(($A280-Simulador!$E$5)/Simulador!$G$5)&gt;=1),0,IF((($A280-Simulador!$E$5)/Simulador!$G$5)&lt;Simulador!$B$11,Simulador!$B$9*(1-COS(PI()*(($A280-Simulador!$E$5)/Simulador!$G$5)/Simulador!$B$11))/2,IF((($A280-Simulador!$E$5)/Simulador!$G$5)&gt;1-Simulador!$B$11,Simulador!$B$9*(1-COS(PI()*(1-(($A280-Simulador!$E$5)/Simulador!$G$5))/Simulador!$B$11))/2,Simulador!$B$9)))</f>
        <v/>
      </c>
      <c r="C280" s="46">
        <f>IF(OR((($A280-Simulador!$E$6)/Simulador!$G$6)&lt;=0,(($A280-Simulador!$E$6)/Simulador!$G$6)&gt;=1),0,IF((($A280-Simulador!$E$6)/Simulador!$G$6)&lt;Simulador!$B$11,Simulador!$B$9*(1-COS(PI()*(($A280-Simulador!$E$6)/Simulador!$G$6)/Simulador!$B$11))/2,IF((($A280-Simulador!$E$6)/Simulador!$G$6)&gt;1-Simulador!$B$11,Simulador!$B$9*(1-COS(PI()*(1-(($A280-Simulador!$E$6)/Simulador!$G$6))/Simulador!$B$11))/2,Simulador!$B$9)))</f>
        <v/>
      </c>
      <c r="D280" s="46">
        <f>IF(OR((($A280-Simulador!$E$7)/Simulador!$G$7)&lt;=0,(($A280-Simulador!$E$7)/Simulador!$G$7)&gt;=1),0,IF((($A280-Simulador!$E$7)/Simulador!$G$7)&lt;Simulador!$B$11,Simulador!$B$9*(1-COS(PI()*(($A280-Simulador!$E$7)/Simulador!$G$7)/Simulador!$B$11))/2,IF((($A280-Simulador!$E$7)/Simulador!$G$7)&gt;1-Simulador!$B$11,Simulador!$B$9*(1-COS(PI()*(1-(($A280-Simulador!$E$7)/Simulador!$G$7))/Simulador!$B$11))/2,Simulador!$B$9)))</f>
        <v/>
      </c>
      <c r="E280" s="46">
        <f>IF(OR((($A280-Simulador!$E$8)/Simulador!$G$8)&lt;=0,(($A280-Simulador!$E$8)/Simulador!$G$8)&gt;=1),0,IF((($A280-Simulador!$E$8)/Simulador!$G$8)&lt;Simulador!$B$11,Simulador!$B$10*(1-COS(PI()*(($A280-Simulador!$E$8)/Simulador!$G$8)/Simulador!$B$11))/2,IF((($A280-Simulador!$E$8)/Simulador!$G$8)&gt;1-Simulador!$B$11,Simulador!$B$10*(1-COS(PI()*(1-(($A280-Simulador!$E$8)/Simulador!$G$8))/Simulador!$B$11))/2,Simulador!$B$10)))</f>
        <v/>
      </c>
      <c r="F280" s="46">
        <f>IF(OR((($A280-Simulador!$E$9)/Simulador!$G$9)&lt;=0,(($A280-Simulador!$E$9)/Simulador!$G$9)&gt;=1),0,IF((($A280-Simulador!$E$9)/Simulador!$G$9)&lt;Simulador!$B$11,Simulador!$B$10*(1-COS(PI()*(($A280-Simulador!$E$9)/Simulador!$G$9)/Simulador!$B$11))/2,IF((($A280-Simulador!$E$9)/Simulador!$G$9)&gt;1-Simulador!$B$11,Simulador!$B$10*(1-COS(PI()*(1-(($A280-Simulador!$E$9)/Simulador!$G$9))/Simulador!$B$11))/2,Simulador!$B$10)))</f>
        <v/>
      </c>
      <c r="G280" s="46">
        <f>IF(OR((($A280-Simulador!$E$10)/Simulador!$G$10)&lt;=0,(($A280-Simulador!$E$10)/Simulador!$G$10)&gt;=1),0,IF((($A280-Simulador!$E$10)/Simulador!$G$10)&lt;Simulador!$B$11,Simulador!$B$10*(1-COS(PI()*(($A280-Simulador!$E$10)/Simulador!$G$10)/Simulador!$B$11))/2,IF((($A280-Simulador!$E$10)/Simulador!$G$10)&gt;1-Simulador!$B$11,Simulador!$B$10*(1-COS(PI()*(1-(($A280-Simulador!$E$10)/Simulador!$G$10))/Simulador!$B$11))/2,Simulador!$B$10)))</f>
        <v/>
      </c>
      <c r="Q280" s="48">
        <f>IF(OR((($A280-(Simulador!$E$6+'Salto de dientes'!$B$12))/Simulador!$G$6)&lt;=0,(($A280-(Simulador!$E$6+'Salto de dientes'!$B$12))/Simulador!$G$6)&gt;=1),0,IF((($A280-(Simulador!$E$6+'Salto de dientes'!$B$12))/Simulador!$G$6)&lt;Simulador!$B$11,Simulador!$B$9*(1-COS(PI()*(($A280-(Simulador!$E$6+'Salto de dientes'!$B$12))/Simulador!$G$6)/Simulador!$B$11))/2,IF((($A280-(Simulador!$E$6+'Salto de dientes'!$B$12))/Simulador!$G$6)&gt;1-Simulador!$B$11,Simulador!$B$9*(1-COS(PI()*(1-(($A280-(Simulador!$E$6+'Salto de dientes'!$B$12))/Simulador!$G$6))/Simulador!$B$11))/2,Simulador!$B$9)))</f>
        <v/>
      </c>
      <c r="R280" s="48">
        <f>IF(OR((($A280-(Simulador!$E$9+'Salto de dientes'!$B$12))/Simulador!$G$9)&lt;=0,(($A280-(Simulador!$E$9+'Salto de dientes'!$B$12))/Simulador!$G$9)&gt;=1),0,IF((($A280-(Simulador!$E$9+'Salto de dientes'!$B$12))/Simulador!$G$9)&lt;Simulador!$B$11,Simulador!$B$10*(1-COS(PI()*(($A280-(Simulador!$E$9+'Salto de dientes'!$B$12))/Simulador!$G$9)/Simulador!$B$11))/2,IF((($A280-(Simulador!$E$9+'Salto de dientes'!$B$12))/Simulador!$G$9)&gt;1-Simulador!$B$11,Simulador!$B$10*(1-COS(PI()*(1-(($A280-(Simulador!$E$9+'Salto de dientes'!$B$12))/Simulador!$G$9))/Simulador!$B$11))/2,Simulador!$B$10)))</f>
        <v/>
      </c>
    </row>
    <row r="281">
      <c r="A281" s="26">
        <f>A280+Simulador!$B$14</f>
        <v/>
      </c>
      <c r="B281" s="46">
        <f>IF(OR((($A281-Simulador!$E$5)/Simulador!$G$5)&lt;=0,(($A281-Simulador!$E$5)/Simulador!$G$5)&gt;=1),0,IF((($A281-Simulador!$E$5)/Simulador!$G$5)&lt;Simulador!$B$11,Simulador!$B$9*(1-COS(PI()*(($A281-Simulador!$E$5)/Simulador!$G$5)/Simulador!$B$11))/2,IF((($A281-Simulador!$E$5)/Simulador!$G$5)&gt;1-Simulador!$B$11,Simulador!$B$9*(1-COS(PI()*(1-(($A281-Simulador!$E$5)/Simulador!$G$5))/Simulador!$B$11))/2,Simulador!$B$9)))</f>
        <v/>
      </c>
      <c r="C281" s="46">
        <f>IF(OR((($A281-Simulador!$E$6)/Simulador!$G$6)&lt;=0,(($A281-Simulador!$E$6)/Simulador!$G$6)&gt;=1),0,IF((($A281-Simulador!$E$6)/Simulador!$G$6)&lt;Simulador!$B$11,Simulador!$B$9*(1-COS(PI()*(($A281-Simulador!$E$6)/Simulador!$G$6)/Simulador!$B$11))/2,IF((($A281-Simulador!$E$6)/Simulador!$G$6)&gt;1-Simulador!$B$11,Simulador!$B$9*(1-COS(PI()*(1-(($A281-Simulador!$E$6)/Simulador!$G$6))/Simulador!$B$11))/2,Simulador!$B$9)))</f>
        <v/>
      </c>
      <c r="D281" s="46">
        <f>IF(OR((($A281-Simulador!$E$7)/Simulador!$G$7)&lt;=0,(($A281-Simulador!$E$7)/Simulador!$G$7)&gt;=1),0,IF((($A281-Simulador!$E$7)/Simulador!$G$7)&lt;Simulador!$B$11,Simulador!$B$9*(1-COS(PI()*(($A281-Simulador!$E$7)/Simulador!$G$7)/Simulador!$B$11))/2,IF((($A281-Simulador!$E$7)/Simulador!$G$7)&gt;1-Simulador!$B$11,Simulador!$B$9*(1-COS(PI()*(1-(($A281-Simulador!$E$7)/Simulador!$G$7))/Simulador!$B$11))/2,Simulador!$B$9)))</f>
        <v/>
      </c>
      <c r="E281" s="46">
        <f>IF(OR((($A281-Simulador!$E$8)/Simulador!$G$8)&lt;=0,(($A281-Simulador!$E$8)/Simulador!$G$8)&gt;=1),0,IF((($A281-Simulador!$E$8)/Simulador!$G$8)&lt;Simulador!$B$11,Simulador!$B$10*(1-COS(PI()*(($A281-Simulador!$E$8)/Simulador!$G$8)/Simulador!$B$11))/2,IF((($A281-Simulador!$E$8)/Simulador!$G$8)&gt;1-Simulador!$B$11,Simulador!$B$10*(1-COS(PI()*(1-(($A281-Simulador!$E$8)/Simulador!$G$8))/Simulador!$B$11))/2,Simulador!$B$10)))</f>
        <v/>
      </c>
      <c r="F281" s="46">
        <f>IF(OR((($A281-Simulador!$E$9)/Simulador!$G$9)&lt;=0,(($A281-Simulador!$E$9)/Simulador!$G$9)&gt;=1),0,IF((($A281-Simulador!$E$9)/Simulador!$G$9)&lt;Simulador!$B$11,Simulador!$B$10*(1-COS(PI()*(($A281-Simulador!$E$9)/Simulador!$G$9)/Simulador!$B$11))/2,IF((($A281-Simulador!$E$9)/Simulador!$G$9)&gt;1-Simulador!$B$11,Simulador!$B$10*(1-COS(PI()*(1-(($A281-Simulador!$E$9)/Simulador!$G$9))/Simulador!$B$11))/2,Simulador!$B$10)))</f>
        <v/>
      </c>
      <c r="G281" s="46">
        <f>IF(OR((($A281-Simulador!$E$10)/Simulador!$G$10)&lt;=0,(($A281-Simulador!$E$10)/Simulador!$G$10)&gt;=1),0,IF((($A281-Simulador!$E$10)/Simulador!$G$10)&lt;Simulador!$B$11,Simulador!$B$10*(1-COS(PI()*(($A281-Simulador!$E$10)/Simulador!$G$10)/Simulador!$B$11))/2,IF((($A281-Simulador!$E$10)/Simulador!$G$10)&gt;1-Simulador!$B$11,Simulador!$B$10*(1-COS(PI()*(1-(($A281-Simulador!$E$10)/Simulador!$G$10))/Simulador!$B$11))/2,Simulador!$B$10)))</f>
        <v/>
      </c>
      <c r="Q281" s="48">
        <f>IF(OR((($A281-(Simulador!$E$6+'Salto de dientes'!$B$12))/Simulador!$G$6)&lt;=0,(($A281-(Simulador!$E$6+'Salto de dientes'!$B$12))/Simulador!$G$6)&gt;=1),0,IF((($A281-(Simulador!$E$6+'Salto de dientes'!$B$12))/Simulador!$G$6)&lt;Simulador!$B$11,Simulador!$B$9*(1-COS(PI()*(($A281-(Simulador!$E$6+'Salto de dientes'!$B$12))/Simulador!$G$6)/Simulador!$B$11))/2,IF((($A281-(Simulador!$E$6+'Salto de dientes'!$B$12))/Simulador!$G$6)&gt;1-Simulador!$B$11,Simulador!$B$9*(1-COS(PI()*(1-(($A281-(Simulador!$E$6+'Salto de dientes'!$B$12))/Simulador!$G$6))/Simulador!$B$11))/2,Simulador!$B$9)))</f>
        <v/>
      </c>
      <c r="R281" s="48">
        <f>IF(OR((($A281-(Simulador!$E$9+'Salto de dientes'!$B$12))/Simulador!$G$9)&lt;=0,(($A281-(Simulador!$E$9+'Salto de dientes'!$B$12))/Simulador!$G$9)&gt;=1),0,IF((($A281-(Simulador!$E$9+'Salto de dientes'!$B$12))/Simulador!$G$9)&lt;Simulador!$B$11,Simulador!$B$10*(1-COS(PI()*(($A281-(Simulador!$E$9+'Salto de dientes'!$B$12))/Simulador!$G$9)/Simulador!$B$11))/2,IF((($A281-(Simulador!$E$9+'Salto de dientes'!$B$12))/Simulador!$G$9)&gt;1-Simulador!$B$11,Simulador!$B$10*(1-COS(PI()*(1-(($A281-(Simulador!$E$9+'Salto de dientes'!$B$12))/Simulador!$G$9))/Simulador!$B$11))/2,Simulador!$B$10)))</f>
        <v/>
      </c>
    </row>
    <row r="282">
      <c r="A282" s="26">
        <f>A281+Simulador!$B$14</f>
        <v/>
      </c>
      <c r="B282" s="46">
        <f>IF(OR((($A282-Simulador!$E$5)/Simulador!$G$5)&lt;=0,(($A282-Simulador!$E$5)/Simulador!$G$5)&gt;=1),0,IF((($A282-Simulador!$E$5)/Simulador!$G$5)&lt;Simulador!$B$11,Simulador!$B$9*(1-COS(PI()*(($A282-Simulador!$E$5)/Simulador!$G$5)/Simulador!$B$11))/2,IF((($A282-Simulador!$E$5)/Simulador!$G$5)&gt;1-Simulador!$B$11,Simulador!$B$9*(1-COS(PI()*(1-(($A282-Simulador!$E$5)/Simulador!$G$5))/Simulador!$B$11))/2,Simulador!$B$9)))</f>
        <v/>
      </c>
      <c r="C282" s="46">
        <f>IF(OR((($A282-Simulador!$E$6)/Simulador!$G$6)&lt;=0,(($A282-Simulador!$E$6)/Simulador!$G$6)&gt;=1),0,IF((($A282-Simulador!$E$6)/Simulador!$G$6)&lt;Simulador!$B$11,Simulador!$B$9*(1-COS(PI()*(($A282-Simulador!$E$6)/Simulador!$G$6)/Simulador!$B$11))/2,IF((($A282-Simulador!$E$6)/Simulador!$G$6)&gt;1-Simulador!$B$11,Simulador!$B$9*(1-COS(PI()*(1-(($A282-Simulador!$E$6)/Simulador!$G$6))/Simulador!$B$11))/2,Simulador!$B$9)))</f>
        <v/>
      </c>
      <c r="D282" s="46">
        <f>IF(OR((($A282-Simulador!$E$7)/Simulador!$G$7)&lt;=0,(($A282-Simulador!$E$7)/Simulador!$G$7)&gt;=1),0,IF((($A282-Simulador!$E$7)/Simulador!$G$7)&lt;Simulador!$B$11,Simulador!$B$9*(1-COS(PI()*(($A282-Simulador!$E$7)/Simulador!$G$7)/Simulador!$B$11))/2,IF((($A282-Simulador!$E$7)/Simulador!$G$7)&gt;1-Simulador!$B$11,Simulador!$B$9*(1-COS(PI()*(1-(($A282-Simulador!$E$7)/Simulador!$G$7))/Simulador!$B$11))/2,Simulador!$B$9)))</f>
        <v/>
      </c>
      <c r="E282" s="46">
        <f>IF(OR((($A282-Simulador!$E$8)/Simulador!$G$8)&lt;=0,(($A282-Simulador!$E$8)/Simulador!$G$8)&gt;=1),0,IF((($A282-Simulador!$E$8)/Simulador!$G$8)&lt;Simulador!$B$11,Simulador!$B$10*(1-COS(PI()*(($A282-Simulador!$E$8)/Simulador!$G$8)/Simulador!$B$11))/2,IF((($A282-Simulador!$E$8)/Simulador!$G$8)&gt;1-Simulador!$B$11,Simulador!$B$10*(1-COS(PI()*(1-(($A282-Simulador!$E$8)/Simulador!$G$8))/Simulador!$B$11))/2,Simulador!$B$10)))</f>
        <v/>
      </c>
      <c r="F282" s="46">
        <f>IF(OR((($A282-Simulador!$E$9)/Simulador!$G$9)&lt;=0,(($A282-Simulador!$E$9)/Simulador!$G$9)&gt;=1),0,IF((($A282-Simulador!$E$9)/Simulador!$G$9)&lt;Simulador!$B$11,Simulador!$B$10*(1-COS(PI()*(($A282-Simulador!$E$9)/Simulador!$G$9)/Simulador!$B$11))/2,IF((($A282-Simulador!$E$9)/Simulador!$G$9)&gt;1-Simulador!$B$11,Simulador!$B$10*(1-COS(PI()*(1-(($A282-Simulador!$E$9)/Simulador!$G$9))/Simulador!$B$11))/2,Simulador!$B$10)))</f>
        <v/>
      </c>
      <c r="G282" s="46">
        <f>IF(OR((($A282-Simulador!$E$10)/Simulador!$G$10)&lt;=0,(($A282-Simulador!$E$10)/Simulador!$G$10)&gt;=1),0,IF((($A282-Simulador!$E$10)/Simulador!$G$10)&lt;Simulador!$B$11,Simulador!$B$10*(1-COS(PI()*(($A282-Simulador!$E$10)/Simulador!$G$10)/Simulador!$B$11))/2,IF((($A282-Simulador!$E$10)/Simulador!$G$10)&gt;1-Simulador!$B$11,Simulador!$B$10*(1-COS(PI()*(1-(($A282-Simulador!$E$10)/Simulador!$G$10))/Simulador!$B$11))/2,Simulador!$B$10)))</f>
        <v/>
      </c>
      <c r="Q282" s="48">
        <f>IF(OR((($A282-(Simulador!$E$6+'Salto de dientes'!$B$12))/Simulador!$G$6)&lt;=0,(($A282-(Simulador!$E$6+'Salto de dientes'!$B$12))/Simulador!$G$6)&gt;=1),0,IF((($A282-(Simulador!$E$6+'Salto de dientes'!$B$12))/Simulador!$G$6)&lt;Simulador!$B$11,Simulador!$B$9*(1-COS(PI()*(($A282-(Simulador!$E$6+'Salto de dientes'!$B$12))/Simulador!$G$6)/Simulador!$B$11))/2,IF((($A282-(Simulador!$E$6+'Salto de dientes'!$B$12))/Simulador!$G$6)&gt;1-Simulador!$B$11,Simulador!$B$9*(1-COS(PI()*(1-(($A282-(Simulador!$E$6+'Salto de dientes'!$B$12))/Simulador!$G$6))/Simulador!$B$11))/2,Simulador!$B$9)))</f>
        <v/>
      </c>
      <c r="R282" s="48">
        <f>IF(OR((($A282-(Simulador!$E$9+'Salto de dientes'!$B$12))/Simulador!$G$9)&lt;=0,(($A282-(Simulador!$E$9+'Salto de dientes'!$B$12))/Simulador!$G$9)&gt;=1),0,IF((($A282-(Simulador!$E$9+'Salto de dientes'!$B$12))/Simulador!$G$9)&lt;Simulador!$B$11,Simulador!$B$10*(1-COS(PI()*(($A282-(Simulador!$E$9+'Salto de dientes'!$B$12))/Simulador!$G$9)/Simulador!$B$11))/2,IF((($A282-(Simulador!$E$9+'Salto de dientes'!$B$12))/Simulador!$G$9)&gt;1-Simulador!$B$11,Simulador!$B$10*(1-COS(PI()*(1-(($A282-(Simulador!$E$9+'Salto de dientes'!$B$12))/Simulador!$G$9))/Simulador!$B$11))/2,Simulador!$B$10)))</f>
        <v/>
      </c>
    </row>
    <row r="283">
      <c r="A283" s="26">
        <f>A282+Simulador!$B$14</f>
        <v/>
      </c>
      <c r="B283" s="46">
        <f>IF(OR((($A283-Simulador!$E$5)/Simulador!$G$5)&lt;=0,(($A283-Simulador!$E$5)/Simulador!$G$5)&gt;=1),0,IF((($A283-Simulador!$E$5)/Simulador!$G$5)&lt;Simulador!$B$11,Simulador!$B$9*(1-COS(PI()*(($A283-Simulador!$E$5)/Simulador!$G$5)/Simulador!$B$11))/2,IF((($A283-Simulador!$E$5)/Simulador!$G$5)&gt;1-Simulador!$B$11,Simulador!$B$9*(1-COS(PI()*(1-(($A283-Simulador!$E$5)/Simulador!$G$5))/Simulador!$B$11))/2,Simulador!$B$9)))</f>
        <v/>
      </c>
      <c r="C283" s="46">
        <f>IF(OR((($A283-Simulador!$E$6)/Simulador!$G$6)&lt;=0,(($A283-Simulador!$E$6)/Simulador!$G$6)&gt;=1),0,IF((($A283-Simulador!$E$6)/Simulador!$G$6)&lt;Simulador!$B$11,Simulador!$B$9*(1-COS(PI()*(($A283-Simulador!$E$6)/Simulador!$G$6)/Simulador!$B$11))/2,IF((($A283-Simulador!$E$6)/Simulador!$G$6)&gt;1-Simulador!$B$11,Simulador!$B$9*(1-COS(PI()*(1-(($A283-Simulador!$E$6)/Simulador!$G$6))/Simulador!$B$11))/2,Simulador!$B$9)))</f>
        <v/>
      </c>
      <c r="D283" s="46">
        <f>IF(OR((($A283-Simulador!$E$7)/Simulador!$G$7)&lt;=0,(($A283-Simulador!$E$7)/Simulador!$G$7)&gt;=1),0,IF((($A283-Simulador!$E$7)/Simulador!$G$7)&lt;Simulador!$B$11,Simulador!$B$9*(1-COS(PI()*(($A283-Simulador!$E$7)/Simulador!$G$7)/Simulador!$B$11))/2,IF((($A283-Simulador!$E$7)/Simulador!$G$7)&gt;1-Simulador!$B$11,Simulador!$B$9*(1-COS(PI()*(1-(($A283-Simulador!$E$7)/Simulador!$G$7))/Simulador!$B$11))/2,Simulador!$B$9)))</f>
        <v/>
      </c>
      <c r="E283" s="46">
        <f>IF(OR((($A283-Simulador!$E$8)/Simulador!$G$8)&lt;=0,(($A283-Simulador!$E$8)/Simulador!$G$8)&gt;=1),0,IF((($A283-Simulador!$E$8)/Simulador!$G$8)&lt;Simulador!$B$11,Simulador!$B$10*(1-COS(PI()*(($A283-Simulador!$E$8)/Simulador!$G$8)/Simulador!$B$11))/2,IF((($A283-Simulador!$E$8)/Simulador!$G$8)&gt;1-Simulador!$B$11,Simulador!$B$10*(1-COS(PI()*(1-(($A283-Simulador!$E$8)/Simulador!$G$8))/Simulador!$B$11))/2,Simulador!$B$10)))</f>
        <v/>
      </c>
      <c r="F283" s="46">
        <f>IF(OR((($A283-Simulador!$E$9)/Simulador!$G$9)&lt;=0,(($A283-Simulador!$E$9)/Simulador!$G$9)&gt;=1),0,IF((($A283-Simulador!$E$9)/Simulador!$G$9)&lt;Simulador!$B$11,Simulador!$B$10*(1-COS(PI()*(($A283-Simulador!$E$9)/Simulador!$G$9)/Simulador!$B$11))/2,IF((($A283-Simulador!$E$9)/Simulador!$G$9)&gt;1-Simulador!$B$11,Simulador!$B$10*(1-COS(PI()*(1-(($A283-Simulador!$E$9)/Simulador!$G$9))/Simulador!$B$11))/2,Simulador!$B$10)))</f>
        <v/>
      </c>
      <c r="G283" s="46">
        <f>IF(OR((($A283-Simulador!$E$10)/Simulador!$G$10)&lt;=0,(($A283-Simulador!$E$10)/Simulador!$G$10)&gt;=1),0,IF((($A283-Simulador!$E$10)/Simulador!$G$10)&lt;Simulador!$B$11,Simulador!$B$10*(1-COS(PI()*(($A283-Simulador!$E$10)/Simulador!$G$10)/Simulador!$B$11))/2,IF((($A283-Simulador!$E$10)/Simulador!$G$10)&gt;1-Simulador!$B$11,Simulador!$B$10*(1-COS(PI()*(1-(($A283-Simulador!$E$10)/Simulador!$G$10))/Simulador!$B$11))/2,Simulador!$B$10)))</f>
        <v/>
      </c>
      <c r="Q283" s="48">
        <f>IF(OR((($A283-(Simulador!$E$6+'Salto de dientes'!$B$12))/Simulador!$G$6)&lt;=0,(($A283-(Simulador!$E$6+'Salto de dientes'!$B$12))/Simulador!$G$6)&gt;=1),0,IF((($A283-(Simulador!$E$6+'Salto de dientes'!$B$12))/Simulador!$G$6)&lt;Simulador!$B$11,Simulador!$B$9*(1-COS(PI()*(($A283-(Simulador!$E$6+'Salto de dientes'!$B$12))/Simulador!$G$6)/Simulador!$B$11))/2,IF((($A283-(Simulador!$E$6+'Salto de dientes'!$B$12))/Simulador!$G$6)&gt;1-Simulador!$B$11,Simulador!$B$9*(1-COS(PI()*(1-(($A283-(Simulador!$E$6+'Salto de dientes'!$B$12))/Simulador!$G$6))/Simulador!$B$11))/2,Simulador!$B$9)))</f>
        <v/>
      </c>
      <c r="R283" s="48">
        <f>IF(OR((($A283-(Simulador!$E$9+'Salto de dientes'!$B$12))/Simulador!$G$9)&lt;=0,(($A283-(Simulador!$E$9+'Salto de dientes'!$B$12))/Simulador!$G$9)&gt;=1),0,IF((($A283-(Simulador!$E$9+'Salto de dientes'!$B$12))/Simulador!$G$9)&lt;Simulador!$B$11,Simulador!$B$10*(1-COS(PI()*(($A283-(Simulador!$E$9+'Salto de dientes'!$B$12))/Simulador!$G$9)/Simulador!$B$11))/2,IF((($A283-(Simulador!$E$9+'Salto de dientes'!$B$12))/Simulador!$G$9)&gt;1-Simulador!$B$11,Simulador!$B$10*(1-COS(PI()*(1-(($A283-(Simulador!$E$9+'Salto de dientes'!$B$12))/Simulador!$G$9))/Simulador!$B$11))/2,Simulador!$B$10)))</f>
        <v/>
      </c>
    </row>
    <row r="284">
      <c r="A284" s="26">
        <f>A283+Simulador!$B$14</f>
        <v/>
      </c>
      <c r="B284" s="46">
        <f>IF(OR((($A284-Simulador!$E$5)/Simulador!$G$5)&lt;=0,(($A284-Simulador!$E$5)/Simulador!$G$5)&gt;=1),0,IF((($A284-Simulador!$E$5)/Simulador!$G$5)&lt;Simulador!$B$11,Simulador!$B$9*(1-COS(PI()*(($A284-Simulador!$E$5)/Simulador!$G$5)/Simulador!$B$11))/2,IF((($A284-Simulador!$E$5)/Simulador!$G$5)&gt;1-Simulador!$B$11,Simulador!$B$9*(1-COS(PI()*(1-(($A284-Simulador!$E$5)/Simulador!$G$5))/Simulador!$B$11))/2,Simulador!$B$9)))</f>
        <v/>
      </c>
      <c r="C284" s="46">
        <f>IF(OR((($A284-Simulador!$E$6)/Simulador!$G$6)&lt;=0,(($A284-Simulador!$E$6)/Simulador!$G$6)&gt;=1),0,IF((($A284-Simulador!$E$6)/Simulador!$G$6)&lt;Simulador!$B$11,Simulador!$B$9*(1-COS(PI()*(($A284-Simulador!$E$6)/Simulador!$G$6)/Simulador!$B$11))/2,IF((($A284-Simulador!$E$6)/Simulador!$G$6)&gt;1-Simulador!$B$11,Simulador!$B$9*(1-COS(PI()*(1-(($A284-Simulador!$E$6)/Simulador!$G$6))/Simulador!$B$11))/2,Simulador!$B$9)))</f>
        <v/>
      </c>
      <c r="D284" s="46">
        <f>IF(OR((($A284-Simulador!$E$7)/Simulador!$G$7)&lt;=0,(($A284-Simulador!$E$7)/Simulador!$G$7)&gt;=1),0,IF((($A284-Simulador!$E$7)/Simulador!$G$7)&lt;Simulador!$B$11,Simulador!$B$9*(1-COS(PI()*(($A284-Simulador!$E$7)/Simulador!$G$7)/Simulador!$B$11))/2,IF((($A284-Simulador!$E$7)/Simulador!$G$7)&gt;1-Simulador!$B$11,Simulador!$B$9*(1-COS(PI()*(1-(($A284-Simulador!$E$7)/Simulador!$G$7))/Simulador!$B$11))/2,Simulador!$B$9)))</f>
        <v/>
      </c>
      <c r="E284" s="46">
        <f>IF(OR((($A284-Simulador!$E$8)/Simulador!$G$8)&lt;=0,(($A284-Simulador!$E$8)/Simulador!$G$8)&gt;=1),0,IF((($A284-Simulador!$E$8)/Simulador!$G$8)&lt;Simulador!$B$11,Simulador!$B$10*(1-COS(PI()*(($A284-Simulador!$E$8)/Simulador!$G$8)/Simulador!$B$11))/2,IF((($A284-Simulador!$E$8)/Simulador!$G$8)&gt;1-Simulador!$B$11,Simulador!$B$10*(1-COS(PI()*(1-(($A284-Simulador!$E$8)/Simulador!$G$8))/Simulador!$B$11))/2,Simulador!$B$10)))</f>
        <v/>
      </c>
      <c r="F284" s="46">
        <f>IF(OR((($A284-Simulador!$E$9)/Simulador!$G$9)&lt;=0,(($A284-Simulador!$E$9)/Simulador!$G$9)&gt;=1),0,IF((($A284-Simulador!$E$9)/Simulador!$G$9)&lt;Simulador!$B$11,Simulador!$B$10*(1-COS(PI()*(($A284-Simulador!$E$9)/Simulador!$G$9)/Simulador!$B$11))/2,IF((($A284-Simulador!$E$9)/Simulador!$G$9)&gt;1-Simulador!$B$11,Simulador!$B$10*(1-COS(PI()*(1-(($A284-Simulador!$E$9)/Simulador!$G$9))/Simulador!$B$11))/2,Simulador!$B$10)))</f>
        <v/>
      </c>
      <c r="G284" s="46">
        <f>IF(OR((($A284-Simulador!$E$10)/Simulador!$G$10)&lt;=0,(($A284-Simulador!$E$10)/Simulador!$G$10)&gt;=1),0,IF((($A284-Simulador!$E$10)/Simulador!$G$10)&lt;Simulador!$B$11,Simulador!$B$10*(1-COS(PI()*(($A284-Simulador!$E$10)/Simulador!$G$10)/Simulador!$B$11))/2,IF((($A284-Simulador!$E$10)/Simulador!$G$10)&gt;1-Simulador!$B$11,Simulador!$B$10*(1-COS(PI()*(1-(($A284-Simulador!$E$10)/Simulador!$G$10))/Simulador!$B$11))/2,Simulador!$B$10)))</f>
        <v/>
      </c>
      <c r="Q284" s="48">
        <f>IF(OR((($A284-(Simulador!$E$6+'Salto de dientes'!$B$12))/Simulador!$G$6)&lt;=0,(($A284-(Simulador!$E$6+'Salto de dientes'!$B$12))/Simulador!$G$6)&gt;=1),0,IF((($A284-(Simulador!$E$6+'Salto de dientes'!$B$12))/Simulador!$G$6)&lt;Simulador!$B$11,Simulador!$B$9*(1-COS(PI()*(($A284-(Simulador!$E$6+'Salto de dientes'!$B$12))/Simulador!$G$6)/Simulador!$B$11))/2,IF((($A284-(Simulador!$E$6+'Salto de dientes'!$B$12))/Simulador!$G$6)&gt;1-Simulador!$B$11,Simulador!$B$9*(1-COS(PI()*(1-(($A284-(Simulador!$E$6+'Salto de dientes'!$B$12))/Simulador!$G$6))/Simulador!$B$11))/2,Simulador!$B$9)))</f>
        <v/>
      </c>
      <c r="R284" s="48">
        <f>IF(OR((($A284-(Simulador!$E$9+'Salto de dientes'!$B$12))/Simulador!$G$9)&lt;=0,(($A284-(Simulador!$E$9+'Salto de dientes'!$B$12))/Simulador!$G$9)&gt;=1),0,IF((($A284-(Simulador!$E$9+'Salto de dientes'!$B$12))/Simulador!$G$9)&lt;Simulador!$B$11,Simulador!$B$10*(1-COS(PI()*(($A284-(Simulador!$E$9+'Salto de dientes'!$B$12))/Simulador!$G$9)/Simulador!$B$11))/2,IF((($A284-(Simulador!$E$9+'Salto de dientes'!$B$12))/Simulador!$G$9)&gt;1-Simulador!$B$11,Simulador!$B$10*(1-COS(PI()*(1-(($A284-(Simulador!$E$9+'Salto de dientes'!$B$12))/Simulador!$G$9))/Simulador!$B$11))/2,Simulador!$B$10)))</f>
        <v/>
      </c>
    </row>
    <row r="285">
      <c r="A285" s="26">
        <f>A284+Simulador!$B$14</f>
        <v/>
      </c>
      <c r="B285" s="46">
        <f>IF(OR((($A285-Simulador!$E$5)/Simulador!$G$5)&lt;=0,(($A285-Simulador!$E$5)/Simulador!$G$5)&gt;=1),0,IF((($A285-Simulador!$E$5)/Simulador!$G$5)&lt;Simulador!$B$11,Simulador!$B$9*(1-COS(PI()*(($A285-Simulador!$E$5)/Simulador!$G$5)/Simulador!$B$11))/2,IF((($A285-Simulador!$E$5)/Simulador!$G$5)&gt;1-Simulador!$B$11,Simulador!$B$9*(1-COS(PI()*(1-(($A285-Simulador!$E$5)/Simulador!$G$5))/Simulador!$B$11))/2,Simulador!$B$9)))</f>
        <v/>
      </c>
      <c r="C285" s="46">
        <f>IF(OR((($A285-Simulador!$E$6)/Simulador!$G$6)&lt;=0,(($A285-Simulador!$E$6)/Simulador!$G$6)&gt;=1),0,IF((($A285-Simulador!$E$6)/Simulador!$G$6)&lt;Simulador!$B$11,Simulador!$B$9*(1-COS(PI()*(($A285-Simulador!$E$6)/Simulador!$G$6)/Simulador!$B$11))/2,IF((($A285-Simulador!$E$6)/Simulador!$G$6)&gt;1-Simulador!$B$11,Simulador!$B$9*(1-COS(PI()*(1-(($A285-Simulador!$E$6)/Simulador!$G$6))/Simulador!$B$11))/2,Simulador!$B$9)))</f>
        <v/>
      </c>
      <c r="D285" s="46">
        <f>IF(OR((($A285-Simulador!$E$7)/Simulador!$G$7)&lt;=0,(($A285-Simulador!$E$7)/Simulador!$G$7)&gt;=1),0,IF((($A285-Simulador!$E$7)/Simulador!$G$7)&lt;Simulador!$B$11,Simulador!$B$9*(1-COS(PI()*(($A285-Simulador!$E$7)/Simulador!$G$7)/Simulador!$B$11))/2,IF((($A285-Simulador!$E$7)/Simulador!$G$7)&gt;1-Simulador!$B$11,Simulador!$B$9*(1-COS(PI()*(1-(($A285-Simulador!$E$7)/Simulador!$G$7))/Simulador!$B$11))/2,Simulador!$B$9)))</f>
        <v/>
      </c>
      <c r="E285" s="46">
        <f>IF(OR((($A285-Simulador!$E$8)/Simulador!$G$8)&lt;=0,(($A285-Simulador!$E$8)/Simulador!$G$8)&gt;=1),0,IF((($A285-Simulador!$E$8)/Simulador!$G$8)&lt;Simulador!$B$11,Simulador!$B$10*(1-COS(PI()*(($A285-Simulador!$E$8)/Simulador!$G$8)/Simulador!$B$11))/2,IF((($A285-Simulador!$E$8)/Simulador!$G$8)&gt;1-Simulador!$B$11,Simulador!$B$10*(1-COS(PI()*(1-(($A285-Simulador!$E$8)/Simulador!$G$8))/Simulador!$B$11))/2,Simulador!$B$10)))</f>
        <v/>
      </c>
      <c r="F285" s="46">
        <f>IF(OR((($A285-Simulador!$E$9)/Simulador!$G$9)&lt;=0,(($A285-Simulador!$E$9)/Simulador!$G$9)&gt;=1),0,IF((($A285-Simulador!$E$9)/Simulador!$G$9)&lt;Simulador!$B$11,Simulador!$B$10*(1-COS(PI()*(($A285-Simulador!$E$9)/Simulador!$G$9)/Simulador!$B$11))/2,IF((($A285-Simulador!$E$9)/Simulador!$G$9)&gt;1-Simulador!$B$11,Simulador!$B$10*(1-COS(PI()*(1-(($A285-Simulador!$E$9)/Simulador!$G$9))/Simulador!$B$11))/2,Simulador!$B$10)))</f>
        <v/>
      </c>
      <c r="G285" s="46">
        <f>IF(OR((($A285-Simulador!$E$10)/Simulador!$G$10)&lt;=0,(($A285-Simulador!$E$10)/Simulador!$G$10)&gt;=1),0,IF((($A285-Simulador!$E$10)/Simulador!$G$10)&lt;Simulador!$B$11,Simulador!$B$10*(1-COS(PI()*(($A285-Simulador!$E$10)/Simulador!$G$10)/Simulador!$B$11))/2,IF((($A285-Simulador!$E$10)/Simulador!$G$10)&gt;1-Simulador!$B$11,Simulador!$B$10*(1-COS(PI()*(1-(($A285-Simulador!$E$10)/Simulador!$G$10))/Simulador!$B$11))/2,Simulador!$B$10)))</f>
        <v/>
      </c>
      <c r="Q285" s="48">
        <f>IF(OR((($A285-(Simulador!$E$6+'Salto de dientes'!$B$12))/Simulador!$G$6)&lt;=0,(($A285-(Simulador!$E$6+'Salto de dientes'!$B$12))/Simulador!$G$6)&gt;=1),0,IF((($A285-(Simulador!$E$6+'Salto de dientes'!$B$12))/Simulador!$G$6)&lt;Simulador!$B$11,Simulador!$B$9*(1-COS(PI()*(($A285-(Simulador!$E$6+'Salto de dientes'!$B$12))/Simulador!$G$6)/Simulador!$B$11))/2,IF((($A285-(Simulador!$E$6+'Salto de dientes'!$B$12))/Simulador!$G$6)&gt;1-Simulador!$B$11,Simulador!$B$9*(1-COS(PI()*(1-(($A285-(Simulador!$E$6+'Salto de dientes'!$B$12))/Simulador!$G$6))/Simulador!$B$11))/2,Simulador!$B$9)))</f>
        <v/>
      </c>
      <c r="R285" s="48">
        <f>IF(OR((($A285-(Simulador!$E$9+'Salto de dientes'!$B$12))/Simulador!$G$9)&lt;=0,(($A285-(Simulador!$E$9+'Salto de dientes'!$B$12))/Simulador!$G$9)&gt;=1),0,IF((($A285-(Simulador!$E$9+'Salto de dientes'!$B$12))/Simulador!$G$9)&lt;Simulador!$B$11,Simulador!$B$10*(1-COS(PI()*(($A285-(Simulador!$E$9+'Salto de dientes'!$B$12))/Simulador!$G$9)/Simulador!$B$11))/2,IF((($A285-(Simulador!$E$9+'Salto de dientes'!$B$12))/Simulador!$G$9)&gt;1-Simulador!$B$11,Simulador!$B$10*(1-COS(PI()*(1-(($A285-(Simulador!$E$9+'Salto de dientes'!$B$12))/Simulador!$G$9))/Simulador!$B$11))/2,Simulador!$B$10)))</f>
        <v/>
      </c>
    </row>
    <row r="286">
      <c r="A286" s="26">
        <f>A285+Simulador!$B$14</f>
        <v/>
      </c>
      <c r="B286" s="46">
        <f>IF(OR((($A286-Simulador!$E$5)/Simulador!$G$5)&lt;=0,(($A286-Simulador!$E$5)/Simulador!$G$5)&gt;=1),0,IF((($A286-Simulador!$E$5)/Simulador!$G$5)&lt;Simulador!$B$11,Simulador!$B$9*(1-COS(PI()*(($A286-Simulador!$E$5)/Simulador!$G$5)/Simulador!$B$11))/2,IF((($A286-Simulador!$E$5)/Simulador!$G$5)&gt;1-Simulador!$B$11,Simulador!$B$9*(1-COS(PI()*(1-(($A286-Simulador!$E$5)/Simulador!$G$5))/Simulador!$B$11))/2,Simulador!$B$9)))</f>
        <v/>
      </c>
      <c r="C286" s="46">
        <f>IF(OR((($A286-Simulador!$E$6)/Simulador!$G$6)&lt;=0,(($A286-Simulador!$E$6)/Simulador!$G$6)&gt;=1),0,IF((($A286-Simulador!$E$6)/Simulador!$G$6)&lt;Simulador!$B$11,Simulador!$B$9*(1-COS(PI()*(($A286-Simulador!$E$6)/Simulador!$G$6)/Simulador!$B$11))/2,IF((($A286-Simulador!$E$6)/Simulador!$G$6)&gt;1-Simulador!$B$11,Simulador!$B$9*(1-COS(PI()*(1-(($A286-Simulador!$E$6)/Simulador!$G$6))/Simulador!$B$11))/2,Simulador!$B$9)))</f>
        <v/>
      </c>
      <c r="D286" s="46">
        <f>IF(OR((($A286-Simulador!$E$7)/Simulador!$G$7)&lt;=0,(($A286-Simulador!$E$7)/Simulador!$G$7)&gt;=1),0,IF((($A286-Simulador!$E$7)/Simulador!$G$7)&lt;Simulador!$B$11,Simulador!$B$9*(1-COS(PI()*(($A286-Simulador!$E$7)/Simulador!$G$7)/Simulador!$B$11))/2,IF((($A286-Simulador!$E$7)/Simulador!$G$7)&gt;1-Simulador!$B$11,Simulador!$B$9*(1-COS(PI()*(1-(($A286-Simulador!$E$7)/Simulador!$G$7))/Simulador!$B$11))/2,Simulador!$B$9)))</f>
        <v/>
      </c>
      <c r="E286" s="46">
        <f>IF(OR((($A286-Simulador!$E$8)/Simulador!$G$8)&lt;=0,(($A286-Simulador!$E$8)/Simulador!$G$8)&gt;=1),0,IF((($A286-Simulador!$E$8)/Simulador!$G$8)&lt;Simulador!$B$11,Simulador!$B$10*(1-COS(PI()*(($A286-Simulador!$E$8)/Simulador!$G$8)/Simulador!$B$11))/2,IF((($A286-Simulador!$E$8)/Simulador!$G$8)&gt;1-Simulador!$B$11,Simulador!$B$10*(1-COS(PI()*(1-(($A286-Simulador!$E$8)/Simulador!$G$8))/Simulador!$B$11))/2,Simulador!$B$10)))</f>
        <v/>
      </c>
      <c r="F286" s="46">
        <f>IF(OR((($A286-Simulador!$E$9)/Simulador!$G$9)&lt;=0,(($A286-Simulador!$E$9)/Simulador!$G$9)&gt;=1),0,IF((($A286-Simulador!$E$9)/Simulador!$G$9)&lt;Simulador!$B$11,Simulador!$B$10*(1-COS(PI()*(($A286-Simulador!$E$9)/Simulador!$G$9)/Simulador!$B$11))/2,IF((($A286-Simulador!$E$9)/Simulador!$G$9)&gt;1-Simulador!$B$11,Simulador!$B$10*(1-COS(PI()*(1-(($A286-Simulador!$E$9)/Simulador!$G$9))/Simulador!$B$11))/2,Simulador!$B$10)))</f>
        <v/>
      </c>
      <c r="G286" s="46">
        <f>IF(OR((($A286-Simulador!$E$10)/Simulador!$G$10)&lt;=0,(($A286-Simulador!$E$10)/Simulador!$G$10)&gt;=1),0,IF((($A286-Simulador!$E$10)/Simulador!$G$10)&lt;Simulador!$B$11,Simulador!$B$10*(1-COS(PI()*(($A286-Simulador!$E$10)/Simulador!$G$10)/Simulador!$B$11))/2,IF((($A286-Simulador!$E$10)/Simulador!$G$10)&gt;1-Simulador!$B$11,Simulador!$B$10*(1-COS(PI()*(1-(($A286-Simulador!$E$10)/Simulador!$G$10))/Simulador!$B$11))/2,Simulador!$B$10)))</f>
        <v/>
      </c>
      <c r="Q286" s="48">
        <f>IF(OR((($A286-(Simulador!$E$6+'Salto de dientes'!$B$12))/Simulador!$G$6)&lt;=0,(($A286-(Simulador!$E$6+'Salto de dientes'!$B$12))/Simulador!$G$6)&gt;=1),0,IF((($A286-(Simulador!$E$6+'Salto de dientes'!$B$12))/Simulador!$G$6)&lt;Simulador!$B$11,Simulador!$B$9*(1-COS(PI()*(($A286-(Simulador!$E$6+'Salto de dientes'!$B$12))/Simulador!$G$6)/Simulador!$B$11))/2,IF((($A286-(Simulador!$E$6+'Salto de dientes'!$B$12))/Simulador!$G$6)&gt;1-Simulador!$B$11,Simulador!$B$9*(1-COS(PI()*(1-(($A286-(Simulador!$E$6+'Salto de dientes'!$B$12))/Simulador!$G$6))/Simulador!$B$11))/2,Simulador!$B$9)))</f>
        <v/>
      </c>
      <c r="R286" s="48">
        <f>IF(OR((($A286-(Simulador!$E$9+'Salto de dientes'!$B$12))/Simulador!$G$9)&lt;=0,(($A286-(Simulador!$E$9+'Salto de dientes'!$B$12))/Simulador!$G$9)&gt;=1),0,IF((($A286-(Simulador!$E$9+'Salto de dientes'!$B$12))/Simulador!$G$9)&lt;Simulador!$B$11,Simulador!$B$10*(1-COS(PI()*(($A286-(Simulador!$E$9+'Salto de dientes'!$B$12))/Simulador!$G$9)/Simulador!$B$11))/2,IF((($A286-(Simulador!$E$9+'Salto de dientes'!$B$12))/Simulador!$G$9)&gt;1-Simulador!$B$11,Simulador!$B$10*(1-COS(PI()*(1-(($A286-(Simulador!$E$9+'Salto de dientes'!$B$12))/Simulador!$G$9))/Simulador!$B$11))/2,Simulador!$B$10)))</f>
        <v/>
      </c>
    </row>
    <row r="287">
      <c r="A287" s="26">
        <f>A286+Simulador!$B$14</f>
        <v/>
      </c>
      <c r="B287" s="46">
        <f>IF(OR((($A287-Simulador!$E$5)/Simulador!$G$5)&lt;=0,(($A287-Simulador!$E$5)/Simulador!$G$5)&gt;=1),0,IF((($A287-Simulador!$E$5)/Simulador!$G$5)&lt;Simulador!$B$11,Simulador!$B$9*(1-COS(PI()*(($A287-Simulador!$E$5)/Simulador!$G$5)/Simulador!$B$11))/2,IF((($A287-Simulador!$E$5)/Simulador!$G$5)&gt;1-Simulador!$B$11,Simulador!$B$9*(1-COS(PI()*(1-(($A287-Simulador!$E$5)/Simulador!$G$5))/Simulador!$B$11))/2,Simulador!$B$9)))</f>
        <v/>
      </c>
      <c r="C287" s="46">
        <f>IF(OR((($A287-Simulador!$E$6)/Simulador!$G$6)&lt;=0,(($A287-Simulador!$E$6)/Simulador!$G$6)&gt;=1),0,IF((($A287-Simulador!$E$6)/Simulador!$G$6)&lt;Simulador!$B$11,Simulador!$B$9*(1-COS(PI()*(($A287-Simulador!$E$6)/Simulador!$G$6)/Simulador!$B$11))/2,IF((($A287-Simulador!$E$6)/Simulador!$G$6)&gt;1-Simulador!$B$11,Simulador!$B$9*(1-COS(PI()*(1-(($A287-Simulador!$E$6)/Simulador!$G$6))/Simulador!$B$11))/2,Simulador!$B$9)))</f>
        <v/>
      </c>
      <c r="D287" s="46">
        <f>IF(OR((($A287-Simulador!$E$7)/Simulador!$G$7)&lt;=0,(($A287-Simulador!$E$7)/Simulador!$G$7)&gt;=1),0,IF((($A287-Simulador!$E$7)/Simulador!$G$7)&lt;Simulador!$B$11,Simulador!$B$9*(1-COS(PI()*(($A287-Simulador!$E$7)/Simulador!$G$7)/Simulador!$B$11))/2,IF((($A287-Simulador!$E$7)/Simulador!$G$7)&gt;1-Simulador!$B$11,Simulador!$B$9*(1-COS(PI()*(1-(($A287-Simulador!$E$7)/Simulador!$G$7))/Simulador!$B$11))/2,Simulador!$B$9)))</f>
        <v/>
      </c>
      <c r="E287" s="46">
        <f>IF(OR((($A287-Simulador!$E$8)/Simulador!$G$8)&lt;=0,(($A287-Simulador!$E$8)/Simulador!$G$8)&gt;=1),0,IF((($A287-Simulador!$E$8)/Simulador!$G$8)&lt;Simulador!$B$11,Simulador!$B$10*(1-COS(PI()*(($A287-Simulador!$E$8)/Simulador!$G$8)/Simulador!$B$11))/2,IF((($A287-Simulador!$E$8)/Simulador!$G$8)&gt;1-Simulador!$B$11,Simulador!$B$10*(1-COS(PI()*(1-(($A287-Simulador!$E$8)/Simulador!$G$8))/Simulador!$B$11))/2,Simulador!$B$10)))</f>
        <v/>
      </c>
      <c r="F287" s="46">
        <f>IF(OR((($A287-Simulador!$E$9)/Simulador!$G$9)&lt;=0,(($A287-Simulador!$E$9)/Simulador!$G$9)&gt;=1),0,IF((($A287-Simulador!$E$9)/Simulador!$G$9)&lt;Simulador!$B$11,Simulador!$B$10*(1-COS(PI()*(($A287-Simulador!$E$9)/Simulador!$G$9)/Simulador!$B$11))/2,IF((($A287-Simulador!$E$9)/Simulador!$G$9)&gt;1-Simulador!$B$11,Simulador!$B$10*(1-COS(PI()*(1-(($A287-Simulador!$E$9)/Simulador!$G$9))/Simulador!$B$11))/2,Simulador!$B$10)))</f>
        <v/>
      </c>
      <c r="G287" s="46">
        <f>IF(OR((($A287-Simulador!$E$10)/Simulador!$G$10)&lt;=0,(($A287-Simulador!$E$10)/Simulador!$G$10)&gt;=1),0,IF((($A287-Simulador!$E$10)/Simulador!$G$10)&lt;Simulador!$B$11,Simulador!$B$10*(1-COS(PI()*(($A287-Simulador!$E$10)/Simulador!$G$10)/Simulador!$B$11))/2,IF((($A287-Simulador!$E$10)/Simulador!$G$10)&gt;1-Simulador!$B$11,Simulador!$B$10*(1-COS(PI()*(1-(($A287-Simulador!$E$10)/Simulador!$G$10))/Simulador!$B$11))/2,Simulador!$B$10)))</f>
        <v/>
      </c>
      <c r="Q287" s="48">
        <f>IF(OR((($A287-(Simulador!$E$6+'Salto de dientes'!$B$12))/Simulador!$G$6)&lt;=0,(($A287-(Simulador!$E$6+'Salto de dientes'!$B$12))/Simulador!$G$6)&gt;=1),0,IF((($A287-(Simulador!$E$6+'Salto de dientes'!$B$12))/Simulador!$G$6)&lt;Simulador!$B$11,Simulador!$B$9*(1-COS(PI()*(($A287-(Simulador!$E$6+'Salto de dientes'!$B$12))/Simulador!$G$6)/Simulador!$B$11))/2,IF((($A287-(Simulador!$E$6+'Salto de dientes'!$B$12))/Simulador!$G$6)&gt;1-Simulador!$B$11,Simulador!$B$9*(1-COS(PI()*(1-(($A287-(Simulador!$E$6+'Salto de dientes'!$B$12))/Simulador!$G$6))/Simulador!$B$11))/2,Simulador!$B$9)))</f>
        <v/>
      </c>
      <c r="R287" s="48">
        <f>IF(OR((($A287-(Simulador!$E$9+'Salto de dientes'!$B$12))/Simulador!$G$9)&lt;=0,(($A287-(Simulador!$E$9+'Salto de dientes'!$B$12))/Simulador!$G$9)&gt;=1),0,IF((($A287-(Simulador!$E$9+'Salto de dientes'!$B$12))/Simulador!$G$9)&lt;Simulador!$B$11,Simulador!$B$10*(1-COS(PI()*(($A287-(Simulador!$E$9+'Salto de dientes'!$B$12))/Simulador!$G$9)/Simulador!$B$11))/2,IF((($A287-(Simulador!$E$9+'Salto de dientes'!$B$12))/Simulador!$G$9)&gt;1-Simulador!$B$11,Simulador!$B$10*(1-COS(PI()*(1-(($A287-(Simulador!$E$9+'Salto de dientes'!$B$12))/Simulador!$G$9))/Simulador!$B$11))/2,Simulador!$B$10)))</f>
        <v/>
      </c>
    </row>
    <row r="288">
      <c r="A288" s="26">
        <f>A287+Simulador!$B$14</f>
        <v/>
      </c>
      <c r="B288" s="46">
        <f>IF(OR((($A288-Simulador!$E$5)/Simulador!$G$5)&lt;=0,(($A288-Simulador!$E$5)/Simulador!$G$5)&gt;=1),0,IF((($A288-Simulador!$E$5)/Simulador!$G$5)&lt;Simulador!$B$11,Simulador!$B$9*(1-COS(PI()*(($A288-Simulador!$E$5)/Simulador!$G$5)/Simulador!$B$11))/2,IF((($A288-Simulador!$E$5)/Simulador!$G$5)&gt;1-Simulador!$B$11,Simulador!$B$9*(1-COS(PI()*(1-(($A288-Simulador!$E$5)/Simulador!$G$5))/Simulador!$B$11))/2,Simulador!$B$9)))</f>
        <v/>
      </c>
      <c r="C288" s="46">
        <f>IF(OR((($A288-Simulador!$E$6)/Simulador!$G$6)&lt;=0,(($A288-Simulador!$E$6)/Simulador!$G$6)&gt;=1),0,IF((($A288-Simulador!$E$6)/Simulador!$G$6)&lt;Simulador!$B$11,Simulador!$B$9*(1-COS(PI()*(($A288-Simulador!$E$6)/Simulador!$G$6)/Simulador!$B$11))/2,IF((($A288-Simulador!$E$6)/Simulador!$G$6)&gt;1-Simulador!$B$11,Simulador!$B$9*(1-COS(PI()*(1-(($A288-Simulador!$E$6)/Simulador!$G$6))/Simulador!$B$11))/2,Simulador!$B$9)))</f>
        <v/>
      </c>
      <c r="D288" s="46">
        <f>IF(OR((($A288-Simulador!$E$7)/Simulador!$G$7)&lt;=0,(($A288-Simulador!$E$7)/Simulador!$G$7)&gt;=1),0,IF((($A288-Simulador!$E$7)/Simulador!$G$7)&lt;Simulador!$B$11,Simulador!$B$9*(1-COS(PI()*(($A288-Simulador!$E$7)/Simulador!$G$7)/Simulador!$B$11))/2,IF((($A288-Simulador!$E$7)/Simulador!$G$7)&gt;1-Simulador!$B$11,Simulador!$B$9*(1-COS(PI()*(1-(($A288-Simulador!$E$7)/Simulador!$G$7))/Simulador!$B$11))/2,Simulador!$B$9)))</f>
        <v/>
      </c>
      <c r="E288" s="46">
        <f>IF(OR((($A288-Simulador!$E$8)/Simulador!$G$8)&lt;=0,(($A288-Simulador!$E$8)/Simulador!$G$8)&gt;=1),0,IF((($A288-Simulador!$E$8)/Simulador!$G$8)&lt;Simulador!$B$11,Simulador!$B$10*(1-COS(PI()*(($A288-Simulador!$E$8)/Simulador!$G$8)/Simulador!$B$11))/2,IF((($A288-Simulador!$E$8)/Simulador!$G$8)&gt;1-Simulador!$B$11,Simulador!$B$10*(1-COS(PI()*(1-(($A288-Simulador!$E$8)/Simulador!$G$8))/Simulador!$B$11))/2,Simulador!$B$10)))</f>
        <v/>
      </c>
      <c r="F288" s="46">
        <f>IF(OR((($A288-Simulador!$E$9)/Simulador!$G$9)&lt;=0,(($A288-Simulador!$E$9)/Simulador!$G$9)&gt;=1),0,IF((($A288-Simulador!$E$9)/Simulador!$G$9)&lt;Simulador!$B$11,Simulador!$B$10*(1-COS(PI()*(($A288-Simulador!$E$9)/Simulador!$G$9)/Simulador!$B$11))/2,IF((($A288-Simulador!$E$9)/Simulador!$G$9)&gt;1-Simulador!$B$11,Simulador!$B$10*(1-COS(PI()*(1-(($A288-Simulador!$E$9)/Simulador!$G$9))/Simulador!$B$11))/2,Simulador!$B$10)))</f>
        <v/>
      </c>
      <c r="G288" s="46">
        <f>IF(OR((($A288-Simulador!$E$10)/Simulador!$G$10)&lt;=0,(($A288-Simulador!$E$10)/Simulador!$G$10)&gt;=1),0,IF((($A288-Simulador!$E$10)/Simulador!$G$10)&lt;Simulador!$B$11,Simulador!$B$10*(1-COS(PI()*(($A288-Simulador!$E$10)/Simulador!$G$10)/Simulador!$B$11))/2,IF((($A288-Simulador!$E$10)/Simulador!$G$10)&gt;1-Simulador!$B$11,Simulador!$B$10*(1-COS(PI()*(1-(($A288-Simulador!$E$10)/Simulador!$G$10))/Simulador!$B$11))/2,Simulador!$B$10)))</f>
        <v/>
      </c>
      <c r="Q288" s="48">
        <f>IF(OR((($A288-(Simulador!$E$6+'Salto de dientes'!$B$12))/Simulador!$G$6)&lt;=0,(($A288-(Simulador!$E$6+'Salto de dientes'!$B$12))/Simulador!$G$6)&gt;=1),0,IF((($A288-(Simulador!$E$6+'Salto de dientes'!$B$12))/Simulador!$G$6)&lt;Simulador!$B$11,Simulador!$B$9*(1-COS(PI()*(($A288-(Simulador!$E$6+'Salto de dientes'!$B$12))/Simulador!$G$6)/Simulador!$B$11))/2,IF((($A288-(Simulador!$E$6+'Salto de dientes'!$B$12))/Simulador!$G$6)&gt;1-Simulador!$B$11,Simulador!$B$9*(1-COS(PI()*(1-(($A288-(Simulador!$E$6+'Salto de dientes'!$B$12))/Simulador!$G$6))/Simulador!$B$11))/2,Simulador!$B$9)))</f>
        <v/>
      </c>
      <c r="R288" s="48">
        <f>IF(OR((($A288-(Simulador!$E$9+'Salto de dientes'!$B$12))/Simulador!$G$9)&lt;=0,(($A288-(Simulador!$E$9+'Salto de dientes'!$B$12))/Simulador!$G$9)&gt;=1),0,IF((($A288-(Simulador!$E$9+'Salto de dientes'!$B$12))/Simulador!$G$9)&lt;Simulador!$B$11,Simulador!$B$10*(1-COS(PI()*(($A288-(Simulador!$E$9+'Salto de dientes'!$B$12))/Simulador!$G$9)/Simulador!$B$11))/2,IF((($A288-(Simulador!$E$9+'Salto de dientes'!$B$12))/Simulador!$G$9)&gt;1-Simulador!$B$11,Simulador!$B$10*(1-COS(PI()*(1-(($A288-(Simulador!$E$9+'Salto de dientes'!$B$12))/Simulador!$G$9))/Simulador!$B$11))/2,Simulador!$B$10)))</f>
        <v/>
      </c>
    </row>
    <row r="289">
      <c r="A289" s="26">
        <f>A288+Simulador!$B$14</f>
        <v/>
      </c>
      <c r="B289" s="46">
        <f>IF(OR((($A289-Simulador!$E$5)/Simulador!$G$5)&lt;=0,(($A289-Simulador!$E$5)/Simulador!$G$5)&gt;=1),0,IF((($A289-Simulador!$E$5)/Simulador!$G$5)&lt;Simulador!$B$11,Simulador!$B$9*(1-COS(PI()*(($A289-Simulador!$E$5)/Simulador!$G$5)/Simulador!$B$11))/2,IF((($A289-Simulador!$E$5)/Simulador!$G$5)&gt;1-Simulador!$B$11,Simulador!$B$9*(1-COS(PI()*(1-(($A289-Simulador!$E$5)/Simulador!$G$5))/Simulador!$B$11))/2,Simulador!$B$9)))</f>
        <v/>
      </c>
      <c r="C289" s="46">
        <f>IF(OR((($A289-Simulador!$E$6)/Simulador!$G$6)&lt;=0,(($A289-Simulador!$E$6)/Simulador!$G$6)&gt;=1),0,IF((($A289-Simulador!$E$6)/Simulador!$G$6)&lt;Simulador!$B$11,Simulador!$B$9*(1-COS(PI()*(($A289-Simulador!$E$6)/Simulador!$G$6)/Simulador!$B$11))/2,IF((($A289-Simulador!$E$6)/Simulador!$G$6)&gt;1-Simulador!$B$11,Simulador!$B$9*(1-COS(PI()*(1-(($A289-Simulador!$E$6)/Simulador!$G$6))/Simulador!$B$11))/2,Simulador!$B$9)))</f>
        <v/>
      </c>
      <c r="D289" s="46">
        <f>IF(OR((($A289-Simulador!$E$7)/Simulador!$G$7)&lt;=0,(($A289-Simulador!$E$7)/Simulador!$G$7)&gt;=1),0,IF((($A289-Simulador!$E$7)/Simulador!$G$7)&lt;Simulador!$B$11,Simulador!$B$9*(1-COS(PI()*(($A289-Simulador!$E$7)/Simulador!$G$7)/Simulador!$B$11))/2,IF((($A289-Simulador!$E$7)/Simulador!$G$7)&gt;1-Simulador!$B$11,Simulador!$B$9*(1-COS(PI()*(1-(($A289-Simulador!$E$7)/Simulador!$G$7))/Simulador!$B$11))/2,Simulador!$B$9)))</f>
        <v/>
      </c>
      <c r="E289" s="46">
        <f>IF(OR((($A289-Simulador!$E$8)/Simulador!$G$8)&lt;=0,(($A289-Simulador!$E$8)/Simulador!$G$8)&gt;=1),0,IF((($A289-Simulador!$E$8)/Simulador!$G$8)&lt;Simulador!$B$11,Simulador!$B$10*(1-COS(PI()*(($A289-Simulador!$E$8)/Simulador!$G$8)/Simulador!$B$11))/2,IF((($A289-Simulador!$E$8)/Simulador!$G$8)&gt;1-Simulador!$B$11,Simulador!$B$10*(1-COS(PI()*(1-(($A289-Simulador!$E$8)/Simulador!$G$8))/Simulador!$B$11))/2,Simulador!$B$10)))</f>
        <v/>
      </c>
      <c r="F289" s="46">
        <f>IF(OR((($A289-Simulador!$E$9)/Simulador!$G$9)&lt;=0,(($A289-Simulador!$E$9)/Simulador!$G$9)&gt;=1),0,IF((($A289-Simulador!$E$9)/Simulador!$G$9)&lt;Simulador!$B$11,Simulador!$B$10*(1-COS(PI()*(($A289-Simulador!$E$9)/Simulador!$G$9)/Simulador!$B$11))/2,IF((($A289-Simulador!$E$9)/Simulador!$G$9)&gt;1-Simulador!$B$11,Simulador!$B$10*(1-COS(PI()*(1-(($A289-Simulador!$E$9)/Simulador!$G$9))/Simulador!$B$11))/2,Simulador!$B$10)))</f>
        <v/>
      </c>
      <c r="G289" s="46">
        <f>IF(OR((($A289-Simulador!$E$10)/Simulador!$G$10)&lt;=0,(($A289-Simulador!$E$10)/Simulador!$G$10)&gt;=1),0,IF((($A289-Simulador!$E$10)/Simulador!$G$10)&lt;Simulador!$B$11,Simulador!$B$10*(1-COS(PI()*(($A289-Simulador!$E$10)/Simulador!$G$10)/Simulador!$B$11))/2,IF((($A289-Simulador!$E$10)/Simulador!$G$10)&gt;1-Simulador!$B$11,Simulador!$B$10*(1-COS(PI()*(1-(($A289-Simulador!$E$10)/Simulador!$G$10))/Simulador!$B$11))/2,Simulador!$B$10)))</f>
        <v/>
      </c>
      <c r="Q289" s="48">
        <f>IF(OR((($A289-(Simulador!$E$6+'Salto de dientes'!$B$12))/Simulador!$G$6)&lt;=0,(($A289-(Simulador!$E$6+'Salto de dientes'!$B$12))/Simulador!$G$6)&gt;=1),0,IF((($A289-(Simulador!$E$6+'Salto de dientes'!$B$12))/Simulador!$G$6)&lt;Simulador!$B$11,Simulador!$B$9*(1-COS(PI()*(($A289-(Simulador!$E$6+'Salto de dientes'!$B$12))/Simulador!$G$6)/Simulador!$B$11))/2,IF((($A289-(Simulador!$E$6+'Salto de dientes'!$B$12))/Simulador!$G$6)&gt;1-Simulador!$B$11,Simulador!$B$9*(1-COS(PI()*(1-(($A289-(Simulador!$E$6+'Salto de dientes'!$B$12))/Simulador!$G$6))/Simulador!$B$11))/2,Simulador!$B$9)))</f>
        <v/>
      </c>
      <c r="R289" s="48">
        <f>IF(OR((($A289-(Simulador!$E$9+'Salto de dientes'!$B$12))/Simulador!$G$9)&lt;=0,(($A289-(Simulador!$E$9+'Salto de dientes'!$B$12))/Simulador!$G$9)&gt;=1),0,IF((($A289-(Simulador!$E$9+'Salto de dientes'!$B$12))/Simulador!$G$9)&lt;Simulador!$B$11,Simulador!$B$10*(1-COS(PI()*(($A289-(Simulador!$E$9+'Salto de dientes'!$B$12))/Simulador!$G$9)/Simulador!$B$11))/2,IF((($A289-(Simulador!$E$9+'Salto de dientes'!$B$12))/Simulador!$G$9)&gt;1-Simulador!$B$11,Simulador!$B$10*(1-COS(PI()*(1-(($A289-(Simulador!$E$9+'Salto de dientes'!$B$12))/Simulador!$G$9))/Simulador!$B$11))/2,Simulador!$B$10)))</f>
        <v/>
      </c>
    </row>
    <row r="290">
      <c r="A290" s="26">
        <f>A289+Simulador!$B$14</f>
        <v/>
      </c>
      <c r="B290" s="46">
        <f>IF(OR((($A290-Simulador!$E$5)/Simulador!$G$5)&lt;=0,(($A290-Simulador!$E$5)/Simulador!$G$5)&gt;=1),0,IF((($A290-Simulador!$E$5)/Simulador!$G$5)&lt;Simulador!$B$11,Simulador!$B$9*(1-COS(PI()*(($A290-Simulador!$E$5)/Simulador!$G$5)/Simulador!$B$11))/2,IF((($A290-Simulador!$E$5)/Simulador!$G$5)&gt;1-Simulador!$B$11,Simulador!$B$9*(1-COS(PI()*(1-(($A290-Simulador!$E$5)/Simulador!$G$5))/Simulador!$B$11))/2,Simulador!$B$9)))</f>
        <v/>
      </c>
      <c r="C290" s="46">
        <f>IF(OR((($A290-Simulador!$E$6)/Simulador!$G$6)&lt;=0,(($A290-Simulador!$E$6)/Simulador!$G$6)&gt;=1),0,IF((($A290-Simulador!$E$6)/Simulador!$G$6)&lt;Simulador!$B$11,Simulador!$B$9*(1-COS(PI()*(($A290-Simulador!$E$6)/Simulador!$G$6)/Simulador!$B$11))/2,IF((($A290-Simulador!$E$6)/Simulador!$G$6)&gt;1-Simulador!$B$11,Simulador!$B$9*(1-COS(PI()*(1-(($A290-Simulador!$E$6)/Simulador!$G$6))/Simulador!$B$11))/2,Simulador!$B$9)))</f>
        <v/>
      </c>
      <c r="D290" s="46">
        <f>IF(OR((($A290-Simulador!$E$7)/Simulador!$G$7)&lt;=0,(($A290-Simulador!$E$7)/Simulador!$G$7)&gt;=1),0,IF((($A290-Simulador!$E$7)/Simulador!$G$7)&lt;Simulador!$B$11,Simulador!$B$9*(1-COS(PI()*(($A290-Simulador!$E$7)/Simulador!$G$7)/Simulador!$B$11))/2,IF((($A290-Simulador!$E$7)/Simulador!$G$7)&gt;1-Simulador!$B$11,Simulador!$B$9*(1-COS(PI()*(1-(($A290-Simulador!$E$7)/Simulador!$G$7))/Simulador!$B$11))/2,Simulador!$B$9)))</f>
        <v/>
      </c>
      <c r="E290" s="46">
        <f>IF(OR((($A290-Simulador!$E$8)/Simulador!$G$8)&lt;=0,(($A290-Simulador!$E$8)/Simulador!$G$8)&gt;=1),0,IF((($A290-Simulador!$E$8)/Simulador!$G$8)&lt;Simulador!$B$11,Simulador!$B$10*(1-COS(PI()*(($A290-Simulador!$E$8)/Simulador!$G$8)/Simulador!$B$11))/2,IF((($A290-Simulador!$E$8)/Simulador!$G$8)&gt;1-Simulador!$B$11,Simulador!$B$10*(1-COS(PI()*(1-(($A290-Simulador!$E$8)/Simulador!$G$8))/Simulador!$B$11))/2,Simulador!$B$10)))</f>
        <v/>
      </c>
      <c r="F290" s="46">
        <f>IF(OR((($A290-Simulador!$E$9)/Simulador!$G$9)&lt;=0,(($A290-Simulador!$E$9)/Simulador!$G$9)&gt;=1),0,IF((($A290-Simulador!$E$9)/Simulador!$G$9)&lt;Simulador!$B$11,Simulador!$B$10*(1-COS(PI()*(($A290-Simulador!$E$9)/Simulador!$G$9)/Simulador!$B$11))/2,IF((($A290-Simulador!$E$9)/Simulador!$G$9)&gt;1-Simulador!$B$11,Simulador!$B$10*(1-COS(PI()*(1-(($A290-Simulador!$E$9)/Simulador!$G$9))/Simulador!$B$11))/2,Simulador!$B$10)))</f>
        <v/>
      </c>
      <c r="G290" s="46">
        <f>IF(OR((($A290-Simulador!$E$10)/Simulador!$G$10)&lt;=0,(($A290-Simulador!$E$10)/Simulador!$G$10)&gt;=1),0,IF((($A290-Simulador!$E$10)/Simulador!$G$10)&lt;Simulador!$B$11,Simulador!$B$10*(1-COS(PI()*(($A290-Simulador!$E$10)/Simulador!$G$10)/Simulador!$B$11))/2,IF((($A290-Simulador!$E$10)/Simulador!$G$10)&gt;1-Simulador!$B$11,Simulador!$B$10*(1-COS(PI()*(1-(($A290-Simulador!$E$10)/Simulador!$G$10))/Simulador!$B$11))/2,Simulador!$B$10)))</f>
        <v/>
      </c>
      <c r="Q290" s="48">
        <f>IF(OR((($A290-(Simulador!$E$6+'Salto de dientes'!$B$12))/Simulador!$G$6)&lt;=0,(($A290-(Simulador!$E$6+'Salto de dientes'!$B$12))/Simulador!$G$6)&gt;=1),0,IF((($A290-(Simulador!$E$6+'Salto de dientes'!$B$12))/Simulador!$G$6)&lt;Simulador!$B$11,Simulador!$B$9*(1-COS(PI()*(($A290-(Simulador!$E$6+'Salto de dientes'!$B$12))/Simulador!$G$6)/Simulador!$B$11))/2,IF((($A290-(Simulador!$E$6+'Salto de dientes'!$B$12))/Simulador!$G$6)&gt;1-Simulador!$B$11,Simulador!$B$9*(1-COS(PI()*(1-(($A290-(Simulador!$E$6+'Salto de dientes'!$B$12))/Simulador!$G$6))/Simulador!$B$11))/2,Simulador!$B$9)))</f>
        <v/>
      </c>
      <c r="R290" s="48">
        <f>IF(OR((($A290-(Simulador!$E$9+'Salto de dientes'!$B$12))/Simulador!$G$9)&lt;=0,(($A290-(Simulador!$E$9+'Salto de dientes'!$B$12))/Simulador!$G$9)&gt;=1),0,IF((($A290-(Simulador!$E$9+'Salto de dientes'!$B$12))/Simulador!$G$9)&lt;Simulador!$B$11,Simulador!$B$10*(1-COS(PI()*(($A290-(Simulador!$E$9+'Salto de dientes'!$B$12))/Simulador!$G$9)/Simulador!$B$11))/2,IF((($A290-(Simulador!$E$9+'Salto de dientes'!$B$12))/Simulador!$G$9)&gt;1-Simulador!$B$11,Simulador!$B$10*(1-COS(PI()*(1-(($A290-(Simulador!$E$9+'Salto de dientes'!$B$12))/Simulador!$G$9))/Simulador!$B$11))/2,Simulador!$B$10)))</f>
        <v/>
      </c>
    </row>
    <row r="291">
      <c r="A291" s="26">
        <f>A290+Simulador!$B$14</f>
        <v/>
      </c>
      <c r="B291" s="46">
        <f>IF(OR((($A291-Simulador!$E$5)/Simulador!$G$5)&lt;=0,(($A291-Simulador!$E$5)/Simulador!$G$5)&gt;=1),0,IF((($A291-Simulador!$E$5)/Simulador!$G$5)&lt;Simulador!$B$11,Simulador!$B$9*(1-COS(PI()*(($A291-Simulador!$E$5)/Simulador!$G$5)/Simulador!$B$11))/2,IF((($A291-Simulador!$E$5)/Simulador!$G$5)&gt;1-Simulador!$B$11,Simulador!$B$9*(1-COS(PI()*(1-(($A291-Simulador!$E$5)/Simulador!$G$5))/Simulador!$B$11))/2,Simulador!$B$9)))</f>
        <v/>
      </c>
      <c r="C291" s="46">
        <f>IF(OR((($A291-Simulador!$E$6)/Simulador!$G$6)&lt;=0,(($A291-Simulador!$E$6)/Simulador!$G$6)&gt;=1),0,IF((($A291-Simulador!$E$6)/Simulador!$G$6)&lt;Simulador!$B$11,Simulador!$B$9*(1-COS(PI()*(($A291-Simulador!$E$6)/Simulador!$G$6)/Simulador!$B$11))/2,IF((($A291-Simulador!$E$6)/Simulador!$G$6)&gt;1-Simulador!$B$11,Simulador!$B$9*(1-COS(PI()*(1-(($A291-Simulador!$E$6)/Simulador!$G$6))/Simulador!$B$11))/2,Simulador!$B$9)))</f>
        <v/>
      </c>
      <c r="D291" s="46">
        <f>IF(OR((($A291-Simulador!$E$7)/Simulador!$G$7)&lt;=0,(($A291-Simulador!$E$7)/Simulador!$G$7)&gt;=1),0,IF((($A291-Simulador!$E$7)/Simulador!$G$7)&lt;Simulador!$B$11,Simulador!$B$9*(1-COS(PI()*(($A291-Simulador!$E$7)/Simulador!$G$7)/Simulador!$B$11))/2,IF((($A291-Simulador!$E$7)/Simulador!$G$7)&gt;1-Simulador!$B$11,Simulador!$B$9*(1-COS(PI()*(1-(($A291-Simulador!$E$7)/Simulador!$G$7))/Simulador!$B$11))/2,Simulador!$B$9)))</f>
        <v/>
      </c>
      <c r="E291" s="46">
        <f>IF(OR((($A291-Simulador!$E$8)/Simulador!$G$8)&lt;=0,(($A291-Simulador!$E$8)/Simulador!$G$8)&gt;=1),0,IF((($A291-Simulador!$E$8)/Simulador!$G$8)&lt;Simulador!$B$11,Simulador!$B$10*(1-COS(PI()*(($A291-Simulador!$E$8)/Simulador!$G$8)/Simulador!$B$11))/2,IF((($A291-Simulador!$E$8)/Simulador!$G$8)&gt;1-Simulador!$B$11,Simulador!$B$10*(1-COS(PI()*(1-(($A291-Simulador!$E$8)/Simulador!$G$8))/Simulador!$B$11))/2,Simulador!$B$10)))</f>
        <v/>
      </c>
      <c r="F291" s="46">
        <f>IF(OR((($A291-Simulador!$E$9)/Simulador!$G$9)&lt;=0,(($A291-Simulador!$E$9)/Simulador!$G$9)&gt;=1),0,IF((($A291-Simulador!$E$9)/Simulador!$G$9)&lt;Simulador!$B$11,Simulador!$B$10*(1-COS(PI()*(($A291-Simulador!$E$9)/Simulador!$G$9)/Simulador!$B$11))/2,IF((($A291-Simulador!$E$9)/Simulador!$G$9)&gt;1-Simulador!$B$11,Simulador!$B$10*(1-COS(PI()*(1-(($A291-Simulador!$E$9)/Simulador!$G$9))/Simulador!$B$11))/2,Simulador!$B$10)))</f>
        <v/>
      </c>
      <c r="G291" s="46">
        <f>IF(OR((($A291-Simulador!$E$10)/Simulador!$G$10)&lt;=0,(($A291-Simulador!$E$10)/Simulador!$G$10)&gt;=1),0,IF((($A291-Simulador!$E$10)/Simulador!$G$10)&lt;Simulador!$B$11,Simulador!$B$10*(1-COS(PI()*(($A291-Simulador!$E$10)/Simulador!$G$10)/Simulador!$B$11))/2,IF((($A291-Simulador!$E$10)/Simulador!$G$10)&gt;1-Simulador!$B$11,Simulador!$B$10*(1-COS(PI()*(1-(($A291-Simulador!$E$10)/Simulador!$G$10))/Simulador!$B$11))/2,Simulador!$B$10)))</f>
        <v/>
      </c>
      <c r="Q291" s="48">
        <f>IF(OR((($A291-(Simulador!$E$6+'Salto de dientes'!$B$12))/Simulador!$G$6)&lt;=0,(($A291-(Simulador!$E$6+'Salto de dientes'!$B$12))/Simulador!$G$6)&gt;=1),0,IF((($A291-(Simulador!$E$6+'Salto de dientes'!$B$12))/Simulador!$G$6)&lt;Simulador!$B$11,Simulador!$B$9*(1-COS(PI()*(($A291-(Simulador!$E$6+'Salto de dientes'!$B$12))/Simulador!$G$6)/Simulador!$B$11))/2,IF((($A291-(Simulador!$E$6+'Salto de dientes'!$B$12))/Simulador!$G$6)&gt;1-Simulador!$B$11,Simulador!$B$9*(1-COS(PI()*(1-(($A291-(Simulador!$E$6+'Salto de dientes'!$B$12))/Simulador!$G$6))/Simulador!$B$11))/2,Simulador!$B$9)))</f>
        <v/>
      </c>
      <c r="R291" s="48">
        <f>IF(OR((($A291-(Simulador!$E$9+'Salto de dientes'!$B$12))/Simulador!$G$9)&lt;=0,(($A291-(Simulador!$E$9+'Salto de dientes'!$B$12))/Simulador!$G$9)&gt;=1),0,IF((($A291-(Simulador!$E$9+'Salto de dientes'!$B$12))/Simulador!$G$9)&lt;Simulador!$B$11,Simulador!$B$10*(1-COS(PI()*(($A291-(Simulador!$E$9+'Salto de dientes'!$B$12))/Simulador!$G$9)/Simulador!$B$11))/2,IF((($A291-(Simulador!$E$9+'Salto de dientes'!$B$12))/Simulador!$G$9)&gt;1-Simulador!$B$11,Simulador!$B$10*(1-COS(PI()*(1-(($A291-(Simulador!$E$9+'Salto de dientes'!$B$12))/Simulador!$G$9))/Simulador!$B$11))/2,Simulador!$B$10)))</f>
        <v/>
      </c>
    </row>
    <row r="292">
      <c r="A292" s="26">
        <f>A291+Simulador!$B$14</f>
        <v/>
      </c>
      <c r="B292" s="46">
        <f>IF(OR((($A292-Simulador!$E$5)/Simulador!$G$5)&lt;=0,(($A292-Simulador!$E$5)/Simulador!$G$5)&gt;=1),0,IF((($A292-Simulador!$E$5)/Simulador!$G$5)&lt;Simulador!$B$11,Simulador!$B$9*(1-COS(PI()*(($A292-Simulador!$E$5)/Simulador!$G$5)/Simulador!$B$11))/2,IF((($A292-Simulador!$E$5)/Simulador!$G$5)&gt;1-Simulador!$B$11,Simulador!$B$9*(1-COS(PI()*(1-(($A292-Simulador!$E$5)/Simulador!$G$5))/Simulador!$B$11))/2,Simulador!$B$9)))</f>
        <v/>
      </c>
      <c r="C292" s="46">
        <f>IF(OR((($A292-Simulador!$E$6)/Simulador!$G$6)&lt;=0,(($A292-Simulador!$E$6)/Simulador!$G$6)&gt;=1),0,IF((($A292-Simulador!$E$6)/Simulador!$G$6)&lt;Simulador!$B$11,Simulador!$B$9*(1-COS(PI()*(($A292-Simulador!$E$6)/Simulador!$G$6)/Simulador!$B$11))/2,IF((($A292-Simulador!$E$6)/Simulador!$G$6)&gt;1-Simulador!$B$11,Simulador!$B$9*(1-COS(PI()*(1-(($A292-Simulador!$E$6)/Simulador!$G$6))/Simulador!$B$11))/2,Simulador!$B$9)))</f>
        <v/>
      </c>
      <c r="D292" s="46">
        <f>IF(OR((($A292-Simulador!$E$7)/Simulador!$G$7)&lt;=0,(($A292-Simulador!$E$7)/Simulador!$G$7)&gt;=1),0,IF((($A292-Simulador!$E$7)/Simulador!$G$7)&lt;Simulador!$B$11,Simulador!$B$9*(1-COS(PI()*(($A292-Simulador!$E$7)/Simulador!$G$7)/Simulador!$B$11))/2,IF((($A292-Simulador!$E$7)/Simulador!$G$7)&gt;1-Simulador!$B$11,Simulador!$B$9*(1-COS(PI()*(1-(($A292-Simulador!$E$7)/Simulador!$G$7))/Simulador!$B$11))/2,Simulador!$B$9)))</f>
        <v/>
      </c>
      <c r="E292" s="46">
        <f>IF(OR((($A292-Simulador!$E$8)/Simulador!$G$8)&lt;=0,(($A292-Simulador!$E$8)/Simulador!$G$8)&gt;=1),0,IF((($A292-Simulador!$E$8)/Simulador!$G$8)&lt;Simulador!$B$11,Simulador!$B$10*(1-COS(PI()*(($A292-Simulador!$E$8)/Simulador!$G$8)/Simulador!$B$11))/2,IF((($A292-Simulador!$E$8)/Simulador!$G$8)&gt;1-Simulador!$B$11,Simulador!$B$10*(1-COS(PI()*(1-(($A292-Simulador!$E$8)/Simulador!$G$8))/Simulador!$B$11))/2,Simulador!$B$10)))</f>
        <v/>
      </c>
      <c r="F292" s="46">
        <f>IF(OR((($A292-Simulador!$E$9)/Simulador!$G$9)&lt;=0,(($A292-Simulador!$E$9)/Simulador!$G$9)&gt;=1),0,IF((($A292-Simulador!$E$9)/Simulador!$G$9)&lt;Simulador!$B$11,Simulador!$B$10*(1-COS(PI()*(($A292-Simulador!$E$9)/Simulador!$G$9)/Simulador!$B$11))/2,IF((($A292-Simulador!$E$9)/Simulador!$G$9)&gt;1-Simulador!$B$11,Simulador!$B$10*(1-COS(PI()*(1-(($A292-Simulador!$E$9)/Simulador!$G$9))/Simulador!$B$11))/2,Simulador!$B$10)))</f>
        <v/>
      </c>
      <c r="G292" s="46">
        <f>IF(OR((($A292-Simulador!$E$10)/Simulador!$G$10)&lt;=0,(($A292-Simulador!$E$10)/Simulador!$G$10)&gt;=1),0,IF((($A292-Simulador!$E$10)/Simulador!$G$10)&lt;Simulador!$B$11,Simulador!$B$10*(1-COS(PI()*(($A292-Simulador!$E$10)/Simulador!$G$10)/Simulador!$B$11))/2,IF((($A292-Simulador!$E$10)/Simulador!$G$10)&gt;1-Simulador!$B$11,Simulador!$B$10*(1-COS(PI()*(1-(($A292-Simulador!$E$10)/Simulador!$G$10))/Simulador!$B$11))/2,Simulador!$B$10)))</f>
        <v/>
      </c>
      <c r="Q292" s="48">
        <f>IF(OR((($A292-(Simulador!$E$6+'Salto de dientes'!$B$12))/Simulador!$G$6)&lt;=0,(($A292-(Simulador!$E$6+'Salto de dientes'!$B$12))/Simulador!$G$6)&gt;=1),0,IF((($A292-(Simulador!$E$6+'Salto de dientes'!$B$12))/Simulador!$G$6)&lt;Simulador!$B$11,Simulador!$B$9*(1-COS(PI()*(($A292-(Simulador!$E$6+'Salto de dientes'!$B$12))/Simulador!$G$6)/Simulador!$B$11))/2,IF((($A292-(Simulador!$E$6+'Salto de dientes'!$B$12))/Simulador!$G$6)&gt;1-Simulador!$B$11,Simulador!$B$9*(1-COS(PI()*(1-(($A292-(Simulador!$E$6+'Salto de dientes'!$B$12))/Simulador!$G$6))/Simulador!$B$11))/2,Simulador!$B$9)))</f>
        <v/>
      </c>
      <c r="R292" s="48">
        <f>IF(OR((($A292-(Simulador!$E$9+'Salto de dientes'!$B$12))/Simulador!$G$9)&lt;=0,(($A292-(Simulador!$E$9+'Salto de dientes'!$B$12))/Simulador!$G$9)&gt;=1),0,IF((($A292-(Simulador!$E$9+'Salto de dientes'!$B$12))/Simulador!$G$9)&lt;Simulador!$B$11,Simulador!$B$10*(1-COS(PI()*(($A292-(Simulador!$E$9+'Salto de dientes'!$B$12))/Simulador!$G$9)/Simulador!$B$11))/2,IF((($A292-(Simulador!$E$9+'Salto de dientes'!$B$12))/Simulador!$G$9)&gt;1-Simulador!$B$11,Simulador!$B$10*(1-COS(PI()*(1-(($A292-(Simulador!$E$9+'Salto de dientes'!$B$12))/Simulador!$G$9))/Simulador!$B$11))/2,Simulador!$B$10)))</f>
        <v/>
      </c>
    </row>
    <row r="293">
      <c r="A293" s="26">
        <f>A292+Simulador!$B$14</f>
        <v/>
      </c>
      <c r="B293" s="46">
        <f>IF(OR((($A293-Simulador!$E$5)/Simulador!$G$5)&lt;=0,(($A293-Simulador!$E$5)/Simulador!$G$5)&gt;=1),0,IF((($A293-Simulador!$E$5)/Simulador!$G$5)&lt;Simulador!$B$11,Simulador!$B$9*(1-COS(PI()*(($A293-Simulador!$E$5)/Simulador!$G$5)/Simulador!$B$11))/2,IF((($A293-Simulador!$E$5)/Simulador!$G$5)&gt;1-Simulador!$B$11,Simulador!$B$9*(1-COS(PI()*(1-(($A293-Simulador!$E$5)/Simulador!$G$5))/Simulador!$B$11))/2,Simulador!$B$9)))</f>
        <v/>
      </c>
      <c r="C293" s="46">
        <f>IF(OR((($A293-Simulador!$E$6)/Simulador!$G$6)&lt;=0,(($A293-Simulador!$E$6)/Simulador!$G$6)&gt;=1),0,IF((($A293-Simulador!$E$6)/Simulador!$G$6)&lt;Simulador!$B$11,Simulador!$B$9*(1-COS(PI()*(($A293-Simulador!$E$6)/Simulador!$G$6)/Simulador!$B$11))/2,IF((($A293-Simulador!$E$6)/Simulador!$G$6)&gt;1-Simulador!$B$11,Simulador!$B$9*(1-COS(PI()*(1-(($A293-Simulador!$E$6)/Simulador!$G$6))/Simulador!$B$11))/2,Simulador!$B$9)))</f>
        <v/>
      </c>
      <c r="D293" s="46">
        <f>IF(OR((($A293-Simulador!$E$7)/Simulador!$G$7)&lt;=0,(($A293-Simulador!$E$7)/Simulador!$G$7)&gt;=1),0,IF((($A293-Simulador!$E$7)/Simulador!$G$7)&lt;Simulador!$B$11,Simulador!$B$9*(1-COS(PI()*(($A293-Simulador!$E$7)/Simulador!$G$7)/Simulador!$B$11))/2,IF((($A293-Simulador!$E$7)/Simulador!$G$7)&gt;1-Simulador!$B$11,Simulador!$B$9*(1-COS(PI()*(1-(($A293-Simulador!$E$7)/Simulador!$G$7))/Simulador!$B$11))/2,Simulador!$B$9)))</f>
        <v/>
      </c>
      <c r="E293" s="46">
        <f>IF(OR((($A293-Simulador!$E$8)/Simulador!$G$8)&lt;=0,(($A293-Simulador!$E$8)/Simulador!$G$8)&gt;=1),0,IF((($A293-Simulador!$E$8)/Simulador!$G$8)&lt;Simulador!$B$11,Simulador!$B$10*(1-COS(PI()*(($A293-Simulador!$E$8)/Simulador!$G$8)/Simulador!$B$11))/2,IF((($A293-Simulador!$E$8)/Simulador!$G$8)&gt;1-Simulador!$B$11,Simulador!$B$10*(1-COS(PI()*(1-(($A293-Simulador!$E$8)/Simulador!$G$8))/Simulador!$B$11))/2,Simulador!$B$10)))</f>
        <v/>
      </c>
      <c r="F293" s="46">
        <f>IF(OR((($A293-Simulador!$E$9)/Simulador!$G$9)&lt;=0,(($A293-Simulador!$E$9)/Simulador!$G$9)&gt;=1),0,IF((($A293-Simulador!$E$9)/Simulador!$G$9)&lt;Simulador!$B$11,Simulador!$B$10*(1-COS(PI()*(($A293-Simulador!$E$9)/Simulador!$G$9)/Simulador!$B$11))/2,IF((($A293-Simulador!$E$9)/Simulador!$G$9)&gt;1-Simulador!$B$11,Simulador!$B$10*(1-COS(PI()*(1-(($A293-Simulador!$E$9)/Simulador!$G$9))/Simulador!$B$11))/2,Simulador!$B$10)))</f>
        <v/>
      </c>
      <c r="G293" s="46">
        <f>IF(OR((($A293-Simulador!$E$10)/Simulador!$G$10)&lt;=0,(($A293-Simulador!$E$10)/Simulador!$G$10)&gt;=1),0,IF((($A293-Simulador!$E$10)/Simulador!$G$10)&lt;Simulador!$B$11,Simulador!$B$10*(1-COS(PI()*(($A293-Simulador!$E$10)/Simulador!$G$10)/Simulador!$B$11))/2,IF((($A293-Simulador!$E$10)/Simulador!$G$10)&gt;1-Simulador!$B$11,Simulador!$B$10*(1-COS(PI()*(1-(($A293-Simulador!$E$10)/Simulador!$G$10))/Simulador!$B$11))/2,Simulador!$B$10)))</f>
        <v/>
      </c>
      <c r="Q293" s="48">
        <f>IF(OR((($A293-(Simulador!$E$6+'Salto de dientes'!$B$12))/Simulador!$G$6)&lt;=0,(($A293-(Simulador!$E$6+'Salto de dientes'!$B$12))/Simulador!$G$6)&gt;=1),0,IF((($A293-(Simulador!$E$6+'Salto de dientes'!$B$12))/Simulador!$G$6)&lt;Simulador!$B$11,Simulador!$B$9*(1-COS(PI()*(($A293-(Simulador!$E$6+'Salto de dientes'!$B$12))/Simulador!$G$6)/Simulador!$B$11))/2,IF((($A293-(Simulador!$E$6+'Salto de dientes'!$B$12))/Simulador!$G$6)&gt;1-Simulador!$B$11,Simulador!$B$9*(1-COS(PI()*(1-(($A293-(Simulador!$E$6+'Salto de dientes'!$B$12))/Simulador!$G$6))/Simulador!$B$11))/2,Simulador!$B$9)))</f>
        <v/>
      </c>
      <c r="R293" s="48">
        <f>IF(OR((($A293-(Simulador!$E$9+'Salto de dientes'!$B$12))/Simulador!$G$9)&lt;=0,(($A293-(Simulador!$E$9+'Salto de dientes'!$B$12))/Simulador!$G$9)&gt;=1),0,IF((($A293-(Simulador!$E$9+'Salto de dientes'!$B$12))/Simulador!$G$9)&lt;Simulador!$B$11,Simulador!$B$10*(1-COS(PI()*(($A293-(Simulador!$E$9+'Salto de dientes'!$B$12))/Simulador!$G$9)/Simulador!$B$11))/2,IF((($A293-(Simulador!$E$9+'Salto de dientes'!$B$12))/Simulador!$G$9)&gt;1-Simulador!$B$11,Simulador!$B$10*(1-COS(PI()*(1-(($A293-(Simulador!$E$9+'Salto de dientes'!$B$12))/Simulador!$G$9))/Simulador!$B$11))/2,Simulador!$B$10)))</f>
        <v/>
      </c>
    </row>
    <row r="294">
      <c r="A294" s="26">
        <f>A293+Simulador!$B$14</f>
        <v/>
      </c>
      <c r="B294" s="46">
        <f>IF(OR((($A294-Simulador!$E$5)/Simulador!$G$5)&lt;=0,(($A294-Simulador!$E$5)/Simulador!$G$5)&gt;=1),0,IF((($A294-Simulador!$E$5)/Simulador!$G$5)&lt;Simulador!$B$11,Simulador!$B$9*(1-COS(PI()*(($A294-Simulador!$E$5)/Simulador!$G$5)/Simulador!$B$11))/2,IF((($A294-Simulador!$E$5)/Simulador!$G$5)&gt;1-Simulador!$B$11,Simulador!$B$9*(1-COS(PI()*(1-(($A294-Simulador!$E$5)/Simulador!$G$5))/Simulador!$B$11))/2,Simulador!$B$9)))</f>
        <v/>
      </c>
      <c r="C294" s="46">
        <f>IF(OR((($A294-Simulador!$E$6)/Simulador!$G$6)&lt;=0,(($A294-Simulador!$E$6)/Simulador!$G$6)&gt;=1),0,IF((($A294-Simulador!$E$6)/Simulador!$G$6)&lt;Simulador!$B$11,Simulador!$B$9*(1-COS(PI()*(($A294-Simulador!$E$6)/Simulador!$G$6)/Simulador!$B$11))/2,IF((($A294-Simulador!$E$6)/Simulador!$G$6)&gt;1-Simulador!$B$11,Simulador!$B$9*(1-COS(PI()*(1-(($A294-Simulador!$E$6)/Simulador!$G$6))/Simulador!$B$11))/2,Simulador!$B$9)))</f>
        <v/>
      </c>
      <c r="D294" s="46">
        <f>IF(OR((($A294-Simulador!$E$7)/Simulador!$G$7)&lt;=0,(($A294-Simulador!$E$7)/Simulador!$G$7)&gt;=1),0,IF((($A294-Simulador!$E$7)/Simulador!$G$7)&lt;Simulador!$B$11,Simulador!$B$9*(1-COS(PI()*(($A294-Simulador!$E$7)/Simulador!$G$7)/Simulador!$B$11))/2,IF((($A294-Simulador!$E$7)/Simulador!$G$7)&gt;1-Simulador!$B$11,Simulador!$B$9*(1-COS(PI()*(1-(($A294-Simulador!$E$7)/Simulador!$G$7))/Simulador!$B$11))/2,Simulador!$B$9)))</f>
        <v/>
      </c>
      <c r="E294" s="46">
        <f>IF(OR((($A294-Simulador!$E$8)/Simulador!$G$8)&lt;=0,(($A294-Simulador!$E$8)/Simulador!$G$8)&gt;=1),0,IF((($A294-Simulador!$E$8)/Simulador!$G$8)&lt;Simulador!$B$11,Simulador!$B$10*(1-COS(PI()*(($A294-Simulador!$E$8)/Simulador!$G$8)/Simulador!$B$11))/2,IF((($A294-Simulador!$E$8)/Simulador!$G$8)&gt;1-Simulador!$B$11,Simulador!$B$10*(1-COS(PI()*(1-(($A294-Simulador!$E$8)/Simulador!$G$8))/Simulador!$B$11))/2,Simulador!$B$10)))</f>
        <v/>
      </c>
      <c r="F294" s="46">
        <f>IF(OR((($A294-Simulador!$E$9)/Simulador!$G$9)&lt;=0,(($A294-Simulador!$E$9)/Simulador!$G$9)&gt;=1),0,IF((($A294-Simulador!$E$9)/Simulador!$G$9)&lt;Simulador!$B$11,Simulador!$B$10*(1-COS(PI()*(($A294-Simulador!$E$9)/Simulador!$G$9)/Simulador!$B$11))/2,IF((($A294-Simulador!$E$9)/Simulador!$G$9)&gt;1-Simulador!$B$11,Simulador!$B$10*(1-COS(PI()*(1-(($A294-Simulador!$E$9)/Simulador!$G$9))/Simulador!$B$11))/2,Simulador!$B$10)))</f>
        <v/>
      </c>
      <c r="G294" s="46">
        <f>IF(OR((($A294-Simulador!$E$10)/Simulador!$G$10)&lt;=0,(($A294-Simulador!$E$10)/Simulador!$G$10)&gt;=1),0,IF((($A294-Simulador!$E$10)/Simulador!$G$10)&lt;Simulador!$B$11,Simulador!$B$10*(1-COS(PI()*(($A294-Simulador!$E$10)/Simulador!$G$10)/Simulador!$B$11))/2,IF((($A294-Simulador!$E$10)/Simulador!$G$10)&gt;1-Simulador!$B$11,Simulador!$B$10*(1-COS(PI()*(1-(($A294-Simulador!$E$10)/Simulador!$G$10))/Simulador!$B$11))/2,Simulador!$B$10)))</f>
        <v/>
      </c>
      <c r="Q294" s="48">
        <f>IF(OR((($A294-(Simulador!$E$6+'Salto de dientes'!$B$12))/Simulador!$G$6)&lt;=0,(($A294-(Simulador!$E$6+'Salto de dientes'!$B$12))/Simulador!$G$6)&gt;=1),0,IF((($A294-(Simulador!$E$6+'Salto de dientes'!$B$12))/Simulador!$G$6)&lt;Simulador!$B$11,Simulador!$B$9*(1-COS(PI()*(($A294-(Simulador!$E$6+'Salto de dientes'!$B$12))/Simulador!$G$6)/Simulador!$B$11))/2,IF((($A294-(Simulador!$E$6+'Salto de dientes'!$B$12))/Simulador!$G$6)&gt;1-Simulador!$B$11,Simulador!$B$9*(1-COS(PI()*(1-(($A294-(Simulador!$E$6+'Salto de dientes'!$B$12))/Simulador!$G$6))/Simulador!$B$11))/2,Simulador!$B$9)))</f>
        <v/>
      </c>
      <c r="R294" s="48">
        <f>IF(OR((($A294-(Simulador!$E$9+'Salto de dientes'!$B$12))/Simulador!$G$9)&lt;=0,(($A294-(Simulador!$E$9+'Salto de dientes'!$B$12))/Simulador!$G$9)&gt;=1),0,IF((($A294-(Simulador!$E$9+'Salto de dientes'!$B$12))/Simulador!$G$9)&lt;Simulador!$B$11,Simulador!$B$10*(1-COS(PI()*(($A294-(Simulador!$E$9+'Salto de dientes'!$B$12))/Simulador!$G$9)/Simulador!$B$11))/2,IF((($A294-(Simulador!$E$9+'Salto de dientes'!$B$12))/Simulador!$G$9)&gt;1-Simulador!$B$11,Simulador!$B$10*(1-COS(PI()*(1-(($A294-(Simulador!$E$9+'Salto de dientes'!$B$12))/Simulador!$G$9))/Simulador!$B$11))/2,Simulador!$B$10)))</f>
        <v/>
      </c>
    </row>
    <row r="295">
      <c r="A295" s="26">
        <f>A294+Simulador!$B$14</f>
        <v/>
      </c>
      <c r="B295" s="46">
        <f>IF(OR((($A295-Simulador!$E$5)/Simulador!$G$5)&lt;=0,(($A295-Simulador!$E$5)/Simulador!$G$5)&gt;=1),0,IF((($A295-Simulador!$E$5)/Simulador!$G$5)&lt;Simulador!$B$11,Simulador!$B$9*(1-COS(PI()*(($A295-Simulador!$E$5)/Simulador!$G$5)/Simulador!$B$11))/2,IF((($A295-Simulador!$E$5)/Simulador!$G$5)&gt;1-Simulador!$B$11,Simulador!$B$9*(1-COS(PI()*(1-(($A295-Simulador!$E$5)/Simulador!$G$5))/Simulador!$B$11))/2,Simulador!$B$9)))</f>
        <v/>
      </c>
      <c r="C295" s="46">
        <f>IF(OR((($A295-Simulador!$E$6)/Simulador!$G$6)&lt;=0,(($A295-Simulador!$E$6)/Simulador!$G$6)&gt;=1),0,IF((($A295-Simulador!$E$6)/Simulador!$G$6)&lt;Simulador!$B$11,Simulador!$B$9*(1-COS(PI()*(($A295-Simulador!$E$6)/Simulador!$G$6)/Simulador!$B$11))/2,IF((($A295-Simulador!$E$6)/Simulador!$G$6)&gt;1-Simulador!$B$11,Simulador!$B$9*(1-COS(PI()*(1-(($A295-Simulador!$E$6)/Simulador!$G$6))/Simulador!$B$11))/2,Simulador!$B$9)))</f>
        <v/>
      </c>
      <c r="D295" s="46">
        <f>IF(OR((($A295-Simulador!$E$7)/Simulador!$G$7)&lt;=0,(($A295-Simulador!$E$7)/Simulador!$G$7)&gt;=1),0,IF((($A295-Simulador!$E$7)/Simulador!$G$7)&lt;Simulador!$B$11,Simulador!$B$9*(1-COS(PI()*(($A295-Simulador!$E$7)/Simulador!$G$7)/Simulador!$B$11))/2,IF((($A295-Simulador!$E$7)/Simulador!$G$7)&gt;1-Simulador!$B$11,Simulador!$B$9*(1-COS(PI()*(1-(($A295-Simulador!$E$7)/Simulador!$G$7))/Simulador!$B$11))/2,Simulador!$B$9)))</f>
        <v/>
      </c>
      <c r="E295" s="46">
        <f>IF(OR((($A295-Simulador!$E$8)/Simulador!$G$8)&lt;=0,(($A295-Simulador!$E$8)/Simulador!$G$8)&gt;=1),0,IF((($A295-Simulador!$E$8)/Simulador!$G$8)&lt;Simulador!$B$11,Simulador!$B$10*(1-COS(PI()*(($A295-Simulador!$E$8)/Simulador!$G$8)/Simulador!$B$11))/2,IF((($A295-Simulador!$E$8)/Simulador!$G$8)&gt;1-Simulador!$B$11,Simulador!$B$10*(1-COS(PI()*(1-(($A295-Simulador!$E$8)/Simulador!$G$8))/Simulador!$B$11))/2,Simulador!$B$10)))</f>
        <v/>
      </c>
      <c r="F295" s="46">
        <f>IF(OR((($A295-Simulador!$E$9)/Simulador!$G$9)&lt;=0,(($A295-Simulador!$E$9)/Simulador!$G$9)&gt;=1),0,IF((($A295-Simulador!$E$9)/Simulador!$G$9)&lt;Simulador!$B$11,Simulador!$B$10*(1-COS(PI()*(($A295-Simulador!$E$9)/Simulador!$G$9)/Simulador!$B$11))/2,IF((($A295-Simulador!$E$9)/Simulador!$G$9)&gt;1-Simulador!$B$11,Simulador!$B$10*(1-COS(PI()*(1-(($A295-Simulador!$E$9)/Simulador!$G$9))/Simulador!$B$11))/2,Simulador!$B$10)))</f>
        <v/>
      </c>
      <c r="G295" s="46">
        <f>IF(OR((($A295-Simulador!$E$10)/Simulador!$G$10)&lt;=0,(($A295-Simulador!$E$10)/Simulador!$G$10)&gt;=1),0,IF((($A295-Simulador!$E$10)/Simulador!$G$10)&lt;Simulador!$B$11,Simulador!$B$10*(1-COS(PI()*(($A295-Simulador!$E$10)/Simulador!$G$10)/Simulador!$B$11))/2,IF((($A295-Simulador!$E$10)/Simulador!$G$10)&gt;1-Simulador!$B$11,Simulador!$B$10*(1-COS(PI()*(1-(($A295-Simulador!$E$10)/Simulador!$G$10))/Simulador!$B$11))/2,Simulador!$B$10)))</f>
        <v/>
      </c>
      <c r="Q295" s="48">
        <f>IF(OR((($A295-(Simulador!$E$6+'Salto de dientes'!$B$12))/Simulador!$G$6)&lt;=0,(($A295-(Simulador!$E$6+'Salto de dientes'!$B$12))/Simulador!$G$6)&gt;=1),0,IF((($A295-(Simulador!$E$6+'Salto de dientes'!$B$12))/Simulador!$G$6)&lt;Simulador!$B$11,Simulador!$B$9*(1-COS(PI()*(($A295-(Simulador!$E$6+'Salto de dientes'!$B$12))/Simulador!$G$6)/Simulador!$B$11))/2,IF((($A295-(Simulador!$E$6+'Salto de dientes'!$B$12))/Simulador!$G$6)&gt;1-Simulador!$B$11,Simulador!$B$9*(1-COS(PI()*(1-(($A295-(Simulador!$E$6+'Salto de dientes'!$B$12))/Simulador!$G$6))/Simulador!$B$11))/2,Simulador!$B$9)))</f>
        <v/>
      </c>
      <c r="R295" s="48">
        <f>IF(OR((($A295-(Simulador!$E$9+'Salto de dientes'!$B$12))/Simulador!$G$9)&lt;=0,(($A295-(Simulador!$E$9+'Salto de dientes'!$B$12))/Simulador!$G$9)&gt;=1),0,IF((($A295-(Simulador!$E$9+'Salto de dientes'!$B$12))/Simulador!$G$9)&lt;Simulador!$B$11,Simulador!$B$10*(1-COS(PI()*(($A295-(Simulador!$E$9+'Salto de dientes'!$B$12))/Simulador!$G$9)/Simulador!$B$11))/2,IF((($A295-(Simulador!$E$9+'Salto de dientes'!$B$12))/Simulador!$G$9)&gt;1-Simulador!$B$11,Simulador!$B$10*(1-COS(PI()*(1-(($A295-(Simulador!$E$9+'Salto de dientes'!$B$12))/Simulador!$G$9))/Simulador!$B$11))/2,Simulador!$B$10)))</f>
        <v/>
      </c>
    </row>
    <row r="296">
      <c r="A296" s="26">
        <f>A295+Simulador!$B$14</f>
        <v/>
      </c>
      <c r="B296" s="46">
        <f>IF(OR((($A296-Simulador!$E$5)/Simulador!$G$5)&lt;=0,(($A296-Simulador!$E$5)/Simulador!$G$5)&gt;=1),0,IF((($A296-Simulador!$E$5)/Simulador!$G$5)&lt;Simulador!$B$11,Simulador!$B$9*(1-COS(PI()*(($A296-Simulador!$E$5)/Simulador!$G$5)/Simulador!$B$11))/2,IF((($A296-Simulador!$E$5)/Simulador!$G$5)&gt;1-Simulador!$B$11,Simulador!$B$9*(1-COS(PI()*(1-(($A296-Simulador!$E$5)/Simulador!$G$5))/Simulador!$B$11))/2,Simulador!$B$9)))</f>
        <v/>
      </c>
      <c r="C296" s="46">
        <f>IF(OR((($A296-Simulador!$E$6)/Simulador!$G$6)&lt;=0,(($A296-Simulador!$E$6)/Simulador!$G$6)&gt;=1),0,IF((($A296-Simulador!$E$6)/Simulador!$G$6)&lt;Simulador!$B$11,Simulador!$B$9*(1-COS(PI()*(($A296-Simulador!$E$6)/Simulador!$G$6)/Simulador!$B$11))/2,IF((($A296-Simulador!$E$6)/Simulador!$G$6)&gt;1-Simulador!$B$11,Simulador!$B$9*(1-COS(PI()*(1-(($A296-Simulador!$E$6)/Simulador!$G$6))/Simulador!$B$11))/2,Simulador!$B$9)))</f>
        <v/>
      </c>
      <c r="D296" s="46">
        <f>IF(OR((($A296-Simulador!$E$7)/Simulador!$G$7)&lt;=0,(($A296-Simulador!$E$7)/Simulador!$G$7)&gt;=1),0,IF((($A296-Simulador!$E$7)/Simulador!$G$7)&lt;Simulador!$B$11,Simulador!$B$9*(1-COS(PI()*(($A296-Simulador!$E$7)/Simulador!$G$7)/Simulador!$B$11))/2,IF((($A296-Simulador!$E$7)/Simulador!$G$7)&gt;1-Simulador!$B$11,Simulador!$B$9*(1-COS(PI()*(1-(($A296-Simulador!$E$7)/Simulador!$G$7))/Simulador!$B$11))/2,Simulador!$B$9)))</f>
        <v/>
      </c>
      <c r="E296" s="46">
        <f>IF(OR((($A296-Simulador!$E$8)/Simulador!$G$8)&lt;=0,(($A296-Simulador!$E$8)/Simulador!$G$8)&gt;=1),0,IF((($A296-Simulador!$E$8)/Simulador!$G$8)&lt;Simulador!$B$11,Simulador!$B$10*(1-COS(PI()*(($A296-Simulador!$E$8)/Simulador!$G$8)/Simulador!$B$11))/2,IF((($A296-Simulador!$E$8)/Simulador!$G$8)&gt;1-Simulador!$B$11,Simulador!$B$10*(1-COS(PI()*(1-(($A296-Simulador!$E$8)/Simulador!$G$8))/Simulador!$B$11))/2,Simulador!$B$10)))</f>
        <v/>
      </c>
      <c r="F296" s="46">
        <f>IF(OR((($A296-Simulador!$E$9)/Simulador!$G$9)&lt;=0,(($A296-Simulador!$E$9)/Simulador!$G$9)&gt;=1),0,IF((($A296-Simulador!$E$9)/Simulador!$G$9)&lt;Simulador!$B$11,Simulador!$B$10*(1-COS(PI()*(($A296-Simulador!$E$9)/Simulador!$G$9)/Simulador!$B$11))/2,IF((($A296-Simulador!$E$9)/Simulador!$G$9)&gt;1-Simulador!$B$11,Simulador!$B$10*(1-COS(PI()*(1-(($A296-Simulador!$E$9)/Simulador!$G$9))/Simulador!$B$11))/2,Simulador!$B$10)))</f>
        <v/>
      </c>
      <c r="G296" s="46">
        <f>IF(OR((($A296-Simulador!$E$10)/Simulador!$G$10)&lt;=0,(($A296-Simulador!$E$10)/Simulador!$G$10)&gt;=1),0,IF((($A296-Simulador!$E$10)/Simulador!$G$10)&lt;Simulador!$B$11,Simulador!$B$10*(1-COS(PI()*(($A296-Simulador!$E$10)/Simulador!$G$10)/Simulador!$B$11))/2,IF((($A296-Simulador!$E$10)/Simulador!$G$10)&gt;1-Simulador!$B$11,Simulador!$B$10*(1-COS(PI()*(1-(($A296-Simulador!$E$10)/Simulador!$G$10))/Simulador!$B$11))/2,Simulador!$B$10)))</f>
        <v/>
      </c>
      <c r="Q296" s="48">
        <f>IF(OR((($A296-(Simulador!$E$6+'Salto de dientes'!$B$12))/Simulador!$G$6)&lt;=0,(($A296-(Simulador!$E$6+'Salto de dientes'!$B$12))/Simulador!$G$6)&gt;=1),0,IF((($A296-(Simulador!$E$6+'Salto de dientes'!$B$12))/Simulador!$G$6)&lt;Simulador!$B$11,Simulador!$B$9*(1-COS(PI()*(($A296-(Simulador!$E$6+'Salto de dientes'!$B$12))/Simulador!$G$6)/Simulador!$B$11))/2,IF((($A296-(Simulador!$E$6+'Salto de dientes'!$B$12))/Simulador!$G$6)&gt;1-Simulador!$B$11,Simulador!$B$9*(1-COS(PI()*(1-(($A296-(Simulador!$E$6+'Salto de dientes'!$B$12))/Simulador!$G$6))/Simulador!$B$11))/2,Simulador!$B$9)))</f>
        <v/>
      </c>
      <c r="R296" s="48">
        <f>IF(OR((($A296-(Simulador!$E$9+'Salto de dientes'!$B$12))/Simulador!$G$9)&lt;=0,(($A296-(Simulador!$E$9+'Salto de dientes'!$B$12))/Simulador!$G$9)&gt;=1),0,IF((($A296-(Simulador!$E$9+'Salto de dientes'!$B$12))/Simulador!$G$9)&lt;Simulador!$B$11,Simulador!$B$10*(1-COS(PI()*(($A296-(Simulador!$E$9+'Salto de dientes'!$B$12))/Simulador!$G$9)/Simulador!$B$11))/2,IF((($A296-(Simulador!$E$9+'Salto de dientes'!$B$12))/Simulador!$G$9)&gt;1-Simulador!$B$11,Simulador!$B$10*(1-COS(PI()*(1-(($A296-(Simulador!$E$9+'Salto de dientes'!$B$12))/Simulador!$G$9))/Simulador!$B$11))/2,Simulador!$B$10)))</f>
        <v/>
      </c>
    </row>
    <row r="297">
      <c r="A297" s="26">
        <f>A296+Simulador!$B$14</f>
        <v/>
      </c>
      <c r="B297" s="46">
        <f>IF(OR((($A297-Simulador!$E$5)/Simulador!$G$5)&lt;=0,(($A297-Simulador!$E$5)/Simulador!$G$5)&gt;=1),0,IF((($A297-Simulador!$E$5)/Simulador!$G$5)&lt;Simulador!$B$11,Simulador!$B$9*(1-COS(PI()*(($A297-Simulador!$E$5)/Simulador!$G$5)/Simulador!$B$11))/2,IF((($A297-Simulador!$E$5)/Simulador!$G$5)&gt;1-Simulador!$B$11,Simulador!$B$9*(1-COS(PI()*(1-(($A297-Simulador!$E$5)/Simulador!$G$5))/Simulador!$B$11))/2,Simulador!$B$9)))</f>
        <v/>
      </c>
      <c r="C297" s="46">
        <f>IF(OR((($A297-Simulador!$E$6)/Simulador!$G$6)&lt;=0,(($A297-Simulador!$E$6)/Simulador!$G$6)&gt;=1),0,IF((($A297-Simulador!$E$6)/Simulador!$G$6)&lt;Simulador!$B$11,Simulador!$B$9*(1-COS(PI()*(($A297-Simulador!$E$6)/Simulador!$G$6)/Simulador!$B$11))/2,IF((($A297-Simulador!$E$6)/Simulador!$G$6)&gt;1-Simulador!$B$11,Simulador!$B$9*(1-COS(PI()*(1-(($A297-Simulador!$E$6)/Simulador!$G$6))/Simulador!$B$11))/2,Simulador!$B$9)))</f>
        <v/>
      </c>
      <c r="D297" s="46">
        <f>IF(OR((($A297-Simulador!$E$7)/Simulador!$G$7)&lt;=0,(($A297-Simulador!$E$7)/Simulador!$G$7)&gt;=1),0,IF((($A297-Simulador!$E$7)/Simulador!$G$7)&lt;Simulador!$B$11,Simulador!$B$9*(1-COS(PI()*(($A297-Simulador!$E$7)/Simulador!$G$7)/Simulador!$B$11))/2,IF((($A297-Simulador!$E$7)/Simulador!$G$7)&gt;1-Simulador!$B$11,Simulador!$B$9*(1-COS(PI()*(1-(($A297-Simulador!$E$7)/Simulador!$G$7))/Simulador!$B$11))/2,Simulador!$B$9)))</f>
        <v/>
      </c>
      <c r="E297" s="46">
        <f>IF(OR((($A297-Simulador!$E$8)/Simulador!$G$8)&lt;=0,(($A297-Simulador!$E$8)/Simulador!$G$8)&gt;=1),0,IF((($A297-Simulador!$E$8)/Simulador!$G$8)&lt;Simulador!$B$11,Simulador!$B$10*(1-COS(PI()*(($A297-Simulador!$E$8)/Simulador!$G$8)/Simulador!$B$11))/2,IF((($A297-Simulador!$E$8)/Simulador!$G$8)&gt;1-Simulador!$B$11,Simulador!$B$10*(1-COS(PI()*(1-(($A297-Simulador!$E$8)/Simulador!$G$8))/Simulador!$B$11))/2,Simulador!$B$10)))</f>
        <v/>
      </c>
      <c r="F297" s="46">
        <f>IF(OR((($A297-Simulador!$E$9)/Simulador!$G$9)&lt;=0,(($A297-Simulador!$E$9)/Simulador!$G$9)&gt;=1),0,IF((($A297-Simulador!$E$9)/Simulador!$G$9)&lt;Simulador!$B$11,Simulador!$B$10*(1-COS(PI()*(($A297-Simulador!$E$9)/Simulador!$G$9)/Simulador!$B$11))/2,IF((($A297-Simulador!$E$9)/Simulador!$G$9)&gt;1-Simulador!$B$11,Simulador!$B$10*(1-COS(PI()*(1-(($A297-Simulador!$E$9)/Simulador!$G$9))/Simulador!$B$11))/2,Simulador!$B$10)))</f>
        <v/>
      </c>
      <c r="G297" s="46">
        <f>IF(OR((($A297-Simulador!$E$10)/Simulador!$G$10)&lt;=0,(($A297-Simulador!$E$10)/Simulador!$G$10)&gt;=1),0,IF((($A297-Simulador!$E$10)/Simulador!$G$10)&lt;Simulador!$B$11,Simulador!$B$10*(1-COS(PI()*(($A297-Simulador!$E$10)/Simulador!$G$10)/Simulador!$B$11))/2,IF((($A297-Simulador!$E$10)/Simulador!$G$10)&gt;1-Simulador!$B$11,Simulador!$B$10*(1-COS(PI()*(1-(($A297-Simulador!$E$10)/Simulador!$G$10))/Simulador!$B$11))/2,Simulador!$B$10)))</f>
        <v/>
      </c>
      <c r="Q297" s="48">
        <f>IF(OR((($A297-(Simulador!$E$6+'Salto de dientes'!$B$12))/Simulador!$G$6)&lt;=0,(($A297-(Simulador!$E$6+'Salto de dientes'!$B$12))/Simulador!$G$6)&gt;=1),0,IF((($A297-(Simulador!$E$6+'Salto de dientes'!$B$12))/Simulador!$G$6)&lt;Simulador!$B$11,Simulador!$B$9*(1-COS(PI()*(($A297-(Simulador!$E$6+'Salto de dientes'!$B$12))/Simulador!$G$6)/Simulador!$B$11))/2,IF((($A297-(Simulador!$E$6+'Salto de dientes'!$B$12))/Simulador!$G$6)&gt;1-Simulador!$B$11,Simulador!$B$9*(1-COS(PI()*(1-(($A297-(Simulador!$E$6+'Salto de dientes'!$B$12))/Simulador!$G$6))/Simulador!$B$11))/2,Simulador!$B$9)))</f>
        <v/>
      </c>
      <c r="R297" s="48">
        <f>IF(OR((($A297-(Simulador!$E$9+'Salto de dientes'!$B$12))/Simulador!$G$9)&lt;=0,(($A297-(Simulador!$E$9+'Salto de dientes'!$B$12))/Simulador!$G$9)&gt;=1),0,IF((($A297-(Simulador!$E$9+'Salto de dientes'!$B$12))/Simulador!$G$9)&lt;Simulador!$B$11,Simulador!$B$10*(1-COS(PI()*(($A297-(Simulador!$E$9+'Salto de dientes'!$B$12))/Simulador!$G$9)/Simulador!$B$11))/2,IF((($A297-(Simulador!$E$9+'Salto de dientes'!$B$12))/Simulador!$G$9)&gt;1-Simulador!$B$11,Simulador!$B$10*(1-COS(PI()*(1-(($A297-(Simulador!$E$9+'Salto de dientes'!$B$12))/Simulador!$G$9))/Simulador!$B$11))/2,Simulador!$B$10)))</f>
        <v/>
      </c>
    </row>
    <row r="298">
      <c r="A298" s="26">
        <f>A297+Simulador!$B$14</f>
        <v/>
      </c>
      <c r="B298" s="46">
        <f>IF(OR((($A298-Simulador!$E$5)/Simulador!$G$5)&lt;=0,(($A298-Simulador!$E$5)/Simulador!$G$5)&gt;=1),0,IF((($A298-Simulador!$E$5)/Simulador!$G$5)&lt;Simulador!$B$11,Simulador!$B$9*(1-COS(PI()*(($A298-Simulador!$E$5)/Simulador!$G$5)/Simulador!$B$11))/2,IF((($A298-Simulador!$E$5)/Simulador!$G$5)&gt;1-Simulador!$B$11,Simulador!$B$9*(1-COS(PI()*(1-(($A298-Simulador!$E$5)/Simulador!$G$5))/Simulador!$B$11))/2,Simulador!$B$9)))</f>
        <v/>
      </c>
      <c r="C298" s="46">
        <f>IF(OR((($A298-Simulador!$E$6)/Simulador!$G$6)&lt;=0,(($A298-Simulador!$E$6)/Simulador!$G$6)&gt;=1),0,IF((($A298-Simulador!$E$6)/Simulador!$G$6)&lt;Simulador!$B$11,Simulador!$B$9*(1-COS(PI()*(($A298-Simulador!$E$6)/Simulador!$G$6)/Simulador!$B$11))/2,IF((($A298-Simulador!$E$6)/Simulador!$G$6)&gt;1-Simulador!$B$11,Simulador!$B$9*(1-COS(PI()*(1-(($A298-Simulador!$E$6)/Simulador!$G$6))/Simulador!$B$11))/2,Simulador!$B$9)))</f>
        <v/>
      </c>
      <c r="D298" s="46">
        <f>IF(OR((($A298-Simulador!$E$7)/Simulador!$G$7)&lt;=0,(($A298-Simulador!$E$7)/Simulador!$G$7)&gt;=1),0,IF((($A298-Simulador!$E$7)/Simulador!$G$7)&lt;Simulador!$B$11,Simulador!$B$9*(1-COS(PI()*(($A298-Simulador!$E$7)/Simulador!$G$7)/Simulador!$B$11))/2,IF((($A298-Simulador!$E$7)/Simulador!$G$7)&gt;1-Simulador!$B$11,Simulador!$B$9*(1-COS(PI()*(1-(($A298-Simulador!$E$7)/Simulador!$G$7))/Simulador!$B$11))/2,Simulador!$B$9)))</f>
        <v/>
      </c>
      <c r="E298" s="46">
        <f>IF(OR((($A298-Simulador!$E$8)/Simulador!$G$8)&lt;=0,(($A298-Simulador!$E$8)/Simulador!$G$8)&gt;=1),0,IF((($A298-Simulador!$E$8)/Simulador!$G$8)&lt;Simulador!$B$11,Simulador!$B$10*(1-COS(PI()*(($A298-Simulador!$E$8)/Simulador!$G$8)/Simulador!$B$11))/2,IF((($A298-Simulador!$E$8)/Simulador!$G$8)&gt;1-Simulador!$B$11,Simulador!$B$10*(1-COS(PI()*(1-(($A298-Simulador!$E$8)/Simulador!$G$8))/Simulador!$B$11))/2,Simulador!$B$10)))</f>
        <v/>
      </c>
      <c r="F298" s="46">
        <f>IF(OR((($A298-Simulador!$E$9)/Simulador!$G$9)&lt;=0,(($A298-Simulador!$E$9)/Simulador!$G$9)&gt;=1),0,IF((($A298-Simulador!$E$9)/Simulador!$G$9)&lt;Simulador!$B$11,Simulador!$B$10*(1-COS(PI()*(($A298-Simulador!$E$9)/Simulador!$G$9)/Simulador!$B$11))/2,IF((($A298-Simulador!$E$9)/Simulador!$G$9)&gt;1-Simulador!$B$11,Simulador!$B$10*(1-COS(PI()*(1-(($A298-Simulador!$E$9)/Simulador!$G$9))/Simulador!$B$11))/2,Simulador!$B$10)))</f>
        <v/>
      </c>
      <c r="G298" s="46">
        <f>IF(OR((($A298-Simulador!$E$10)/Simulador!$G$10)&lt;=0,(($A298-Simulador!$E$10)/Simulador!$G$10)&gt;=1),0,IF((($A298-Simulador!$E$10)/Simulador!$G$10)&lt;Simulador!$B$11,Simulador!$B$10*(1-COS(PI()*(($A298-Simulador!$E$10)/Simulador!$G$10)/Simulador!$B$11))/2,IF((($A298-Simulador!$E$10)/Simulador!$G$10)&gt;1-Simulador!$B$11,Simulador!$B$10*(1-COS(PI()*(1-(($A298-Simulador!$E$10)/Simulador!$G$10))/Simulador!$B$11))/2,Simulador!$B$10)))</f>
        <v/>
      </c>
      <c r="Q298" s="48">
        <f>IF(OR((($A298-(Simulador!$E$6+'Salto de dientes'!$B$12))/Simulador!$G$6)&lt;=0,(($A298-(Simulador!$E$6+'Salto de dientes'!$B$12))/Simulador!$G$6)&gt;=1),0,IF((($A298-(Simulador!$E$6+'Salto de dientes'!$B$12))/Simulador!$G$6)&lt;Simulador!$B$11,Simulador!$B$9*(1-COS(PI()*(($A298-(Simulador!$E$6+'Salto de dientes'!$B$12))/Simulador!$G$6)/Simulador!$B$11))/2,IF((($A298-(Simulador!$E$6+'Salto de dientes'!$B$12))/Simulador!$G$6)&gt;1-Simulador!$B$11,Simulador!$B$9*(1-COS(PI()*(1-(($A298-(Simulador!$E$6+'Salto de dientes'!$B$12))/Simulador!$G$6))/Simulador!$B$11))/2,Simulador!$B$9)))</f>
        <v/>
      </c>
      <c r="R298" s="48">
        <f>IF(OR((($A298-(Simulador!$E$9+'Salto de dientes'!$B$12))/Simulador!$G$9)&lt;=0,(($A298-(Simulador!$E$9+'Salto de dientes'!$B$12))/Simulador!$G$9)&gt;=1),0,IF((($A298-(Simulador!$E$9+'Salto de dientes'!$B$12))/Simulador!$G$9)&lt;Simulador!$B$11,Simulador!$B$10*(1-COS(PI()*(($A298-(Simulador!$E$9+'Salto de dientes'!$B$12))/Simulador!$G$9)/Simulador!$B$11))/2,IF((($A298-(Simulador!$E$9+'Salto de dientes'!$B$12))/Simulador!$G$9)&gt;1-Simulador!$B$11,Simulador!$B$10*(1-COS(PI()*(1-(($A298-(Simulador!$E$9+'Salto de dientes'!$B$12))/Simulador!$G$9))/Simulador!$B$11))/2,Simulador!$B$10)))</f>
        <v/>
      </c>
    </row>
    <row r="299">
      <c r="A299" s="26">
        <f>A298+Simulador!$B$14</f>
        <v/>
      </c>
      <c r="B299" s="46">
        <f>IF(OR((($A299-Simulador!$E$5)/Simulador!$G$5)&lt;=0,(($A299-Simulador!$E$5)/Simulador!$G$5)&gt;=1),0,IF((($A299-Simulador!$E$5)/Simulador!$G$5)&lt;Simulador!$B$11,Simulador!$B$9*(1-COS(PI()*(($A299-Simulador!$E$5)/Simulador!$G$5)/Simulador!$B$11))/2,IF((($A299-Simulador!$E$5)/Simulador!$G$5)&gt;1-Simulador!$B$11,Simulador!$B$9*(1-COS(PI()*(1-(($A299-Simulador!$E$5)/Simulador!$G$5))/Simulador!$B$11))/2,Simulador!$B$9)))</f>
        <v/>
      </c>
      <c r="C299" s="46">
        <f>IF(OR((($A299-Simulador!$E$6)/Simulador!$G$6)&lt;=0,(($A299-Simulador!$E$6)/Simulador!$G$6)&gt;=1),0,IF((($A299-Simulador!$E$6)/Simulador!$G$6)&lt;Simulador!$B$11,Simulador!$B$9*(1-COS(PI()*(($A299-Simulador!$E$6)/Simulador!$G$6)/Simulador!$B$11))/2,IF((($A299-Simulador!$E$6)/Simulador!$G$6)&gt;1-Simulador!$B$11,Simulador!$B$9*(1-COS(PI()*(1-(($A299-Simulador!$E$6)/Simulador!$G$6))/Simulador!$B$11))/2,Simulador!$B$9)))</f>
        <v/>
      </c>
      <c r="D299" s="46">
        <f>IF(OR((($A299-Simulador!$E$7)/Simulador!$G$7)&lt;=0,(($A299-Simulador!$E$7)/Simulador!$G$7)&gt;=1),0,IF((($A299-Simulador!$E$7)/Simulador!$G$7)&lt;Simulador!$B$11,Simulador!$B$9*(1-COS(PI()*(($A299-Simulador!$E$7)/Simulador!$G$7)/Simulador!$B$11))/2,IF((($A299-Simulador!$E$7)/Simulador!$G$7)&gt;1-Simulador!$B$11,Simulador!$B$9*(1-COS(PI()*(1-(($A299-Simulador!$E$7)/Simulador!$G$7))/Simulador!$B$11))/2,Simulador!$B$9)))</f>
        <v/>
      </c>
      <c r="E299" s="46">
        <f>IF(OR((($A299-Simulador!$E$8)/Simulador!$G$8)&lt;=0,(($A299-Simulador!$E$8)/Simulador!$G$8)&gt;=1),0,IF((($A299-Simulador!$E$8)/Simulador!$G$8)&lt;Simulador!$B$11,Simulador!$B$10*(1-COS(PI()*(($A299-Simulador!$E$8)/Simulador!$G$8)/Simulador!$B$11))/2,IF((($A299-Simulador!$E$8)/Simulador!$G$8)&gt;1-Simulador!$B$11,Simulador!$B$10*(1-COS(PI()*(1-(($A299-Simulador!$E$8)/Simulador!$G$8))/Simulador!$B$11))/2,Simulador!$B$10)))</f>
        <v/>
      </c>
      <c r="F299" s="46">
        <f>IF(OR((($A299-Simulador!$E$9)/Simulador!$G$9)&lt;=0,(($A299-Simulador!$E$9)/Simulador!$G$9)&gt;=1),0,IF((($A299-Simulador!$E$9)/Simulador!$G$9)&lt;Simulador!$B$11,Simulador!$B$10*(1-COS(PI()*(($A299-Simulador!$E$9)/Simulador!$G$9)/Simulador!$B$11))/2,IF((($A299-Simulador!$E$9)/Simulador!$G$9)&gt;1-Simulador!$B$11,Simulador!$B$10*(1-COS(PI()*(1-(($A299-Simulador!$E$9)/Simulador!$G$9))/Simulador!$B$11))/2,Simulador!$B$10)))</f>
        <v/>
      </c>
      <c r="G299" s="46">
        <f>IF(OR((($A299-Simulador!$E$10)/Simulador!$G$10)&lt;=0,(($A299-Simulador!$E$10)/Simulador!$G$10)&gt;=1),0,IF((($A299-Simulador!$E$10)/Simulador!$G$10)&lt;Simulador!$B$11,Simulador!$B$10*(1-COS(PI()*(($A299-Simulador!$E$10)/Simulador!$G$10)/Simulador!$B$11))/2,IF((($A299-Simulador!$E$10)/Simulador!$G$10)&gt;1-Simulador!$B$11,Simulador!$B$10*(1-COS(PI()*(1-(($A299-Simulador!$E$10)/Simulador!$G$10))/Simulador!$B$11))/2,Simulador!$B$10)))</f>
        <v/>
      </c>
      <c r="Q299" s="48">
        <f>IF(OR((($A299-(Simulador!$E$6+'Salto de dientes'!$B$12))/Simulador!$G$6)&lt;=0,(($A299-(Simulador!$E$6+'Salto de dientes'!$B$12))/Simulador!$G$6)&gt;=1),0,IF((($A299-(Simulador!$E$6+'Salto de dientes'!$B$12))/Simulador!$G$6)&lt;Simulador!$B$11,Simulador!$B$9*(1-COS(PI()*(($A299-(Simulador!$E$6+'Salto de dientes'!$B$12))/Simulador!$G$6)/Simulador!$B$11))/2,IF((($A299-(Simulador!$E$6+'Salto de dientes'!$B$12))/Simulador!$G$6)&gt;1-Simulador!$B$11,Simulador!$B$9*(1-COS(PI()*(1-(($A299-(Simulador!$E$6+'Salto de dientes'!$B$12))/Simulador!$G$6))/Simulador!$B$11))/2,Simulador!$B$9)))</f>
        <v/>
      </c>
      <c r="R299" s="48">
        <f>IF(OR((($A299-(Simulador!$E$9+'Salto de dientes'!$B$12))/Simulador!$G$9)&lt;=0,(($A299-(Simulador!$E$9+'Salto de dientes'!$B$12))/Simulador!$G$9)&gt;=1),0,IF((($A299-(Simulador!$E$9+'Salto de dientes'!$B$12))/Simulador!$G$9)&lt;Simulador!$B$11,Simulador!$B$10*(1-COS(PI()*(($A299-(Simulador!$E$9+'Salto de dientes'!$B$12))/Simulador!$G$9)/Simulador!$B$11))/2,IF((($A299-(Simulador!$E$9+'Salto de dientes'!$B$12))/Simulador!$G$9)&gt;1-Simulador!$B$11,Simulador!$B$10*(1-COS(PI()*(1-(($A299-(Simulador!$E$9+'Salto de dientes'!$B$12))/Simulador!$G$9))/Simulador!$B$11))/2,Simulador!$B$10)))</f>
        <v/>
      </c>
    </row>
    <row r="300">
      <c r="A300" s="26">
        <f>A299+Simulador!$B$14</f>
        <v/>
      </c>
      <c r="B300" s="46">
        <f>IF(OR((($A300-Simulador!$E$5)/Simulador!$G$5)&lt;=0,(($A300-Simulador!$E$5)/Simulador!$G$5)&gt;=1),0,IF((($A300-Simulador!$E$5)/Simulador!$G$5)&lt;Simulador!$B$11,Simulador!$B$9*(1-COS(PI()*(($A300-Simulador!$E$5)/Simulador!$G$5)/Simulador!$B$11))/2,IF((($A300-Simulador!$E$5)/Simulador!$G$5)&gt;1-Simulador!$B$11,Simulador!$B$9*(1-COS(PI()*(1-(($A300-Simulador!$E$5)/Simulador!$G$5))/Simulador!$B$11))/2,Simulador!$B$9)))</f>
        <v/>
      </c>
      <c r="C300" s="46">
        <f>IF(OR((($A300-Simulador!$E$6)/Simulador!$G$6)&lt;=0,(($A300-Simulador!$E$6)/Simulador!$G$6)&gt;=1),0,IF((($A300-Simulador!$E$6)/Simulador!$G$6)&lt;Simulador!$B$11,Simulador!$B$9*(1-COS(PI()*(($A300-Simulador!$E$6)/Simulador!$G$6)/Simulador!$B$11))/2,IF((($A300-Simulador!$E$6)/Simulador!$G$6)&gt;1-Simulador!$B$11,Simulador!$B$9*(1-COS(PI()*(1-(($A300-Simulador!$E$6)/Simulador!$G$6))/Simulador!$B$11))/2,Simulador!$B$9)))</f>
        <v/>
      </c>
      <c r="D300" s="46">
        <f>IF(OR((($A300-Simulador!$E$7)/Simulador!$G$7)&lt;=0,(($A300-Simulador!$E$7)/Simulador!$G$7)&gt;=1),0,IF((($A300-Simulador!$E$7)/Simulador!$G$7)&lt;Simulador!$B$11,Simulador!$B$9*(1-COS(PI()*(($A300-Simulador!$E$7)/Simulador!$G$7)/Simulador!$B$11))/2,IF((($A300-Simulador!$E$7)/Simulador!$G$7)&gt;1-Simulador!$B$11,Simulador!$B$9*(1-COS(PI()*(1-(($A300-Simulador!$E$7)/Simulador!$G$7))/Simulador!$B$11))/2,Simulador!$B$9)))</f>
        <v/>
      </c>
      <c r="E300" s="46">
        <f>IF(OR((($A300-Simulador!$E$8)/Simulador!$G$8)&lt;=0,(($A300-Simulador!$E$8)/Simulador!$G$8)&gt;=1),0,IF((($A300-Simulador!$E$8)/Simulador!$G$8)&lt;Simulador!$B$11,Simulador!$B$10*(1-COS(PI()*(($A300-Simulador!$E$8)/Simulador!$G$8)/Simulador!$B$11))/2,IF((($A300-Simulador!$E$8)/Simulador!$G$8)&gt;1-Simulador!$B$11,Simulador!$B$10*(1-COS(PI()*(1-(($A300-Simulador!$E$8)/Simulador!$G$8))/Simulador!$B$11))/2,Simulador!$B$10)))</f>
        <v/>
      </c>
      <c r="F300" s="46">
        <f>IF(OR((($A300-Simulador!$E$9)/Simulador!$G$9)&lt;=0,(($A300-Simulador!$E$9)/Simulador!$G$9)&gt;=1),0,IF((($A300-Simulador!$E$9)/Simulador!$G$9)&lt;Simulador!$B$11,Simulador!$B$10*(1-COS(PI()*(($A300-Simulador!$E$9)/Simulador!$G$9)/Simulador!$B$11))/2,IF((($A300-Simulador!$E$9)/Simulador!$G$9)&gt;1-Simulador!$B$11,Simulador!$B$10*(1-COS(PI()*(1-(($A300-Simulador!$E$9)/Simulador!$G$9))/Simulador!$B$11))/2,Simulador!$B$10)))</f>
        <v/>
      </c>
      <c r="G300" s="46">
        <f>IF(OR((($A300-Simulador!$E$10)/Simulador!$G$10)&lt;=0,(($A300-Simulador!$E$10)/Simulador!$G$10)&gt;=1),0,IF((($A300-Simulador!$E$10)/Simulador!$G$10)&lt;Simulador!$B$11,Simulador!$B$10*(1-COS(PI()*(($A300-Simulador!$E$10)/Simulador!$G$10)/Simulador!$B$11))/2,IF((($A300-Simulador!$E$10)/Simulador!$G$10)&gt;1-Simulador!$B$11,Simulador!$B$10*(1-COS(PI()*(1-(($A300-Simulador!$E$10)/Simulador!$G$10))/Simulador!$B$11))/2,Simulador!$B$10)))</f>
        <v/>
      </c>
      <c r="Q300" s="48">
        <f>IF(OR((($A300-(Simulador!$E$6+'Salto de dientes'!$B$12))/Simulador!$G$6)&lt;=0,(($A300-(Simulador!$E$6+'Salto de dientes'!$B$12))/Simulador!$G$6)&gt;=1),0,IF((($A300-(Simulador!$E$6+'Salto de dientes'!$B$12))/Simulador!$G$6)&lt;Simulador!$B$11,Simulador!$B$9*(1-COS(PI()*(($A300-(Simulador!$E$6+'Salto de dientes'!$B$12))/Simulador!$G$6)/Simulador!$B$11))/2,IF((($A300-(Simulador!$E$6+'Salto de dientes'!$B$12))/Simulador!$G$6)&gt;1-Simulador!$B$11,Simulador!$B$9*(1-COS(PI()*(1-(($A300-(Simulador!$E$6+'Salto de dientes'!$B$12))/Simulador!$G$6))/Simulador!$B$11))/2,Simulador!$B$9)))</f>
        <v/>
      </c>
      <c r="R300" s="48">
        <f>IF(OR((($A300-(Simulador!$E$9+'Salto de dientes'!$B$12))/Simulador!$G$9)&lt;=0,(($A300-(Simulador!$E$9+'Salto de dientes'!$B$12))/Simulador!$G$9)&gt;=1),0,IF((($A300-(Simulador!$E$9+'Salto de dientes'!$B$12))/Simulador!$G$9)&lt;Simulador!$B$11,Simulador!$B$10*(1-COS(PI()*(($A300-(Simulador!$E$9+'Salto de dientes'!$B$12))/Simulador!$G$9)/Simulador!$B$11))/2,IF((($A300-(Simulador!$E$9+'Salto de dientes'!$B$12))/Simulador!$G$9)&gt;1-Simulador!$B$11,Simulador!$B$10*(1-COS(PI()*(1-(($A300-(Simulador!$E$9+'Salto de dientes'!$B$12))/Simulador!$G$9))/Simulador!$B$11))/2,Simulador!$B$10)))</f>
        <v/>
      </c>
    </row>
    <row r="301">
      <c r="A301" s="26">
        <f>A300+Simulador!$B$14</f>
        <v/>
      </c>
      <c r="B301" s="46">
        <f>IF(OR((($A301-Simulador!$E$5)/Simulador!$G$5)&lt;=0,(($A301-Simulador!$E$5)/Simulador!$G$5)&gt;=1),0,IF((($A301-Simulador!$E$5)/Simulador!$G$5)&lt;Simulador!$B$11,Simulador!$B$9*(1-COS(PI()*(($A301-Simulador!$E$5)/Simulador!$G$5)/Simulador!$B$11))/2,IF((($A301-Simulador!$E$5)/Simulador!$G$5)&gt;1-Simulador!$B$11,Simulador!$B$9*(1-COS(PI()*(1-(($A301-Simulador!$E$5)/Simulador!$G$5))/Simulador!$B$11))/2,Simulador!$B$9)))</f>
        <v/>
      </c>
      <c r="C301" s="46">
        <f>IF(OR((($A301-Simulador!$E$6)/Simulador!$G$6)&lt;=0,(($A301-Simulador!$E$6)/Simulador!$G$6)&gt;=1),0,IF((($A301-Simulador!$E$6)/Simulador!$G$6)&lt;Simulador!$B$11,Simulador!$B$9*(1-COS(PI()*(($A301-Simulador!$E$6)/Simulador!$G$6)/Simulador!$B$11))/2,IF((($A301-Simulador!$E$6)/Simulador!$G$6)&gt;1-Simulador!$B$11,Simulador!$B$9*(1-COS(PI()*(1-(($A301-Simulador!$E$6)/Simulador!$G$6))/Simulador!$B$11))/2,Simulador!$B$9)))</f>
        <v/>
      </c>
      <c r="D301" s="46">
        <f>IF(OR((($A301-Simulador!$E$7)/Simulador!$G$7)&lt;=0,(($A301-Simulador!$E$7)/Simulador!$G$7)&gt;=1),0,IF((($A301-Simulador!$E$7)/Simulador!$G$7)&lt;Simulador!$B$11,Simulador!$B$9*(1-COS(PI()*(($A301-Simulador!$E$7)/Simulador!$G$7)/Simulador!$B$11))/2,IF((($A301-Simulador!$E$7)/Simulador!$G$7)&gt;1-Simulador!$B$11,Simulador!$B$9*(1-COS(PI()*(1-(($A301-Simulador!$E$7)/Simulador!$G$7))/Simulador!$B$11))/2,Simulador!$B$9)))</f>
        <v/>
      </c>
      <c r="E301" s="46">
        <f>IF(OR((($A301-Simulador!$E$8)/Simulador!$G$8)&lt;=0,(($A301-Simulador!$E$8)/Simulador!$G$8)&gt;=1),0,IF((($A301-Simulador!$E$8)/Simulador!$G$8)&lt;Simulador!$B$11,Simulador!$B$10*(1-COS(PI()*(($A301-Simulador!$E$8)/Simulador!$G$8)/Simulador!$B$11))/2,IF((($A301-Simulador!$E$8)/Simulador!$G$8)&gt;1-Simulador!$B$11,Simulador!$B$10*(1-COS(PI()*(1-(($A301-Simulador!$E$8)/Simulador!$G$8))/Simulador!$B$11))/2,Simulador!$B$10)))</f>
        <v/>
      </c>
      <c r="F301" s="46">
        <f>IF(OR((($A301-Simulador!$E$9)/Simulador!$G$9)&lt;=0,(($A301-Simulador!$E$9)/Simulador!$G$9)&gt;=1),0,IF((($A301-Simulador!$E$9)/Simulador!$G$9)&lt;Simulador!$B$11,Simulador!$B$10*(1-COS(PI()*(($A301-Simulador!$E$9)/Simulador!$G$9)/Simulador!$B$11))/2,IF((($A301-Simulador!$E$9)/Simulador!$G$9)&gt;1-Simulador!$B$11,Simulador!$B$10*(1-COS(PI()*(1-(($A301-Simulador!$E$9)/Simulador!$G$9))/Simulador!$B$11))/2,Simulador!$B$10)))</f>
        <v/>
      </c>
      <c r="G301" s="46">
        <f>IF(OR((($A301-Simulador!$E$10)/Simulador!$G$10)&lt;=0,(($A301-Simulador!$E$10)/Simulador!$G$10)&gt;=1),0,IF((($A301-Simulador!$E$10)/Simulador!$G$10)&lt;Simulador!$B$11,Simulador!$B$10*(1-COS(PI()*(($A301-Simulador!$E$10)/Simulador!$G$10)/Simulador!$B$11))/2,IF((($A301-Simulador!$E$10)/Simulador!$G$10)&gt;1-Simulador!$B$11,Simulador!$B$10*(1-COS(PI()*(1-(($A301-Simulador!$E$10)/Simulador!$G$10))/Simulador!$B$11))/2,Simulador!$B$10)))</f>
        <v/>
      </c>
      <c r="Q301" s="48">
        <f>IF(OR((($A301-(Simulador!$E$6+'Salto de dientes'!$B$12))/Simulador!$G$6)&lt;=0,(($A301-(Simulador!$E$6+'Salto de dientes'!$B$12))/Simulador!$G$6)&gt;=1),0,IF((($A301-(Simulador!$E$6+'Salto de dientes'!$B$12))/Simulador!$G$6)&lt;Simulador!$B$11,Simulador!$B$9*(1-COS(PI()*(($A301-(Simulador!$E$6+'Salto de dientes'!$B$12))/Simulador!$G$6)/Simulador!$B$11))/2,IF((($A301-(Simulador!$E$6+'Salto de dientes'!$B$12))/Simulador!$G$6)&gt;1-Simulador!$B$11,Simulador!$B$9*(1-COS(PI()*(1-(($A301-(Simulador!$E$6+'Salto de dientes'!$B$12))/Simulador!$G$6))/Simulador!$B$11))/2,Simulador!$B$9)))</f>
        <v/>
      </c>
      <c r="R301" s="48">
        <f>IF(OR((($A301-(Simulador!$E$9+'Salto de dientes'!$B$12))/Simulador!$G$9)&lt;=0,(($A301-(Simulador!$E$9+'Salto de dientes'!$B$12))/Simulador!$G$9)&gt;=1),0,IF((($A301-(Simulador!$E$9+'Salto de dientes'!$B$12))/Simulador!$G$9)&lt;Simulador!$B$11,Simulador!$B$10*(1-COS(PI()*(($A301-(Simulador!$E$9+'Salto de dientes'!$B$12))/Simulador!$G$9)/Simulador!$B$11))/2,IF((($A301-(Simulador!$E$9+'Salto de dientes'!$B$12))/Simulador!$G$9)&gt;1-Simulador!$B$11,Simulador!$B$10*(1-COS(PI()*(1-(($A301-(Simulador!$E$9+'Salto de dientes'!$B$12))/Simulador!$G$9))/Simulador!$B$11))/2,Simulador!$B$10)))</f>
        <v/>
      </c>
    </row>
    <row r="302">
      <c r="A302" s="26">
        <f>A301+Simulador!$B$14</f>
        <v/>
      </c>
      <c r="B302" s="46">
        <f>IF(OR((($A302-Simulador!$E$5)/Simulador!$G$5)&lt;=0,(($A302-Simulador!$E$5)/Simulador!$G$5)&gt;=1),0,IF((($A302-Simulador!$E$5)/Simulador!$G$5)&lt;Simulador!$B$11,Simulador!$B$9*(1-COS(PI()*(($A302-Simulador!$E$5)/Simulador!$G$5)/Simulador!$B$11))/2,IF((($A302-Simulador!$E$5)/Simulador!$G$5)&gt;1-Simulador!$B$11,Simulador!$B$9*(1-COS(PI()*(1-(($A302-Simulador!$E$5)/Simulador!$G$5))/Simulador!$B$11))/2,Simulador!$B$9)))</f>
        <v/>
      </c>
      <c r="C302" s="46">
        <f>IF(OR((($A302-Simulador!$E$6)/Simulador!$G$6)&lt;=0,(($A302-Simulador!$E$6)/Simulador!$G$6)&gt;=1),0,IF((($A302-Simulador!$E$6)/Simulador!$G$6)&lt;Simulador!$B$11,Simulador!$B$9*(1-COS(PI()*(($A302-Simulador!$E$6)/Simulador!$G$6)/Simulador!$B$11))/2,IF((($A302-Simulador!$E$6)/Simulador!$G$6)&gt;1-Simulador!$B$11,Simulador!$B$9*(1-COS(PI()*(1-(($A302-Simulador!$E$6)/Simulador!$G$6))/Simulador!$B$11))/2,Simulador!$B$9)))</f>
        <v/>
      </c>
      <c r="D302" s="46">
        <f>IF(OR((($A302-Simulador!$E$7)/Simulador!$G$7)&lt;=0,(($A302-Simulador!$E$7)/Simulador!$G$7)&gt;=1),0,IF((($A302-Simulador!$E$7)/Simulador!$G$7)&lt;Simulador!$B$11,Simulador!$B$9*(1-COS(PI()*(($A302-Simulador!$E$7)/Simulador!$G$7)/Simulador!$B$11))/2,IF((($A302-Simulador!$E$7)/Simulador!$G$7)&gt;1-Simulador!$B$11,Simulador!$B$9*(1-COS(PI()*(1-(($A302-Simulador!$E$7)/Simulador!$G$7))/Simulador!$B$11))/2,Simulador!$B$9)))</f>
        <v/>
      </c>
      <c r="E302" s="46">
        <f>IF(OR((($A302-Simulador!$E$8)/Simulador!$G$8)&lt;=0,(($A302-Simulador!$E$8)/Simulador!$G$8)&gt;=1),0,IF((($A302-Simulador!$E$8)/Simulador!$G$8)&lt;Simulador!$B$11,Simulador!$B$10*(1-COS(PI()*(($A302-Simulador!$E$8)/Simulador!$G$8)/Simulador!$B$11))/2,IF((($A302-Simulador!$E$8)/Simulador!$G$8)&gt;1-Simulador!$B$11,Simulador!$B$10*(1-COS(PI()*(1-(($A302-Simulador!$E$8)/Simulador!$G$8))/Simulador!$B$11))/2,Simulador!$B$10)))</f>
        <v/>
      </c>
      <c r="F302" s="46">
        <f>IF(OR((($A302-Simulador!$E$9)/Simulador!$G$9)&lt;=0,(($A302-Simulador!$E$9)/Simulador!$G$9)&gt;=1),0,IF((($A302-Simulador!$E$9)/Simulador!$G$9)&lt;Simulador!$B$11,Simulador!$B$10*(1-COS(PI()*(($A302-Simulador!$E$9)/Simulador!$G$9)/Simulador!$B$11))/2,IF((($A302-Simulador!$E$9)/Simulador!$G$9)&gt;1-Simulador!$B$11,Simulador!$B$10*(1-COS(PI()*(1-(($A302-Simulador!$E$9)/Simulador!$G$9))/Simulador!$B$11))/2,Simulador!$B$10)))</f>
        <v/>
      </c>
      <c r="G302" s="46">
        <f>IF(OR((($A302-Simulador!$E$10)/Simulador!$G$10)&lt;=0,(($A302-Simulador!$E$10)/Simulador!$G$10)&gt;=1),0,IF((($A302-Simulador!$E$10)/Simulador!$G$10)&lt;Simulador!$B$11,Simulador!$B$10*(1-COS(PI()*(($A302-Simulador!$E$10)/Simulador!$G$10)/Simulador!$B$11))/2,IF((($A302-Simulador!$E$10)/Simulador!$G$10)&gt;1-Simulador!$B$11,Simulador!$B$10*(1-COS(PI()*(1-(($A302-Simulador!$E$10)/Simulador!$G$10))/Simulador!$B$11))/2,Simulador!$B$10)))</f>
        <v/>
      </c>
      <c r="Q302" s="48">
        <f>IF(OR((($A302-(Simulador!$E$6+'Salto de dientes'!$B$12))/Simulador!$G$6)&lt;=0,(($A302-(Simulador!$E$6+'Salto de dientes'!$B$12))/Simulador!$G$6)&gt;=1),0,IF((($A302-(Simulador!$E$6+'Salto de dientes'!$B$12))/Simulador!$G$6)&lt;Simulador!$B$11,Simulador!$B$9*(1-COS(PI()*(($A302-(Simulador!$E$6+'Salto de dientes'!$B$12))/Simulador!$G$6)/Simulador!$B$11))/2,IF((($A302-(Simulador!$E$6+'Salto de dientes'!$B$12))/Simulador!$G$6)&gt;1-Simulador!$B$11,Simulador!$B$9*(1-COS(PI()*(1-(($A302-(Simulador!$E$6+'Salto de dientes'!$B$12))/Simulador!$G$6))/Simulador!$B$11))/2,Simulador!$B$9)))</f>
        <v/>
      </c>
      <c r="R302" s="48">
        <f>IF(OR((($A302-(Simulador!$E$9+'Salto de dientes'!$B$12))/Simulador!$G$9)&lt;=0,(($A302-(Simulador!$E$9+'Salto de dientes'!$B$12))/Simulador!$G$9)&gt;=1),0,IF((($A302-(Simulador!$E$9+'Salto de dientes'!$B$12))/Simulador!$G$9)&lt;Simulador!$B$11,Simulador!$B$10*(1-COS(PI()*(($A302-(Simulador!$E$9+'Salto de dientes'!$B$12))/Simulador!$G$9)/Simulador!$B$11))/2,IF((($A302-(Simulador!$E$9+'Salto de dientes'!$B$12))/Simulador!$G$9)&gt;1-Simulador!$B$11,Simulador!$B$10*(1-COS(PI()*(1-(($A302-(Simulador!$E$9+'Salto de dientes'!$B$12))/Simulador!$G$9))/Simulador!$B$11))/2,Simulador!$B$10)))</f>
        <v/>
      </c>
    </row>
    <row r="303">
      <c r="A303" s="26">
        <f>A302+Simulador!$B$14</f>
        <v/>
      </c>
      <c r="B303" s="46">
        <f>IF(OR((($A303-Simulador!$E$5)/Simulador!$G$5)&lt;=0,(($A303-Simulador!$E$5)/Simulador!$G$5)&gt;=1),0,IF((($A303-Simulador!$E$5)/Simulador!$G$5)&lt;Simulador!$B$11,Simulador!$B$9*(1-COS(PI()*(($A303-Simulador!$E$5)/Simulador!$G$5)/Simulador!$B$11))/2,IF((($A303-Simulador!$E$5)/Simulador!$G$5)&gt;1-Simulador!$B$11,Simulador!$B$9*(1-COS(PI()*(1-(($A303-Simulador!$E$5)/Simulador!$G$5))/Simulador!$B$11))/2,Simulador!$B$9)))</f>
        <v/>
      </c>
      <c r="C303" s="46">
        <f>IF(OR((($A303-Simulador!$E$6)/Simulador!$G$6)&lt;=0,(($A303-Simulador!$E$6)/Simulador!$G$6)&gt;=1),0,IF((($A303-Simulador!$E$6)/Simulador!$G$6)&lt;Simulador!$B$11,Simulador!$B$9*(1-COS(PI()*(($A303-Simulador!$E$6)/Simulador!$G$6)/Simulador!$B$11))/2,IF((($A303-Simulador!$E$6)/Simulador!$G$6)&gt;1-Simulador!$B$11,Simulador!$B$9*(1-COS(PI()*(1-(($A303-Simulador!$E$6)/Simulador!$G$6))/Simulador!$B$11))/2,Simulador!$B$9)))</f>
        <v/>
      </c>
      <c r="D303" s="46">
        <f>IF(OR((($A303-Simulador!$E$7)/Simulador!$G$7)&lt;=0,(($A303-Simulador!$E$7)/Simulador!$G$7)&gt;=1),0,IF((($A303-Simulador!$E$7)/Simulador!$G$7)&lt;Simulador!$B$11,Simulador!$B$9*(1-COS(PI()*(($A303-Simulador!$E$7)/Simulador!$G$7)/Simulador!$B$11))/2,IF((($A303-Simulador!$E$7)/Simulador!$G$7)&gt;1-Simulador!$B$11,Simulador!$B$9*(1-COS(PI()*(1-(($A303-Simulador!$E$7)/Simulador!$G$7))/Simulador!$B$11))/2,Simulador!$B$9)))</f>
        <v/>
      </c>
      <c r="E303" s="46">
        <f>IF(OR((($A303-Simulador!$E$8)/Simulador!$G$8)&lt;=0,(($A303-Simulador!$E$8)/Simulador!$G$8)&gt;=1),0,IF((($A303-Simulador!$E$8)/Simulador!$G$8)&lt;Simulador!$B$11,Simulador!$B$10*(1-COS(PI()*(($A303-Simulador!$E$8)/Simulador!$G$8)/Simulador!$B$11))/2,IF((($A303-Simulador!$E$8)/Simulador!$G$8)&gt;1-Simulador!$B$11,Simulador!$B$10*(1-COS(PI()*(1-(($A303-Simulador!$E$8)/Simulador!$G$8))/Simulador!$B$11))/2,Simulador!$B$10)))</f>
        <v/>
      </c>
      <c r="F303" s="46">
        <f>IF(OR((($A303-Simulador!$E$9)/Simulador!$G$9)&lt;=0,(($A303-Simulador!$E$9)/Simulador!$G$9)&gt;=1),0,IF((($A303-Simulador!$E$9)/Simulador!$G$9)&lt;Simulador!$B$11,Simulador!$B$10*(1-COS(PI()*(($A303-Simulador!$E$9)/Simulador!$G$9)/Simulador!$B$11))/2,IF((($A303-Simulador!$E$9)/Simulador!$G$9)&gt;1-Simulador!$B$11,Simulador!$B$10*(1-COS(PI()*(1-(($A303-Simulador!$E$9)/Simulador!$G$9))/Simulador!$B$11))/2,Simulador!$B$10)))</f>
        <v/>
      </c>
      <c r="G303" s="46">
        <f>IF(OR((($A303-Simulador!$E$10)/Simulador!$G$10)&lt;=0,(($A303-Simulador!$E$10)/Simulador!$G$10)&gt;=1),0,IF((($A303-Simulador!$E$10)/Simulador!$G$10)&lt;Simulador!$B$11,Simulador!$B$10*(1-COS(PI()*(($A303-Simulador!$E$10)/Simulador!$G$10)/Simulador!$B$11))/2,IF((($A303-Simulador!$E$10)/Simulador!$G$10)&gt;1-Simulador!$B$11,Simulador!$B$10*(1-COS(PI()*(1-(($A303-Simulador!$E$10)/Simulador!$G$10))/Simulador!$B$11))/2,Simulador!$B$10)))</f>
        <v/>
      </c>
      <c r="Q303" s="48">
        <f>IF(OR((($A303-(Simulador!$E$6+'Salto de dientes'!$B$12))/Simulador!$G$6)&lt;=0,(($A303-(Simulador!$E$6+'Salto de dientes'!$B$12))/Simulador!$G$6)&gt;=1),0,IF((($A303-(Simulador!$E$6+'Salto de dientes'!$B$12))/Simulador!$G$6)&lt;Simulador!$B$11,Simulador!$B$9*(1-COS(PI()*(($A303-(Simulador!$E$6+'Salto de dientes'!$B$12))/Simulador!$G$6)/Simulador!$B$11))/2,IF((($A303-(Simulador!$E$6+'Salto de dientes'!$B$12))/Simulador!$G$6)&gt;1-Simulador!$B$11,Simulador!$B$9*(1-COS(PI()*(1-(($A303-(Simulador!$E$6+'Salto de dientes'!$B$12))/Simulador!$G$6))/Simulador!$B$11))/2,Simulador!$B$9)))</f>
        <v/>
      </c>
      <c r="R303" s="48">
        <f>IF(OR((($A303-(Simulador!$E$9+'Salto de dientes'!$B$12))/Simulador!$G$9)&lt;=0,(($A303-(Simulador!$E$9+'Salto de dientes'!$B$12))/Simulador!$G$9)&gt;=1),0,IF((($A303-(Simulador!$E$9+'Salto de dientes'!$B$12))/Simulador!$G$9)&lt;Simulador!$B$11,Simulador!$B$10*(1-COS(PI()*(($A303-(Simulador!$E$9+'Salto de dientes'!$B$12))/Simulador!$G$9)/Simulador!$B$11))/2,IF((($A303-(Simulador!$E$9+'Salto de dientes'!$B$12))/Simulador!$G$9)&gt;1-Simulador!$B$11,Simulador!$B$10*(1-COS(PI()*(1-(($A303-(Simulador!$E$9+'Salto de dientes'!$B$12))/Simulador!$G$9))/Simulador!$B$11))/2,Simulador!$B$10)))</f>
        <v/>
      </c>
    </row>
    <row r="304">
      <c r="A304" s="26">
        <f>A303+Simulador!$B$14</f>
        <v/>
      </c>
      <c r="B304" s="46">
        <f>IF(OR((($A304-Simulador!$E$5)/Simulador!$G$5)&lt;=0,(($A304-Simulador!$E$5)/Simulador!$G$5)&gt;=1),0,IF((($A304-Simulador!$E$5)/Simulador!$G$5)&lt;Simulador!$B$11,Simulador!$B$9*(1-COS(PI()*(($A304-Simulador!$E$5)/Simulador!$G$5)/Simulador!$B$11))/2,IF((($A304-Simulador!$E$5)/Simulador!$G$5)&gt;1-Simulador!$B$11,Simulador!$B$9*(1-COS(PI()*(1-(($A304-Simulador!$E$5)/Simulador!$G$5))/Simulador!$B$11))/2,Simulador!$B$9)))</f>
        <v/>
      </c>
      <c r="C304" s="46">
        <f>IF(OR((($A304-Simulador!$E$6)/Simulador!$G$6)&lt;=0,(($A304-Simulador!$E$6)/Simulador!$G$6)&gt;=1),0,IF((($A304-Simulador!$E$6)/Simulador!$G$6)&lt;Simulador!$B$11,Simulador!$B$9*(1-COS(PI()*(($A304-Simulador!$E$6)/Simulador!$G$6)/Simulador!$B$11))/2,IF((($A304-Simulador!$E$6)/Simulador!$G$6)&gt;1-Simulador!$B$11,Simulador!$B$9*(1-COS(PI()*(1-(($A304-Simulador!$E$6)/Simulador!$G$6))/Simulador!$B$11))/2,Simulador!$B$9)))</f>
        <v/>
      </c>
      <c r="D304" s="46">
        <f>IF(OR((($A304-Simulador!$E$7)/Simulador!$G$7)&lt;=0,(($A304-Simulador!$E$7)/Simulador!$G$7)&gt;=1),0,IF((($A304-Simulador!$E$7)/Simulador!$G$7)&lt;Simulador!$B$11,Simulador!$B$9*(1-COS(PI()*(($A304-Simulador!$E$7)/Simulador!$G$7)/Simulador!$B$11))/2,IF((($A304-Simulador!$E$7)/Simulador!$G$7)&gt;1-Simulador!$B$11,Simulador!$B$9*(1-COS(PI()*(1-(($A304-Simulador!$E$7)/Simulador!$G$7))/Simulador!$B$11))/2,Simulador!$B$9)))</f>
        <v/>
      </c>
      <c r="E304" s="46">
        <f>IF(OR((($A304-Simulador!$E$8)/Simulador!$G$8)&lt;=0,(($A304-Simulador!$E$8)/Simulador!$G$8)&gt;=1),0,IF((($A304-Simulador!$E$8)/Simulador!$G$8)&lt;Simulador!$B$11,Simulador!$B$10*(1-COS(PI()*(($A304-Simulador!$E$8)/Simulador!$G$8)/Simulador!$B$11))/2,IF((($A304-Simulador!$E$8)/Simulador!$G$8)&gt;1-Simulador!$B$11,Simulador!$B$10*(1-COS(PI()*(1-(($A304-Simulador!$E$8)/Simulador!$G$8))/Simulador!$B$11))/2,Simulador!$B$10)))</f>
        <v/>
      </c>
      <c r="F304" s="46">
        <f>IF(OR((($A304-Simulador!$E$9)/Simulador!$G$9)&lt;=0,(($A304-Simulador!$E$9)/Simulador!$G$9)&gt;=1),0,IF((($A304-Simulador!$E$9)/Simulador!$G$9)&lt;Simulador!$B$11,Simulador!$B$10*(1-COS(PI()*(($A304-Simulador!$E$9)/Simulador!$G$9)/Simulador!$B$11))/2,IF((($A304-Simulador!$E$9)/Simulador!$G$9)&gt;1-Simulador!$B$11,Simulador!$B$10*(1-COS(PI()*(1-(($A304-Simulador!$E$9)/Simulador!$G$9))/Simulador!$B$11))/2,Simulador!$B$10)))</f>
        <v/>
      </c>
      <c r="G304" s="46">
        <f>IF(OR((($A304-Simulador!$E$10)/Simulador!$G$10)&lt;=0,(($A304-Simulador!$E$10)/Simulador!$G$10)&gt;=1),0,IF((($A304-Simulador!$E$10)/Simulador!$G$10)&lt;Simulador!$B$11,Simulador!$B$10*(1-COS(PI()*(($A304-Simulador!$E$10)/Simulador!$G$10)/Simulador!$B$11))/2,IF((($A304-Simulador!$E$10)/Simulador!$G$10)&gt;1-Simulador!$B$11,Simulador!$B$10*(1-COS(PI()*(1-(($A304-Simulador!$E$10)/Simulador!$G$10))/Simulador!$B$11))/2,Simulador!$B$10)))</f>
        <v/>
      </c>
      <c r="Q304" s="48">
        <f>IF(OR((($A304-(Simulador!$E$6+'Salto de dientes'!$B$12))/Simulador!$G$6)&lt;=0,(($A304-(Simulador!$E$6+'Salto de dientes'!$B$12))/Simulador!$G$6)&gt;=1),0,IF((($A304-(Simulador!$E$6+'Salto de dientes'!$B$12))/Simulador!$G$6)&lt;Simulador!$B$11,Simulador!$B$9*(1-COS(PI()*(($A304-(Simulador!$E$6+'Salto de dientes'!$B$12))/Simulador!$G$6)/Simulador!$B$11))/2,IF((($A304-(Simulador!$E$6+'Salto de dientes'!$B$12))/Simulador!$G$6)&gt;1-Simulador!$B$11,Simulador!$B$9*(1-COS(PI()*(1-(($A304-(Simulador!$E$6+'Salto de dientes'!$B$12))/Simulador!$G$6))/Simulador!$B$11))/2,Simulador!$B$9)))</f>
        <v/>
      </c>
      <c r="R304" s="48">
        <f>IF(OR((($A304-(Simulador!$E$9+'Salto de dientes'!$B$12))/Simulador!$G$9)&lt;=0,(($A304-(Simulador!$E$9+'Salto de dientes'!$B$12))/Simulador!$G$9)&gt;=1),0,IF((($A304-(Simulador!$E$9+'Salto de dientes'!$B$12))/Simulador!$G$9)&lt;Simulador!$B$11,Simulador!$B$10*(1-COS(PI()*(($A304-(Simulador!$E$9+'Salto de dientes'!$B$12))/Simulador!$G$9)/Simulador!$B$11))/2,IF((($A304-(Simulador!$E$9+'Salto de dientes'!$B$12))/Simulador!$G$9)&gt;1-Simulador!$B$11,Simulador!$B$10*(1-COS(PI()*(1-(($A304-(Simulador!$E$9+'Salto de dientes'!$B$12))/Simulador!$G$9))/Simulador!$B$11))/2,Simulador!$B$10)))</f>
        <v/>
      </c>
    </row>
    <row r="305">
      <c r="A305" s="26">
        <f>A304+Simulador!$B$14</f>
        <v/>
      </c>
      <c r="B305" s="46">
        <f>IF(OR((($A305-Simulador!$E$5)/Simulador!$G$5)&lt;=0,(($A305-Simulador!$E$5)/Simulador!$G$5)&gt;=1),0,IF((($A305-Simulador!$E$5)/Simulador!$G$5)&lt;Simulador!$B$11,Simulador!$B$9*(1-COS(PI()*(($A305-Simulador!$E$5)/Simulador!$G$5)/Simulador!$B$11))/2,IF((($A305-Simulador!$E$5)/Simulador!$G$5)&gt;1-Simulador!$B$11,Simulador!$B$9*(1-COS(PI()*(1-(($A305-Simulador!$E$5)/Simulador!$G$5))/Simulador!$B$11))/2,Simulador!$B$9)))</f>
        <v/>
      </c>
      <c r="C305" s="46">
        <f>IF(OR((($A305-Simulador!$E$6)/Simulador!$G$6)&lt;=0,(($A305-Simulador!$E$6)/Simulador!$G$6)&gt;=1),0,IF((($A305-Simulador!$E$6)/Simulador!$G$6)&lt;Simulador!$B$11,Simulador!$B$9*(1-COS(PI()*(($A305-Simulador!$E$6)/Simulador!$G$6)/Simulador!$B$11))/2,IF((($A305-Simulador!$E$6)/Simulador!$G$6)&gt;1-Simulador!$B$11,Simulador!$B$9*(1-COS(PI()*(1-(($A305-Simulador!$E$6)/Simulador!$G$6))/Simulador!$B$11))/2,Simulador!$B$9)))</f>
        <v/>
      </c>
      <c r="D305" s="46">
        <f>IF(OR((($A305-Simulador!$E$7)/Simulador!$G$7)&lt;=0,(($A305-Simulador!$E$7)/Simulador!$G$7)&gt;=1),0,IF((($A305-Simulador!$E$7)/Simulador!$G$7)&lt;Simulador!$B$11,Simulador!$B$9*(1-COS(PI()*(($A305-Simulador!$E$7)/Simulador!$G$7)/Simulador!$B$11))/2,IF((($A305-Simulador!$E$7)/Simulador!$G$7)&gt;1-Simulador!$B$11,Simulador!$B$9*(1-COS(PI()*(1-(($A305-Simulador!$E$7)/Simulador!$G$7))/Simulador!$B$11))/2,Simulador!$B$9)))</f>
        <v/>
      </c>
      <c r="E305" s="46">
        <f>IF(OR((($A305-Simulador!$E$8)/Simulador!$G$8)&lt;=0,(($A305-Simulador!$E$8)/Simulador!$G$8)&gt;=1),0,IF((($A305-Simulador!$E$8)/Simulador!$G$8)&lt;Simulador!$B$11,Simulador!$B$10*(1-COS(PI()*(($A305-Simulador!$E$8)/Simulador!$G$8)/Simulador!$B$11))/2,IF((($A305-Simulador!$E$8)/Simulador!$G$8)&gt;1-Simulador!$B$11,Simulador!$B$10*(1-COS(PI()*(1-(($A305-Simulador!$E$8)/Simulador!$G$8))/Simulador!$B$11))/2,Simulador!$B$10)))</f>
        <v/>
      </c>
      <c r="F305" s="46">
        <f>IF(OR((($A305-Simulador!$E$9)/Simulador!$G$9)&lt;=0,(($A305-Simulador!$E$9)/Simulador!$G$9)&gt;=1),0,IF((($A305-Simulador!$E$9)/Simulador!$G$9)&lt;Simulador!$B$11,Simulador!$B$10*(1-COS(PI()*(($A305-Simulador!$E$9)/Simulador!$G$9)/Simulador!$B$11))/2,IF((($A305-Simulador!$E$9)/Simulador!$G$9)&gt;1-Simulador!$B$11,Simulador!$B$10*(1-COS(PI()*(1-(($A305-Simulador!$E$9)/Simulador!$G$9))/Simulador!$B$11))/2,Simulador!$B$10)))</f>
        <v/>
      </c>
      <c r="G305" s="46">
        <f>IF(OR((($A305-Simulador!$E$10)/Simulador!$G$10)&lt;=0,(($A305-Simulador!$E$10)/Simulador!$G$10)&gt;=1),0,IF((($A305-Simulador!$E$10)/Simulador!$G$10)&lt;Simulador!$B$11,Simulador!$B$10*(1-COS(PI()*(($A305-Simulador!$E$10)/Simulador!$G$10)/Simulador!$B$11))/2,IF((($A305-Simulador!$E$10)/Simulador!$G$10)&gt;1-Simulador!$B$11,Simulador!$B$10*(1-COS(PI()*(1-(($A305-Simulador!$E$10)/Simulador!$G$10))/Simulador!$B$11))/2,Simulador!$B$10)))</f>
        <v/>
      </c>
      <c r="Q305" s="48">
        <f>IF(OR((($A305-(Simulador!$E$6+'Salto de dientes'!$B$12))/Simulador!$G$6)&lt;=0,(($A305-(Simulador!$E$6+'Salto de dientes'!$B$12))/Simulador!$G$6)&gt;=1),0,IF((($A305-(Simulador!$E$6+'Salto de dientes'!$B$12))/Simulador!$G$6)&lt;Simulador!$B$11,Simulador!$B$9*(1-COS(PI()*(($A305-(Simulador!$E$6+'Salto de dientes'!$B$12))/Simulador!$G$6)/Simulador!$B$11))/2,IF((($A305-(Simulador!$E$6+'Salto de dientes'!$B$12))/Simulador!$G$6)&gt;1-Simulador!$B$11,Simulador!$B$9*(1-COS(PI()*(1-(($A305-(Simulador!$E$6+'Salto de dientes'!$B$12))/Simulador!$G$6))/Simulador!$B$11))/2,Simulador!$B$9)))</f>
        <v/>
      </c>
      <c r="R305" s="48">
        <f>IF(OR((($A305-(Simulador!$E$9+'Salto de dientes'!$B$12))/Simulador!$G$9)&lt;=0,(($A305-(Simulador!$E$9+'Salto de dientes'!$B$12))/Simulador!$G$9)&gt;=1),0,IF((($A305-(Simulador!$E$9+'Salto de dientes'!$B$12))/Simulador!$G$9)&lt;Simulador!$B$11,Simulador!$B$10*(1-COS(PI()*(($A305-(Simulador!$E$9+'Salto de dientes'!$B$12))/Simulador!$G$9)/Simulador!$B$11))/2,IF((($A305-(Simulador!$E$9+'Salto de dientes'!$B$12))/Simulador!$G$9)&gt;1-Simulador!$B$11,Simulador!$B$10*(1-COS(PI()*(1-(($A305-(Simulador!$E$9+'Salto de dientes'!$B$12))/Simulador!$G$9))/Simulador!$B$11))/2,Simulador!$B$10)))</f>
        <v/>
      </c>
    </row>
    <row r="306">
      <c r="A306" s="26">
        <f>A305+Simulador!$B$14</f>
        <v/>
      </c>
      <c r="B306" s="46">
        <f>IF(OR((($A306-Simulador!$E$5)/Simulador!$G$5)&lt;=0,(($A306-Simulador!$E$5)/Simulador!$G$5)&gt;=1),0,IF((($A306-Simulador!$E$5)/Simulador!$G$5)&lt;Simulador!$B$11,Simulador!$B$9*(1-COS(PI()*(($A306-Simulador!$E$5)/Simulador!$G$5)/Simulador!$B$11))/2,IF((($A306-Simulador!$E$5)/Simulador!$G$5)&gt;1-Simulador!$B$11,Simulador!$B$9*(1-COS(PI()*(1-(($A306-Simulador!$E$5)/Simulador!$G$5))/Simulador!$B$11))/2,Simulador!$B$9)))</f>
        <v/>
      </c>
      <c r="C306" s="46">
        <f>IF(OR((($A306-Simulador!$E$6)/Simulador!$G$6)&lt;=0,(($A306-Simulador!$E$6)/Simulador!$G$6)&gt;=1),0,IF((($A306-Simulador!$E$6)/Simulador!$G$6)&lt;Simulador!$B$11,Simulador!$B$9*(1-COS(PI()*(($A306-Simulador!$E$6)/Simulador!$G$6)/Simulador!$B$11))/2,IF((($A306-Simulador!$E$6)/Simulador!$G$6)&gt;1-Simulador!$B$11,Simulador!$B$9*(1-COS(PI()*(1-(($A306-Simulador!$E$6)/Simulador!$G$6))/Simulador!$B$11))/2,Simulador!$B$9)))</f>
        <v/>
      </c>
      <c r="D306" s="46">
        <f>IF(OR((($A306-Simulador!$E$7)/Simulador!$G$7)&lt;=0,(($A306-Simulador!$E$7)/Simulador!$G$7)&gt;=1),0,IF((($A306-Simulador!$E$7)/Simulador!$G$7)&lt;Simulador!$B$11,Simulador!$B$9*(1-COS(PI()*(($A306-Simulador!$E$7)/Simulador!$G$7)/Simulador!$B$11))/2,IF((($A306-Simulador!$E$7)/Simulador!$G$7)&gt;1-Simulador!$B$11,Simulador!$B$9*(1-COS(PI()*(1-(($A306-Simulador!$E$7)/Simulador!$G$7))/Simulador!$B$11))/2,Simulador!$B$9)))</f>
        <v/>
      </c>
      <c r="E306" s="46">
        <f>IF(OR((($A306-Simulador!$E$8)/Simulador!$G$8)&lt;=0,(($A306-Simulador!$E$8)/Simulador!$G$8)&gt;=1),0,IF((($A306-Simulador!$E$8)/Simulador!$G$8)&lt;Simulador!$B$11,Simulador!$B$10*(1-COS(PI()*(($A306-Simulador!$E$8)/Simulador!$G$8)/Simulador!$B$11))/2,IF((($A306-Simulador!$E$8)/Simulador!$G$8)&gt;1-Simulador!$B$11,Simulador!$B$10*(1-COS(PI()*(1-(($A306-Simulador!$E$8)/Simulador!$G$8))/Simulador!$B$11))/2,Simulador!$B$10)))</f>
        <v/>
      </c>
      <c r="F306" s="46">
        <f>IF(OR((($A306-Simulador!$E$9)/Simulador!$G$9)&lt;=0,(($A306-Simulador!$E$9)/Simulador!$G$9)&gt;=1),0,IF((($A306-Simulador!$E$9)/Simulador!$G$9)&lt;Simulador!$B$11,Simulador!$B$10*(1-COS(PI()*(($A306-Simulador!$E$9)/Simulador!$G$9)/Simulador!$B$11))/2,IF((($A306-Simulador!$E$9)/Simulador!$G$9)&gt;1-Simulador!$B$11,Simulador!$B$10*(1-COS(PI()*(1-(($A306-Simulador!$E$9)/Simulador!$G$9))/Simulador!$B$11))/2,Simulador!$B$10)))</f>
        <v/>
      </c>
      <c r="G306" s="46">
        <f>IF(OR((($A306-Simulador!$E$10)/Simulador!$G$10)&lt;=0,(($A306-Simulador!$E$10)/Simulador!$G$10)&gt;=1),0,IF((($A306-Simulador!$E$10)/Simulador!$G$10)&lt;Simulador!$B$11,Simulador!$B$10*(1-COS(PI()*(($A306-Simulador!$E$10)/Simulador!$G$10)/Simulador!$B$11))/2,IF((($A306-Simulador!$E$10)/Simulador!$G$10)&gt;1-Simulador!$B$11,Simulador!$B$10*(1-COS(PI()*(1-(($A306-Simulador!$E$10)/Simulador!$G$10))/Simulador!$B$11))/2,Simulador!$B$10)))</f>
        <v/>
      </c>
      <c r="Q306" s="48">
        <f>IF(OR((($A306-(Simulador!$E$6+'Salto de dientes'!$B$12))/Simulador!$G$6)&lt;=0,(($A306-(Simulador!$E$6+'Salto de dientes'!$B$12))/Simulador!$G$6)&gt;=1),0,IF((($A306-(Simulador!$E$6+'Salto de dientes'!$B$12))/Simulador!$G$6)&lt;Simulador!$B$11,Simulador!$B$9*(1-COS(PI()*(($A306-(Simulador!$E$6+'Salto de dientes'!$B$12))/Simulador!$G$6)/Simulador!$B$11))/2,IF((($A306-(Simulador!$E$6+'Salto de dientes'!$B$12))/Simulador!$G$6)&gt;1-Simulador!$B$11,Simulador!$B$9*(1-COS(PI()*(1-(($A306-(Simulador!$E$6+'Salto de dientes'!$B$12))/Simulador!$G$6))/Simulador!$B$11))/2,Simulador!$B$9)))</f>
        <v/>
      </c>
      <c r="R306" s="48">
        <f>IF(OR((($A306-(Simulador!$E$9+'Salto de dientes'!$B$12))/Simulador!$G$9)&lt;=0,(($A306-(Simulador!$E$9+'Salto de dientes'!$B$12))/Simulador!$G$9)&gt;=1),0,IF((($A306-(Simulador!$E$9+'Salto de dientes'!$B$12))/Simulador!$G$9)&lt;Simulador!$B$11,Simulador!$B$10*(1-COS(PI()*(($A306-(Simulador!$E$9+'Salto de dientes'!$B$12))/Simulador!$G$9)/Simulador!$B$11))/2,IF((($A306-(Simulador!$E$9+'Salto de dientes'!$B$12))/Simulador!$G$9)&gt;1-Simulador!$B$11,Simulador!$B$10*(1-COS(PI()*(1-(($A306-(Simulador!$E$9+'Salto de dientes'!$B$12))/Simulador!$G$9))/Simulador!$B$11))/2,Simulador!$B$10)))</f>
        <v/>
      </c>
    </row>
    <row r="307">
      <c r="A307" s="26">
        <f>A306+Simulador!$B$14</f>
        <v/>
      </c>
      <c r="B307" s="46">
        <f>IF(OR((($A307-Simulador!$E$5)/Simulador!$G$5)&lt;=0,(($A307-Simulador!$E$5)/Simulador!$G$5)&gt;=1),0,IF((($A307-Simulador!$E$5)/Simulador!$G$5)&lt;Simulador!$B$11,Simulador!$B$9*(1-COS(PI()*(($A307-Simulador!$E$5)/Simulador!$G$5)/Simulador!$B$11))/2,IF((($A307-Simulador!$E$5)/Simulador!$G$5)&gt;1-Simulador!$B$11,Simulador!$B$9*(1-COS(PI()*(1-(($A307-Simulador!$E$5)/Simulador!$G$5))/Simulador!$B$11))/2,Simulador!$B$9)))</f>
        <v/>
      </c>
      <c r="C307" s="46">
        <f>IF(OR((($A307-Simulador!$E$6)/Simulador!$G$6)&lt;=0,(($A307-Simulador!$E$6)/Simulador!$G$6)&gt;=1),0,IF((($A307-Simulador!$E$6)/Simulador!$G$6)&lt;Simulador!$B$11,Simulador!$B$9*(1-COS(PI()*(($A307-Simulador!$E$6)/Simulador!$G$6)/Simulador!$B$11))/2,IF((($A307-Simulador!$E$6)/Simulador!$G$6)&gt;1-Simulador!$B$11,Simulador!$B$9*(1-COS(PI()*(1-(($A307-Simulador!$E$6)/Simulador!$G$6))/Simulador!$B$11))/2,Simulador!$B$9)))</f>
        <v/>
      </c>
      <c r="D307" s="46">
        <f>IF(OR((($A307-Simulador!$E$7)/Simulador!$G$7)&lt;=0,(($A307-Simulador!$E$7)/Simulador!$G$7)&gt;=1),0,IF((($A307-Simulador!$E$7)/Simulador!$G$7)&lt;Simulador!$B$11,Simulador!$B$9*(1-COS(PI()*(($A307-Simulador!$E$7)/Simulador!$G$7)/Simulador!$B$11))/2,IF((($A307-Simulador!$E$7)/Simulador!$G$7)&gt;1-Simulador!$B$11,Simulador!$B$9*(1-COS(PI()*(1-(($A307-Simulador!$E$7)/Simulador!$G$7))/Simulador!$B$11))/2,Simulador!$B$9)))</f>
        <v/>
      </c>
      <c r="E307" s="46">
        <f>IF(OR((($A307-Simulador!$E$8)/Simulador!$G$8)&lt;=0,(($A307-Simulador!$E$8)/Simulador!$G$8)&gt;=1),0,IF((($A307-Simulador!$E$8)/Simulador!$G$8)&lt;Simulador!$B$11,Simulador!$B$10*(1-COS(PI()*(($A307-Simulador!$E$8)/Simulador!$G$8)/Simulador!$B$11))/2,IF((($A307-Simulador!$E$8)/Simulador!$G$8)&gt;1-Simulador!$B$11,Simulador!$B$10*(1-COS(PI()*(1-(($A307-Simulador!$E$8)/Simulador!$G$8))/Simulador!$B$11))/2,Simulador!$B$10)))</f>
        <v/>
      </c>
      <c r="F307" s="46">
        <f>IF(OR((($A307-Simulador!$E$9)/Simulador!$G$9)&lt;=0,(($A307-Simulador!$E$9)/Simulador!$G$9)&gt;=1),0,IF((($A307-Simulador!$E$9)/Simulador!$G$9)&lt;Simulador!$B$11,Simulador!$B$10*(1-COS(PI()*(($A307-Simulador!$E$9)/Simulador!$G$9)/Simulador!$B$11))/2,IF((($A307-Simulador!$E$9)/Simulador!$G$9)&gt;1-Simulador!$B$11,Simulador!$B$10*(1-COS(PI()*(1-(($A307-Simulador!$E$9)/Simulador!$G$9))/Simulador!$B$11))/2,Simulador!$B$10)))</f>
        <v/>
      </c>
      <c r="G307" s="46">
        <f>IF(OR((($A307-Simulador!$E$10)/Simulador!$G$10)&lt;=0,(($A307-Simulador!$E$10)/Simulador!$G$10)&gt;=1),0,IF((($A307-Simulador!$E$10)/Simulador!$G$10)&lt;Simulador!$B$11,Simulador!$B$10*(1-COS(PI()*(($A307-Simulador!$E$10)/Simulador!$G$10)/Simulador!$B$11))/2,IF((($A307-Simulador!$E$10)/Simulador!$G$10)&gt;1-Simulador!$B$11,Simulador!$B$10*(1-COS(PI()*(1-(($A307-Simulador!$E$10)/Simulador!$G$10))/Simulador!$B$11))/2,Simulador!$B$10)))</f>
        <v/>
      </c>
      <c r="Q307" s="48">
        <f>IF(OR((($A307-(Simulador!$E$6+'Salto de dientes'!$B$12))/Simulador!$G$6)&lt;=0,(($A307-(Simulador!$E$6+'Salto de dientes'!$B$12))/Simulador!$G$6)&gt;=1),0,IF((($A307-(Simulador!$E$6+'Salto de dientes'!$B$12))/Simulador!$G$6)&lt;Simulador!$B$11,Simulador!$B$9*(1-COS(PI()*(($A307-(Simulador!$E$6+'Salto de dientes'!$B$12))/Simulador!$G$6)/Simulador!$B$11))/2,IF((($A307-(Simulador!$E$6+'Salto de dientes'!$B$12))/Simulador!$G$6)&gt;1-Simulador!$B$11,Simulador!$B$9*(1-COS(PI()*(1-(($A307-(Simulador!$E$6+'Salto de dientes'!$B$12))/Simulador!$G$6))/Simulador!$B$11))/2,Simulador!$B$9)))</f>
        <v/>
      </c>
      <c r="R307" s="48">
        <f>IF(OR((($A307-(Simulador!$E$9+'Salto de dientes'!$B$12))/Simulador!$G$9)&lt;=0,(($A307-(Simulador!$E$9+'Salto de dientes'!$B$12))/Simulador!$G$9)&gt;=1),0,IF((($A307-(Simulador!$E$9+'Salto de dientes'!$B$12))/Simulador!$G$9)&lt;Simulador!$B$11,Simulador!$B$10*(1-COS(PI()*(($A307-(Simulador!$E$9+'Salto de dientes'!$B$12))/Simulador!$G$9)/Simulador!$B$11))/2,IF((($A307-(Simulador!$E$9+'Salto de dientes'!$B$12))/Simulador!$G$9)&gt;1-Simulador!$B$11,Simulador!$B$10*(1-COS(PI()*(1-(($A307-(Simulador!$E$9+'Salto de dientes'!$B$12))/Simulador!$G$9))/Simulador!$B$11))/2,Simulador!$B$10)))</f>
        <v/>
      </c>
    </row>
    <row r="308">
      <c r="A308" s="26">
        <f>A307+Simulador!$B$14</f>
        <v/>
      </c>
      <c r="B308" s="46">
        <f>IF(OR((($A308-Simulador!$E$5)/Simulador!$G$5)&lt;=0,(($A308-Simulador!$E$5)/Simulador!$G$5)&gt;=1),0,IF((($A308-Simulador!$E$5)/Simulador!$G$5)&lt;Simulador!$B$11,Simulador!$B$9*(1-COS(PI()*(($A308-Simulador!$E$5)/Simulador!$G$5)/Simulador!$B$11))/2,IF((($A308-Simulador!$E$5)/Simulador!$G$5)&gt;1-Simulador!$B$11,Simulador!$B$9*(1-COS(PI()*(1-(($A308-Simulador!$E$5)/Simulador!$G$5))/Simulador!$B$11))/2,Simulador!$B$9)))</f>
        <v/>
      </c>
      <c r="C308" s="46">
        <f>IF(OR((($A308-Simulador!$E$6)/Simulador!$G$6)&lt;=0,(($A308-Simulador!$E$6)/Simulador!$G$6)&gt;=1),0,IF((($A308-Simulador!$E$6)/Simulador!$G$6)&lt;Simulador!$B$11,Simulador!$B$9*(1-COS(PI()*(($A308-Simulador!$E$6)/Simulador!$G$6)/Simulador!$B$11))/2,IF((($A308-Simulador!$E$6)/Simulador!$G$6)&gt;1-Simulador!$B$11,Simulador!$B$9*(1-COS(PI()*(1-(($A308-Simulador!$E$6)/Simulador!$G$6))/Simulador!$B$11))/2,Simulador!$B$9)))</f>
        <v/>
      </c>
      <c r="D308" s="46">
        <f>IF(OR((($A308-Simulador!$E$7)/Simulador!$G$7)&lt;=0,(($A308-Simulador!$E$7)/Simulador!$G$7)&gt;=1),0,IF((($A308-Simulador!$E$7)/Simulador!$G$7)&lt;Simulador!$B$11,Simulador!$B$9*(1-COS(PI()*(($A308-Simulador!$E$7)/Simulador!$G$7)/Simulador!$B$11))/2,IF((($A308-Simulador!$E$7)/Simulador!$G$7)&gt;1-Simulador!$B$11,Simulador!$B$9*(1-COS(PI()*(1-(($A308-Simulador!$E$7)/Simulador!$G$7))/Simulador!$B$11))/2,Simulador!$B$9)))</f>
        <v/>
      </c>
      <c r="E308" s="46">
        <f>IF(OR((($A308-Simulador!$E$8)/Simulador!$G$8)&lt;=0,(($A308-Simulador!$E$8)/Simulador!$G$8)&gt;=1),0,IF((($A308-Simulador!$E$8)/Simulador!$G$8)&lt;Simulador!$B$11,Simulador!$B$10*(1-COS(PI()*(($A308-Simulador!$E$8)/Simulador!$G$8)/Simulador!$B$11))/2,IF((($A308-Simulador!$E$8)/Simulador!$G$8)&gt;1-Simulador!$B$11,Simulador!$B$10*(1-COS(PI()*(1-(($A308-Simulador!$E$8)/Simulador!$G$8))/Simulador!$B$11))/2,Simulador!$B$10)))</f>
        <v/>
      </c>
      <c r="F308" s="46">
        <f>IF(OR((($A308-Simulador!$E$9)/Simulador!$G$9)&lt;=0,(($A308-Simulador!$E$9)/Simulador!$G$9)&gt;=1),0,IF((($A308-Simulador!$E$9)/Simulador!$G$9)&lt;Simulador!$B$11,Simulador!$B$10*(1-COS(PI()*(($A308-Simulador!$E$9)/Simulador!$G$9)/Simulador!$B$11))/2,IF((($A308-Simulador!$E$9)/Simulador!$G$9)&gt;1-Simulador!$B$11,Simulador!$B$10*(1-COS(PI()*(1-(($A308-Simulador!$E$9)/Simulador!$G$9))/Simulador!$B$11))/2,Simulador!$B$10)))</f>
        <v/>
      </c>
      <c r="G308" s="46">
        <f>IF(OR((($A308-Simulador!$E$10)/Simulador!$G$10)&lt;=0,(($A308-Simulador!$E$10)/Simulador!$G$10)&gt;=1),0,IF((($A308-Simulador!$E$10)/Simulador!$G$10)&lt;Simulador!$B$11,Simulador!$B$10*(1-COS(PI()*(($A308-Simulador!$E$10)/Simulador!$G$10)/Simulador!$B$11))/2,IF((($A308-Simulador!$E$10)/Simulador!$G$10)&gt;1-Simulador!$B$11,Simulador!$B$10*(1-COS(PI()*(1-(($A308-Simulador!$E$10)/Simulador!$G$10))/Simulador!$B$11))/2,Simulador!$B$10)))</f>
        <v/>
      </c>
      <c r="Q308" s="48">
        <f>IF(OR((($A308-(Simulador!$E$6+'Salto de dientes'!$B$12))/Simulador!$G$6)&lt;=0,(($A308-(Simulador!$E$6+'Salto de dientes'!$B$12))/Simulador!$G$6)&gt;=1),0,IF((($A308-(Simulador!$E$6+'Salto de dientes'!$B$12))/Simulador!$G$6)&lt;Simulador!$B$11,Simulador!$B$9*(1-COS(PI()*(($A308-(Simulador!$E$6+'Salto de dientes'!$B$12))/Simulador!$G$6)/Simulador!$B$11))/2,IF((($A308-(Simulador!$E$6+'Salto de dientes'!$B$12))/Simulador!$G$6)&gt;1-Simulador!$B$11,Simulador!$B$9*(1-COS(PI()*(1-(($A308-(Simulador!$E$6+'Salto de dientes'!$B$12))/Simulador!$G$6))/Simulador!$B$11))/2,Simulador!$B$9)))</f>
        <v/>
      </c>
      <c r="R308" s="48">
        <f>IF(OR((($A308-(Simulador!$E$9+'Salto de dientes'!$B$12))/Simulador!$G$9)&lt;=0,(($A308-(Simulador!$E$9+'Salto de dientes'!$B$12))/Simulador!$G$9)&gt;=1),0,IF((($A308-(Simulador!$E$9+'Salto de dientes'!$B$12))/Simulador!$G$9)&lt;Simulador!$B$11,Simulador!$B$10*(1-COS(PI()*(($A308-(Simulador!$E$9+'Salto de dientes'!$B$12))/Simulador!$G$9)/Simulador!$B$11))/2,IF((($A308-(Simulador!$E$9+'Salto de dientes'!$B$12))/Simulador!$G$9)&gt;1-Simulador!$B$11,Simulador!$B$10*(1-COS(PI()*(1-(($A308-(Simulador!$E$9+'Salto de dientes'!$B$12))/Simulador!$G$9))/Simulador!$B$11))/2,Simulador!$B$10)))</f>
        <v/>
      </c>
    </row>
    <row r="309">
      <c r="A309" s="26">
        <f>A308+Simulador!$B$14</f>
        <v/>
      </c>
      <c r="B309" s="46">
        <f>IF(OR((($A309-Simulador!$E$5)/Simulador!$G$5)&lt;=0,(($A309-Simulador!$E$5)/Simulador!$G$5)&gt;=1),0,IF((($A309-Simulador!$E$5)/Simulador!$G$5)&lt;Simulador!$B$11,Simulador!$B$9*(1-COS(PI()*(($A309-Simulador!$E$5)/Simulador!$G$5)/Simulador!$B$11))/2,IF((($A309-Simulador!$E$5)/Simulador!$G$5)&gt;1-Simulador!$B$11,Simulador!$B$9*(1-COS(PI()*(1-(($A309-Simulador!$E$5)/Simulador!$G$5))/Simulador!$B$11))/2,Simulador!$B$9)))</f>
        <v/>
      </c>
      <c r="C309" s="46">
        <f>IF(OR((($A309-Simulador!$E$6)/Simulador!$G$6)&lt;=0,(($A309-Simulador!$E$6)/Simulador!$G$6)&gt;=1),0,IF((($A309-Simulador!$E$6)/Simulador!$G$6)&lt;Simulador!$B$11,Simulador!$B$9*(1-COS(PI()*(($A309-Simulador!$E$6)/Simulador!$G$6)/Simulador!$B$11))/2,IF((($A309-Simulador!$E$6)/Simulador!$G$6)&gt;1-Simulador!$B$11,Simulador!$B$9*(1-COS(PI()*(1-(($A309-Simulador!$E$6)/Simulador!$G$6))/Simulador!$B$11))/2,Simulador!$B$9)))</f>
        <v/>
      </c>
      <c r="D309" s="46">
        <f>IF(OR((($A309-Simulador!$E$7)/Simulador!$G$7)&lt;=0,(($A309-Simulador!$E$7)/Simulador!$G$7)&gt;=1),0,IF((($A309-Simulador!$E$7)/Simulador!$G$7)&lt;Simulador!$B$11,Simulador!$B$9*(1-COS(PI()*(($A309-Simulador!$E$7)/Simulador!$G$7)/Simulador!$B$11))/2,IF((($A309-Simulador!$E$7)/Simulador!$G$7)&gt;1-Simulador!$B$11,Simulador!$B$9*(1-COS(PI()*(1-(($A309-Simulador!$E$7)/Simulador!$G$7))/Simulador!$B$11))/2,Simulador!$B$9)))</f>
        <v/>
      </c>
      <c r="E309" s="46">
        <f>IF(OR((($A309-Simulador!$E$8)/Simulador!$G$8)&lt;=0,(($A309-Simulador!$E$8)/Simulador!$G$8)&gt;=1),0,IF((($A309-Simulador!$E$8)/Simulador!$G$8)&lt;Simulador!$B$11,Simulador!$B$10*(1-COS(PI()*(($A309-Simulador!$E$8)/Simulador!$G$8)/Simulador!$B$11))/2,IF((($A309-Simulador!$E$8)/Simulador!$G$8)&gt;1-Simulador!$B$11,Simulador!$B$10*(1-COS(PI()*(1-(($A309-Simulador!$E$8)/Simulador!$G$8))/Simulador!$B$11))/2,Simulador!$B$10)))</f>
        <v/>
      </c>
      <c r="F309" s="46">
        <f>IF(OR((($A309-Simulador!$E$9)/Simulador!$G$9)&lt;=0,(($A309-Simulador!$E$9)/Simulador!$G$9)&gt;=1),0,IF((($A309-Simulador!$E$9)/Simulador!$G$9)&lt;Simulador!$B$11,Simulador!$B$10*(1-COS(PI()*(($A309-Simulador!$E$9)/Simulador!$G$9)/Simulador!$B$11))/2,IF((($A309-Simulador!$E$9)/Simulador!$G$9)&gt;1-Simulador!$B$11,Simulador!$B$10*(1-COS(PI()*(1-(($A309-Simulador!$E$9)/Simulador!$G$9))/Simulador!$B$11))/2,Simulador!$B$10)))</f>
        <v/>
      </c>
      <c r="G309" s="46">
        <f>IF(OR((($A309-Simulador!$E$10)/Simulador!$G$10)&lt;=0,(($A309-Simulador!$E$10)/Simulador!$G$10)&gt;=1),0,IF((($A309-Simulador!$E$10)/Simulador!$G$10)&lt;Simulador!$B$11,Simulador!$B$10*(1-COS(PI()*(($A309-Simulador!$E$10)/Simulador!$G$10)/Simulador!$B$11))/2,IF((($A309-Simulador!$E$10)/Simulador!$G$10)&gt;1-Simulador!$B$11,Simulador!$B$10*(1-COS(PI()*(1-(($A309-Simulador!$E$10)/Simulador!$G$10))/Simulador!$B$11))/2,Simulador!$B$10)))</f>
        <v/>
      </c>
      <c r="Q309" s="48">
        <f>IF(OR((($A309-(Simulador!$E$6+'Salto de dientes'!$B$12))/Simulador!$G$6)&lt;=0,(($A309-(Simulador!$E$6+'Salto de dientes'!$B$12))/Simulador!$G$6)&gt;=1),0,IF((($A309-(Simulador!$E$6+'Salto de dientes'!$B$12))/Simulador!$G$6)&lt;Simulador!$B$11,Simulador!$B$9*(1-COS(PI()*(($A309-(Simulador!$E$6+'Salto de dientes'!$B$12))/Simulador!$G$6)/Simulador!$B$11))/2,IF((($A309-(Simulador!$E$6+'Salto de dientes'!$B$12))/Simulador!$G$6)&gt;1-Simulador!$B$11,Simulador!$B$9*(1-COS(PI()*(1-(($A309-(Simulador!$E$6+'Salto de dientes'!$B$12))/Simulador!$G$6))/Simulador!$B$11))/2,Simulador!$B$9)))</f>
        <v/>
      </c>
      <c r="R309" s="48">
        <f>IF(OR((($A309-(Simulador!$E$9+'Salto de dientes'!$B$12))/Simulador!$G$9)&lt;=0,(($A309-(Simulador!$E$9+'Salto de dientes'!$B$12))/Simulador!$G$9)&gt;=1),0,IF((($A309-(Simulador!$E$9+'Salto de dientes'!$B$12))/Simulador!$G$9)&lt;Simulador!$B$11,Simulador!$B$10*(1-COS(PI()*(($A309-(Simulador!$E$9+'Salto de dientes'!$B$12))/Simulador!$G$9)/Simulador!$B$11))/2,IF((($A309-(Simulador!$E$9+'Salto de dientes'!$B$12))/Simulador!$G$9)&gt;1-Simulador!$B$11,Simulador!$B$10*(1-COS(PI()*(1-(($A309-(Simulador!$E$9+'Salto de dientes'!$B$12))/Simulador!$G$9))/Simulador!$B$11))/2,Simulador!$B$10)))</f>
        <v/>
      </c>
    </row>
    <row r="310">
      <c r="A310" s="26">
        <f>A309+Simulador!$B$14</f>
        <v/>
      </c>
      <c r="B310" s="46">
        <f>IF(OR((($A310-Simulador!$E$5)/Simulador!$G$5)&lt;=0,(($A310-Simulador!$E$5)/Simulador!$G$5)&gt;=1),0,IF((($A310-Simulador!$E$5)/Simulador!$G$5)&lt;Simulador!$B$11,Simulador!$B$9*(1-COS(PI()*(($A310-Simulador!$E$5)/Simulador!$G$5)/Simulador!$B$11))/2,IF((($A310-Simulador!$E$5)/Simulador!$G$5)&gt;1-Simulador!$B$11,Simulador!$B$9*(1-COS(PI()*(1-(($A310-Simulador!$E$5)/Simulador!$G$5))/Simulador!$B$11))/2,Simulador!$B$9)))</f>
        <v/>
      </c>
      <c r="C310" s="46">
        <f>IF(OR((($A310-Simulador!$E$6)/Simulador!$G$6)&lt;=0,(($A310-Simulador!$E$6)/Simulador!$G$6)&gt;=1),0,IF((($A310-Simulador!$E$6)/Simulador!$G$6)&lt;Simulador!$B$11,Simulador!$B$9*(1-COS(PI()*(($A310-Simulador!$E$6)/Simulador!$G$6)/Simulador!$B$11))/2,IF((($A310-Simulador!$E$6)/Simulador!$G$6)&gt;1-Simulador!$B$11,Simulador!$B$9*(1-COS(PI()*(1-(($A310-Simulador!$E$6)/Simulador!$G$6))/Simulador!$B$11))/2,Simulador!$B$9)))</f>
        <v/>
      </c>
      <c r="D310" s="46">
        <f>IF(OR((($A310-Simulador!$E$7)/Simulador!$G$7)&lt;=0,(($A310-Simulador!$E$7)/Simulador!$G$7)&gt;=1),0,IF((($A310-Simulador!$E$7)/Simulador!$G$7)&lt;Simulador!$B$11,Simulador!$B$9*(1-COS(PI()*(($A310-Simulador!$E$7)/Simulador!$G$7)/Simulador!$B$11))/2,IF((($A310-Simulador!$E$7)/Simulador!$G$7)&gt;1-Simulador!$B$11,Simulador!$B$9*(1-COS(PI()*(1-(($A310-Simulador!$E$7)/Simulador!$G$7))/Simulador!$B$11))/2,Simulador!$B$9)))</f>
        <v/>
      </c>
      <c r="E310" s="46">
        <f>IF(OR((($A310-Simulador!$E$8)/Simulador!$G$8)&lt;=0,(($A310-Simulador!$E$8)/Simulador!$G$8)&gt;=1),0,IF((($A310-Simulador!$E$8)/Simulador!$G$8)&lt;Simulador!$B$11,Simulador!$B$10*(1-COS(PI()*(($A310-Simulador!$E$8)/Simulador!$G$8)/Simulador!$B$11))/2,IF((($A310-Simulador!$E$8)/Simulador!$G$8)&gt;1-Simulador!$B$11,Simulador!$B$10*(1-COS(PI()*(1-(($A310-Simulador!$E$8)/Simulador!$G$8))/Simulador!$B$11))/2,Simulador!$B$10)))</f>
        <v/>
      </c>
      <c r="F310" s="46">
        <f>IF(OR((($A310-Simulador!$E$9)/Simulador!$G$9)&lt;=0,(($A310-Simulador!$E$9)/Simulador!$G$9)&gt;=1),0,IF((($A310-Simulador!$E$9)/Simulador!$G$9)&lt;Simulador!$B$11,Simulador!$B$10*(1-COS(PI()*(($A310-Simulador!$E$9)/Simulador!$G$9)/Simulador!$B$11))/2,IF((($A310-Simulador!$E$9)/Simulador!$G$9)&gt;1-Simulador!$B$11,Simulador!$B$10*(1-COS(PI()*(1-(($A310-Simulador!$E$9)/Simulador!$G$9))/Simulador!$B$11))/2,Simulador!$B$10)))</f>
        <v/>
      </c>
      <c r="G310" s="46">
        <f>IF(OR((($A310-Simulador!$E$10)/Simulador!$G$10)&lt;=0,(($A310-Simulador!$E$10)/Simulador!$G$10)&gt;=1),0,IF((($A310-Simulador!$E$10)/Simulador!$G$10)&lt;Simulador!$B$11,Simulador!$B$10*(1-COS(PI()*(($A310-Simulador!$E$10)/Simulador!$G$10)/Simulador!$B$11))/2,IF((($A310-Simulador!$E$10)/Simulador!$G$10)&gt;1-Simulador!$B$11,Simulador!$B$10*(1-COS(PI()*(1-(($A310-Simulador!$E$10)/Simulador!$G$10))/Simulador!$B$11))/2,Simulador!$B$10)))</f>
        <v/>
      </c>
      <c r="Q310" s="48">
        <f>IF(OR((($A310-(Simulador!$E$6+'Salto de dientes'!$B$12))/Simulador!$G$6)&lt;=0,(($A310-(Simulador!$E$6+'Salto de dientes'!$B$12))/Simulador!$G$6)&gt;=1),0,IF((($A310-(Simulador!$E$6+'Salto de dientes'!$B$12))/Simulador!$G$6)&lt;Simulador!$B$11,Simulador!$B$9*(1-COS(PI()*(($A310-(Simulador!$E$6+'Salto de dientes'!$B$12))/Simulador!$G$6)/Simulador!$B$11))/2,IF((($A310-(Simulador!$E$6+'Salto de dientes'!$B$12))/Simulador!$G$6)&gt;1-Simulador!$B$11,Simulador!$B$9*(1-COS(PI()*(1-(($A310-(Simulador!$E$6+'Salto de dientes'!$B$12))/Simulador!$G$6))/Simulador!$B$11))/2,Simulador!$B$9)))</f>
        <v/>
      </c>
      <c r="R310" s="48">
        <f>IF(OR((($A310-(Simulador!$E$9+'Salto de dientes'!$B$12))/Simulador!$G$9)&lt;=0,(($A310-(Simulador!$E$9+'Salto de dientes'!$B$12))/Simulador!$G$9)&gt;=1),0,IF((($A310-(Simulador!$E$9+'Salto de dientes'!$B$12))/Simulador!$G$9)&lt;Simulador!$B$11,Simulador!$B$10*(1-COS(PI()*(($A310-(Simulador!$E$9+'Salto de dientes'!$B$12))/Simulador!$G$9)/Simulador!$B$11))/2,IF((($A310-(Simulador!$E$9+'Salto de dientes'!$B$12))/Simulador!$G$9)&gt;1-Simulador!$B$11,Simulador!$B$10*(1-COS(PI()*(1-(($A310-(Simulador!$E$9+'Salto de dientes'!$B$12))/Simulador!$G$9))/Simulador!$B$11))/2,Simulador!$B$10)))</f>
        <v/>
      </c>
    </row>
    <row r="311">
      <c r="A311" s="26">
        <f>A310+Simulador!$B$14</f>
        <v/>
      </c>
      <c r="B311" s="46">
        <f>IF(OR((($A311-Simulador!$E$5)/Simulador!$G$5)&lt;=0,(($A311-Simulador!$E$5)/Simulador!$G$5)&gt;=1),0,IF((($A311-Simulador!$E$5)/Simulador!$G$5)&lt;Simulador!$B$11,Simulador!$B$9*(1-COS(PI()*(($A311-Simulador!$E$5)/Simulador!$G$5)/Simulador!$B$11))/2,IF((($A311-Simulador!$E$5)/Simulador!$G$5)&gt;1-Simulador!$B$11,Simulador!$B$9*(1-COS(PI()*(1-(($A311-Simulador!$E$5)/Simulador!$G$5))/Simulador!$B$11))/2,Simulador!$B$9)))</f>
        <v/>
      </c>
      <c r="C311" s="46">
        <f>IF(OR((($A311-Simulador!$E$6)/Simulador!$G$6)&lt;=0,(($A311-Simulador!$E$6)/Simulador!$G$6)&gt;=1),0,IF((($A311-Simulador!$E$6)/Simulador!$G$6)&lt;Simulador!$B$11,Simulador!$B$9*(1-COS(PI()*(($A311-Simulador!$E$6)/Simulador!$G$6)/Simulador!$B$11))/2,IF((($A311-Simulador!$E$6)/Simulador!$G$6)&gt;1-Simulador!$B$11,Simulador!$B$9*(1-COS(PI()*(1-(($A311-Simulador!$E$6)/Simulador!$G$6))/Simulador!$B$11))/2,Simulador!$B$9)))</f>
        <v/>
      </c>
      <c r="D311" s="46">
        <f>IF(OR((($A311-Simulador!$E$7)/Simulador!$G$7)&lt;=0,(($A311-Simulador!$E$7)/Simulador!$G$7)&gt;=1),0,IF((($A311-Simulador!$E$7)/Simulador!$G$7)&lt;Simulador!$B$11,Simulador!$B$9*(1-COS(PI()*(($A311-Simulador!$E$7)/Simulador!$G$7)/Simulador!$B$11))/2,IF((($A311-Simulador!$E$7)/Simulador!$G$7)&gt;1-Simulador!$B$11,Simulador!$B$9*(1-COS(PI()*(1-(($A311-Simulador!$E$7)/Simulador!$G$7))/Simulador!$B$11))/2,Simulador!$B$9)))</f>
        <v/>
      </c>
      <c r="E311" s="46">
        <f>IF(OR((($A311-Simulador!$E$8)/Simulador!$G$8)&lt;=0,(($A311-Simulador!$E$8)/Simulador!$G$8)&gt;=1),0,IF((($A311-Simulador!$E$8)/Simulador!$G$8)&lt;Simulador!$B$11,Simulador!$B$10*(1-COS(PI()*(($A311-Simulador!$E$8)/Simulador!$G$8)/Simulador!$B$11))/2,IF((($A311-Simulador!$E$8)/Simulador!$G$8)&gt;1-Simulador!$B$11,Simulador!$B$10*(1-COS(PI()*(1-(($A311-Simulador!$E$8)/Simulador!$G$8))/Simulador!$B$11))/2,Simulador!$B$10)))</f>
        <v/>
      </c>
      <c r="F311" s="46">
        <f>IF(OR((($A311-Simulador!$E$9)/Simulador!$G$9)&lt;=0,(($A311-Simulador!$E$9)/Simulador!$G$9)&gt;=1),0,IF((($A311-Simulador!$E$9)/Simulador!$G$9)&lt;Simulador!$B$11,Simulador!$B$10*(1-COS(PI()*(($A311-Simulador!$E$9)/Simulador!$G$9)/Simulador!$B$11))/2,IF((($A311-Simulador!$E$9)/Simulador!$G$9)&gt;1-Simulador!$B$11,Simulador!$B$10*(1-COS(PI()*(1-(($A311-Simulador!$E$9)/Simulador!$G$9))/Simulador!$B$11))/2,Simulador!$B$10)))</f>
        <v/>
      </c>
      <c r="G311" s="46">
        <f>IF(OR((($A311-Simulador!$E$10)/Simulador!$G$10)&lt;=0,(($A311-Simulador!$E$10)/Simulador!$G$10)&gt;=1),0,IF((($A311-Simulador!$E$10)/Simulador!$G$10)&lt;Simulador!$B$11,Simulador!$B$10*(1-COS(PI()*(($A311-Simulador!$E$10)/Simulador!$G$10)/Simulador!$B$11))/2,IF((($A311-Simulador!$E$10)/Simulador!$G$10)&gt;1-Simulador!$B$11,Simulador!$B$10*(1-COS(PI()*(1-(($A311-Simulador!$E$10)/Simulador!$G$10))/Simulador!$B$11))/2,Simulador!$B$10)))</f>
        <v/>
      </c>
      <c r="Q311" s="48">
        <f>IF(OR((($A311-(Simulador!$E$6+'Salto de dientes'!$B$12))/Simulador!$G$6)&lt;=0,(($A311-(Simulador!$E$6+'Salto de dientes'!$B$12))/Simulador!$G$6)&gt;=1),0,IF((($A311-(Simulador!$E$6+'Salto de dientes'!$B$12))/Simulador!$G$6)&lt;Simulador!$B$11,Simulador!$B$9*(1-COS(PI()*(($A311-(Simulador!$E$6+'Salto de dientes'!$B$12))/Simulador!$G$6)/Simulador!$B$11))/2,IF((($A311-(Simulador!$E$6+'Salto de dientes'!$B$12))/Simulador!$G$6)&gt;1-Simulador!$B$11,Simulador!$B$9*(1-COS(PI()*(1-(($A311-(Simulador!$E$6+'Salto de dientes'!$B$12))/Simulador!$G$6))/Simulador!$B$11))/2,Simulador!$B$9)))</f>
        <v/>
      </c>
      <c r="R311" s="48">
        <f>IF(OR((($A311-(Simulador!$E$9+'Salto de dientes'!$B$12))/Simulador!$G$9)&lt;=0,(($A311-(Simulador!$E$9+'Salto de dientes'!$B$12))/Simulador!$G$9)&gt;=1),0,IF((($A311-(Simulador!$E$9+'Salto de dientes'!$B$12))/Simulador!$G$9)&lt;Simulador!$B$11,Simulador!$B$10*(1-COS(PI()*(($A311-(Simulador!$E$9+'Salto de dientes'!$B$12))/Simulador!$G$9)/Simulador!$B$11))/2,IF((($A311-(Simulador!$E$9+'Salto de dientes'!$B$12))/Simulador!$G$9)&gt;1-Simulador!$B$11,Simulador!$B$10*(1-COS(PI()*(1-(($A311-(Simulador!$E$9+'Salto de dientes'!$B$12))/Simulador!$G$9))/Simulador!$B$11))/2,Simulador!$B$10)))</f>
        <v/>
      </c>
    </row>
    <row r="312">
      <c r="A312" s="26">
        <f>A311+Simulador!$B$14</f>
        <v/>
      </c>
      <c r="B312" s="46">
        <f>IF(OR((($A312-Simulador!$E$5)/Simulador!$G$5)&lt;=0,(($A312-Simulador!$E$5)/Simulador!$G$5)&gt;=1),0,IF((($A312-Simulador!$E$5)/Simulador!$G$5)&lt;Simulador!$B$11,Simulador!$B$9*(1-COS(PI()*(($A312-Simulador!$E$5)/Simulador!$G$5)/Simulador!$B$11))/2,IF((($A312-Simulador!$E$5)/Simulador!$G$5)&gt;1-Simulador!$B$11,Simulador!$B$9*(1-COS(PI()*(1-(($A312-Simulador!$E$5)/Simulador!$G$5))/Simulador!$B$11))/2,Simulador!$B$9)))</f>
        <v/>
      </c>
      <c r="C312" s="46">
        <f>IF(OR((($A312-Simulador!$E$6)/Simulador!$G$6)&lt;=0,(($A312-Simulador!$E$6)/Simulador!$G$6)&gt;=1),0,IF((($A312-Simulador!$E$6)/Simulador!$G$6)&lt;Simulador!$B$11,Simulador!$B$9*(1-COS(PI()*(($A312-Simulador!$E$6)/Simulador!$G$6)/Simulador!$B$11))/2,IF((($A312-Simulador!$E$6)/Simulador!$G$6)&gt;1-Simulador!$B$11,Simulador!$B$9*(1-COS(PI()*(1-(($A312-Simulador!$E$6)/Simulador!$G$6))/Simulador!$B$11))/2,Simulador!$B$9)))</f>
        <v/>
      </c>
      <c r="D312" s="46">
        <f>IF(OR((($A312-Simulador!$E$7)/Simulador!$G$7)&lt;=0,(($A312-Simulador!$E$7)/Simulador!$G$7)&gt;=1),0,IF((($A312-Simulador!$E$7)/Simulador!$G$7)&lt;Simulador!$B$11,Simulador!$B$9*(1-COS(PI()*(($A312-Simulador!$E$7)/Simulador!$G$7)/Simulador!$B$11))/2,IF((($A312-Simulador!$E$7)/Simulador!$G$7)&gt;1-Simulador!$B$11,Simulador!$B$9*(1-COS(PI()*(1-(($A312-Simulador!$E$7)/Simulador!$G$7))/Simulador!$B$11))/2,Simulador!$B$9)))</f>
        <v/>
      </c>
      <c r="E312" s="46">
        <f>IF(OR((($A312-Simulador!$E$8)/Simulador!$G$8)&lt;=0,(($A312-Simulador!$E$8)/Simulador!$G$8)&gt;=1),0,IF((($A312-Simulador!$E$8)/Simulador!$G$8)&lt;Simulador!$B$11,Simulador!$B$10*(1-COS(PI()*(($A312-Simulador!$E$8)/Simulador!$G$8)/Simulador!$B$11))/2,IF((($A312-Simulador!$E$8)/Simulador!$G$8)&gt;1-Simulador!$B$11,Simulador!$B$10*(1-COS(PI()*(1-(($A312-Simulador!$E$8)/Simulador!$G$8))/Simulador!$B$11))/2,Simulador!$B$10)))</f>
        <v/>
      </c>
      <c r="F312" s="46">
        <f>IF(OR((($A312-Simulador!$E$9)/Simulador!$G$9)&lt;=0,(($A312-Simulador!$E$9)/Simulador!$G$9)&gt;=1),0,IF((($A312-Simulador!$E$9)/Simulador!$G$9)&lt;Simulador!$B$11,Simulador!$B$10*(1-COS(PI()*(($A312-Simulador!$E$9)/Simulador!$G$9)/Simulador!$B$11))/2,IF((($A312-Simulador!$E$9)/Simulador!$G$9)&gt;1-Simulador!$B$11,Simulador!$B$10*(1-COS(PI()*(1-(($A312-Simulador!$E$9)/Simulador!$G$9))/Simulador!$B$11))/2,Simulador!$B$10)))</f>
        <v/>
      </c>
      <c r="G312" s="46">
        <f>IF(OR((($A312-Simulador!$E$10)/Simulador!$G$10)&lt;=0,(($A312-Simulador!$E$10)/Simulador!$G$10)&gt;=1),0,IF((($A312-Simulador!$E$10)/Simulador!$G$10)&lt;Simulador!$B$11,Simulador!$B$10*(1-COS(PI()*(($A312-Simulador!$E$10)/Simulador!$G$10)/Simulador!$B$11))/2,IF((($A312-Simulador!$E$10)/Simulador!$G$10)&gt;1-Simulador!$B$11,Simulador!$B$10*(1-COS(PI()*(1-(($A312-Simulador!$E$10)/Simulador!$G$10))/Simulador!$B$11))/2,Simulador!$B$10)))</f>
        <v/>
      </c>
      <c r="Q312" s="48">
        <f>IF(OR((($A312-(Simulador!$E$6+'Salto de dientes'!$B$12))/Simulador!$G$6)&lt;=0,(($A312-(Simulador!$E$6+'Salto de dientes'!$B$12))/Simulador!$G$6)&gt;=1),0,IF((($A312-(Simulador!$E$6+'Salto de dientes'!$B$12))/Simulador!$G$6)&lt;Simulador!$B$11,Simulador!$B$9*(1-COS(PI()*(($A312-(Simulador!$E$6+'Salto de dientes'!$B$12))/Simulador!$G$6)/Simulador!$B$11))/2,IF((($A312-(Simulador!$E$6+'Salto de dientes'!$B$12))/Simulador!$G$6)&gt;1-Simulador!$B$11,Simulador!$B$9*(1-COS(PI()*(1-(($A312-(Simulador!$E$6+'Salto de dientes'!$B$12))/Simulador!$G$6))/Simulador!$B$11))/2,Simulador!$B$9)))</f>
        <v/>
      </c>
      <c r="R312" s="48">
        <f>IF(OR((($A312-(Simulador!$E$9+'Salto de dientes'!$B$12))/Simulador!$G$9)&lt;=0,(($A312-(Simulador!$E$9+'Salto de dientes'!$B$12))/Simulador!$G$9)&gt;=1),0,IF((($A312-(Simulador!$E$9+'Salto de dientes'!$B$12))/Simulador!$G$9)&lt;Simulador!$B$11,Simulador!$B$10*(1-COS(PI()*(($A312-(Simulador!$E$9+'Salto de dientes'!$B$12))/Simulador!$G$9)/Simulador!$B$11))/2,IF((($A312-(Simulador!$E$9+'Salto de dientes'!$B$12))/Simulador!$G$9)&gt;1-Simulador!$B$11,Simulador!$B$10*(1-COS(PI()*(1-(($A312-(Simulador!$E$9+'Salto de dientes'!$B$12))/Simulador!$G$9))/Simulador!$B$11))/2,Simulador!$B$10)))</f>
        <v/>
      </c>
    </row>
    <row r="313">
      <c r="A313" s="26">
        <f>A312+Simulador!$B$14</f>
        <v/>
      </c>
      <c r="B313" s="46">
        <f>IF(OR((($A313-Simulador!$E$5)/Simulador!$G$5)&lt;=0,(($A313-Simulador!$E$5)/Simulador!$G$5)&gt;=1),0,IF((($A313-Simulador!$E$5)/Simulador!$G$5)&lt;Simulador!$B$11,Simulador!$B$9*(1-COS(PI()*(($A313-Simulador!$E$5)/Simulador!$G$5)/Simulador!$B$11))/2,IF((($A313-Simulador!$E$5)/Simulador!$G$5)&gt;1-Simulador!$B$11,Simulador!$B$9*(1-COS(PI()*(1-(($A313-Simulador!$E$5)/Simulador!$G$5))/Simulador!$B$11))/2,Simulador!$B$9)))</f>
        <v/>
      </c>
      <c r="C313" s="46">
        <f>IF(OR((($A313-Simulador!$E$6)/Simulador!$G$6)&lt;=0,(($A313-Simulador!$E$6)/Simulador!$G$6)&gt;=1),0,IF((($A313-Simulador!$E$6)/Simulador!$G$6)&lt;Simulador!$B$11,Simulador!$B$9*(1-COS(PI()*(($A313-Simulador!$E$6)/Simulador!$G$6)/Simulador!$B$11))/2,IF((($A313-Simulador!$E$6)/Simulador!$G$6)&gt;1-Simulador!$B$11,Simulador!$B$9*(1-COS(PI()*(1-(($A313-Simulador!$E$6)/Simulador!$G$6))/Simulador!$B$11))/2,Simulador!$B$9)))</f>
        <v/>
      </c>
      <c r="D313" s="46">
        <f>IF(OR((($A313-Simulador!$E$7)/Simulador!$G$7)&lt;=0,(($A313-Simulador!$E$7)/Simulador!$G$7)&gt;=1),0,IF((($A313-Simulador!$E$7)/Simulador!$G$7)&lt;Simulador!$B$11,Simulador!$B$9*(1-COS(PI()*(($A313-Simulador!$E$7)/Simulador!$G$7)/Simulador!$B$11))/2,IF((($A313-Simulador!$E$7)/Simulador!$G$7)&gt;1-Simulador!$B$11,Simulador!$B$9*(1-COS(PI()*(1-(($A313-Simulador!$E$7)/Simulador!$G$7))/Simulador!$B$11))/2,Simulador!$B$9)))</f>
        <v/>
      </c>
      <c r="E313" s="46">
        <f>IF(OR((($A313-Simulador!$E$8)/Simulador!$G$8)&lt;=0,(($A313-Simulador!$E$8)/Simulador!$G$8)&gt;=1),0,IF((($A313-Simulador!$E$8)/Simulador!$G$8)&lt;Simulador!$B$11,Simulador!$B$10*(1-COS(PI()*(($A313-Simulador!$E$8)/Simulador!$G$8)/Simulador!$B$11))/2,IF((($A313-Simulador!$E$8)/Simulador!$G$8)&gt;1-Simulador!$B$11,Simulador!$B$10*(1-COS(PI()*(1-(($A313-Simulador!$E$8)/Simulador!$G$8))/Simulador!$B$11))/2,Simulador!$B$10)))</f>
        <v/>
      </c>
      <c r="F313" s="46">
        <f>IF(OR((($A313-Simulador!$E$9)/Simulador!$G$9)&lt;=0,(($A313-Simulador!$E$9)/Simulador!$G$9)&gt;=1),0,IF((($A313-Simulador!$E$9)/Simulador!$G$9)&lt;Simulador!$B$11,Simulador!$B$10*(1-COS(PI()*(($A313-Simulador!$E$9)/Simulador!$G$9)/Simulador!$B$11))/2,IF((($A313-Simulador!$E$9)/Simulador!$G$9)&gt;1-Simulador!$B$11,Simulador!$B$10*(1-COS(PI()*(1-(($A313-Simulador!$E$9)/Simulador!$G$9))/Simulador!$B$11))/2,Simulador!$B$10)))</f>
        <v/>
      </c>
      <c r="G313" s="46">
        <f>IF(OR((($A313-Simulador!$E$10)/Simulador!$G$10)&lt;=0,(($A313-Simulador!$E$10)/Simulador!$G$10)&gt;=1),0,IF((($A313-Simulador!$E$10)/Simulador!$G$10)&lt;Simulador!$B$11,Simulador!$B$10*(1-COS(PI()*(($A313-Simulador!$E$10)/Simulador!$G$10)/Simulador!$B$11))/2,IF((($A313-Simulador!$E$10)/Simulador!$G$10)&gt;1-Simulador!$B$11,Simulador!$B$10*(1-COS(PI()*(1-(($A313-Simulador!$E$10)/Simulador!$G$10))/Simulador!$B$11))/2,Simulador!$B$10)))</f>
        <v/>
      </c>
      <c r="Q313" s="48">
        <f>IF(OR((($A313-(Simulador!$E$6+'Salto de dientes'!$B$12))/Simulador!$G$6)&lt;=0,(($A313-(Simulador!$E$6+'Salto de dientes'!$B$12))/Simulador!$G$6)&gt;=1),0,IF((($A313-(Simulador!$E$6+'Salto de dientes'!$B$12))/Simulador!$G$6)&lt;Simulador!$B$11,Simulador!$B$9*(1-COS(PI()*(($A313-(Simulador!$E$6+'Salto de dientes'!$B$12))/Simulador!$G$6)/Simulador!$B$11))/2,IF((($A313-(Simulador!$E$6+'Salto de dientes'!$B$12))/Simulador!$G$6)&gt;1-Simulador!$B$11,Simulador!$B$9*(1-COS(PI()*(1-(($A313-(Simulador!$E$6+'Salto de dientes'!$B$12))/Simulador!$G$6))/Simulador!$B$11))/2,Simulador!$B$9)))</f>
        <v/>
      </c>
      <c r="R313" s="48">
        <f>IF(OR((($A313-(Simulador!$E$9+'Salto de dientes'!$B$12))/Simulador!$G$9)&lt;=0,(($A313-(Simulador!$E$9+'Salto de dientes'!$B$12))/Simulador!$G$9)&gt;=1),0,IF((($A313-(Simulador!$E$9+'Salto de dientes'!$B$12))/Simulador!$G$9)&lt;Simulador!$B$11,Simulador!$B$10*(1-COS(PI()*(($A313-(Simulador!$E$9+'Salto de dientes'!$B$12))/Simulador!$G$9)/Simulador!$B$11))/2,IF((($A313-(Simulador!$E$9+'Salto de dientes'!$B$12))/Simulador!$G$9)&gt;1-Simulador!$B$11,Simulador!$B$10*(1-COS(PI()*(1-(($A313-(Simulador!$E$9+'Salto de dientes'!$B$12))/Simulador!$G$9))/Simulador!$B$11))/2,Simulador!$B$10)))</f>
        <v/>
      </c>
    </row>
    <row r="314">
      <c r="A314" s="26">
        <f>A313+Simulador!$B$14</f>
        <v/>
      </c>
      <c r="B314" s="46">
        <f>IF(OR((($A314-Simulador!$E$5)/Simulador!$G$5)&lt;=0,(($A314-Simulador!$E$5)/Simulador!$G$5)&gt;=1),0,IF((($A314-Simulador!$E$5)/Simulador!$G$5)&lt;Simulador!$B$11,Simulador!$B$9*(1-COS(PI()*(($A314-Simulador!$E$5)/Simulador!$G$5)/Simulador!$B$11))/2,IF((($A314-Simulador!$E$5)/Simulador!$G$5)&gt;1-Simulador!$B$11,Simulador!$B$9*(1-COS(PI()*(1-(($A314-Simulador!$E$5)/Simulador!$G$5))/Simulador!$B$11))/2,Simulador!$B$9)))</f>
        <v/>
      </c>
      <c r="C314" s="46">
        <f>IF(OR((($A314-Simulador!$E$6)/Simulador!$G$6)&lt;=0,(($A314-Simulador!$E$6)/Simulador!$G$6)&gt;=1),0,IF((($A314-Simulador!$E$6)/Simulador!$G$6)&lt;Simulador!$B$11,Simulador!$B$9*(1-COS(PI()*(($A314-Simulador!$E$6)/Simulador!$G$6)/Simulador!$B$11))/2,IF((($A314-Simulador!$E$6)/Simulador!$G$6)&gt;1-Simulador!$B$11,Simulador!$B$9*(1-COS(PI()*(1-(($A314-Simulador!$E$6)/Simulador!$G$6))/Simulador!$B$11))/2,Simulador!$B$9)))</f>
        <v/>
      </c>
      <c r="D314" s="46">
        <f>IF(OR((($A314-Simulador!$E$7)/Simulador!$G$7)&lt;=0,(($A314-Simulador!$E$7)/Simulador!$G$7)&gt;=1),0,IF((($A314-Simulador!$E$7)/Simulador!$G$7)&lt;Simulador!$B$11,Simulador!$B$9*(1-COS(PI()*(($A314-Simulador!$E$7)/Simulador!$G$7)/Simulador!$B$11))/2,IF((($A314-Simulador!$E$7)/Simulador!$G$7)&gt;1-Simulador!$B$11,Simulador!$B$9*(1-COS(PI()*(1-(($A314-Simulador!$E$7)/Simulador!$G$7))/Simulador!$B$11))/2,Simulador!$B$9)))</f>
        <v/>
      </c>
      <c r="E314" s="46">
        <f>IF(OR((($A314-Simulador!$E$8)/Simulador!$G$8)&lt;=0,(($A314-Simulador!$E$8)/Simulador!$G$8)&gt;=1),0,IF((($A314-Simulador!$E$8)/Simulador!$G$8)&lt;Simulador!$B$11,Simulador!$B$10*(1-COS(PI()*(($A314-Simulador!$E$8)/Simulador!$G$8)/Simulador!$B$11))/2,IF((($A314-Simulador!$E$8)/Simulador!$G$8)&gt;1-Simulador!$B$11,Simulador!$B$10*(1-COS(PI()*(1-(($A314-Simulador!$E$8)/Simulador!$G$8))/Simulador!$B$11))/2,Simulador!$B$10)))</f>
        <v/>
      </c>
      <c r="F314" s="46">
        <f>IF(OR((($A314-Simulador!$E$9)/Simulador!$G$9)&lt;=0,(($A314-Simulador!$E$9)/Simulador!$G$9)&gt;=1),0,IF((($A314-Simulador!$E$9)/Simulador!$G$9)&lt;Simulador!$B$11,Simulador!$B$10*(1-COS(PI()*(($A314-Simulador!$E$9)/Simulador!$G$9)/Simulador!$B$11))/2,IF((($A314-Simulador!$E$9)/Simulador!$G$9)&gt;1-Simulador!$B$11,Simulador!$B$10*(1-COS(PI()*(1-(($A314-Simulador!$E$9)/Simulador!$G$9))/Simulador!$B$11))/2,Simulador!$B$10)))</f>
        <v/>
      </c>
      <c r="G314" s="46">
        <f>IF(OR((($A314-Simulador!$E$10)/Simulador!$G$10)&lt;=0,(($A314-Simulador!$E$10)/Simulador!$G$10)&gt;=1),0,IF((($A314-Simulador!$E$10)/Simulador!$G$10)&lt;Simulador!$B$11,Simulador!$B$10*(1-COS(PI()*(($A314-Simulador!$E$10)/Simulador!$G$10)/Simulador!$B$11))/2,IF((($A314-Simulador!$E$10)/Simulador!$G$10)&gt;1-Simulador!$B$11,Simulador!$B$10*(1-COS(PI()*(1-(($A314-Simulador!$E$10)/Simulador!$G$10))/Simulador!$B$11))/2,Simulador!$B$10)))</f>
        <v/>
      </c>
      <c r="Q314" s="48">
        <f>IF(OR((($A314-(Simulador!$E$6+'Salto de dientes'!$B$12))/Simulador!$G$6)&lt;=0,(($A314-(Simulador!$E$6+'Salto de dientes'!$B$12))/Simulador!$G$6)&gt;=1),0,IF((($A314-(Simulador!$E$6+'Salto de dientes'!$B$12))/Simulador!$G$6)&lt;Simulador!$B$11,Simulador!$B$9*(1-COS(PI()*(($A314-(Simulador!$E$6+'Salto de dientes'!$B$12))/Simulador!$G$6)/Simulador!$B$11))/2,IF((($A314-(Simulador!$E$6+'Salto de dientes'!$B$12))/Simulador!$G$6)&gt;1-Simulador!$B$11,Simulador!$B$9*(1-COS(PI()*(1-(($A314-(Simulador!$E$6+'Salto de dientes'!$B$12))/Simulador!$G$6))/Simulador!$B$11))/2,Simulador!$B$9)))</f>
        <v/>
      </c>
      <c r="R314" s="48">
        <f>IF(OR((($A314-(Simulador!$E$9+'Salto de dientes'!$B$12))/Simulador!$G$9)&lt;=0,(($A314-(Simulador!$E$9+'Salto de dientes'!$B$12))/Simulador!$G$9)&gt;=1),0,IF((($A314-(Simulador!$E$9+'Salto de dientes'!$B$12))/Simulador!$G$9)&lt;Simulador!$B$11,Simulador!$B$10*(1-COS(PI()*(($A314-(Simulador!$E$9+'Salto de dientes'!$B$12))/Simulador!$G$9)/Simulador!$B$11))/2,IF((($A314-(Simulador!$E$9+'Salto de dientes'!$B$12))/Simulador!$G$9)&gt;1-Simulador!$B$11,Simulador!$B$10*(1-COS(PI()*(1-(($A314-(Simulador!$E$9+'Salto de dientes'!$B$12))/Simulador!$G$9))/Simulador!$B$11))/2,Simulador!$B$10)))</f>
        <v/>
      </c>
    </row>
    <row r="315">
      <c r="A315" s="26">
        <f>A314+Simulador!$B$14</f>
        <v/>
      </c>
      <c r="B315" s="46">
        <f>IF(OR((($A315-Simulador!$E$5)/Simulador!$G$5)&lt;=0,(($A315-Simulador!$E$5)/Simulador!$G$5)&gt;=1),0,IF((($A315-Simulador!$E$5)/Simulador!$G$5)&lt;Simulador!$B$11,Simulador!$B$9*(1-COS(PI()*(($A315-Simulador!$E$5)/Simulador!$G$5)/Simulador!$B$11))/2,IF((($A315-Simulador!$E$5)/Simulador!$G$5)&gt;1-Simulador!$B$11,Simulador!$B$9*(1-COS(PI()*(1-(($A315-Simulador!$E$5)/Simulador!$G$5))/Simulador!$B$11))/2,Simulador!$B$9)))</f>
        <v/>
      </c>
      <c r="C315" s="46">
        <f>IF(OR((($A315-Simulador!$E$6)/Simulador!$G$6)&lt;=0,(($A315-Simulador!$E$6)/Simulador!$G$6)&gt;=1),0,IF((($A315-Simulador!$E$6)/Simulador!$G$6)&lt;Simulador!$B$11,Simulador!$B$9*(1-COS(PI()*(($A315-Simulador!$E$6)/Simulador!$G$6)/Simulador!$B$11))/2,IF((($A315-Simulador!$E$6)/Simulador!$G$6)&gt;1-Simulador!$B$11,Simulador!$B$9*(1-COS(PI()*(1-(($A315-Simulador!$E$6)/Simulador!$G$6))/Simulador!$B$11))/2,Simulador!$B$9)))</f>
        <v/>
      </c>
      <c r="D315" s="46">
        <f>IF(OR((($A315-Simulador!$E$7)/Simulador!$G$7)&lt;=0,(($A315-Simulador!$E$7)/Simulador!$G$7)&gt;=1),0,IF((($A315-Simulador!$E$7)/Simulador!$G$7)&lt;Simulador!$B$11,Simulador!$B$9*(1-COS(PI()*(($A315-Simulador!$E$7)/Simulador!$G$7)/Simulador!$B$11))/2,IF((($A315-Simulador!$E$7)/Simulador!$G$7)&gt;1-Simulador!$B$11,Simulador!$B$9*(1-COS(PI()*(1-(($A315-Simulador!$E$7)/Simulador!$G$7))/Simulador!$B$11))/2,Simulador!$B$9)))</f>
        <v/>
      </c>
      <c r="E315" s="46">
        <f>IF(OR((($A315-Simulador!$E$8)/Simulador!$G$8)&lt;=0,(($A315-Simulador!$E$8)/Simulador!$G$8)&gt;=1),0,IF((($A315-Simulador!$E$8)/Simulador!$G$8)&lt;Simulador!$B$11,Simulador!$B$10*(1-COS(PI()*(($A315-Simulador!$E$8)/Simulador!$G$8)/Simulador!$B$11))/2,IF((($A315-Simulador!$E$8)/Simulador!$G$8)&gt;1-Simulador!$B$11,Simulador!$B$10*(1-COS(PI()*(1-(($A315-Simulador!$E$8)/Simulador!$G$8))/Simulador!$B$11))/2,Simulador!$B$10)))</f>
        <v/>
      </c>
      <c r="F315" s="46">
        <f>IF(OR((($A315-Simulador!$E$9)/Simulador!$G$9)&lt;=0,(($A315-Simulador!$E$9)/Simulador!$G$9)&gt;=1),0,IF((($A315-Simulador!$E$9)/Simulador!$G$9)&lt;Simulador!$B$11,Simulador!$B$10*(1-COS(PI()*(($A315-Simulador!$E$9)/Simulador!$G$9)/Simulador!$B$11))/2,IF((($A315-Simulador!$E$9)/Simulador!$G$9)&gt;1-Simulador!$B$11,Simulador!$B$10*(1-COS(PI()*(1-(($A315-Simulador!$E$9)/Simulador!$G$9))/Simulador!$B$11))/2,Simulador!$B$10)))</f>
        <v/>
      </c>
      <c r="G315" s="46">
        <f>IF(OR((($A315-Simulador!$E$10)/Simulador!$G$10)&lt;=0,(($A315-Simulador!$E$10)/Simulador!$G$10)&gt;=1),0,IF((($A315-Simulador!$E$10)/Simulador!$G$10)&lt;Simulador!$B$11,Simulador!$B$10*(1-COS(PI()*(($A315-Simulador!$E$10)/Simulador!$G$10)/Simulador!$B$11))/2,IF((($A315-Simulador!$E$10)/Simulador!$G$10)&gt;1-Simulador!$B$11,Simulador!$B$10*(1-COS(PI()*(1-(($A315-Simulador!$E$10)/Simulador!$G$10))/Simulador!$B$11))/2,Simulador!$B$10)))</f>
        <v/>
      </c>
      <c r="Q315" s="48">
        <f>IF(OR((($A315-(Simulador!$E$6+'Salto de dientes'!$B$12))/Simulador!$G$6)&lt;=0,(($A315-(Simulador!$E$6+'Salto de dientes'!$B$12))/Simulador!$G$6)&gt;=1),0,IF((($A315-(Simulador!$E$6+'Salto de dientes'!$B$12))/Simulador!$G$6)&lt;Simulador!$B$11,Simulador!$B$9*(1-COS(PI()*(($A315-(Simulador!$E$6+'Salto de dientes'!$B$12))/Simulador!$G$6)/Simulador!$B$11))/2,IF((($A315-(Simulador!$E$6+'Salto de dientes'!$B$12))/Simulador!$G$6)&gt;1-Simulador!$B$11,Simulador!$B$9*(1-COS(PI()*(1-(($A315-(Simulador!$E$6+'Salto de dientes'!$B$12))/Simulador!$G$6))/Simulador!$B$11))/2,Simulador!$B$9)))</f>
        <v/>
      </c>
      <c r="R315" s="48">
        <f>IF(OR((($A315-(Simulador!$E$9+'Salto de dientes'!$B$12))/Simulador!$G$9)&lt;=0,(($A315-(Simulador!$E$9+'Salto de dientes'!$B$12))/Simulador!$G$9)&gt;=1),0,IF((($A315-(Simulador!$E$9+'Salto de dientes'!$B$12))/Simulador!$G$9)&lt;Simulador!$B$11,Simulador!$B$10*(1-COS(PI()*(($A315-(Simulador!$E$9+'Salto de dientes'!$B$12))/Simulador!$G$9)/Simulador!$B$11))/2,IF((($A315-(Simulador!$E$9+'Salto de dientes'!$B$12))/Simulador!$G$9)&gt;1-Simulador!$B$11,Simulador!$B$10*(1-COS(PI()*(1-(($A315-(Simulador!$E$9+'Salto de dientes'!$B$12))/Simulador!$G$9))/Simulador!$B$11))/2,Simulador!$B$10)))</f>
        <v/>
      </c>
    </row>
    <row r="316">
      <c r="A316" s="26">
        <f>A315+Simulador!$B$14</f>
        <v/>
      </c>
      <c r="B316" s="46">
        <f>IF(OR((($A316-Simulador!$E$5)/Simulador!$G$5)&lt;=0,(($A316-Simulador!$E$5)/Simulador!$G$5)&gt;=1),0,IF((($A316-Simulador!$E$5)/Simulador!$G$5)&lt;Simulador!$B$11,Simulador!$B$9*(1-COS(PI()*(($A316-Simulador!$E$5)/Simulador!$G$5)/Simulador!$B$11))/2,IF((($A316-Simulador!$E$5)/Simulador!$G$5)&gt;1-Simulador!$B$11,Simulador!$B$9*(1-COS(PI()*(1-(($A316-Simulador!$E$5)/Simulador!$G$5))/Simulador!$B$11))/2,Simulador!$B$9)))</f>
        <v/>
      </c>
      <c r="C316" s="46">
        <f>IF(OR((($A316-Simulador!$E$6)/Simulador!$G$6)&lt;=0,(($A316-Simulador!$E$6)/Simulador!$G$6)&gt;=1),0,IF((($A316-Simulador!$E$6)/Simulador!$G$6)&lt;Simulador!$B$11,Simulador!$B$9*(1-COS(PI()*(($A316-Simulador!$E$6)/Simulador!$G$6)/Simulador!$B$11))/2,IF((($A316-Simulador!$E$6)/Simulador!$G$6)&gt;1-Simulador!$B$11,Simulador!$B$9*(1-COS(PI()*(1-(($A316-Simulador!$E$6)/Simulador!$G$6))/Simulador!$B$11))/2,Simulador!$B$9)))</f>
        <v/>
      </c>
      <c r="D316" s="46">
        <f>IF(OR((($A316-Simulador!$E$7)/Simulador!$G$7)&lt;=0,(($A316-Simulador!$E$7)/Simulador!$G$7)&gt;=1),0,IF((($A316-Simulador!$E$7)/Simulador!$G$7)&lt;Simulador!$B$11,Simulador!$B$9*(1-COS(PI()*(($A316-Simulador!$E$7)/Simulador!$G$7)/Simulador!$B$11))/2,IF((($A316-Simulador!$E$7)/Simulador!$G$7)&gt;1-Simulador!$B$11,Simulador!$B$9*(1-COS(PI()*(1-(($A316-Simulador!$E$7)/Simulador!$G$7))/Simulador!$B$11))/2,Simulador!$B$9)))</f>
        <v/>
      </c>
      <c r="E316" s="46">
        <f>IF(OR((($A316-Simulador!$E$8)/Simulador!$G$8)&lt;=0,(($A316-Simulador!$E$8)/Simulador!$G$8)&gt;=1),0,IF((($A316-Simulador!$E$8)/Simulador!$G$8)&lt;Simulador!$B$11,Simulador!$B$10*(1-COS(PI()*(($A316-Simulador!$E$8)/Simulador!$G$8)/Simulador!$B$11))/2,IF((($A316-Simulador!$E$8)/Simulador!$G$8)&gt;1-Simulador!$B$11,Simulador!$B$10*(1-COS(PI()*(1-(($A316-Simulador!$E$8)/Simulador!$G$8))/Simulador!$B$11))/2,Simulador!$B$10)))</f>
        <v/>
      </c>
      <c r="F316" s="46">
        <f>IF(OR((($A316-Simulador!$E$9)/Simulador!$G$9)&lt;=0,(($A316-Simulador!$E$9)/Simulador!$G$9)&gt;=1),0,IF((($A316-Simulador!$E$9)/Simulador!$G$9)&lt;Simulador!$B$11,Simulador!$B$10*(1-COS(PI()*(($A316-Simulador!$E$9)/Simulador!$G$9)/Simulador!$B$11))/2,IF((($A316-Simulador!$E$9)/Simulador!$G$9)&gt;1-Simulador!$B$11,Simulador!$B$10*(1-COS(PI()*(1-(($A316-Simulador!$E$9)/Simulador!$G$9))/Simulador!$B$11))/2,Simulador!$B$10)))</f>
        <v/>
      </c>
      <c r="G316" s="46">
        <f>IF(OR((($A316-Simulador!$E$10)/Simulador!$G$10)&lt;=0,(($A316-Simulador!$E$10)/Simulador!$G$10)&gt;=1),0,IF((($A316-Simulador!$E$10)/Simulador!$G$10)&lt;Simulador!$B$11,Simulador!$B$10*(1-COS(PI()*(($A316-Simulador!$E$10)/Simulador!$G$10)/Simulador!$B$11))/2,IF((($A316-Simulador!$E$10)/Simulador!$G$10)&gt;1-Simulador!$B$11,Simulador!$B$10*(1-COS(PI()*(1-(($A316-Simulador!$E$10)/Simulador!$G$10))/Simulador!$B$11))/2,Simulador!$B$10)))</f>
        <v/>
      </c>
      <c r="Q316" s="48">
        <f>IF(OR((($A316-(Simulador!$E$6+'Salto de dientes'!$B$12))/Simulador!$G$6)&lt;=0,(($A316-(Simulador!$E$6+'Salto de dientes'!$B$12))/Simulador!$G$6)&gt;=1),0,IF((($A316-(Simulador!$E$6+'Salto de dientes'!$B$12))/Simulador!$G$6)&lt;Simulador!$B$11,Simulador!$B$9*(1-COS(PI()*(($A316-(Simulador!$E$6+'Salto de dientes'!$B$12))/Simulador!$G$6)/Simulador!$B$11))/2,IF((($A316-(Simulador!$E$6+'Salto de dientes'!$B$12))/Simulador!$G$6)&gt;1-Simulador!$B$11,Simulador!$B$9*(1-COS(PI()*(1-(($A316-(Simulador!$E$6+'Salto de dientes'!$B$12))/Simulador!$G$6))/Simulador!$B$11))/2,Simulador!$B$9)))</f>
        <v/>
      </c>
      <c r="R316" s="48">
        <f>IF(OR((($A316-(Simulador!$E$9+'Salto de dientes'!$B$12))/Simulador!$G$9)&lt;=0,(($A316-(Simulador!$E$9+'Salto de dientes'!$B$12))/Simulador!$G$9)&gt;=1),0,IF((($A316-(Simulador!$E$9+'Salto de dientes'!$B$12))/Simulador!$G$9)&lt;Simulador!$B$11,Simulador!$B$10*(1-COS(PI()*(($A316-(Simulador!$E$9+'Salto de dientes'!$B$12))/Simulador!$G$9)/Simulador!$B$11))/2,IF((($A316-(Simulador!$E$9+'Salto de dientes'!$B$12))/Simulador!$G$9)&gt;1-Simulador!$B$11,Simulador!$B$10*(1-COS(PI()*(1-(($A316-(Simulador!$E$9+'Salto de dientes'!$B$12))/Simulador!$G$9))/Simulador!$B$11))/2,Simulador!$B$10)))</f>
        <v/>
      </c>
    </row>
    <row r="317">
      <c r="A317" s="26">
        <f>A316+Simulador!$B$14</f>
        <v/>
      </c>
      <c r="B317" s="46">
        <f>IF(OR((($A317-Simulador!$E$5)/Simulador!$G$5)&lt;=0,(($A317-Simulador!$E$5)/Simulador!$G$5)&gt;=1),0,IF((($A317-Simulador!$E$5)/Simulador!$G$5)&lt;Simulador!$B$11,Simulador!$B$9*(1-COS(PI()*(($A317-Simulador!$E$5)/Simulador!$G$5)/Simulador!$B$11))/2,IF((($A317-Simulador!$E$5)/Simulador!$G$5)&gt;1-Simulador!$B$11,Simulador!$B$9*(1-COS(PI()*(1-(($A317-Simulador!$E$5)/Simulador!$G$5))/Simulador!$B$11))/2,Simulador!$B$9)))</f>
        <v/>
      </c>
      <c r="C317" s="46">
        <f>IF(OR((($A317-Simulador!$E$6)/Simulador!$G$6)&lt;=0,(($A317-Simulador!$E$6)/Simulador!$G$6)&gt;=1),0,IF((($A317-Simulador!$E$6)/Simulador!$G$6)&lt;Simulador!$B$11,Simulador!$B$9*(1-COS(PI()*(($A317-Simulador!$E$6)/Simulador!$G$6)/Simulador!$B$11))/2,IF((($A317-Simulador!$E$6)/Simulador!$G$6)&gt;1-Simulador!$B$11,Simulador!$B$9*(1-COS(PI()*(1-(($A317-Simulador!$E$6)/Simulador!$G$6))/Simulador!$B$11))/2,Simulador!$B$9)))</f>
        <v/>
      </c>
      <c r="D317" s="46">
        <f>IF(OR((($A317-Simulador!$E$7)/Simulador!$G$7)&lt;=0,(($A317-Simulador!$E$7)/Simulador!$G$7)&gt;=1),0,IF((($A317-Simulador!$E$7)/Simulador!$G$7)&lt;Simulador!$B$11,Simulador!$B$9*(1-COS(PI()*(($A317-Simulador!$E$7)/Simulador!$G$7)/Simulador!$B$11))/2,IF((($A317-Simulador!$E$7)/Simulador!$G$7)&gt;1-Simulador!$B$11,Simulador!$B$9*(1-COS(PI()*(1-(($A317-Simulador!$E$7)/Simulador!$G$7))/Simulador!$B$11))/2,Simulador!$B$9)))</f>
        <v/>
      </c>
      <c r="E317" s="46">
        <f>IF(OR((($A317-Simulador!$E$8)/Simulador!$G$8)&lt;=0,(($A317-Simulador!$E$8)/Simulador!$G$8)&gt;=1),0,IF((($A317-Simulador!$E$8)/Simulador!$G$8)&lt;Simulador!$B$11,Simulador!$B$10*(1-COS(PI()*(($A317-Simulador!$E$8)/Simulador!$G$8)/Simulador!$B$11))/2,IF((($A317-Simulador!$E$8)/Simulador!$G$8)&gt;1-Simulador!$B$11,Simulador!$B$10*(1-COS(PI()*(1-(($A317-Simulador!$E$8)/Simulador!$G$8))/Simulador!$B$11))/2,Simulador!$B$10)))</f>
        <v/>
      </c>
      <c r="F317" s="46">
        <f>IF(OR((($A317-Simulador!$E$9)/Simulador!$G$9)&lt;=0,(($A317-Simulador!$E$9)/Simulador!$G$9)&gt;=1),0,IF((($A317-Simulador!$E$9)/Simulador!$G$9)&lt;Simulador!$B$11,Simulador!$B$10*(1-COS(PI()*(($A317-Simulador!$E$9)/Simulador!$G$9)/Simulador!$B$11))/2,IF((($A317-Simulador!$E$9)/Simulador!$G$9)&gt;1-Simulador!$B$11,Simulador!$B$10*(1-COS(PI()*(1-(($A317-Simulador!$E$9)/Simulador!$G$9))/Simulador!$B$11))/2,Simulador!$B$10)))</f>
        <v/>
      </c>
      <c r="G317" s="46">
        <f>IF(OR((($A317-Simulador!$E$10)/Simulador!$G$10)&lt;=0,(($A317-Simulador!$E$10)/Simulador!$G$10)&gt;=1),0,IF((($A317-Simulador!$E$10)/Simulador!$G$10)&lt;Simulador!$B$11,Simulador!$B$10*(1-COS(PI()*(($A317-Simulador!$E$10)/Simulador!$G$10)/Simulador!$B$11))/2,IF((($A317-Simulador!$E$10)/Simulador!$G$10)&gt;1-Simulador!$B$11,Simulador!$B$10*(1-COS(PI()*(1-(($A317-Simulador!$E$10)/Simulador!$G$10))/Simulador!$B$11))/2,Simulador!$B$10)))</f>
        <v/>
      </c>
      <c r="Q317" s="48">
        <f>IF(OR((($A317-(Simulador!$E$6+'Salto de dientes'!$B$12))/Simulador!$G$6)&lt;=0,(($A317-(Simulador!$E$6+'Salto de dientes'!$B$12))/Simulador!$G$6)&gt;=1),0,IF((($A317-(Simulador!$E$6+'Salto de dientes'!$B$12))/Simulador!$G$6)&lt;Simulador!$B$11,Simulador!$B$9*(1-COS(PI()*(($A317-(Simulador!$E$6+'Salto de dientes'!$B$12))/Simulador!$G$6)/Simulador!$B$11))/2,IF((($A317-(Simulador!$E$6+'Salto de dientes'!$B$12))/Simulador!$G$6)&gt;1-Simulador!$B$11,Simulador!$B$9*(1-COS(PI()*(1-(($A317-(Simulador!$E$6+'Salto de dientes'!$B$12))/Simulador!$G$6))/Simulador!$B$11))/2,Simulador!$B$9)))</f>
        <v/>
      </c>
      <c r="R317" s="48">
        <f>IF(OR((($A317-(Simulador!$E$9+'Salto de dientes'!$B$12))/Simulador!$G$9)&lt;=0,(($A317-(Simulador!$E$9+'Salto de dientes'!$B$12))/Simulador!$G$9)&gt;=1),0,IF((($A317-(Simulador!$E$9+'Salto de dientes'!$B$12))/Simulador!$G$9)&lt;Simulador!$B$11,Simulador!$B$10*(1-COS(PI()*(($A317-(Simulador!$E$9+'Salto de dientes'!$B$12))/Simulador!$G$9)/Simulador!$B$11))/2,IF((($A317-(Simulador!$E$9+'Salto de dientes'!$B$12))/Simulador!$G$9)&gt;1-Simulador!$B$11,Simulador!$B$10*(1-COS(PI()*(1-(($A317-(Simulador!$E$9+'Salto de dientes'!$B$12))/Simulador!$G$9))/Simulador!$B$11))/2,Simulador!$B$10)))</f>
        <v/>
      </c>
    </row>
    <row r="318">
      <c r="A318" s="26">
        <f>A317+Simulador!$B$14</f>
        <v/>
      </c>
      <c r="B318" s="46">
        <f>IF(OR((($A318-Simulador!$E$5)/Simulador!$G$5)&lt;=0,(($A318-Simulador!$E$5)/Simulador!$G$5)&gt;=1),0,IF((($A318-Simulador!$E$5)/Simulador!$G$5)&lt;Simulador!$B$11,Simulador!$B$9*(1-COS(PI()*(($A318-Simulador!$E$5)/Simulador!$G$5)/Simulador!$B$11))/2,IF((($A318-Simulador!$E$5)/Simulador!$G$5)&gt;1-Simulador!$B$11,Simulador!$B$9*(1-COS(PI()*(1-(($A318-Simulador!$E$5)/Simulador!$G$5))/Simulador!$B$11))/2,Simulador!$B$9)))</f>
        <v/>
      </c>
      <c r="C318" s="46">
        <f>IF(OR((($A318-Simulador!$E$6)/Simulador!$G$6)&lt;=0,(($A318-Simulador!$E$6)/Simulador!$G$6)&gt;=1),0,IF((($A318-Simulador!$E$6)/Simulador!$G$6)&lt;Simulador!$B$11,Simulador!$B$9*(1-COS(PI()*(($A318-Simulador!$E$6)/Simulador!$G$6)/Simulador!$B$11))/2,IF((($A318-Simulador!$E$6)/Simulador!$G$6)&gt;1-Simulador!$B$11,Simulador!$B$9*(1-COS(PI()*(1-(($A318-Simulador!$E$6)/Simulador!$G$6))/Simulador!$B$11))/2,Simulador!$B$9)))</f>
        <v/>
      </c>
      <c r="D318" s="46">
        <f>IF(OR((($A318-Simulador!$E$7)/Simulador!$G$7)&lt;=0,(($A318-Simulador!$E$7)/Simulador!$G$7)&gt;=1),0,IF((($A318-Simulador!$E$7)/Simulador!$G$7)&lt;Simulador!$B$11,Simulador!$B$9*(1-COS(PI()*(($A318-Simulador!$E$7)/Simulador!$G$7)/Simulador!$B$11))/2,IF((($A318-Simulador!$E$7)/Simulador!$G$7)&gt;1-Simulador!$B$11,Simulador!$B$9*(1-COS(PI()*(1-(($A318-Simulador!$E$7)/Simulador!$G$7))/Simulador!$B$11))/2,Simulador!$B$9)))</f>
        <v/>
      </c>
      <c r="E318" s="46">
        <f>IF(OR((($A318-Simulador!$E$8)/Simulador!$G$8)&lt;=0,(($A318-Simulador!$E$8)/Simulador!$G$8)&gt;=1),0,IF((($A318-Simulador!$E$8)/Simulador!$G$8)&lt;Simulador!$B$11,Simulador!$B$10*(1-COS(PI()*(($A318-Simulador!$E$8)/Simulador!$G$8)/Simulador!$B$11))/2,IF((($A318-Simulador!$E$8)/Simulador!$G$8)&gt;1-Simulador!$B$11,Simulador!$B$10*(1-COS(PI()*(1-(($A318-Simulador!$E$8)/Simulador!$G$8))/Simulador!$B$11))/2,Simulador!$B$10)))</f>
        <v/>
      </c>
      <c r="F318" s="46">
        <f>IF(OR((($A318-Simulador!$E$9)/Simulador!$G$9)&lt;=0,(($A318-Simulador!$E$9)/Simulador!$G$9)&gt;=1),0,IF((($A318-Simulador!$E$9)/Simulador!$G$9)&lt;Simulador!$B$11,Simulador!$B$10*(1-COS(PI()*(($A318-Simulador!$E$9)/Simulador!$G$9)/Simulador!$B$11))/2,IF((($A318-Simulador!$E$9)/Simulador!$G$9)&gt;1-Simulador!$B$11,Simulador!$B$10*(1-COS(PI()*(1-(($A318-Simulador!$E$9)/Simulador!$G$9))/Simulador!$B$11))/2,Simulador!$B$10)))</f>
        <v/>
      </c>
      <c r="G318" s="46">
        <f>IF(OR((($A318-Simulador!$E$10)/Simulador!$G$10)&lt;=0,(($A318-Simulador!$E$10)/Simulador!$G$10)&gt;=1),0,IF((($A318-Simulador!$E$10)/Simulador!$G$10)&lt;Simulador!$B$11,Simulador!$B$10*(1-COS(PI()*(($A318-Simulador!$E$10)/Simulador!$G$10)/Simulador!$B$11))/2,IF((($A318-Simulador!$E$10)/Simulador!$G$10)&gt;1-Simulador!$B$11,Simulador!$B$10*(1-COS(PI()*(1-(($A318-Simulador!$E$10)/Simulador!$G$10))/Simulador!$B$11))/2,Simulador!$B$10)))</f>
        <v/>
      </c>
      <c r="Q318" s="48">
        <f>IF(OR((($A318-(Simulador!$E$6+'Salto de dientes'!$B$12))/Simulador!$G$6)&lt;=0,(($A318-(Simulador!$E$6+'Salto de dientes'!$B$12))/Simulador!$G$6)&gt;=1),0,IF((($A318-(Simulador!$E$6+'Salto de dientes'!$B$12))/Simulador!$G$6)&lt;Simulador!$B$11,Simulador!$B$9*(1-COS(PI()*(($A318-(Simulador!$E$6+'Salto de dientes'!$B$12))/Simulador!$G$6)/Simulador!$B$11))/2,IF((($A318-(Simulador!$E$6+'Salto de dientes'!$B$12))/Simulador!$G$6)&gt;1-Simulador!$B$11,Simulador!$B$9*(1-COS(PI()*(1-(($A318-(Simulador!$E$6+'Salto de dientes'!$B$12))/Simulador!$G$6))/Simulador!$B$11))/2,Simulador!$B$9)))</f>
        <v/>
      </c>
      <c r="R318" s="48">
        <f>IF(OR((($A318-(Simulador!$E$9+'Salto de dientes'!$B$12))/Simulador!$G$9)&lt;=0,(($A318-(Simulador!$E$9+'Salto de dientes'!$B$12))/Simulador!$G$9)&gt;=1),0,IF((($A318-(Simulador!$E$9+'Salto de dientes'!$B$12))/Simulador!$G$9)&lt;Simulador!$B$11,Simulador!$B$10*(1-COS(PI()*(($A318-(Simulador!$E$9+'Salto de dientes'!$B$12))/Simulador!$G$9)/Simulador!$B$11))/2,IF((($A318-(Simulador!$E$9+'Salto de dientes'!$B$12))/Simulador!$G$9)&gt;1-Simulador!$B$11,Simulador!$B$10*(1-COS(PI()*(1-(($A318-(Simulador!$E$9+'Salto de dientes'!$B$12))/Simulador!$G$9))/Simulador!$B$11))/2,Simulador!$B$10)))</f>
        <v/>
      </c>
    </row>
    <row r="319">
      <c r="A319" s="26">
        <f>A318+Simulador!$B$14</f>
        <v/>
      </c>
      <c r="B319" s="46">
        <f>IF(OR((($A319-Simulador!$E$5)/Simulador!$G$5)&lt;=0,(($A319-Simulador!$E$5)/Simulador!$G$5)&gt;=1),0,IF((($A319-Simulador!$E$5)/Simulador!$G$5)&lt;Simulador!$B$11,Simulador!$B$9*(1-COS(PI()*(($A319-Simulador!$E$5)/Simulador!$G$5)/Simulador!$B$11))/2,IF((($A319-Simulador!$E$5)/Simulador!$G$5)&gt;1-Simulador!$B$11,Simulador!$B$9*(1-COS(PI()*(1-(($A319-Simulador!$E$5)/Simulador!$G$5))/Simulador!$B$11))/2,Simulador!$B$9)))</f>
        <v/>
      </c>
      <c r="C319" s="46">
        <f>IF(OR((($A319-Simulador!$E$6)/Simulador!$G$6)&lt;=0,(($A319-Simulador!$E$6)/Simulador!$G$6)&gt;=1),0,IF((($A319-Simulador!$E$6)/Simulador!$G$6)&lt;Simulador!$B$11,Simulador!$B$9*(1-COS(PI()*(($A319-Simulador!$E$6)/Simulador!$G$6)/Simulador!$B$11))/2,IF((($A319-Simulador!$E$6)/Simulador!$G$6)&gt;1-Simulador!$B$11,Simulador!$B$9*(1-COS(PI()*(1-(($A319-Simulador!$E$6)/Simulador!$G$6))/Simulador!$B$11))/2,Simulador!$B$9)))</f>
        <v/>
      </c>
      <c r="D319" s="46">
        <f>IF(OR((($A319-Simulador!$E$7)/Simulador!$G$7)&lt;=0,(($A319-Simulador!$E$7)/Simulador!$G$7)&gt;=1),0,IF((($A319-Simulador!$E$7)/Simulador!$G$7)&lt;Simulador!$B$11,Simulador!$B$9*(1-COS(PI()*(($A319-Simulador!$E$7)/Simulador!$G$7)/Simulador!$B$11))/2,IF((($A319-Simulador!$E$7)/Simulador!$G$7)&gt;1-Simulador!$B$11,Simulador!$B$9*(1-COS(PI()*(1-(($A319-Simulador!$E$7)/Simulador!$G$7))/Simulador!$B$11))/2,Simulador!$B$9)))</f>
        <v/>
      </c>
      <c r="E319" s="46">
        <f>IF(OR((($A319-Simulador!$E$8)/Simulador!$G$8)&lt;=0,(($A319-Simulador!$E$8)/Simulador!$G$8)&gt;=1),0,IF((($A319-Simulador!$E$8)/Simulador!$G$8)&lt;Simulador!$B$11,Simulador!$B$10*(1-COS(PI()*(($A319-Simulador!$E$8)/Simulador!$G$8)/Simulador!$B$11))/2,IF((($A319-Simulador!$E$8)/Simulador!$G$8)&gt;1-Simulador!$B$11,Simulador!$B$10*(1-COS(PI()*(1-(($A319-Simulador!$E$8)/Simulador!$G$8))/Simulador!$B$11))/2,Simulador!$B$10)))</f>
        <v/>
      </c>
      <c r="F319" s="46">
        <f>IF(OR((($A319-Simulador!$E$9)/Simulador!$G$9)&lt;=0,(($A319-Simulador!$E$9)/Simulador!$G$9)&gt;=1),0,IF((($A319-Simulador!$E$9)/Simulador!$G$9)&lt;Simulador!$B$11,Simulador!$B$10*(1-COS(PI()*(($A319-Simulador!$E$9)/Simulador!$G$9)/Simulador!$B$11))/2,IF((($A319-Simulador!$E$9)/Simulador!$G$9)&gt;1-Simulador!$B$11,Simulador!$B$10*(1-COS(PI()*(1-(($A319-Simulador!$E$9)/Simulador!$G$9))/Simulador!$B$11))/2,Simulador!$B$10)))</f>
        <v/>
      </c>
      <c r="G319" s="46">
        <f>IF(OR((($A319-Simulador!$E$10)/Simulador!$G$10)&lt;=0,(($A319-Simulador!$E$10)/Simulador!$G$10)&gt;=1),0,IF((($A319-Simulador!$E$10)/Simulador!$G$10)&lt;Simulador!$B$11,Simulador!$B$10*(1-COS(PI()*(($A319-Simulador!$E$10)/Simulador!$G$10)/Simulador!$B$11))/2,IF((($A319-Simulador!$E$10)/Simulador!$G$10)&gt;1-Simulador!$B$11,Simulador!$B$10*(1-COS(PI()*(1-(($A319-Simulador!$E$10)/Simulador!$G$10))/Simulador!$B$11))/2,Simulador!$B$10)))</f>
        <v/>
      </c>
      <c r="Q319" s="48">
        <f>IF(OR((($A319-(Simulador!$E$6+'Salto de dientes'!$B$12))/Simulador!$G$6)&lt;=0,(($A319-(Simulador!$E$6+'Salto de dientes'!$B$12))/Simulador!$G$6)&gt;=1),0,IF((($A319-(Simulador!$E$6+'Salto de dientes'!$B$12))/Simulador!$G$6)&lt;Simulador!$B$11,Simulador!$B$9*(1-COS(PI()*(($A319-(Simulador!$E$6+'Salto de dientes'!$B$12))/Simulador!$G$6)/Simulador!$B$11))/2,IF((($A319-(Simulador!$E$6+'Salto de dientes'!$B$12))/Simulador!$G$6)&gt;1-Simulador!$B$11,Simulador!$B$9*(1-COS(PI()*(1-(($A319-(Simulador!$E$6+'Salto de dientes'!$B$12))/Simulador!$G$6))/Simulador!$B$11))/2,Simulador!$B$9)))</f>
        <v/>
      </c>
      <c r="R319" s="48">
        <f>IF(OR((($A319-(Simulador!$E$9+'Salto de dientes'!$B$12))/Simulador!$G$9)&lt;=0,(($A319-(Simulador!$E$9+'Salto de dientes'!$B$12))/Simulador!$G$9)&gt;=1),0,IF((($A319-(Simulador!$E$9+'Salto de dientes'!$B$12))/Simulador!$G$9)&lt;Simulador!$B$11,Simulador!$B$10*(1-COS(PI()*(($A319-(Simulador!$E$9+'Salto de dientes'!$B$12))/Simulador!$G$9)/Simulador!$B$11))/2,IF((($A319-(Simulador!$E$9+'Salto de dientes'!$B$12))/Simulador!$G$9)&gt;1-Simulador!$B$11,Simulador!$B$10*(1-COS(PI()*(1-(($A319-(Simulador!$E$9+'Salto de dientes'!$B$12))/Simulador!$G$9))/Simulador!$B$11))/2,Simulador!$B$10)))</f>
        <v/>
      </c>
    </row>
    <row r="320">
      <c r="A320" s="26">
        <f>A319+Simulador!$B$14</f>
        <v/>
      </c>
      <c r="B320" s="46">
        <f>IF(OR((($A320-Simulador!$E$5)/Simulador!$G$5)&lt;=0,(($A320-Simulador!$E$5)/Simulador!$G$5)&gt;=1),0,IF((($A320-Simulador!$E$5)/Simulador!$G$5)&lt;Simulador!$B$11,Simulador!$B$9*(1-COS(PI()*(($A320-Simulador!$E$5)/Simulador!$G$5)/Simulador!$B$11))/2,IF((($A320-Simulador!$E$5)/Simulador!$G$5)&gt;1-Simulador!$B$11,Simulador!$B$9*(1-COS(PI()*(1-(($A320-Simulador!$E$5)/Simulador!$G$5))/Simulador!$B$11))/2,Simulador!$B$9)))</f>
        <v/>
      </c>
      <c r="C320" s="46">
        <f>IF(OR((($A320-Simulador!$E$6)/Simulador!$G$6)&lt;=0,(($A320-Simulador!$E$6)/Simulador!$G$6)&gt;=1),0,IF((($A320-Simulador!$E$6)/Simulador!$G$6)&lt;Simulador!$B$11,Simulador!$B$9*(1-COS(PI()*(($A320-Simulador!$E$6)/Simulador!$G$6)/Simulador!$B$11))/2,IF((($A320-Simulador!$E$6)/Simulador!$G$6)&gt;1-Simulador!$B$11,Simulador!$B$9*(1-COS(PI()*(1-(($A320-Simulador!$E$6)/Simulador!$G$6))/Simulador!$B$11))/2,Simulador!$B$9)))</f>
        <v/>
      </c>
      <c r="D320" s="46">
        <f>IF(OR((($A320-Simulador!$E$7)/Simulador!$G$7)&lt;=0,(($A320-Simulador!$E$7)/Simulador!$G$7)&gt;=1),0,IF((($A320-Simulador!$E$7)/Simulador!$G$7)&lt;Simulador!$B$11,Simulador!$B$9*(1-COS(PI()*(($A320-Simulador!$E$7)/Simulador!$G$7)/Simulador!$B$11))/2,IF((($A320-Simulador!$E$7)/Simulador!$G$7)&gt;1-Simulador!$B$11,Simulador!$B$9*(1-COS(PI()*(1-(($A320-Simulador!$E$7)/Simulador!$G$7))/Simulador!$B$11))/2,Simulador!$B$9)))</f>
        <v/>
      </c>
      <c r="E320" s="46">
        <f>IF(OR((($A320-Simulador!$E$8)/Simulador!$G$8)&lt;=0,(($A320-Simulador!$E$8)/Simulador!$G$8)&gt;=1),0,IF((($A320-Simulador!$E$8)/Simulador!$G$8)&lt;Simulador!$B$11,Simulador!$B$10*(1-COS(PI()*(($A320-Simulador!$E$8)/Simulador!$G$8)/Simulador!$B$11))/2,IF((($A320-Simulador!$E$8)/Simulador!$G$8)&gt;1-Simulador!$B$11,Simulador!$B$10*(1-COS(PI()*(1-(($A320-Simulador!$E$8)/Simulador!$G$8))/Simulador!$B$11))/2,Simulador!$B$10)))</f>
        <v/>
      </c>
      <c r="F320" s="46">
        <f>IF(OR((($A320-Simulador!$E$9)/Simulador!$G$9)&lt;=0,(($A320-Simulador!$E$9)/Simulador!$G$9)&gt;=1),0,IF((($A320-Simulador!$E$9)/Simulador!$G$9)&lt;Simulador!$B$11,Simulador!$B$10*(1-COS(PI()*(($A320-Simulador!$E$9)/Simulador!$G$9)/Simulador!$B$11))/2,IF((($A320-Simulador!$E$9)/Simulador!$G$9)&gt;1-Simulador!$B$11,Simulador!$B$10*(1-COS(PI()*(1-(($A320-Simulador!$E$9)/Simulador!$G$9))/Simulador!$B$11))/2,Simulador!$B$10)))</f>
        <v/>
      </c>
      <c r="G320" s="46">
        <f>IF(OR((($A320-Simulador!$E$10)/Simulador!$G$10)&lt;=0,(($A320-Simulador!$E$10)/Simulador!$G$10)&gt;=1),0,IF((($A320-Simulador!$E$10)/Simulador!$G$10)&lt;Simulador!$B$11,Simulador!$B$10*(1-COS(PI()*(($A320-Simulador!$E$10)/Simulador!$G$10)/Simulador!$B$11))/2,IF((($A320-Simulador!$E$10)/Simulador!$G$10)&gt;1-Simulador!$B$11,Simulador!$B$10*(1-COS(PI()*(1-(($A320-Simulador!$E$10)/Simulador!$G$10))/Simulador!$B$11))/2,Simulador!$B$10)))</f>
        <v/>
      </c>
      <c r="Q320" s="48">
        <f>IF(OR((($A320-(Simulador!$E$6+'Salto de dientes'!$B$12))/Simulador!$G$6)&lt;=0,(($A320-(Simulador!$E$6+'Salto de dientes'!$B$12))/Simulador!$G$6)&gt;=1),0,IF((($A320-(Simulador!$E$6+'Salto de dientes'!$B$12))/Simulador!$G$6)&lt;Simulador!$B$11,Simulador!$B$9*(1-COS(PI()*(($A320-(Simulador!$E$6+'Salto de dientes'!$B$12))/Simulador!$G$6)/Simulador!$B$11))/2,IF((($A320-(Simulador!$E$6+'Salto de dientes'!$B$12))/Simulador!$G$6)&gt;1-Simulador!$B$11,Simulador!$B$9*(1-COS(PI()*(1-(($A320-(Simulador!$E$6+'Salto de dientes'!$B$12))/Simulador!$G$6))/Simulador!$B$11))/2,Simulador!$B$9)))</f>
        <v/>
      </c>
      <c r="R320" s="48">
        <f>IF(OR((($A320-(Simulador!$E$9+'Salto de dientes'!$B$12))/Simulador!$G$9)&lt;=0,(($A320-(Simulador!$E$9+'Salto de dientes'!$B$12))/Simulador!$G$9)&gt;=1),0,IF((($A320-(Simulador!$E$9+'Salto de dientes'!$B$12))/Simulador!$G$9)&lt;Simulador!$B$11,Simulador!$B$10*(1-COS(PI()*(($A320-(Simulador!$E$9+'Salto de dientes'!$B$12))/Simulador!$G$9)/Simulador!$B$11))/2,IF((($A320-(Simulador!$E$9+'Salto de dientes'!$B$12))/Simulador!$G$9)&gt;1-Simulador!$B$11,Simulador!$B$10*(1-COS(PI()*(1-(($A320-(Simulador!$E$9+'Salto de dientes'!$B$12))/Simulador!$G$9))/Simulador!$B$11))/2,Simulador!$B$10)))</f>
        <v/>
      </c>
    </row>
    <row r="321">
      <c r="A321" s="26">
        <f>A320+Simulador!$B$14</f>
        <v/>
      </c>
      <c r="B321" s="46">
        <f>IF(OR((($A321-Simulador!$E$5)/Simulador!$G$5)&lt;=0,(($A321-Simulador!$E$5)/Simulador!$G$5)&gt;=1),0,IF((($A321-Simulador!$E$5)/Simulador!$G$5)&lt;Simulador!$B$11,Simulador!$B$9*(1-COS(PI()*(($A321-Simulador!$E$5)/Simulador!$G$5)/Simulador!$B$11))/2,IF((($A321-Simulador!$E$5)/Simulador!$G$5)&gt;1-Simulador!$B$11,Simulador!$B$9*(1-COS(PI()*(1-(($A321-Simulador!$E$5)/Simulador!$G$5))/Simulador!$B$11))/2,Simulador!$B$9)))</f>
        <v/>
      </c>
      <c r="C321" s="46">
        <f>IF(OR((($A321-Simulador!$E$6)/Simulador!$G$6)&lt;=0,(($A321-Simulador!$E$6)/Simulador!$G$6)&gt;=1),0,IF((($A321-Simulador!$E$6)/Simulador!$G$6)&lt;Simulador!$B$11,Simulador!$B$9*(1-COS(PI()*(($A321-Simulador!$E$6)/Simulador!$G$6)/Simulador!$B$11))/2,IF((($A321-Simulador!$E$6)/Simulador!$G$6)&gt;1-Simulador!$B$11,Simulador!$B$9*(1-COS(PI()*(1-(($A321-Simulador!$E$6)/Simulador!$G$6))/Simulador!$B$11))/2,Simulador!$B$9)))</f>
        <v/>
      </c>
      <c r="D321" s="46">
        <f>IF(OR((($A321-Simulador!$E$7)/Simulador!$G$7)&lt;=0,(($A321-Simulador!$E$7)/Simulador!$G$7)&gt;=1),0,IF((($A321-Simulador!$E$7)/Simulador!$G$7)&lt;Simulador!$B$11,Simulador!$B$9*(1-COS(PI()*(($A321-Simulador!$E$7)/Simulador!$G$7)/Simulador!$B$11))/2,IF((($A321-Simulador!$E$7)/Simulador!$G$7)&gt;1-Simulador!$B$11,Simulador!$B$9*(1-COS(PI()*(1-(($A321-Simulador!$E$7)/Simulador!$G$7))/Simulador!$B$11))/2,Simulador!$B$9)))</f>
        <v/>
      </c>
      <c r="E321" s="46">
        <f>IF(OR((($A321-Simulador!$E$8)/Simulador!$G$8)&lt;=0,(($A321-Simulador!$E$8)/Simulador!$G$8)&gt;=1),0,IF((($A321-Simulador!$E$8)/Simulador!$G$8)&lt;Simulador!$B$11,Simulador!$B$10*(1-COS(PI()*(($A321-Simulador!$E$8)/Simulador!$G$8)/Simulador!$B$11))/2,IF((($A321-Simulador!$E$8)/Simulador!$G$8)&gt;1-Simulador!$B$11,Simulador!$B$10*(1-COS(PI()*(1-(($A321-Simulador!$E$8)/Simulador!$G$8))/Simulador!$B$11))/2,Simulador!$B$10)))</f>
        <v/>
      </c>
      <c r="F321" s="46">
        <f>IF(OR((($A321-Simulador!$E$9)/Simulador!$G$9)&lt;=0,(($A321-Simulador!$E$9)/Simulador!$G$9)&gt;=1),0,IF((($A321-Simulador!$E$9)/Simulador!$G$9)&lt;Simulador!$B$11,Simulador!$B$10*(1-COS(PI()*(($A321-Simulador!$E$9)/Simulador!$G$9)/Simulador!$B$11))/2,IF((($A321-Simulador!$E$9)/Simulador!$G$9)&gt;1-Simulador!$B$11,Simulador!$B$10*(1-COS(PI()*(1-(($A321-Simulador!$E$9)/Simulador!$G$9))/Simulador!$B$11))/2,Simulador!$B$10)))</f>
        <v/>
      </c>
      <c r="G321" s="46">
        <f>IF(OR((($A321-Simulador!$E$10)/Simulador!$G$10)&lt;=0,(($A321-Simulador!$E$10)/Simulador!$G$10)&gt;=1),0,IF((($A321-Simulador!$E$10)/Simulador!$G$10)&lt;Simulador!$B$11,Simulador!$B$10*(1-COS(PI()*(($A321-Simulador!$E$10)/Simulador!$G$10)/Simulador!$B$11))/2,IF((($A321-Simulador!$E$10)/Simulador!$G$10)&gt;1-Simulador!$B$11,Simulador!$B$10*(1-COS(PI()*(1-(($A321-Simulador!$E$10)/Simulador!$G$10))/Simulador!$B$11))/2,Simulador!$B$10)))</f>
        <v/>
      </c>
      <c r="Q321" s="48">
        <f>IF(OR((($A321-(Simulador!$E$6+'Salto de dientes'!$B$12))/Simulador!$G$6)&lt;=0,(($A321-(Simulador!$E$6+'Salto de dientes'!$B$12))/Simulador!$G$6)&gt;=1),0,IF((($A321-(Simulador!$E$6+'Salto de dientes'!$B$12))/Simulador!$G$6)&lt;Simulador!$B$11,Simulador!$B$9*(1-COS(PI()*(($A321-(Simulador!$E$6+'Salto de dientes'!$B$12))/Simulador!$G$6)/Simulador!$B$11))/2,IF((($A321-(Simulador!$E$6+'Salto de dientes'!$B$12))/Simulador!$G$6)&gt;1-Simulador!$B$11,Simulador!$B$9*(1-COS(PI()*(1-(($A321-(Simulador!$E$6+'Salto de dientes'!$B$12))/Simulador!$G$6))/Simulador!$B$11))/2,Simulador!$B$9)))</f>
        <v/>
      </c>
      <c r="R321" s="48">
        <f>IF(OR((($A321-(Simulador!$E$9+'Salto de dientes'!$B$12))/Simulador!$G$9)&lt;=0,(($A321-(Simulador!$E$9+'Salto de dientes'!$B$12))/Simulador!$G$9)&gt;=1),0,IF((($A321-(Simulador!$E$9+'Salto de dientes'!$B$12))/Simulador!$G$9)&lt;Simulador!$B$11,Simulador!$B$10*(1-COS(PI()*(($A321-(Simulador!$E$9+'Salto de dientes'!$B$12))/Simulador!$G$9)/Simulador!$B$11))/2,IF((($A321-(Simulador!$E$9+'Salto de dientes'!$B$12))/Simulador!$G$9)&gt;1-Simulador!$B$11,Simulador!$B$10*(1-COS(PI()*(1-(($A321-(Simulador!$E$9+'Salto de dientes'!$B$12))/Simulador!$G$9))/Simulador!$B$11))/2,Simulador!$B$10)))</f>
        <v/>
      </c>
    </row>
    <row r="322">
      <c r="A322" s="26">
        <f>A321+Simulador!$B$14</f>
        <v/>
      </c>
      <c r="B322" s="46">
        <f>IF(OR((($A322-Simulador!$E$5)/Simulador!$G$5)&lt;=0,(($A322-Simulador!$E$5)/Simulador!$G$5)&gt;=1),0,IF((($A322-Simulador!$E$5)/Simulador!$G$5)&lt;Simulador!$B$11,Simulador!$B$9*(1-COS(PI()*(($A322-Simulador!$E$5)/Simulador!$G$5)/Simulador!$B$11))/2,IF((($A322-Simulador!$E$5)/Simulador!$G$5)&gt;1-Simulador!$B$11,Simulador!$B$9*(1-COS(PI()*(1-(($A322-Simulador!$E$5)/Simulador!$G$5))/Simulador!$B$11))/2,Simulador!$B$9)))</f>
        <v/>
      </c>
      <c r="C322" s="46">
        <f>IF(OR((($A322-Simulador!$E$6)/Simulador!$G$6)&lt;=0,(($A322-Simulador!$E$6)/Simulador!$G$6)&gt;=1),0,IF((($A322-Simulador!$E$6)/Simulador!$G$6)&lt;Simulador!$B$11,Simulador!$B$9*(1-COS(PI()*(($A322-Simulador!$E$6)/Simulador!$G$6)/Simulador!$B$11))/2,IF((($A322-Simulador!$E$6)/Simulador!$G$6)&gt;1-Simulador!$B$11,Simulador!$B$9*(1-COS(PI()*(1-(($A322-Simulador!$E$6)/Simulador!$G$6))/Simulador!$B$11))/2,Simulador!$B$9)))</f>
        <v/>
      </c>
      <c r="D322" s="46">
        <f>IF(OR((($A322-Simulador!$E$7)/Simulador!$G$7)&lt;=0,(($A322-Simulador!$E$7)/Simulador!$G$7)&gt;=1),0,IF((($A322-Simulador!$E$7)/Simulador!$G$7)&lt;Simulador!$B$11,Simulador!$B$9*(1-COS(PI()*(($A322-Simulador!$E$7)/Simulador!$G$7)/Simulador!$B$11))/2,IF((($A322-Simulador!$E$7)/Simulador!$G$7)&gt;1-Simulador!$B$11,Simulador!$B$9*(1-COS(PI()*(1-(($A322-Simulador!$E$7)/Simulador!$G$7))/Simulador!$B$11))/2,Simulador!$B$9)))</f>
        <v/>
      </c>
      <c r="E322" s="46">
        <f>IF(OR((($A322-Simulador!$E$8)/Simulador!$G$8)&lt;=0,(($A322-Simulador!$E$8)/Simulador!$G$8)&gt;=1),0,IF((($A322-Simulador!$E$8)/Simulador!$G$8)&lt;Simulador!$B$11,Simulador!$B$10*(1-COS(PI()*(($A322-Simulador!$E$8)/Simulador!$G$8)/Simulador!$B$11))/2,IF((($A322-Simulador!$E$8)/Simulador!$G$8)&gt;1-Simulador!$B$11,Simulador!$B$10*(1-COS(PI()*(1-(($A322-Simulador!$E$8)/Simulador!$G$8))/Simulador!$B$11))/2,Simulador!$B$10)))</f>
        <v/>
      </c>
      <c r="F322" s="46">
        <f>IF(OR((($A322-Simulador!$E$9)/Simulador!$G$9)&lt;=0,(($A322-Simulador!$E$9)/Simulador!$G$9)&gt;=1),0,IF((($A322-Simulador!$E$9)/Simulador!$G$9)&lt;Simulador!$B$11,Simulador!$B$10*(1-COS(PI()*(($A322-Simulador!$E$9)/Simulador!$G$9)/Simulador!$B$11))/2,IF((($A322-Simulador!$E$9)/Simulador!$G$9)&gt;1-Simulador!$B$11,Simulador!$B$10*(1-COS(PI()*(1-(($A322-Simulador!$E$9)/Simulador!$G$9))/Simulador!$B$11))/2,Simulador!$B$10)))</f>
        <v/>
      </c>
      <c r="G322" s="46">
        <f>IF(OR((($A322-Simulador!$E$10)/Simulador!$G$10)&lt;=0,(($A322-Simulador!$E$10)/Simulador!$G$10)&gt;=1),0,IF((($A322-Simulador!$E$10)/Simulador!$G$10)&lt;Simulador!$B$11,Simulador!$B$10*(1-COS(PI()*(($A322-Simulador!$E$10)/Simulador!$G$10)/Simulador!$B$11))/2,IF((($A322-Simulador!$E$10)/Simulador!$G$10)&gt;1-Simulador!$B$11,Simulador!$B$10*(1-COS(PI()*(1-(($A322-Simulador!$E$10)/Simulador!$G$10))/Simulador!$B$11))/2,Simulador!$B$10)))</f>
        <v/>
      </c>
      <c r="Q322" s="48">
        <f>IF(OR((($A322-(Simulador!$E$6+'Salto de dientes'!$B$12))/Simulador!$G$6)&lt;=0,(($A322-(Simulador!$E$6+'Salto de dientes'!$B$12))/Simulador!$G$6)&gt;=1),0,IF((($A322-(Simulador!$E$6+'Salto de dientes'!$B$12))/Simulador!$G$6)&lt;Simulador!$B$11,Simulador!$B$9*(1-COS(PI()*(($A322-(Simulador!$E$6+'Salto de dientes'!$B$12))/Simulador!$G$6)/Simulador!$B$11))/2,IF((($A322-(Simulador!$E$6+'Salto de dientes'!$B$12))/Simulador!$G$6)&gt;1-Simulador!$B$11,Simulador!$B$9*(1-COS(PI()*(1-(($A322-(Simulador!$E$6+'Salto de dientes'!$B$12))/Simulador!$G$6))/Simulador!$B$11))/2,Simulador!$B$9)))</f>
        <v/>
      </c>
      <c r="R322" s="48">
        <f>IF(OR((($A322-(Simulador!$E$9+'Salto de dientes'!$B$12))/Simulador!$G$9)&lt;=0,(($A322-(Simulador!$E$9+'Salto de dientes'!$B$12))/Simulador!$G$9)&gt;=1),0,IF((($A322-(Simulador!$E$9+'Salto de dientes'!$B$12))/Simulador!$G$9)&lt;Simulador!$B$11,Simulador!$B$10*(1-COS(PI()*(($A322-(Simulador!$E$9+'Salto de dientes'!$B$12))/Simulador!$G$9)/Simulador!$B$11))/2,IF((($A322-(Simulador!$E$9+'Salto de dientes'!$B$12))/Simulador!$G$9)&gt;1-Simulador!$B$11,Simulador!$B$10*(1-COS(PI()*(1-(($A322-(Simulador!$E$9+'Salto de dientes'!$B$12))/Simulador!$G$9))/Simulador!$B$11))/2,Simulador!$B$10)))</f>
        <v/>
      </c>
    </row>
    <row r="323">
      <c r="A323" s="26">
        <f>A322+Simulador!$B$14</f>
        <v/>
      </c>
      <c r="B323" s="46">
        <f>IF(OR((($A323-Simulador!$E$5)/Simulador!$G$5)&lt;=0,(($A323-Simulador!$E$5)/Simulador!$G$5)&gt;=1),0,IF((($A323-Simulador!$E$5)/Simulador!$G$5)&lt;Simulador!$B$11,Simulador!$B$9*(1-COS(PI()*(($A323-Simulador!$E$5)/Simulador!$G$5)/Simulador!$B$11))/2,IF((($A323-Simulador!$E$5)/Simulador!$G$5)&gt;1-Simulador!$B$11,Simulador!$B$9*(1-COS(PI()*(1-(($A323-Simulador!$E$5)/Simulador!$G$5))/Simulador!$B$11))/2,Simulador!$B$9)))</f>
        <v/>
      </c>
      <c r="C323" s="46">
        <f>IF(OR((($A323-Simulador!$E$6)/Simulador!$G$6)&lt;=0,(($A323-Simulador!$E$6)/Simulador!$G$6)&gt;=1),0,IF((($A323-Simulador!$E$6)/Simulador!$G$6)&lt;Simulador!$B$11,Simulador!$B$9*(1-COS(PI()*(($A323-Simulador!$E$6)/Simulador!$G$6)/Simulador!$B$11))/2,IF((($A323-Simulador!$E$6)/Simulador!$G$6)&gt;1-Simulador!$B$11,Simulador!$B$9*(1-COS(PI()*(1-(($A323-Simulador!$E$6)/Simulador!$G$6))/Simulador!$B$11))/2,Simulador!$B$9)))</f>
        <v/>
      </c>
      <c r="D323" s="46">
        <f>IF(OR((($A323-Simulador!$E$7)/Simulador!$G$7)&lt;=0,(($A323-Simulador!$E$7)/Simulador!$G$7)&gt;=1),0,IF((($A323-Simulador!$E$7)/Simulador!$G$7)&lt;Simulador!$B$11,Simulador!$B$9*(1-COS(PI()*(($A323-Simulador!$E$7)/Simulador!$G$7)/Simulador!$B$11))/2,IF((($A323-Simulador!$E$7)/Simulador!$G$7)&gt;1-Simulador!$B$11,Simulador!$B$9*(1-COS(PI()*(1-(($A323-Simulador!$E$7)/Simulador!$G$7))/Simulador!$B$11))/2,Simulador!$B$9)))</f>
        <v/>
      </c>
      <c r="E323" s="46">
        <f>IF(OR((($A323-Simulador!$E$8)/Simulador!$G$8)&lt;=0,(($A323-Simulador!$E$8)/Simulador!$G$8)&gt;=1),0,IF((($A323-Simulador!$E$8)/Simulador!$G$8)&lt;Simulador!$B$11,Simulador!$B$10*(1-COS(PI()*(($A323-Simulador!$E$8)/Simulador!$G$8)/Simulador!$B$11))/2,IF((($A323-Simulador!$E$8)/Simulador!$G$8)&gt;1-Simulador!$B$11,Simulador!$B$10*(1-COS(PI()*(1-(($A323-Simulador!$E$8)/Simulador!$G$8))/Simulador!$B$11))/2,Simulador!$B$10)))</f>
        <v/>
      </c>
      <c r="F323" s="46">
        <f>IF(OR((($A323-Simulador!$E$9)/Simulador!$G$9)&lt;=0,(($A323-Simulador!$E$9)/Simulador!$G$9)&gt;=1),0,IF((($A323-Simulador!$E$9)/Simulador!$G$9)&lt;Simulador!$B$11,Simulador!$B$10*(1-COS(PI()*(($A323-Simulador!$E$9)/Simulador!$G$9)/Simulador!$B$11))/2,IF((($A323-Simulador!$E$9)/Simulador!$G$9)&gt;1-Simulador!$B$11,Simulador!$B$10*(1-COS(PI()*(1-(($A323-Simulador!$E$9)/Simulador!$G$9))/Simulador!$B$11))/2,Simulador!$B$10)))</f>
        <v/>
      </c>
      <c r="G323" s="46">
        <f>IF(OR((($A323-Simulador!$E$10)/Simulador!$G$10)&lt;=0,(($A323-Simulador!$E$10)/Simulador!$G$10)&gt;=1),0,IF((($A323-Simulador!$E$10)/Simulador!$G$10)&lt;Simulador!$B$11,Simulador!$B$10*(1-COS(PI()*(($A323-Simulador!$E$10)/Simulador!$G$10)/Simulador!$B$11))/2,IF((($A323-Simulador!$E$10)/Simulador!$G$10)&gt;1-Simulador!$B$11,Simulador!$B$10*(1-COS(PI()*(1-(($A323-Simulador!$E$10)/Simulador!$G$10))/Simulador!$B$11))/2,Simulador!$B$10)))</f>
        <v/>
      </c>
      <c r="Q323" s="48">
        <f>IF(OR((($A323-(Simulador!$E$6+'Salto de dientes'!$B$12))/Simulador!$G$6)&lt;=0,(($A323-(Simulador!$E$6+'Salto de dientes'!$B$12))/Simulador!$G$6)&gt;=1),0,IF((($A323-(Simulador!$E$6+'Salto de dientes'!$B$12))/Simulador!$G$6)&lt;Simulador!$B$11,Simulador!$B$9*(1-COS(PI()*(($A323-(Simulador!$E$6+'Salto de dientes'!$B$12))/Simulador!$G$6)/Simulador!$B$11))/2,IF((($A323-(Simulador!$E$6+'Salto de dientes'!$B$12))/Simulador!$G$6)&gt;1-Simulador!$B$11,Simulador!$B$9*(1-COS(PI()*(1-(($A323-(Simulador!$E$6+'Salto de dientes'!$B$12))/Simulador!$G$6))/Simulador!$B$11))/2,Simulador!$B$9)))</f>
        <v/>
      </c>
      <c r="R323" s="48">
        <f>IF(OR((($A323-(Simulador!$E$9+'Salto de dientes'!$B$12))/Simulador!$G$9)&lt;=0,(($A323-(Simulador!$E$9+'Salto de dientes'!$B$12))/Simulador!$G$9)&gt;=1),0,IF((($A323-(Simulador!$E$9+'Salto de dientes'!$B$12))/Simulador!$G$9)&lt;Simulador!$B$11,Simulador!$B$10*(1-COS(PI()*(($A323-(Simulador!$E$9+'Salto de dientes'!$B$12))/Simulador!$G$9)/Simulador!$B$11))/2,IF((($A323-(Simulador!$E$9+'Salto de dientes'!$B$12))/Simulador!$G$9)&gt;1-Simulador!$B$11,Simulador!$B$10*(1-COS(PI()*(1-(($A323-(Simulador!$E$9+'Salto de dientes'!$B$12))/Simulador!$G$9))/Simulador!$B$11))/2,Simulador!$B$10)))</f>
        <v/>
      </c>
    </row>
    <row r="324">
      <c r="A324" s="26">
        <f>A323+Simulador!$B$14</f>
        <v/>
      </c>
      <c r="B324" s="46">
        <f>IF(OR((($A324-Simulador!$E$5)/Simulador!$G$5)&lt;=0,(($A324-Simulador!$E$5)/Simulador!$G$5)&gt;=1),0,IF((($A324-Simulador!$E$5)/Simulador!$G$5)&lt;Simulador!$B$11,Simulador!$B$9*(1-COS(PI()*(($A324-Simulador!$E$5)/Simulador!$G$5)/Simulador!$B$11))/2,IF((($A324-Simulador!$E$5)/Simulador!$G$5)&gt;1-Simulador!$B$11,Simulador!$B$9*(1-COS(PI()*(1-(($A324-Simulador!$E$5)/Simulador!$G$5))/Simulador!$B$11))/2,Simulador!$B$9)))</f>
        <v/>
      </c>
      <c r="C324" s="46">
        <f>IF(OR((($A324-Simulador!$E$6)/Simulador!$G$6)&lt;=0,(($A324-Simulador!$E$6)/Simulador!$G$6)&gt;=1),0,IF((($A324-Simulador!$E$6)/Simulador!$G$6)&lt;Simulador!$B$11,Simulador!$B$9*(1-COS(PI()*(($A324-Simulador!$E$6)/Simulador!$G$6)/Simulador!$B$11))/2,IF((($A324-Simulador!$E$6)/Simulador!$G$6)&gt;1-Simulador!$B$11,Simulador!$B$9*(1-COS(PI()*(1-(($A324-Simulador!$E$6)/Simulador!$G$6))/Simulador!$B$11))/2,Simulador!$B$9)))</f>
        <v/>
      </c>
      <c r="D324" s="46">
        <f>IF(OR((($A324-Simulador!$E$7)/Simulador!$G$7)&lt;=0,(($A324-Simulador!$E$7)/Simulador!$G$7)&gt;=1),0,IF((($A324-Simulador!$E$7)/Simulador!$G$7)&lt;Simulador!$B$11,Simulador!$B$9*(1-COS(PI()*(($A324-Simulador!$E$7)/Simulador!$G$7)/Simulador!$B$11))/2,IF((($A324-Simulador!$E$7)/Simulador!$G$7)&gt;1-Simulador!$B$11,Simulador!$B$9*(1-COS(PI()*(1-(($A324-Simulador!$E$7)/Simulador!$G$7))/Simulador!$B$11))/2,Simulador!$B$9)))</f>
        <v/>
      </c>
      <c r="E324" s="46">
        <f>IF(OR((($A324-Simulador!$E$8)/Simulador!$G$8)&lt;=0,(($A324-Simulador!$E$8)/Simulador!$G$8)&gt;=1),0,IF((($A324-Simulador!$E$8)/Simulador!$G$8)&lt;Simulador!$B$11,Simulador!$B$10*(1-COS(PI()*(($A324-Simulador!$E$8)/Simulador!$G$8)/Simulador!$B$11))/2,IF((($A324-Simulador!$E$8)/Simulador!$G$8)&gt;1-Simulador!$B$11,Simulador!$B$10*(1-COS(PI()*(1-(($A324-Simulador!$E$8)/Simulador!$G$8))/Simulador!$B$11))/2,Simulador!$B$10)))</f>
        <v/>
      </c>
      <c r="F324" s="46">
        <f>IF(OR((($A324-Simulador!$E$9)/Simulador!$G$9)&lt;=0,(($A324-Simulador!$E$9)/Simulador!$G$9)&gt;=1),0,IF((($A324-Simulador!$E$9)/Simulador!$G$9)&lt;Simulador!$B$11,Simulador!$B$10*(1-COS(PI()*(($A324-Simulador!$E$9)/Simulador!$G$9)/Simulador!$B$11))/2,IF((($A324-Simulador!$E$9)/Simulador!$G$9)&gt;1-Simulador!$B$11,Simulador!$B$10*(1-COS(PI()*(1-(($A324-Simulador!$E$9)/Simulador!$G$9))/Simulador!$B$11))/2,Simulador!$B$10)))</f>
        <v/>
      </c>
      <c r="G324" s="46">
        <f>IF(OR((($A324-Simulador!$E$10)/Simulador!$G$10)&lt;=0,(($A324-Simulador!$E$10)/Simulador!$G$10)&gt;=1),0,IF((($A324-Simulador!$E$10)/Simulador!$G$10)&lt;Simulador!$B$11,Simulador!$B$10*(1-COS(PI()*(($A324-Simulador!$E$10)/Simulador!$G$10)/Simulador!$B$11))/2,IF((($A324-Simulador!$E$10)/Simulador!$G$10)&gt;1-Simulador!$B$11,Simulador!$B$10*(1-COS(PI()*(1-(($A324-Simulador!$E$10)/Simulador!$G$10))/Simulador!$B$11))/2,Simulador!$B$10)))</f>
        <v/>
      </c>
      <c r="Q324" s="48">
        <f>IF(OR((($A324-(Simulador!$E$6+'Salto de dientes'!$B$12))/Simulador!$G$6)&lt;=0,(($A324-(Simulador!$E$6+'Salto de dientes'!$B$12))/Simulador!$G$6)&gt;=1),0,IF((($A324-(Simulador!$E$6+'Salto de dientes'!$B$12))/Simulador!$G$6)&lt;Simulador!$B$11,Simulador!$B$9*(1-COS(PI()*(($A324-(Simulador!$E$6+'Salto de dientes'!$B$12))/Simulador!$G$6)/Simulador!$B$11))/2,IF((($A324-(Simulador!$E$6+'Salto de dientes'!$B$12))/Simulador!$G$6)&gt;1-Simulador!$B$11,Simulador!$B$9*(1-COS(PI()*(1-(($A324-(Simulador!$E$6+'Salto de dientes'!$B$12))/Simulador!$G$6))/Simulador!$B$11))/2,Simulador!$B$9)))</f>
        <v/>
      </c>
      <c r="R324" s="48">
        <f>IF(OR((($A324-(Simulador!$E$9+'Salto de dientes'!$B$12))/Simulador!$G$9)&lt;=0,(($A324-(Simulador!$E$9+'Salto de dientes'!$B$12))/Simulador!$G$9)&gt;=1),0,IF((($A324-(Simulador!$E$9+'Salto de dientes'!$B$12))/Simulador!$G$9)&lt;Simulador!$B$11,Simulador!$B$10*(1-COS(PI()*(($A324-(Simulador!$E$9+'Salto de dientes'!$B$12))/Simulador!$G$9)/Simulador!$B$11))/2,IF((($A324-(Simulador!$E$9+'Salto de dientes'!$B$12))/Simulador!$G$9)&gt;1-Simulador!$B$11,Simulador!$B$10*(1-COS(PI()*(1-(($A324-(Simulador!$E$9+'Salto de dientes'!$B$12))/Simulador!$G$9))/Simulador!$B$11))/2,Simulador!$B$10)))</f>
        <v/>
      </c>
    </row>
    <row r="325">
      <c r="A325" s="26">
        <f>A324+Simulador!$B$14</f>
        <v/>
      </c>
      <c r="B325" s="46">
        <f>IF(OR((($A325-Simulador!$E$5)/Simulador!$G$5)&lt;=0,(($A325-Simulador!$E$5)/Simulador!$G$5)&gt;=1),0,IF((($A325-Simulador!$E$5)/Simulador!$G$5)&lt;Simulador!$B$11,Simulador!$B$9*(1-COS(PI()*(($A325-Simulador!$E$5)/Simulador!$G$5)/Simulador!$B$11))/2,IF((($A325-Simulador!$E$5)/Simulador!$G$5)&gt;1-Simulador!$B$11,Simulador!$B$9*(1-COS(PI()*(1-(($A325-Simulador!$E$5)/Simulador!$G$5))/Simulador!$B$11))/2,Simulador!$B$9)))</f>
        <v/>
      </c>
      <c r="C325" s="46">
        <f>IF(OR((($A325-Simulador!$E$6)/Simulador!$G$6)&lt;=0,(($A325-Simulador!$E$6)/Simulador!$G$6)&gt;=1),0,IF((($A325-Simulador!$E$6)/Simulador!$G$6)&lt;Simulador!$B$11,Simulador!$B$9*(1-COS(PI()*(($A325-Simulador!$E$6)/Simulador!$G$6)/Simulador!$B$11))/2,IF((($A325-Simulador!$E$6)/Simulador!$G$6)&gt;1-Simulador!$B$11,Simulador!$B$9*(1-COS(PI()*(1-(($A325-Simulador!$E$6)/Simulador!$G$6))/Simulador!$B$11))/2,Simulador!$B$9)))</f>
        <v/>
      </c>
      <c r="D325" s="46">
        <f>IF(OR((($A325-Simulador!$E$7)/Simulador!$G$7)&lt;=0,(($A325-Simulador!$E$7)/Simulador!$G$7)&gt;=1),0,IF((($A325-Simulador!$E$7)/Simulador!$G$7)&lt;Simulador!$B$11,Simulador!$B$9*(1-COS(PI()*(($A325-Simulador!$E$7)/Simulador!$G$7)/Simulador!$B$11))/2,IF((($A325-Simulador!$E$7)/Simulador!$G$7)&gt;1-Simulador!$B$11,Simulador!$B$9*(1-COS(PI()*(1-(($A325-Simulador!$E$7)/Simulador!$G$7))/Simulador!$B$11))/2,Simulador!$B$9)))</f>
        <v/>
      </c>
      <c r="E325" s="46">
        <f>IF(OR((($A325-Simulador!$E$8)/Simulador!$G$8)&lt;=0,(($A325-Simulador!$E$8)/Simulador!$G$8)&gt;=1),0,IF((($A325-Simulador!$E$8)/Simulador!$G$8)&lt;Simulador!$B$11,Simulador!$B$10*(1-COS(PI()*(($A325-Simulador!$E$8)/Simulador!$G$8)/Simulador!$B$11))/2,IF((($A325-Simulador!$E$8)/Simulador!$G$8)&gt;1-Simulador!$B$11,Simulador!$B$10*(1-COS(PI()*(1-(($A325-Simulador!$E$8)/Simulador!$G$8))/Simulador!$B$11))/2,Simulador!$B$10)))</f>
        <v/>
      </c>
      <c r="F325" s="46">
        <f>IF(OR((($A325-Simulador!$E$9)/Simulador!$G$9)&lt;=0,(($A325-Simulador!$E$9)/Simulador!$G$9)&gt;=1),0,IF((($A325-Simulador!$E$9)/Simulador!$G$9)&lt;Simulador!$B$11,Simulador!$B$10*(1-COS(PI()*(($A325-Simulador!$E$9)/Simulador!$G$9)/Simulador!$B$11))/2,IF((($A325-Simulador!$E$9)/Simulador!$G$9)&gt;1-Simulador!$B$11,Simulador!$B$10*(1-COS(PI()*(1-(($A325-Simulador!$E$9)/Simulador!$G$9))/Simulador!$B$11))/2,Simulador!$B$10)))</f>
        <v/>
      </c>
      <c r="G325" s="46">
        <f>IF(OR((($A325-Simulador!$E$10)/Simulador!$G$10)&lt;=0,(($A325-Simulador!$E$10)/Simulador!$G$10)&gt;=1),0,IF((($A325-Simulador!$E$10)/Simulador!$G$10)&lt;Simulador!$B$11,Simulador!$B$10*(1-COS(PI()*(($A325-Simulador!$E$10)/Simulador!$G$10)/Simulador!$B$11))/2,IF((($A325-Simulador!$E$10)/Simulador!$G$10)&gt;1-Simulador!$B$11,Simulador!$B$10*(1-COS(PI()*(1-(($A325-Simulador!$E$10)/Simulador!$G$10))/Simulador!$B$11))/2,Simulador!$B$10)))</f>
        <v/>
      </c>
      <c r="Q325" s="48">
        <f>IF(OR((($A325-(Simulador!$E$6+'Salto de dientes'!$B$12))/Simulador!$G$6)&lt;=0,(($A325-(Simulador!$E$6+'Salto de dientes'!$B$12))/Simulador!$G$6)&gt;=1),0,IF((($A325-(Simulador!$E$6+'Salto de dientes'!$B$12))/Simulador!$G$6)&lt;Simulador!$B$11,Simulador!$B$9*(1-COS(PI()*(($A325-(Simulador!$E$6+'Salto de dientes'!$B$12))/Simulador!$G$6)/Simulador!$B$11))/2,IF((($A325-(Simulador!$E$6+'Salto de dientes'!$B$12))/Simulador!$G$6)&gt;1-Simulador!$B$11,Simulador!$B$9*(1-COS(PI()*(1-(($A325-(Simulador!$E$6+'Salto de dientes'!$B$12))/Simulador!$G$6))/Simulador!$B$11))/2,Simulador!$B$9)))</f>
        <v/>
      </c>
      <c r="R325" s="48">
        <f>IF(OR((($A325-(Simulador!$E$9+'Salto de dientes'!$B$12))/Simulador!$G$9)&lt;=0,(($A325-(Simulador!$E$9+'Salto de dientes'!$B$12))/Simulador!$G$9)&gt;=1),0,IF((($A325-(Simulador!$E$9+'Salto de dientes'!$B$12))/Simulador!$G$9)&lt;Simulador!$B$11,Simulador!$B$10*(1-COS(PI()*(($A325-(Simulador!$E$9+'Salto de dientes'!$B$12))/Simulador!$G$9)/Simulador!$B$11))/2,IF((($A325-(Simulador!$E$9+'Salto de dientes'!$B$12))/Simulador!$G$9)&gt;1-Simulador!$B$11,Simulador!$B$10*(1-COS(PI()*(1-(($A325-(Simulador!$E$9+'Salto de dientes'!$B$12))/Simulador!$G$9))/Simulador!$B$11))/2,Simulador!$B$10)))</f>
        <v/>
      </c>
    </row>
    <row r="326">
      <c r="A326" s="26">
        <f>A325+Simulador!$B$14</f>
        <v/>
      </c>
      <c r="B326" s="46">
        <f>IF(OR((($A326-Simulador!$E$5)/Simulador!$G$5)&lt;=0,(($A326-Simulador!$E$5)/Simulador!$G$5)&gt;=1),0,IF((($A326-Simulador!$E$5)/Simulador!$G$5)&lt;Simulador!$B$11,Simulador!$B$9*(1-COS(PI()*(($A326-Simulador!$E$5)/Simulador!$G$5)/Simulador!$B$11))/2,IF((($A326-Simulador!$E$5)/Simulador!$G$5)&gt;1-Simulador!$B$11,Simulador!$B$9*(1-COS(PI()*(1-(($A326-Simulador!$E$5)/Simulador!$G$5))/Simulador!$B$11))/2,Simulador!$B$9)))</f>
        <v/>
      </c>
      <c r="C326" s="46">
        <f>IF(OR((($A326-Simulador!$E$6)/Simulador!$G$6)&lt;=0,(($A326-Simulador!$E$6)/Simulador!$G$6)&gt;=1),0,IF((($A326-Simulador!$E$6)/Simulador!$G$6)&lt;Simulador!$B$11,Simulador!$B$9*(1-COS(PI()*(($A326-Simulador!$E$6)/Simulador!$G$6)/Simulador!$B$11))/2,IF((($A326-Simulador!$E$6)/Simulador!$G$6)&gt;1-Simulador!$B$11,Simulador!$B$9*(1-COS(PI()*(1-(($A326-Simulador!$E$6)/Simulador!$G$6))/Simulador!$B$11))/2,Simulador!$B$9)))</f>
        <v/>
      </c>
      <c r="D326" s="46">
        <f>IF(OR((($A326-Simulador!$E$7)/Simulador!$G$7)&lt;=0,(($A326-Simulador!$E$7)/Simulador!$G$7)&gt;=1),0,IF((($A326-Simulador!$E$7)/Simulador!$G$7)&lt;Simulador!$B$11,Simulador!$B$9*(1-COS(PI()*(($A326-Simulador!$E$7)/Simulador!$G$7)/Simulador!$B$11))/2,IF((($A326-Simulador!$E$7)/Simulador!$G$7)&gt;1-Simulador!$B$11,Simulador!$B$9*(1-COS(PI()*(1-(($A326-Simulador!$E$7)/Simulador!$G$7))/Simulador!$B$11))/2,Simulador!$B$9)))</f>
        <v/>
      </c>
      <c r="E326" s="46">
        <f>IF(OR((($A326-Simulador!$E$8)/Simulador!$G$8)&lt;=0,(($A326-Simulador!$E$8)/Simulador!$G$8)&gt;=1),0,IF((($A326-Simulador!$E$8)/Simulador!$G$8)&lt;Simulador!$B$11,Simulador!$B$10*(1-COS(PI()*(($A326-Simulador!$E$8)/Simulador!$G$8)/Simulador!$B$11))/2,IF((($A326-Simulador!$E$8)/Simulador!$G$8)&gt;1-Simulador!$B$11,Simulador!$B$10*(1-COS(PI()*(1-(($A326-Simulador!$E$8)/Simulador!$G$8))/Simulador!$B$11))/2,Simulador!$B$10)))</f>
        <v/>
      </c>
      <c r="F326" s="46">
        <f>IF(OR((($A326-Simulador!$E$9)/Simulador!$G$9)&lt;=0,(($A326-Simulador!$E$9)/Simulador!$G$9)&gt;=1),0,IF((($A326-Simulador!$E$9)/Simulador!$G$9)&lt;Simulador!$B$11,Simulador!$B$10*(1-COS(PI()*(($A326-Simulador!$E$9)/Simulador!$G$9)/Simulador!$B$11))/2,IF((($A326-Simulador!$E$9)/Simulador!$G$9)&gt;1-Simulador!$B$11,Simulador!$B$10*(1-COS(PI()*(1-(($A326-Simulador!$E$9)/Simulador!$G$9))/Simulador!$B$11))/2,Simulador!$B$10)))</f>
        <v/>
      </c>
      <c r="G326" s="46">
        <f>IF(OR((($A326-Simulador!$E$10)/Simulador!$G$10)&lt;=0,(($A326-Simulador!$E$10)/Simulador!$G$10)&gt;=1),0,IF((($A326-Simulador!$E$10)/Simulador!$G$10)&lt;Simulador!$B$11,Simulador!$B$10*(1-COS(PI()*(($A326-Simulador!$E$10)/Simulador!$G$10)/Simulador!$B$11))/2,IF((($A326-Simulador!$E$10)/Simulador!$G$10)&gt;1-Simulador!$B$11,Simulador!$B$10*(1-COS(PI()*(1-(($A326-Simulador!$E$10)/Simulador!$G$10))/Simulador!$B$11))/2,Simulador!$B$10)))</f>
        <v/>
      </c>
      <c r="Q326" s="48">
        <f>IF(OR((($A326-(Simulador!$E$6+'Salto de dientes'!$B$12))/Simulador!$G$6)&lt;=0,(($A326-(Simulador!$E$6+'Salto de dientes'!$B$12))/Simulador!$G$6)&gt;=1),0,IF((($A326-(Simulador!$E$6+'Salto de dientes'!$B$12))/Simulador!$G$6)&lt;Simulador!$B$11,Simulador!$B$9*(1-COS(PI()*(($A326-(Simulador!$E$6+'Salto de dientes'!$B$12))/Simulador!$G$6)/Simulador!$B$11))/2,IF((($A326-(Simulador!$E$6+'Salto de dientes'!$B$12))/Simulador!$G$6)&gt;1-Simulador!$B$11,Simulador!$B$9*(1-COS(PI()*(1-(($A326-(Simulador!$E$6+'Salto de dientes'!$B$12))/Simulador!$G$6))/Simulador!$B$11))/2,Simulador!$B$9)))</f>
        <v/>
      </c>
      <c r="R326" s="48">
        <f>IF(OR((($A326-(Simulador!$E$9+'Salto de dientes'!$B$12))/Simulador!$G$9)&lt;=0,(($A326-(Simulador!$E$9+'Salto de dientes'!$B$12))/Simulador!$G$9)&gt;=1),0,IF((($A326-(Simulador!$E$9+'Salto de dientes'!$B$12))/Simulador!$G$9)&lt;Simulador!$B$11,Simulador!$B$10*(1-COS(PI()*(($A326-(Simulador!$E$9+'Salto de dientes'!$B$12))/Simulador!$G$9)/Simulador!$B$11))/2,IF((($A326-(Simulador!$E$9+'Salto de dientes'!$B$12))/Simulador!$G$9)&gt;1-Simulador!$B$11,Simulador!$B$10*(1-COS(PI()*(1-(($A326-(Simulador!$E$9+'Salto de dientes'!$B$12))/Simulador!$G$9))/Simulador!$B$11))/2,Simulador!$B$10)))</f>
        <v/>
      </c>
    </row>
    <row r="327">
      <c r="A327" s="26">
        <f>A326+Simulador!$B$14</f>
        <v/>
      </c>
      <c r="B327" s="46">
        <f>IF(OR((($A327-Simulador!$E$5)/Simulador!$G$5)&lt;=0,(($A327-Simulador!$E$5)/Simulador!$G$5)&gt;=1),0,IF((($A327-Simulador!$E$5)/Simulador!$G$5)&lt;Simulador!$B$11,Simulador!$B$9*(1-COS(PI()*(($A327-Simulador!$E$5)/Simulador!$G$5)/Simulador!$B$11))/2,IF((($A327-Simulador!$E$5)/Simulador!$G$5)&gt;1-Simulador!$B$11,Simulador!$B$9*(1-COS(PI()*(1-(($A327-Simulador!$E$5)/Simulador!$G$5))/Simulador!$B$11))/2,Simulador!$B$9)))</f>
        <v/>
      </c>
      <c r="C327" s="46">
        <f>IF(OR((($A327-Simulador!$E$6)/Simulador!$G$6)&lt;=0,(($A327-Simulador!$E$6)/Simulador!$G$6)&gt;=1),0,IF((($A327-Simulador!$E$6)/Simulador!$G$6)&lt;Simulador!$B$11,Simulador!$B$9*(1-COS(PI()*(($A327-Simulador!$E$6)/Simulador!$G$6)/Simulador!$B$11))/2,IF((($A327-Simulador!$E$6)/Simulador!$G$6)&gt;1-Simulador!$B$11,Simulador!$B$9*(1-COS(PI()*(1-(($A327-Simulador!$E$6)/Simulador!$G$6))/Simulador!$B$11))/2,Simulador!$B$9)))</f>
        <v/>
      </c>
      <c r="D327" s="46">
        <f>IF(OR((($A327-Simulador!$E$7)/Simulador!$G$7)&lt;=0,(($A327-Simulador!$E$7)/Simulador!$G$7)&gt;=1),0,IF((($A327-Simulador!$E$7)/Simulador!$G$7)&lt;Simulador!$B$11,Simulador!$B$9*(1-COS(PI()*(($A327-Simulador!$E$7)/Simulador!$G$7)/Simulador!$B$11))/2,IF((($A327-Simulador!$E$7)/Simulador!$G$7)&gt;1-Simulador!$B$11,Simulador!$B$9*(1-COS(PI()*(1-(($A327-Simulador!$E$7)/Simulador!$G$7))/Simulador!$B$11))/2,Simulador!$B$9)))</f>
        <v/>
      </c>
      <c r="E327" s="46">
        <f>IF(OR((($A327-Simulador!$E$8)/Simulador!$G$8)&lt;=0,(($A327-Simulador!$E$8)/Simulador!$G$8)&gt;=1),0,IF((($A327-Simulador!$E$8)/Simulador!$G$8)&lt;Simulador!$B$11,Simulador!$B$10*(1-COS(PI()*(($A327-Simulador!$E$8)/Simulador!$G$8)/Simulador!$B$11))/2,IF((($A327-Simulador!$E$8)/Simulador!$G$8)&gt;1-Simulador!$B$11,Simulador!$B$10*(1-COS(PI()*(1-(($A327-Simulador!$E$8)/Simulador!$G$8))/Simulador!$B$11))/2,Simulador!$B$10)))</f>
        <v/>
      </c>
      <c r="F327" s="46">
        <f>IF(OR((($A327-Simulador!$E$9)/Simulador!$G$9)&lt;=0,(($A327-Simulador!$E$9)/Simulador!$G$9)&gt;=1),0,IF((($A327-Simulador!$E$9)/Simulador!$G$9)&lt;Simulador!$B$11,Simulador!$B$10*(1-COS(PI()*(($A327-Simulador!$E$9)/Simulador!$G$9)/Simulador!$B$11))/2,IF((($A327-Simulador!$E$9)/Simulador!$G$9)&gt;1-Simulador!$B$11,Simulador!$B$10*(1-COS(PI()*(1-(($A327-Simulador!$E$9)/Simulador!$G$9))/Simulador!$B$11))/2,Simulador!$B$10)))</f>
        <v/>
      </c>
      <c r="G327" s="46">
        <f>IF(OR((($A327-Simulador!$E$10)/Simulador!$G$10)&lt;=0,(($A327-Simulador!$E$10)/Simulador!$G$10)&gt;=1),0,IF((($A327-Simulador!$E$10)/Simulador!$G$10)&lt;Simulador!$B$11,Simulador!$B$10*(1-COS(PI()*(($A327-Simulador!$E$10)/Simulador!$G$10)/Simulador!$B$11))/2,IF((($A327-Simulador!$E$10)/Simulador!$G$10)&gt;1-Simulador!$B$11,Simulador!$B$10*(1-COS(PI()*(1-(($A327-Simulador!$E$10)/Simulador!$G$10))/Simulador!$B$11))/2,Simulador!$B$10)))</f>
        <v/>
      </c>
      <c r="Q327" s="48">
        <f>IF(OR((($A327-(Simulador!$E$6+'Salto de dientes'!$B$12))/Simulador!$G$6)&lt;=0,(($A327-(Simulador!$E$6+'Salto de dientes'!$B$12))/Simulador!$G$6)&gt;=1),0,IF((($A327-(Simulador!$E$6+'Salto de dientes'!$B$12))/Simulador!$G$6)&lt;Simulador!$B$11,Simulador!$B$9*(1-COS(PI()*(($A327-(Simulador!$E$6+'Salto de dientes'!$B$12))/Simulador!$G$6)/Simulador!$B$11))/2,IF((($A327-(Simulador!$E$6+'Salto de dientes'!$B$12))/Simulador!$G$6)&gt;1-Simulador!$B$11,Simulador!$B$9*(1-COS(PI()*(1-(($A327-(Simulador!$E$6+'Salto de dientes'!$B$12))/Simulador!$G$6))/Simulador!$B$11))/2,Simulador!$B$9)))</f>
        <v/>
      </c>
      <c r="R327" s="48">
        <f>IF(OR((($A327-(Simulador!$E$9+'Salto de dientes'!$B$12))/Simulador!$G$9)&lt;=0,(($A327-(Simulador!$E$9+'Salto de dientes'!$B$12))/Simulador!$G$9)&gt;=1),0,IF((($A327-(Simulador!$E$9+'Salto de dientes'!$B$12))/Simulador!$G$9)&lt;Simulador!$B$11,Simulador!$B$10*(1-COS(PI()*(($A327-(Simulador!$E$9+'Salto de dientes'!$B$12))/Simulador!$G$9)/Simulador!$B$11))/2,IF((($A327-(Simulador!$E$9+'Salto de dientes'!$B$12))/Simulador!$G$9)&gt;1-Simulador!$B$11,Simulador!$B$10*(1-COS(PI()*(1-(($A327-(Simulador!$E$9+'Salto de dientes'!$B$12))/Simulador!$G$9))/Simulador!$B$11))/2,Simulador!$B$10)))</f>
        <v/>
      </c>
    </row>
    <row r="328">
      <c r="A328" s="26">
        <f>A327+Simulador!$B$14</f>
        <v/>
      </c>
      <c r="B328" s="46">
        <f>IF(OR((($A328-Simulador!$E$5)/Simulador!$G$5)&lt;=0,(($A328-Simulador!$E$5)/Simulador!$G$5)&gt;=1),0,IF((($A328-Simulador!$E$5)/Simulador!$G$5)&lt;Simulador!$B$11,Simulador!$B$9*(1-COS(PI()*(($A328-Simulador!$E$5)/Simulador!$G$5)/Simulador!$B$11))/2,IF((($A328-Simulador!$E$5)/Simulador!$G$5)&gt;1-Simulador!$B$11,Simulador!$B$9*(1-COS(PI()*(1-(($A328-Simulador!$E$5)/Simulador!$G$5))/Simulador!$B$11))/2,Simulador!$B$9)))</f>
        <v/>
      </c>
      <c r="C328" s="46">
        <f>IF(OR((($A328-Simulador!$E$6)/Simulador!$G$6)&lt;=0,(($A328-Simulador!$E$6)/Simulador!$G$6)&gt;=1),0,IF((($A328-Simulador!$E$6)/Simulador!$G$6)&lt;Simulador!$B$11,Simulador!$B$9*(1-COS(PI()*(($A328-Simulador!$E$6)/Simulador!$G$6)/Simulador!$B$11))/2,IF((($A328-Simulador!$E$6)/Simulador!$G$6)&gt;1-Simulador!$B$11,Simulador!$B$9*(1-COS(PI()*(1-(($A328-Simulador!$E$6)/Simulador!$G$6))/Simulador!$B$11))/2,Simulador!$B$9)))</f>
        <v/>
      </c>
      <c r="D328" s="46">
        <f>IF(OR((($A328-Simulador!$E$7)/Simulador!$G$7)&lt;=0,(($A328-Simulador!$E$7)/Simulador!$G$7)&gt;=1),0,IF((($A328-Simulador!$E$7)/Simulador!$G$7)&lt;Simulador!$B$11,Simulador!$B$9*(1-COS(PI()*(($A328-Simulador!$E$7)/Simulador!$G$7)/Simulador!$B$11))/2,IF((($A328-Simulador!$E$7)/Simulador!$G$7)&gt;1-Simulador!$B$11,Simulador!$B$9*(1-COS(PI()*(1-(($A328-Simulador!$E$7)/Simulador!$G$7))/Simulador!$B$11))/2,Simulador!$B$9)))</f>
        <v/>
      </c>
      <c r="E328" s="46">
        <f>IF(OR((($A328-Simulador!$E$8)/Simulador!$G$8)&lt;=0,(($A328-Simulador!$E$8)/Simulador!$G$8)&gt;=1),0,IF((($A328-Simulador!$E$8)/Simulador!$G$8)&lt;Simulador!$B$11,Simulador!$B$10*(1-COS(PI()*(($A328-Simulador!$E$8)/Simulador!$G$8)/Simulador!$B$11))/2,IF((($A328-Simulador!$E$8)/Simulador!$G$8)&gt;1-Simulador!$B$11,Simulador!$B$10*(1-COS(PI()*(1-(($A328-Simulador!$E$8)/Simulador!$G$8))/Simulador!$B$11))/2,Simulador!$B$10)))</f>
        <v/>
      </c>
      <c r="F328" s="46">
        <f>IF(OR((($A328-Simulador!$E$9)/Simulador!$G$9)&lt;=0,(($A328-Simulador!$E$9)/Simulador!$G$9)&gt;=1),0,IF((($A328-Simulador!$E$9)/Simulador!$G$9)&lt;Simulador!$B$11,Simulador!$B$10*(1-COS(PI()*(($A328-Simulador!$E$9)/Simulador!$G$9)/Simulador!$B$11))/2,IF((($A328-Simulador!$E$9)/Simulador!$G$9)&gt;1-Simulador!$B$11,Simulador!$B$10*(1-COS(PI()*(1-(($A328-Simulador!$E$9)/Simulador!$G$9))/Simulador!$B$11))/2,Simulador!$B$10)))</f>
        <v/>
      </c>
      <c r="G328" s="46">
        <f>IF(OR((($A328-Simulador!$E$10)/Simulador!$G$10)&lt;=0,(($A328-Simulador!$E$10)/Simulador!$G$10)&gt;=1),0,IF((($A328-Simulador!$E$10)/Simulador!$G$10)&lt;Simulador!$B$11,Simulador!$B$10*(1-COS(PI()*(($A328-Simulador!$E$10)/Simulador!$G$10)/Simulador!$B$11))/2,IF((($A328-Simulador!$E$10)/Simulador!$G$10)&gt;1-Simulador!$B$11,Simulador!$B$10*(1-COS(PI()*(1-(($A328-Simulador!$E$10)/Simulador!$G$10))/Simulador!$B$11))/2,Simulador!$B$10)))</f>
        <v/>
      </c>
      <c r="Q328" s="48">
        <f>IF(OR((($A328-(Simulador!$E$6+'Salto de dientes'!$B$12))/Simulador!$G$6)&lt;=0,(($A328-(Simulador!$E$6+'Salto de dientes'!$B$12))/Simulador!$G$6)&gt;=1),0,IF((($A328-(Simulador!$E$6+'Salto de dientes'!$B$12))/Simulador!$G$6)&lt;Simulador!$B$11,Simulador!$B$9*(1-COS(PI()*(($A328-(Simulador!$E$6+'Salto de dientes'!$B$12))/Simulador!$G$6)/Simulador!$B$11))/2,IF((($A328-(Simulador!$E$6+'Salto de dientes'!$B$12))/Simulador!$G$6)&gt;1-Simulador!$B$11,Simulador!$B$9*(1-COS(PI()*(1-(($A328-(Simulador!$E$6+'Salto de dientes'!$B$12))/Simulador!$G$6))/Simulador!$B$11))/2,Simulador!$B$9)))</f>
        <v/>
      </c>
      <c r="R328" s="48">
        <f>IF(OR((($A328-(Simulador!$E$9+'Salto de dientes'!$B$12))/Simulador!$G$9)&lt;=0,(($A328-(Simulador!$E$9+'Salto de dientes'!$B$12))/Simulador!$G$9)&gt;=1),0,IF((($A328-(Simulador!$E$9+'Salto de dientes'!$B$12))/Simulador!$G$9)&lt;Simulador!$B$11,Simulador!$B$10*(1-COS(PI()*(($A328-(Simulador!$E$9+'Salto de dientes'!$B$12))/Simulador!$G$9)/Simulador!$B$11))/2,IF((($A328-(Simulador!$E$9+'Salto de dientes'!$B$12))/Simulador!$G$9)&gt;1-Simulador!$B$11,Simulador!$B$10*(1-COS(PI()*(1-(($A328-(Simulador!$E$9+'Salto de dientes'!$B$12))/Simulador!$G$9))/Simulador!$B$11))/2,Simulador!$B$10)))</f>
        <v/>
      </c>
    </row>
    <row r="329">
      <c r="A329" s="26">
        <f>A328+Simulador!$B$14</f>
        <v/>
      </c>
      <c r="B329" s="46">
        <f>IF(OR((($A329-Simulador!$E$5)/Simulador!$G$5)&lt;=0,(($A329-Simulador!$E$5)/Simulador!$G$5)&gt;=1),0,IF((($A329-Simulador!$E$5)/Simulador!$G$5)&lt;Simulador!$B$11,Simulador!$B$9*(1-COS(PI()*(($A329-Simulador!$E$5)/Simulador!$G$5)/Simulador!$B$11))/2,IF((($A329-Simulador!$E$5)/Simulador!$G$5)&gt;1-Simulador!$B$11,Simulador!$B$9*(1-COS(PI()*(1-(($A329-Simulador!$E$5)/Simulador!$G$5))/Simulador!$B$11))/2,Simulador!$B$9)))</f>
        <v/>
      </c>
      <c r="C329" s="46">
        <f>IF(OR((($A329-Simulador!$E$6)/Simulador!$G$6)&lt;=0,(($A329-Simulador!$E$6)/Simulador!$G$6)&gt;=1),0,IF((($A329-Simulador!$E$6)/Simulador!$G$6)&lt;Simulador!$B$11,Simulador!$B$9*(1-COS(PI()*(($A329-Simulador!$E$6)/Simulador!$G$6)/Simulador!$B$11))/2,IF((($A329-Simulador!$E$6)/Simulador!$G$6)&gt;1-Simulador!$B$11,Simulador!$B$9*(1-COS(PI()*(1-(($A329-Simulador!$E$6)/Simulador!$G$6))/Simulador!$B$11))/2,Simulador!$B$9)))</f>
        <v/>
      </c>
      <c r="D329" s="46">
        <f>IF(OR((($A329-Simulador!$E$7)/Simulador!$G$7)&lt;=0,(($A329-Simulador!$E$7)/Simulador!$G$7)&gt;=1),0,IF((($A329-Simulador!$E$7)/Simulador!$G$7)&lt;Simulador!$B$11,Simulador!$B$9*(1-COS(PI()*(($A329-Simulador!$E$7)/Simulador!$G$7)/Simulador!$B$11))/2,IF((($A329-Simulador!$E$7)/Simulador!$G$7)&gt;1-Simulador!$B$11,Simulador!$B$9*(1-COS(PI()*(1-(($A329-Simulador!$E$7)/Simulador!$G$7))/Simulador!$B$11))/2,Simulador!$B$9)))</f>
        <v/>
      </c>
      <c r="E329" s="46">
        <f>IF(OR((($A329-Simulador!$E$8)/Simulador!$G$8)&lt;=0,(($A329-Simulador!$E$8)/Simulador!$G$8)&gt;=1),0,IF((($A329-Simulador!$E$8)/Simulador!$G$8)&lt;Simulador!$B$11,Simulador!$B$10*(1-COS(PI()*(($A329-Simulador!$E$8)/Simulador!$G$8)/Simulador!$B$11))/2,IF((($A329-Simulador!$E$8)/Simulador!$G$8)&gt;1-Simulador!$B$11,Simulador!$B$10*(1-COS(PI()*(1-(($A329-Simulador!$E$8)/Simulador!$G$8))/Simulador!$B$11))/2,Simulador!$B$10)))</f>
        <v/>
      </c>
      <c r="F329" s="46">
        <f>IF(OR((($A329-Simulador!$E$9)/Simulador!$G$9)&lt;=0,(($A329-Simulador!$E$9)/Simulador!$G$9)&gt;=1),0,IF((($A329-Simulador!$E$9)/Simulador!$G$9)&lt;Simulador!$B$11,Simulador!$B$10*(1-COS(PI()*(($A329-Simulador!$E$9)/Simulador!$G$9)/Simulador!$B$11))/2,IF((($A329-Simulador!$E$9)/Simulador!$G$9)&gt;1-Simulador!$B$11,Simulador!$B$10*(1-COS(PI()*(1-(($A329-Simulador!$E$9)/Simulador!$G$9))/Simulador!$B$11))/2,Simulador!$B$10)))</f>
        <v/>
      </c>
      <c r="G329" s="46">
        <f>IF(OR((($A329-Simulador!$E$10)/Simulador!$G$10)&lt;=0,(($A329-Simulador!$E$10)/Simulador!$G$10)&gt;=1),0,IF((($A329-Simulador!$E$10)/Simulador!$G$10)&lt;Simulador!$B$11,Simulador!$B$10*(1-COS(PI()*(($A329-Simulador!$E$10)/Simulador!$G$10)/Simulador!$B$11))/2,IF((($A329-Simulador!$E$10)/Simulador!$G$10)&gt;1-Simulador!$B$11,Simulador!$B$10*(1-COS(PI()*(1-(($A329-Simulador!$E$10)/Simulador!$G$10))/Simulador!$B$11))/2,Simulador!$B$10)))</f>
        <v/>
      </c>
      <c r="Q329" s="48">
        <f>IF(OR((($A329-(Simulador!$E$6+'Salto de dientes'!$B$12))/Simulador!$G$6)&lt;=0,(($A329-(Simulador!$E$6+'Salto de dientes'!$B$12))/Simulador!$G$6)&gt;=1),0,IF((($A329-(Simulador!$E$6+'Salto de dientes'!$B$12))/Simulador!$G$6)&lt;Simulador!$B$11,Simulador!$B$9*(1-COS(PI()*(($A329-(Simulador!$E$6+'Salto de dientes'!$B$12))/Simulador!$G$6)/Simulador!$B$11))/2,IF((($A329-(Simulador!$E$6+'Salto de dientes'!$B$12))/Simulador!$G$6)&gt;1-Simulador!$B$11,Simulador!$B$9*(1-COS(PI()*(1-(($A329-(Simulador!$E$6+'Salto de dientes'!$B$12))/Simulador!$G$6))/Simulador!$B$11))/2,Simulador!$B$9)))</f>
        <v/>
      </c>
      <c r="R329" s="48">
        <f>IF(OR((($A329-(Simulador!$E$9+'Salto de dientes'!$B$12))/Simulador!$G$9)&lt;=0,(($A329-(Simulador!$E$9+'Salto de dientes'!$B$12))/Simulador!$G$9)&gt;=1),0,IF((($A329-(Simulador!$E$9+'Salto de dientes'!$B$12))/Simulador!$G$9)&lt;Simulador!$B$11,Simulador!$B$10*(1-COS(PI()*(($A329-(Simulador!$E$9+'Salto de dientes'!$B$12))/Simulador!$G$9)/Simulador!$B$11))/2,IF((($A329-(Simulador!$E$9+'Salto de dientes'!$B$12))/Simulador!$G$9)&gt;1-Simulador!$B$11,Simulador!$B$10*(1-COS(PI()*(1-(($A329-(Simulador!$E$9+'Salto de dientes'!$B$12))/Simulador!$G$9))/Simulador!$B$11))/2,Simulador!$B$10)))</f>
        <v/>
      </c>
    </row>
    <row r="330">
      <c r="A330" s="26">
        <f>A329+Simulador!$B$14</f>
        <v/>
      </c>
      <c r="B330" s="46">
        <f>IF(OR((($A330-Simulador!$E$5)/Simulador!$G$5)&lt;=0,(($A330-Simulador!$E$5)/Simulador!$G$5)&gt;=1),0,IF((($A330-Simulador!$E$5)/Simulador!$G$5)&lt;Simulador!$B$11,Simulador!$B$9*(1-COS(PI()*(($A330-Simulador!$E$5)/Simulador!$G$5)/Simulador!$B$11))/2,IF((($A330-Simulador!$E$5)/Simulador!$G$5)&gt;1-Simulador!$B$11,Simulador!$B$9*(1-COS(PI()*(1-(($A330-Simulador!$E$5)/Simulador!$G$5))/Simulador!$B$11))/2,Simulador!$B$9)))</f>
        <v/>
      </c>
      <c r="C330" s="46">
        <f>IF(OR((($A330-Simulador!$E$6)/Simulador!$G$6)&lt;=0,(($A330-Simulador!$E$6)/Simulador!$G$6)&gt;=1),0,IF((($A330-Simulador!$E$6)/Simulador!$G$6)&lt;Simulador!$B$11,Simulador!$B$9*(1-COS(PI()*(($A330-Simulador!$E$6)/Simulador!$G$6)/Simulador!$B$11))/2,IF((($A330-Simulador!$E$6)/Simulador!$G$6)&gt;1-Simulador!$B$11,Simulador!$B$9*(1-COS(PI()*(1-(($A330-Simulador!$E$6)/Simulador!$G$6))/Simulador!$B$11))/2,Simulador!$B$9)))</f>
        <v/>
      </c>
      <c r="D330" s="46">
        <f>IF(OR((($A330-Simulador!$E$7)/Simulador!$G$7)&lt;=0,(($A330-Simulador!$E$7)/Simulador!$G$7)&gt;=1),0,IF((($A330-Simulador!$E$7)/Simulador!$G$7)&lt;Simulador!$B$11,Simulador!$B$9*(1-COS(PI()*(($A330-Simulador!$E$7)/Simulador!$G$7)/Simulador!$B$11))/2,IF((($A330-Simulador!$E$7)/Simulador!$G$7)&gt;1-Simulador!$B$11,Simulador!$B$9*(1-COS(PI()*(1-(($A330-Simulador!$E$7)/Simulador!$G$7))/Simulador!$B$11))/2,Simulador!$B$9)))</f>
        <v/>
      </c>
      <c r="E330" s="46">
        <f>IF(OR((($A330-Simulador!$E$8)/Simulador!$G$8)&lt;=0,(($A330-Simulador!$E$8)/Simulador!$G$8)&gt;=1),0,IF((($A330-Simulador!$E$8)/Simulador!$G$8)&lt;Simulador!$B$11,Simulador!$B$10*(1-COS(PI()*(($A330-Simulador!$E$8)/Simulador!$G$8)/Simulador!$B$11))/2,IF((($A330-Simulador!$E$8)/Simulador!$G$8)&gt;1-Simulador!$B$11,Simulador!$B$10*(1-COS(PI()*(1-(($A330-Simulador!$E$8)/Simulador!$G$8))/Simulador!$B$11))/2,Simulador!$B$10)))</f>
        <v/>
      </c>
      <c r="F330" s="46">
        <f>IF(OR((($A330-Simulador!$E$9)/Simulador!$G$9)&lt;=0,(($A330-Simulador!$E$9)/Simulador!$G$9)&gt;=1),0,IF((($A330-Simulador!$E$9)/Simulador!$G$9)&lt;Simulador!$B$11,Simulador!$B$10*(1-COS(PI()*(($A330-Simulador!$E$9)/Simulador!$G$9)/Simulador!$B$11))/2,IF((($A330-Simulador!$E$9)/Simulador!$G$9)&gt;1-Simulador!$B$11,Simulador!$B$10*(1-COS(PI()*(1-(($A330-Simulador!$E$9)/Simulador!$G$9))/Simulador!$B$11))/2,Simulador!$B$10)))</f>
        <v/>
      </c>
      <c r="G330" s="46">
        <f>IF(OR((($A330-Simulador!$E$10)/Simulador!$G$10)&lt;=0,(($A330-Simulador!$E$10)/Simulador!$G$10)&gt;=1),0,IF((($A330-Simulador!$E$10)/Simulador!$G$10)&lt;Simulador!$B$11,Simulador!$B$10*(1-COS(PI()*(($A330-Simulador!$E$10)/Simulador!$G$10)/Simulador!$B$11))/2,IF((($A330-Simulador!$E$10)/Simulador!$G$10)&gt;1-Simulador!$B$11,Simulador!$B$10*(1-COS(PI()*(1-(($A330-Simulador!$E$10)/Simulador!$G$10))/Simulador!$B$11))/2,Simulador!$B$10)))</f>
        <v/>
      </c>
      <c r="Q330" s="48">
        <f>IF(OR((($A330-(Simulador!$E$6+'Salto de dientes'!$B$12))/Simulador!$G$6)&lt;=0,(($A330-(Simulador!$E$6+'Salto de dientes'!$B$12))/Simulador!$G$6)&gt;=1),0,IF((($A330-(Simulador!$E$6+'Salto de dientes'!$B$12))/Simulador!$G$6)&lt;Simulador!$B$11,Simulador!$B$9*(1-COS(PI()*(($A330-(Simulador!$E$6+'Salto de dientes'!$B$12))/Simulador!$G$6)/Simulador!$B$11))/2,IF((($A330-(Simulador!$E$6+'Salto de dientes'!$B$12))/Simulador!$G$6)&gt;1-Simulador!$B$11,Simulador!$B$9*(1-COS(PI()*(1-(($A330-(Simulador!$E$6+'Salto de dientes'!$B$12))/Simulador!$G$6))/Simulador!$B$11))/2,Simulador!$B$9)))</f>
        <v/>
      </c>
      <c r="R330" s="48">
        <f>IF(OR((($A330-(Simulador!$E$9+'Salto de dientes'!$B$12))/Simulador!$G$9)&lt;=0,(($A330-(Simulador!$E$9+'Salto de dientes'!$B$12))/Simulador!$G$9)&gt;=1),0,IF((($A330-(Simulador!$E$9+'Salto de dientes'!$B$12))/Simulador!$G$9)&lt;Simulador!$B$11,Simulador!$B$10*(1-COS(PI()*(($A330-(Simulador!$E$9+'Salto de dientes'!$B$12))/Simulador!$G$9)/Simulador!$B$11))/2,IF((($A330-(Simulador!$E$9+'Salto de dientes'!$B$12))/Simulador!$G$9)&gt;1-Simulador!$B$11,Simulador!$B$10*(1-COS(PI()*(1-(($A330-(Simulador!$E$9+'Salto de dientes'!$B$12))/Simulador!$G$9))/Simulador!$B$11))/2,Simulador!$B$10)))</f>
        <v/>
      </c>
    </row>
    <row r="331">
      <c r="A331" s="26">
        <f>A330+Simulador!$B$14</f>
        <v/>
      </c>
      <c r="B331" s="46">
        <f>IF(OR((($A331-Simulador!$E$5)/Simulador!$G$5)&lt;=0,(($A331-Simulador!$E$5)/Simulador!$G$5)&gt;=1),0,IF((($A331-Simulador!$E$5)/Simulador!$G$5)&lt;Simulador!$B$11,Simulador!$B$9*(1-COS(PI()*(($A331-Simulador!$E$5)/Simulador!$G$5)/Simulador!$B$11))/2,IF((($A331-Simulador!$E$5)/Simulador!$G$5)&gt;1-Simulador!$B$11,Simulador!$B$9*(1-COS(PI()*(1-(($A331-Simulador!$E$5)/Simulador!$G$5))/Simulador!$B$11))/2,Simulador!$B$9)))</f>
        <v/>
      </c>
      <c r="C331" s="46">
        <f>IF(OR((($A331-Simulador!$E$6)/Simulador!$G$6)&lt;=0,(($A331-Simulador!$E$6)/Simulador!$G$6)&gt;=1),0,IF((($A331-Simulador!$E$6)/Simulador!$G$6)&lt;Simulador!$B$11,Simulador!$B$9*(1-COS(PI()*(($A331-Simulador!$E$6)/Simulador!$G$6)/Simulador!$B$11))/2,IF((($A331-Simulador!$E$6)/Simulador!$G$6)&gt;1-Simulador!$B$11,Simulador!$B$9*(1-COS(PI()*(1-(($A331-Simulador!$E$6)/Simulador!$G$6))/Simulador!$B$11))/2,Simulador!$B$9)))</f>
        <v/>
      </c>
      <c r="D331" s="46">
        <f>IF(OR((($A331-Simulador!$E$7)/Simulador!$G$7)&lt;=0,(($A331-Simulador!$E$7)/Simulador!$G$7)&gt;=1),0,IF((($A331-Simulador!$E$7)/Simulador!$G$7)&lt;Simulador!$B$11,Simulador!$B$9*(1-COS(PI()*(($A331-Simulador!$E$7)/Simulador!$G$7)/Simulador!$B$11))/2,IF((($A331-Simulador!$E$7)/Simulador!$G$7)&gt;1-Simulador!$B$11,Simulador!$B$9*(1-COS(PI()*(1-(($A331-Simulador!$E$7)/Simulador!$G$7))/Simulador!$B$11))/2,Simulador!$B$9)))</f>
        <v/>
      </c>
      <c r="E331" s="46">
        <f>IF(OR((($A331-Simulador!$E$8)/Simulador!$G$8)&lt;=0,(($A331-Simulador!$E$8)/Simulador!$G$8)&gt;=1),0,IF((($A331-Simulador!$E$8)/Simulador!$G$8)&lt;Simulador!$B$11,Simulador!$B$10*(1-COS(PI()*(($A331-Simulador!$E$8)/Simulador!$G$8)/Simulador!$B$11))/2,IF((($A331-Simulador!$E$8)/Simulador!$G$8)&gt;1-Simulador!$B$11,Simulador!$B$10*(1-COS(PI()*(1-(($A331-Simulador!$E$8)/Simulador!$G$8))/Simulador!$B$11))/2,Simulador!$B$10)))</f>
        <v/>
      </c>
      <c r="F331" s="46">
        <f>IF(OR((($A331-Simulador!$E$9)/Simulador!$G$9)&lt;=0,(($A331-Simulador!$E$9)/Simulador!$G$9)&gt;=1),0,IF((($A331-Simulador!$E$9)/Simulador!$G$9)&lt;Simulador!$B$11,Simulador!$B$10*(1-COS(PI()*(($A331-Simulador!$E$9)/Simulador!$G$9)/Simulador!$B$11))/2,IF((($A331-Simulador!$E$9)/Simulador!$G$9)&gt;1-Simulador!$B$11,Simulador!$B$10*(1-COS(PI()*(1-(($A331-Simulador!$E$9)/Simulador!$G$9))/Simulador!$B$11))/2,Simulador!$B$10)))</f>
        <v/>
      </c>
      <c r="G331" s="46">
        <f>IF(OR((($A331-Simulador!$E$10)/Simulador!$G$10)&lt;=0,(($A331-Simulador!$E$10)/Simulador!$G$10)&gt;=1),0,IF((($A331-Simulador!$E$10)/Simulador!$G$10)&lt;Simulador!$B$11,Simulador!$B$10*(1-COS(PI()*(($A331-Simulador!$E$10)/Simulador!$G$10)/Simulador!$B$11))/2,IF((($A331-Simulador!$E$10)/Simulador!$G$10)&gt;1-Simulador!$B$11,Simulador!$B$10*(1-COS(PI()*(1-(($A331-Simulador!$E$10)/Simulador!$G$10))/Simulador!$B$11))/2,Simulador!$B$10)))</f>
        <v/>
      </c>
      <c r="Q331" s="48">
        <f>IF(OR((($A331-(Simulador!$E$6+'Salto de dientes'!$B$12))/Simulador!$G$6)&lt;=0,(($A331-(Simulador!$E$6+'Salto de dientes'!$B$12))/Simulador!$G$6)&gt;=1),0,IF((($A331-(Simulador!$E$6+'Salto de dientes'!$B$12))/Simulador!$G$6)&lt;Simulador!$B$11,Simulador!$B$9*(1-COS(PI()*(($A331-(Simulador!$E$6+'Salto de dientes'!$B$12))/Simulador!$G$6)/Simulador!$B$11))/2,IF((($A331-(Simulador!$E$6+'Salto de dientes'!$B$12))/Simulador!$G$6)&gt;1-Simulador!$B$11,Simulador!$B$9*(1-COS(PI()*(1-(($A331-(Simulador!$E$6+'Salto de dientes'!$B$12))/Simulador!$G$6))/Simulador!$B$11))/2,Simulador!$B$9)))</f>
        <v/>
      </c>
      <c r="R331" s="48">
        <f>IF(OR((($A331-(Simulador!$E$9+'Salto de dientes'!$B$12))/Simulador!$G$9)&lt;=0,(($A331-(Simulador!$E$9+'Salto de dientes'!$B$12))/Simulador!$G$9)&gt;=1),0,IF((($A331-(Simulador!$E$9+'Salto de dientes'!$B$12))/Simulador!$G$9)&lt;Simulador!$B$11,Simulador!$B$10*(1-COS(PI()*(($A331-(Simulador!$E$9+'Salto de dientes'!$B$12))/Simulador!$G$9)/Simulador!$B$11))/2,IF((($A331-(Simulador!$E$9+'Salto de dientes'!$B$12))/Simulador!$G$9)&gt;1-Simulador!$B$11,Simulador!$B$10*(1-COS(PI()*(1-(($A331-(Simulador!$E$9+'Salto de dientes'!$B$12))/Simulador!$G$9))/Simulador!$B$11))/2,Simulador!$B$10)))</f>
        <v/>
      </c>
    </row>
    <row r="332">
      <c r="A332" s="26">
        <f>A331+Simulador!$B$14</f>
        <v/>
      </c>
      <c r="B332" s="46">
        <f>IF(OR((($A332-Simulador!$E$5)/Simulador!$G$5)&lt;=0,(($A332-Simulador!$E$5)/Simulador!$G$5)&gt;=1),0,IF((($A332-Simulador!$E$5)/Simulador!$G$5)&lt;Simulador!$B$11,Simulador!$B$9*(1-COS(PI()*(($A332-Simulador!$E$5)/Simulador!$G$5)/Simulador!$B$11))/2,IF((($A332-Simulador!$E$5)/Simulador!$G$5)&gt;1-Simulador!$B$11,Simulador!$B$9*(1-COS(PI()*(1-(($A332-Simulador!$E$5)/Simulador!$G$5))/Simulador!$B$11))/2,Simulador!$B$9)))</f>
        <v/>
      </c>
      <c r="C332" s="46">
        <f>IF(OR((($A332-Simulador!$E$6)/Simulador!$G$6)&lt;=0,(($A332-Simulador!$E$6)/Simulador!$G$6)&gt;=1),0,IF((($A332-Simulador!$E$6)/Simulador!$G$6)&lt;Simulador!$B$11,Simulador!$B$9*(1-COS(PI()*(($A332-Simulador!$E$6)/Simulador!$G$6)/Simulador!$B$11))/2,IF((($A332-Simulador!$E$6)/Simulador!$G$6)&gt;1-Simulador!$B$11,Simulador!$B$9*(1-COS(PI()*(1-(($A332-Simulador!$E$6)/Simulador!$G$6))/Simulador!$B$11))/2,Simulador!$B$9)))</f>
        <v/>
      </c>
      <c r="D332" s="46">
        <f>IF(OR((($A332-Simulador!$E$7)/Simulador!$G$7)&lt;=0,(($A332-Simulador!$E$7)/Simulador!$G$7)&gt;=1),0,IF((($A332-Simulador!$E$7)/Simulador!$G$7)&lt;Simulador!$B$11,Simulador!$B$9*(1-COS(PI()*(($A332-Simulador!$E$7)/Simulador!$G$7)/Simulador!$B$11))/2,IF((($A332-Simulador!$E$7)/Simulador!$G$7)&gt;1-Simulador!$B$11,Simulador!$B$9*(1-COS(PI()*(1-(($A332-Simulador!$E$7)/Simulador!$G$7))/Simulador!$B$11))/2,Simulador!$B$9)))</f>
        <v/>
      </c>
      <c r="E332" s="46">
        <f>IF(OR((($A332-Simulador!$E$8)/Simulador!$G$8)&lt;=0,(($A332-Simulador!$E$8)/Simulador!$G$8)&gt;=1),0,IF((($A332-Simulador!$E$8)/Simulador!$G$8)&lt;Simulador!$B$11,Simulador!$B$10*(1-COS(PI()*(($A332-Simulador!$E$8)/Simulador!$G$8)/Simulador!$B$11))/2,IF((($A332-Simulador!$E$8)/Simulador!$G$8)&gt;1-Simulador!$B$11,Simulador!$B$10*(1-COS(PI()*(1-(($A332-Simulador!$E$8)/Simulador!$G$8))/Simulador!$B$11))/2,Simulador!$B$10)))</f>
        <v/>
      </c>
      <c r="F332" s="46">
        <f>IF(OR((($A332-Simulador!$E$9)/Simulador!$G$9)&lt;=0,(($A332-Simulador!$E$9)/Simulador!$G$9)&gt;=1),0,IF((($A332-Simulador!$E$9)/Simulador!$G$9)&lt;Simulador!$B$11,Simulador!$B$10*(1-COS(PI()*(($A332-Simulador!$E$9)/Simulador!$G$9)/Simulador!$B$11))/2,IF((($A332-Simulador!$E$9)/Simulador!$G$9)&gt;1-Simulador!$B$11,Simulador!$B$10*(1-COS(PI()*(1-(($A332-Simulador!$E$9)/Simulador!$G$9))/Simulador!$B$11))/2,Simulador!$B$10)))</f>
        <v/>
      </c>
      <c r="G332" s="46">
        <f>IF(OR((($A332-Simulador!$E$10)/Simulador!$G$10)&lt;=0,(($A332-Simulador!$E$10)/Simulador!$G$10)&gt;=1),0,IF((($A332-Simulador!$E$10)/Simulador!$G$10)&lt;Simulador!$B$11,Simulador!$B$10*(1-COS(PI()*(($A332-Simulador!$E$10)/Simulador!$G$10)/Simulador!$B$11))/2,IF((($A332-Simulador!$E$10)/Simulador!$G$10)&gt;1-Simulador!$B$11,Simulador!$B$10*(1-COS(PI()*(1-(($A332-Simulador!$E$10)/Simulador!$G$10))/Simulador!$B$11))/2,Simulador!$B$10)))</f>
        <v/>
      </c>
      <c r="Q332" s="48">
        <f>IF(OR((($A332-(Simulador!$E$6+'Salto de dientes'!$B$12))/Simulador!$G$6)&lt;=0,(($A332-(Simulador!$E$6+'Salto de dientes'!$B$12))/Simulador!$G$6)&gt;=1),0,IF((($A332-(Simulador!$E$6+'Salto de dientes'!$B$12))/Simulador!$G$6)&lt;Simulador!$B$11,Simulador!$B$9*(1-COS(PI()*(($A332-(Simulador!$E$6+'Salto de dientes'!$B$12))/Simulador!$G$6)/Simulador!$B$11))/2,IF((($A332-(Simulador!$E$6+'Salto de dientes'!$B$12))/Simulador!$G$6)&gt;1-Simulador!$B$11,Simulador!$B$9*(1-COS(PI()*(1-(($A332-(Simulador!$E$6+'Salto de dientes'!$B$12))/Simulador!$G$6))/Simulador!$B$11))/2,Simulador!$B$9)))</f>
        <v/>
      </c>
      <c r="R332" s="48">
        <f>IF(OR((($A332-(Simulador!$E$9+'Salto de dientes'!$B$12))/Simulador!$G$9)&lt;=0,(($A332-(Simulador!$E$9+'Salto de dientes'!$B$12))/Simulador!$G$9)&gt;=1),0,IF((($A332-(Simulador!$E$9+'Salto de dientes'!$B$12))/Simulador!$G$9)&lt;Simulador!$B$11,Simulador!$B$10*(1-COS(PI()*(($A332-(Simulador!$E$9+'Salto de dientes'!$B$12))/Simulador!$G$9)/Simulador!$B$11))/2,IF((($A332-(Simulador!$E$9+'Salto de dientes'!$B$12))/Simulador!$G$9)&gt;1-Simulador!$B$11,Simulador!$B$10*(1-COS(PI()*(1-(($A332-(Simulador!$E$9+'Salto de dientes'!$B$12))/Simulador!$G$9))/Simulador!$B$11))/2,Simulador!$B$10)))</f>
        <v/>
      </c>
    </row>
    <row r="333">
      <c r="A333" s="26">
        <f>A332+Simulador!$B$14</f>
        <v/>
      </c>
      <c r="B333" s="46">
        <f>IF(OR((($A333-Simulador!$E$5)/Simulador!$G$5)&lt;=0,(($A333-Simulador!$E$5)/Simulador!$G$5)&gt;=1),0,IF((($A333-Simulador!$E$5)/Simulador!$G$5)&lt;Simulador!$B$11,Simulador!$B$9*(1-COS(PI()*(($A333-Simulador!$E$5)/Simulador!$G$5)/Simulador!$B$11))/2,IF((($A333-Simulador!$E$5)/Simulador!$G$5)&gt;1-Simulador!$B$11,Simulador!$B$9*(1-COS(PI()*(1-(($A333-Simulador!$E$5)/Simulador!$G$5))/Simulador!$B$11))/2,Simulador!$B$9)))</f>
        <v/>
      </c>
      <c r="C333" s="46">
        <f>IF(OR((($A333-Simulador!$E$6)/Simulador!$G$6)&lt;=0,(($A333-Simulador!$E$6)/Simulador!$G$6)&gt;=1),0,IF((($A333-Simulador!$E$6)/Simulador!$G$6)&lt;Simulador!$B$11,Simulador!$B$9*(1-COS(PI()*(($A333-Simulador!$E$6)/Simulador!$G$6)/Simulador!$B$11))/2,IF((($A333-Simulador!$E$6)/Simulador!$G$6)&gt;1-Simulador!$B$11,Simulador!$B$9*(1-COS(PI()*(1-(($A333-Simulador!$E$6)/Simulador!$G$6))/Simulador!$B$11))/2,Simulador!$B$9)))</f>
        <v/>
      </c>
      <c r="D333" s="46">
        <f>IF(OR((($A333-Simulador!$E$7)/Simulador!$G$7)&lt;=0,(($A333-Simulador!$E$7)/Simulador!$G$7)&gt;=1),0,IF((($A333-Simulador!$E$7)/Simulador!$G$7)&lt;Simulador!$B$11,Simulador!$B$9*(1-COS(PI()*(($A333-Simulador!$E$7)/Simulador!$G$7)/Simulador!$B$11))/2,IF((($A333-Simulador!$E$7)/Simulador!$G$7)&gt;1-Simulador!$B$11,Simulador!$B$9*(1-COS(PI()*(1-(($A333-Simulador!$E$7)/Simulador!$G$7))/Simulador!$B$11))/2,Simulador!$B$9)))</f>
        <v/>
      </c>
      <c r="E333" s="46">
        <f>IF(OR((($A333-Simulador!$E$8)/Simulador!$G$8)&lt;=0,(($A333-Simulador!$E$8)/Simulador!$G$8)&gt;=1),0,IF((($A333-Simulador!$E$8)/Simulador!$G$8)&lt;Simulador!$B$11,Simulador!$B$10*(1-COS(PI()*(($A333-Simulador!$E$8)/Simulador!$G$8)/Simulador!$B$11))/2,IF((($A333-Simulador!$E$8)/Simulador!$G$8)&gt;1-Simulador!$B$11,Simulador!$B$10*(1-COS(PI()*(1-(($A333-Simulador!$E$8)/Simulador!$G$8))/Simulador!$B$11))/2,Simulador!$B$10)))</f>
        <v/>
      </c>
      <c r="F333" s="46">
        <f>IF(OR((($A333-Simulador!$E$9)/Simulador!$G$9)&lt;=0,(($A333-Simulador!$E$9)/Simulador!$G$9)&gt;=1),0,IF((($A333-Simulador!$E$9)/Simulador!$G$9)&lt;Simulador!$B$11,Simulador!$B$10*(1-COS(PI()*(($A333-Simulador!$E$9)/Simulador!$G$9)/Simulador!$B$11))/2,IF((($A333-Simulador!$E$9)/Simulador!$G$9)&gt;1-Simulador!$B$11,Simulador!$B$10*(1-COS(PI()*(1-(($A333-Simulador!$E$9)/Simulador!$G$9))/Simulador!$B$11))/2,Simulador!$B$10)))</f>
        <v/>
      </c>
      <c r="G333" s="46">
        <f>IF(OR((($A333-Simulador!$E$10)/Simulador!$G$10)&lt;=0,(($A333-Simulador!$E$10)/Simulador!$G$10)&gt;=1),0,IF((($A333-Simulador!$E$10)/Simulador!$G$10)&lt;Simulador!$B$11,Simulador!$B$10*(1-COS(PI()*(($A333-Simulador!$E$10)/Simulador!$G$10)/Simulador!$B$11))/2,IF((($A333-Simulador!$E$10)/Simulador!$G$10)&gt;1-Simulador!$B$11,Simulador!$B$10*(1-COS(PI()*(1-(($A333-Simulador!$E$10)/Simulador!$G$10))/Simulador!$B$11))/2,Simulador!$B$10)))</f>
        <v/>
      </c>
      <c r="Q333" s="48">
        <f>IF(OR((($A333-(Simulador!$E$6+'Salto de dientes'!$B$12))/Simulador!$G$6)&lt;=0,(($A333-(Simulador!$E$6+'Salto de dientes'!$B$12))/Simulador!$G$6)&gt;=1),0,IF((($A333-(Simulador!$E$6+'Salto de dientes'!$B$12))/Simulador!$G$6)&lt;Simulador!$B$11,Simulador!$B$9*(1-COS(PI()*(($A333-(Simulador!$E$6+'Salto de dientes'!$B$12))/Simulador!$G$6)/Simulador!$B$11))/2,IF((($A333-(Simulador!$E$6+'Salto de dientes'!$B$12))/Simulador!$G$6)&gt;1-Simulador!$B$11,Simulador!$B$9*(1-COS(PI()*(1-(($A333-(Simulador!$E$6+'Salto de dientes'!$B$12))/Simulador!$G$6))/Simulador!$B$11))/2,Simulador!$B$9)))</f>
        <v/>
      </c>
      <c r="R333" s="48">
        <f>IF(OR((($A333-(Simulador!$E$9+'Salto de dientes'!$B$12))/Simulador!$G$9)&lt;=0,(($A333-(Simulador!$E$9+'Salto de dientes'!$B$12))/Simulador!$G$9)&gt;=1),0,IF((($A333-(Simulador!$E$9+'Salto de dientes'!$B$12))/Simulador!$G$9)&lt;Simulador!$B$11,Simulador!$B$10*(1-COS(PI()*(($A333-(Simulador!$E$9+'Salto de dientes'!$B$12))/Simulador!$G$9)/Simulador!$B$11))/2,IF((($A333-(Simulador!$E$9+'Salto de dientes'!$B$12))/Simulador!$G$9)&gt;1-Simulador!$B$11,Simulador!$B$10*(1-COS(PI()*(1-(($A333-(Simulador!$E$9+'Salto de dientes'!$B$12))/Simulador!$G$9))/Simulador!$B$11))/2,Simulador!$B$10)))</f>
        <v/>
      </c>
    </row>
    <row r="334">
      <c r="A334" s="26">
        <f>A333+Simulador!$B$14</f>
        <v/>
      </c>
      <c r="B334" s="46">
        <f>IF(OR((($A334-Simulador!$E$5)/Simulador!$G$5)&lt;=0,(($A334-Simulador!$E$5)/Simulador!$G$5)&gt;=1),0,IF((($A334-Simulador!$E$5)/Simulador!$G$5)&lt;Simulador!$B$11,Simulador!$B$9*(1-COS(PI()*(($A334-Simulador!$E$5)/Simulador!$G$5)/Simulador!$B$11))/2,IF((($A334-Simulador!$E$5)/Simulador!$G$5)&gt;1-Simulador!$B$11,Simulador!$B$9*(1-COS(PI()*(1-(($A334-Simulador!$E$5)/Simulador!$G$5))/Simulador!$B$11))/2,Simulador!$B$9)))</f>
        <v/>
      </c>
      <c r="C334" s="46">
        <f>IF(OR((($A334-Simulador!$E$6)/Simulador!$G$6)&lt;=0,(($A334-Simulador!$E$6)/Simulador!$G$6)&gt;=1),0,IF((($A334-Simulador!$E$6)/Simulador!$G$6)&lt;Simulador!$B$11,Simulador!$B$9*(1-COS(PI()*(($A334-Simulador!$E$6)/Simulador!$G$6)/Simulador!$B$11))/2,IF((($A334-Simulador!$E$6)/Simulador!$G$6)&gt;1-Simulador!$B$11,Simulador!$B$9*(1-COS(PI()*(1-(($A334-Simulador!$E$6)/Simulador!$G$6))/Simulador!$B$11))/2,Simulador!$B$9)))</f>
        <v/>
      </c>
      <c r="D334" s="46">
        <f>IF(OR((($A334-Simulador!$E$7)/Simulador!$G$7)&lt;=0,(($A334-Simulador!$E$7)/Simulador!$G$7)&gt;=1),0,IF((($A334-Simulador!$E$7)/Simulador!$G$7)&lt;Simulador!$B$11,Simulador!$B$9*(1-COS(PI()*(($A334-Simulador!$E$7)/Simulador!$G$7)/Simulador!$B$11))/2,IF((($A334-Simulador!$E$7)/Simulador!$G$7)&gt;1-Simulador!$B$11,Simulador!$B$9*(1-COS(PI()*(1-(($A334-Simulador!$E$7)/Simulador!$G$7))/Simulador!$B$11))/2,Simulador!$B$9)))</f>
        <v/>
      </c>
      <c r="E334" s="46">
        <f>IF(OR((($A334-Simulador!$E$8)/Simulador!$G$8)&lt;=0,(($A334-Simulador!$E$8)/Simulador!$G$8)&gt;=1),0,IF((($A334-Simulador!$E$8)/Simulador!$G$8)&lt;Simulador!$B$11,Simulador!$B$10*(1-COS(PI()*(($A334-Simulador!$E$8)/Simulador!$G$8)/Simulador!$B$11))/2,IF((($A334-Simulador!$E$8)/Simulador!$G$8)&gt;1-Simulador!$B$11,Simulador!$B$10*(1-COS(PI()*(1-(($A334-Simulador!$E$8)/Simulador!$G$8))/Simulador!$B$11))/2,Simulador!$B$10)))</f>
        <v/>
      </c>
      <c r="F334" s="46">
        <f>IF(OR((($A334-Simulador!$E$9)/Simulador!$G$9)&lt;=0,(($A334-Simulador!$E$9)/Simulador!$G$9)&gt;=1),0,IF((($A334-Simulador!$E$9)/Simulador!$G$9)&lt;Simulador!$B$11,Simulador!$B$10*(1-COS(PI()*(($A334-Simulador!$E$9)/Simulador!$G$9)/Simulador!$B$11))/2,IF((($A334-Simulador!$E$9)/Simulador!$G$9)&gt;1-Simulador!$B$11,Simulador!$B$10*(1-COS(PI()*(1-(($A334-Simulador!$E$9)/Simulador!$G$9))/Simulador!$B$11))/2,Simulador!$B$10)))</f>
        <v/>
      </c>
      <c r="G334" s="46">
        <f>IF(OR((($A334-Simulador!$E$10)/Simulador!$G$10)&lt;=0,(($A334-Simulador!$E$10)/Simulador!$G$10)&gt;=1),0,IF((($A334-Simulador!$E$10)/Simulador!$G$10)&lt;Simulador!$B$11,Simulador!$B$10*(1-COS(PI()*(($A334-Simulador!$E$10)/Simulador!$G$10)/Simulador!$B$11))/2,IF((($A334-Simulador!$E$10)/Simulador!$G$10)&gt;1-Simulador!$B$11,Simulador!$B$10*(1-COS(PI()*(1-(($A334-Simulador!$E$10)/Simulador!$G$10))/Simulador!$B$11))/2,Simulador!$B$10)))</f>
        <v/>
      </c>
      <c r="Q334" s="48">
        <f>IF(OR((($A334-(Simulador!$E$6+'Salto de dientes'!$B$12))/Simulador!$G$6)&lt;=0,(($A334-(Simulador!$E$6+'Salto de dientes'!$B$12))/Simulador!$G$6)&gt;=1),0,IF((($A334-(Simulador!$E$6+'Salto de dientes'!$B$12))/Simulador!$G$6)&lt;Simulador!$B$11,Simulador!$B$9*(1-COS(PI()*(($A334-(Simulador!$E$6+'Salto de dientes'!$B$12))/Simulador!$G$6)/Simulador!$B$11))/2,IF((($A334-(Simulador!$E$6+'Salto de dientes'!$B$12))/Simulador!$G$6)&gt;1-Simulador!$B$11,Simulador!$B$9*(1-COS(PI()*(1-(($A334-(Simulador!$E$6+'Salto de dientes'!$B$12))/Simulador!$G$6))/Simulador!$B$11))/2,Simulador!$B$9)))</f>
        <v/>
      </c>
      <c r="R334" s="48">
        <f>IF(OR((($A334-(Simulador!$E$9+'Salto de dientes'!$B$12))/Simulador!$G$9)&lt;=0,(($A334-(Simulador!$E$9+'Salto de dientes'!$B$12))/Simulador!$G$9)&gt;=1),0,IF((($A334-(Simulador!$E$9+'Salto de dientes'!$B$12))/Simulador!$G$9)&lt;Simulador!$B$11,Simulador!$B$10*(1-COS(PI()*(($A334-(Simulador!$E$9+'Salto de dientes'!$B$12))/Simulador!$G$9)/Simulador!$B$11))/2,IF((($A334-(Simulador!$E$9+'Salto de dientes'!$B$12))/Simulador!$G$9)&gt;1-Simulador!$B$11,Simulador!$B$10*(1-COS(PI()*(1-(($A334-(Simulador!$E$9+'Salto de dientes'!$B$12))/Simulador!$G$9))/Simulador!$B$11))/2,Simulador!$B$10)))</f>
        <v/>
      </c>
    </row>
    <row r="335">
      <c r="A335" s="26">
        <f>A334+Simulador!$B$14</f>
        <v/>
      </c>
      <c r="B335" s="46">
        <f>IF(OR((($A335-Simulador!$E$5)/Simulador!$G$5)&lt;=0,(($A335-Simulador!$E$5)/Simulador!$G$5)&gt;=1),0,IF((($A335-Simulador!$E$5)/Simulador!$G$5)&lt;Simulador!$B$11,Simulador!$B$9*(1-COS(PI()*(($A335-Simulador!$E$5)/Simulador!$G$5)/Simulador!$B$11))/2,IF((($A335-Simulador!$E$5)/Simulador!$G$5)&gt;1-Simulador!$B$11,Simulador!$B$9*(1-COS(PI()*(1-(($A335-Simulador!$E$5)/Simulador!$G$5))/Simulador!$B$11))/2,Simulador!$B$9)))</f>
        <v/>
      </c>
      <c r="C335" s="46">
        <f>IF(OR((($A335-Simulador!$E$6)/Simulador!$G$6)&lt;=0,(($A335-Simulador!$E$6)/Simulador!$G$6)&gt;=1),0,IF((($A335-Simulador!$E$6)/Simulador!$G$6)&lt;Simulador!$B$11,Simulador!$B$9*(1-COS(PI()*(($A335-Simulador!$E$6)/Simulador!$G$6)/Simulador!$B$11))/2,IF((($A335-Simulador!$E$6)/Simulador!$G$6)&gt;1-Simulador!$B$11,Simulador!$B$9*(1-COS(PI()*(1-(($A335-Simulador!$E$6)/Simulador!$G$6))/Simulador!$B$11))/2,Simulador!$B$9)))</f>
        <v/>
      </c>
      <c r="D335" s="46">
        <f>IF(OR((($A335-Simulador!$E$7)/Simulador!$G$7)&lt;=0,(($A335-Simulador!$E$7)/Simulador!$G$7)&gt;=1),0,IF((($A335-Simulador!$E$7)/Simulador!$G$7)&lt;Simulador!$B$11,Simulador!$B$9*(1-COS(PI()*(($A335-Simulador!$E$7)/Simulador!$G$7)/Simulador!$B$11))/2,IF((($A335-Simulador!$E$7)/Simulador!$G$7)&gt;1-Simulador!$B$11,Simulador!$B$9*(1-COS(PI()*(1-(($A335-Simulador!$E$7)/Simulador!$G$7))/Simulador!$B$11))/2,Simulador!$B$9)))</f>
        <v/>
      </c>
      <c r="E335" s="46">
        <f>IF(OR((($A335-Simulador!$E$8)/Simulador!$G$8)&lt;=0,(($A335-Simulador!$E$8)/Simulador!$G$8)&gt;=1),0,IF((($A335-Simulador!$E$8)/Simulador!$G$8)&lt;Simulador!$B$11,Simulador!$B$10*(1-COS(PI()*(($A335-Simulador!$E$8)/Simulador!$G$8)/Simulador!$B$11))/2,IF((($A335-Simulador!$E$8)/Simulador!$G$8)&gt;1-Simulador!$B$11,Simulador!$B$10*(1-COS(PI()*(1-(($A335-Simulador!$E$8)/Simulador!$G$8))/Simulador!$B$11))/2,Simulador!$B$10)))</f>
        <v/>
      </c>
      <c r="F335" s="46">
        <f>IF(OR((($A335-Simulador!$E$9)/Simulador!$G$9)&lt;=0,(($A335-Simulador!$E$9)/Simulador!$G$9)&gt;=1),0,IF((($A335-Simulador!$E$9)/Simulador!$G$9)&lt;Simulador!$B$11,Simulador!$B$10*(1-COS(PI()*(($A335-Simulador!$E$9)/Simulador!$G$9)/Simulador!$B$11))/2,IF((($A335-Simulador!$E$9)/Simulador!$G$9)&gt;1-Simulador!$B$11,Simulador!$B$10*(1-COS(PI()*(1-(($A335-Simulador!$E$9)/Simulador!$G$9))/Simulador!$B$11))/2,Simulador!$B$10)))</f>
        <v/>
      </c>
      <c r="G335" s="46">
        <f>IF(OR((($A335-Simulador!$E$10)/Simulador!$G$10)&lt;=0,(($A335-Simulador!$E$10)/Simulador!$G$10)&gt;=1),0,IF((($A335-Simulador!$E$10)/Simulador!$G$10)&lt;Simulador!$B$11,Simulador!$B$10*(1-COS(PI()*(($A335-Simulador!$E$10)/Simulador!$G$10)/Simulador!$B$11))/2,IF((($A335-Simulador!$E$10)/Simulador!$G$10)&gt;1-Simulador!$B$11,Simulador!$B$10*(1-COS(PI()*(1-(($A335-Simulador!$E$10)/Simulador!$G$10))/Simulador!$B$11))/2,Simulador!$B$10)))</f>
        <v/>
      </c>
      <c r="Q335" s="48">
        <f>IF(OR((($A335-(Simulador!$E$6+'Salto de dientes'!$B$12))/Simulador!$G$6)&lt;=0,(($A335-(Simulador!$E$6+'Salto de dientes'!$B$12))/Simulador!$G$6)&gt;=1),0,IF((($A335-(Simulador!$E$6+'Salto de dientes'!$B$12))/Simulador!$G$6)&lt;Simulador!$B$11,Simulador!$B$9*(1-COS(PI()*(($A335-(Simulador!$E$6+'Salto de dientes'!$B$12))/Simulador!$G$6)/Simulador!$B$11))/2,IF((($A335-(Simulador!$E$6+'Salto de dientes'!$B$12))/Simulador!$G$6)&gt;1-Simulador!$B$11,Simulador!$B$9*(1-COS(PI()*(1-(($A335-(Simulador!$E$6+'Salto de dientes'!$B$12))/Simulador!$G$6))/Simulador!$B$11))/2,Simulador!$B$9)))</f>
        <v/>
      </c>
      <c r="R335" s="48">
        <f>IF(OR((($A335-(Simulador!$E$9+'Salto de dientes'!$B$12))/Simulador!$G$9)&lt;=0,(($A335-(Simulador!$E$9+'Salto de dientes'!$B$12))/Simulador!$G$9)&gt;=1),0,IF((($A335-(Simulador!$E$9+'Salto de dientes'!$B$12))/Simulador!$G$9)&lt;Simulador!$B$11,Simulador!$B$10*(1-COS(PI()*(($A335-(Simulador!$E$9+'Salto de dientes'!$B$12))/Simulador!$G$9)/Simulador!$B$11))/2,IF((($A335-(Simulador!$E$9+'Salto de dientes'!$B$12))/Simulador!$G$9)&gt;1-Simulador!$B$11,Simulador!$B$10*(1-COS(PI()*(1-(($A335-(Simulador!$E$9+'Salto de dientes'!$B$12))/Simulador!$G$9))/Simulador!$B$11))/2,Simulador!$B$10)))</f>
        <v/>
      </c>
    </row>
    <row r="336">
      <c r="A336" s="26">
        <f>A335+Simulador!$B$14</f>
        <v/>
      </c>
      <c r="B336" s="46">
        <f>IF(OR((($A336-Simulador!$E$5)/Simulador!$G$5)&lt;=0,(($A336-Simulador!$E$5)/Simulador!$G$5)&gt;=1),0,IF((($A336-Simulador!$E$5)/Simulador!$G$5)&lt;Simulador!$B$11,Simulador!$B$9*(1-COS(PI()*(($A336-Simulador!$E$5)/Simulador!$G$5)/Simulador!$B$11))/2,IF((($A336-Simulador!$E$5)/Simulador!$G$5)&gt;1-Simulador!$B$11,Simulador!$B$9*(1-COS(PI()*(1-(($A336-Simulador!$E$5)/Simulador!$G$5))/Simulador!$B$11))/2,Simulador!$B$9)))</f>
        <v/>
      </c>
      <c r="C336" s="46">
        <f>IF(OR((($A336-Simulador!$E$6)/Simulador!$G$6)&lt;=0,(($A336-Simulador!$E$6)/Simulador!$G$6)&gt;=1),0,IF((($A336-Simulador!$E$6)/Simulador!$G$6)&lt;Simulador!$B$11,Simulador!$B$9*(1-COS(PI()*(($A336-Simulador!$E$6)/Simulador!$G$6)/Simulador!$B$11))/2,IF((($A336-Simulador!$E$6)/Simulador!$G$6)&gt;1-Simulador!$B$11,Simulador!$B$9*(1-COS(PI()*(1-(($A336-Simulador!$E$6)/Simulador!$G$6))/Simulador!$B$11))/2,Simulador!$B$9)))</f>
        <v/>
      </c>
      <c r="D336" s="46">
        <f>IF(OR((($A336-Simulador!$E$7)/Simulador!$G$7)&lt;=0,(($A336-Simulador!$E$7)/Simulador!$G$7)&gt;=1),0,IF((($A336-Simulador!$E$7)/Simulador!$G$7)&lt;Simulador!$B$11,Simulador!$B$9*(1-COS(PI()*(($A336-Simulador!$E$7)/Simulador!$G$7)/Simulador!$B$11))/2,IF((($A336-Simulador!$E$7)/Simulador!$G$7)&gt;1-Simulador!$B$11,Simulador!$B$9*(1-COS(PI()*(1-(($A336-Simulador!$E$7)/Simulador!$G$7))/Simulador!$B$11))/2,Simulador!$B$9)))</f>
        <v/>
      </c>
      <c r="E336" s="46">
        <f>IF(OR((($A336-Simulador!$E$8)/Simulador!$G$8)&lt;=0,(($A336-Simulador!$E$8)/Simulador!$G$8)&gt;=1),0,IF((($A336-Simulador!$E$8)/Simulador!$G$8)&lt;Simulador!$B$11,Simulador!$B$10*(1-COS(PI()*(($A336-Simulador!$E$8)/Simulador!$G$8)/Simulador!$B$11))/2,IF((($A336-Simulador!$E$8)/Simulador!$G$8)&gt;1-Simulador!$B$11,Simulador!$B$10*(1-COS(PI()*(1-(($A336-Simulador!$E$8)/Simulador!$G$8))/Simulador!$B$11))/2,Simulador!$B$10)))</f>
        <v/>
      </c>
      <c r="F336" s="46">
        <f>IF(OR((($A336-Simulador!$E$9)/Simulador!$G$9)&lt;=0,(($A336-Simulador!$E$9)/Simulador!$G$9)&gt;=1),0,IF((($A336-Simulador!$E$9)/Simulador!$G$9)&lt;Simulador!$B$11,Simulador!$B$10*(1-COS(PI()*(($A336-Simulador!$E$9)/Simulador!$G$9)/Simulador!$B$11))/2,IF((($A336-Simulador!$E$9)/Simulador!$G$9)&gt;1-Simulador!$B$11,Simulador!$B$10*(1-COS(PI()*(1-(($A336-Simulador!$E$9)/Simulador!$G$9))/Simulador!$B$11))/2,Simulador!$B$10)))</f>
        <v/>
      </c>
      <c r="G336" s="46">
        <f>IF(OR((($A336-Simulador!$E$10)/Simulador!$G$10)&lt;=0,(($A336-Simulador!$E$10)/Simulador!$G$10)&gt;=1),0,IF((($A336-Simulador!$E$10)/Simulador!$G$10)&lt;Simulador!$B$11,Simulador!$B$10*(1-COS(PI()*(($A336-Simulador!$E$10)/Simulador!$G$10)/Simulador!$B$11))/2,IF((($A336-Simulador!$E$10)/Simulador!$G$10)&gt;1-Simulador!$B$11,Simulador!$B$10*(1-COS(PI()*(1-(($A336-Simulador!$E$10)/Simulador!$G$10))/Simulador!$B$11))/2,Simulador!$B$10)))</f>
        <v/>
      </c>
      <c r="Q336" s="48">
        <f>IF(OR((($A336-(Simulador!$E$6+'Salto de dientes'!$B$12))/Simulador!$G$6)&lt;=0,(($A336-(Simulador!$E$6+'Salto de dientes'!$B$12))/Simulador!$G$6)&gt;=1),0,IF((($A336-(Simulador!$E$6+'Salto de dientes'!$B$12))/Simulador!$G$6)&lt;Simulador!$B$11,Simulador!$B$9*(1-COS(PI()*(($A336-(Simulador!$E$6+'Salto de dientes'!$B$12))/Simulador!$G$6)/Simulador!$B$11))/2,IF((($A336-(Simulador!$E$6+'Salto de dientes'!$B$12))/Simulador!$G$6)&gt;1-Simulador!$B$11,Simulador!$B$9*(1-COS(PI()*(1-(($A336-(Simulador!$E$6+'Salto de dientes'!$B$12))/Simulador!$G$6))/Simulador!$B$11))/2,Simulador!$B$9)))</f>
        <v/>
      </c>
      <c r="R336" s="48">
        <f>IF(OR((($A336-(Simulador!$E$9+'Salto de dientes'!$B$12))/Simulador!$G$9)&lt;=0,(($A336-(Simulador!$E$9+'Salto de dientes'!$B$12))/Simulador!$G$9)&gt;=1),0,IF((($A336-(Simulador!$E$9+'Salto de dientes'!$B$12))/Simulador!$G$9)&lt;Simulador!$B$11,Simulador!$B$10*(1-COS(PI()*(($A336-(Simulador!$E$9+'Salto de dientes'!$B$12))/Simulador!$G$9)/Simulador!$B$11))/2,IF((($A336-(Simulador!$E$9+'Salto de dientes'!$B$12))/Simulador!$G$9)&gt;1-Simulador!$B$11,Simulador!$B$10*(1-COS(PI()*(1-(($A336-(Simulador!$E$9+'Salto de dientes'!$B$12))/Simulador!$G$9))/Simulador!$B$11))/2,Simulador!$B$10)))</f>
        <v/>
      </c>
    </row>
    <row r="337">
      <c r="A337" s="26">
        <f>A336+Simulador!$B$14</f>
        <v/>
      </c>
      <c r="B337" s="46">
        <f>IF(OR((($A337-Simulador!$E$5)/Simulador!$G$5)&lt;=0,(($A337-Simulador!$E$5)/Simulador!$G$5)&gt;=1),0,IF((($A337-Simulador!$E$5)/Simulador!$G$5)&lt;Simulador!$B$11,Simulador!$B$9*(1-COS(PI()*(($A337-Simulador!$E$5)/Simulador!$G$5)/Simulador!$B$11))/2,IF((($A337-Simulador!$E$5)/Simulador!$G$5)&gt;1-Simulador!$B$11,Simulador!$B$9*(1-COS(PI()*(1-(($A337-Simulador!$E$5)/Simulador!$G$5))/Simulador!$B$11))/2,Simulador!$B$9)))</f>
        <v/>
      </c>
      <c r="C337" s="46">
        <f>IF(OR((($A337-Simulador!$E$6)/Simulador!$G$6)&lt;=0,(($A337-Simulador!$E$6)/Simulador!$G$6)&gt;=1),0,IF((($A337-Simulador!$E$6)/Simulador!$G$6)&lt;Simulador!$B$11,Simulador!$B$9*(1-COS(PI()*(($A337-Simulador!$E$6)/Simulador!$G$6)/Simulador!$B$11))/2,IF((($A337-Simulador!$E$6)/Simulador!$G$6)&gt;1-Simulador!$B$11,Simulador!$B$9*(1-COS(PI()*(1-(($A337-Simulador!$E$6)/Simulador!$G$6))/Simulador!$B$11))/2,Simulador!$B$9)))</f>
        <v/>
      </c>
      <c r="D337" s="46">
        <f>IF(OR((($A337-Simulador!$E$7)/Simulador!$G$7)&lt;=0,(($A337-Simulador!$E$7)/Simulador!$G$7)&gt;=1),0,IF((($A337-Simulador!$E$7)/Simulador!$G$7)&lt;Simulador!$B$11,Simulador!$B$9*(1-COS(PI()*(($A337-Simulador!$E$7)/Simulador!$G$7)/Simulador!$B$11))/2,IF((($A337-Simulador!$E$7)/Simulador!$G$7)&gt;1-Simulador!$B$11,Simulador!$B$9*(1-COS(PI()*(1-(($A337-Simulador!$E$7)/Simulador!$G$7))/Simulador!$B$11))/2,Simulador!$B$9)))</f>
        <v/>
      </c>
      <c r="E337" s="46">
        <f>IF(OR((($A337-Simulador!$E$8)/Simulador!$G$8)&lt;=0,(($A337-Simulador!$E$8)/Simulador!$G$8)&gt;=1),0,IF((($A337-Simulador!$E$8)/Simulador!$G$8)&lt;Simulador!$B$11,Simulador!$B$10*(1-COS(PI()*(($A337-Simulador!$E$8)/Simulador!$G$8)/Simulador!$B$11))/2,IF((($A337-Simulador!$E$8)/Simulador!$G$8)&gt;1-Simulador!$B$11,Simulador!$B$10*(1-COS(PI()*(1-(($A337-Simulador!$E$8)/Simulador!$G$8))/Simulador!$B$11))/2,Simulador!$B$10)))</f>
        <v/>
      </c>
      <c r="F337" s="46">
        <f>IF(OR((($A337-Simulador!$E$9)/Simulador!$G$9)&lt;=0,(($A337-Simulador!$E$9)/Simulador!$G$9)&gt;=1),0,IF((($A337-Simulador!$E$9)/Simulador!$G$9)&lt;Simulador!$B$11,Simulador!$B$10*(1-COS(PI()*(($A337-Simulador!$E$9)/Simulador!$G$9)/Simulador!$B$11))/2,IF((($A337-Simulador!$E$9)/Simulador!$G$9)&gt;1-Simulador!$B$11,Simulador!$B$10*(1-COS(PI()*(1-(($A337-Simulador!$E$9)/Simulador!$G$9))/Simulador!$B$11))/2,Simulador!$B$10)))</f>
        <v/>
      </c>
      <c r="G337" s="46">
        <f>IF(OR((($A337-Simulador!$E$10)/Simulador!$G$10)&lt;=0,(($A337-Simulador!$E$10)/Simulador!$G$10)&gt;=1),0,IF((($A337-Simulador!$E$10)/Simulador!$G$10)&lt;Simulador!$B$11,Simulador!$B$10*(1-COS(PI()*(($A337-Simulador!$E$10)/Simulador!$G$10)/Simulador!$B$11))/2,IF((($A337-Simulador!$E$10)/Simulador!$G$10)&gt;1-Simulador!$B$11,Simulador!$B$10*(1-COS(PI()*(1-(($A337-Simulador!$E$10)/Simulador!$G$10))/Simulador!$B$11))/2,Simulador!$B$10)))</f>
        <v/>
      </c>
      <c r="Q337" s="48">
        <f>IF(OR((($A337-(Simulador!$E$6+'Salto de dientes'!$B$12))/Simulador!$G$6)&lt;=0,(($A337-(Simulador!$E$6+'Salto de dientes'!$B$12))/Simulador!$G$6)&gt;=1),0,IF((($A337-(Simulador!$E$6+'Salto de dientes'!$B$12))/Simulador!$G$6)&lt;Simulador!$B$11,Simulador!$B$9*(1-COS(PI()*(($A337-(Simulador!$E$6+'Salto de dientes'!$B$12))/Simulador!$G$6)/Simulador!$B$11))/2,IF((($A337-(Simulador!$E$6+'Salto de dientes'!$B$12))/Simulador!$G$6)&gt;1-Simulador!$B$11,Simulador!$B$9*(1-COS(PI()*(1-(($A337-(Simulador!$E$6+'Salto de dientes'!$B$12))/Simulador!$G$6))/Simulador!$B$11))/2,Simulador!$B$9)))</f>
        <v/>
      </c>
      <c r="R337" s="48">
        <f>IF(OR((($A337-(Simulador!$E$9+'Salto de dientes'!$B$12))/Simulador!$G$9)&lt;=0,(($A337-(Simulador!$E$9+'Salto de dientes'!$B$12))/Simulador!$G$9)&gt;=1),0,IF((($A337-(Simulador!$E$9+'Salto de dientes'!$B$12))/Simulador!$G$9)&lt;Simulador!$B$11,Simulador!$B$10*(1-COS(PI()*(($A337-(Simulador!$E$9+'Salto de dientes'!$B$12))/Simulador!$G$9)/Simulador!$B$11))/2,IF((($A337-(Simulador!$E$9+'Salto de dientes'!$B$12))/Simulador!$G$9)&gt;1-Simulador!$B$11,Simulador!$B$10*(1-COS(PI()*(1-(($A337-(Simulador!$E$9+'Salto de dientes'!$B$12))/Simulador!$G$9))/Simulador!$B$11))/2,Simulador!$B$10)))</f>
        <v/>
      </c>
    </row>
    <row r="338">
      <c r="A338" s="26">
        <f>A337+Simulador!$B$14</f>
        <v/>
      </c>
      <c r="B338" s="46">
        <f>IF(OR((($A338-Simulador!$E$5)/Simulador!$G$5)&lt;=0,(($A338-Simulador!$E$5)/Simulador!$G$5)&gt;=1),0,IF((($A338-Simulador!$E$5)/Simulador!$G$5)&lt;Simulador!$B$11,Simulador!$B$9*(1-COS(PI()*(($A338-Simulador!$E$5)/Simulador!$G$5)/Simulador!$B$11))/2,IF((($A338-Simulador!$E$5)/Simulador!$G$5)&gt;1-Simulador!$B$11,Simulador!$B$9*(1-COS(PI()*(1-(($A338-Simulador!$E$5)/Simulador!$G$5))/Simulador!$B$11))/2,Simulador!$B$9)))</f>
        <v/>
      </c>
      <c r="C338" s="46">
        <f>IF(OR((($A338-Simulador!$E$6)/Simulador!$G$6)&lt;=0,(($A338-Simulador!$E$6)/Simulador!$G$6)&gt;=1),0,IF((($A338-Simulador!$E$6)/Simulador!$G$6)&lt;Simulador!$B$11,Simulador!$B$9*(1-COS(PI()*(($A338-Simulador!$E$6)/Simulador!$G$6)/Simulador!$B$11))/2,IF((($A338-Simulador!$E$6)/Simulador!$G$6)&gt;1-Simulador!$B$11,Simulador!$B$9*(1-COS(PI()*(1-(($A338-Simulador!$E$6)/Simulador!$G$6))/Simulador!$B$11))/2,Simulador!$B$9)))</f>
        <v/>
      </c>
      <c r="D338" s="46">
        <f>IF(OR((($A338-Simulador!$E$7)/Simulador!$G$7)&lt;=0,(($A338-Simulador!$E$7)/Simulador!$G$7)&gt;=1),0,IF((($A338-Simulador!$E$7)/Simulador!$G$7)&lt;Simulador!$B$11,Simulador!$B$9*(1-COS(PI()*(($A338-Simulador!$E$7)/Simulador!$G$7)/Simulador!$B$11))/2,IF((($A338-Simulador!$E$7)/Simulador!$G$7)&gt;1-Simulador!$B$11,Simulador!$B$9*(1-COS(PI()*(1-(($A338-Simulador!$E$7)/Simulador!$G$7))/Simulador!$B$11))/2,Simulador!$B$9)))</f>
        <v/>
      </c>
      <c r="E338" s="46">
        <f>IF(OR((($A338-Simulador!$E$8)/Simulador!$G$8)&lt;=0,(($A338-Simulador!$E$8)/Simulador!$G$8)&gt;=1),0,IF((($A338-Simulador!$E$8)/Simulador!$G$8)&lt;Simulador!$B$11,Simulador!$B$10*(1-COS(PI()*(($A338-Simulador!$E$8)/Simulador!$G$8)/Simulador!$B$11))/2,IF((($A338-Simulador!$E$8)/Simulador!$G$8)&gt;1-Simulador!$B$11,Simulador!$B$10*(1-COS(PI()*(1-(($A338-Simulador!$E$8)/Simulador!$G$8))/Simulador!$B$11))/2,Simulador!$B$10)))</f>
        <v/>
      </c>
      <c r="F338" s="46">
        <f>IF(OR((($A338-Simulador!$E$9)/Simulador!$G$9)&lt;=0,(($A338-Simulador!$E$9)/Simulador!$G$9)&gt;=1),0,IF((($A338-Simulador!$E$9)/Simulador!$G$9)&lt;Simulador!$B$11,Simulador!$B$10*(1-COS(PI()*(($A338-Simulador!$E$9)/Simulador!$G$9)/Simulador!$B$11))/2,IF((($A338-Simulador!$E$9)/Simulador!$G$9)&gt;1-Simulador!$B$11,Simulador!$B$10*(1-COS(PI()*(1-(($A338-Simulador!$E$9)/Simulador!$G$9))/Simulador!$B$11))/2,Simulador!$B$10)))</f>
        <v/>
      </c>
      <c r="G338" s="46">
        <f>IF(OR((($A338-Simulador!$E$10)/Simulador!$G$10)&lt;=0,(($A338-Simulador!$E$10)/Simulador!$G$10)&gt;=1),0,IF((($A338-Simulador!$E$10)/Simulador!$G$10)&lt;Simulador!$B$11,Simulador!$B$10*(1-COS(PI()*(($A338-Simulador!$E$10)/Simulador!$G$10)/Simulador!$B$11))/2,IF((($A338-Simulador!$E$10)/Simulador!$G$10)&gt;1-Simulador!$B$11,Simulador!$B$10*(1-COS(PI()*(1-(($A338-Simulador!$E$10)/Simulador!$G$10))/Simulador!$B$11))/2,Simulador!$B$10)))</f>
        <v/>
      </c>
      <c r="Q338" s="48">
        <f>IF(OR((($A338-(Simulador!$E$6+'Salto de dientes'!$B$12))/Simulador!$G$6)&lt;=0,(($A338-(Simulador!$E$6+'Salto de dientes'!$B$12))/Simulador!$G$6)&gt;=1),0,IF((($A338-(Simulador!$E$6+'Salto de dientes'!$B$12))/Simulador!$G$6)&lt;Simulador!$B$11,Simulador!$B$9*(1-COS(PI()*(($A338-(Simulador!$E$6+'Salto de dientes'!$B$12))/Simulador!$G$6)/Simulador!$B$11))/2,IF((($A338-(Simulador!$E$6+'Salto de dientes'!$B$12))/Simulador!$G$6)&gt;1-Simulador!$B$11,Simulador!$B$9*(1-COS(PI()*(1-(($A338-(Simulador!$E$6+'Salto de dientes'!$B$12))/Simulador!$G$6))/Simulador!$B$11))/2,Simulador!$B$9)))</f>
        <v/>
      </c>
      <c r="R338" s="48">
        <f>IF(OR((($A338-(Simulador!$E$9+'Salto de dientes'!$B$12))/Simulador!$G$9)&lt;=0,(($A338-(Simulador!$E$9+'Salto de dientes'!$B$12))/Simulador!$G$9)&gt;=1),0,IF((($A338-(Simulador!$E$9+'Salto de dientes'!$B$12))/Simulador!$G$9)&lt;Simulador!$B$11,Simulador!$B$10*(1-COS(PI()*(($A338-(Simulador!$E$9+'Salto de dientes'!$B$12))/Simulador!$G$9)/Simulador!$B$11))/2,IF((($A338-(Simulador!$E$9+'Salto de dientes'!$B$12))/Simulador!$G$9)&gt;1-Simulador!$B$11,Simulador!$B$10*(1-COS(PI()*(1-(($A338-(Simulador!$E$9+'Salto de dientes'!$B$12))/Simulador!$G$9))/Simulador!$B$11))/2,Simulador!$B$10)))</f>
        <v/>
      </c>
    </row>
    <row r="339">
      <c r="A339" s="26">
        <f>A338+Simulador!$B$14</f>
        <v/>
      </c>
      <c r="B339" s="46">
        <f>IF(OR((($A339-Simulador!$E$5)/Simulador!$G$5)&lt;=0,(($A339-Simulador!$E$5)/Simulador!$G$5)&gt;=1),0,IF((($A339-Simulador!$E$5)/Simulador!$G$5)&lt;Simulador!$B$11,Simulador!$B$9*(1-COS(PI()*(($A339-Simulador!$E$5)/Simulador!$G$5)/Simulador!$B$11))/2,IF((($A339-Simulador!$E$5)/Simulador!$G$5)&gt;1-Simulador!$B$11,Simulador!$B$9*(1-COS(PI()*(1-(($A339-Simulador!$E$5)/Simulador!$G$5))/Simulador!$B$11))/2,Simulador!$B$9)))</f>
        <v/>
      </c>
      <c r="C339" s="46">
        <f>IF(OR((($A339-Simulador!$E$6)/Simulador!$G$6)&lt;=0,(($A339-Simulador!$E$6)/Simulador!$G$6)&gt;=1),0,IF((($A339-Simulador!$E$6)/Simulador!$G$6)&lt;Simulador!$B$11,Simulador!$B$9*(1-COS(PI()*(($A339-Simulador!$E$6)/Simulador!$G$6)/Simulador!$B$11))/2,IF((($A339-Simulador!$E$6)/Simulador!$G$6)&gt;1-Simulador!$B$11,Simulador!$B$9*(1-COS(PI()*(1-(($A339-Simulador!$E$6)/Simulador!$G$6))/Simulador!$B$11))/2,Simulador!$B$9)))</f>
        <v/>
      </c>
      <c r="D339" s="46">
        <f>IF(OR((($A339-Simulador!$E$7)/Simulador!$G$7)&lt;=0,(($A339-Simulador!$E$7)/Simulador!$G$7)&gt;=1),0,IF((($A339-Simulador!$E$7)/Simulador!$G$7)&lt;Simulador!$B$11,Simulador!$B$9*(1-COS(PI()*(($A339-Simulador!$E$7)/Simulador!$G$7)/Simulador!$B$11))/2,IF((($A339-Simulador!$E$7)/Simulador!$G$7)&gt;1-Simulador!$B$11,Simulador!$B$9*(1-COS(PI()*(1-(($A339-Simulador!$E$7)/Simulador!$G$7))/Simulador!$B$11))/2,Simulador!$B$9)))</f>
        <v/>
      </c>
      <c r="E339" s="46">
        <f>IF(OR((($A339-Simulador!$E$8)/Simulador!$G$8)&lt;=0,(($A339-Simulador!$E$8)/Simulador!$G$8)&gt;=1),0,IF((($A339-Simulador!$E$8)/Simulador!$G$8)&lt;Simulador!$B$11,Simulador!$B$10*(1-COS(PI()*(($A339-Simulador!$E$8)/Simulador!$G$8)/Simulador!$B$11))/2,IF((($A339-Simulador!$E$8)/Simulador!$G$8)&gt;1-Simulador!$B$11,Simulador!$B$10*(1-COS(PI()*(1-(($A339-Simulador!$E$8)/Simulador!$G$8))/Simulador!$B$11))/2,Simulador!$B$10)))</f>
        <v/>
      </c>
      <c r="F339" s="46">
        <f>IF(OR((($A339-Simulador!$E$9)/Simulador!$G$9)&lt;=0,(($A339-Simulador!$E$9)/Simulador!$G$9)&gt;=1),0,IF((($A339-Simulador!$E$9)/Simulador!$G$9)&lt;Simulador!$B$11,Simulador!$B$10*(1-COS(PI()*(($A339-Simulador!$E$9)/Simulador!$G$9)/Simulador!$B$11))/2,IF((($A339-Simulador!$E$9)/Simulador!$G$9)&gt;1-Simulador!$B$11,Simulador!$B$10*(1-COS(PI()*(1-(($A339-Simulador!$E$9)/Simulador!$G$9))/Simulador!$B$11))/2,Simulador!$B$10)))</f>
        <v/>
      </c>
      <c r="G339" s="46">
        <f>IF(OR((($A339-Simulador!$E$10)/Simulador!$G$10)&lt;=0,(($A339-Simulador!$E$10)/Simulador!$G$10)&gt;=1),0,IF((($A339-Simulador!$E$10)/Simulador!$G$10)&lt;Simulador!$B$11,Simulador!$B$10*(1-COS(PI()*(($A339-Simulador!$E$10)/Simulador!$G$10)/Simulador!$B$11))/2,IF((($A339-Simulador!$E$10)/Simulador!$G$10)&gt;1-Simulador!$B$11,Simulador!$B$10*(1-COS(PI()*(1-(($A339-Simulador!$E$10)/Simulador!$G$10))/Simulador!$B$11))/2,Simulador!$B$10)))</f>
        <v/>
      </c>
      <c r="Q339" s="48">
        <f>IF(OR((($A339-(Simulador!$E$6+'Salto de dientes'!$B$12))/Simulador!$G$6)&lt;=0,(($A339-(Simulador!$E$6+'Salto de dientes'!$B$12))/Simulador!$G$6)&gt;=1),0,IF((($A339-(Simulador!$E$6+'Salto de dientes'!$B$12))/Simulador!$G$6)&lt;Simulador!$B$11,Simulador!$B$9*(1-COS(PI()*(($A339-(Simulador!$E$6+'Salto de dientes'!$B$12))/Simulador!$G$6)/Simulador!$B$11))/2,IF((($A339-(Simulador!$E$6+'Salto de dientes'!$B$12))/Simulador!$G$6)&gt;1-Simulador!$B$11,Simulador!$B$9*(1-COS(PI()*(1-(($A339-(Simulador!$E$6+'Salto de dientes'!$B$12))/Simulador!$G$6))/Simulador!$B$11))/2,Simulador!$B$9)))</f>
        <v/>
      </c>
      <c r="R339" s="48">
        <f>IF(OR((($A339-(Simulador!$E$9+'Salto de dientes'!$B$12))/Simulador!$G$9)&lt;=0,(($A339-(Simulador!$E$9+'Salto de dientes'!$B$12))/Simulador!$G$9)&gt;=1),0,IF((($A339-(Simulador!$E$9+'Salto de dientes'!$B$12))/Simulador!$G$9)&lt;Simulador!$B$11,Simulador!$B$10*(1-COS(PI()*(($A339-(Simulador!$E$9+'Salto de dientes'!$B$12))/Simulador!$G$9)/Simulador!$B$11))/2,IF((($A339-(Simulador!$E$9+'Salto de dientes'!$B$12))/Simulador!$G$9)&gt;1-Simulador!$B$11,Simulador!$B$10*(1-COS(PI()*(1-(($A339-(Simulador!$E$9+'Salto de dientes'!$B$12))/Simulador!$G$9))/Simulador!$B$11))/2,Simulador!$B$10)))</f>
        <v/>
      </c>
    </row>
    <row r="340">
      <c r="A340" s="26">
        <f>A339+Simulador!$B$14</f>
        <v/>
      </c>
      <c r="B340" s="46">
        <f>IF(OR((($A340-Simulador!$E$5)/Simulador!$G$5)&lt;=0,(($A340-Simulador!$E$5)/Simulador!$G$5)&gt;=1),0,IF((($A340-Simulador!$E$5)/Simulador!$G$5)&lt;Simulador!$B$11,Simulador!$B$9*(1-COS(PI()*(($A340-Simulador!$E$5)/Simulador!$G$5)/Simulador!$B$11))/2,IF((($A340-Simulador!$E$5)/Simulador!$G$5)&gt;1-Simulador!$B$11,Simulador!$B$9*(1-COS(PI()*(1-(($A340-Simulador!$E$5)/Simulador!$G$5))/Simulador!$B$11))/2,Simulador!$B$9)))</f>
        <v/>
      </c>
      <c r="C340" s="46">
        <f>IF(OR((($A340-Simulador!$E$6)/Simulador!$G$6)&lt;=0,(($A340-Simulador!$E$6)/Simulador!$G$6)&gt;=1),0,IF((($A340-Simulador!$E$6)/Simulador!$G$6)&lt;Simulador!$B$11,Simulador!$B$9*(1-COS(PI()*(($A340-Simulador!$E$6)/Simulador!$G$6)/Simulador!$B$11))/2,IF((($A340-Simulador!$E$6)/Simulador!$G$6)&gt;1-Simulador!$B$11,Simulador!$B$9*(1-COS(PI()*(1-(($A340-Simulador!$E$6)/Simulador!$G$6))/Simulador!$B$11))/2,Simulador!$B$9)))</f>
        <v/>
      </c>
      <c r="D340" s="46">
        <f>IF(OR((($A340-Simulador!$E$7)/Simulador!$G$7)&lt;=0,(($A340-Simulador!$E$7)/Simulador!$G$7)&gt;=1),0,IF((($A340-Simulador!$E$7)/Simulador!$G$7)&lt;Simulador!$B$11,Simulador!$B$9*(1-COS(PI()*(($A340-Simulador!$E$7)/Simulador!$G$7)/Simulador!$B$11))/2,IF((($A340-Simulador!$E$7)/Simulador!$G$7)&gt;1-Simulador!$B$11,Simulador!$B$9*(1-COS(PI()*(1-(($A340-Simulador!$E$7)/Simulador!$G$7))/Simulador!$B$11))/2,Simulador!$B$9)))</f>
        <v/>
      </c>
      <c r="E340" s="46">
        <f>IF(OR((($A340-Simulador!$E$8)/Simulador!$G$8)&lt;=0,(($A340-Simulador!$E$8)/Simulador!$G$8)&gt;=1),0,IF((($A340-Simulador!$E$8)/Simulador!$G$8)&lt;Simulador!$B$11,Simulador!$B$10*(1-COS(PI()*(($A340-Simulador!$E$8)/Simulador!$G$8)/Simulador!$B$11))/2,IF((($A340-Simulador!$E$8)/Simulador!$G$8)&gt;1-Simulador!$B$11,Simulador!$B$10*(1-COS(PI()*(1-(($A340-Simulador!$E$8)/Simulador!$G$8))/Simulador!$B$11))/2,Simulador!$B$10)))</f>
        <v/>
      </c>
      <c r="F340" s="46">
        <f>IF(OR((($A340-Simulador!$E$9)/Simulador!$G$9)&lt;=0,(($A340-Simulador!$E$9)/Simulador!$G$9)&gt;=1),0,IF((($A340-Simulador!$E$9)/Simulador!$G$9)&lt;Simulador!$B$11,Simulador!$B$10*(1-COS(PI()*(($A340-Simulador!$E$9)/Simulador!$G$9)/Simulador!$B$11))/2,IF((($A340-Simulador!$E$9)/Simulador!$G$9)&gt;1-Simulador!$B$11,Simulador!$B$10*(1-COS(PI()*(1-(($A340-Simulador!$E$9)/Simulador!$G$9))/Simulador!$B$11))/2,Simulador!$B$10)))</f>
        <v/>
      </c>
      <c r="G340" s="46">
        <f>IF(OR((($A340-Simulador!$E$10)/Simulador!$G$10)&lt;=0,(($A340-Simulador!$E$10)/Simulador!$G$10)&gt;=1),0,IF((($A340-Simulador!$E$10)/Simulador!$G$10)&lt;Simulador!$B$11,Simulador!$B$10*(1-COS(PI()*(($A340-Simulador!$E$10)/Simulador!$G$10)/Simulador!$B$11))/2,IF((($A340-Simulador!$E$10)/Simulador!$G$10)&gt;1-Simulador!$B$11,Simulador!$B$10*(1-COS(PI()*(1-(($A340-Simulador!$E$10)/Simulador!$G$10))/Simulador!$B$11))/2,Simulador!$B$10)))</f>
        <v/>
      </c>
      <c r="Q340" s="48">
        <f>IF(OR((($A340-(Simulador!$E$6+'Salto de dientes'!$B$12))/Simulador!$G$6)&lt;=0,(($A340-(Simulador!$E$6+'Salto de dientes'!$B$12))/Simulador!$G$6)&gt;=1),0,IF((($A340-(Simulador!$E$6+'Salto de dientes'!$B$12))/Simulador!$G$6)&lt;Simulador!$B$11,Simulador!$B$9*(1-COS(PI()*(($A340-(Simulador!$E$6+'Salto de dientes'!$B$12))/Simulador!$G$6)/Simulador!$B$11))/2,IF((($A340-(Simulador!$E$6+'Salto de dientes'!$B$12))/Simulador!$G$6)&gt;1-Simulador!$B$11,Simulador!$B$9*(1-COS(PI()*(1-(($A340-(Simulador!$E$6+'Salto de dientes'!$B$12))/Simulador!$G$6))/Simulador!$B$11))/2,Simulador!$B$9)))</f>
        <v/>
      </c>
      <c r="R340" s="48">
        <f>IF(OR((($A340-(Simulador!$E$9+'Salto de dientes'!$B$12))/Simulador!$G$9)&lt;=0,(($A340-(Simulador!$E$9+'Salto de dientes'!$B$12))/Simulador!$G$9)&gt;=1),0,IF((($A340-(Simulador!$E$9+'Salto de dientes'!$B$12))/Simulador!$G$9)&lt;Simulador!$B$11,Simulador!$B$10*(1-COS(PI()*(($A340-(Simulador!$E$9+'Salto de dientes'!$B$12))/Simulador!$G$9)/Simulador!$B$11))/2,IF((($A340-(Simulador!$E$9+'Salto de dientes'!$B$12))/Simulador!$G$9)&gt;1-Simulador!$B$11,Simulador!$B$10*(1-COS(PI()*(1-(($A340-(Simulador!$E$9+'Salto de dientes'!$B$12))/Simulador!$G$9))/Simulador!$B$11))/2,Simulador!$B$10)))</f>
        <v/>
      </c>
    </row>
    <row r="341">
      <c r="A341" s="26">
        <f>A340+Simulador!$B$14</f>
        <v/>
      </c>
      <c r="B341" s="46">
        <f>IF(OR((($A341-Simulador!$E$5)/Simulador!$G$5)&lt;=0,(($A341-Simulador!$E$5)/Simulador!$G$5)&gt;=1),0,IF((($A341-Simulador!$E$5)/Simulador!$G$5)&lt;Simulador!$B$11,Simulador!$B$9*(1-COS(PI()*(($A341-Simulador!$E$5)/Simulador!$G$5)/Simulador!$B$11))/2,IF((($A341-Simulador!$E$5)/Simulador!$G$5)&gt;1-Simulador!$B$11,Simulador!$B$9*(1-COS(PI()*(1-(($A341-Simulador!$E$5)/Simulador!$G$5))/Simulador!$B$11))/2,Simulador!$B$9)))</f>
        <v/>
      </c>
      <c r="C341" s="46">
        <f>IF(OR((($A341-Simulador!$E$6)/Simulador!$G$6)&lt;=0,(($A341-Simulador!$E$6)/Simulador!$G$6)&gt;=1),0,IF((($A341-Simulador!$E$6)/Simulador!$G$6)&lt;Simulador!$B$11,Simulador!$B$9*(1-COS(PI()*(($A341-Simulador!$E$6)/Simulador!$G$6)/Simulador!$B$11))/2,IF((($A341-Simulador!$E$6)/Simulador!$G$6)&gt;1-Simulador!$B$11,Simulador!$B$9*(1-COS(PI()*(1-(($A341-Simulador!$E$6)/Simulador!$G$6))/Simulador!$B$11))/2,Simulador!$B$9)))</f>
        <v/>
      </c>
      <c r="D341" s="46">
        <f>IF(OR((($A341-Simulador!$E$7)/Simulador!$G$7)&lt;=0,(($A341-Simulador!$E$7)/Simulador!$G$7)&gt;=1),0,IF((($A341-Simulador!$E$7)/Simulador!$G$7)&lt;Simulador!$B$11,Simulador!$B$9*(1-COS(PI()*(($A341-Simulador!$E$7)/Simulador!$G$7)/Simulador!$B$11))/2,IF((($A341-Simulador!$E$7)/Simulador!$G$7)&gt;1-Simulador!$B$11,Simulador!$B$9*(1-COS(PI()*(1-(($A341-Simulador!$E$7)/Simulador!$G$7))/Simulador!$B$11))/2,Simulador!$B$9)))</f>
        <v/>
      </c>
      <c r="E341" s="46">
        <f>IF(OR((($A341-Simulador!$E$8)/Simulador!$G$8)&lt;=0,(($A341-Simulador!$E$8)/Simulador!$G$8)&gt;=1),0,IF((($A341-Simulador!$E$8)/Simulador!$G$8)&lt;Simulador!$B$11,Simulador!$B$10*(1-COS(PI()*(($A341-Simulador!$E$8)/Simulador!$G$8)/Simulador!$B$11))/2,IF((($A341-Simulador!$E$8)/Simulador!$G$8)&gt;1-Simulador!$B$11,Simulador!$B$10*(1-COS(PI()*(1-(($A341-Simulador!$E$8)/Simulador!$G$8))/Simulador!$B$11))/2,Simulador!$B$10)))</f>
        <v/>
      </c>
      <c r="F341" s="46">
        <f>IF(OR((($A341-Simulador!$E$9)/Simulador!$G$9)&lt;=0,(($A341-Simulador!$E$9)/Simulador!$G$9)&gt;=1),0,IF((($A341-Simulador!$E$9)/Simulador!$G$9)&lt;Simulador!$B$11,Simulador!$B$10*(1-COS(PI()*(($A341-Simulador!$E$9)/Simulador!$G$9)/Simulador!$B$11))/2,IF((($A341-Simulador!$E$9)/Simulador!$G$9)&gt;1-Simulador!$B$11,Simulador!$B$10*(1-COS(PI()*(1-(($A341-Simulador!$E$9)/Simulador!$G$9))/Simulador!$B$11))/2,Simulador!$B$10)))</f>
        <v/>
      </c>
      <c r="G341" s="46">
        <f>IF(OR((($A341-Simulador!$E$10)/Simulador!$G$10)&lt;=0,(($A341-Simulador!$E$10)/Simulador!$G$10)&gt;=1),0,IF((($A341-Simulador!$E$10)/Simulador!$G$10)&lt;Simulador!$B$11,Simulador!$B$10*(1-COS(PI()*(($A341-Simulador!$E$10)/Simulador!$G$10)/Simulador!$B$11))/2,IF((($A341-Simulador!$E$10)/Simulador!$G$10)&gt;1-Simulador!$B$11,Simulador!$B$10*(1-COS(PI()*(1-(($A341-Simulador!$E$10)/Simulador!$G$10))/Simulador!$B$11))/2,Simulador!$B$10)))</f>
        <v/>
      </c>
      <c r="Q341" s="48">
        <f>IF(OR((($A341-(Simulador!$E$6+'Salto de dientes'!$B$12))/Simulador!$G$6)&lt;=0,(($A341-(Simulador!$E$6+'Salto de dientes'!$B$12))/Simulador!$G$6)&gt;=1),0,IF((($A341-(Simulador!$E$6+'Salto de dientes'!$B$12))/Simulador!$G$6)&lt;Simulador!$B$11,Simulador!$B$9*(1-COS(PI()*(($A341-(Simulador!$E$6+'Salto de dientes'!$B$12))/Simulador!$G$6)/Simulador!$B$11))/2,IF((($A341-(Simulador!$E$6+'Salto de dientes'!$B$12))/Simulador!$G$6)&gt;1-Simulador!$B$11,Simulador!$B$9*(1-COS(PI()*(1-(($A341-(Simulador!$E$6+'Salto de dientes'!$B$12))/Simulador!$G$6))/Simulador!$B$11))/2,Simulador!$B$9)))</f>
        <v/>
      </c>
      <c r="R341" s="48">
        <f>IF(OR((($A341-(Simulador!$E$9+'Salto de dientes'!$B$12))/Simulador!$G$9)&lt;=0,(($A341-(Simulador!$E$9+'Salto de dientes'!$B$12))/Simulador!$G$9)&gt;=1),0,IF((($A341-(Simulador!$E$9+'Salto de dientes'!$B$12))/Simulador!$G$9)&lt;Simulador!$B$11,Simulador!$B$10*(1-COS(PI()*(($A341-(Simulador!$E$9+'Salto de dientes'!$B$12))/Simulador!$G$9)/Simulador!$B$11))/2,IF((($A341-(Simulador!$E$9+'Salto de dientes'!$B$12))/Simulador!$G$9)&gt;1-Simulador!$B$11,Simulador!$B$10*(1-COS(PI()*(1-(($A341-(Simulador!$E$9+'Salto de dientes'!$B$12))/Simulador!$G$9))/Simulador!$B$11))/2,Simulador!$B$10)))</f>
        <v/>
      </c>
    </row>
    <row r="342">
      <c r="A342" s="26">
        <f>A341+Simulador!$B$14</f>
        <v/>
      </c>
      <c r="B342" s="46">
        <f>IF(OR((($A342-Simulador!$E$5)/Simulador!$G$5)&lt;=0,(($A342-Simulador!$E$5)/Simulador!$G$5)&gt;=1),0,IF((($A342-Simulador!$E$5)/Simulador!$G$5)&lt;Simulador!$B$11,Simulador!$B$9*(1-COS(PI()*(($A342-Simulador!$E$5)/Simulador!$G$5)/Simulador!$B$11))/2,IF((($A342-Simulador!$E$5)/Simulador!$G$5)&gt;1-Simulador!$B$11,Simulador!$B$9*(1-COS(PI()*(1-(($A342-Simulador!$E$5)/Simulador!$G$5))/Simulador!$B$11))/2,Simulador!$B$9)))</f>
        <v/>
      </c>
      <c r="C342" s="46">
        <f>IF(OR((($A342-Simulador!$E$6)/Simulador!$G$6)&lt;=0,(($A342-Simulador!$E$6)/Simulador!$G$6)&gt;=1),0,IF((($A342-Simulador!$E$6)/Simulador!$G$6)&lt;Simulador!$B$11,Simulador!$B$9*(1-COS(PI()*(($A342-Simulador!$E$6)/Simulador!$G$6)/Simulador!$B$11))/2,IF((($A342-Simulador!$E$6)/Simulador!$G$6)&gt;1-Simulador!$B$11,Simulador!$B$9*(1-COS(PI()*(1-(($A342-Simulador!$E$6)/Simulador!$G$6))/Simulador!$B$11))/2,Simulador!$B$9)))</f>
        <v/>
      </c>
      <c r="D342" s="46">
        <f>IF(OR((($A342-Simulador!$E$7)/Simulador!$G$7)&lt;=0,(($A342-Simulador!$E$7)/Simulador!$G$7)&gt;=1),0,IF((($A342-Simulador!$E$7)/Simulador!$G$7)&lt;Simulador!$B$11,Simulador!$B$9*(1-COS(PI()*(($A342-Simulador!$E$7)/Simulador!$G$7)/Simulador!$B$11))/2,IF((($A342-Simulador!$E$7)/Simulador!$G$7)&gt;1-Simulador!$B$11,Simulador!$B$9*(1-COS(PI()*(1-(($A342-Simulador!$E$7)/Simulador!$G$7))/Simulador!$B$11))/2,Simulador!$B$9)))</f>
        <v/>
      </c>
      <c r="E342" s="46">
        <f>IF(OR((($A342-Simulador!$E$8)/Simulador!$G$8)&lt;=0,(($A342-Simulador!$E$8)/Simulador!$G$8)&gt;=1),0,IF((($A342-Simulador!$E$8)/Simulador!$G$8)&lt;Simulador!$B$11,Simulador!$B$10*(1-COS(PI()*(($A342-Simulador!$E$8)/Simulador!$G$8)/Simulador!$B$11))/2,IF((($A342-Simulador!$E$8)/Simulador!$G$8)&gt;1-Simulador!$B$11,Simulador!$B$10*(1-COS(PI()*(1-(($A342-Simulador!$E$8)/Simulador!$G$8))/Simulador!$B$11))/2,Simulador!$B$10)))</f>
        <v/>
      </c>
      <c r="F342" s="46">
        <f>IF(OR((($A342-Simulador!$E$9)/Simulador!$G$9)&lt;=0,(($A342-Simulador!$E$9)/Simulador!$G$9)&gt;=1),0,IF((($A342-Simulador!$E$9)/Simulador!$G$9)&lt;Simulador!$B$11,Simulador!$B$10*(1-COS(PI()*(($A342-Simulador!$E$9)/Simulador!$G$9)/Simulador!$B$11))/2,IF((($A342-Simulador!$E$9)/Simulador!$G$9)&gt;1-Simulador!$B$11,Simulador!$B$10*(1-COS(PI()*(1-(($A342-Simulador!$E$9)/Simulador!$G$9))/Simulador!$B$11))/2,Simulador!$B$10)))</f>
        <v/>
      </c>
      <c r="G342" s="46">
        <f>IF(OR((($A342-Simulador!$E$10)/Simulador!$G$10)&lt;=0,(($A342-Simulador!$E$10)/Simulador!$G$10)&gt;=1),0,IF((($A342-Simulador!$E$10)/Simulador!$G$10)&lt;Simulador!$B$11,Simulador!$B$10*(1-COS(PI()*(($A342-Simulador!$E$10)/Simulador!$G$10)/Simulador!$B$11))/2,IF((($A342-Simulador!$E$10)/Simulador!$G$10)&gt;1-Simulador!$B$11,Simulador!$B$10*(1-COS(PI()*(1-(($A342-Simulador!$E$10)/Simulador!$G$10))/Simulador!$B$11))/2,Simulador!$B$10)))</f>
        <v/>
      </c>
      <c r="Q342" s="48">
        <f>IF(OR((($A342-(Simulador!$E$6+'Salto de dientes'!$B$12))/Simulador!$G$6)&lt;=0,(($A342-(Simulador!$E$6+'Salto de dientes'!$B$12))/Simulador!$G$6)&gt;=1),0,IF((($A342-(Simulador!$E$6+'Salto de dientes'!$B$12))/Simulador!$G$6)&lt;Simulador!$B$11,Simulador!$B$9*(1-COS(PI()*(($A342-(Simulador!$E$6+'Salto de dientes'!$B$12))/Simulador!$G$6)/Simulador!$B$11))/2,IF((($A342-(Simulador!$E$6+'Salto de dientes'!$B$12))/Simulador!$G$6)&gt;1-Simulador!$B$11,Simulador!$B$9*(1-COS(PI()*(1-(($A342-(Simulador!$E$6+'Salto de dientes'!$B$12))/Simulador!$G$6))/Simulador!$B$11))/2,Simulador!$B$9)))</f>
        <v/>
      </c>
      <c r="R342" s="48">
        <f>IF(OR((($A342-(Simulador!$E$9+'Salto de dientes'!$B$12))/Simulador!$G$9)&lt;=0,(($A342-(Simulador!$E$9+'Salto de dientes'!$B$12))/Simulador!$G$9)&gt;=1),0,IF((($A342-(Simulador!$E$9+'Salto de dientes'!$B$12))/Simulador!$G$9)&lt;Simulador!$B$11,Simulador!$B$10*(1-COS(PI()*(($A342-(Simulador!$E$9+'Salto de dientes'!$B$12))/Simulador!$G$9)/Simulador!$B$11))/2,IF((($A342-(Simulador!$E$9+'Salto de dientes'!$B$12))/Simulador!$G$9)&gt;1-Simulador!$B$11,Simulador!$B$10*(1-COS(PI()*(1-(($A342-(Simulador!$E$9+'Salto de dientes'!$B$12))/Simulador!$G$9))/Simulador!$B$11))/2,Simulador!$B$10)))</f>
        <v/>
      </c>
    </row>
    <row r="343">
      <c r="A343" s="26">
        <f>A342+Simulador!$B$14</f>
        <v/>
      </c>
      <c r="B343" s="46">
        <f>IF(OR((($A343-Simulador!$E$5)/Simulador!$G$5)&lt;=0,(($A343-Simulador!$E$5)/Simulador!$G$5)&gt;=1),0,IF((($A343-Simulador!$E$5)/Simulador!$G$5)&lt;Simulador!$B$11,Simulador!$B$9*(1-COS(PI()*(($A343-Simulador!$E$5)/Simulador!$G$5)/Simulador!$B$11))/2,IF((($A343-Simulador!$E$5)/Simulador!$G$5)&gt;1-Simulador!$B$11,Simulador!$B$9*(1-COS(PI()*(1-(($A343-Simulador!$E$5)/Simulador!$G$5))/Simulador!$B$11))/2,Simulador!$B$9)))</f>
        <v/>
      </c>
      <c r="C343" s="46">
        <f>IF(OR((($A343-Simulador!$E$6)/Simulador!$G$6)&lt;=0,(($A343-Simulador!$E$6)/Simulador!$G$6)&gt;=1),0,IF((($A343-Simulador!$E$6)/Simulador!$G$6)&lt;Simulador!$B$11,Simulador!$B$9*(1-COS(PI()*(($A343-Simulador!$E$6)/Simulador!$G$6)/Simulador!$B$11))/2,IF((($A343-Simulador!$E$6)/Simulador!$G$6)&gt;1-Simulador!$B$11,Simulador!$B$9*(1-COS(PI()*(1-(($A343-Simulador!$E$6)/Simulador!$G$6))/Simulador!$B$11))/2,Simulador!$B$9)))</f>
        <v/>
      </c>
      <c r="D343" s="46">
        <f>IF(OR((($A343-Simulador!$E$7)/Simulador!$G$7)&lt;=0,(($A343-Simulador!$E$7)/Simulador!$G$7)&gt;=1),0,IF((($A343-Simulador!$E$7)/Simulador!$G$7)&lt;Simulador!$B$11,Simulador!$B$9*(1-COS(PI()*(($A343-Simulador!$E$7)/Simulador!$G$7)/Simulador!$B$11))/2,IF((($A343-Simulador!$E$7)/Simulador!$G$7)&gt;1-Simulador!$B$11,Simulador!$B$9*(1-COS(PI()*(1-(($A343-Simulador!$E$7)/Simulador!$G$7))/Simulador!$B$11))/2,Simulador!$B$9)))</f>
        <v/>
      </c>
      <c r="E343" s="46">
        <f>IF(OR((($A343-Simulador!$E$8)/Simulador!$G$8)&lt;=0,(($A343-Simulador!$E$8)/Simulador!$G$8)&gt;=1),0,IF((($A343-Simulador!$E$8)/Simulador!$G$8)&lt;Simulador!$B$11,Simulador!$B$10*(1-COS(PI()*(($A343-Simulador!$E$8)/Simulador!$G$8)/Simulador!$B$11))/2,IF((($A343-Simulador!$E$8)/Simulador!$G$8)&gt;1-Simulador!$B$11,Simulador!$B$10*(1-COS(PI()*(1-(($A343-Simulador!$E$8)/Simulador!$G$8))/Simulador!$B$11))/2,Simulador!$B$10)))</f>
        <v/>
      </c>
      <c r="F343" s="46">
        <f>IF(OR((($A343-Simulador!$E$9)/Simulador!$G$9)&lt;=0,(($A343-Simulador!$E$9)/Simulador!$G$9)&gt;=1),0,IF((($A343-Simulador!$E$9)/Simulador!$G$9)&lt;Simulador!$B$11,Simulador!$B$10*(1-COS(PI()*(($A343-Simulador!$E$9)/Simulador!$G$9)/Simulador!$B$11))/2,IF((($A343-Simulador!$E$9)/Simulador!$G$9)&gt;1-Simulador!$B$11,Simulador!$B$10*(1-COS(PI()*(1-(($A343-Simulador!$E$9)/Simulador!$G$9))/Simulador!$B$11))/2,Simulador!$B$10)))</f>
        <v/>
      </c>
      <c r="G343" s="46">
        <f>IF(OR((($A343-Simulador!$E$10)/Simulador!$G$10)&lt;=0,(($A343-Simulador!$E$10)/Simulador!$G$10)&gt;=1),0,IF((($A343-Simulador!$E$10)/Simulador!$G$10)&lt;Simulador!$B$11,Simulador!$B$10*(1-COS(PI()*(($A343-Simulador!$E$10)/Simulador!$G$10)/Simulador!$B$11))/2,IF((($A343-Simulador!$E$10)/Simulador!$G$10)&gt;1-Simulador!$B$11,Simulador!$B$10*(1-COS(PI()*(1-(($A343-Simulador!$E$10)/Simulador!$G$10))/Simulador!$B$11))/2,Simulador!$B$10)))</f>
        <v/>
      </c>
      <c r="Q343" s="48">
        <f>IF(OR((($A343-(Simulador!$E$6+'Salto de dientes'!$B$12))/Simulador!$G$6)&lt;=0,(($A343-(Simulador!$E$6+'Salto de dientes'!$B$12))/Simulador!$G$6)&gt;=1),0,IF((($A343-(Simulador!$E$6+'Salto de dientes'!$B$12))/Simulador!$G$6)&lt;Simulador!$B$11,Simulador!$B$9*(1-COS(PI()*(($A343-(Simulador!$E$6+'Salto de dientes'!$B$12))/Simulador!$G$6)/Simulador!$B$11))/2,IF((($A343-(Simulador!$E$6+'Salto de dientes'!$B$12))/Simulador!$G$6)&gt;1-Simulador!$B$11,Simulador!$B$9*(1-COS(PI()*(1-(($A343-(Simulador!$E$6+'Salto de dientes'!$B$12))/Simulador!$G$6))/Simulador!$B$11))/2,Simulador!$B$9)))</f>
        <v/>
      </c>
      <c r="R343" s="48">
        <f>IF(OR((($A343-(Simulador!$E$9+'Salto de dientes'!$B$12))/Simulador!$G$9)&lt;=0,(($A343-(Simulador!$E$9+'Salto de dientes'!$B$12))/Simulador!$G$9)&gt;=1),0,IF((($A343-(Simulador!$E$9+'Salto de dientes'!$B$12))/Simulador!$G$9)&lt;Simulador!$B$11,Simulador!$B$10*(1-COS(PI()*(($A343-(Simulador!$E$9+'Salto de dientes'!$B$12))/Simulador!$G$9)/Simulador!$B$11))/2,IF((($A343-(Simulador!$E$9+'Salto de dientes'!$B$12))/Simulador!$G$9)&gt;1-Simulador!$B$11,Simulador!$B$10*(1-COS(PI()*(1-(($A343-(Simulador!$E$9+'Salto de dientes'!$B$12))/Simulador!$G$9))/Simulador!$B$11))/2,Simulador!$B$10)))</f>
        <v/>
      </c>
    </row>
    <row r="344">
      <c r="A344" s="26">
        <f>A343+Simulador!$B$14</f>
        <v/>
      </c>
      <c r="B344" s="46">
        <f>IF(OR((($A344-Simulador!$E$5)/Simulador!$G$5)&lt;=0,(($A344-Simulador!$E$5)/Simulador!$G$5)&gt;=1),0,IF((($A344-Simulador!$E$5)/Simulador!$G$5)&lt;Simulador!$B$11,Simulador!$B$9*(1-COS(PI()*(($A344-Simulador!$E$5)/Simulador!$G$5)/Simulador!$B$11))/2,IF((($A344-Simulador!$E$5)/Simulador!$G$5)&gt;1-Simulador!$B$11,Simulador!$B$9*(1-COS(PI()*(1-(($A344-Simulador!$E$5)/Simulador!$G$5))/Simulador!$B$11))/2,Simulador!$B$9)))</f>
        <v/>
      </c>
      <c r="C344" s="46">
        <f>IF(OR((($A344-Simulador!$E$6)/Simulador!$G$6)&lt;=0,(($A344-Simulador!$E$6)/Simulador!$G$6)&gt;=1),0,IF((($A344-Simulador!$E$6)/Simulador!$G$6)&lt;Simulador!$B$11,Simulador!$B$9*(1-COS(PI()*(($A344-Simulador!$E$6)/Simulador!$G$6)/Simulador!$B$11))/2,IF((($A344-Simulador!$E$6)/Simulador!$G$6)&gt;1-Simulador!$B$11,Simulador!$B$9*(1-COS(PI()*(1-(($A344-Simulador!$E$6)/Simulador!$G$6))/Simulador!$B$11))/2,Simulador!$B$9)))</f>
        <v/>
      </c>
      <c r="D344" s="46">
        <f>IF(OR((($A344-Simulador!$E$7)/Simulador!$G$7)&lt;=0,(($A344-Simulador!$E$7)/Simulador!$G$7)&gt;=1),0,IF((($A344-Simulador!$E$7)/Simulador!$G$7)&lt;Simulador!$B$11,Simulador!$B$9*(1-COS(PI()*(($A344-Simulador!$E$7)/Simulador!$G$7)/Simulador!$B$11))/2,IF((($A344-Simulador!$E$7)/Simulador!$G$7)&gt;1-Simulador!$B$11,Simulador!$B$9*(1-COS(PI()*(1-(($A344-Simulador!$E$7)/Simulador!$G$7))/Simulador!$B$11))/2,Simulador!$B$9)))</f>
        <v/>
      </c>
      <c r="E344" s="46">
        <f>IF(OR((($A344-Simulador!$E$8)/Simulador!$G$8)&lt;=0,(($A344-Simulador!$E$8)/Simulador!$G$8)&gt;=1),0,IF((($A344-Simulador!$E$8)/Simulador!$G$8)&lt;Simulador!$B$11,Simulador!$B$10*(1-COS(PI()*(($A344-Simulador!$E$8)/Simulador!$G$8)/Simulador!$B$11))/2,IF((($A344-Simulador!$E$8)/Simulador!$G$8)&gt;1-Simulador!$B$11,Simulador!$B$10*(1-COS(PI()*(1-(($A344-Simulador!$E$8)/Simulador!$G$8))/Simulador!$B$11))/2,Simulador!$B$10)))</f>
        <v/>
      </c>
      <c r="F344" s="46">
        <f>IF(OR((($A344-Simulador!$E$9)/Simulador!$G$9)&lt;=0,(($A344-Simulador!$E$9)/Simulador!$G$9)&gt;=1),0,IF((($A344-Simulador!$E$9)/Simulador!$G$9)&lt;Simulador!$B$11,Simulador!$B$10*(1-COS(PI()*(($A344-Simulador!$E$9)/Simulador!$G$9)/Simulador!$B$11))/2,IF((($A344-Simulador!$E$9)/Simulador!$G$9)&gt;1-Simulador!$B$11,Simulador!$B$10*(1-COS(PI()*(1-(($A344-Simulador!$E$9)/Simulador!$G$9))/Simulador!$B$11))/2,Simulador!$B$10)))</f>
        <v/>
      </c>
      <c r="G344" s="46">
        <f>IF(OR((($A344-Simulador!$E$10)/Simulador!$G$10)&lt;=0,(($A344-Simulador!$E$10)/Simulador!$G$10)&gt;=1),0,IF((($A344-Simulador!$E$10)/Simulador!$G$10)&lt;Simulador!$B$11,Simulador!$B$10*(1-COS(PI()*(($A344-Simulador!$E$10)/Simulador!$G$10)/Simulador!$B$11))/2,IF((($A344-Simulador!$E$10)/Simulador!$G$10)&gt;1-Simulador!$B$11,Simulador!$B$10*(1-COS(PI()*(1-(($A344-Simulador!$E$10)/Simulador!$G$10))/Simulador!$B$11))/2,Simulador!$B$10)))</f>
        <v/>
      </c>
      <c r="Q344" s="48">
        <f>IF(OR((($A344-(Simulador!$E$6+'Salto de dientes'!$B$12))/Simulador!$G$6)&lt;=0,(($A344-(Simulador!$E$6+'Salto de dientes'!$B$12))/Simulador!$G$6)&gt;=1),0,IF((($A344-(Simulador!$E$6+'Salto de dientes'!$B$12))/Simulador!$G$6)&lt;Simulador!$B$11,Simulador!$B$9*(1-COS(PI()*(($A344-(Simulador!$E$6+'Salto de dientes'!$B$12))/Simulador!$G$6)/Simulador!$B$11))/2,IF((($A344-(Simulador!$E$6+'Salto de dientes'!$B$12))/Simulador!$G$6)&gt;1-Simulador!$B$11,Simulador!$B$9*(1-COS(PI()*(1-(($A344-(Simulador!$E$6+'Salto de dientes'!$B$12))/Simulador!$G$6))/Simulador!$B$11))/2,Simulador!$B$9)))</f>
        <v/>
      </c>
      <c r="R344" s="48">
        <f>IF(OR((($A344-(Simulador!$E$9+'Salto de dientes'!$B$12))/Simulador!$G$9)&lt;=0,(($A344-(Simulador!$E$9+'Salto de dientes'!$B$12))/Simulador!$G$9)&gt;=1),0,IF((($A344-(Simulador!$E$9+'Salto de dientes'!$B$12))/Simulador!$G$9)&lt;Simulador!$B$11,Simulador!$B$10*(1-COS(PI()*(($A344-(Simulador!$E$9+'Salto de dientes'!$B$12))/Simulador!$G$9)/Simulador!$B$11))/2,IF((($A344-(Simulador!$E$9+'Salto de dientes'!$B$12))/Simulador!$G$9)&gt;1-Simulador!$B$11,Simulador!$B$10*(1-COS(PI()*(1-(($A344-(Simulador!$E$9+'Salto de dientes'!$B$12))/Simulador!$G$9))/Simulador!$B$11))/2,Simulador!$B$10)))</f>
        <v/>
      </c>
    </row>
    <row r="345">
      <c r="A345" s="26">
        <f>A344+Simulador!$B$14</f>
        <v/>
      </c>
      <c r="B345" s="46">
        <f>IF(OR((($A345-Simulador!$E$5)/Simulador!$G$5)&lt;=0,(($A345-Simulador!$E$5)/Simulador!$G$5)&gt;=1),0,IF((($A345-Simulador!$E$5)/Simulador!$G$5)&lt;Simulador!$B$11,Simulador!$B$9*(1-COS(PI()*(($A345-Simulador!$E$5)/Simulador!$G$5)/Simulador!$B$11))/2,IF((($A345-Simulador!$E$5)/Simulador!$G$5)&gt;1-Simulador!$B$11,Simulador!$B$9*(1-COS(PI()*(1-(($A345-Simulador!$E$5)/Simulador!$G$5))/Simulador!$B$11))/2,Simulador!$B$9)))</f>
        <v/>
      </c>
      <c r="C345" s="46">
        <f>IF(OR((($A345-Simulador!$E$6)/Simulador!$G$6)&lt;=0,(($A345-Simulador!$E$6)/Simulador!$G$6)&gt;=1),0,IF((($A345-Simulador!$E$6)/Simulador!$G$6)&lt;Simulador!$B$11,Simulador!$B$9*(1-COS(PI()*(($A345-Simulador!$E$6)/Simulador!$G$6)/Simulador!$B$11))/2,IF((($A345-Simulador!$E$6)/Simulador!$G$6)&gt;1-Simulador!$B$11,Simulador!$B$9*(1-COS(PI()*(1-(($A345-Simulador!$E$6)/Simulador!$G$6))/Simulador!$B$11))/2,Simulador!$B$9)))</f>
        <v/>
      </c>
      <c r="D345" s="46">
        <f>IF(OR((($A345-Simulador!$E$7)/Simulador!$G$7)&lt;=0,(($A345-Simulador!$E$7)/Simulador!$G$7)&gt;=1),0,IF((($A345-Simulador!$E$7)/Simulador!$G$7)&lt;Simulador!$B$11,Simulador!$B$9*(1-COS(PI()*(($A345-Simulador!$E$7)/Simulador!$G$7)/Simulador!$B$11))/2,IF((($A345-Simulador!$E$7)/Simulador!$G$7)&gt;1-Simulador!$B$11,Simulador!$B$9*(1-COS(PI()*(1-(($A345-Simulador!$E$7)/Simulador!$G$7))/Simulador!$B$11))/2,Simulador!$B$9)))</f>
        <v/>
      </c>
      <c r="E345" s="46">
        <f>IF(OR((($A345-Simulador!$E$8)/Simulador!$G$8)&lt;=0,(($A345-Simulador!$E$8)/Simulador!$G$8)&gt;=1),0,IF((($A345-Simulador!$E$8)/Simulador!$G$8)&lt;Simulador!$B$11,Simulador!$B$10*(1-COS(PI()*(($A345-Simulador!$E$8)/Simulador!$G$8)/Simulador!$B$11))/2,IF((($A345-Simulador!$E$8)/Simulador!$G$8)&gt;1-Simulador!$B$11,Simulador!$B$10*(1-COS(PI()*(1-(($A345-Simulador!$E$8)/Simulador!$G$8))/Simulador!$B$11))/2,Simulador!$B$10)))</f>
        <v/>
      </c>
      <c r="F345" s="46">
        <f>IF(OR((($A345-Simulador!$E$9)/Simulador!$G$9)&lt;=0,(($A345-Simulador!$E$9)/Simulador!$G$9)&gt;=1),0,IF((($A345-Simulador!$E$9)/Simulador!$G$9)&lt;Simulador!$B$11,Simulador!$B$10*(1-COS(PI()*(($A345-Simulador!$E$9)/Simulador!$G$9)/Simulador!$B$11))/2,IF((($A345-Simulador!$E$9)/Simulador!$G$9)&gt;1-Simulador!$B$11,Simulador!$B$10*(1-COS(PI()*(1-(($A345-Simulador!$E$9)/Simulador!$G$9))/Simulador!$B$11))/2,Simulador!$B$10)))</f>
        <v/>
      </c>
      <c r="G345" s="46">
        <f>IF(OR((($A345-Simulador!$E$10)/Simulador!$G$10)&lt;=0,(($A345-Simulador!$E$10)/Simulador!$G$10)&gt;=1),0,IF((($A345-Simulador!$E$10)/Simulador!$G$10)&lt;Simulador!$B$11,Simulador!$B$10*(1-COS(PI()*(($A345-Simulador!$E$10)/Simulador!$G$10)/Simulador!$B$11))/2,IF((($A345-Simulador!$E$10)/Simulador!$G$10)&gt;1-Simulador!$B$11,Simulador!$B$10*(1-COS(PI()*(1-(($A345-Simulador!$E$10)/Simulador!$G$10))/Simulador!$B$11))/2,Simulador!$B$10)))</f>
        <v/>
      </c>
      <c r="Q345" s="48">
        <f>IF(OR((($A345-(Simulador!$E$6+'Salto de dientes'!$B$12))/Simulador!$G$6)&lt;=0,(($A345-(Simulador!$E$6+'Salto de dientes'!$B$12))/Simulador!$G$6)&gt;=1),0,IF((($A345-(Simulador!$E$6+'Salto de dientes'!$B$12))/Simulador!$G$6)&lt;Simulador!$B$11,Simulador!$B$9*(1-COS(PI()*(($A345-(Simulador!$E$6+'Salto de dientes'!$B$12))/Simulador!$G$6)/Simulador!$B$11))/2,IF((($A345-(Simulador!$E$6+'Salto de dientes'!$B$12))/Simulador!$G$6)&gt;1-Simulador!$B$11,Simulador!$B$9*(1-COS(PI()*(1-(($A345-(Simulador!$E$6+'Salto de dientes'!$B$12))/Simulador!$G$6))/Simulador!$B$11))/2,Simulador!$B$9)))</f>
        <v/>
      </c>
      <c r="R345" s="48">
        <f>IF(OR((($A345-(Simulador!$E$9+'Salto de dientes'!$B$12))/Simulador!$G$9)&lt;=0,(($A345-(Simulador!$E$9+'Salto de dientes'!$B$12))/Simulador!$G$9)&gt;=1),0,IF((($A345-(Simulador!$E$9+'Salto de dientes'!$B$12))/Simulador!$G$9)&lt;Simulador!$B$11,Simulador!$B$10*(1-COS(PI()*(($A345-(Simulador!$E$9+'Salto de dientes'!$B$12))/Simulador!$G$9)/Simulador!$B$11))/2,IF((($A345-(Simulador!$E$9+'Salto de dientes'!$B$12))/Simulador!$G$9)&gt;1-Simulador!$B$11,Simulador!$B$10*(1-COS(PI()*(1-(($A345-(Simulador!$E$9+'Salto de dientes'!$B$12))/Simulador!$G$9))/Simulador!$B$11))/2,Simulador!$B$10)))</f>
        <v/>
      </c>
    </row>
    <row r="346">
      <c r="A346" s="26">
        <f>A345+Simulador!$B$14</f>
        <v/>
      </c>
      <c r="B346" s="46">
        <f>IF(OR((($A346-Simulador!$E$5)/Simulador!$G$5)&lt;=0,(($A346-Simulador!$E$5)/Simulador!$G$5)&gt;=1),0,IF((($A346-Simulador!$E$5)/Simulador!$G$5)&lt;Simulador!$B$11,Simulador!$B$9*(1-COS(PI()*(($A346-Simulador!$E$5)/Simulador!$G$5)/Simulador!$B$11))/2,IF((($A346-Simulador!$E$5)/Simulador!$G$5)&gt;1-Simulador!$B$11,Simulador!$B$9*(1-COS(PI()*(1-(($A346-Simulador!$E$5)/Simulador!$G$5))/Simulador!$B$11))/2,Simulador!$B$9)))</f>
        <v/>
      </c>
      <c r="C346" s="46">
        <f>IF(OR((($A346-Simulador!$E$6)/Simulador!$G$6)&lt;=0,(($A346-Simulador!$E$6)/Simulador!$G$6)&gt;=1),0,IF((($A346-Simulador!$E$6)/Simulador!$G$6)&lt;Simulador!$B$11,Simulador!$B$9*(1-COS(PI()*(($A346-Simulador!$E$6)/Simulador!$G$6)/Simulador!$B$11))/2,IF((($A346-Simulador!$E$6)/Simulador!$G$6)&gt;1-Simulador!$B$11,Simulador!$B$9*(1-COS(PI()*(1-(($A346-Simulador!$E$6)/Simulador!$G$6))/Simulador!$B$11))/2,Simulador!$B$9)))</f>
        <v/>
      </c>
      <c r="D346" s="46">
        <f>IF(OR((($A346-Simulador!$E$7)/Simulador!$G$7)&lt;=0,(($A346-Simulador!$E$7)/Simulador!$G$7)&gt;=1),0,IF((($A346-Simulador!$E$7)/Simulador!$G$7)&lt;Simulador!$B$11,Simulador!$B$9*(1-COS(PI()*(($A346-Simulador!$E$7)/Simulador!$G$7)/Simulador!$B$11))/2,IF((($A346-Simulador!$E$7)/Simulador!$G$7)&gt;1-Simulador!$B$11,Simulador!$B$9*(1-COS(PI()*(1-(($A346-Simulador!$E$7)/Simulador!$G$7))/Simulador!$B$11))/2,Simulador!$B$9)))</f>
        <v/>
      </c>
      <c r="E346" s="46">
        <f>IF(OR((($A346-Simulador!$E$8)/Simulador!$G$8)&lt;=0,(($A346-Simulador!$E$8)/Simulador!$G$8)&gt;=1),0,IF((($A346-Simulador!$E$8)/Simulador!$G$8)&lt;Simulador!$B$11,Simulador!$B$10*(1-COS(PI()*(($A346-Simulador!$E$8)/Simulador!$G$8)/Simulador!$B$11))/2,IF((($A346-Simulador!$E$8)/Simulador!$G$8)&gt;1-Simulador!$B$11,Simulador!$B$10*(1-COS(PI()*(1-(($A346-Simulador!$E$8)/Simulador!$G$8))/Simulador!$B$11))/2,Simulador!$B$10)))</f>
        <v/>
      </c>
      <c r="F346" s="46">
        <f>IF(OR((($A346-Simulador!$E$9)/Simulador!$G$9)&lt;=0,(($A346-Simulador!$E$9)/Simulador!$G$9)&gt;=1),0,IF((($A346-Simulador!$E$9)/Simulador!$G$9)&lt;Simulador!$B$11,Simulador!$B$10*(1-COS(PI()*(($A346-Simulador!$E$9)/Simulador!$G$9)/Simulador!$B$11))/2,IF((($A346-Simulador!$E$9)/Simulador!$G$9)&gt;1-Simulador!$B$11,Simulador!$B$10*(1-COS(PI()*(1-(($A346-Simulador!$E$9)/Simulador!$G$9))/Simulador!$B$11))/2,Simulador!$B$10)))</f>
        <v/>
      </c>
      <c r="G346" s="46">
        <f>IF(OR((($A346-Simulador!$E$10)/Simulador!$G$10)&lt;=0,(($A346-Simulador!$E$10)/Simulador!$G$10)&gt;=1),0,IF((($A346-Simulador!$E$10)/Simulador!$G$10)&lt;Simulador!$B$11,Simulador!$B$10*(1-COS(PI()*(($A346-Simulador!$E$10)/Simulador!$G$10)/Simulador!$B$11))/2,IF((($A346-Simulador!$E$10)/Simulador!$G$10)&gt;1-Simulador!$B$11,Simulador!$B$10*(1-COS(PI()*(1-(($A346-Simulador!$E$10)/Simulador!$G$10))/Simulador!$B$11))/2,Simulador!$B$10)))</f>
        <v/>
      </c>
      <c r="Q346" s="48">
        <f>IF(OR((($A346-(Simulador!$E$6+'Salto de dientes'!$B$12))/Simulador!$G$6)&lt;=0,(($A346-(Simulador!$E$6+'Salto de dientes'!$B$12))/Simulador!$G$6)&gt;=1),0,IF((($A346-(Simulador!$E$6+'Salto de dientes'!$B$12))/Simulador!$G$6)&lt;Simulador!$B$11,Simulador!$B$9*(1-COS(PI()*(($A346-(Simulador!$E$6+'Salto de dientes'!$B$12))/Simulador!$G$6)/Simulador!$B$11))/2,IF((($A346-(Simulador!$E$6+'Salto de dientes'!$B$12))/Simulador!$G$6)&gt;1-Simulador!$B$11,Simulador!$B$9*(1-COS(PI()*(1-(($A346-(Simulador!$E$6+'Salto de dientes'!$B$12))/Simulador!$G$6))/Simulador!$B$11))/2,Simulador!$B$9)))</f>
        <v/>
      </c>
      <c r="R346" s="48">
        <f>IF(OR((($A346-(Simulador!$E$9+'Salto de dientes'!$B$12))/Simulador!$G$9)&lt;=0,(($A346-(Simulador!$E$9+'Salto de dientes'!$B$12))/Simulador!$G$9)&gt;=1),0,IF((($A346-(Simulador!$E$9+'Salto de dientes'!$B$12))/Simulador!$G$9)&lt;Simulador!$B$11,Simulador!$B$10*(1-COS(PI()*(($A346-(Simulador!$E$9+'Salto de dientes'!$B$12))/Simulador!$G$9)/Simulador!$B$11))/2,IF((($A346-(Simulador!$E$9+'Salto de dientes'!$B$12))/Simulador!$G$9)&gt;1-Simulador!$B$11,Simulador!$B$10*(1-COS(PI()*(1-(($A346-(Simulador!$E$9+'Salto de dientes'!$B$12))/Simulador!$G$9))/Simulador!$B$11))/2,Simulador!$B$10)))</f>
        <v/>
      </c>
    </row>
    <row r="347">
      <c r="A347" s="26">
        <f>A346+Simulador!$B$14</f>
        <v/>
      </c>
      <c r="B347" s="46">
        <f>IF(OR((($A347-Simulador!$E$5)/Simulador!$G$5)&lt;=0,(($A347-Simulador!$E$5)/Simulador!$G$5)&gt;=1),0,IF((($A347-Simulador!$E$5)/Simulador!$G$5)&lt;Simulador!$B$11,Simulador!$B$9*(1-COS(PI()*(($A347-Simulador!$E$5)/Simulador!$G$5)/Simulador!$B$11))/2,IF((($A347-Simulador!$E$5)/Simulador!$G$5)&gt;1-Simulador!$B$11,Simulador!$B$9*(1-COS(PI()*(1-(($A347-Simulador!$E$5)/Simulador!$G$5))/Simulador!$B$11))/2,Simulador!$B$9)))</f>
        <v/>
      </c>
      <c r="C347" s="46">
        <f>IF(OR((($A347-Simulador!$E$6)/Simulador!$G$6)&lt;=0,(($A347-Simulador!$E$6)/Simulador!$G$6)&gt;=1),0,IF((($A347-Simulador!$E$6)/Simulador!$G$6)&lt;Simulador!$B$11,Simulador!$B$9*(1-COS(PI()*(($A347-Simulador!$E$6)/Simulador!$G$6)/Simulador!$B$11))/2,IF((($A347-Simulador!$E$6)/Simulador!$G$6)&gt;1-Simulador!$B$11,Simulador!$B$9*(1-COS(PI()*(1-(($A347-Simulador!$E$6)/Simulador!$G$6))/Simulador!$B$11))/2,Simulador!$B$9)))</f>
        <v/>
      </c>
      <c r="D347" s="46">
        <f>IF(OR((($A347-Simulador!$E$7)/Simulador!$G$7)&lt;=0,(($A347-Simulador!$E$7)/Simulador!$G$7)&gt;=1),0,IF((($A347-Simulador!$E$7)/Simulador!$G$7)&lt;Simulador!$B$11,Simulador!$B$9*(1-COS(PI()*(($A347-Simulador!$E$7)/Simulador!$G$7)/Simulador!$B$11))/2,IF((($A347-Simulador!$E$7)/Simulador!$G$7)&gt;1-Simulador!$B$11,Simulador!$B$9*(1-COS(PI()*(1-(($A347-Simulador!$E$7)/Simulador!$G$7))/Simulador!$B$11))/2,Simulador!$B$9)))</f>
        <v/>
      </c>
      <c r="E347" s="46">
        <f>IF(OR((($A347-Simulador!$E$8)/Simulador!$G$8)&lt;=0,(($A347-Simulador!$E$8)/Simulador!$G$8)&gt;=1),0,IF((($A347-Simulador!$E$8)/Simulador!$G$8)&lt;Simulador!$B$11,Simulador!$B$10*(1-COS(PI()*(($A347-Simulador!$E$8)/Simulador!$G$8)/Simulador!$B$11))/2,IF((($A347-Simulador!$E$8)/Simulador!$G$8)&gt;1-Simulador!$B$11,Simulador!$B$10*(1-COS(PI()*(1-(($A347-Simulador!$E$8)/Simulador!$G$8))/Simulador!$B$11))/2,Simulador!$B$10)))</f>
        <v/>
      </c>
      <c r="F347" s="46">
        <f>IF(OR((($A347-Simulador!$E$9)/Simulador!$G$9)&lt;=0,(($A347-Simulador!$E$9)/Simulador!$G$9)&gt;=1),0,IF((($A347-Simulador!$E$9)/Simulador!$G$9)&lt;Simulador!$B$11,Simulador!$B$10*(1-COS(PI()*(($A347-Simulador!$E$9)/Simulador!$G$9)/Simulador!$B$11))/2,IF((($A347-Simulador!$E$9)/Simulador!$G$9)&gt;1-Simulador!$B$11,Simulador!$B$10*(1-COS(PI()*(1-(($A347-Simulador!$E$9)/Simulador!$G$9))/Simulador!$B$11))/2,Simulador!$B$10)))</f>
        <v/>
      </c>
      <c r="G347" s="46">
        <f>IF(OR((($A347-Simulador!$E$10)/Simulador!$G$10)&lt;=0,(($A347-Simulador!$E$10)/Simulador!$G$10)&gt;=1),0,IF((($A347-Simulador!$E$10)/Simulador!$G$10)&lt;Simulador!$B$11,Simulador!$B$10*(1-COS(PI()*(($A347-Simulador!$E$10)/Simulador!$G$10)/Simulador!$B$11))/2,IF((($A347-Simulador!$E$10)/Simulador!$G$10)&gt;1-Simulador!$B$11,Simulador!$B$10*(1-COS(PI()*(1-(($A347-Simulador!$E$10)/Simulador!$G$10))/Simulador!$B$11))/2,Simulador!$B$10)))</f>
        <v/>
      </c>
      <c r="Q347" s="48">
        <f>IF(OR((($A347-(Simulador!$E$6+'Salto de dientes'!$B$12))/Simulador!$G$6)&lt;=0,(($A347-(Simulador!$E$6+'Salto de dientes'!$B$12))/Simulador!$G$6)&gt;=1),0,IF((($A347-(Simulador!$E$6+'Salto de dientes'!$B$12))/Simulador!$G$6)&lt;Simulador!$B$11,Simulador!$B$9*(1-COS(PI()*(($A347-(Simulador!$E$6+'Salto de dientes'!$B$12))/Simulador!$G$6)/Simulador!$B$11))/2,IF((($A347-(Simulador!$E$6+'Salto de dientes'!$B$12))/Simulador!$G$6)&gt;1-Simulador!$B$11,Simulador!$B$9*(1-COS(PI()*(1-(($A347-(Simulador!$E$6+'Salto de dientes'!$B$12))/Simulador!$G$6))/Simulador!$B$11))/2,Simulador!$B$9)))</f>
        <v/>
      </c>
      <c r="R347" s="48">
        <f>IF(OR((($A347-(Simulador!$E$9+'Salto de dientes'!$B$12))/Simulador!$G$9)&lt;=0,(($A347-(Simulador!$E$9+'Salto de dientes'!$B$12))/Simulador!$G$9)&gt;=1),0,IF((($A347-(Simulador!$E$9+'Salto de dientes'!$B$12))/Simulador!$G$9)&lt;Simulador!$B$11,Simulador!$B$10*(1-COS(PI()*(($A347-(Simulador!$E$9+'Salto de dientes'!$B$12))/Simulador!$G$9)/Simulador!$B$11))/2,IF((($A347-(Simulador!$E$9+'Salto de dientes'!$B$12))/Simulador!$G$9)&gt;1-Simulador!$B$11,Simulador!$B$10*(1-COS(PI()*(1-(($A347-(Simulador!$E$9+'Salto de dientes'!$B$12))/Simulador!$G$9))/Simulador!$B$11))/2,Simulador!$B$10)))</f>
        <v/>
      </c>
    </row>
    <row r="348">
      <c r="A348" s="26">
        <f>A347+Simulador!$B$14</f>
        <v/>
      </c>
      <c r="B348" s="46">
        <f>IF(OR((($A348-Simulador!$E$5)/Simulador!$G$5)&lt;=0,(($A348-Simulador!$E$5)/Simulador!$G$5)&gt;=1),0,IF((($A348-Simulador!$E$5)/Simulador!$G$5)&lt;Simulador!$B$11,Simulador!$B$9*(1-COS(PI()*(($A348-Simulador!$E$5)/Simulador!$G$5)/Simulador!$B$11))/2,IF((($A348-Simulador!$E$5)/Simulador!$G$5)&gt;1-Simulador!$B$11,Simulador!$B$9*(1-COS(PI()*(1-(($A348-Simulador!$E$5)/Simulador!$G$5))/Simulador!$B$11))/2,Simulador!$B$9)))</f>
        <v/>
      </c>
      <c r="C348" s="46">
        <f>IF(OR((($A348-Simulador!$E$6)/Simulador!$G$6)&lt;=0,(($A348-Simulador!$E$6)/Simulador!$G$6)&gt;=1),0,IF((($A348-Simulador!$E$6)/Simulador!$G$6)&lt;Simulador!$B$11,Simulador!$B$9*(1-COS(PI()*(($A348-Simulador!$E$6)/Simulador!$G$6)/Simulador!$B$11))/2,IF((($A348-Simulador!$E$6)/Simulador!$G$6)&gt;1-Simulador!$B$11,Simulador!$B$9*(1-COS(PI()*(1-(($A348-Simulador!$E$6)/Simulador!$G$6))/Simulador!$B$11))/2,Simulador!$B$9)))</f>
        <v/>
      </c>
      <c r="D348" s="46">
        <f>IF(OR((($A348-Simulador!$E$7)/Simulador!$G$7)&lt;=0,(($A348-Simulador!$E$7)/Simulador!$G$7)&gt;=1),0,IF((($A348-Simulador!$E$7)/Simulador!$G$7)&lt;Simulador!$B$11,Simulador!$B$9*(1-COS(PI()*(($A348-Simulador!$E$7)/Simulador!$G$7)/Simulador!$B$11))/2,IF((($A348-Simulador!$E$7)/Simulador!$G$7)&gt;1-Simulador!$B$11,Simulador!$B$9*(1-COS(PI()*(1-(($A348-Simulador!$E$7)/Simulador!$G$7))/Simulador!$B$11))/2,Simulador!$B$9)))</f>
        <v/>
      </c>
      <c r="E348" s="46">
        <f>IF(OR((($A348-Simulador!$E$8)/Simulador!$G$8)&lt;=0,(($A348-Simulador!$E$8)/Simulador!$G$8)&gt;=1),0,IF((($A348-Simulador!$E$8)/Simulador!$G$8)&lt;Simulador!$B$11,Simulador!$B$10*(1-COS(PI()*(($A348-Simulador!$E$8)/Simulador!$G$8)/Simulador!$B$11))/2,IF((($A348-Simulador!$E$8)/Simulador!$G$8)&gt;1-Simulador!$B$11,Simulador!$B$10*(1-COS(PI()*(1-(($A348-Simulador!$E$8)/Simulador!$G$8))/Simulador!$B$11))/2,Simulador!$B$10)))</f>
        <v/>
      </c>
      <c r="F348" s="46">
        <f>IF(OR((($A348-Simulador!$E$9)/Simulador!$G$9)&lt;=0,(($A348-Simulador!$E$9)/Simulador!$G$9)&gt;=1),0,IF((($A348-Simulador!$E$9)/Simulador!$G$9)&lt;Simulador!$B$11,Simulador!$B$10*(1-COS(PI()*(($A348-Simulador!$E$9)/Simulador!$G$9)/Simulador!$B$11))/2,IF((($A348-Simulador!$E$9)/Simulador!$G$9)&gt;1-Simulador!$B$11,Simulador!$B$10*(1-COS(PI()*(1-(($A348-Simulador!$E$9)/Simulador!$G$9))/Simulador!$B$11))/2,Simulador!$B$10)))</f>
        <v/>
      </c>
      <c r="G348" s="46">
        <f>IF(OR((($A348-Simulador!$E$10)/Simulador!$G$10)&lt;=0,(($A348-Simulador!$E$10)/Simulador!$G$10)&gt;=1),0,IF((($A348-Simulador!$E$10)/Simulador!$G$10)&lt;Simulador!$B$11,Simulador!$B$10*(1-COS(PI()*(($A348-Simulador!$E$10)/Simulador!$G$10)/Simulador!$B$11))/2,IF((($A348-Simulador!$E$10)/Simulador!$G$10)&gt;1-Simulador!$B$11,Simulador!$B$10*(1-COS(PI()*(1-(($A348-Simulador!$E$10)/Simulador!$G$10))/Simulador!$B$11))/2,Simulador!$B$10)))</f>
        <v/>
      </c>
      <c r="Q348" s="48">
        <f>IF(OR((($A348-(Simulador!$E$6+'Salto de dientes'!$B$12))/Simulador!$G$6)&lt;=0,(($A348-(Simulador!$E$6+'Salto de dientes'!$B$12))/Simulador!$G$6)&gt;=1),0,IF((($A348-(Simulador!$E$6+'Salto de dientes'!$B$12))/Simulador!$G$6)&lt;Simulador!$B$11,Simulador!$B$9*(1-COS(PI()*(($A348-(Simulador!$E$6+'Salto de dientes'!$B$12))/Simulador!$G$6)/Simulador!$B$11))/2,IF((($A348-(Simulador!$E$6+'Salto de dientes'!$B$12))/Simulador!$G$6)&gt;1-Simulador!$B$11,Simulador!$B$9*(1-COS(PI()*(1-(($A348-(Simulador!$E$6+'Salto de dientes'!$B$12))/Simulador!$G$6))/Simulador!$B$11))/2,Simulador!$B$9)))</f>
        <v/>
      </c>
      <c r="R348" s="48">
        <f>IF(OR((($A348-(Simulador!$E$9+'Salto de dientes'!$B$12))/Simulador!$G$9)&lt;=0,(($A348-(Simulador!$E$9+'Salto de dientes'!$B$12))/Simulador!$G$9)&gt;=1),0,IF((($A348-(Simulador!$E$9+'Salto de dientes'!$B$12))/Simulador!$G$9)&lt;Simulador!$B$11,Simulador!$B$10*(1-COS(PI()*(($A348-(Simulador!$E$9+'Salto de dientes'!$B$12))/Simulador!$G$9)/Simulador!$B$11))/2,IF((($A348-(Simulador!$E$9+'Salto de dientes'!$B$12))/Simulador!$G$9)&gt;1-Simulador!$B$11,Simulador!$B$10*(1-COS(PI()*(1-(($A348-(Simulador!$E$9+'Salto de dientes'!$B$12))/Simulador!$G$9))/Simulador!$B$11))/2,Simulador!$B$10)))</f>
        <v/>
      </c>
    </row>
    <row r="349">
      <c r="A349" s="26">
        <f>A348+Simulador!$B$14</f>
        <v/>
      </c>
      <c r="B349" s="46">
        <f>IF(OR((($A349-Simulador!$E$5)/Simulador!$G$5)&lt;=0,(($A349-Simulador!$E$5)/Simulador!$G$5)&gt;=1),0,IF((($A349-Simulador!$E$5)/Simulador!$G$5)&lt;Simulador!$B$11,Simulador!$B$9*(1-COS(PI()*(($A349-Simulador!$E$5)/Simulador!$G$5)/Simulador!$B$11))/2,IF((($A349-Simulador!$E$5)/Simulador!$G$5)&gt;1-Simulador!$B$11,Simulador!$B$9*(1-COS(PI()*(1-(($A349-Simulador!$E$5)/Simulador!$G$5))/Simulador!$B$11))/2,Simulador!$B$9)))</f>
        <v/>
      </c>
      <c r="C349" s="46">
        <f>IF(OR((($A349-Simulador!$E$6)/Simulador!$G$6)&lt;=0,(($A349-Simulador!$E$6)/Simulador!$G$6)&gt;=1),0,IF((($A349-Simulador!$E$6)/Simulador!$G$6)&lt;Simulador!$B$11,Simulador!$B$9*(1-COS(PI()*(($A349-Simulador!$E$6)/Simulador!$G$6)/Simulador!$B$11))/2,IF((($A349-Simulador!$E$6)/Simulador!$G$6)&gt;1-Simulador!$B$11,Simulador!$B$9*(1-COS(PI()*(1-(($A349-Simulador!$E$6)/Simulador!$G$6))/Simulador!$B$11))/2,Simulador!$B$9)))</f>
        <v/>
      </c>
      <c r="D349" s="46">
        <f>IF(OR((($A349-Simulador!$E$7)/Simulador!$G$7)&lt;=0,(($A349-Simulador!$E$7)/Simulador!$G$7)&gt;=1),0,IF((($A349-Simulador!$E$7)/Simulador!$G$7)&lt;Simulador!$B$11,Simulador!$B$9*(1-COS(PI()*(($A349-Simulador!$E$7)/Simulador!$G$7)/Simulador!$B$11))/2,IF((($A349-Simulador!$E$7)/Simulador!$G$7)&gt;1-Simulador!$B$11,Simulador!$B$9*(1-COS(PI()*(1-(($A349-Simulador!$E$7)/Simulador!$G$7))/Simulador!$B$11))/2,Simulador!$B$9)))</f>
        <v/>
      </c>
      <c r="E349" s="46">
        <f>IF(OR((($A349-Simulador!$E$8)/Simulador!$G$8)&lt;=0,(($A349-Simulador!$E$8)/Simulador!$G$8)&gt;=1),0,IF((($A349-Simulador!$E$8)/Simulador!$G$8)&lt;Simulador!$B$11,Simulador!$B$10*(1-COS(PI()*(($A349-Simulador!$E$8)/Simulador!$G$8)/Simulador!$B$11))/2,IF((($A349-Simulador!$E$8)/Simulador!$G$8)&gt;1-Simulador!$B$11,Simulador!$B$10*(1-COS(PI()*(1-(($A349-Simulador!$E$8)/Simulador!$G$8))/Simulador!$B$11))/2,Simulador!$B$10)))</f>
        <v/>
      </c>
      <c r="F349" s="46">
        <f>IF(OR((($A349-Simulador!$E$9)/Simulador!$G$9)&lt;=0,(($A349-Simulador!$E$9)/Simulador!$G$9)&gt;=1),0,IF((($A349-Simulador!$E$9)/Simulador!$G$9)&lt;Simulador!$B$11,Simulador!$B$10*(1-COS(PI()*(($A349-Simulador!$E$9)/Simulador!$G$9)/Simulador!$B$11))/2,IF((($A349-Simulador!$E$9)/Simulador!$G$9)&gt;1-Simulador!$B$11,Simulador!$B$10*(1-COS(PI()*(1-(($A349-Simulador!$E$9)/Simulador!$G$9))/Simulador!$B$11))/2,Simulador!$B$10)))</f>
        <v/>
      </c>
      <c r="G349" s="46">
        <f>IF(OR((($A349-Simulador!$E$10)/Simulador!$G$10)&lt;=0,(($A349-Simulador!$E$10)/Simulador!$G$10)&gt;=1),0,IF((($A349-Simulador!$E$10)/Simulador!$G$10)&lt;Simulador!$B$11,Simulador!$B$10*(1-COS(PI()*(($A349-Simulador!$E$10)/Simulador!$G$10)/Simulador!$B$11))/2,IF((($A349-Simulador!$E$10)/Simulador!$G$10)&gt;1-Simulador!$B$11,Simulador!$B$10*(1-COS(PI()*(1-(($A349-Simulador!$E$10)/Simulador!$G$10))/Simulador!$B$11))/2,Simulador!$B$10)))</f>
        <v/>
      </c>
      <c r="Q349" s="48">
        <f>IF(OR((($A349-(Simulador!$E$6+'Salto de dientes'!$B$12))/Simulador!$G$6)&lt;=0,(($A349-(Simulador!$E$6+'Salto de dientes'!$B$12))/Simulador!$G$6)&gt;=1),0,IF((($A349-(Simulador!$E$6+'Salto de dientes'!$B$12))/Simulador!$G$6)&lt;Simulador!$B$11,Simulador!$B$9*(1-COS(PI()*(($A349-(Simulador!$E$6+'Salto de dientes'!$B$12))/Simulador!$G$6)/Simulador!$B$11))/2,IF((($A349-(Simulador!$E$6+'Salto de dientes'!$B$12))/Simulador!$G$6)&gt;1-Simulador!$B$11,Simulador!$B$9*(1-COS(PI()*(1-(($A349-(Simulador!$E$6+'Salto de dientes'!$B$12))/Simulador!$G$6))/Simulador!$B$11))/2,Simulador!$B$9)))</f>
        <v/>
      </c>
      <c r="R349" s="48">
        <f>IF(OR((($A349-(Simulador!$E$9+'Salto de dientes'!$B$12))/Simulador!$G$9)&lt;=0,(($A349-(Simulador!$E$9+'Salto de dientes'!$B$12))/Simulador!$G$9)&gt;=1),0,IF((($A349-(Simulador!$E$9+'Salto de dientes'!$B$12))/Simulador!$G$9)&lt;Simulador!$B$11,Simulador!$B$10*(1-COS(PI()*(($A349-(Simulador!$E$9+'Salto de dientes'!$B$12))/Simulador!$G$9)/Simulador!$B$11))/2,IF((($A349-(Simulador!$E$9+'Salto de dientes'!$B$12))/Simulador!$G$9)&gt;1-Simulador!$B$11,Simulador!$B$10*(1-COS(PI()*(1-(($A349-(Simulador!$E$9+'Salto de dientes'!$B$12))/Simulador!$G$9))/Simulador!$B$11))/2,Simulador!$B$10)))</f>
        <v/>
      </c>
    </row>
    <row r="350">
      <c r="A350" s="26">
        <f>A349+Simulador!$B$14</f>
        <v/>
      </c>
      <c r="B350" s="46">
        <f>IF(OR((($A350-Simulador!$E$5)/Simulador!$G$5)&lt;=0,(($A350-Simulador!$E$5)/Simulador!$G$5)&gt;=1),0,IF((($A350-Simulador!$E$5)/Simulador!$G$5)&lt;Simulador!$B$11,Simulador!$B$9*(1-COS(PI()*(($A350-Simulador!$E$5)/Simulador!$G$5)/Simulador!$B$11))/2,IF((($A350-Simulador!$E$5)/Simulador!$G$5)&gt;1-Simulador!$B$11,Simulador!$B$9*(1-COS(PI()*(1-(($A350-Simulador!$E$5)/Simulador!$G$5))/Simulador!$B$11))/2,Simulador!$B$9)))</f>
        <v/>
      </c>
      <c r="C350" s="46">
        <f>IF(OR((($A350-Simulador!$E$6)/Simulador!$G$6)&lt;=0,(($A350-Simulador!$E$6)/Simulador!$G$6)&gt;=1),0,IF((($A350-Simulador!$E$6)/Simulador!$G$6)&lt;Simulador!$B$11,Simulador!$B$9*(1-COS(PI()*(($A350-Simulador!$E$6)/Simulador!$G$6)/Simulador!$B$11))/2,IF((($A350-Simulador!$E$6)/Simulador!$G$6)&gt;1-Simulador!$B$11,Simulador!$B$9*(1-COS(PI()*(1-(($A350-Simulador!$E$6)/Simulador!$G$6))/Simulador!$B$11))/2,Simulador!$B$9)))</f>
        <v/>
      </c>
      <c r="D350" s="46">
        <f>IF(OR((($A350-Simulador!$E$7)/Simulador!$G$7)&lt;=0,(($A350-Simulador!$E$7)/Simulador!$G$7)&gt;=1),0,IF((($A350-Simulador!$E$7)/Simulador!$G$7)&lt;Simulador!$B$11,Simulador!$B$9*(1-COS(PI()*(($A350-Simulador!$E$7)/Simulador!$G$7)/Simulador!$B$11))/2,IF((($A350-Simulador!$E$7)/Simulador!$G$7)&gt;1-Simulador!$B$11,Simulador!$B$9*(1-COS(PI()*(1-(($A350-Simulador!$E$7)/Simulador!$G$7))/Simulador!$B$11))/2,Simulador!$B$9)))</f>
        <v/>
      </c>
      <c r="E350" s="46">
        <f>IF(OR((($A350-Simulador!$E$8)/Simulador!$G$8)&lt;=0,(($A350-Simulador!$E$8)/Simulador!$G$8)&gt;=1),0,IF((($A350-Simulador!$E$8)/Simulador!$G$8)&lt;Simulador!$B$11,Simulador!$B$10*(1-COS(PI()*(($A350-Simulador!$E$8)/Simulador!$G$8)/Simulador!$B$11))/2,IF((($A350-Simulador!$E$8)/Simulador!$G$8)&gt;1-Simulador!$B$11,Simulador!$B$10*(1-COS(PI()*(1-(($A350-Simulador!$E$8)/Simulador!$G$8))/Simulador!$B$11))/2,Simulador!$B$10)))</f>
        <v/>
      </c>
      <c r="F350" s="46">
        <f>IF(OR((($A350-Simulador!$E$9)/Simulador!$G$9)&lt;=0,(($A350-Simulador!$E$9)/Simulador!$G$9)&gt;=1),0,IF((($A350-Simulador!$E$9)/Simulador!$G$9)&lt;Simulador!$B$11,Simulador!$B$10*(1-COS(PI()*(($A350-Simulador!$E$9)/Simulador!$G$9)/Simulador!$B$11))/2,IF((($A350-Simulador!$E$9)/Simulador!$G$9)&gt;1-Simulador!$B$11,Simulador!$B$10*(1-COS(PI()*(1-(($A350-Simulador!$E$9)/Simulador!$G$9))/Simulador!$B$11))/2,Simulador!$B$10)))</f>
        <v/>
      </c>
      <c r="G350" s="46">
        <f>IF(OR((($A350-Simulador!$E$10)/Simulador!$G$10)&lt;=0,(($A350-Simulador!$E$10)/Simulador!$G$10)&gt;=1),0,IF((($A350-Simulador!$E$10)/Simulador!$G$10)&lt;Simulador!$B$11,Simulador!$B$10*(1-COS(PI()*(($A350-Simulador!$E$10)/Simulador!$G$10)/Simulador!$B$11))/2,IF((($A350-Simulador!$E$10)/Simulador!$G$10)&gt;1-Simulador!$B$11,Simulador!$B$10*(1-COS(PI()*(1-(($A350-Simulador!$E$10)/Simulador!$G$10))/Simulador!$B$11))/2,Simulador!$B$10)))</f>
        <v/>
      </c>
      <c r="Q350" s="48">
        <f>IF(OR((($A350-(Simulador!$E$6+'Salto de dientes'!$B$12))/Simulador!$G$6)&lt;=0,(($A350-(Simulador!$E$6+'Salto de dientes'!$B$12))/Simulador!$G$6)&gt;=1),0,IF((($A350-(Simulador!$E$6+'Salto de dientes'!$B$12))/Simulador!$G$6)&lt;Simulador!$B$11,Simulador!$B$9*(1-COS(PI()*(($A350-(Simulador!$E$6+'Salto de dientes'!$B$12))/Simulador!$G$6)/Simulador!$B$11))/2,IF((($A350-(Simulador!$E$6+'Salto de dientes'!$B$12))/Simulador!$G$6)&gt;1-Simulador!$B$11,Simulador!$B$9*(1-COS(PI()*(1-(($A350-(Simulador!$E$6+'Salto de dientes'!$B$12))/Simulador!$G$6))/Simulador!$B$11))/2,Simulador!$B$9)))</f>
        <v/>
      </c>
      <c r="R350" s="48">
        <f>IF(OR((($A350-(Simulador!$E$9+'Salto de dientes'!$B$12))/Simulador!$G$9)&lt;=0,(($A350-(Simulador!$E$9+'Salto de dientes'!$B$12))/Simulador!$G$9)&gt;=1),0,IF((($A350-(Simulador!$E$9+'Salto de dientes'!$B$12))/Simulador!$G$9)&lt;Simulador!$B$11,Simulador!$B$10*(1-COS(PI()*(($A350-(Simulador!$E$9+'Salto de dientes'!$B$12))/Simulador!$G$9)/Simulador!$B$11))/2,IF((($A350-(Simulador!$E$9+'Salto de dientes'!$B$12))/Simulador!$G$9)&gt;1-Simulador!$B$11,Simulador!$B$10*(1-COS(PI()*(1-(($A350-(Simulador!$E$9+'Salto de dientes'!$B$12))/Simulador!$G$9))/Simulador!$B$11))/2,Simulador!$B$10)))</f>
        <v/>
      </c>
    </row>
    <row r="351">
      <c r="A351" s="26">
        <f>A350+Simulador!$B$14</f>
        <v/>
      </c>
      <c r="B351" s="46">
        <f>IF(OR((($A351-Simulador!$E$5)/Simulador!$G$5)&lt;=0,(($A351-Simulador!$E$5)/Simulador!$G$5)&gt;=1),0,IF((($A351-Simulador!$E$5)/Simulador!$G$5)&lt;Simulador!$B$11,Simulador!$B$9*(1-COS(PI()*(($A351-Simulador!$E$5)/Simulador!$G$5)/Simulador!$B$11))/2,IF((($A351-Simulador!$E$5)/Simulador!$G$5)&gt;1-Simulador!$B$11,Simulador!$B$9*(1-COS(PI()*(1-(($A351-Simulador!$E$5)/Simulador!$G$5))/Simulador!$B$11))/2,Simulador!$B$9)))</f>
        <v/>
      </c>
      <c r="C351" s="46">
        <f>IF(OR((($A351-Simulador!$E$6)/Simulador!$G$6)&lt;=0,(($A351-Simulador!$E$6)/Simulador!$G$6)&gt;=1),0,IF((($A351-Simulador!$E$6)/Simulador!$G$6)&lt;Simulador!$B$11,Simulador!$B$9*(1-COS(PI()*(($A351-Simulador!$E$6)/Simulador!$G$6)/Simulador!$B$11))/2,IF((($A351-Simulador!$E$6)/Simulador!$G$6)&gt;1-Simulador!$B$11,Simulador!$B$9*(1-COS(PI()*(1-(($A351-Simulador!$E$6)/Simulador!$G$6))/Simulador!$B$11))/2,Simulador!$B$9)))</f>
        <v/>
      </c>
      <c r="D351" s="46">
        <f>IF(OR((($A351-Simulador!$E$7)/Simulador!$G$7)&lt;=0,(($A351-Simulador!$E$7)/Simulador!$G$7)&gt;=1),0,IF((($A351-Simulador!$E$7)/Simulador!$G$7)&lt;Simulador!$B$11,Simulador!$B$9*(1-COS(PI()*(($A351-Simulador!$E$7)/Simulador!$G$7)/Simulador!$B$11))/2,IF((($A351-Simulador!$E$7)/Simulador!$G$7)&gt;1-Simulador!$B$11,Simulador!$B$9*(1-COS(PI()*(1-(($A351-Simulador!$E$7)/Simulador!$G$7))/Simulador!$B$11))/2,Simulador!$B$9)))</f>
        <v/>
      </c>
      <c r="E351" s="46">
        <f>IF(OR((($A351-Simulador!$E$8)/Simulador!$G$8)&lt;=0,(($A351-Simulador!$E$8)/Simulador!$G$8)&gt;=1),0,IF((($A351-Simulador!$E$8)/Simulador!$G$8)&lt;Simulador!$B$11,Simulador!$B$10*(1-COS(PI()*(($A351-Simulador!$E$8)/Simulador!$G$8)/Simulador!$B$11))/2,IF((($A351-Simulador!$E$8)/Simulador!$G$8)&gt;1-Simulador!$B$11,Simulador!$B$10*(1-COS(PI()*(1-(($A351-Simulador!$E$8)/Simulador!$G$8))/Simulador!$B$11))/2,Simulador!$B$10)))</f>
        <v/>
      </c>
      <c r="F351" s="46">
        <f>IF(OR((($A351-Simulador!$E$9)/Simulador!$G$9)&lt;=0,(($A351-Simulador!$E$9)/Simulador!$G$9)&gt;=1),0,IF((($A351-Simulador!$E$9)/Simulador!$G$9)&lt;Simulador!$B$11,Simulador!$B$10*(1-COS(PI()*(($A351-Simulador!$E$9)/Simulador!$G$9)/Simulador!$B$11))/2,IF((($A351-Simulador!$E$9)/Simulador!$G$9)&gt;1-Simulador!$B$11,Simulador!$B$10*(1-COS(PI()*(1-(($A351-Simulador!$E$9)/Simulador!$G$9))/Simulador!$B$11))/2,Simulador!$B$10)))</f>
        <v/>
      </c>
      <c r="G351" s="46">
        <f>IF(OR((($A351-Simulador!$E$10)/Simulador!$G$10)&lt;=0,(($A351-Simulador!$E$10)/Simulador!$G$10)&gt;=1),0,IF((($A351-Simulador!$E$10)/Simulador!$G$10)&lt;Simulador!$B$11,Simulador!$B$10*(1-COS(PI()*(($A351-Simulador!$E$10)/Simulador!$G$10)/Simulador!$B$11))/2,IF((($A351-Simulador!$E$10)/Simulador!$G$10)&gt;1-Simulador!$B$11,Simulador!$B$10*(1-COS(PI()*(1-(($A351-Simulador!$E$10)/Simulador!$G$10))/Simulador!$B$11))/2,Simulador!$B$10)))</f>
        <v/>
      </c>
      <c r="Q351" s="48">
        <f>IF(OR((($A351-(Simulador!$E$6+'Salto de dientes'!$B$12))/Simulador!$G$6)&lt;=0,(($A351-(Simulador!$E$6+'Salto de dientes'!$B$12))/Simulador!$G$6)&gt;=1),0,IF((($A351-(Simulador!$E$6+'Salto de dientes'!$B$12))/Simulador!$G$6)&lt;Simulador!$B$11,Simulador!$B$9*(1-COS(PI()*(($A351-(Simulador!$E$6+'Salto de dientes'!$B$12))/Simulador!$G$6)/Simulador!$B$11))/2,IF((($A351-(Simulador!$E$6+'Salto de dientes'!$B$12))/Simulador!$G$6)&gt;1-Simulador!$B$11,Simulador!$B$9*(1-COS(PI()*(1-(($A351-(Simulador!$E$6+'Salto de dientes'!$B$12))/Simulador!$G$6))/Simulador!$B$11))/2,Simulador!$B$9)))</f>
        <v/>
      </c>
      <c r="R351" s="48">
        <f>IF(OR((($A351-(Simulador!$E$9+'Salto de dientes'!$B$12))/Simulador!$G$9)&lt;=0,(($A351-(Simulador!$E$9+'Salto de dientes'!$B$12))/Simulador!$G$9)&gt;=1),0,IF((($A351-(Simulador!$E$9+'Salto de dientes'!$B$12))/Simulador!$G$9)&lt;Simulador!$B$11,Simulador!$B$10*(1-COS(PI()*(($A351-(Simulador!$E$9+'Salto de dientes'!$B$12))/Simulador!$G$9)/Simulador!$B$11))/2,IF((($A351-(Simulador!$E$9+'Salto de dientes'!$B$12))/Simulador!$G$9)&gt;1-Simulador!$B$11,Simulador!$B$10*(1-COS(PI()*(1-(($A351-(Simulador!$E$9+'Salto de dientes'!$B$12))/Simulador!$G$9))/Simulador!$B$11))/2,Simulador!$B$10)))</f>
        <v/>
      </c>
    </row>
    <row r="352">
      <c r="A352" s="26">
        <f>A351+Simulador!$B$14</f>
        <v/>
      </c>
      <c r="B352" s="46">
        <f>IF(OR((($A352-Simulador!$E$5)/Simulador!$G$5)&lt;=0,(($A352-Simulador!$E$5)/Simulador!$G$5)&gt;=1),0,IF((($A352-Simulador!$E$5)/Simulador!$G$5)&lt;Simulador!$B$11,Simulador!$B$9*(1-COS(PI()*(($A352-Simulador!$E$5)/Simulador!$G$5)/Simulador!$B$11))/2,IF((($A352-Simulador!$E$5)/Simulador!$G$5)&gt;1-Simulador!$B$11,Simulador!$B$9*(1-COS(PI()*(1-(($A352-Simulador!$E$5)/Simulador!$G$5))/Simulador!$B$11))/2,Simulador!$B$9)))</f>
        <v/>
      </c>
      <c r="C352" s="46">
        <f>IF(OR((($A352-Simulador!$E$6)/Simulador!$G$6)&lt;=0,(($A352-Simulador!$E$6)/Simulador!$G$6)&gt;=1),0,IF((($A352-Simulador!$E$6)/Simulador!$G$6)&lt;Simulador!$B$11,Simulador!$B$9*(1-COS(PI()*(($A352-Simulador!$E$6)/Simulador!$G$6)/Simulador!$B$11))/2,IF((($A352-Simulador!$E$6)/Simulador!$G$6)&gt;1-Simulador!$B$11,Simulador!$B$9*(1-COS(PI()*(1-(($A352-Simulador!$E$6)/Simulador!$G$6))/Simulador!$B$11))/2,Simulador!$B$9)))</f>
        <v/>
      </c>
      <c r="D352" s="46">
        <f>IF(OR((($A352-Simulador!$E$7)/Simulador!$G$7)&lt;=0,(($A352-Simulador!$E$7)/Simulador!$G$7)&gt;=1),0,IF((($A352-Simulador!$E$7)/Simulador!$G$7)&lt;Simulador!$B$11,Simulador!$B$9*(1-COS(PI()*(($A352-Simulador!$E$7)/Simulador!$G$7)/Simulador!$B$11))/2,IF((($A352-Simulador!$E$7)/Simulador!$G$7)&gt;1-Simulador!$B$11,Simulador!$B$9*(1-COS(PI()*(1-(($A352-Simulador!$E$7)/Simulador!$G$7))/Simulador!$B$11))/2,Simulador!$B$9)))</f>
        <v/>
      </c>
      <c r="E352" s="46">
        <f>IF(OR((($A352-Simulador!$E$8)/Simulador!$G$8)&lt;=0,(($A352-Simulador!$E$8)/Simulador!$G$8)&gt;=1),0,IF((($A352-Simulador!$E$8)/Simulador!$G$8)&lt;Simulador!$B$11,Simulador!$B$10*(1-COS(PI()*(($A352-Simulador!$E$8)/Simulador!$G$8)/Simulador!$B$11))/2,IF((($A352-Simulador!$E$8)/Simulador!$G$8)&gt;1-Simulador!$B$11,Simulador!$B$10*(1-COS(PI()*(1-(($A352-Simulador!$E$8)/Simulador!$G$8))/Simulador!$B$11))/2,Simulador!$B$10)))</f>
        <v/>
      </c>
      <c r="F352" s="46">
        <f>IF(OR((($A352-Simulador!$E$9)/Simulador!$G$9)&lt;=0,(($A352-Simulador!$E$9)/Simulador!$G$9)&gt;=1),0,IF((($A352-Simulador!$E$9)/Simulador!$G$9)&lt;Simulador!$B$11,Simulador!$B$10*(1-COS(PI()*(($A352-Simulador!$E$9)/Simulador!$G$9)/Simulador!$B$11))/2,IF((($A352-Simulador!$E$9)/Simulador!$G$9)&gt;1-Simulador!$B$11,Simulador!$B$10*(1-COS(PI()*(1-(($A352-Simulador!$E$9)/Simulador!$G$9))/Simulador!$B$11))/2,Simulador!$B$10)))</f>
        <v/>
      </c>
      <c r="G352" s="46">
        <f>IF(OR((($A352-Simulador!$E$10)/Simulador!$G$10)&lt;=0,(($A352-Simulador!$E$10)/Simulador!$G$10)&gt;=1),0,IF((($A352-Simulador!$E$10)/Simulador!$G$10)&lt;Simulador!$B$11,Simulador!$B$10*(1-COS(PI()*(($A352-Simulador!$E$10)/Simulador!$G$10)/Simulador!$B$11))/2,IF((($A352-Simulador!$E$10)/Simulador!$G$10)&gt;1-Simulador!$B$11,Simulador!$B$10*(1-COS(PI()*(1-(($A352-Simulador!$E$10)/Simulador!$G$10))/Simulador!$B$11))/2,Simulador!$B$10)))</f>
        <v/>
      </c>
      <c r="Q352" s="48">
        <f>IF(OR((($A352-(Simulador!$E$6+'Salto de dientes'!$B$12))/Simulador!$G$6)&lt;=0,(($A352-(Simulador!$E$6+'Salto de dientes'!$B$12))/Simulador!$G$6)&gt;=1),0,IF((($A352-(Simulador!$E$6+'Salto de dientes'!$B$12))/Simulador!$G$6)&lt;Simulador!$B$11,Simulador!$B$9*(1-COS(PI()*(($A352-(Simulador!$E$6+'Salto de dientes'!$B$12))/Simulador!$G$6)/Simulador!$B$11))/2,IF((($A352-(Simulador!$E$6+'Salto de dientes'!$B$12))/Simulador!$G$6)&gt;1-Simulador!$B$11,Simulador!$B$9*(1-COS(PI()*(1-(($A352-(Simulador!$E$6+'Salto de dientes'!$B$12))/Simulador!$G$6))/Simulador!$B$11))/2,Simulador!$B$9)))</f>
        <v/>
      </c>
      <c r="R352" s="48">
        <f>IF(OR((($A352-(Simulador!$E$9+'Salto de dientes'!$B$12))/Simulador!$G$9)&lt;=0,(($A352-(Simulador!$E$9+'Salto de dientes'!$B$12))/Simulador!$G$9)&gt;=1),0,IF((($A352-(Simulador!$E$9+'Salto de dientes'!$B$12))/Simulador!$G$9)&lt;Simulador!$B$11,Simulador!$B$10*(1-COS(PI()*(($A352-(Simulador!$E$9+'Salto de dientes'!$B$12))/Simulador!$G$9)/Simulador!$B$11))/2,IF((($A352-(Simulador!$E$9+'Salto de dientes'!$B$12))/Simulador!$G$9)&gt;1-Simulador!$B$11,Simulador!$B$10*(1-COS(PI()*(1-(($A352-(Simulador!$E$9+'Salto de dientes'!$B$12))/Simulador!$G$9))/Simulador!$B$11))/2,Simulador!$B$10)))</f>
        <v/>
      </c>
    </row>
    <row r="353">
      <c r="A353" s="26">
        <f>A352+Simulador!$B$14</f>
        <v/>
      </c>
      <c r="B353" s="46">
        <f>IF(OR((($A353-Simulador!$E$5)/Simulador!$G$5)&lt;=0,(($A353-Simulador!$E$5)/Simulador!$G$5)&gt;=1),0,IF((($A353-Simulador!$E$5)/Simulador!$G$5)&lt;Simulador!$B$11,Simulador!$B$9*(1-COS(PI()*(($A353-Simulador!$E$5)/Simulador!$G$5)/Simulador!$B$11))/2,IF((($A353-Simulador!$E$5)/Simulador!$G$5)&gt;1-Simulador!$B$11,Simulador!$B$9*(1-COS(PI()*(1-(($A353-Simulador!$E$5)/Simulador!$G$5))/Simulador!$B$11))/2,Simulador!$B$9)))</f>
        <v/>
      </c>
      <c r="C353" s="46">
        <f>IF(OR((($A353-Simulador!$E$6)/Simulador!$G$6)&lt;=0,(($A353-Simulador!$E$6)/Simulador!$G$6)&gt;=1),0,IF((($A353-Simulador!$E$6)/Simulador!$G$6)&lt;Simulador!$B$11,Simulador!$B$9*(1-COS(PI()*(($A353-Simulador!$E$6)/Simulador!$G$6)/Simulador!$B$11))/2,IF((($A353-Simulador!$E$6)/Simulador!$G$6)&gt;1-Simulador!$B$11,Simulador!$B$9*(1-COS(PI()*(1-(($A353-Simulador!$E$6)/Simulador!$G$6))/Simulador!$B$11))/2,Simulador!$B$9)))</f>
        <v/>
      </c>
      <c r="D353" s="46">
        <f>IF(OR((($A353-Simulador!$E$7)/Simulador!$G$7)&lt;=0,(($A353-Simulador!$E$7)/Simulador!$G$7)&gt;=1),0,IF((($A353-Simulador!$E$7)/Simulador!$G$7)&lt;Simulador!$B$11,Simulador!$B$9*(1-COS(PI()*(($A353-Simulador!$E$7)/Simulador!$G$7)/Simulador!$B$11))/2,IF((($A353-Simulador!$E$7)/Simulador!$G$7)&gt;1-Simulador!$B$11,Simulador!$B$9*(1-COS(PI()*(1-(($A353-Simulador!$E$7)/Simulador!$G$7))/Simulador!$B$11))/2,Simulador!$B$9)))</f>
        <v/>
      </c>
      <c r="E353" s="46">
        <f>IF(OR((($A353-Simulador!$E$8)/Simulador!$G$8)&lt;=0,(($A353-Simulador!$E$8)/Simulador!$G$8)&gt;=1),0,IF((($A353-Simulador!$E$8)/Simulador!$G$8)&lt;Simulador!$B$11,Simulador!$B$10*(1-COS(PI()*(($A353-Simulador!$E$8)/Simulador!$G$8)/Simulador!$B$11))/2,IF((($A353-Simulador!$E$8)/Simulador!$G$8)&gt;1-Simulador!$B$11,Simulador!$B$10*(1-COS(PI()*(1-(($A353-Simulador!$E$8)/Simulador!$G$8))/Simulador!$B$11))/2,Simulador!$B$10)))</f>
        <v/>
      </c>
      <c r="F353" s="46">
        <f>IF(OR((($A353-Simulador!$E$9)/Simulador!$G$9)&lt;=0,(($A353-Simulador!$E$9)/Simulador!$G$9)&gt;=1),0,IF((($A353-Simulador!$E$9)/Simulador!$G$9)&lt;Simulador!$B$11,Simulador!$B$10*(1-COS(PI()*(($A353-Simulador!$E$9)/Simulador!$G$9)/Simulador!$B$11))/2,IF((($A353-Simulador!$E$9)/Simulador!$G$9)&gt;1-Simulador!$B$11,Simulador!$B$10*(1-COS(PI()*(1-(($A353-Simulador!$E$9)/Simulador!$G$9))/Simulador!$B$11))/2,Simulador!$B$10)))</f>
        <v/>
      </c>
      <c r="G353" s="46">
        <f>IF(OR((($A353-Simulador!$E$10)/Simulador!$G$10)&lt;=0,(($A353-Simulador!$E$10)/Simulador!$G$10)&gt;=1),0,IF((($A353-Simulador!$E$10)/Simulador!$G$10)&lt;Simulador!$B$11,Simulador!$B$10*(1-COS(PI()*(($A353-Simulador!$E$10)/Simulador!$G$10)/Simulador!$B$11))/2,IF((($A353-Simulador!$E$10)/Simulador!$G$10)&gt;1-Simulador!$B$11,Simulador!$B$10*(1-COS(PI()*(1-(($A353-Simulador!$E$10)/Simulador!$G$10))/Simulador!$B$11))/2,Simulador!$B$10)))</f>
        <v/>
      </c>
      <c r="Q353" s="48">
        <f>IF(OR((($A353-(Simulador!$E$6+'Salto de dientes'!$B$12))/Simulador!$G$6)&lt;=0,(($A353-(Simulador!$E$6+'Salto de dientes'!$B$12))/Simulador!$G$6)&gt;=1),0,IF((($A353-(Simulador!$E$6+'Salto de dientes'!$B$12))/Simulador!$G$6)&lt;Simulador!$B$11,Simulador!$B$9*(1-COS(PI()*(($A353-(Simulador!$E$6+'Salto de dientes'!$B$12))/Simulador!$G$6)/Simulador!$B$11))/2,IF((($A353-(Simulador!$E$6+'Salto de dientes'!$B$12))/Simulador!$G$6)&gt;1-Simulador!$B$11,Simulador!$B$9*(1-COS(PI()*(1-(($A353-(Simulador!$E$6+'Salto de dientes'!$B$12))/Simulador!$G$6))/Simulador!$B$11))/2,Simulador!$B$9)))</f>
        <v/>
      </c>
      <c r="R353" s="48">
        <f>IF(OR((($A353-(Simulador!$E$9+'Salto de dientes'!$B$12))/Simulador!$G$9)&lt;=0,(($A353-(Simulador!$E$9+'Salto de dientes'!$B$12))/Simulador!$G$9)&gt;=1),0,IF((($A353-(Simulador!$E$9+'Salto de dientes'!$B$12))/Simulador!$G$9)&lt;Simulador!$B$11,Simulador!$B$10*(1-COS(PI()*(($A353-(Simulador!$E$9+'Salto de dientes'!$B$12))/Simulador!$G$9)/Simulador!$B$11))/2,IF((($A353-(Simulador!$E$9+'Salto de dientes'!$B$12))/Simulador!$G$9)&gt;1-Simulador!$B$11,Simulador!$B$10*(1-COS(PI()*(1-(($A353-(Simulador!$E$9+'Salto de dientes'!$B$12))/Simulador!$G$9))/Simulador!$B$11))/2,Simulador!$B$10)))</f>
        <v/>
      </c>
    </row>
    <row r="354">
      <c r="A354" s="26">
        <f>A353+Simulador!$B$14</f>
        <v/>
      </c>
      <c r="B354" s="46">
        <f>IF(OR((($A354-Simulador!$E$5)/Simulador!$G$5)&lt;=0,(($A354-Simulador!$E$5)/Simulador!$G$5)&gt;=1),0,IF((($A354-Simulador!$E$5)/Simulador!$G$5)&lt;Simulador!$B$11,Simulador!$B$9*(1-COS(PI()*(($A354-Simulador!$E$5)/Simulador!$G$5)/Simulador!$B$11))/2,IF((($A354-Simulador!$E$5)/Simulador!$G$5)&gt;1-Simulador!$B$11,Simulador!$B$9*(1-COS(PI()*(1-(($A354-Simulador!$E$5)/Simulador!$G$5))/Simulador!$B$11))/2,Simulador!$B$9)))</f>
        <v/>
      </c>
      <c r="C354" s="46">
        <f>IF(OR((($A354-Simulador!$E$6)/Simulador!$G$6)&lt;=0,(($A354-Simulador!$E$6)/Simulador!$G$6)&gt;=1),0,IF((($A354-Simulador!$E$6)/Simulador!$G$6)&lt;Simulador!$B$11,Simulador!$B$9*(1-COS(PI()*(($A354-Simulador!$E$6)/Simulador!$G$6)/Simulador!$B$11))/2,IF((($A354-Simulador!$E$6)/Simulador!$G$6)&gt;1-Simulador!$B$11,Simulador!$B$9*(1-COS(PI()*(1-(($A354-Simulador!$E$6)/Simulador!$G$6))/Simulador!$B$11))/2,Simulador!$B$9)))</f>
        <v/>
      </c>
      <c r="D354" s="46">
        <f>IF(OR((($A354-Simulador!$E$7)/Simulador!$G$7)&lt;=0,(($A354-Simulador!$E$7)/Simulador!$G$7)&gt;=1),0,IF((($A354-Simulador!$E$7)/Simulador!$G$7)&lt;Simulador!$B$11,Simulador!$B$9*(1-COS(PI()*(($A354-Simulador!$E$7)/Simulador!$G$7)/Simulador!$B$11))/2,IF((($A354-Simulador!$E$7)/Simulador!$G$7)&gt;1-Simulador!$B$11,Simulador!$B$9*(1-COS(PI()*(1-(($A354-Simulador!$E$7)/Simulador!$G$7))/Simulador!$B$11))/2,Simulador!$B$9)))</f>
        <v/>
      </c>
      <c r="E354" s="46">
        <f>IF(OR((($A354-Simulador!$E$8)/Simulador!$G$8)&lt;=0,(($A354-Simulador!$E$8)/Simulador!$G$8)&gt;=1),0,IF((($A354-Simulador!$E$8)/Simulador!$G$8)&lt;Simulador!$B$11,Simulador!$B$10*(1-COS(PI()*(($A354-Simulador!$E$8)/Simulador!$G$8)/Simulador!$B$11))/2,IF((($A354-Simulador!$E$8)/Simulador!$G$8)&gt;1-Simulador!$B$11,Simulador!$B$10*(1-COS(PI()*(1-(($A354-Simulador!$E$8)/Simulador!$G$8))/Simulador!$B$11))/2,Simulador!$B$10)))</f>
        <v/>
      </c>
      <c r="F354" s="46">
        <f>IF(OR((($A354-Simulador!$E$9)/Simulador!$G$9)&lt;=0,(($A354-Simulador!$E$9)/Simulador!$G$9)&gt;=1),0,IF((($A354-Simulador!$E$9)/Simulador!$G$9)&lt;Simulador!$B$11,Simulador!$B$10*(1-COS(PI()*(($A354-Simulador!$E$9)/Simulador!$G$9)/Simulador!$B$11))/2,IF((($A354-Simulador!$E$9)/Simulador!$G$9)&gt;1-Simulador!$B$11,Simulador!$B$10*(1-COS(PI()*(1-(($A354-Simulador!$E$9)/Simulador!$G$9))/Simulador!$B$11))/2,Simulador!$B$10)))</f>
        <v/>
      </c>
      <c r="G354" s="46">
        <f>IF(OR((($A354-Simulador!$E$10)/Simulador!$G$10)&lt;=0,(($A354-Simulador!$E$10)/Simulador!$G$10)&gt;=1),0,IF((($A354-Simulador!$E$10)/Simulador!$G$10)&lt;Simulador!$B$11,Simulador!$B$10*(1-COS(PI()*(($A354-Simulador!$E$10)/Simulador!$G$10)/Simulador!$B$11))/2,IF((($A354-Simulador!$E$10)/Simulador!$G$10)&gt;1-Simulador!$B$11,Simulador!$B$10*(1-COS(PI()*(1-(($A354-Simulador!$E$10)/Simulador!$G$10))/Simulador!$B$11))/2,Simulador!$B$10)))</f>
        <v/>
      </c>
      <c r="Q354" s="48">
        <f>IF(OR((($A354-(Simulador!$E$6+'Salto de dientes'!$B$12))/Simulador!$G$6)&lt;=0,(($A354-(Simulador!$E$6+'Salto de dientes'!$B$12))/Simulador!$G$6)&gt;=1),0,IF((($A354-(Simulador!$E$6+'Salto de dientes'!$B$12))/Simulador!$G$6)&lt;Simulador!$B$11,Simulador!$B$9*(1-COS(PI()*(($A354-(Simulador!$E$6+'Salto de dientes'!$B$12))/Simulador!$G$6)/Simulador!$B$11))/2,IF((($A354-(Simulador!$E$6+'Salto de dientes'!$B$12))/Simulador!$G$6)&gt;1-Simulador!$B$11,Simulador!$B$9*(1-COS(PI()*(1-(($A354-(Simulador!$E$6+'Salto de dientes'!$B$12))/Simulador!$G$6))/Simulador!$B$11))/2,Simulador!$B$9)))</f>
        <v/>
      </c>
      <c r="R354" s="48">
        <f>IF(OR((($A354-(Simulador!$E$9+'Salto de dientes'!$B$12))/Simulador!$G$9)&lt;=0,(($A354-(Simulador!$E$9+'Salto de dientes'!$B$12))/Simulador!$G$9)&gt;=1),0,IF((($A354-(Simulador!$E$9+'Salto de dientes'!$B$12))/Simulador!$G$9)&lt;Simulador!$B$11,Simulador!$B$10*(1-COS(PI()*(($A354-(Simulador!$E$9+'Salto de dientes'!$B$12))/Simulador!$G$9)/Simulador!$B$11))/2,IF((($A354-(Simulador!$E$9+'Salto de dientes'!$B$12))/Simulador!$G$9)&gt;1-Simulador!$B$11,Simulador!$B$10*(1-COS(PI()*(1-(($A354-(Simulador!$E$9+'Salto de dientes'!$B$12))/Simulador!$G$9))/Simulador!$B$11))/2,Simulador!$B$10)))</f>
        <v/>
      </c>
    </row>
    <row r="355">
      <c r="A355" s="26">
        <f>A354+Simulador!$B$14</f>
        <v/>
      </c>
      <c r="B355" s="46">
        <f>IF(OR((($A355-Simulador!$E$5)/Simulador!$G$5)&lt;=0,(($A355-Simulador!$E$5)/Simulador!$G$5)&gt;=1),0,IF((($A355-Simulador!$E$5)/Simulador!$G$5)&lt;Simulador!$B$11,Simulador!$B$9*(1-COS(PI()*(($A355-Simulador!$E$5)/Simulador!$G$5)/Simulador!$B$11))/2,IF((($A355-Simulador!$E$5)/Simulador!$G$5)&gt;1-Simulador!$B$11,Simulador!$B$9*(1-COS(PI()*(1-(($A355-Simulador!$E$5)/Simulador!$G$5))/Simulador!$B$11))/2,Simulador!$B$9)))</f>
        <v/>
      </c>
      <c r="C355" s="46">
        <f>IF(OR((($A355-Simulador!$E$6)/Simulador!$G$6)&lt;=0,(($A355-Simulador!$E$6)/Simulador!$G$6)&gt;=1),0,IF((($A355-Simulador!$E$6)/Simulador!$G$6)&lt;Simulador!$B$11,Simulador!$B$9*(1-COS(PI()*(($A355-Simulador!$E$6)/Simulador!$G$6)/Simulador!$B$11))/2,IF((($A355-Simulador!$E$6)/Simulador!$G$6)&gt;1-Simulador!$B$11,Simulador!$B$9*(1-COS(PI()*(1-(($A355-Simulador!$E$6)/Simulador!$G$6))/Simulador!$B$11))/2,Simulador!$B$9)))</f>
        <v/>
      </c>
      <c r="D355" s="46">
        <f>IF(OR((($A355-Simulador!$E$7)/Simulador!$G$7)&lt;=0,(($A355-Simulador!$E$7)/Simulador!$G$7)&gt;=1),0,IF((($A355-Simulador!$E$7)/Simulador!$G$7)&lt;Simulador!$B$11,Simulador!$B$9*(1-COS(PI()*(($A355-Simulador!$E$7)/Simulador!$G$7)/Simulador!$B$11))/2,IF((($A355-Simulador!$E$7)/Simulador!$G$7)&gt;1-Simulador!$B$11,Simulador!$B$9*(1-COS(PI()*(1-(($A355-Simulador!$E$7)/Simulador!$G$7))/Simulador!$B$11))/2,Simulador!$B$9)))</f>
        <v/>
      </c>
      <c r="E355" s="46">
        <f>IF(OR((($A355-Simulador!$E$8)/Simulador!$G$8)&lt;=0,(($A355-Simulador!$E$8)/Simulador!$G$8)&gt;=1),0,IF((($A355-Simulador!$E$8)/Simulador!$G$8)&lt;Simulador!$B$11,Simulador!$B$10*(1-COS(PI()*(($A355-Simulador!$E$8)/Simulador!$G$8)/Simulador!$B$11))/2,IF((($A355-Simulador!$E$8)/Simulador!$G$8)&gt;1-Simulador!$B$11,Simulador!$B$10*(1-COS(PI()*(1-(($A355-Simulador!$E$8)/Simulador!$G$8))/Simulador!$B$11))/2,Simulador!$B$10)))</f>
        <v/>
      </c>
      <c r="F355" s="46">
        <f>IF(OR((($A355-Simulador!$E$9)/Simulador!$G$9)&lt;=0,(($A355-Simulador!$E$9)/Simulador!$G$9)&gt;=1),0,IF((($A355-Simulador!$E$9)/Simulador!$G$9)&lt;Simulador!$B$11,Simulador!$B$10*(1-COS(PI()*(($A355-Simulador!$E$9)/Simulador!$G$9)/Simulador!$B$11))/2,IF((($A355-Simulador!$E$9)/Simulador!$G$9)&gt;1-Simulador!$B$11,Simulador!$B$10*(1-COS(PI()*(1-(($A355-Simulador!$E$9)/Simulador!$G$9))/Simulador!$B$11))/2,Simulador!$B$10)))</f>
        <v/>
      </c>
      <c r="G355" s="46">
        <f>IF(OR((($A355-Simulador!$E$10)/Simulador!$G$10)&lt;=0,(($A355-Simulador!$E$10)/Simulador!$G$10)&gt;=1),0,IF((($A355-Simulador!$E$10)/Simulador!$G$10)&lt;Simulador!$B$11,Simulador!$B$10*(1-COS(PI()*(($A355-Simulador!$E$10)/Simulador!$G$10)/Simulador!$B$11))/2,IF((($A355-Simulador!$E$10)/Simulador!$G$10)&gt;1-Simulador!$B$11,Simulador!$B$10*(1-COS(PI()*(1-(($A355-Simulador!$E$10)/Simulador!$G$10))/Simulador!$B$11))/2,Simulador!$B$10)))</f>
        <v/>
      </c>
      <c r="Q355" s="48">
        <f>IF(OR((($A355-(Simulador!$E$6+'Salto de dientes'!$B$12))/Simulador!$G$6)&lt;=0,(($A355-(Simulador!$E$6+'Salto de dientes'!$B$12))/Simulador!$G$6)&gt;=1),0,IF((($A355-(Simulador!$E$6+'Salto de dientes'!$B$12))/Simulador!$G$6)&lt;Simulador!$B$11,Simulador!$B$9*(1-COS(PI()*(($A355-(Simulador!$E$6+'Salto de dientes'!$B$12))/Simulador!$G$6)/Simulador!$B$11))/2,IF((($A355-(Simulador!$E$6+'Salto de dientes'!$B$12))/Simulador!$G$6)&gt;1-Simulador!$B$11,Simulador!$B$9*(1-COS(PI()*(1-(($A355-(Simulador!$E$6+'Salto de dientes'!$B$12))/Simulador!$G$6))/Simulador!$B$11))/2,Simulador!$B$9)))</f>
        <v/>
      </c>
      <c r="R355" s="48">
        <f>IF(OR((($A355-(Simulador!$E$9+'Salto de dientes'!$B$12))/Simulador!$G$9)&lt;=0,(($A355-(Simulador!$E$9+'Salto de dientes'!$B$12))/Simulador!$G$9)&gt;=1),0,IF((($A355-(Simulador!$E$9+'Salto de dientes'!$B$12))/Simulador!$G$9)&lt;Simulador!$B$11,Simulador!$B$10*(1-COS(PI()*(($A355-(Simulador!$E$9+'Salto de dientes'!$B$12))/Simulador!$G$9)/Simulador!$B$11))/2,IF((($A355-(Simulador!$E$9+'Salto de dientes'!$B$12))/Simulador!$G$9)&gt;1-Simulador!$B$11,Simulador!$B$10*(1-COS(PI()*(1-(($A355-(Simulador!$E$9+'Salto de dientes'!$B$12))/Simulador!$G$9))/Simulador!$B$11))/2,Simulador!$B$10)))</f>
        <v/>
      </c>
    </row>
    <row r="356">
      <c r="A356" s="26">
        <f>A355+Simulador!$B$14</f>
        <v/>
      </c>
      <c r="B356" s="46">
        <f>IF(OR((($A356-Simulador!$E$5)/Simulador!$G$5)&lt;=0,(($A356-Simulador!$E$5)/Simulador!$G$5)&gt;=1),0,IF((($A356-Simulador!$E$5)/Simulador!$G$5)&lt;Simulador!$B$11,Simulador!$B$9*(1-COS(PI()*(($A356-Simulador!$E$5)/Simulador!$G$5)/Simulador!$B$11))/2,IF((($A356-Simulador!$E$5)/Simulador!$G$5)&gt;1-Simulador!$B$11,Simulador!$B$9*(1-COS(PI()*(1-(($A356-Simulador!$E$5)/Simulador!$G$5))/Simulador!$B$11))/2,Simulador!$B$9)))</f>
        <v/>
      </c>
      <c r="C356" s="46">
        <f>IF(OR((($A356-Simulador!$E$6)/Simulador!$G$6)&lt;=0,(($A356-Simulador!$E$6)/Simulador!$G$6)&gt;=1),0,IF((($A356-Simulador!$E$6)/Simulador!$G$6)&lt;Simulador!$B$11,Simulador!$B$9*(1-COS(PI()*(($A356-Simulador!$E$6)/Simulador!$G$6)/Simulador!$B$11))/2,IF((($A356-Simulador!$E$6)/Simulador!$G$6)&gt;1-Simulador!$B$11,Simulador!$B$9*(1-COS(PI()*(1-(($A356-Simulador!$E$6)/Simulador!$G$6))/Simulador!$B$11))/2,Simulador!$B$9)))</f>
        <v/>
      </c>
      <c r="D356" s="46">
        <f>IF(OR((($A356-Simulador!$E$7)/Simulador!$G$7)&lt;=0,(($A356-Simulador!$E$7)/Simulador!$G$7)&gt;=1),0,IF((($A356-Simulador!$E$7)/Simulador!$G$7)&lt;Simulador!$B$11,Simulador!$B$9*(1-COS(PI()*(($A356-Simulador!$E$7)/Simulador!$G$7)/Simulador!$B$11))/2,IF((($A356-Simulador!$E$7)/Simulador!$G$7)&gt;1-Simulador!$B$11,Simulador!$B$9*(1-COS(PI()*(1-(($A356-Simulador!$E$7)/Simulador!$G$7))/Simulador!$B$11))/2,Simulador!$B$9)))</f>
        <v/>
      </c>
      <c r="E356" s="46">
        <f>IF(OR((($A356-Simulador!$E$8)/Simulador!$G$8)&lt;=0,(($A356-Simulador!$E$8)/Simulador!$G$8)&gt;=1),0,IF((($A356-Simulador!$E$8)/Simulador!$G$8)&lt;Simulador!$B$11,Simulador!$B$10*(1-COS(PI()*(($A356-Simulador!$E$8)/Simulador!$G$8)/Simulador!$B$11))/2,IF((($A356-Simulador!$E$8)/Simulador!$G$8)&gt;1-Simulador!$B$11,Simulador!$B$10*(1-COS(PI()*(1-(($A356-Simulador!$E$8)/Simulador!$G$8))/Simulador!$B$11))/2,Simulador!$B$10)))</f>
        <v/>
      </c>
      <c r="F356" s="46">
        <f>IF(OR((($A356-Simulador!$E$9)/Simulador!$G$9)&lt;=0,(($A356-Simulador!$E$9)/Simulador!$G$9)&gt;=1),0,IF((($A356-Simulador!$E$9)/Simulador!$G$9)&lt;Simulador!$B$11,Simulador!$B$10*(1-COS(PI()*(($A356-Simulador!$E$9)/Simulador!$G$9)/Simulador!$B$11))/2,IF((($A356-Simulador!$E$9)/Simulador!$G$9)&gt;1-Simulador!$B$11,Simulador!$B$10*(1-COS(PI()*(1-(($A356-Simulador!$E$9)/Simulador!$G$9))/Simulador!$B$11))/2,Simulador!$B$10)))</f>
        <v/>
      </c>
      <c r="G356" s="46">
        <f>IF(OR((($A356-Simulador!$E$10)/Simulador!$G$10)&lt;=0,(($A356-Simulador!$E$10)/Simulador!$G$10)&gt;=1),0,IF((($A356-Simulador!$E$10)/Simulador!$G$10)&lt;Simulador!$B$11,Simulador!$B$10*(1-COS(PI()*(($A356-Simulador!$E$10)/Simulador!$G$10)/Simulador!$B$11))/2,IF((($A356-Simulador!$E$10)/Simulador!$G$10)&gt;1-Simulador!$B$11,Simulador!$B$10*(1-COS(PI()*(1-(($A356-Simulador!$E$10)/Simulador!$G$10))/Simulador!$B$11))/2,Simulador!$B$10)))</f>
        <v/>
      </c>
      <c r="Q356" s="48">
        <f>IF(OR((($A356-(Simulador!$E$6+'Salto de dientes'!$B$12))/Simulador!$G$6)&lt;=0,(($A356-(Simulador!$E$6+'Salto de dientes'!$B$12))/Simulador!$G$6)&gt;=1),0,IF((($A356-(Simulador!$E$6+'Salto de dientes'!$B$12))/Simulador!$G$6)&lt;Simulador!$B$11,Simulador!$B$9*(1-COS(PI()*(($A356-(Simulador!$E$6+'Salto de dientes'!$B$12))/Simulador!$G$6)/Simulador!$B$11))/2,IF((($A356-(Simulador!$E$6+'Salto de dientes'!$B$12))/Simulador!$G$6)&gt;1-Simulador!$B$11,Simulador!$B$9*(1-COS(PI()*(1-(($A356-(Simulador!$E$6+'Salto de dientes'!$B$12))/Simulador!$G$6))/Simulador!$B$11))/2,Simulador!$B$9)))</f>
        <v/>
      </c>
      <c r="R356" s="48">
        <f>IF(OR((($A356-(Simulador!$E$9+'Salto de dientes'!$B$12))/Simulador!$G$9)&lt;=0,(($A356-(Simulador!$E$9+'Salto de dientes'!$B$12))/Simulador!$G$9)&gt;=1),0,IF((($A356-(Simulador!$E$9+'Salto de dientes'!$B$12))/Simulador!$G$9)&lt;Simulador!$B$11,Simulador!$B$10*(1-COS(PI()*(($A356-(Simulador!$E$9+'Salto de dientes'!$B$12))/Simulador!$G$9)/Simulador!$B$11))/2,IF((($A356-(Simulador!$E$9+'Salto de dientes'!$B$12))/Simulador!$G$9)&gt;1-Simulador!$B$11,Simulador!$B$10*(1-COS(PI()*(1-(($A356-(Simulador!$E$9+'Salto de dientes'!$B$12))/Simulador!$G$9))/Simulador!$B$11))/2,Simulador!$B$10)))</f>
        <v/>
      </c>
    </row>
    <row r="357">
      <c r="A357" s="26">
        <f>A356+Simulador!$B$14</f>
        <v/>
      </c>
      <c r="B357" s="46">
        <f>IF(OR((($A357-Simulador!$E$5)/Simulador!$G$5)&lt;=0,(($A357-Simulador!$E$5)/Simulador!$G$5)&gt;=1),0,IF((($A357-Simulador!$E$5)/Simulador!$G$5)&lt;Simulador!$B$11,Simulador!$B$9*(1-COS(PI()*(($A357-Simulador!$E$5)/Simulador!$G$5)/Simulador!$B$11))/2,IF((($A357-Simulador!$E$5)/Simulador!$G$5)&gt;1-Simulador!$B$11,Simulador!$B$9*(1-COS(PI()*(1-(($A357-Simulador!$E$5)/Simulador!$G$5))/Simulador!$B$11))/2,Simulador!$B$9)))</f>
        <v/>
      </c>
      <c r="C357" s="46">
        <f>IF(OR((($A357-Simulador!$E$6)/Simulador!$G$6)&lt;=0,(($A357-Simulador!$E$6)/Simulador!$G$6)&gt;=1),0,IF((($A357-Simulador!$E$6)/Simulador!$G$6)&lt;Simulador!$B$11,Simulador!$B$9*(1-COS(PI()*(($A357-Simulador!$E$6)/Simulador!$G$6)/Simulador!$B$11))/2,IF((($A357-Simulador!$E$6)/Simulador!$G$6)&gt;1-Simulador!$B$11,Simulador!$B$9*(1-COS(PI()*(1-(($A357-Simulador!$E$6)/Simulador!$G$6))/Simulador!$B$11))/2,Simulador!$B$9)))</f>
        <v/>
      </c>
      <c r="D357" s="46">
        <f>IF(OR((($A357-Simulador!$E$7)/Simulador!$G$7)&lt;=0,(($A357-Simulador!$E$7)/Simulador!$G$7)&gt;=1),0,IF((($A357-Simulador!$E$7)/Simulador!$G$7)&lt;Simulador!$B$11,Simulador!$B$9*(1-COS(PI()*(($A357-Simulador!$E$7)/Simulador!$G$7)/Simulador!$B$11))/2,IF((($A357-Simulador!$E$7)/Simulador!$G$7)&gt;1-Simulador!$B$11,Simulador!$B$9*(1-COS(PI()*(1-(($A357-Simulador!$E$7)/Simulador!$G$7))/Simulador!$B$11))/2,Simulador!$B$9)))</f>
        <v/>
      </c>
      <c r="E357" s="46">
        <f>IF(OR((($A357-Simulador!$E$8)/Simulador!$G$8)&lt;=0,(($A357-Simulador!$E$8)/Simulador!$G$8)&gt;=1),0,IF((($A357-Simulador!$E$8)/Simulador!$G$8)&lt;Simulador!$B$11,Simulador!$B$10*(1-COS(PI()*(($A357-Simulador!$E$8)/Simulador!$G$8)/Simulador!$B$11))/2,IF((($A357-Simulador!$E$8)/Simulador!$G$8)&gt;1-Simulador!$B$11,Simulador!$B$10*(1-COS(PI()*(1-(($A357-Simulador!$E$8)/Simulador!$G$8))/Simulador!$B$11))/2,Simulador!$B$10)))</f>
        <v/>
      </c>
      <c r="F357" s="46">
        <f>IF(OR((($A357-Simulador!$E$9)/Simulador!$G$9)&lt;=0,(($A357-Simulador!$E$9)/Simulador!$G$9)&gt;=1),0,IF((($A357-Simulador!$E$9)/Simulador!$G$9)&lt;Simulador!$B$11,Simulador!$B$10*(1-COS(PI()*(($A357-Simulador!$E$9)/Simulador!$G$9)/Simulador!$B$11))/2,IF((($A357-Simulador!$E$9)/Simulador!$G$9)&gt;1-Simulador!$B$11,Simulador!$B$10*(1-COS(PI()*(1-(($A357-Simulador!$E$9)/Simulador!$G$9))/Simulador!$B$11))/2,Simulador!$B$10)))</f>
        <v/>
      </c>
      <c r="G357" s="46">
        <f>IF(OR((($A357-Simulador!$E$10)/Simulador!$G$10)&lt;=0,(($A357-Simulador!$E$10)/Simulador!$G$10)&gt;=1),0,IF((($A357-Simulador!$E$10)/Simulador!$G$10)&lt;Simulador!$B$11,Simulador!$B$10*(1-COS(PI()*(($A357-Simulador!$E$10)/Simulador!$G$10)/Simulador!$B$11))/2,IF((($A357-Simulador!$E$10)/Simulador!$G$10)&gt;1-Simulador!$B$11,Simulador!$B$10*(1-COS(PI()*(1-(($A357-Simulador!$E$10)/Simulador!$G$10))/Simulador!$B$11))/2,Simulador!$B$10)))</f>
        <v/>
      </c>
      <c r="Q357" s="48">
        <f>IF(OR((($A357-(Simulador!$E$6+'Salto de dientes'!$B$12))/Simulador!$G$6)&lt;=0,(($A357-(Simulador!$E$6+'Salto de dientes'!$B$12))/Simulador!$G$6)&gt;=1),0,IF((($A357-(Simulador!$E$6+'Salto de dientes'!$B$12))/Simulador!$G$6)&lt;Simulador!$B$11,Simulador!$B$9*(1-COS(PI()*(($A357-(Simulador!$E$6+'Salto de dientes'!$B$12))/Simulador!$G$6)/Simulador!$B$11))/2,IF((($A357-(Simulador!$E$6+'Salto de dientes'!$B$12))/Simulador!$G$6)&gt;1-Simulador!$B$11,Simulador!$B$9*(1-COS(PI()*(1-(($A357-(Simulador!$E$6+'Salto de dientes'!$B$12))/Simulador!$G$6))/Simulador!$B$11))/2,Simulador!$B$9)))</f>
        <v/>
      </c>
      <c r="R357" s="48">
        <f>IF(OR((($A357-(Simulador!$E$9+'Salto de dientes'!$B$12))/Simulador!$G$9)&lt;=0,(($A357-(Simulador!$E$9+'Salto de dientes'!$B$12))/Simulador!$G$9)&gt;=1),0,IF((($A357-(Simulador!$E$9+'Salto de dientes'!$B$12))/Simulador!$G$9)&lt;Simulador!$B$11,Simulador!$B$10*(1-COS(PI()*(($A357-(Simulador!$E$9+'Salto de dientes'!$B$12))/Simulador!$G$9)/Simulador!$B$11))/2,IF((($A357-(Simulador!$E$9+'Salto de dientes'!$B$12))/Simulador!$G$9)&gt;1-Simulador!$B$11,Simulador!$B$10*(1-COS(PI()*(1-(($A357-(Simulador!$E$9+'Salto de dientes'!$B$12))/Simulador!$G$9))/Simulador!$B$11))/2,Simulador!$B$10)))</f>
        <v/>
      </c>
    </row>
    <row r="358">
      <c r="A358" s="26">
        <f>A357+Simulador!$B$14</f>
        <v/>
      </c>
      <c r="B358" s="46">
        <f>IF(OR((($A358-Simulador!$E$5)/Simulador!$G$5)&lt;=0,(($A358-Simulador!$E$5)/Simulador!$G$5)&gt;=1),0,IF((($A358-Simulador!$E$5)/Simulador!$G$5)&lt;Simulador!$B$11,Simulador!$B$9*(1-COS(PI()*(($A358-Simulador!$E$5)/Simulador!$G$5)/Simulador!$B$11))/2,IF((($A358-Simulador!$E$5)/Simulador!$G$5)&gt;1-Simulador!$B$11,Simulador!$B$9*(1-COS(PI()*(1-(($A358-Simulador!$E$5)/Simulador!$G$5))/Simulador!$B$11))/2,Simulador!$B$9)))</f>
        <v/>
      </c>
      <c r="C358" s="46">
        <f>IF(OR((($A358-Simulador!$E$6)/Simulador!$G$6)&lt;=0,(($A358-Simulador!$E$6)/Simulador!$G$6)&gt;=1),0,IF((($A358-Simulador!$E$6)/Simulador!$G$6)&lt;Simulador!$B$11,Simulador!$B$9*(1-COS(PI()*(($A358-Simulador!$E$6)/Simulador!$G$6)/Simulador!$B$11))/2,IF((($A358-Simulador!$E$6)/Simulador!$G$6)&gt;1-Simulador!$B$11,Simulador!$B$9*(1-COS(PI()*(1-(($A358-Simulador!$E$6)/Simulador!$G$6))/Simulador!$B$11))/2,Simulador!$B$9)))</f>
        <v/>
      </c>
      <c r="D358" s="46">
        <f>IF(OR((($A358-Simulador!$E$7)/Simulador!$G$7)&lt;=0,(($A358-Simulador!$E$7)/Simulador!$G$7)&gt;=1),0,IF((($A358-Simulador!$E$7)/Simulador!$G$7)&lt;Simulador!$B$11,Simulador!$B$9*(1-COS(PI()*(($A358-Simulador!$E$7)/Simulador!$G$7)/Simulador!$B$11))/2,IF((($A358-Simulador!$E$7)/Simulador!$G$7)&gt;1-Simulador!$B$11,Simulador!$B$9*(1-COS(PI()*(1-(($A358-Simulador!$E$7)/Simulador!$G$7))/Simulador!$B$11))/2,Simulador!$B$9)))</f>
        <v/>
      </c>
      <c r="E358" s="46">
        <f>IF(OR((($A358-Simulador!$E$8)/Simulador!$G$8)&lt;=0,(($A358-Simulador!$E$8)/Simulador!$G$8)&gt;=1),0,IF((($A358-Simulador!$E$8)/Simulador!$G$8)&lt;Simulador!$B$11,Simulador!$B$10*(1-COS(PI()*(($A358-Simulador!$E$8)/Simulador!$G$8)/Simulador!$B$11))/2,IF((($A358-Simulador!$E$8)/Simulador!$G$8)&gt;1-Simulador!$B$11,Simulador!$B$10*(1-COS(PI()*(1-(($A358-Simulador!$E$8)/Simulador!$G$8))/Simulador!$B$11))/2,Simulador!$B$10)))</f>
        <v/>
      </c>
      <c r="F358" s="46">
        <f>IF(OR((($A358-Simulador!$E$9)/Simulador!$G$9)&lt;=0,(($A358-Simulador!$E$9)/Simulador!$G$9)&gt;=1),0,IF((($A358-Simulador!$E$9)/Simulador!$G$9)&lt;Simulador!$B$11,Simulador!$B$10*(1-COS(PI()*(($A358-Simulador!$E$9)/Simulador!$G$9)/Simulador!$B$11))/2,IF((($A358-Simulador!$E$9)/Simulador!$G$9)&gt;1-Simulador!$B$11,Simulador!$B$10*(1-COS(PI()*(1-(($A358-Simulador!$E$9)/Simulador!$G$9))/Simulador!$B$11))/2,Simulador!$B$10)))</f>
        <v/>
      </c>
      <c r="G358" s="46">
        <f>IF(OR((($A358-Simulador!$E$10)/Simulador!$G$10)&lt;=0,(($A358-Simulador!$E$10)/Simulador!$G$10)&gt;=1),0,IF((($A358-Simulador!$E$10)/Simulador!$G$10)&lt;Simulador!$B$11,Simulador!$B$10*(1-COS(PI()*(($A358-Simulador!$E$10)/Simulador!$G$10)/Simulador!$B$11))/2,IF((($A358-Simulador!$E$10)/Simulador!$G$10)&gt;1-Simulador!$B$11,Simulador!$B$10*(1-COS(PI()*(1-(($A358-Simulador!$E$10)/Simulador!$G$10))/Simulador!$B$11))/2,Simulador!$B$10)))</f>
        <v/>
      </c>
      <c r="Q358" s="48">
        <f>IF(OR((($A358-(Simulador!$E$6+'Salto de dientes'!$B$12))/Simulador!$G$6)&lt;=0,(($A358-(Simulador!$E$6+'Salto de dientes'!$B$12))/Simulador!$G$6)&gt;=1),0,IF((($A358-(Simulador!$E$6+'Salto de dientes'!$B$12))/Simulador!$G$6)&lt;Simulador!$B$11,Simulador!$B$9*(1-COS(PI()*(($A358-(Simulador!$E$6+'Salto de dientes'!$B$12))/Simulador!$G$6)/Simulador!$B$11))/2,IF((($A358-(Simulador!$E$6+'Salto de dientes'!$B$12))/Simulador!$G$6)&gt;1-Simulador!$B$11,Simulador!$B$9*(1-COS(PI()*(1-(($A358-(Simulador!$E$6+'Salto de dientes'!$B$12))/Simulador!$G$6))/Simulador!$B$11))/2,Simulador!$B$9)))</f>
        <v/>
      </c>
      <c r="R358" s="48">
        <f>IF(OR((($A358-(Simulador!$E$9+'Salto de dientes'!$B$12))/Simulador!$G$9)&lt;=0,(($A358-(Simulador!$E$9+'Salto de dientes'!$B$12))/Simulador!$G$9)&gt;=1),0,IF((($A358-(Simulador!$E$9+'Salto de dientes'!$B$12))/Simulador!$G$9)&lt;Simulador!$B$11,Simulador!$B$10*(1-COS(PI()*(($A358-(Simulador!$E$9+'Salto de dientes'!$B$12))/Simulador!$G$9)/Simulador!$B$11))/2,IF((($A358-(Simulador!$E$9+'Salto de dientes'!$B$12))/Simulador!$G$9)&gt;1-Simulador!$B$11,Simulador!$B$10*(1-COS(PI()*(1-(($A358-(Simulador!$E$9+'Salto de dientes'!$B$12))/Simulador!$G$9))/Simulador!$B$11))/2,Simulador!$B$10)))</f>
        <v/>
      </c>
    </row>
    <row r="359">
      <c r="A359" s="26">
        <f>A358+Simulador!$B$14</f>
        <v/>
      </c>
      <c r="B359" s="46">
        <f>IF(OR((($A359-Simulador!$E$5)/Simulador!$G$5)&lt;=0,(($A359-Simulador!$E$5)/Simulador!$G$5)&gt;=1),0,IF((($A359-Simulador!$E$5)/Simulador!$G$5)&lt;Simulador!$B$11,Simulador!$B$9*(1-COS(PI()*(($A359-Simulador!$E$5)/Simulador!$G$5)/Simulador!$B$11))/2,IF((($A359-Simulador!$E$5)/Simulador!$G$5)&gt;1-Simulador!$B$11,Simulador!$B$9*(1-COS(PI()*(1-(($A359-Simulador!$E$5)/Simulador!$G$5))/Simulador!$B$11))/2,Simulador!$B$9)))</f>
        <v/>
      </c>
      <c r="C359" s="46">
        <f>IF(OR((($A359-Simulador!$E$6)/Simulador!$G$6)&lt;=0,(($A359-Simulador!$E$6)/Simulador!$G$6)&gt;=1),0,IF((($A359-Simulador!$E$6)/Simulador!$G$6)&lt;Simulador!$B$11,Simulador!$B$9*(1-COS(PI()*(($A359-Simulador!$E$6)/Simulador!$G$6)/Simulador!$B$11))/2,IF((($A359-Simulador!$E$6)/Simulador!$G$6)&gt;1-Simulador!$B$11,Simulador!$B$9*(1-COS(PI()*(1-(($A359-Simulador!$E$6)/Simulador!$G$6))/Simulador!$B$11))/2,Simulador!$B$9)))</f>
        <v/>
      </c>
      <c r="D359" s="46">
        <f>IF(OR((($A359-Simulador!$E$7)/Simulador!$G$7)&lt;=0,(($A359-Simulador!$E$7)/Simulador!$G$7)&gt;=1),0,IF((($A359-Simulador!$E$7)/Simulador!$G$7)&lt;Simulador!$B$11,Simulador!$B$9*(1-COS(PI()*(($A359-Simulador!$E$7)/Simulador!$G$7)/Simulador!$B$11))/2,IF((($A359-Simulador!$E$7)/Simulador!$G$7)&gt;1-Simulador!$B$11,Simulador!$B$9*(1-COS(PI()*(1-(($A359-Simulador!$E$7)/Simulador!$G$7))/Simulador!$B$11))/2,Simulador!$B$9)))</f>
        <v/>
      </c>
      <c r="E359" s="46">
        <f>IF(OR((($A359-Simulador!$E$8)/Simulador!$G$8)&lt;=0,(($A359-Simulador!$E$8)/Simulador!$G$8)&gt;=1),0,IF((($A359-Simulador!$E$8)/Simulador!$G$8)&lt;Simulador!$B$11,Simulador!$B$10*(1-COS(PI()*(($A359-Simulador!$E$8)/Simulador!$G$8)/Simulador!$B$11))/2,IF((($A359-Simulador!$E$8)/Simulador!$G$8)&gt;1-Simulador!$B$11,Simulador!$B$10*(1-COS(PI()*(1-(($A359-Simulador!$E$8)/Simulador!$G$8))/Simulador!$B$11))/2,Simulador!$B$10)))</f>
        <v/>
      </c>
      <c r="F359" s="46">
        <f>IF(OR((($A359-Simulador!$E$9)/Simulador!$G$9)&lt;=0,(($A359-Simulador!$E$9)/Simulador!$G$9)&gt;=1),0,IF((($A359-Simulador!$E$9)/Simulador!$G$9)&lt;Simulador!$B$11,Simulador!$B$10*(1-COS(PI()*(($A359-Simulador!$E$9)/Simulador!$G$9)/Simulador!$B$11))/2,IF((($A359-Simulador!$E$9)/Simulador!$G$9)&gt;1-Simulador!$B$11,Simulador!$B$10*(1-COS(PI()*(1-(($A359-Simulador!$E$9)/Simulador!$G$9))/Simulador!$B$11))/2,Simulador!$B$10)))</f>
        <v/>
      </c>
      <c r="G359" s="46">
        <f>IF(OR((($A359-Simulador!$E$10)/Simulador!$G$10)&lt;=0,(($A359-Simulador!$E$10)/Simulador!$G$10)&gt;=1),0,IF((($A359-Simulador!$E$10)/Simulador!$G$10)&lt;Simulador!$B$11,Simulador!$B$10*(1-COS(PI()*(($A359-Simulador!$E$10)/Simulador!$G$10)/Simulador!$B$11))/2,IF((($A359-Simulador!$E$10)/Simulador!$G$10)&gt;1-Simulador!$B$11,Simulador!$B$10*(1-COS(PI()*(1-(($A359-Simulador!$E$10)/Simulador!$G$10))/Simulador!$B$11))/2,Simulador!$B$10)))</f>
        <v/>
      </c>
      <c r="Q359" s="48">
        <f>IF(OR((($A359-(Simulador!$E$6+'Salto de dientes'!$B$12))/Simulador!$G$6)&lt;=0,(($A359-(Simulador!$E$6+'Salto de dientes'!$B$12))/Simulador!$G$6)&gt;=1),0,IF((($A359-(Simulador!$E$6+'Salto de dientes'!$B$12))/Simulador!$G$6)&lt;Simulador!$B$11,Simulador!$B$9*(1-COS(PI()*(($A359-(Simulador!$E$6+'Salto de dientes'!$B$12))/Simulador!$G$6)/Simulador!$B$11))/2,IF((($A359-(Simulador!$E$6+'Salto de dientes'!$B$12))/Simulador!$G$6)&gt;1-Simulador!$B$11,Simulador!$B$9*(1-COS(PI()*(1-(($A359-(Simulador!$E$6+'Salto de dientes'!$B$12))/Simulador!$G$6))/Simulador!$B$11))/2,Simulador!$B$9)))</f>
        <v/>
      </c>
      <c r="R359" s="48">
        <f>IF(OR((($A359-(Simulador!$E$9+'Salto de dientes'!$B$12))/Simulador!$G$9)&lt;=0,(($A359-(Simulador!$E$9+'Salto de dientes'!$B$12))/Simulador!$G$9)&gt;=1),0,IF((($A359-(Simulador!$E$9+'Salto de dientes'!$B$12))/Simulador!$G$9)&lt;Simulador!$B$11,Simulador!$B$10*(1-COS(PI()*(($A359-(Simulador!$E$9+'Salto de dientes'!$B$12))/Simulador!$G$9)/Simulador!$B$11))/2,IF((($A359-(Simulador!$E$9+'Salto de dientes'!$B$12))/Simulador!$G$9)&gt;1-Simulador!$B$11,Simulador!$B$10*(1-COS(PI()*(1-(($A359-(Simulador!$E$9+'Salto de dientes'!$B$12))/Simulador!$G$9))/Simulador!$B$11))/2,Simulador!$B$10)))</f>
        <v/>
      </c>
    </row>
    <row r="360">
      <c r="A360" s="26">
        <f>A359+Simulador!$B$14</f>
        <v/>
      </c>
      <c r="B360" s="46">
        <f>IF(OR((($A360-Simulador!$E$5)/Simulador!$G$5)&lt;=0,(($A360-Simulador!$E$5)/Simulador!$G$5)&gt;=1),0,IF((($A360-Simulador!$E$5)/Simulador!$G$5)&lt;Simulador!$B$11,Simulador!$B$9*(1-COS(PI()*(($A360-Simulador!$E$5)/Simulador!$G$5)/Simulador!$B$11))/2,IF((($A360-Simulador!$E$5)/Simulador!$G$5)&gt;1-Simulador!$B$11,Simulador!$B$9*(1-COS(PI()*(1-(($A360-Simulador!$E$5)/Simulador!$G$5))/Simulador!$B$11))/2,Simulador!$B$9)))</f>
        <v/>
      </c>
      <c r="C360" s="46">
        <f>IF(OR((($A360-Simulador!$E$6)/Simulador!$G$6)&lt;=0,(($A360-Simulador!$E$6)/Simulador!$G$6)&gt;=1),0,IF((($A360-Simulador!$E$6)/Simulador!$G$6)&lt;Simulador!$B$11,Simulador!$B$9*(1-COS(PI()*(($A360-Simulador!$E$6)/Simulador!$G$6)/Simulador!$B$11))/2,IF((($A360-Simulador!$E$6)/Simulador!$G$6)&gt;1-Simulador!$B$11,Simulador!$B$9*(1-COS(PI()*(1-(($A360-Simulador!$E$6)/Simulador!$G$6))/Simulador!$B$11))/2,Simulador!$B$9)))</f>
        <v/>
      </c>
      <c r="D360" s="46">
        <f>IF(OR((($A360-Simulador!$E$7)/Simulador!$G$7)&lt;=0,(($A360-Simulador!$E$7)/Simulador!$G$7)&gt;=1),0,IF((($A360-Simulador!$E$7)/Simulador!$G$7)&lt;Simulador!$B$11,Simulador!$B$9*(1-COS(PI()*(($A360-Simulador!$E$7)/Simulador!$G$7)/Simulador!$B$11))/2,IF((($A360-Simulador!$E$7)/Simulador!$G$7)&gt;1-Simulador!$B$11,Simulador!$B$9*(1-COS(PI()*(1-(($A360-Simulador!$E$7)/Simulador!$G$7))/Simulador!$B$11))/2,Simulador!$B$9)))</f>
        <v/>
      </c>
      <c r="E360" s="46">
        <f>IF(OR((($A360-Simulador!$E$8)/Simulador!$G$8)&lt;=0,(($A360-Simulador!$E$8)/Simulador!$G$8)&gt;=1),0,IF((($A360-Simulador!$E$8)/Simulador!$G$8)&lt;Simulador!$B$11,Simulador!$B$10*(1-COS(PI()*(($A360-Simulador!$E$8)/Simulador!$G$8)/Simulador!$B$11))/2,IF((($A360-Simulador!$E$8)/Simulador!$G$8)&gt;1-Simulador!$B$11,Simulador!$B$10*(1-COS(PI()*(1-(($A360-Simulador!$E$8)/Simulador!$G$8))/Simulador!$B$11))/2,Simulador!$B$10)))</f>
        <v/>
      </c>
      <c r="F360" s="46">
        <f>IF(OR((($A360-Simulador!$E$9)/Simulador!$G$9)&lt;=0,(($A360-Simulador!$E$9)/Simulador!$G$9)&gt;=1),0,IF((($A360-Simulador!$E$9)/Simulador!$G$9)&lt;Simulador!$B$11,Simulador!$B$10*(1-COS(PI()*(($A360-Simulador!$E$9)/Simulador!$G$9)/Simulador!$B$11))/2,IF((($A360-Simulador!$E$9)/Simulador!$G$9)&gt;1-Simulador!$B$11,Simulador!$B$10*(1-COS(PI()*(1-(($A360-Simulador!$E$9)/Simulador!$G$9))/Simulador!$B$11))/2,Simulador!$B$10)))</f>
        <v/>
      </c>
      <c r="G360" s="46">
        <f>IF(OR((($A360-Simulador!$E$10)/Simulador!$G$10)&lt;=0,(($A360-Simulador!$E$10)/Simulador!$G$10)&gt;=1),0,IF((($A360-Simulador!$E$10)/Simulador!$G$10)&lt;Simulador!$B$11,Simulador!$B$10*(1-COS(PI()*(($A360-Simulador!$E$10)/Simulador!$G$10)/Simulador!$B$11))/2,IF((($A360-Simulador!$E$10)/Simulador!$G$10)&gt;1-Simulador!$B$11,Simulador!$B$10*(1-COS(PI()*(1-(($A360-Simulador!$E$10)/Simulador!$G$10))/Simulador!$B$11))/2,Simulador!$B$10)))</f>
        <v/>
      </c>
      <c r="Q360" s="48">
        <f>IF(OR((($A360-(Simulador!$E$6+'Salto de dientes'!$B$12))/Simulador!$G$6)&lt;=0,(($A360-(Simulador!$E$6+'Salto de dientes'!$B$12))/Simulador!$G$6)&gt;=1),0,IF((($A360-(Simulador!$E$6+'Salto de dientes'!$B$12))/Simulador!$G$6)&lt;Simulador!$B$11,Simulador!$B$9*(1-COS(PI()*(($A360-(Simulador!$E$6+'Salto de dientes'!$B$12))/Simulador!$G$6)/Simulador!$B$11))/2,IF((($A360-(Simulador!$E$6+'Salto de dientes'!$B$12))/Simulador!$G$6)&gt;1-Simulador!$B$11,Simulador!$B$9*(1-COS(PI()*(1-(($A360-(Simulador!$E$6+'Salto de dientes'!$B$12))/Simulador!$G$6))/Simulador!$B$11))/2,Simulador!$B$9)))</f>
        <v/>
      </c>
      <c r="R360" s="48">
        <f>IF(OR((($A360-(Simulador!$E$9+'Salto de dientes'!$B$12))/Simulador!$G$9)&lt;=0,(($A360-(Simulador!$E$9+'Salto de dientes'!$B$12))/Simulador!$G$9)&gt;=1),0,IF((($A360-(Simulador!$E$9+'Salto de dientes'!$B$12))/Simulador!$G$9)&lt;Simulador!$B$11,Simulador!$B$10*(1-COS(PI()*(($A360-(Simulador!$E$9+'Salto de dientes'!$B$12))/Simulador!$G$9)/Simulador!$B$11))/2,IF((($A360-(Simulador!$E$9+'Salto de dientes'!$B$12))/Simulador!$G$9)&gt;1-Simulador!$B$11,Simulador!$B$10*(1-COS(PI()*(1-(($A360-(Simulador!$E$9+'Salto de dientes'!$B$12))/Simulador!$G$9))/Simulador!$B$11))/2,Simulador!$B$10)))</f>
        <v/>
      </c>
    </row>
    <row r="361">
      <c r="A361" s="26">
        <f>A360+Simulador!$B$14</f>
        <v/>
      </c>
      <c r="B361" s="46">
        <f>IF(OR((($A361-Simulador!$E$5)/Simulador!$G$5)&lt;=0,(($A361-Simulador!$E$5)/Simulador!$G$5)&gt;=1),0,IF((($A361-Simulador!$E$5)/Simulador!$G$5)&lt;Simulador!$B$11,Simulador!$B$9*(1-COS(PI()*(($A361-Simulador!$E$5)/Simulador!$G$5)/Simulador!$B$11))/2,IF((($A361-Simulador!$E$5)/Simulador!$G$5)&gt;1-Simulador!$B$11,Simulador!$B$9*(1-COS(PI()*(1-(($A361-Simulador!$E$5)/Simulador!$G$5))/Simulador!$B$11))/2,Simulador!$B$9)))</f>
        <v/>
      </c>
      <c r="C361" s="46">
        <f>IF(OR((($A361-Simulador!$E$6)/Simulador!$G$6)&lt;=0,(($A361-Simulador!$E$6)/Simulador!$G$6)&gt;=1),0,IF((($A361-Simulador!$E$6)/Simulador!$G$6)&lt;Simulador!$B$11,Simulador!$B$9*(1-COS(PI()*(($A361-Simulador!$E$6)/Simulador!$G$6)/Simulador!$B$11))/2,IF((($A361-Simulador!$E$6)/Simulador!$G$6)&gt;1-Simulador!$B$11,Simulador!$B$9*(1-COS(PI()*(1-(($A361-Simulador!$E$6)/Simulador!$G$6))/Simulador!$B$11))/2,Simulador!$B$9)))</f>
        <v/>
      </c>
      <c r="D361" s="46">
        <f>IF(OR((($A361-Simulador!$E$7)/Simulador!$G$7)&lt;=0,(($A361-Simulador!$E$7)/Simulador!$G$7)&gt;=1),0,IF((($A361-Simulador!$E$7)/Simulador!$G$7)&lt;Simulador!$B$11,Simulador!$B$9*(1-COS(PI()*(($A361-Simulador!$E$7)/Simulador!$G$7)/Simulador!$B$11))/2,IF((($A361-Simulador!$E$7)/Simulador!$G$7)&gt;1-Simulador!$B$11,Simulador!$B$9*(1-COS(PI()*(1-(($A361-Simulador!$E$7)/Simulador!$G$7))/Simulador!$B$11))/2,Simulador!$B$9)))</f>
        <v/>
      </c>
      <c r="E361" s="46">
        <f>IF(OR((($A361-Simulador!$E$8)/Simulador!$G$8)&lt;=0,(($A361-Simulador!$E$8)/Simulador!$G$8)&gt;=1),0,IF((($A361-Simulador!$E$8)/Simulador!$G$8)&lt;Simulador!$B$11,Simulador!$B$10*(1-COS(PI()*(($A361-Simulador!$E$8)/Simulador!$G$8)/Simulador!$B$11))/2,IF((($A361-Simulador!$E$8)/Simulador!$G$8)&gt;1-Simulador!$B$11,Simulador!$B$10*(1-COS(PI()*(1-(($A361-Simulador!$E$8)/Simulador!$G$8))/Simulador!$B$11))/2,Simulador!$B$10)))</f>
        <v/>
      </c>
      <c r="F361" s="46">
        <f>IF(OR((($A361-Simulador!$E$9)/Simulador!$G$9)&lt;=0,(($A361-Simulador!$E$9)/Simulador!$G$9)&gt;=1),0,IF((($A361-Simulador!$E$9)/Simulador!$G$9)&lt;Simulador!$B$11,Simulador!$B$10*(1-COS(PI()*(($A361-Simulador!$E$9)/Simulador!$G$9)/Simulador!$B$11))/2,IF((($A361-Simulador!$E$9)/Simulador!$G$9)&gt;1-Simulador!$B$11,Simulador!$B$10*(1-COS(PI()*(1-(($A361-Simulador!$E$9)/Simulador!$G$9))/Simulador!$B$11))/2,Simulador!$B$10)))</f>
        <v/>
      </c>
      <c r="G361" s="46">
        <f>IF(OR((($A361-Simulador!$E$10)/Simulador!$G$10)&lt;=0,(($A361-Simulador!$E$10)/Simulador!$G$10)&gt;=1),0,IF((($A361-Simulador!$E$10)/Simulador!$G$10)&lt;Simulador!$B$11,Simulador!$B$10*(1-COS(PI()*(($A361-Simulador!$E$10)/Simulador!$G$10)/Simulador!$B$11))/2,IF((($A361-Simulador!$E$10)/Simulador!$G$10)&gt;1-Simulador!$B$11,Simulador!$B$10*(1-COS(PI()*(1-(($A361-Simulador!$E$10)/Simulador!$G$10))/Simulador!$B$11))/2,Simulador!$B$10)))</f>
        <v/>
      </c>
      <c r="Q361" s="48">
        <f>IF(OR((($A361-(Simulador!$E$6+'Salto de dientes'!$B$12))/Simulador!$G$6)&lt;=0,(($A361-(Simulador!$E$6+'Salto de dientes'!$B$12))/Simulador!$G$6)&gt;=1),0,IF((($A361-(Simulador!$E$6+'Salto de dientes'!$B$12))/Simulador!$G$6)&lt;Simulador!$B$11,Simulador!$B$9*(1-COS(PI()*(($A361-(Simulador!$E$6+'Salto de dientes'!$B$12))/Simulador!$G$6)/Simulador!$B$11))/2,IF((($A361-(Simulador!$E$6+'Salto de dientes'!$B$12))/Simulador!$G$6)&gt;1-Simulador!$B$11,Simulador!$B$9*(1-COS(PI()*(1-(($A361-(Simulador!$E$6+'Salto de dientes'!$B$12))/Simulador!$G$6))/Simulador!$B$11))/2,Simulador!$B$9)))</f>
        <v/>
      </c>
      <c r="R361" s="48">
        <f>IF(OR((($A361-(Simulador!$E$9+'Salto de dientes'!$B$12))/Simulador!$G$9)&lt;=0,(($A361-(Simulador!$E$9+'Salto de dientes'!$B$12))/Simulador!$G$9)&gt;=1),0,IF((($A361-(Simulador!$E$9+'Salto de dientes'!$B$12))/Simulador!$G$9)&lt;Simulador!$B$11,Simulador!$B$10*(1-COS(PI()*(($A361-(Simulador!$E$9+'Salto de dientes'!$B$12))/Simulador!$G$9)/Simulador!$B$11))/2,IF((($A361-(Simulador!$E$9+'Salto de dientes'!$B$12))/Simulador!$G$9)&gt;1-Simulador!$B$11,Simulador!$B$10*(1-COS(PI()*(1-(($A361-(Simulador!$E$9+'Salto de dientes'!$B$12))/Simulador!$G$9))/Simulador!$B$11))/2,Simulador!$B$10)))</f>
        <v/>
      </c>
    </row>
    <row r="362">
      <c r="A362" s="26">
        <f>A361+Simulador!$B$14</f>
        <v/>
      </c>
      <c r="B362" s="46">
        <f>IF(OR((($A362-Simulador!$E$5)/Simulador!$G$5)&lt;=0,(($A362-Simulador!$E$5)/Simulador!$G$5)&gt;=1),0,IF((($A362-Simulador!$E$5)/Simulador!$G$5)&lt;Simulador!$B$11,Simulador!$B$9*(1-COS(PI()*(($A362-Simulador!$E$5)/Simulador!$G$5)/Simulador!$B$11))/2,IF((($A362-Simulador!$E$5)/Simulador!$G$5)&gt;1-Simulador!$B$11,Simulador!$B$9*(1-COS(PI()*(1-(($A362-Simulador!$E$5)/Simulador!$G$5))/Simulador!$B$11))/2,Simulador!$B$9)))</f>
        <v/>
      </c>
      <c r="C362" s="46">
        <f>IF(OR((($A362-Simulador!$E$6)/Simulador!$G$6)&lt;=0,(($A362-Simulador!$E$6)/Simulador!$G$6)&gt;=1),0,IF((($A362-Simulador!$E$6)/Simulador!$G$6)&lt;Simulador!$B$11,Simulador!$B$9*(1-COS(PI()*(($A362-Simulador!$E$6)/Simulador!$G$6)/Simulador!$B$11))/2,IF((($A362-Simulador!$E$6)/Simulador!$G$6)&gt;1-Simulador!$B$11,Simulador!$B$9*(1-COS(PI()*(1-(($A362-Simulador!$E$6)/Simulador!$G$6))/Simulador!$B$11))/2,Simulador!$B$9)))</f>
        <v/>
      </c>
      <c r="D362" s="46">
        <f>IF(OR((($A362-Simulador!$E$7)/Simulador!$G$7)&lt;=0,(($A362-Simulador!$E$7)/Simulador!$G$7)&gt;=1),0,IF((($A362-Simulador!$E$7)/Simulador!$G$7)&lt;Simulador!$B$11,Simulador!$B$9*(1-COS(PI()*(($A362-Simulador!$E$7)/Simulador!$G$7)/Simulador!$B$11))/2,IF((($A362-Simulador!$E$7)/Simulador!$G$7)&gt;1-Simulador!$B$11,Simulador!$B$9*(1-COS(PI()*(1-(($A362-Simulador!$E$7)/Simulador!$G$7))/Simulador!$B$11))/2,Simulador!$B$9)))</f>
        <v/>
      </c>
      <c r="E362" s="46">
        <f>IF(OR((($A362-Simulador!$E$8)/Simulador!$G$8)&lt;=0,(($A362-Simulador!$E$8)/Simulador!$G$8)&gt;=1),0,IF((($A362-Simulador!$E$8)/Simulador!$G$8)&lt;Simulador!$B$11,Simulador!$B$10*(1-COS(PI()*(($A362-Simulador!$E$8)/Simulador!$G$8)/Simulador!$B$11))/2,IF((($A362-Simulador!$E$8)/Simulador!$G$8)&gt;1-Simulador!$B$11,Simulador!$B$10*(1-COS(PI()*(1-(($A362-Simulador!$E$8)/Simulador!$G$8))/Simulador!$B$11))/2,Simulador!$B$10)))</f>
        <v/>
      </c>
      <c r="F362" s="46">
        <f>IF(OR((($A362-Simulador!$E$9)/Simulador!$G$9)&lt;=0,(($A362-Simulador!$E$9)/Simulador!$G$9)&gt;=1),0,IF((($A362-Simulador!$E$9)/Simulador!$G$9)&lt;Simulador!$B$11,Simulador!$B$10*(1-COS(PI()*(($A362-Simulador!$E$9)/Simulador!$G$9)/Simulador!$B$11))/2,IF((($A362-Simulador!$E$9)/Simulador!$G$9)&gt;1-Simulador!$B$11,Simulador!$B$10*(1-COS(PI()*(1-(($A362-Simulador!$E$9)/Simulador!$G$9))/Simulador!$B$11))/2,Simulador!$B$10)))</f>
        <v/>
      </c>
      <c r="G362" s="46">
        <f>IF(OR((($A362-Simulador!$E$10)/Simulador!$G$10)&lt;=0,(($A362-Simulador!$E$10)/Simulador!$G$10)&gt;=1),0,IF((($A362-Simulador!$E$10)/Simulador!$G$10)&lt;Simulador!$B$11,Simulador!$B$10*(1-COS(PI()*(($A362-Simulador!$E$10)/Simulador!$G$10)/Simulador!$B$11))/2,IF((($A362-Simulador!$E$10)/Simulador!$G$10)&gt;1-Simulador!$B$11,Simulador!$B$10*(1-COS(PI()*(1-(($A362-Simulador!$E$10)/Simulador!$G$10))/Simulador!$B$11))/2,Simulador!$B$10)))</f>
        <v/>
      </c>
      <c r="Q362" s="48">
        <f>IF(OR((($A362-(Simulador!$E$6+'Salto de dientes'!$B$12))/Simulador!$G$6)&lt;=0,(($A362-(Simulador!$E$6+'Salto de dientes'!$B$12))/Simulador!$G$6)&gt;=1),0,IF((($A362-(Simulador!$E$6+'Salto de dientes'!$B$12))/Simulador!$G$6)&lt;Simulador!$B$11,Simulador!$B$9*(1-COS(PI()*(($A362-(Simulador!$E$6+'Salto de dientes'!$B$12))/Simulador!$G$6)/Simulador!$B$11))/2,IF((($A362-(Simulador!$E$6+'Salto de dientes'!$B$12))/Simulador!$G$6)&gt;1-Simulador!$B$11,Simulador!$B$9*(1-COS(PI()*(1-(($A362-(Simulador!$E$6+'Salto de dientes'!$B$12))/Simulador!$G$6))/Simulador!$B$11))/2,Simulador!$B$9)))</f>
        <v/>
      </c>
      <c r="R362" s="48">
        <f>IF(OR((($A362-(Simulador!$E$9+'Salto de dientes'!$B$12))/Simulador!$G$9)&lt;=0,(($A362-(Simulador!$E$9+'Salto de dientes'!$B$12))/Simulador!$G$9)&gt;=1),0,IF((($A362-(Simulador!$E$9+'Salto de dientes'!$B$12))/Simulador!$G$9)&lt;Simulador!$B$11,Simulador!$B$10*(1-COS(PI()*(($A362-(Simulador!$E$9+'Salto de dientes'!$B$12))/Simulador!$G$9)/Simulador!$B$11))/2,IF((($A362-(Simulador!$E$9+'Salto de dientes'!$B$12))/Simulador!$G$9)&gt;1-Simulador!$B$11,Simulador!$B$10*(1-COS(PI()*(1-(($A362-(Simulador!$E$9+'Salto de dientes'!$B$12))/Simulador!$G$9))/Simulador!$B$11))/2,Simulador!$B$10)))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C8C8C"/>
    <outlinePr summaryBelow="1" summaryRight="1"/>
    <pageSetUpPr/>
  </sheetPr>
  <dimension ref="A1:AU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4" t="inlineStr">
        <is>
          <t>t</t>
        </is>
      </c>
      <c r="B1" s="45" t="inlineStr">
        <is>
          <t>Admisión θ</t>
        </is>
      </c>
      <c r="C1" s="45" t="inlineStr">
        <is>
          <t>Admisión x</t>
        </is>
      </c>
      <c r="D1" s="45" t="inlineStr">
        <is>
          <t>Admisión y</t>
        </is>
      </c>
      <c r="E1" s="45" t="inlineStr">
        <is>
          <t>Compresión θ</t>
        </is>
      </c>
      <c r="F1" s="45" t="inlineStr">
        <is>
          <t>Compresión x</t>
        </is>
      </c>
      <c r="G1" s="45" t="inlineStr">
        <is>
          <t>Compresión y</t>
        </is>
      </c>
      <c r="H1" s="45" t="inlineStr">
        <is>
          <t>Combustión θ</t>
        </is>
      </c>
      <c r="I1" s="45" t="inlineStr">
        <is>
          <t>Combustión x</t>
        </is>
      </c>
      <c r="J1" s="45" t="inlineStr">
        <is>
          <t>Combustión y</t>
        </is>
      </c>
      <c r="K1" s="45" t="inlineStr">
        <is>
          <t>Trabajo útil θ</t>
        </is>
      </c>
      <c r="L1" s="45" t="inlineStr">
        <is>
          <t>Trabajo útil x</t>
        </is>
      </c>
      <c r="M1" s="45" t="inlineStr">
        <is>
          <t>Trabajo útil y</t>
        </is>
      </c>
      <c r="N1" s="45" t="inlineStr">
        <is>
          <t>Escape θ</t>
        </is>
      </c>
      <c r="O1" s="45" t="inlineStr">
        <is>
          <t>Escape x</t>
        </is>
      </c>
      <c r="P1" s="45" t="inlineStr">
        <is>
          <t>Escape y</t>
        </is>
      </c>
      <c r="Q1" s="45" t="inlineStr">
        <is>
          <t>Cruce θ</t>
        </is>
      </c>
      <c r="R1" s="45" t="inlineStr">
        <is>
          <t>Cruce x</t>
        </is>
      </c>
      <c r="S1" s="45" t="inlineStr">
        <is>
          <t>Cruce y</t>
        </is>
      </c>
      <c r="V1" s="45" t="inlineStr">
        <is>
          <t>Evento</t>
        </is>
      </c>
      <c r="W1" s="45" t="inlineStr">
        <is>
          <t>θ</t>
        </is>
      </c>
      <c r="X1" s="45" t="inlineStr">
        <is>
          <t>x0</t>
        </is>
      </c>
      <c r="Y1" s="45" t="inlineStr">
        <is>
          <t>y0</t>
        </is>
      </c>
      <c r="Z1" s="45" t="inlineStr">
        <is>
          <t>x1</t>
        </is>
      </c>
      <c r="AA1" s="45" t="inlineStr">
        <is>
          <t>y1</t>
        </is>
      </c>
      <c r="AB1" s="45" t="inlineStr">
        <is>
          <t>xl</t>
        </is>
      </c>
      <c r="AC1" s="45" t="inlineStr">
        <is>
          <t>yl</t>
        </is>
      </c>
      <c r="AD1" s="45" t="inlineStr">
        <is>
          <t>Etiqueta</t>
        </is>
      </c>
      <c r="AF1" s="45" t="inlineStr">
        <is>
          <t>Fase</t>
        </is>
      </c>
      <c r="AG1" s="45" t="inlineStr">
        <is>
          <t>x</t>
        </is>
      </c>
      <c r="AH1" s="45" t="inlineStr">
        <is>
          <t>y</t>
        </is>
      </c>
      <c r="AN1" s="14" t="inlineStr">
        <is>
          <t>Admisión x</t>
        </is>
      </c>
      <c r="AO1" t="inlineStr">
        <is>
          <t>Admisión y</t>
        </is>
      </c>
      <c r="AP1" t="inlineStr">
        <is>
          <t>Compresión x</t>
        </is>
      </c>
      <c r="AQ1" t="inlineStr">
        <is>
          <t>Compresión y</t>
        </is>
      </c>
      <c r="AR1" t="inlineStr">
        <is>
          <t>Expansión x</t>
        </is>
      </c>
      <c r="AS1" t="inlineStr">
        <is>
          <t>Expansión y</t>
        </is>
      </c>
      <c r="AT1" t="inlineStr">
        <is>
          <t>Escape x</t>
        </is>
      </c>
      <c r="AU1" t="inlineStr">
        <is>
          <t>Escape y</t>
        </is>
      </c>
    </row>
    <row r="2">
      <c r="A2" s="26">
        <f>0/60</f>
        <v/>
      </c>
      <c r="B2" s="49">
        <f>(360-Simulador!$B$7)+$A2*((540+Simulador!$B$8)-(360-Simulador!$B$7))</f>
        <v/>
      </c>
      <c r="C2" s="49">
        <f>1.0*SIN(RADIANS(B2-360))</f>
        <v/>
      </c>
      <c r="D2" s="49">
        <f>1.0*COS(RADIANS(B2-360))</f>
        <v/>
      </c>
      <c r="E2" s="49">
        <f>(540+Simulador!$B$8)+$A2*((720-'Diagrama circular'!$B$9)-(540+Simulador!$B$8))</f>
        <v/>
      </c>
      <c r="F2" s="49">
        <f>0.88*SIN(RADIANS(E2-360))</f>
        <v/>
      </c>
      <c r="G2" s="49">
        <f>0.88*COS(RADIANS(E2-360))</f>
        <v/>
      </c>
      <c r="H2" s="49">
        <f>(720-'Diagrama circular'!$B$9)+$A2*((720)-(720-'Diagrama circular'!$B$9))</f>
        <v/>
      </c>
      <c r="I2" s="49">
        <f>0.88*SIN(RADIANS(H2-360))</f>
        <v/>
      </c>
      <c r="J2" s="49">
        <f>0.88*COS(RADIANS(H2-360))</f>
        <v/>
      </c>
      <c r="K2" s="49">
        <f>(720)+$A2*((900-Simulador!$B$5)-(720))</f>
        <v/>
      </c>
      <c r="L2" s="49">
        <f>0.76*SIN(RADIANS(K2-360))</f>
        <v/>
      </c>
      <c r="M2" s="49">
        <f>0.76*COS(RADIANS(K2-360))</f>
        <v/>
      </c>
      <c r="N2" s="49">
        <f>(900-Simulador!$B$5)+$A2*((1080+Simulador!$B$6)-(900-Simulador!$B$5))</f>
        <v/>
      </c>
      <c r="O2" s="49">
        <f>0.64*SIN(RADIANS(N2-360))</f>
        <v/>
      </c>
      <c r="P2" s="49">
        <f>0.64*COS(RADIANS(N2-360))</f>
        <v/>
      </c>
      <c r="Q2" s="49">
        <f>(360-Simulador!$B$7)+$A2*((360+Simulador!$B$6)-(360-Simulador!$B$7))</f>
        <v/>
      </c>
      <c r="R2" s="49">
        <f>0.42*SIN(RADIANS(Q2-360))</f>
        <v/>
      </c>
      <c r="S2" s="49">
        <f>0.42*COS(RADIANS(Q2-360))</f>
        <v/>
      </c>
      <c r="V2" s="26" t="inlineStr">
        <is>
          <t>AAA</t>
        </is>
      </c>
      <c r="W2" s="26">
        <f>360-Simulador!$B$7</f>
        <v/>
      </c>
      <c r="X2" s="26" t="n">
        <v>0</v>
      </c>
      <c r="Y2" s="26" t="n">
        <v>0</v>
      </c>
      <c r="Z2" s="26">
        <f>1.12*SIN(RADIANS(W2-360))</f>
        <v/>
      </c>
      <c r="AA2" s="26">
        <f>1.12*COS(RADIANS(W2-360))</f>
        <v/>
      </c>
      <c r="AB2" s="26">
        <f>1.24*SIN(RADIANS(W2-360))</f>
        <v/>
      </c>
      <c r="AC2" s="26">
        <f>1.24*COS(RADIANS(W2-360))</f>
        <v/>
      </c>
      <c r="AD2" s="26">
        <f>"AAA "&amp;Simulador!$B$7&amp;"°"</f>
        <v/>
      </c>
      <c r="AF2" t="inlineStr">
        <is>
          <t>Admisión</t>
        </is>
      </c>
      <c r="AG2">
        <f>C32*1.0</f>
        <v/>
      </c>
      <c r="AH2">
        <f>D32*1.0</f>
        <v/>
      </c>
      <c r="AN2">
        <f>1.0*SIN(RADIANS((360+$A2*180)-360))</f>
        <v/>
      </c>
      <c r="AO2">
        <f>1.0*COS(RADIANS((360+$A2*180)-360))</f>
        <v/>
      </c>
      <c r="AP2">
        <f>0.9*SIN(RADIANS((540+$A2*180)-360))</f>
        <v/>
      </c>
      <c r="AQ2">
        <f>0.9*COS(RADIANS((540+$A2*180)-360))</f>
        <v/>
      </c>
      <c r="AR2">
        <f>0.8*SIN(RADIANS((720+$A2*180)-360))</f>
        <v/>
      </c>
      <c r="AS2">
        <f>0.8*COS(RADIANS((720+$A2*180)-360))</f>
        <v/>
      </c>
      <c r="AT2">
        <f>0.7*SIN(RADIANS((900+$A2*180)-360))</f>
        <v/>
      </c>
      <c r="AU2">
        <f>0.7*COS(RADIANS((900+$A2*180)-360))</f>
        <v/>
      </c>
    </row>
    <row r="3">
      <c r="A3" s="26">
        <f>1/60</f>
        <v/>
      </c>
      <c r="B3" s="49">
        <f>(360-Simulador!$B$7)+$A3*((540+Simulador!$B$8)-(360-Simulador!$B$7))</f>
        <v/>
      </c>
      <c r="C3" s="49">
        <f>1.0*SIN(RADIANS(B3-360))</f>
        <v/>
      </c>
      <c r="D3" s="49">
        <f>1.0*COS(RADIANS(B3-360))</f>
        <v/>
      </c>
      <c r="E3" s="49">
        <f>(540+Simulador!$B$8)+$A3*((720-'Diagrama circular'!$B$9)-(540+Simulador!$B$8))</f>
        <v/>
      </c>
      <c r="F3" s="49">
        <f>0.88*SIN(RADIANS(E3-360))</f>
        <v/>
      </c>
      <c r="G3" s="49">
        <f>0.88*COS(RADIANS(E3-360))</f>
        <v/>
      </c>
      <c r="H3" s="49">
        <f>(720-'Diagrama circular'!$B$9)+$A3*((720)-(720-'Diagrama circular'!$B$9))</f>
        <v/>
      </c>
      <c r="I3" s="49">
        <f>0.88*SIN(RADIANS(H3-360))</f>
        <v/>
      </c>
      <c r="J3" s="49">
        <f>0.88*COS(RADIANS(H3-360))</f>
        <v/>
      </c>
      <c r="K3" s="49">
        <f>(720)+$A3*((900-Simulador!$B$5)-(720))</f>
        <v/>
      </c>
      <c r="L3" s="49">
        <f>0.76*SIN(RADIANS(K3-360))</f>
        <v/>
      </c>
      <c r="M3" s="49">
        <f>0.76*COS(RADIANS(K3-360))</f>
        <v/>
      </c>
      <c r="N3" s="49">
        <f>(900-Simulador!$B$5)+$A3*((1080+Simulador!$B$6)-(900-Simulador!$B$5))</f>
        <v/>
      </c>
      <c r="O3" s="49">
        <f>0.64*SIN(RADIANS(N3-360))</f>
        <v/>
      </c>
      <c r="P3" s="49">
        <f>0.64*COS(RADIANS(N3-360))</f>
        <v/>
      </c>
      <c r="Q3" s="49">
        <f>(360-Simulador!$B$7)+$A3*((360+Simulador!$B$6)-(360-Simulador!$B$7))</f>
        <v/>
      </c>
      <c r="R3" s="49">
        <f>0.42*SIN(RADIANS(Q3-360))</f>
        <v/>
      </c>
      <c r="S3" s="49">
        <f>0.42*COS(RADIANS(Q3-360))</f>
        <v/>
      </c>
      <c r="V3" s="26" t="inlineStr">
        <is>
          <t>RCA</t>
        </is>
      </c>
      <c r="W3" s="26">
        <f>540+Simulador!$B$8</f>
        <v/>
      </c>
      <c r="X3" s="26" t="n">
        <v>0</v>
      </c>
      <c r="Y3" s="26" t="n">
        <v>0</v>
      </c>
      <c r="Z3" s="26">
        <f>1.12*SIN(RADIANS(W3-360))</f>
        <v/>
      </c>
      <c r="AA3" s="26">
        <f>1.12*COS(RADIANS(W3-360))</f>
        <v/>
      </c>
      <c r="AB3" s="26">
        <f>1.24*SIN(RADIANS(W3-360))</f>
        <v/>
      </c>
      <c r="AC3" s="26">
        <f>1.24*COS(RADIANS(W3-360))</f>
        <v/>
      </c>
      <c r="AD3" s="26">
        <f>"RCA "&amp;Simulador!$B$8&amp;"°"</f>
        <v/>
      </c>
      <c r="AF3" t="inlineStr">
        <is>
          <t>Compresión</t>
        </is>
      </c>
      <c r="AG3">
        <f>F32*1.0</f>
        <v/>
      </c>
      <c r="AH3">
        <f>G32*1.0</f>
        <v/>
      </c>
      <c r="AN3">
        <f>1.0*SIN(RADIANS((360+$A3*180)-360))</f>
        <v/>
      </c>
      <c r="AO3">
        <f>1.0*COS(RADIANS((360+$A3*180)-360))</f>
        <v/>
      </c>
      <c r="AP3">
        <f>0.9*SIN(RADIANS((540+$A3*180)-360))</f>
        <v/>
      </c>
      <c r="AQ3">
        <f>0.9*COS(RADIANS((540+$A3*180)-360))</f>
        <v/>
      </c>
      <c r="AR3">
        <f>0.8*SIN(RADIANS((720+$A3*180)-360))</f>
        <v/>
      </c>
      <c r="AS3">
        <f>0.8*COS(RADIANS((720+$A3*180)-360))</f>
        <v/>
      </c>
      <c r="AT3">
        <f>0.7*SIN(RADIANS((900+$A3*180)-360))</f>
        <v/>
      </c>
      <c r="AU3">
        <f>0.7*COS(RADIANS((900+$A3*180)-360))</f>
        <v/>
      </c>
    </row>
    <row r="4">
      <c r="A4" s="26">
        <f>2/60</f>
        <v/>
      </c>
      <c r="B4" s="49">
        <f>(360-Simulador!$B$7)+$A4*((540+Simulador!$B$8)-(360-Simulador!$B$7))</f>
        <v/>
      </c>
      <c r="C4" s="49">
        <f>1.0*SIN(RADIANS(B4-360))</f>
        <v/>
      </c>
      <c r="D4" s="49">
        <f>1.0*COS(RADIANS(B4-360))</f>
        <v/>
      </c>
      <c r="E4" s="49">
        <f>(540+Simulador!$B$8)+$A4*((720-'Diagrama circular'!$B$9)-(540+Simulador!$B$8))</f>
        <v/>
      </c>
      <c r="F4" s="49">
        <f>0.88*SIN(RADIANS(E4-360))</f>
        <v/>
      </c>
      <c r="G4" s="49">
        <f>0.88*COS(RADIANS(E4-360))</f>
        <v/>
      </c>
      <c r="H4" s="49">
        <f>(720-'Diagrama circular'!$B$9)+$A4*((720)-(720-'Diagrama circular'!$B$9))</f>
        <v/>
      </c>
      <c r="I4" s="49">
        <f>0.88*SIN(RADIANS(H4-360))</f>
        <v/>
      </c>
      <c r="J4" s="49">
        <f>0.88*COS(RADIANS(H4-360))</f>
        <v/>
      </c>
      <c r="K4" s="49">
        <f>(720)+$A4*((900-Simulador!$B$5)-(720))</f>
        <v/>
      </c>
      <c r="L4" s="49">
        <f>0.76*SIN(RADIANS(K4-360))</f>
        <v/>
      </c>
      <c r="M4" s="49">
        <f>0.76*COS(RADIANS(K4-360))</f>
        <v/>
      </c>
      <c r="N4" s="49">
        <f>(900-Simulador!$B$5)+$A4*((1080+Simulador!$B$6)-(900-Simulador!$B$5))</f>
        <v/>
      </c>
      <c r="O4" s="49">
        <f>0.64*SIN(RADIANS(N4-360))</f>
        <v/>
      </c>
      <c r="P4" s="49">
        <f>0.64*COS(RADIANS(N4-360))</f>
        <v/>
      </c>
      <c r="Q4" s="49">
        <f>(360-Simulador!$B$7)+$A4*((360+Simulador!$B$6)-(360-Simulador!$B$7))</f>
        <v/>
      </c>
      <c r="R4" s="49">
        <f>0.42*SIN(RADIANS(Q4-360))</f>
        <v/>
      </c>
      <c r="S4" s="49">
        <f>0.42*COS(RADIANS(Q4-360))</f>
        <v/>
      </c>
      <c r="V4" s="26" t="inlineStr">
        <is>
          <t>AE</t>
        </is>
      </c>
      <c r="W4" s="26">
        <f>720-'Diagrama circular'!$B$9</f>
        <v/>
      </c>
      <c r="X4" s="26" t="n">
        <v>0</v>
      </c>
      <c r="Y4" s="26" t="n">
        <v>0</v>
      </c>
      <c r="Z4" s="26">
        <f>1.12*SIN(RADIANS(W4-360))</f>
        <v/>
      </c>
      <c r="AA4" s="26">
        <f>1.12*COS(RADIANS(W4-360))</f>
        <v/>
      </c>
      <c r="AB4" s="26">
        <f>1.24*SIN(RADIANS(W4-360))</f>
        <v/>
      </c>
      <c r="AC4" s="26">
        <f>1.24*COS(RADIANS(W4-360))</f>
        <v/>
      </c>
      <c r="AD4" s="26">
        <f>"AE "&amp;'Diagrama circular'!$B$9&amp;"°"</f>
        <v/>
      </c>
      <c r="AF4" t="inlineStr">
        <is>
          <t>Combustión</t>
        </is>
      </c>
      <c r="AG4">
        <f>I32*0.8</f>
        <v/>
      </c>
      <c r="AH4">
        <f>J32*0.8</f>
        <v/>
      </c>
      <c r="AN4">
        <f>1.0*SIN(RADIANS((360+$A4*180)-360))</f>
        <v/>
      </c>
      <c r="AO4">
        <f>1.0*COS(RADIANS((360+$A4*180)-360))</f>
        <v/>
      </c>
      <c r="AP4">
        <f>0.9*SIN(RADIANS((540+$A4*180)-360))</f>
        <v/>
      </c>
      <c r="AQ4">
        <f>0.9*COS(RADIANS((540+$A4*180)-360))</f>
        <v/>
      </c>
      <c r="AR4">
        <f>0.8*SIN(RADIANS((720+$A4*180)-360))</f>
        <v/>
      </c>
      <c r="AS4">
        <f>0.8*COS(RADIANS((720+$A4*180)-360))</f>
        <v/>
      </c>
      <c r="AT4">
        <f>0.7*SIN(RADIANS((900+$A4*180)-360))</f>
        <v/>
      </c>
      <c r="AU4">
        <f>0.7*COS(RADIANS((900+$A4*180)-360))</f>
        <v/>
      </c>
    </row>
    <row r="5">
      <c r="A5" s="26">
        <f>3/60</f>
        <v/>
      </c>
      <c r="B5" s="49">
        <f>(360-Simulador!$B$7)+$A5*((540+Simulador!$B$8)-(360-Simulador!$B$7))</f>
        <v/>
      </c>
      <c r="C5" s="49">
        <f>1.0*SIN(RADIANS(B5-360))</f>
        <v/>
      </c>
      <c r="D5" s="49">
        <f>1.0*COS(RADIANS(B5-360))</f>
        <v/>
      </c>
      <c r="E5" s="49">
        <f>(540+Simulador!$B$8)+$A5*((720-'Diagrama circular'!$B$9)-(540+Simulador!$B$8))</f>
        <v/>
      </c>
      <c r="F5" s="49">
        <f>0.88*SIN(RADIANS(E5-360))</f>
        <v/>
      </c>
      <c r="G5" s="49">
        <f>0.88*COS(RADIANS(E5-360))</f>
        <v/>
      </c>
      <c r="H5" s="49">
        <f>(720-'Diagrama circular'!$B$9)+$A5*((720)-(720-'Diagrama circular'!$B$9))</f>
        <v/>
      </c>
      <c r="I5" s="49">
        <f>0.88*SIN(RADIANS(H5-360))</f>
        <v/>
      </c>
      <c r="J5" s="49">
        <f>0.88*COS(RADIANS(H5-360))</f>
        <v/>
      </c>
      <c r="K5" s="49">
        <f>(720)+$A5*((900-Simulador!$B$5)-(720))</f>
        <v/>
      </c>
      <c r="L5" s="49">
        <f>0.76*SIN(RADIANS(K5-360))</f>
        <v/>
      </c>
      <c r="M5" s="49">
        <f>0.76*COS(RADIANS(K5-360))</f>
        <v/>
      </c>
      <c r="N5" s="49">
        <f>(900-Simulador!$B$5)+$A5*((1080+Simulador!$B$6)-(900-Simulador!$B$5))</f>
        <v/>
      </c>
      <c r="O5" s="49">
        <f>0.64*SIN(RADIANS(N5-360))</f>
        <v/>
      </c>
      <c r="P5" s="49">
        <f>0.64*COS(RADIANS(N5-360))</f>
        <v/>
      </c>
      <c r="Q5" s="49">
        <f>(360-Simulador!$B$7)+$A5*((360+Simulador!$B$6)-(360-Simulador!$B$7))</f>
        <v/>
      </c>
      <c r="R5" s="49">
        <f>0.42*SIN(RADIANS(Q5-360))</f>
        <v/>
      </c>
      <c r="S5" s="49">
        <f>0.42*COS(RADIANS(Q5-360))</f>
        <v/>
      </c>
      <c r="V5" s="26" t="inlineStr">
        <is>
          <t>AAE</t>
        </is>
      </c>
      <c r="W5" s="26">
        <f>900-Simulador!$B$5</f>
        <v/>
      </c>
      <c r="X5" s="26" t="n">
        <v>0</v>
      </c>
      <c r="Y5" s="26" t="n">
        <v>0</v>
      </c>
      <c r="Z5" s="26">
        <f>1.12*SIN(RADIANS(W5-360))</f>
        <v/>
      </c>
      <c r="AA5" s="26">
        <f>1.12*COS(RADIANS(W5-360))</f>
        <v/>
      </c>
      <c r="AB5" s="26">
        <f>1.24*SIN(RADIANS(W5-360))</f>
        <v/>
      </c>
      <c r="AC5" s="26">
        <f>1.24*COS(RADIANS(W5-360))</f>
        <v/>
      </c>
      <c r="AD5" s="26">
        <f>"AAE "&amp;Simulador!$B$5&amp;"°"</f>
        <v/>
      </c>
      <c r="AF5" t="inlineStr">
        <is>
          <t>Trabajo útil</t>
        </is>
      </c>
      <c r="AG5">
        <f>L32*1.0</f>
        <v/>
      </c>
      <c r="AH5">
        <f>M32*1.0</f>
        <v/>
      </c>
      <c r="AN5">
        <f>1.0*SIN(RADIANS((360+$A5*180)-360))</f>
        <v/>
      </c>
      <c r="AO5">
        <f>1.0*COS(RADIANS((360+$A5*180)-360))</f>
        <v/>
      </c>
      <c r="AP5">
        <f>0.9*SIN(RADIANS((540+$A5*180)-360))</f>
        <v/>
      </c>
      <c r="AQ5">
        <f>0.9*COS(RADIANS((540+$A5*180)-360))</f>
        <v/>
      </c>
      <c r="AR5">
        <f>0.8*SIN(RADIANS((720+$A5*180)-360))</f>
        <v/>
      </c>
      <c r="AS5">
        <f>0.8*COS(RADIANS((720+$A5*180)-360))</f>
        <v/>
      </c>
      <c r="AT5">
        <f>0.7*SIN(RADIANS((900+$A5*180)-360))</f>
        <v/>
      </c>
      <c r="AU5">
        <f>0.7*COS(RADIANS((900+$A5*180)-360))</f>
        <v/>
      </c>
    </row>
    <row r="6">
      <c r="A6" s="26">
        <f>4/60</f>
        <v/>
      </c>
      <c r="B6" s="49">
        <f>(360-Simulador!$B$7)+$A6*((540+Simulador!$B$8)-(360-Simulador!$B$7))</f>
        <v/>
      </c>
      <c r="C6" s="49">
        <f>1.0*SIN(RADIANS(B6-360))</f>
        <v/>
      </c>
      <c r="D6" s="49">
        <f>1.0*COS(RADIANS(B6-360))</f>
        <v/>
      </c>
      <c r="E6" s="49">
        <f>(540+Simulador!$B$8)+$A6*((720-'Diagrama circular'!$B$9)-(540+Simulador!$B$8))</f>
        <v/>
      </c>
      <c r="F6" s="49">
        <f>0.88*SIN(RADIANS(E6-360))</f>
        <v/>
      </c>
      <c r="G6" s="49">
        <f>0.88*COS(RADIANS(E6-360))</f>
        <v/>
      </c>
      <c r="H6" s="49">
        <f>(720-'Diagrama circular'!$B$9)+$A6*((720)-(720-'Diagrama circular'!$B$9))</f>
        <v/>
      </c>
      <c r="I6" s="49">
        <f>0.88*SIN(RADIANS(H6-360))</f>
        <v/>
      </c>
      <c r="J6" s="49">
        <f>0.88*COS(RADIANS(H6-360))</f>
        <v/>
      </c>
      <c r="K6" s="49">
        <f>(720)+$A6*((900-Simulador!$B$5)-(720))</f>
        <v/>
      </c>
      <c r="L6" s="49">
        <f>0.76*SIN(RADIANS(K6-360))</f>
        <v/>
      </c>
      <c r="M6" s="49">
        <f>0.76*COS(RADIANS(K6-360))</f>
        <v/>
      </c>
      <c r="N6" s="49">
        <f>(900-Simulador!$B$5)+$A6*((1080+Simulador!$B$6)-(900-Simulador!$B$5))</f>
        <v/>
      </c>
      <c r="O6" s="49">
        <f>0.64*SIN(RADIANS(N6-360))</f>
        <v/>
      </c>
      <c r="P6" s="49">
        <f>0.64*COS(RADIANS(N6-360))</f>
        <v/>
      </c>
      <c r="Q6" s="49">
        <f>(360-Simulador!$B$7)+$A6*((360+Simulador!$B$6)-(360-Simulador!$B$7))</f>
        <v/>
      </c>
      <c r="R6" s="49">
        <f>0.42*SIN(RADIANS(Q6-360))</f>
        <v/>
      </c>
      <c r="S6" s="49">
        <f>0.42*COS(RADIANS(Q6-360))</f>
        <v/>
      </c>
      <c r="V6" s="26" t="inlineStr">
        <is>
          <t>RCE</t>
        </is>
      </c>
      <c r="W6" s="26">
        <f>1080+Simulador!$B$6</f>
        <v/>
      </c>
      <c r="X6" s="26" t="n">
        <v>0</v>
      </c>
      <c r="Y6" s="26" t="n">
        <v>0</v>
      </c>
      <c r="Z6" s="26">
        <f>1.12*SIN(RADIANS(W6-360))</f>
        <v/>
      </c>
      <c r="AA6" s="26">
        <f>1.12*COS(RADIANS(W6-360))</f>
        <v/>
      </c>
      <c r="AB6" s="26">
        <f>1.24*SIN(RADIANS(W6-360))</f>
        <v/>
      </c>
      <c r="AC6" s="26">
        <f>1.24*COS(RADIANS(W6-360))</f>
        <v/>
      </c>
      <c r="AD6" s="26">
        <f>"RCE "&amp;Simulador!$B$6&amp;"°"</f>
        <v/>
      </c>
      <c r="AF6" t="inlineStr">
        <is>
          <t>Escape</t>
        </is>
      </c>
      <c r="AG6">
        <f>O32*1.0</f>
        <v/>
      </c>
      <c r="AH6">
        <f>P32*1.0</f>
        <v/>
      </c>
      <c r="AN6">
        <f>1.0*SIN(RADIANS((360+$A6*180)-360))</f>
        <v/>
      </c>
      <c r="AO6">
        <f>1.0*COS(RADIANS((360+$A6*180)-360))</f>
        <v/>
      </c>
      <c r="AP6">
        <f>0.9*SIN(RADIANS((540+$A6*180)-360))</f>
        <v/>
      </c>
      <c r="AQ6">
        <f>0.9*COS(RADIANS((540+$A6*180)-360))</f>
        <v/>
      </c>
      <c r="AR6">
        <f>0.8*SIN(RADIANS((720+$A6*180)-360))</f>
        <v/>
      </c>
      <c r="AS6">
        <f>0.8*COS(RADIANS((720+$A6*180)-360))</f>
        <v/>
      </c>
      <c r="AT6">
        <f>0.7*SIN(RADIANS((900+$A6*180)-360))</f>
        <v/>
      </c>
      <c r="AU6">
        <f>0.7*COS(RADIANS((900+$A6*180)-360))</f>
        <v/>
      </c>
    </row>
    <row r="7">
      <c r="A7" s="26">
        <f>5/60</f>
        <v/>
      </c>
      <c r="B7" s="49">
        <f>(360-Simulador!$B$7)+$A7*((540+Simulador!$B$8)-(360-Simulador!$B$7))</f>
        <v/>
      </c>
      <c r="C7" s="49">
        <f>1.0*SIN(RADIANS(B7-360))</f>
        <v/>
      </c>
      <c r="D7" s="49">
        <f>1.0*COS(RADIANS(B7-360))</f>
        <v/>
      </c>
      <c r="E7" s="49">
        <f>(540+Simulador!$B$8)+$A7*((720-'Diagrama circular'!$B$9)-(540+Simulador!$B$8))</f>
        <v/>
      </c>
      <c r="F7" s="49">
        <f>0.88*SIN(RADIANS(E7-360))</f>
        <v/>
      </c>
      <c r="G7" s="49">
        <f>0.88*COS(RADIANS(E7-360))</f>
        <v/>
      </c>
      <c r="H7" s="49">
        <f>(720-'Diagrama circular'!$B$9)+$A7*((720)-(720-'Diagrama circular'!$B$9))</f>
        <v/>
      </c>
      <c r="I7" s="49">
        <f>0.88*SIN(RADIANS(H7-360))</f>
        <v/>
      </c>
      <c r="J7" s="49">
        <f>0.88*COS(RADIANS(H7-360))</f>
        <v/>
      </c>
      <c r="K7" s="49">
        <f>(720)+$A7*((900-Simulador!$B$5)-(720))</f>
        <v/>
      </c>
      <c r="L7" s="49">
        <f>0.76*SIN(RADIANS(K7-360))</f>
        <v/>
      </c>
      <c r="M7" s="49">
        <f>0.76*COS(RADIANS(K7-360))</f>
        <v/>
      </c>
      <c r="N7" s="49">
        <f>(900-Simulador!$B$5)+$A7*((1080+Simulador!$B$6)-(900-Simulador!$B$5))</f>
        <v/>
      </c>
      <c r="O7" s="49">
        <f>0.64*SIN(RADIANS(N7-360))</f>
        <v/>
      </c>
      <c r="P7" s="49">
        <f>0.64*COS(RADIANS(N7-360))</f>
        <v/>
      </c>
      <c r="Q7" s="49">
        <f>(360-Simulador!$B$7)+$A7*((360+Simulador!$B$6)-(360-Simulador!$B$7))</f>
        <v/>
      </c>
      <c r="R7" s="49">
        <f>0.42*SIN(RADIANS(Q7-360))</f>
        <v/>
      </c>
      <c r="S7" s="49">
        <f>0.42*COS(RADIANS(Q7-360))</f>
        <v/>
      </c>
      <c r="AF7">
        <f>"Cruce "&amp;Simulador!$B$7+Simulador!$B$6&amp;"°"</f>
        <v/>
      </c>
      <c r="AG7">
        <f>R32*1.0</f>
        <v/>
      </c>
      <c r="AH7">
        <f>S32*1.0</f>
        <v/>
      </c>
      <c r="AN7">
        <f>1.0*SIN(RADIANS((360+$A7*180)-360))</f>
        <v/>
      </c>
      <c r="AO7">
        <f>1.0*COS(RADIANS((360+$A7*180)-360))</f>
        <v/>
      </c>
      <c r="AP7">
        <f>0.9*SIN(RADIANS((540+$A7*180)-360))</f>
        <v/>
      </c>
      <c r="AQ7">
        <f>0.9*COS(RADIANS((540+$A7*180)-360))</f>
        <v/>
      </c>
      <c r="AR7">
        <f>0.8*SIN(RADIANS((720+$A7*180)-360))</f>
        <v/>
      </c>
      <c r="AS7">
        <f>0.8*COS(RADIANS((720+$A7*180)-360))</f>
        <v/>
      </c>
      <c r="AT7">
        <f>0.7*SIN(RADIANS((900+$A7*180)-360))</f>
        <v/>
      </c>
      <c r="AU7">
        <f>0.7*COS(RADIANS((900+$A7*180)-360))</f>
        <v/>
      </c>
    </row>
    <row r="8">
      <c r="A8" s="26">
        <f>6/60</f>
        <v/>
      </c>
      <c r="B8" s="49">
        <f>(360-Simulador!$B$7)+$A8*((540+Simulador!$B$8)-(360-Simulador!$B$7))</f>
        <v/>
      </c>
      <c r="C8" s="49">
        <f>1.0*SIN(RADIANS(B8-360))</f>
        <v/>
      </c>
      <c r="D8" s="49">
        <f>1.0*COS(RADIANS(B8-360))</f>
        <v/>
      </c>
      <c r="E8" s="49">
        <f>(540+Simulador!$B$8)+$A8*((720-'Diagrama circular'!$B$9)-(540+Simulador!$B$8))</f>
        <v/>
      </c>
      <c r="F8" s="49">
        <f>0.88*SIN(RADIANS(E8-360))</f>
        <v/>
      </c>
      <c r="G8" s="49">
        <f>0.88*COS(RADIANS(E8-360))</f>
        <v/>
      </c>
      <c r="H8" s="49">
        <f>(720-'Diagrama circular'!$B$9)+$A8*((720)-(720-'Diagrama circular'!$B$9))</f>
        <v/>
      </c>
      <c r="I8" s="49">
        <f>0.88*SIN(RADIANS(H8-360))</f>
        <v/>
      </c>
      <c r="J8" s="49">
        <f>0.88*COS(RADIANS(H8-360))</f>
        <v/>
      </c>
      <c r="K8" s="49">
        <f>(720)+$A8*((900-Simulador!$B$5)-(720))</f>
        <v/>
      </c>
      <c r="L8" s="49">
        <f>0.76*SIN(RADIANS(K8-360))</f>
        <v/>
      </c>
      <c r="M8" s="49">
        <f>0.76*COS(RADIANS(K8-360))</f>
        <v/>
      </c>
      <c r="N8" s="49">
        <f>(900-Simulador!$B$5)+$A8*((1080+Simulador!$B$6)-(900-Simulador!$B$5))</f>
        <v/>
      </c>
      <c r="O8" s="49">
        <f>0.64*SIN(RADIANS(N8-360))</f>
        <v/>
      </c>
      <c r="P8" s="49">
        <f>0.64*COS(RADIANS(N8-360))</f>
        <v/>
      </c>
      <c r="Q8" s="49">
        <f>(360-Simulador!$B$7)+$A8*((360+Simulador!$B$6)-(360-Simulador!$B$7))</f>
        <v/>
      </c>
      <c r="R8" s="49">
        <f>0.42*SIN(RADIANS(Q8-360))</f>
        <v/>
      </c>
      <c r="S8" s="49">
        <f>0.42*COS(RADIANS(Q8-360))</f>
        <v/>
      </c>
      <c r="AN8">
        <f>1.0*SIN(RADIANS((360+$A8*180)-360))</f>
        <v/>
      </c>
      <c r="AO8">
        <f>1.0*COS(RADIANS((360+$A8*180)-360))</f>
        <v/>
      </c>
      <c r="AP8">
        <f>0.9*SIN(RADIANS((540+$A8*180)-360))</f>
        <v/>
      </c>
      <c r="AQ8">
        <f>0.9*COS(RADIANS((540+$A8*180)-360))</f>
        <v/>
      </c>
      <c r="AR8">
        <f>0.8*SIN(RADIANS((720+$A8*180)-360))</f>
        <v/>
      </c>
      <c r="AS8">
        <f>0.8*COS(RADIANS((720+$A8*180)-360))</f>
        <v/>
      </c>
      <c r="AT8">
        <f>0.7*SIN(RADIANS((900+$A8*180)-360))</f>
        <v/>
      </c>
      <c r="AU8">
        <f>0.7*COS(RADIANS((900+$A8*180)-360))</f>
        <v/>
      </c>
    </row>
    <row r="9">
      <c r="A9" s="26">
        <f>7/60</f>
        <v/>
      </c>
      <c r="B9" s="49">
        <f>(360-Simulador!$B$7)+$A9*((540+Simulador!$B$8)-(360-Simulador!$B$7))</f>
        <v/>
      </c>
      <c r="C9" s="49">
        <f>1.0*SIN(RADIANS(B9-360))</f>
        <v/>
      </c>
      <c r="D9" s="49">
        <f>1.0*COS(RADIANS(B9-360))</f>
        <v/>
      </c>
      <c r="E9" s="49">
        <f>(540+Simulador!$B$8)+$A9*((720-'Diagrama circular'!$B$9)-(540+Simulador!$B$8))</f>
        <v/>
      </c>
      <c r="F9" s="49">
        <f>0.88*SIN(RADIANS(E9-360))</f>
        <v/>
      </c>
      <c r="G9" s="49">
        <f>0.88*COS(RADIANS(E9-360))</f>
        <v/>
      </c>
      <c r="H9" s="49">
        <f>(720-'Diagrama circular'!$B$9)+$A9*((720)-(720-'Diagrama circular'!$B$9))</f>
        <v/>
      </c>
      <c r="I9" s="49">
        <f>0.88*SIN(RADIANS(H9-360))</f>
        <v/>
      </c>
      <c r="J9" s="49">
        <f>0.88*COS(RADIANS(H9-360))</f>
        <v/>
      </c>
      <c r="K9" s="49">
        <f>(720)+$A9*((900-Simulador!$B$5)-(720))</f>
        <v/>
      </c>
      <c r="L9" s="49">
        <f>0.76*SIN(RADIANS(K9-360))</f>
        <v/>
      </c>
      <c r="M9" s="49">
        <f>0.76*COS(RADIANS(K9-360))</f>
        <v/>
      </c>
      <c r="N9" s="49">
        <f>(900-Simulador!$B$5)+$A9*((1080+Simulador!$B$6)-(900-Simulador!$B$5))</f>
        <v/>
      </c>
      <c r="O9" s="49">
        <f>0.64*SIN(RADIANS(N9-360))</f>
        <v/>
      </c>
      <c r="P9" s="49">
        <f>0.64*COS(RADIANS(N9-360))</f>
        <v/>
      </c>
      <c r="Q9" s="49">
        <f>(360-Simulador!$B$7)+$A9*((360+Simulador!$B$6)-(360-Simulador!$B$7))</f>
        <v/>
      </c>
      <c r="R9" s="49">
        <f>0.42*SIN(RADIANS(Q9-360))</f>
        <v/>
      </c>
      <c r="S9" s="49">
        <f>0.42*COS(RADIANS(Q9-360))</f>
        <v/>
      </c>
      <c r="AF9" t="inlineStr">
        <is>
          <t>PMS</t>
        </is>
      </c>
      <c r="AG9" t="n">
        <v>0</v>
      </c>
      <c r="AH9" t="n">
        <v>1.42</v>
      </c>
      <c r="AN9">
        <f>1.0*SIN(RADIANS((360+$A9*180)-360))</f>
        <v/>
      </c>
      <c r="AO9">
        <f>1.0*COS(RADIANS((360+$A9*180)-360))</f>
        <v/>
      </c>
      <c r="AP9">
        <f>0.9*SIN(RADIANS((540+$A9*180)-360))</f>
        <v/>
      </c>
      <c r="AQ9">
        <f>0.9*COS(RADIANS((540+$A9*180)-360))</f>
        <v/>
      </c>
      <c r="AR9">
        <f>0.8*SIN(RADIANS((720+$A9*180)-360))</f>
        <v/>
      </c>
      <c r="AS9">
        <f>0.8*COS(RADIANS((720+$A9*180)-360))</f>
        <v/>
      </c>
      <c r="AT9">
        <f>0.7*SIN(RADIANS((900+$A9*180)-360))</f>
        <v/>
      </c>
      <c r="AU9">
        <f>0.7*COS(RADIANS((900+$A9*180)-360))</f>
        <v/>
      </c>
    </row>
    <row r="10">
      <c r="A10" s="26">
        <f>8/60</f>
        <v/>
      </c>
      <c r="B10" s="49">
        <f>(360-Simulador!$B$7)+$A10*((540+Simulador!$B$8)-(360-Simulador!$B$7))</f>
        <v/>
      </c>
      <c r="C10" s="49">
        <f>1.0*SIN(RADIANS(B10-360))</f>
        <v/>
      </c>
      <c r="D10" s="49">
        <f>1.0*COS(RADIANS(B10-360))</f>
        <v/>
      </c>
      <c r="E10" s="49">
        <f>(540+Simulador!$B$8)+$A10*((720-'Diagrama circular'!$B$9)-(540+Simulador!$B$8))</f>
        <v/>
      </c>
      <c r="F10" s="49">
        <f>0.88*SIN(RADIANS(E10-360))</f>
        <v/>
      </c>
      <c r="G10" s="49">
        <f>0.88*COS(RADIANS(E10-360))</f>
        <v/>
      </c>
      <c r="H10" s="49">
        <f>(720-'Diagrama circular'!$B$9)+$A10*((720)-(720-'Diagrama circular'!$B$9))</f>
        <v/>
      </c>
      <c r="I10" s="49">
        <f>0.88*SIN(RADIANS(H10-360))</f>
        <v/>
      </c>
      <c r="J10" s="49">
        <f>0.88*COS(RADIANS(H10-360))</f>
        <v/>
      </c>
      <c r="K10" s="49">
        <f>(720)+$A10*((900-Simulador!$B$5)-(720))</f>
        <v/>
      </c>
      <c r="L10" s="49">
        <f>0.76*SIN(RADIANS(K10-360))</f>
        <v/>
      </c>
      <c r="M10" s="49">
        <f>0.76*COS(RADIANS(K10-360))</f>
        <v/>
      </c>
      <c r="N10" s="49">
        <f>(900-Simulador!$B$5)+$A10*((1080+Simulador!$B$6)-(900-Simulador!$B$5))</f>
        <v/>
      </c>
      <c r="O10" s="49">
        <f>0.64*SIN(RADIANS(N10-360))</f>
        <v/>
      </c>
      <c r="P10" s="49">
        <f>0.64*COS(RADIANS(N10-360))</f>
        <v/>
      </c>
      <c r="Q10" s="49">
        <f>(360-Simulador!$B$7)+$A10*((360+Simulador!$B$6)-(360-Simulador!$B$7))</f>
        <v/>
      </c>
      <c r="R10" s="49">
        <f>0.42*SIN(RADIANS(Q10-360))</f>
        <v/>
      </c>
      <c r="S10" s="49">
        <f>0.42*COS(RADIANS(Q10-360))</f>
        <v/>
      </c>
      <c r="AF10" t="inlineStr">
        <is>
          <t>PMI</t>
        </is>
      </c>
      <c r="AG10" t="n">
        <v>0</v>
      </c>
      <c r="AH10" t="n">
        <v>-1.42</v>
      </c>
      <c r="AN10">
        <f>1.0*SIN(RADIANS((360+$A10*180)-360))</f>
        <v/>
      </c>
      <c r="AO10">
        <f>1.0*COS(RADIANS((360+$A10*180)-360))</f>
        <v/>
      </c>
      <c r="AP10">
        <f>0.9*SIN(RADIANS((540+$A10*180)-360))</f>
        <v/>
      </c>
      <c r="AQ10">
        <f>0.9*COS(RADIANS((540+$A10*180)-360))</f>
        <v/>
      </c>
      <c r="AR10">
        <f>0.8*SIN(RADIANS((720+$A10*180)-360))</f>
        <v/>
      </c>
      <c r="AS10">
        <f>0.8*COS(RADIANS((720+$A10*180)-360))</f>
        <v/>
      </c>
      <c r="AT10">
        <f>0.7*SIN(RADIANS((900+$A10*180)-360))</f>
        <v/>
      </c>
      <c r="AU10">
        <f>0.7*COS(RADIANS((900+$A10*180)-360))</f>
        <v/>
      </c>
    </row>
    <row r="11">
      <c r="A11" s="26">
        <f>9/60</f>
        <v/>
      </c>
      <c r="B11" s="49">
        <f>(360-Simulador!$B$7)+$A11*((540+Simulador!$B$8)-(360-Simulador!$B$7))</f>
        <v/>
      </c>
      <c r="C11" s="49">
        <f>1.0*SIN(RADIANS(B11-360))</f>
        <v/>
      </c>
      <c r="D11" s="49">
        <f>1.0*COS(RADIANS(B11-360))</f>
        <v/>
      </c>
      <c r="E11" s="49">
        <f>(540+Simulador!$B$8)+$A11*((720-'Diagrama circular'!$B$9)-(540+Simulador!$B$8))</f>
        <v/>
      </c>
      <c r="F11" s="49">
        <f>0.88*SIN(RADIANS(E11-360))</f>
        <v/>
      </c>
      <c r="G11" s="49">
        <f>0.88*COS(RADIANS(E11-360))</f>
        <v/>
      </c>
      <c r="H11" s="49">
        <f>(720-'Diagrama circular'!$B$9)+$A11*((720)-(720-'Diagrama circular'!$B$9))</f>
        <v/>
      </c>
      <c r="I11" s="49">
        <f>0.88*SIN(RADIANS(H11-360))</f>
        <v/>
      </c>
      <c r="J11" s="49">
        <f>0.88*COS(RADIANS(H11-360))</f>
        <v/>
      </c>
      <c r="K11" s="49">
        <f>(720)+$A11*((900-Simulador!$B$5)-(720))</f>
        <v/>
      </c>
      <c r="L11" s="49">
        <f>0.76*SIN(RADIANS(K11-360))</f>
        <v/>
      </c>
      <c r="M11" s="49">
        <f>0.76*COS(RADIANS(K11-360))</f>
        <v/>
      </c>
      <c r="N11" s="49">
        <f>(900-Simulador!$B$5)+$A11*((1080+Simulador!$B$6)-(900-Simulador!$B$5))</f>
        <v/>
      </c>
      <c r="O11" s="49">
        <f>0.64*SIN(RADIANS(N11-360))</f>
        <v/>
      </c>
      <c r="P11" s="49">
        <f>0.64*COS(RADIANS(N11-360))</f>
        <v/>
      </c>
      <c r="Q11" s="49">
        <f>(360-Simulador!$B$7)+$A11*((360+Simulador!$B$6)-(360-Simulador!$B$7))</f>
        <v/>
      </c>
      <c r="R11" s="49">
        <f>0.42*SIN(RADIANS(Q11-360))</f>
        <v/>
      </c>
      <c r="S11" s="49">
        <f>0.42*COS(RADIANS(Q11-360))</f>
        <v/>
      </c>
      <c r="AN11">
        <f>1.0*SIN(RADIANS((360+$A11*180)-360))</f>
        <v/>
      </c>
      <c r="AO11">
        <f>1.0*COS(RADIANS((360+$A11*180)-360))</f>
        <v/>
      </c>
      <c r="AP11">
        <f>0.9*SIN(RADIANS((540+$A11*180)-360))</f>
        <v/>
      </c>
      <c r="AQ11">
        <f>0.9*COS(RADIANS((540+$A11*180)-360))</f>
        <v/>
      </c>
      <c r="AR11">
        <f>0.8*SIN(RADIANS((720+$A11*180)-360))</f>
        <v/>
      </c>
      <c r="AS11">
        <f>0.8*COS(RADIANS((720+$A11*180)-360))</f>
        <v/>
      </c>
      <c r="AT11">
        <f>0.7*SIN(RADIANS((900+$A11*180)-360))</f>
        <v/>
      </c>
      <c r="AU11">
        <f>0.7*COS(RADIANS((900+$A11*180)-360))</f>
        <v/>
      </c>
    </row>
    <row r="12">
      <c r="A12" s="26">
        <f>10/60</f>
        <v/>
      </c>
      <c r="B12" s="49">
        <f>(360-Simulador!$B$7)+$A12*((540+Simulador!$B$8)-(360-Simulador!$B$7))</f>
        <v/>
      </c>
      <c r="C12" s="49">
        <f>1.0*SIN(RADIANS(B12-360))</f>
        <v/>
      </c>
      <c r="D12" s="49">
        <f>1.0*COS(RADIANS(B12-360))</f>
        <v/>
      </c>
      <c r="E12" s="49">
        <f>(540+Simulador!$B$8)+$A12*((720-'Diagrama circular'!$B$9)-(540+Simulador!$B$8))</f>
        <v/>
      </c>
      <c r="F12" s="49">
        <f>0.88*SIN(RADIANS(E12-360))</f>
        <v/>
      </c>
      <c r="G12" s="49">
        <f>0.88*COS(RADIANS(E12-360))</f>
        <v/>
      </c>
      <c r="H12" s="49">
        <f>(720-'Diagrama circular'!$B$9)+$A12*((720)-(720-'Diagrama circular'!$B$9))</f>
        <v/>
      </c>
      <c r="I12" s="49">
        <f>0.88*SIN(RADIANS(H12-360))</f>
        <v/>
      </c>
      <c r="J12" s="49">
        <f>0.88*COS(RADIANS(H12-360))</f>
        <v/>
      </c>
      <c r="K12" s="49">
        <f>(720)+$A12*((900-Simulador!$B$5)-(720))</f>
        <v/>
      </c>
      <c r="L12" s="49">
        <f>0.76*SIN(RADIANS(K12-360))</f>
        <v/>
      </c>
      <c r="M12" s="49">
        <f>0.76*COS(RADIANS(K12-360))</f>
        <v/>
      </c>
      <c r="N12" s="49">
        <f>(900-Simulador!$B$5)+$A12*((1080+Simulador!$B$6)-(900-Simulador!$B$5))</f>
        <v/>
      </c>
      <c r="O12" s="49">
        <f>0.64*SIN(RADIANS(N12-360))</f>
        <v/>
      </c>
      <c r="P12" s="49">
        <f>0.64*COS(RADIANS(N12-360))</f>
        <v/>
      </c>
      <c r="Q12" s="49">
        <f>(360-Simulador!$B$7)+$A12*((360+Simulador!$B$6)-(360-Simulador!$B$7))</f>
        <v/>
      </c>
      <c r="R12" s="49">
        <f>0.42*SIN(RADIANS(Q12-360))</f>
        <v/>
      </c>
      <c r="S12" s="49">
        <f>0.42*COS(RADIANS(Q12-360))</f>
        <v/>
      </c>
      <c r="AF12" t="inlineStr">
        <is>
          <t>Eje</t>
        </is>
      </c>
      <c r="AG12" t="n">
        <v>0</v>
      </c>
      <c r="AH12" t="n">
        <v>1.3</v>
      </c>
      <c r="AN12">
        <f>1.0*SIN(RADIANS((360+$A12*180)-360))</f>
        <v/>
      </c>
      <c r="AO12">
        <f>1.0*COS(RADIANS((360+$A12*180)-360))</f>
        <v/>
      </c>
      <c r="AP12">
        <f>0.9*SIN(RADIANS((540+$A12*180)-360))</f>
        <v/>
      </c>
      <c r="AQ12">
        <f>0.9*COS(RADIANS((540+$A12*180)-360))</f>
        <v/>
      </c>
      <c r="AR12">
        <f>0.8*SIN(RADIANS((720+$A12*180)-360))</f>
        <v/>
      </c>
      <c r="AS12">
        <f>0.8*COS(RADIANS((720+$A12*180)-360))</f>
        <v/>
      </c>
      <c r="AT12">
        <f>0.7*SIN(RADIANS((900+$A12*180)-360))</f>
        <v/>
      </c>
      <c r="AU12">
        <f>0.7*COS(RADIANS((900+$A12*180)-360))</f>
        <v/>
      </c>
    </row>
    <row r="13">
      <c r="A13" s="26">
        <f>11/60</f>
        <v/>
      </c>
      <c r="B13" s="49">
        <f>(360-Simulador!$B$7)+$A13*((540+Simulador!$B$8)-(360-Simulador!$B$7))</f>
        <v/>
      </c>
      <c r="C13" s="49">
        <f>1.0*SIN(RADIANS(B13-360))</f>
        <v/>
      </c>
      <c r="D13" s="49">
        <f>1.0*COS(RADIANS(B13-360))</f>
        <v/>
      </c>
      <c r="E13" s="49">
        <f>(540+Simulador!$B$8)+$A13*((720-'Diagrama circular'!$B$9)-(540+Simulador!$B$8))</f>
        <v/>
      </c>
      <c r="F13" s="49">
        <f>0.88*SIN(RADIANS(E13-360))</f>
        <v/>
      </c>
      <c r="G13" s="49">
        <f>0.88*COS(RADIANS(E13-360))</f>
        <v/>
      </c>
      <c r="H13" s="49">
        <f>(720-'Diagrama circular'!$B$9)+$A13*((720)-(720-'Diagrama circular'!$B$9))</f>
        <v/>
      </c>
      <c r="I13" s="49">
        <f>0.88*SIN(RADIANS(H13-360))</f>
        <v/>
      </c>
      <c r="J13" s="49">
        <f>0.88*COS(RADIANS(H13-360))</f>
        <v/>
      </c>
      <c r="K13" s="49">
        <f>(720)+$A13*((900-Simulador!$B$5)-(720))</f>
        <v/>
      </c>
      <c r="L13" s="49">
        <f>0.76*SIN(RADIANS(K13-360))</f>
        <v/>
      </c>
      <c r="M13" s="49">
        <f>0.76*COS(RADIANS(K13-360))</f>
        <v/>
      </c>
      <c r="N13" s="49">
        <f>(900-Simulador!$B$5)+$A13*((1080+Simulador!$B$6)-(900-Simulador!$B$5))</f>
        <v/>
      </c>
      <c r="O13" s="49">
        <f>0.64*SIN(RADIANS(N13-360))</f>
        <v/>
      </c>
      <c r="P13" s="49">
        <f>0.64*COS(RADIANS(N13-360))</f>
        <v/>
      </c>
      <c r="Q13" s="49">
        <f>(360-Simulador!$B$7)+$A13*((360+Simulador!$B$6)-(360-Simulador!$B$7))</f>
        <v/>
      </c>
      <c r="R13" s="49">
        <f>0.42*SIN(RADIANS(Q13-360))</f>
        <v/>
      </c>
      <c r="S13" s="49">
        <f>0.42*COS(RADIANS(Q13-360))</f>
        <v/>
      </c>
      <c r="AG13" t="n">
        <v>0</v>
      </c>
      <c r="AH13" t="n">
        <v>-1.3</v>
      </c>
      <c r="AN13">
        <f>1.0*SIN(RADIANS((360+$A13*180)-360))</f>
        <v/>
      </c>
      <c r="AO13">
        <f>1.0*COS(RADIANS((360+$A13*180)-360))</f>
        <v/>
      </c>
      <c r="AP13">
        <f>0.9*SIN(RADIANS((540+$A13*180)-360))</f>
        <v/>
      </c>
      <c r="AQ13">
        <f>0.9*COS(RADIANS((540+$A13*180)-360))</f>
        <v/>
      </c>
      <c r="AR13">
        <f>0.8*SIN(RADIANS((720+$A13*180)-360))</f>
        <v/>
      </c>
      <c r="AS13">
        <f>0.8*COS(RADIANS((720+$A13*180)-360))</f>
        <v/>
      </c>
      <c r="AT13">
        <f>0.7*SIN(RADIANS((900+$A13*180)-360))</f>
        <v/>
      </c>
      <c r="AU13">
        <f>0.7*COS(RADIANS((900+$A13*180)-360))</f>
        <v/>
      </c>
    </row>
    <row r="14">
      <c r="A14" s="26">
        <f>12/60</f>
        <v/>
      </c>
      <c r="B14" s="49">
        <f>(360-Simulador!$B$7)+$A14*((540+Simulador!$B$8)-(360-Simulador!$B$7))</f>
        <v/>
      </c>
      <c r="C14" s="49">
        <f>1.0*SIN(RADIANS(B14-360))</f>
        <v/>
      </c>
      <c r="D14" s="49">
        <f>1.0*COS(RADIANS(B14-360))</f>
        <v/>
      </c>
      <c r="E14" s="49">
        <f>(540+Simulador!$B$8)+$A14*((720-'Diagrama circular'!$B$9)-(540+Simulador!$B$8))</f>
        <v/>
      </c>
      <c r="F14" s="49">
        <f>0.88*SIN(RADIANS(E14-360))</f>
        <v/>
      </c>
      <c r="G14" s="49">
        <f>0.88*COS(RADIANS(E14-360))</f>
        <v/>
      </c>
      <c r="H14" s="49">
        <f>(720-'Diagrama circular'!$B$9)+$A14*((720)-(720-'Diagrama circular'!$B$9))</f>
        <v/>
      </c>
      <c r="I14" s="49">
        <f>0.88*SIN(RADIANS(H14-360))</f>
        <v/>
      </c>
      <c r="J14" s="49">
        <f>0.88*COS(RADIANS(H14-360))</f>
        <v/>
      </c>
      <c r="K14" s="49">
        <f>(720)+$A14*((900-Simulador!$B$5)-(720))</f>
        <v/>
      </c>
      <c r="L14" s="49">
        <f>0.76*SIN(RADIANS(K14-360))</f>
        <v/>
      </c>
      <c r="M14" s="49">
        <f>0.76*COS(RADIANS(K14-360))</f>
        <v/>
      </c>
      <c r="N14" s="49">
        <f>(900-Simulador!$B$5)+$A14*((1080+Simulador!$B$6)-(900-Simulador!$B$5))</f>
        <v/>
      </c>
      <c r="O14" s="49">
        <f>0.64*SIN(RADIANS(N14-360))</f>
        <v/>
      </c>
      <c r="P14" s="49">
        <f>0.64*COS(RADIANS(N14-360))</f>
        <v/>
      </c>
      <c r="Q14" s="49">
        <f>(360-Simulador!$B$7)+$A14*((360+Simulador!$B$6)-(360-Simulador!$B$7))</f>
        <v/>
      </c>
      <c r="R14" s="49">
        <f>0.42*SIN(RADIANS(Q14-360))</f>
        <v/>
      </c>
      <c r="S14" s="49">
        <f>0.42*COS(RADIANS(Q14-360))</f>
        <v/>
      </c>
      <c r="AN14">
        <f>1.0*SIN(RADIANS((360+$A14*180)-360))</f>
        <v/>
      </c>
      <c r="AO14">
        <f>1.0*COS(RADIANS((360+$A14*180)-360))</f>
        <v/>
      </c>
      <c r="AP14">
        <f>0.9*SIN(RADIANS((540+$A14*180)-360))</f>
        <v/>
      </c>
      <c r="AQ14">
        <f>0.9*COS(RADIANS((540+$A14*180)-360))</f>
        <v/>
      </c>
      <c r="AR14">
        <f>0.8*SIN(RADIANS((720+$A14*180)-360))</f>
        <v/>
      </c>
      <c r="AS14">
        <f>0.8*COS(RADIANS((720+$A14*180)-360))</f>
        <v/>
      </c>
      <c r="AT14">
        <f>0.7*SIN(RADIANS((900+$A14*180)-360))</f>
        <v/>
      </c>
      <c r="AU14">
        <f>0.7*COS(RADIANS((900+$A14*180)-360))</f>
        <v/>
      </c>
    </row>
    <row r="15">
      <c r="A15" s="26">
        <f>13/60</f>
        <v/>
      </c>
      <c r="B15" s="49">
        <f>(360-Simulador!$B$7)+$A15*((540+Simulador!$B$8)-(360-Simulador!$B$7))</f>
        <v/>
      </c>
      <c r="C15" s="49">
        <f>1.0*SIN(RADIANS(B15-360))</f>
        <v/>
      </c>
      <c r="D15" s="49">
        <f>1.0*COS(RADIANS(B15-360))</f>
        <v/>
      </c>
      <c r="E15" s="49">
        <f>(540+Simulador!$B$8)+$A15*((720-'Diagrama circular'!$B$9)-(540+Simulador!$B$8))</f>
        <v/>
      </c>
      <c r="F15" s="49">
        <f>0.88*SIN(RADIANS(E15-360))</f>
        <v/>
      </c>
      <c r="G15" s="49">
        <f>0.88*COS(RADIANS(E15-360))</f>
        <v/>
      </c>
      <c r="H15" s="49">
        <f>(720-'Diagrama circular'!$B$9)+$A15*((720)-(720-'Diagrama circular'!$B$9))</f>
        <v/>
      </c>
      <c r="I15" s="49">
        <f>0.88*SIN(RADIANS(H15-360))</f>
        <v/>
      </c>
      <c r="J15" s="49">
        <f>0.88*COS(RADIANS(H15-360))</f>
        <v/>
      </c>
      <c r="K15" s="49">
        <f>(720)+$A15*((900-Simulador!$B$5)-(720))</f>
        <v/>
      </c>
      <c r="L15" s="49">
        <f>0.76*SIN(RADIANS(K15-360))</f>
        <v/>
      </c>
      <c r="M15" s="49">
        <f>0.76*COS(RADIANS(K15-360))</f>
        <v/>
      </c>
      <c r="N15" s="49">
        <f>(900-Simulador!$B$5)+$A15*((1080+Simulador!$B$6)-(900-Simulador!$B$5))</f>
        <v/>
      </c>
      <c r="O15" s="49">
        <f>0.64*SIN(RADIANS(N15-360))</f>
        <v/>
      </c>
      <c r="P15" s="49">
        <f>0.64*COS(RADIANS(N15-360))</f>
        <v/>
      </c>
      <c r="Q15" s="49">
        <f>(360-Simulador!$B$7)+$A15*((360+Simulador!$B$6)-(360-Simulador!$B$7))</f>
        <v/>
      </c>
      <c r="R15" s="49">
        <f>0.42*SIN(RADIANS(Q15-360))</f>
        <v/>
      </c>
      <c r="S15" s="49">
        <f>0.42*COS(RADIANS(Q15-360))</f>
        <v/>
      </c>
      <c r="AN15">
        <f>1.0*SIN(RADIANS((360+$A15*180)-360))</f>
        <v/>
      </c>
      <c r="AO15">
        <f>1.0*COS(RADIANS((360+$A15*180)-360))</f>
        <v/>
      </c>
      <c r="AP15">
        <f>0.9*SIN(RADIANS((540+$A15*180)-360))</f>
        <v/>
      </c>
      <c r="AQ15">
        <f>0.9*COS(RADIANS((540+$A15*180)-360))</f>
        <v/>
      </c>
      <c r="AR15">
        <f>0.8*SIN(RADIANS((720+$A15*180)-360))</f>
        <v/>
      </c>
      <c r="AS15">
        <f>0.8*COS(RADIANS((720+$A15*180)-360))</f>
        <v/>
      </c>
      <c r="AT15">
        <f>0.7*SIN(RADIANS((900+$A15*180)-360))</f>
        <v/>
      </c>
      <c r="AU15">
        <f>0.7*COS(RADIANS((900+$A15*180)-360))</f>
        <v/>
      </c>
    </row>
    <row r="16">
      <c r="A16" s="26">
        <f>14/60</f>
        <v/>
      </c>
      <c r="B16" s="49">
        <f>(360-Simulador!$B$7)+$A16*((540+Simulador!$B$8)-(360-Simulador!$B$7))</f>
        <v/>
      </c>
      <c r="C16" s="49">
        <f>1.0*SIN(RADIANS(B16-360))</f>
        <v/>
      </c>
      <c r="D16" s="49">
        <f>1.0*COS(RADIANS(B16-360))</f>
        <v/>
      </c>
      <c r="E16" s="49">
        <f>(540+Simulador!$B$8)+$A16*((720-'Diagrama circular'!$B$9)-(540+Simulador!$B$8))</f>
        <v/>
      </c>
      <c r="F16" s="49">
        <f>0.88*SIN(RADIANS(E16-360))</f>
        <v/>
      </c>
      <c r="G16" s="49">
        <f>0.88*COS(RADIANS(E16-360))</f>
        <v/>
      </c>
      <c r="H16" s="49">
        <f>(720-'Diagrama circular'!$B$9)+$A16*((720)-(720-'Diagrama circular'!$B$9))</f>
        <v/>
      </c>
      <c r="I16" s="49">
        <f>0.88*SIN(RADIANS(H16-360))</f>
        <v/>
      </c>
      <c r="J16" s="49">
        <f>0.88*COS(RADIANS(H16-360))</f>
        <v/>
      </c>
      <c r="K16" s="49">
        <f>(720)+$A16*((900-Simulador!$B$5)-(720))</f>
        <v/>
      </c>
      <c r="L16" s="49">
        <f>0.76*SIN(RADIANS(K16-360))</f>
        <v/>
      </c>
      <c r="M16" s="49">
        <f>0.76*COS(RADIANS(K16-360))</f>
        <v/>
      </c>
      <c r="N16" s="49">
        <f>(900-Simulador!$B$5)+$A16*((1080+Simulador!$B$6)-(900-Simulador!$B$5))</f>
        <v/>
      </c>
      <c r="O16" s="49">
        <f>0.64*SIN(RADIANS(N16-360))</f>
        <v/>
      </c>
      <c r="P16" s="49">
        <f>0.64*COS(RADIANS(N16-360))</f>
        <v/>
      </c>
      <c r="Q16" s="49">
        <f>(360-Simulador!$B$7)+$A16*((360+Simulador!$B$6)-(360-Simulador!$B$7))</f>
        <v/>
      </c>
      <c r="R16" s="49">
        <f>0.42*SIN(RADIANS(Q16-360))</f>
        <v/>
      </c>
      <c r="S16" s="49">
        <f>0.42*COS(RADIANS(Q16-360))</f>
        <v/>
      </c>
      <c r="AN16">
        <f>1.0*SIN(RADIANS((360+$A16*180)-360))</f>
        <v/>
      </c>
      <c r="AO16">
        <f>1.0*COS(RADIANS((360+$A16*180)-360))</f>
        <v/>
      </c>
      <c r="AP16">
        <f>0.9*SIN(RADIANS((540+$A16*180)-360))</f>
        <v/>
      </c>
      <c r="AQ16">
        <f>0.9*COS(RADIANS((540+$A16*180)-360))</f>
        <v/>
      </c>
      <c r="AR16">
        <f>0.8*SIN(RADIANS((720+$A16*180)-360))</f>
        <v/>
      </c>
      <c r="AS16">
        <f>0.8*COS(RADIANS((720+$A16*180)-360))</f>
        <v/>
      </c>
      <c r="AT16">
        <f>0.7*SIN(RADIANS((900+$A16*180)-360))</f>
        <v/>
      </c>
      <c r="AU16">
        <f>0.7*COS(RADIANS((900+$A16*180)-360))</f>
        <v/>
      </c>
    </row>
    <row r="17">
      <c r="A17" s="26">
        <f>15/60</f>
        <v/>
      </c>
      <c r="B17" s="49">
        <f>(360-Simulador!$B$7)+$A17*((540+Simulador!$B$8)-(360-Simulador!$B$7))</f>
        <v/>
      </c>
      <c r="C17" s="49">
        <f>1.0*SIN(RADIANS(B17-360))</f>
        <v/>
      </c>
      <c r="D17" s="49">
        <f>1.0*COS(RADIANS(B17-360))</f>
        <v/>
      </c>
      <c r="E17" s="49">
        <f>(540+Simulador!$B$8)+$A17*((720-'Diagrama circular'!$B$9)-(540+Simulador!$B$8))</f>
        <v/>
      </c>
      <c r="F17" s="49">
        <f>0.88*SIN(RADIANS(E17-360))</f>
        <v/>
      </c>
      <c r="G17" s="49">
        <f>0.88*COS(RADIANS(E17-360))</f>
        <v/>
      </c>
      <c r="H17" s="49">
        <f>(720-'Diagrama circular'!$B$9)+$A17*((720)-(720-'Diagrama circular'!$B$9))</f>
        <v/>
      </c>
      <c r="I17" s="49">
        <f>0.88*SIN(RADIANS(H17-360))</f>
        <v/>
      </c>
      <c r="J17" s="49">
        <f>0.88*COS(RADIANS(H17-360))</f>
        <v/>
      </c>
      <c r="K17" s="49">
        <f>(720)+$A17*((900-Simulador!$B$5)-(720))</f>
        <v/>
      </c>
      <c r="L17" s="49">
        <f>0.76*SIN(RADIANS(K17-360))</f>
        <v/>
      </c>
      <c r="M17" s="49">
        <f>0.76*COS(RADIANS(K17-360))</f>
        <v/>
      </c>
      <c r="N17" s="49">
        <f>(900-Simulador!$B$5)+$A17*((1080+Simulador!$B$6)-(900-Simulador!$B$5))</f>
        <v/>
      </c>
      <c r="O17" s="49">
        <f>0.64*SIN(RADIANS(N17-360))</f>
        <v/>
      </c>
      <c r="P17" s="49">
        <f>0.64*COS(RADIANS(N17-360))</f>
        <v/>
      </c>
      <c r="Q17" s="49">
        <f>(360-Simulador!$B$7)+$A17*((360+Simulador!$B$6)-(360-Simulador!$B$7))</f>
        <v/>
      </c>
      <c r="R17" s="49">
        <f>0.42*SIN(RADIANS(Q17-360))</f>
        <v/>
      </c>
      <c r="S17" s="49">
        <f>0.42*COS(RADIANS(Q17-360))</f>
        <v/>
      </c>
      <c r="AN17">
        <f>1.0*SIN(RADIANS((360+$A17*180)-360))</f>
        <v/>
      </c>
      <c r="AO17">
        <f>1.0*COS(RADIANS((360+$A17*180)-360))</f>
        <v/>
      </c>
      <c r="AP17">
        <f>0.9*SIN(RADIANS((540+$A17*180)-360))</f>
        <v/>
      </c>
      <c r="AQ17">
        <f>0.9*COS(RADIANS((540+$A17*180)-360))</f>
        <v/>
      </c>
      <c r="AR17">
        <f>0.8*SIN(RADIANS((720+$A17*180)-360))</f>
        <v/>
      </c>
      <c r="AS17">
        <f>0.8*COS(RADIANS((720+$A17*180)-360))</f>
        <v/>
      </c>
      <c r="AT17">
        <f>0.7*SIN(RADIANS((900+$A17*180)-360))</f>
        <v/>
      </c>
      <c r="AU17">
        <f>0.7*COS(RADIANS((900+$A17*180)-360))</f>
        <v/>
      </c>
    </row>
    <row r="18">
      <c r="A18" s="26">
        <f>16/60</f>
        <v/>
      </c>
      <c r="B18" s="49">
        <f>(360-Simulador!$B$7)+$A18*((540+Simulador!$B$8)-(360-Simulador!$B$7))</f>
        <v/>
      </c>
      <c r="C18" s="49">
        <f>1.0*SIN(RADIANS(B18-360))</f>
        <v/>
      </c>
      <c r="D18" s="49">
        <f>1.0*COS(RADIANS(B18-360))</f>
        <v/>
      </c>
      <c r="E18" s="49">
        <f>(540+Simulador!$B$8)+$A18*((720-'Diagrama circular'!$B$9)-(540+Simulador!$B$8))</f>
        <v/>
      </c>
      <c r="F18" s="49">
        <f>0.88*SIN(RADIANS(E18-360))</f>
        <v/>
      </c>
      <c r="G18" s="49">
        <f>0.88*COS(RADIANS(E18-360))</f>
        <v/>
      </c>
      <c r="H18" s="49">
        <f>(720-'Diagrama circular'!$B$9)+$A18*((720)-(720-'Diagrama circular'!$B$9))</f>
        <v/>
      </c>
      <c r="I18" s="49">
        <f>0.88*SIN(RADIANS(H18-360))</f>
        <v/>
      </c>
      <c r="J18" s="49">
        <f>0.88*COS(RADIANS(H18-360))</f>
        <v/>
      </c>
      <c r="K18" s="49">
        <f>(720)+$A18*((900-Simulador!$B$5)-(720))</f>
        <v/>
      </c>
      <c r="L18" s="49">
        <f>0.76*SIN(RADIANS(K18-360))</f>
        <v/>
      </c>
      <c r="M18" s="49">
        <f>0.76*COS(RADIANS(K18-360))</f>
        <v/>
      </c>
      <c r="N18" s="49">
        <f>(900-Simulador!$B$5)+$A18*((1080+Simulador!$B$6)-(900-Simulador!$B$5))</f>
        <v/>
      </c>
      <c r="O18" s="49">
        <f>0.64*SIN(RADIANS(N18-360))</f>
        <v/>
      </c>
      <c r="P18" s="49">
        <f>0.64*COS(RADIANS(N18-360))</f>
        <v/>
      </c>
      <c r="Q18" s="49">
        <f>(360-Simulador!$B$7)+$A18*((360+Simulador!$B$6)-(360-Simulador!$B$7))</f>
        <v/>
      </c>
      <c r="R18" s="49">
        <f>0.42*SIN(RADIANS(Q18-360))</f>
        <v/>
      </c>
      <c r="S18" s="49">
        <f>0.42*COS(RADIANS(Q18-360))</f>
        <v/>
      </c>
      <c r="AN18">
        <f>1.0*SIN(RADIANS((360+$A18*180)-360))</f>
        <v/>
      </c>
      <c r="AO18">
        <f>1.0*COS(RADIANS((360+$A18*180)-360))</f>
        <v/>
      </c>
      <c r="AP18">
        <f>0.9*SIN(RADIANS((540+$A18*180)-360))</f>
        <v/>
      </c>
      <c r="AQ18">
        <f>0.9*COS(RADIANS((540+$A18*180)-360))</f>
        <v/>
      </c>
      <c r="AR18">
        <f>0.8*SIN(RADIANS((720+$A18*180)-360))</f>
        <v/>
      </c>
      <c r="AS18">
        <f>0.8*COS(RADIANS((720+$A18*180)-360))</f>
        <v/>
      </c>
      <c r="AT18">
        <f>0.7*SIN(RADIANS((900+$A18*180)-360))</f>
        <v/>
      </c>
      <c r="AU18">
        <f>0.7*COS(RADIANS((900+$A18*180)-360))</f>
        <v/>
      </c>
    </row>
    <row r="19">
      <c r="A19" s="26">
        <f>17/60</f>
        <v/>
      </c>
      <c r="B19" s="49">
        <f>(360-Simulador!$B$7)+$A19*((540+Simulador!$B$8)-(360-Simulador!$B$7))</f>
        <v/>
      </c>
      <c r="C19" s="49">
        <f>1.0*SIN(RADIANS(B19-360))</f>
        <v/>
      </c>
      <c r="D19" s="49">
        <f>1.0*COS(RADIANS(B19-360))</f>
        <v/>
      </c>
      <c r="E19" s="49">
        <f>(540+Simulador!$B$8)+$A19*((720-'Diagrama circular'!$B$9)-(540+Simulador!$B$8))</f>
        <v/>
      </c>
      <c r="F19" s="49">
        <f>0.88*SIN(RADIANS(E19-360))</f>
        <v/>
      </c>
      <c r="G19" s="49">
        <f>0.88*COS(RADIANS(E19-360))</f>
        <v/>
      </c>
      <c r="H19" s="49">
        <f>(720-'Diagrama circular'!$B$9)+$A19*((720)-(720-'Diagrama circular'!$B$9))</f>
        <v/>
      </c>
      <c r="I19" s="49">
        <f>0.88*SIN(RADIANS(H19-360))</f>
        <v/>
      </c>
      <c r="J19" s="49">
        <f>0.88*COS(RADIANS(H19-360))</f>
        <v/>
      </c>
      <c r="K19" s="49">
        <f>(720)+$A19*((900-Simulador!$B$5)-(720))</f>
        <v/>
      </c>
      <c r="L19" s="49">
        <f>0.76*SIN(RADIANS(K19-360))</f>
        <v/>
      </c>
      <c r="M19" s="49">
        <f>0.76*COS(RADIANS(K19-360))</f>
        <v/>
      </c>
      <c r="N19" s="49">
        <f>(900-Simulador!$B$5)+$A19*((1080+Simulador!$B$6)-(900-Simulador!$B$5))</f>
        <v/>
      </c>
      <c r="O19" s="49">
        <f>0.64*SIN(RADIANS(N19-360))</f>
        <v/>
      </c>
      <c r="P19" s="49">
        <f>0.64*COS(RADIANS(N19-360))</f>
        <v/>
      </c>
      <c r="Q19" s="49">
        <f>(360-Simulador!$B$7)+$A19*((360+Simulador!$B$6)-(360-Simulador!$B$7))</f>
        <v/>
      </c>
      <c r="R19" s="49">
        <f>0.42*SIN(RADIANS(Q19-360))</f>
        <v/>
      </c>
      <c r="S19" s="49">
        <f>0.42*COS(RADIANS(Q19-360))</f>
        <v/>
      </c>
      <c r="AN19">
        <f>1.0*SIN(RADIANS((360+$A19*180)-360))</f>
        <v/>
      </c>
      <c r="AO19">
        <f>1.0*COS(RADIANS((360+$A19*180)-360))</f>
        <v/>
      </c>
      <c r="AP19">
        <f>0.9*SIN(RADIANS((540+$A19*180)-360))</f>
        <v/>
      </c>
      <c r="AQ19">
        <f>0.9*COS(RADIANS((540+$A19*180)-360))</f>
        <v/>
      </c>
      <c r="AR19">
        <f>0.8*SIN(RADIANS((720+$A19*180)-360))</f>
        <v/>
      </c>
      <c r="AS19">
        <f>0.8*COS(RADIANS((720+$A19*180)-360))</f>
        <v/>
      </c>
      <c r="AT19">
        <f>0.7*SIN(RADIANS((900+$A19*180)-360))</f>
        <v/>
      </c>
      <c r="AU19">
        <f>0.7*COS(RADIANS((900+$A19*180)-360))</f>
        <v/>
      </c>
    </row>
    <row r="20">
      <c r="A20" s="26">
        <f>18/60</f>
        <v/>
      </c>
      <c r="B20" s="49">
        <f>(360-Simulador!$B$7)+$A20*((540+Simulador!$B$8)-(360-Simulador!$B$7))</f>
        <v/>
      </c>
      <c r="C20" s="49">
        <f>1.0*SIN(RADIANS(B20-360))</f>
        <v/>
      </c>
      <c r="D20" s="49">
        <f>1.0*COS(RADIANS(B20-360))</f>
        <v/>
      </c>
      <c r="E20" s="49">
        <f>(540+Simulador!$B$8)+$A20*((720-'Diagrama circular'!$B$9)-(540+Simulador!$B$8))</f>
        <v/>
      </c>
      <c r="F20" s="49">
        <f>0.88*SIN(RADIANS(E20-360))</f>
        <v/>
      </c>
      <c r="G20" s="49">
        <f>0.88*COS(RADIANS(E20-360))</f>
        <v/>
      </c>
      <c r="H20" s="49">
        <f>(720-'Diagrama circular'!$B$9)+$A20*((720)-(720-'Diagrama circular'!$B$9))</f>
        <v/>
      </c>
      <c r="I20" s="49">
        <f>0.88*SIN(RADIANS(H20-360))</f>
        <v/>
      </c>
      <c r="J20" s="49">
        <f>0.88*COS(RADIANS(H20-360))</f>
        <v/>
      </c>
      <c r="K20" s="49">
        <f>(720)+$A20*((900-Simulador!$B$5)-(720))</f>
        <v/>
      </c>
      <c r="L20" s="49">
        <f>0.76*SIN(RADIANS(K20-360))</f>
        <v/>
      </c>
      <c r="M20" s="49">
        <f>0.76*COS(RADIANS(K20-360))</f>
        <v/>
      </c>
      <c r="N20" s="49">
        <f>(900-Simulador!$B$5)+$A20*((1080+Simulador!$B$6)-(900-Simulador!$B$5))</f>
        <v/>
      </c>
      <c r="O20" s="49">
        <f>0.64*SIN(RADIANS(N20-360))</f>
        <v/>
      </c>
      <c r="P20" s="49">
        <f>0.64*COS(RADIANS(N20-360))</f>
        <v/>
      </c>
      <c r="Q20" s="49">
        <f>(360-Simulador!$B$7)+$A20*((360+Simulador!$B$6)-(360-Simulador!$B$7))</f>
        <v/>
      </c>
      <c r="R20" s="49">
        <f>0.42*SIN(RADIANS(Q20-360))</f>
        <v/>
      </c>
      <c r="S20" s="49">
        <f>0.42*COS(RADIANS(Q20-360))</f>
        <v/>
      </c>
      <c r="V20" t="inlineStr">
        <is>
          <t>AAA rayo</t>
        </is>
      </c>
      <c r="X20" t="n">
        <v>0</v>
      </c>
      <c r="Y20" t="n">
        <v>0</v>
      </c>
      <c r="AN20">
        <f>1.0*SIN(RADIANS((360+$A20*180)-360))</f>
        <v/>
      </c>
      <c r="AO20">
        <f>1.0*COS(RADIANS((360+$A20*180)-360))</f>
        <v/>
      </c>
      <c r="AP20">
        <f>0.9*SIN(RADIANS((540+$A20*180)-360))</f>
        <v/>
      </c>
      <c r="AQ20">
        <f>0.9*COS(RADIANS((540+$A20*180)-360))</f>
        <v/>
      </c>
      <c r="AR20">
        <f>0.8*SIN(RADIANS((720+$A20*180)-360))</f>
        <v/>
      </c>
      <c r="AS20">
        <f>0.8*COS(RADIANS((720+$A20*180)-360))</f>
        <v/>
      </c>
      <c r="AT20">
        <f>0.7*SIN(RADIANS((900+$A20*180)-360))</f>
        <v/>
      </c>
      <c r="AU20">
        <f>0.7*COS(RADIANS((900+$A20*180)-360))</f>
        <v/>
      </c>
    </row>
    <row r="21">
      <c r="A21" s="26">
        <f>19/60</f>
        <v/>
      </c>
      <c r="B21" s="49">
        <f>(360-Simulador!$B$7)+$A21*((540+Simulador!$B$8)-(360-Simulador!$B$7))</f>
        <v/>
      </c>
      <c r="C21" s="49">
        <f>1.0*SIN(RADIANS(B21-360))</f>
        <v/>
      </c>
      <c r="D21" s="49">
        <f>1.0*COS(RADIANS(B21-360))</f>
        <v/>
      </c>
      <c r="E21" s="49">
        <f>(540+Simulador!$B$8)+$A21*((720-'Diagrama circular'!$B$9)-(540+Simulador!$B$8))</f>
        <v/>
      </c>
      <c r="F21" s="49">
        <f>0.88*SIN(RADIANS(E21-360))</f>
        <v/>
      </c>
      <c r="G21" s="49">
        <f>0.88*COS(RADIANS(E21-360))</f>
        <v/>
      </c>
      <c r="H21" s="49">
        <f>(720-'Diagrama circular'!$B$9)+$A21*((720)-(720-'Diagrama circular'!$B$9))</f>
        <v/>
      </c>
      <c r="I21" s="49">
        <f>0.88*SIN(RADIANS(H21-360))</f>
        <v/>
      </c>
      <c r="J21" s="49">
        <f>0.88*COS(RADIANS(H21-360))</f>
        <v/>
      </c>
      <c r="K21" s="49">
        <f>(720)+$A21*((900-Simulador!$B$5)-(720))</f>
        <v/>
      </c>
      <c r="L21" s="49">
        <f>0.76*SIN(RADIANS(K21-360))</f>
        <v/>
      </c>
      <c r="M21" s="49">
        <f>0.76*COS(RADIANS(K21-360))</f>
        <v/>
      </c>
      <c r="N21" s="49">
        <f>(900-Simulador!$B$5)+$A21*((1080+Simulador!$B$6)-(900-Simulador!$B$5))</f>
        <v/>
      </c>
      <c r="O21" s="49">
        <f>0.64*SIN(RADIANS(N21-360))</f>
        <v/>
      </c>
      <c r="P21" s="49">
        <f>0.64*COS(RADIANS(N21-360))</f>
        <v/>
      </c>
      <c r="Q21" s="49">
        <f>(360-Simulador!$B$7)+$A21*((360+Simulador!$B$6)-(360-Simulador!$B$7))</f>
        <v/>
      </c>
      <c r="R21" s="49">
        <f>0.42*SIN(RADIANS(Q21-360))</f>
        <v/>
      </c>
      <c r="S21" s="49">
        <f>0.42*COS(RADIANS(Q21-360))</f>
        <v/>
      </c>
      <c r="X21">
        <f>Z2</f>
        <v/>
      </c>
      <c r="Y21">
        <f>AA2</f>
        <v/>
      </c>
      <c r="AN21">
        <f>1.0*SIN(RADIANS((360+$A21*180)-360))</f>
        <v/>
      </c>
      <c r="AO21">
        <f>1.0*COS(RADIANS((360+$A21*180)-360))</f>
        <v/>
      </c>
      <c r="AP21">
        <f>0.9*SIN(RADIANS((540+$A21*180)-360))</f>
        <v/>
      </c>
      <c r="AQ21">
        <f>0.9*COS(RADIANS((540+$A21*180)-360))</f>
        <v/>
      </c>
      <c r="AR21">
        <f>0.8*SIN(RADIANS((720+$A21*180)-360))</f>
        <v/>
      </c>
      <c r="AS21">
        <f>0.8*COS(RADIANS((720+$A21*180)-360))</f>
        <v/>
      </c>
      <c r="AT21">
        <f>0.7*SIN(RADIANS((900+$A21*180)-360))</f>
        <v/>
      </c>
      <c r="AU21">
        <f>0.7*COS(RADIANS((900+$A21*180)-360))</f>
        <v/>
      </c>
    </row>
    <row r="22">
      <c r="A22" s="26">
        <f>20/60</f>
        <v/>
      </c>
      <c r="B22" s="49">
        <f>(360-Simulador!$B$7)+$A22*((540+Simulador!$B$8)-(360-Simulador!$B$7))</f>
        <v/>
      </c>
      <c r="C22" s="49">
        <f>1.0*SIN(RADIANS(B22-360))</f>
        <v/>
      </c>
      <c r="D22" s="49">
        <f>1.0*COS(RADIANS(B22-360))</f>
        <v/>
      </c>
      <c r="E22" s="49">
        <f>(540+Simulador!$B$8)+$A22*((720-'Diagrama circular'!$B$9)-(540+Simulador!$B$8))</f>
        <v/>
      </c>
      <c r="F22" s="49">
        <f>0.88*SIN(RADIANS(E22-360))</f>
        <v/>
      </c>
      <c r="G22" s="49">
        <f>0.88*COS(RADIANS(E22-360))</f>
        <v/>
      </c>
      <c r="H22" s="49">
        <f>(720-'Diagrama circular'!$B$9)+$A22*((720)-(720-'Diagrama circular'!$B$9))</f>
        <v/>
      </c>
      <c r="I22" s="49">
        <f>0.88*SIN(RADIANS(H22-360))</f>
        <v/>
      </c>
      <c r="J22" s="49">
        <f>0.88*COS(RADIANS(H22-360))</f>
        <v/>
      </c>
      <c r="K22" s="49">
        <f>(720)+$A22*((900-Simulador!$B$5)-(720))</f>
        <v/>
      </c>
      <c r="L22" s="49">
        <f>0.76*SIN(RADIANS(K22-360))</f>
        <v/>
      </c>
      <c r="M22" s="49">
        <f>0.76*COS(RADIANS(K22-360))</f>
        <v/>
      </c>
      <c r="N22" s="49">
        <f>(900-Simulador!$B$5)+$A22*((1080+Simulador!$B$6)-(900-Simulador!$B$5))</f>
        <v/>
      </c>
      <c r="O22" s="49">
        <f>0.64*SIN(RADIANS(N22-360))</f>
        <v/>
      </c>
      <c r="P22" s="49">
        <f>0.64*COS(RADIANS(N22-360))</f>
        <v/>
      </c>
      <c r="Q22" s="49">
        <f>(360-Simulador!$B$7)+$A22*((360+Simulador!$B$6)-(360-Simulador!$B$7))</f>
        <v/>
      </c>
      <c r="R22" s="49">
        <f>0.42*SIN(RADIANS(Q22-360))</f>
        <v/>
      </c>
      <c r="S22" s="49">
        <f>0.42*COS(RADIANS(Q22-360))</f>
        <v/>
      </c>
      <c r="V22" t="inlineStr">
        <is>
          <t>RCA rayo</t>
        </is>
      </c>
      <c r="X22" t="n">
        <v>0</v>
      </c>
      <c r="Y22" t="n">
        <v>0</v>
      </c>
      <c r="AN22">
        <f>1.0*SIN(RADIANS((360+$A22*180)-360))</f>
        <v/>
      </c>
      <c r="AO22">
        <f>1.0*COS(RADIANS((360+$A22*180)-360))</f>
        <v/>
      </c>
      <c r="AP22">
        <f>0.9*SIN(RADIANS((540+$A22*180)-360))</f>
        <v/>
      </c>
      <c r="AQ22">
        <f>0.9*COS(RADIANS((540+$A22*180)-360))</f>
        <v/>
      </c>
      <c r="AR22">
        <f>0.8*SIN(RADIANS((720+$A22*180)-360))</f>
        <v/>
      </c>
      <c r="AS22">
        <f>0.8*COS(RADIANS((720+$A22*180)-360))</f>
        <v/>
      </c>
      <c r="AT22">
        <f>0.7*SIN(RADIANS((900+$A22*180)-360))</f>
        <v/>
      </c>
      <c r="AU22">
        <f>0.7*COS(RADIANS((900+$A22*180)-360))</f>
        <v/>
      </c>
    </row>
    <row r="23">
      <c r="A23" s="26">
        <f>21/60</f>
        <v/>
      </c>
      <c r="B23" s="49">
        <f>(360-Simulador!$B$7)+$A23*((540+Simulador!$B$8)-(360-Simulador!$B$7))</f>
        <v/>
      </c>
      <c r="C23" s="49">
        <f>1.0*SIN(RADIANS(B23-360))</f>
        <v/>
      </c>
      <c r="D23" s="49">
        <f>1.0*COS(RADIANS(B23-360))</f>
        <v/>
      </c>
      <c r="E23" s="49">
        <f>(540+Simulador!$B$8)+$A23*((720-'Diagrama circular'!$B$9)-(540+Simulador!$B$8))</f>
        <v/>
      </c>
      <c r="F23" s="49">
        <f>0.88*SIN(RADIANS(E23-360))</f>
        <v/>
      </c>
      <c r="G23" s="49">
        <f>0.88*COS(RADIANS(E23-360))</f>
        <v/>
      </c>
      <c r="H23" s="49">
        <f>(720-'Diagrama circular'!$B$9)+$A23*((720)-(720-'Diagrama circular'!$B$9))</f>
        <v/>
      </c>
      <c r="I23" s="49">
        <f>0.88*SIN(RADIANS(H23-360))</f>
        <v/>
      </c>
      <c r="J23" s="49">
        <f>0.88*COS(RADIANS(H23-360))</f>
        <v/>
      </c>
      <c r="K23" s="49">
        <f>(720)+$A23*((900-Simulador!$B$5)-(720))</f>
        <v/>
      </c>
      <c r="L23" s="49">
        <f>0.76*SIN(RADIANS(K23-360))</f>
        <v/>
      </c>
      <c r="M23" s="49">
        <f>0.76*COS(RADIANS(K23-360))</f>
        <v/>
      </c>
      <c r="N23" s="49">
        <f>(900-Simulador!$B$5)+$A23*((1080+Simulador!$B$6)-(900-Simulador!$B$5))</f>
        <v/>
      </c>
      <c r="O23" s="49">
        <f>0.64*SIN(RADIANS(N23-360))</f>
        <v/>
      </c>
      <c r="P23" s="49">
        <f>0.64*COS(RADIANS(N23-360))</f>
        <v/>
      </c>
      <c r="Q23" s="49">
        <f>(360-Simulador!$B$7)+$A23*((360+Simulador!$B$6)-(360-Simulador!$B$7))</f>
        <v/>
      </c>
      <c r="R23" s="49">
        <f>0.42*SIN(RADIANS(Q23-360))</f>
        <v/>
      </c>
      <c r="S23" s="49">
        <f>0.42*COS(RADIANS(Q23-360))</f>
        <v/>
      </c>
      <c r="X23">
        <f>Z3</f>
        <v/>
      </c>
      <c r="Y23">
        <f>AA3</f>
        <v/>
      </c>
      <c r="AN23">
        <f>1.0*SIN(RADIANS((360+$A23*180)-360))</f>
        <v/>
      </c>
      <c r="AO23">
        <f>1.0*COS(RADIANS((360+$A23*180)-360))</f>
        <v/>
      </c>
      <c r="AP23">
        <f>0.9*SIN(RADIANS((540+$A23*180)-360))</f>
        <v/>
      </c>
      <c r="AQ23">
        <f>0.9*COS(RADIANS((540+$A23*180)-360))</f>
        <v/>
      </c>
      <c r="AR23">
        <f>0.8*SIN(RADIANS((720+$A23*180)-360))</f>
        <v/>
      </c>
      <c r="AS23">
        <f>0.8*COS(RADIANS((720+$A23*180)-360))</f>
        <v/>
      </c>
      <c r="AT23">
        <f>0.7*SIN(RADIANS((900+$A23*180)-360))</f>
        <v/>
      </c>
      <c r="AU23">
        <f>0.7*COS(RADIANS((900+$A23*180)-360))</f>
        <v/>
      </c>
    </row>
    <row r="24">
      <c r="A24" s="26">
        <f>22/60</f>
        <v/>
      </c>
      <c r="B24" s="49">
        <f>(360-Simulador!$B$7)+$A24*((540+Simulador!$B$8)-(360-Simulador!$B$7))</f>
        <v/>
      </c>
      <c r="C24" s="49">
        <f>1.0*SIN(RADIANS(B24-360))</f>
        <v/>
      </c>
      <c r="D24" s="49">
        <f>1.0*COS(RADIANS(B24-360))</f>
        <v/>
      </c>
      <c r="E24" s="49">
        <f>(540+Simulador!$B$8)+$A24*((720-'Diagrama circular'!$B$9)-(540+Simulador!$B$8))</f>
        <v/>
      </c>
      <c r="F24" s="49">
        <f>0.88*SIN(RADIANS(E24-360))</f>
        <v/>
      </c>
      <c r="G24" s="49">
        <f>0.88*COS(RADIANS(E24-360))</f>
        <v/>
      </c>
      <c r="H24" s="49">
        <f>(720-'Diagrama circular'!$B$9)+$A24*((720)-(720-'Diagrama circular'!$B$9))</f>
        <v/>
      </c>
      <c r="I24" s="49">
        <f>0.88*SIN(RADIANS(H24-360))</f>
        <v/>
      </c>
      <c r="J24" s="49">
        <f>0.88*COS(RADIANS(H24-360))</f>
        <v/>
      </c>
      <c r="K24" s="49">
        <f>(720)+$A24*((900-Simulador!$B$5)-(720))</f>
        <v/>
      </c>
      <c r="L24" s="49">
        <f>0.76*SIN(RADIANS(K24-360))</f>
        <v/>
      </c>
      <c r="M24" s="49">
        <f>0.76*COS(RADIANS(K24-360))</f>
        <v/>
      </c>
      <c r="N24" s="49">
        <f>(900-Simulador!$B$5)+$A24*((1080+Simulador!$B$6)-(900-Simulador!$B$5))</f>
        <v/>
      </c>
      <c r="O24" s="49">
        <f>0.64*SIN(RADIANS(N24-360))</f>
        <v/>
      </c>
      <c r="P24" s="49">
        <f>0.64*COS(RADIANS(N24-360))</f>
        <v/>
      </c>
      <c r="Q24" s="49">
        <f>(360-Simulador!$B$7)+$A24*((360+Simulador!$B$6)-(360-Simulador!$B$7))</f>
        <v/>
      </c>
      <c r="R24" s="49">
        <f>0.42*SIN(RADIANS(Q24-360))</f>
        <v/>
      </c>
      <c r="S24" s="49">
        <f>0.42*COS(RADIANS(Q24-360))</f>
        <v/>
      </c>
      <c r="V24" t="inlineStr">
        <is>
          <t>AE rayo</t>
        </is>
      </c>
      <c r="X24" t="n">
        <v>0</v>
      </c>
      <c r="Y24" t="n">
        <v>0</v>
      </c>
      <c r="AN24">
        <f>1.0*SIN(RADIANS((360+$A24*180)-360))</f>
        <v/>
      </c>
      <c r="AO24">
        <f>1.0*COS(RADIANS((360+$A24*180)-360))</f>
        <v/>
      </c>
      <c r="AP24">
        <f>0.9*SIN(RADIANS((540+$A24*180)-360))</f>
        <v/>
      </c>
      <c r="AQ24">
        <f>0.9*COS(RADIANS((540+$A24*180)-360))</f>
        <v/>
      </c>
      <c r="AR24">
        <f>0.8*SIN(RADIANS((720+$A24*180)-360))</f>
        <v/>
      </c>
      <c r="AS24">
        <f>0.8*COS(RADIANS((720+$A24*180)-360))</f>
        <v/>
      </c>
      <c r="AT24">
        <f>0.7*SIN(RADIANS((900+$A24*180)-360))</f>
        <v/>
      </c>
      <c r="AU24">
        <f>0.7*COS(RADIANS((900+$A24*180)-360))</f>
        <v/>
      </c>
    </row>
    <row r="25">
      <c r="A25" s="26">
        <f>23/60</f>
        <v/>
      </c>
      <c r="B25" s="49">
        <f>(360-Simulador!$B$7)+$A25*((540+Simulador!$B$8)-(360-Simulador!$B$7))</f>
        <v/>
      </c>
      <c r="C25" s="49">
        <f>1.0*SIN(RADIANS(B25-360))</f>
        <v/>
      </c>
      <c r="D25" s="49">
        <f>1.0*COS(RADIANS(B25-360))</f>
        <v/>
      </c>
      <c r="E25" s="49">
        <f>(540+Simulador!$B$8)+$A25*((720-'Diagrama circular'!$B$9)-(540+Simulador!$B$8))</f>
        <v/>
      </c>
      <c r="F25" s="49">
        <f>0.88*SIN(RADIANS(E25-360))</f>
        <v/>
      </c>
      <c r="G25" s="49">
        <f>0.88*COS(RADIANS(E25-360))</f>
        <v/>
      </c>
      <c r="H25" s="49">
        <f>(720-'Diagrama circular'!$B$9)+$A25*((720)-(720-'Diagrama circular'!$B$9))</f>
        <v/>
      </c>
      <c r="I25" s="49">
        <f>0.88*SIN(RADIANS(H25-360))</f>
        <v/>
      </c>
      <c r="J25" s="49">
        <f>0.88*COS(RADIANS(H25-360))</f>
        <v/>
      </c>
      <c r="K25" s="49">
        <f>(720)+$A25*((900-Simulador!$B$5)-(720))</f>
        <v/>
      </c>
      <c r="L25" s="49">
        <f>0.76*SIN(RADIANS(K25-360))</f>
        <v/>
      </c>
      <c r="M25" s="49">
        <f>0.76*COS(RADIANS(K25-360))</f>
        <v/>
      </c>
      <c r="N25" s="49">
        <f>(900-Simulador!$B$5)+$A25*((1080+Simulador!$B$6)-(900-Simulador!$B$5))</f>
        <v/>
      </c>
      <c r="O25" s="49">
        <f>0.64*SIN(RADIANS(N25-360))</f>
        <v/>
      </c>
      <c r="P25" s="49">
        <f>0.64*COS(RADIANS(N25-360))</f>
        <v/>
      </c>
      <c r="Q25" s="49">
        <f>(360-Simulador!$B$7)+$A25*((360+Simulador!$B$6)-(360-Simulador!$B$7))</f>
        <v/>
      </c>
      <c r="R25" s="49">
        <f>0.42*SIN(RADIANS(Q25-360))</f>
        <v/>
      </c>
      <c r="S25" s="49">
        <f>0.42*COS(RADIANS(Q25-360))</f>
        <v/>
      </c>
      <c r="X25">
        <f>Z4</f>
        <v/>
      </c>
      <c r="Y25">
        <f>AA4</f>
        <v/>
      </c>
      <c r="AN25">
        <f>1.0*SIN(RADIANS((360+$A25*180)-360))</f>
        <v/>
      </c>
      <c r="AO25">
        <f>1.0*COS(RADIANS((360+$A25*180)-360))</f>
        <v/>
      </c>
      <c r="AP25">
        <f>0.9*SIN(RADIANS((540+$A25*180)-360))</f>
        <v/>
      </c>
      <c r="AQ25">
        <f>0.9*COS(RADIANS((540+$A25*180)-360))</f>
        <v/>
      </c>
      <c r="AR25">
        <f>0.8*SIN(RADIANS((720+$A25*180)-360))</f>
        <v/>
      </c>
      <c r="AS25">
        <f>0.8*COS(RADIANS((720+$A25*180)-360))</f>
        <v/>
      </c>
      <c r="AT25">
        <f>0.7*SIN(RADIANS((900+$A25*180)-360))</f>
        <v/>
      </c>
      <c r="AU25">
        <f>0.7*COS(RADIANS((900+$A25*180)-360))</f>
        <v/>
      </c>
    </row>
    <row r="26">
      <c r="A26" s="26">
        <f>24/60</f>
        <v/>
      </c>
      <c r="B26" s="49">
        <f>(360-Simulador!$B$7)+$A26*((540+Simulador!$B$8)-(360-Simulador!$B$7))</f>
        <v/>
      </c>
      <c r="C26" s="49">
        <f>1.0*SIN(RADIANS(B26-360))</f>
        <v/>
      </c>
      <c r="D26" s="49">
        <f>1.0*COS(RADIANS(B26-360))</f>
        <v/>
      </c>
      <c r="E26" s="49">
        <f>(540+Simulador!$B$8)+$A26*((720-'Diagrama circular'!$B$9)-(540+Simulador!$B$8))</f>
        <v/>
      </c>
      <c r="F26" s="49">
        <f>0.88*SIN(RADIANS(E26-360))</f>
        <v/>
      </c>
      <c r="G26" s="49">
        <f>0.88*COS(RADIANS(E26-360))</f>
        <v/>
      </c>
      <c r="H26" s="49">
        <f>(720-'Diagrama circular'!$B$9)+$A26*((720)-(720-'Diagrama circular'!$B$9))</f>
        <v/>
      </c>
      <c r="I26" s="49">
        <f>0.88*SIN(RADIANS(H26-360))</f>
        <v/>
      </c>
      <c r="J26" s="49">
        <f>0.88*COS(RADIANS(H26-360))</f>
        <v/>
      </c>
      <c r="K26" s="49">
        <f>(720)+$A26*((900-Simulador!$B$5)-(720))</f>
        <v/>
      </c>
      <c r="L26" s="49">
        <f>0.76*SIN(RADIANS(K26-360))</f>
        <v/>
      </c>
      <c r="M26" s="49">
        <f>0.76*COS(RADIANS(K26-360))</f>
        <v/>
      </c>
      <c r="N26" s="49">
        <f>(900-Simulador!$B$5)+$A26*((1080+Simulador!$B$6)-(900-Simulador!$B$5))</f>
        <v/>
      </c>
      <c r="O26" s="49">
        <f>0.64*SIN(RADIANS(N26-360))</f>
        <v/>
      </c>
      <c r="P26" s="49">
        <f>0.64*COS(RADIANS(N26-360))</f>
        <v/>
      </c>
      <c r="Q26" s="49">
        <f>(360-Simulador!$B$7)+$A26*((360+Simulador!$B$6)-(360-Simulador!$B$7))</f>
        <v/>
      </c>
      <c r="R26" s="49">
        <f>0.42*SIN(RADIANS(Q26-360))</f>
        <v/>
      </c>
      <c r="S26" s="49">
        <f>0.42*COS(RADIANS(Q26-360))</f>
        <v/>
      </c>
      <c r="V26" t="inlineStr">
        <is>
          <t>AAE rayo</t>
        </is>
      </c>
      <c r="X26" t="n">
        <v>0</v>
      </c>
      <c r="Y26" t="n">
        <v>0</v>
      </c>
      <c r="AN26">
        <f>1.0*SIN(RADIANS((360+$A26*180)-360))</f>
        <v/>
      </c>
      <c r="AO26">
        <f>1.0*COS(RADIANS((360+$A26*180)-360))</f>
        <v/>
      </c>
      <c r="AP26">
        <f>0.9*SIN(RADIANS((540+$A26*180)-360))</f>
        <v/>
      </c>
      <c r="AQ26">
        <f>0.9*COS(RADIANS((540+$A26*180)-360))</f>
        <v/>
      </c>
      <c r="AR26">
        <f>0.8*SIN(RADIANS((720+$A26*180)-360))</f>
        <v/>
      </c>
      <c r="AS26">
        <f>0.8*COS(RADIANS((720+$A26*180)-360))</f>
        <v/>
      </c>
      <c r="AT26">
        <f>0.7*SIN(RADIANS((900+$A26*180)-360))</f>
        <v/>
      </c>
      <c r="AU26">
        <f>0.7*COS(RADIANS((900+$A26*180)-360))</f>
        <v/>
      </c>
    </row>
    <row r="27">
      <c r="A27" s="26">
        <f>25/60</f>
        <v/>
      </c>
      <c r="B27" s="49">
        <f>(360-Simulador!$B$7)+$A27*((540+Simulador!$B$8)-(360-Simulador!$B$7))</f>
        <v/>
      </c>
      <c r="C27" s="49">
        <f>1.0*SIN(RADIANS(B27-360))</f>
        <v/>
      </c>
      <c r="D27" s="49">
        <f>1.0*COS(RADIANS(B27-360))</f>
        <v/>
      </c>
      <c r="E27" s="49">
        <f>(540+Simulador!$B$8)+$A27*((720-'Diagrama circular'!$B$9)-(540+Simulador!$B$8))</f>
        <v/>
      </c>
      <c r="F27" s="49">
        <f>0.88*SIN(RADIANS(E27-360))</f>
        <v/>
      </c>
      <c r="G27" s="49">
        <f>0.88*COS(RADIANS(E27-360))</f>
        <v/>
      </c>
      <c r="H27" s="49">
        <f>(720-'Diagrama circular'!$B$9)+$A27*((720)-(720-'Diagrama circular'!$B$9))</f>
        <v/>
      </c>
      <c r="I27" s="49">
        <f>0.88*SIN(RADIANS(H27-360))</f>
        <v/>
      </c>
      <c r="J27" s="49">
        <f>0.88*COS(RADIANS(H27-360))</f>
        <v/>
      </c>
      <c r="K27" s="49">
        <f>(720)+$A27*((900-Simulador!$B$5)-(720))</f>
        <v/>
      </c>
      <c r="L27" s="49">
        <f>0.76*SIN(RADIANS(K27-360))</f>
        <v/>
      </c>
      <c r="M27" s="49">
        <f>0.76*COS(RADIANS(K27-360))</f>
        <v/>
      </c>
      <c r="N27" s="49">
        <f>(900-Simulador!$B$5)+$A27*((1080+Simulador!$B$6)-(900-Simulador!$B$5))</f>
        <v/>
      </c>
      <c r="O27" s="49">
        <f>0.64*SIN(RADIANS(N27-360))</f>
        <v/>
      </c>
      <c r="P27" s="49">
        <f>0.64*COS(RADIANS(N27-360))</f>
        <v/>
      </c>
      <c r="Q27" s="49">
        <f>(360-Simulador!$B$7)+$A27*((360+Simulador!$B$6)-(360-Simulador!$B$7))</f>
        <v/>
      </c>
      <c r="R27" s="49">
        <f>0.42*SIN(RADIANS(Q27-360))</f>
        <v/>
      </c>
      <c r="S27" s="49">
        <f>0.42*COS(RADIANS(Q27-360))</f>
        <v/>
      </c>
      <c r="X27">
        <f>Z5</f>
        <v/>
      </c>
      <c r="Y27">
        <f>AA5</f>
        <v/>
      </c>
      <c r="AN27">
        <f>1.0*SIN(RADIANS((360+$A27*180)-360))</f>
        <v/>
      </c>
      <c r="AO27">
        <f>1.0*COS(RADIANS((360+$A27*180)-360))</f>
        <v/>
      </c>
      <c r="AP27">
        <f>0.9*SIN(RADIANS((540+$A27*180)-360))</f>
        <v/>
      </c>
      <c r="AQ27">
        <f>0.9*COS(RADIANS((540+$A27*180)-360))</f>
        <v/>
      </c>
      <c r="AR27">
        <f>0.8*SIN(RADIANS((720+$A27*180)-360))</f>
        <v/>
      </c>
      <c r="AS27">
        <f>0.8*COS(RADIANS((720+$A27*180)-360))</f>
        <v/>
      </c>
      <c r="AT27">
        <f>0.7*SIN(RADIANS((900+$A27*180)-360))</f>
        <v/>
      </c>
      <c r="AU27">
        <f>0.7*COS(RADIANS((900+$A27*180)-360))</f>
        <v/>
      </c>
    </row>
    <row r="28">
      <c r="A28" s="26">
        <f>26/60</f>
        <v/>
      </c>
      <c r="B28" s="49">
        <f>(360-Simulador!$B$7)+$A28*((540+Simulador!$B$8)-(360-Simulador!$B$7))</f>
        <v/>
      </c>
      <c r="C28" s="49">
        <f>1.0*SIN(RADIANS(B28-360))</f>
        <v/>
      </c>
      <c r="D28" s="49">
        <f>1.0*COS(RADIANS(B28-360))</f>
        <v/>
      </c>
      <c r="E28" s="49">
        <f>(540+Simulador!$B$8)+$A28*((720-'Diagrama circular'!$B$9)-(540+Simulador!$B$8))</f>
        <v/>
      </c>
      <c r="F28" s="49">
        <f>0.88*SIN(RADIANS(E28-360))</f>
        <v/>
      </c>
      <c r="G28" s="49">
        <f>0.88*COS(RADIANS(E28-360))</f>
        <v/>
      </c>
      <c r="H28" s="49">
        <f>(720-'Diagrama circular'!$B$9)+$A28*((720)-(720-'Diagrama circular'!$B$9))</f>
        <v/>
      </c>
      <c r="I28" s="49">
        <f>0.88*SIN(RADIANS(H28-360))</f>
        <v/>
      </c>
      <c r="J28" s="49">
        <f>0.88*COS(RADIANS(H28-360))</f>
        <v/>
      </c>
      <c r="K28" s="49">
        <f>(720)+$A28*((900-Simulador!$B$5)-(720))</f>
        <v/>
      </c>
      <c r="L28" s="49">
        <f>0.76*SIN(RADIANS(K28-360))</f>
        <v/>
      </c>
      <c r="M28" s="49">
        <f>0.76*COS(RADIANS(K28-360))</f>
        <v/>
      </c>
      <c r="N28" s="49">
        <f>(900-Simulador!$B$5)+$A28*((1080+Simulador!$B$6)-(900-Simulador!$B$5))</f>
        <v/>
      </c>
      <c r="O28" s="49">
        <f>0.64*SIN(RADIANS(N28-360))</f>
        <v/>
      </c>
      <c r="P28" s="49">
        <f>0.64*COS(RADIANS(N28-360))</f>
        <v/>
      </c>
      <c r="Q28" s="49">
        <f>(360-Simulador!$B$7)+$A28*((360+Simulador!$B$6)-(360-Simulador!$B$7))</f>
        <v/>
      </c>
      <c r="R28" s="49">
        <f>0.42*SIN(RADIANS(Q28-360))</f>
        <v/>
      </c>
      <c r="S28" s="49">
        <f>0.42*COS(RADIANS(Q28-360))</f>
        <v/>
      </c>
      <c r="V28" t="inlineStr">
        <is>
          <t>RCE rayo</t>
        </is>
      </c>
      <c r="X28" t="n">
        <v>0</v>
      </c>
      <c r="Y28" t="n">
        <v>0</v>
      </c>
      <c r="AN28">
        <f>1.0*SIN(RADIANS((360+$A28*180)-360))</f>
        <v/>
      </c>
      <c r="AO28">
        <f>1.0*COS(RADIANS((360+$A28*180)-360))</f>
        <v/>
      </c>
      <c r="AP28">
        <f>0.9*SIN(RADIANS((540+$A28*180)-360))</f>
        <v/>
      </c>
      <c r="AQ28">
        <f>0.9*COS(RADIANS((540+$A28*180)-360))</f>
        <v/>
      </c>
      <c r="AR28">
        <f>0.8*SIN(RADIANS((720+$A28*180)-360))</f>
        <v/>
      </c>
      <c r="AS28">
        <f>0.8*COS(RADIANS((720+$A28*180)-360))</f>
        <v/>
      </c>
      <c r="AT28">
        <f>0.7*SIN(RADIANS((900+$A28*180)-360))</f>
        <v/>
      </c>
      <c r="AU28">
        <f>0.7*COS(RADIANS((900+$A28*180)-360))</f>
        <v/>
      </c>
    </row>
    <row r="29">
      <c r="A29" s="26">
        <f>27/60</f>
        <v/>
      </c>
      <c r="B29" s="49">
        <f>(360-Simulador!$B$7)+$A29*((540+Simulador!$B$8)-(360-Simulador!$B$7))</f>
        <v/>
      </c>
      <c r="C29" s="49">
        <f>1.0*SIN(RADIANS(B29-360))</f>
        <v/>
      </c>
      <c r="D29" s="49">
        <f>1.0*COS(RADIANS(B29-360))</f>
        <v/>
      </c>
      <c r="E29" s="49">
        <f>(540+Simulador!$B$8)+$A29*((720-'Diagrama circular'!$B$9)-(540+Simulador!$B$8))</f>
        <v/>
      </c>
      <c r="F29" s="49">
        <f>0.88*SIN(RADIANS(E29-360))</f>
        <v/>
      </c>
      <c r="G29" s="49">
        <f>0.88*COS(RADIANS(E29-360))</f>
        <v/>
      </c>
      <c r="H29" s="49">
        <f>(720-'Diagrama circular'!$B$9)+$A29*((720)-(720-'Diagrama circular'!$B$9))</f>
        <v/>
      </c>
      <c r="I29" s="49">
        <f>0.88*SIN(RADIANS(H29-360))</f>
        <v/>
      </c>
      <c r="J29" s="49">
        <f>0.88*COS(RADIANS(H29-360))</f>
        <v/>
      </c>
      <c r="K29" s="49">
        <f>(720)+$A29*((900-Simulador!$B$5)-(720))</f>
        <v/>
      </c>
      <c r="L29" s="49">
        <f>0.76*SIN(RADIANS(K29-360))</f>
        <v/>
      </c>
      <c r="M29" s="49">
        <f>0.76*COS(RADIANS(K29-360))</f>
        <v/>
      </c>
      <c r="N29" s="49">
        <f>(900-Simulador!$B$5)+$A29*((1080+Simulador!$B$6)-(900-Simulador!$B$5))</f>
        <v/>
      </c>
      <c r="O29" s="49">
        <f>0.64*SIN(RADIANS(N29-360))</f>
        <v/>
      </c>
      <c r="P29" s="49">
        <f>0.64*COS(RADIANS(N29-360))</f>
        <v/>
      </c>
      <c r="Q29" s="49">
        <f>(360-Simulador!$B$7)+$A29*((360+Simulador!$B$6)-(360-Simulador!$B$7))</f>
        <v/>
      </c>
      <c r="R29" s="49">
        <f>0.42*SIN(RADIANS(Q29-360))</f>
        <v/>
      </c>
      <c r="S29" s="49">
        <f>0.42*COS(RADIANS(Q29-360))</f>
        <v/>
      </c>
      <c r="X29">
        <f>Z6</f>
        <v/>
      </c>
      <c r="Y29">
        <f>AA6</f>
        <v/>
      </c>
      <c r="AN29">
        <f>1.0*SIN(RADIANS((360+$A29*180)-360))</f>
        <v/>
      </c>
      <c r="AO29">
        <f>1.0*COS(RADIANS((360+$A29*180)-360))</f>
        <v/>
      </c>
      <c r="AP29">
        <f>0.9*SIN(RADIANS((540+$A29*180)-360))</f>
        <v/>
      </c>
      <c r="AQ29">
        <f>0.9*COS(RADIANS((540+$A29*180)-360))</f>
        <v/>
      </c>
      <c r="AR29">
        <f>0.8*SIN(RADIANS((720+$A29*180)-360))</f>
        <v/>
      </c>
      <c r="AS29">
        <f>0.8*COS(RADIANS((720+$A29*180)-360))</f>
        <v/>
      </c>
      <c r="AT29">
        <f>0.7*SIN(RADIANS((900+$A29*180)-360))</f>
        <v/>
      </c>
      <c r="AU29">
        <f>0.7*COS(RADIANS((900+$A29*180)-360))</f>
        <v/>
      </c>
    </row>
    <row r="30">
      <c r="A30" s="26">
        <f>28/60</f>
        <v/>
      </c>
      <c r="B30" s="49">
        <f>(360-Simulador!$B$7)+$A30*((540+Simulador!$B$8)-(360-Simulador!$B$7))</f>
        <v/>
      </c>
      <c r="C30" s="49">
        <f>1.0*SIN(RADIANS(B30-360))</f>
        <v/>
      </c>
      <c r="D30" s="49">
        <f>1.0*COS(RADIANS(B30-360))</f>
        <v/>
      </c>
      <c r="E30" s="49">
        <f>(540+Simulador!$B$8)+$A30*((720-'Diagrama circular'!$B$9)-(540+Simulador!$B$8))</f>
        <v/>
      </c>
      <c r="F30" s="49">
        <f>0.88*SIN(RADIANS(E30-360))</f>
        <v/>
      </c>
      <c r="G30" s="49">
        <f>0.88*COS(RADIANS(E30-360))</f>
        <v/>
      </c>
      <c r="H30" s="49">
        <f>(720-'Diagrama circular'!$B$9)+$A30*((720)-(720-'Diagrama circular'!$B$9))</f>
        <v/>
      </c>
      <c r="I30" s="49">
        <f>0.88*SIN(RADIANS(H30-360))</f>
        <v/>
      </c>
      <c r="J30" s="49">
        <f>0.88*COS(RADIANS(H30-360))</f>
        <v/>
      </c>
      <c r="K30" s="49">
        <f>(720)+$A30*((900-Simulador!$B$5)-(720))</f>
        <v/>
      </c>
      <c r="L30" s="49">
        <f>0.76*SIN(RADIANS(K30-360))</f>
        <v/>
      </c>
      <c r="M30" s="49">
        <f>0.76*COS(RADIANS(K30-360))</f>
        <v/>
      </c>
      <c r="N30" s="49">
        <f>(900-Simulador!$B$5)+$A30*((1080+Simulador!$B$6)-(900-Simulador!$B$5))</f>
        <v/>
      </c>
      <c r="O30" s="49">
        <f>0.64*SIN(RADIANS(N30-360))</f>
        <v/>
      </c>
      <c r="P30" s="49">
        <f>0.64*COS(RADIANS(N30-360))</f>
        <v/>
      </c>
      <c r="Q30" s="49">
        <f>(360-Simulador!$B$7)+$A30*((360+Simulador!$B$6)-(360-Simulador!$B$7))</f>
        <v/>
      </c>
      <c r="R30" s="49">
        <f>0.42*SIN(RADIANS(Q30-360))</f>
        <v/>
      </c>
      <c r="S30" s="49">
        <f>0.42*COS(RADIANS(Q30-360))</f>
        <v/>
      </c>
      <c r="AN30">
        <f>1.0*SIN(RADIANS((360+$A30*180)-360))</f>
        <v/>
      </c>
      <c r="AO30">
        <f>1.0*COS(RADIANS((360+$A30*180)-360))</f>
        <v/>
      </c>
      <c r="AP30">
        <f>0.9*SIN(RADIANS((540+$A30*180)-360))</f>
        <v/>
      </c>
      <c r="AQ30">
        <f>0.9*COS(RADIANS((540+$A30*180)-360))</f>
        <v/>
      </c>
      <c r="AR30">
        <f>0.8*SIN(RADIANS((720+$A30*180)-360))</f>
        <v/>
      </c>
      <c r="AS30">
        <f>0.8*COS(RADIANS((720+$A30*180)-360))</f>
        <v/>
      </c>
      <c r="AT30">
        <f>0.7*SIN(RADIANS((900+$A30*180)-360))</f>
        <v/>
      </c>
      <c r="AU30">
        <f>0.7*COS(RADIANS((900+$A30*180)-360))</f>
        <v/>
      </c>
    </row>
    <row r="31">
      <c r="A31" s="26">
        <f>29/60</f>
        <v/>
      </c>
      <c r="B31" s="49">
        <f>(360-Simulador!$B$7)+$A31*((540+Simulador!$B$8)-(360-Simulador!$B$7))</f>
        <v/>
      </c>
      <c r="C31" s="49">
        <f>1.0*SIN(RADIANS(B31-360))</f>
        <v/>
      </c>
      <c r="D31" s="49">
        <f>1.0*COS(RADIANS(B31-360))</f>
        <v/>
      </c>
      <c r="E31" s="49">
        <f>(540+Simulador!$B$8)+$A31*((720-'Diagrama circular'!$B$9)-(540+Simulador!$B$8))</f>
        <v/>
      </c>
      <c r="F31" s="49">
        <f>0.88*SIN(RADIANS(E31-360))</f>
        <v/>
      </c>
      <c r="G31" s="49">
        <f>0.88*COS(RADIANS(E31-360))</f>
        <v/>
      </c>
      <c r="H31" s="49">
        <f>(720-'Diagrama circular'!$B$9)+$A31*((720)-(720-'Diagrama circular'!$B$9))</f>
        <v/>
      </c>
      <c r="I31" s="49">
        <f>0.88*SIN(RADIANS(H31-360))</f>
        <v/>
      </c>
      <c r="J31" s="49">
        <f>0.88*COS(RADIANS(H31-360))</f>
        <v/>
      </c>
      <c r="K31" s="49">
        <f>(720)+$A31*((900-Simulador!$B$5)-(720))</f>
        <v/>
      </c>
      <c r="L31" s="49">
        <f>0.76*SIN(RADIANS(K31-360))</f>
        <v/>
      </c>
      <c r="M31" s="49">
        <f>0.76*COS(RADIANS(K31-360))</f>
        <v/>
      </c>
      <c r="N31" s="49">
        <f>(900-Simulador!$B$5)+$A31*((1080+Simulador!$B$6)-(900-Simulador!$B$5))</f>
        <v/>
      </c>
      <c r="O31" s="49">
        <f>0.64*SIN(RADIANS(N31-360))</f>
        <v/>
      </c>
      <c r="P31" s="49">
        <f>0.64*COS(RADIANS(N31-360))</f>
        <v/>
      </c>
      <c r="Q31" s="49">
        <f>(360-Simulador!$B$7)+$A31*((360+Simulador!$B$6)-(360-Simulador!$B$7))</f>
        <v/>
      </c>
      <c r="R31" s="49">
        <f>0.42*SIN(RADIANS(Q31-360))</f>
        <v/>
      </c>
      <c r="S31" s="49">
        <f>0.42*COS(RADIANS(Q31-360))</f>
        <v/>
      </c>
      <c r="AN31">
        <f>1.0*SIN(RADIANS((360+$A31*180)-360))</f>
        <v/>
      </c>
      <c r="AO31">
        <f>1.0*COS(RADIANS((360+$A31*180)-360))</f>
        <v/>
      </c>
      <c r="AP31">
        <f>0.9*SIN(RADIANS((540+$A31*180)-360))</f>
        <v/>
      </c>
      <c r="AQ31">
        <f>0.9*COS(RADIANS((540+$A31*180)-360))</f>
        <v/>
      </c>
      <c r="AR31">
        <f>0.8*SIN(RADIANS((720+$A31*180)-360))</f>
        <v/>
      </c>
      <c r="AS31">
        <f>0.8*COS(RADIANS((720+$A31*180)-360))</f>
        <v/>
      </c>
      <c r="AT31">
        <f>0.7*SIN(RADIANS((900+$A31*180)-360))</f>
        <v/>
      </c>
      <c r="AU31">
        <f>0.7*COS(RADIANS((900+$A31*180)-360))</f>
        <v/>
      </c>
    </row>
    <row r="32">
      <c r="A32" s="26">
        <f>30/60</f>
        <v/>
      </c>
      <c r="B32" s="49">
        <f>(360-Simulador!$B$7)+$A32*((540+Simulador!$B$8)-(360-Simulador!$B$7))</f>
        <v/>
      </c>
      <c r="C32" s="49">
        <f>1.0*SIN(RADIANS(B32-360))</f>
        <v/>
      </c>
      <c r="D32" s="49">
        <f>1.0*COS(RADIANS(B32-360))</f>
        <v/>
      </c>
      <c r="E32" s="49">
        <f>(540+Simulador!$B$8)+$A32*((720-'Diagrama circular'!$B$9)-(540+Simulador!$B$8))</f>
        <v/>
      </c>
      <c r="F32" s="49">
        <f>0.88*SIN(RADIANS(E32-360))</f>
        <v/>
      </c>
      <c r="G32" s="49">
        <f>0.88*COS(RADIANS(E32-360))</f>
        <v/>
      </c>
      <c r="H32" s="49">
        <f>(720-'Diagrama circular'!$B$9)+$A32*((720)-(720-'Diagrama circular'!$B$9))</f>
        <v/>
      </c>
      <c r="I32" s="49">
        <f>0.88*SIN(RADIANS(H32-360))</f>
        <v/>
      </c>
      <c r="J32" s="49">
        <f>0.88*COS(RADIANS(H32-360))</f>
        <v/>
      </c>
      <c r="K32" s="49">
        <f>(720)+$A32*((900-Simulador!$B$5)-(720))</f>
        <v/>
      </c>
      <c r="L32" s="49">
        <f>0.76*SIN(RADIANS(K32-360))</f>
        <v/>
      </c>
      <c r="M32" s="49">
        <f>0.76*COS(RADIANS(K32-360))</f>
        <v/>
      </c>
      <c r="N32" s="49">
        <f>(900-Simulador!$B$5)+$A32*((1080+Simulador!$B$6)-(900-Simulador!$B$5))</f>
        <v/>
      </c>
      <c r="O32" s="49">
        <f>0.64*SIN(RADIANS(N32-360))</f>
        <v/>
      </c>
      <c r="P32" s="49">
        <f>0.64*COS(RADIANS(N32-360))</f>
        <v/>
      </c>
      <c r="Q32" s="49">
        <f>(360-Simulador!$B$7)+$A32*((360+Simulador!$B$6)-(360-Simulador!$B$7))</f>
        <v/>
      </c>
      <c r="R32" s="49">
        <f>0.42*SIN(RADIANS(Q32-360))</f>
        <v/>
      </c>
      <c r="S32" s="49">
        <f>0.42*COS(RADIANS(Q32-360))</f>
        <v/>
      </c>
      <c r="AN32">
        <f>1.0*SIN(RADIANS((360+$A32*180)-360))</f>
        <v/>
      </c>
      <c r="AO32">
        <f>1.0*COS(RADIANS((360+$A32*180)-360))</f>
        <v/>
      </c>
      <c r="AP32">
        <f>0.9*SIN(RADIANS((540+$A32*180)-360))</f>
        <v/>
      </c>
      <c r="AQ32">
        <f>0.9*COS(RADIANS((540+$A32*180)-360))</f>
        <v/>
      </c>
      <c r="AR32">
        <f>0.8*SIN(RADIANS((720+$A32*180)-360))</f>
        <v/>
      </c>
      <c r="AS32">
        <f>0.8*COS(RADIANS((720+$A32*180)-360))</f>
        <v/>
      </c>
      <c r="AT32">
        <f>0.7*SIN(RADIANS((900+$A32*180)-360))</f>
        <v/>
      </c>
      <c r="AU32">
        <f>0.7*COS(RADIANS((900+$A32*180)-360))</f>
        <v/>
      </c>
    </row>
    <row r="33">
      <c r="A33" s="26">
        <f>31/60</f>
        <v/>
      </c>
      <c r="B33" s="49">
        <f>(360-Simulador!$B$7)+$A33*((540+Simulador!$B$8)-(360-Simulador!$B$7))</f>
        <v/>
      </c>
      <c r="C33" s="49">
        <f>1.0*SIN(RADIANS(B33-360))</f>
        <v/>
      </c>
      <c r="D33" s="49">
        <f>1.0*COS(RADIANS(B33-360))</f>
        <v/>
      </c>
      <c r="E33" s="49">
        <f>(540+Simulador!$B$8)+$A33*((720-'Diagrama circular'!$B$9)-(540+Simulador!$B$8))</f>
        <v/>
      </c>
      <c r="F33" s="49">
        <f>0.88*SIN(RADIANS(E33-360))</f>
        <v/>
      </c>
      <c r="G33" s="49">
        <f>0.88*COS(RADIANS(E33-360))</f>
        <v/>
      </c>
      <c r="H33" s="49">
        <f>(720-'Diagrama circular'!$B$9)+$A33*((720)-(720-'Diagrama circular'!$B$9))</f>
        <v/>
      </c>
      <c r="I33" s="49">
        <f>0.88*SIN(RADIANS(H33-360))</f>
        <v/>
      </c>
      <c r="J33" s="49">
        <f>0.88*COS(RADIANS(H33-360))</f>
        <v/>
      </c>
      <c r="K33" s="49">
        <f>(720)+$A33*((900-Simulador!$B$5)-(720))</f>
        <v/>
      </c>
      <c r="L33" s="49">
        <f>0.76*SIN(RADIANS(K33-360))</f>
        <v/>
      </c>
      <c r="M33" s="49">
        <f>0.76*COS(RADIANS(K33-360))</f>
        <v/>
      </c>
      <c r="N33" s="49">
        <f>(900-Simulador!$B$5)+$A33*((1080+Simulador!$B$6)-(900-Simulador!$B$5))</f>
        <v/>
      </c>
      <c r="O33" s="49">
        <f>0.64*SIN(RADIANS(N33-360))</f>
        <v/>
      </c>
      <c r="P33" s="49">
        <f>0.64*COS(RADIANS(N33-360))</f>
        <v/>
      </c>
      <c r="Q33" s="49">
        <f>(360-Simulador!$B$7)+$A33*((360+Simulador!$B$6)-(360-Simulador!$B$7))</f>
        <v/>
      </c>
      <c r="R33" s="49">
        <f>0.42*SIN(RADIANS(Q33-360))</f>
        <v/>
      </c>
      <c r="S33" s="49">
        <f>0.42*COS(RADIANS(Q33-360))</f>
        <v/>
      </c>
      <c r="AN33">
        <f>1.0*SIN(RADIANS((360+$A33*180)-360))</f>
        <v/>
      </c>
      <c r="AO33">
        <f>1.0*COS(RADIANS((360+$A33*180)-360))</f>
        <v/>
      </c>
      <c r="AP33">
        <f>0.9*SIN(RADIANS((540+$A33*180)-360))</f>
        <v/>
      </c>
      <c r="AQ33">
        <f>0.9*COS(RADIANS((540+$A33*180)-360))</f>
        <v/>
      </c>
      <c r="AR33">
        <f>0.8*SIN(RADIANS((720+$A33*180)-360))</f>
        <v/>
      </c>
      <c r="AS33">
        <f>0.8*COS(RADIANS((720+$A33*180)-360))</f>
        <v/>
      </c>
      <c r="AT33">
        <f>0.7*SIN(RADIANS((900+$A33*180)-360))</f>
        <v/>
      </c>
      <c r="AU33">
        <f>0.7*COS(RADIANS((900+$A33*180)-360))</f>
        <v/>
      </c>
    </row>
    <row r="34">
      <c r="A34" s="26">
        <f>32/60</f>
        <v/>
      </c>
      <c r="B34" s="49">
        <f>(360-Simulador!$B$7)+$A34*((540+Simulador!$B$8)-(360-Simulador!$B$7))</f>
        <v/>
      </c>
      <c r="C34" s="49">
        <f>1.0*SIN(RADIANS(B34-360))</f>
        <v/>
      </c>
      <c r="D34" s="49">
        <f>1.0*COS(RADIANS(B34-360))</f>
        <v/>
      </c>
      <c r="E34" s="49">
        <f>(540+Simulador!$B$8)+$A34*((720-'Diagrama circular'!$B$9)-(540+Simulador!$B$8))</f>
        <v/>
      </c>
      <c r="F34" s="49">
        <f>0.88*SIN(RADIANS(E34-360))</f>
        <v/>
      </c>
      <c r="G34" s="49">
        <f>0.88*COS(RADIANS(E34-360))</f>
        <v/>
      </c>
      <c r="H34" s="49">
        <f>(720-'Diagrama circular'!$B$9)+$A34*((720)-(720-'Diagrama circular'!$B$9))</f>
        <v/>
      </c>
      <c r="I34" s="49">
        <f>0.88*SIN(RADIANS(H34-360))</f>
        <v/>
      </c>
      <c r="J34" s="49">
        <f>0.88*COS(RADIANS(H34-360))</f>
        <v/>
      </c>
      <c r="K34" s="49">
        <f>(720)+$A34*((900-Simulador!$B$5)-(720))</f>
        <v/>
      </c>
      <c r="L34" s="49">
        <f>0.76*SIN(RADIANS(K34-360))</f>
        <v/>
      </c>
      <c r="M34" s="49">
        <f>0.76*COS(RADIANS(K34-360))</f>
        <v/>
      </c>
      <c r="N34" s="49">
        <f>(900-Simulador!$B$5)+$A34*((1080+Simulador!$B$6)-(900-Simulador!$B$5))</f>
        <v/>
      </c>
      <c r="O34" s="49">
        <f>0.64*SIN(RADIANS(N34-360))</f>
        <v/>
      </c>
      <c r="P34" s="49">
        <f>0.64*COS(RADIANS(N34-360))</f>
        <v/>
      </c>
      <c r="Q34" s="49">
        <f>(360-Simulador!$B$7)+$A34*((360+Simulador!$B$6)-(360-Simulador!$B$7))</f>
        <v/>
      </c>
      <c r="R34" s="49">
        <f>0.42*SIN(RADIANS(Q34-360))</f>
        <v/>
      </c>
      <c r="S34" s="49">
        <f>0.42*COS(RADIANS(Q34-360))</f>
        <v/>
      </c>
      <c r="AN34">
        <f>1.0*SIN(RADIANS((360+$A34*180)-360))</f>
        <v/>
      </c>
      <c r="AO34">
        <f>1.0*COS(RADIANS((360+$A34*180)-360))</f>
        <v/>
      </c>
      <c r="AP34">
        <f>0.9*SIN(RADIANS((540+$A34*180)-360))</f>
        <v/>
      </c>
      <c r="AQ34">
        <f>0.9*COS(RADIANS((540+$A34*180)-360))</f>
        <v/>
      </c>
      <c r="AR34">
        <f>0.8*SIN(RADIANS((720+$A34*180)-360))</f>
        <v/>
      </c>
      <c r="AS34">
        <f>0.8*COS(RADIANS((720+$A34*180)-360))</f>
        <v/>
      </c>
      <c r="AT34">
        <f>0.7*SIN(RADIANS((900+$A34*180)-360))</f>
        <v/>
      </c>
      <c r="AU34">
        <f>0.7*COS(RADIANS((900+$A34*180)-360))</f>
        <v/>
      </c>
    </row>
    <row r="35">
      <c r="A35" s="26">
        <f>33/60</f>
        <v/>
      </c>
      <c r="B35" s="49">
        <f>(360-Simulador!$B$7)+$A35*((540+Simulador!$B$8)-(360-Simulador!$B$7))</f>
        <v/>
      </c>
      <c r="C35" s="49">
        <f>1.0*SIN(RADIANS(B35-360))</f>
        <v/>
      </c>
      <c r="D35" s="49">
        <f>1.0*COS(RADIANS(B35-360))</f>
        <v/>
      </c>
      <c r="E35" s="49">
        <f>(540+Simulador!$B$8)+$A35*((720-'Diagrama circular'!$B$9)-(540+Simulador!$B$8))</f>
        <v/>
      </c>
      <c r="F35" s="49">
        <f>0.88*SIN(RADIANS(E35-360))</f>
        <v/>
      </c>
      <c r="G35" s="49">
        <f>0.88*COS(RADIANS(E35-360))</f>
        <v/>
      </c>
      <c r="H35" s="49">
        <f>(720-'Diagrama circular'!$B$9)+$A35*((720)-(720-'Diagrama circular'!$B$9))</f>
        <v/>
      </c>
      <c r="I35" s="49">
        <f>0.88*SIN(RADIANS(H35-360))</f>
        <v/>
      </c>
      <c r="J35" s="49">
        <f>0.88*COS(RADIANS(H35-360))</f>
        <v/>
      </c>
      <c r="K35" s="49">
        <f>(720)+$A35*((900-Simulador!$B$5)-(720))</f>
        <v/>
      </c>
      <c r="L35" s="49">
        <f>0.76*SIN(RADIANS(K35-360))</f>
        <v/>
      </c>
      <c r="M35" s="49">
        <f>0.76*COS(RADIANS(K35-360))</f>
        <v/>
      </c>
      <c r="N35" s="49">
        <f>(900-Simulador!$B$5)+$A35*((1080+Simulador!$B$6)-(900-Simulador!$B$5))</f>
        <v/>
      </c>
      <c r="O35" s="49">
        <f>0.64*SIN(RADIANS(N35-360))</f>
        <v/>
      </c>
      <c r="P35" s="49">
        <f>0.64*COS(RADIANS(N35-360))</f>
        <v/>
      </c>
      <c r="Q35" s="49">
        <f>(360-Simulador!$B$7)+$A35*((360+Simulador!$B$6)-(360-Simulador!$B$7))</f>
        <v/>
      </c>
      <c r="R35" s="49">
        <f>0.42*SIN(RADIANS(Q35-360))</f>
        <v/>
      </c>
      <c r="S35" s="49">
        <f>0.42*COS(RADIANS(Q35-360))</f>
        <v/>
      </c>
      <c r="AN35">
        <f>1.0*SIN(RADIANS((360+$A35*180)-360))</f>
        <v/>
      </c>
      <c r="AO35">
        <f>1.0*COS(RADIANS((360+$A35*180)-360))</f>
        <v/>
      </c>
      <c r="AP35">
        <f>0.9*SIN(RADIANS((540+$A35*180)-360))</f>
        <v/>
      </c>
      <c r="AQ35">
        <f>0.9*COS(RADIANS((540+$A35*180)-360))</f>
        <v/>
      </c>
      <c r="AR35">
        <f>0.8*SIN(RADIANS((720+$A35*180)-360))</f>
        <v/>
      </c>
      <c r="AS35">
        <f>0.8*COS(RADIANS((720+$A35*180)-360))</f>
        <v/>
      </c>
      <c r="AT35">
        <f>0.7*SIN(RADIANS((900+$A35*180)-360))</f>
        <v/>
      </c>
      <c r="AU35">
        <f>0.7*COS(RADIANS((900+$A35*180)-360))</f>
        <v/>
      </c>
    </row>
    <row r="36">
      <c r="A36" s="26">
        <f>34/60</f>
        <v/>
      </c>
      <c r="B36" s="49">
        <f>(360-Simulador!$B$7)+$A36*((540+Simulador!$B$8)-(360-Simulador!$B$7))</f>
        <v/>
      </c>
      <c r="C36" s="49">
        <f>1.0*SIN(RADIANS(B36-360))</f>
        <v/>
      </c>
      <c r="D36" s="49">
        <f>1.0*COS(RADIANS(B36-360))</f>
        <v/>
      </c>
      <c r="E36" s="49">
        <f>(540+Simulador!$B$8)+$A36*((720-'Diagrama circular'!$B$9)-(540+Simulador!$B$8))</f>
        <v/>
      </c>
      <c r="F36" s="49">
        <f>0.88*SIN(RADIANS(E36-360))</f>
        <v/>
      </c>
      <c r="G36" s="49">
        <f>0.88*COS(RADIANS(E36-360))</f>
        <v/>
      </c>
      <c r="H36" s="49">
        <f>(720-'Diagrama circular'!$B$9)+$A36*((720)-(720-'Diagrama circular'!$B$9))</f>
        <v/>
      </c>
      <c r="I36" s="49">
        <f>0.88*SIN(RADIANS(H36-360))</f>
        <v/>
      </c>
      <c r="J36" s="49">
        <f>0.88*COS(RADIANS(H36-360))</f>
        <v/>
      </c>
      <c r="K36" s="49">
        <f>(720)+$A36*((900-Simulador!$B$5)-(720))</f>
        <v/>
      </c>
      <c r="L36" s="49">
        <f>0.76*SIN(RADIANS(K36-360))</f>
        <v/>
      </c>
      <c r="M36" s="49">
        <f>0.76*COS(RADIANS(K36-360))</f>
        <v/>
      </c>
      <c r="N36" s="49">
        <f>(900-Simulador!$B$5)+$A36*((1080+Simulador!$B$6)-(900-Simulador!$B$5))</f>
        <v/>
      </c>
      <c r="O36" s="49">
        <f>0.64*SIN(RADIANS(N36-360))</f>
        <v/>
      </c>
      <c r="P36" s="49">
        <f>0.64*COS(RADIANS(N36-360))</f>
        <v/>
      </c>
      <c r="Q36" s="49">
        <f>(360-Simulador!$B$7)+$A36*((360+Simulador!$B$6)-(360-Simulador!$B$7))</f>
        <v/>
      </c>
      <c r="R36" s="49">
        <f>0.42*SIN(RADIANS(Q36-360))</f>
        <v/>
      </c>
      <c r="S36" s="49">
        <f>0.42*COS(RADIANS(Q36-360))</f>
        <v/>
      </c>
      <c r="AN36">
        <f>1.0*SIN(RADIANS((360+$A36*180)-360))</f>
        <v/>
      </c>
      <c r="AO36">
        <f>1.0*COS(RADIANS((360+$A36*180)-360))</f>
        <v/>
      </c>
      <c r="AP36">
        <f>0.9*SIN(RADIANS((540+$A36*180)-360))</f>
        <v/>
      </c>
      <c r="AQ36">
        <f>0.9*COS(RADIANS((540+$A36*180)-360))</f>
        <v/>
      </c>
      <c r="AR36">
        <f>0.8*SIN(RADIANS((720+$A36*180)-360))</f>
        <v/>
      </c>
      <c r="AS36">
        <f>0.8*COS(RADIANS((720+$A36*180)-360))</f>
        <v/>
      </c>
      <c r="AT36">
        <f>0.7*SIN(RADIANS((900+$A36*180)-360))</f>
        <v/>
      </c>
      <c r="AU36">
        <f>0.7*COS(RADIANS((900+$A36*180)-360))</f>
        <v/>
      </c>
    </row>
    <row r="37">
      <c r="A37" s="26">
        <f>35/60</f>
        <v/>
      </c>
      <c r="B37" s="49">
        <f>(360-Simulador!$B$7)+$A37*((540+Simulador!$B$8)-(360-Simulador!$B$7))</f>
        <v/>
      </c>
      <c r="C37" s="49">
        <f>1.0*SIN(RADIANS(B37-360))</f>
        <v/>
      </c>
      <c r="D37" s="49">
        <f>1.0*COS(RADIANS(B37-360))</f>
        <v/>
      </c>
      <c r="E37" s="49">
        <f>(540+Simulador!$B$8)+$A37*((720-'Diagrama circular'!$B$9)-(540+Simulador!$B$8))</f>
        <v/>
      </c>
      <c r="F37" s="49">
        <f>0.88*SIN(RADIANS(E37-360))</f>
        <v/>
      </c>
      <c r="G37" s="49">
        <f>0.88*COS(RADIANS(E37-360))</f>
        <v/>
      </c>
      <c r="H37" s="49">
        <f>(720-'Diagrama circular'!$B$9)+$A37*((720)-(720-'Diagrama circular'!$B$9))</f>
        <v/>
      </c>
      <c r="I37" s="49">
        <f>0.88*SIN(RADIANS(H37-360))</f>
        <v/>
      </c>
      <c r="J37" s="49">
        <f>0.88*COS(RADIANS(H37-360))</f>
        <v/>
      </c>
      <c r="K37" s="49">
        <f>(720)+$A37*((900-Simulador!$B$5)-(720))</f>
        <v/>
      </c>
      <c r="L37" s="49">
        <f>0.76*SIN(RADIANS(K37-360))</f>
        <v/>
      </c>
      <c r="M37" s="49">
        <f>0.76*COS(RADIANS(K37-360))</f>
        <v/>
      </c>
      <c r="N37" s="49">
        <f>(900-Simulador!$B$5)+$A37*((1080+Simulador!$B$6)-(900-Simulador!$B$5))</f>
        <v/>
      </c>
      <c r="O37" s="49">
        <f>0.64*SIN(RADIANS(N37-360))</f>
        <v/>
      </c>
      <c r="P37" s="49">
        <f>0.64*COS(RADIANS(N37-360))</f>
        <v/>
      </c>
      <c r="Q37" s="49">
        <f>(360-Simulador!$B$7)+$A37*((360+Simulador!$B$6)-(360-Simulador!$B$7))</f>
        <v/>
      </c>
      <c r="R37" s="49">
        <f>0.42*SIN(RADIANS(Q37-360))</f>
        <v/>
      </c>
      <c r="S37" s="49">
        <f>0.42*COS(RADIANS(Q37-360))</f>
        <v/>
      </c>
      <c r="AN37">
        <f>1.0*SIN(RADIANS((360+$A37*180)-360))</f>
        <v/>
      </c>
      <c r="AO37">
        <f>1.0*COS(RADIANS((360+$A37*180)-360))</f>
        <v/>
      </c>
      <c r="AP37">
        <f>0.9*SIN(RADIANS((540+$A37*180)-360))</f>
        <v/>
      </c>
      <c r="AQ37">
        <f>0.9*COS(RADIANS((540+$A37*180)-360))</f>
        <v/>
      </c>
      <c r="AR37">
        <f>0.8*SIN(RADIANS((720+$A37*180)-360))</f>
        <v/>
      </c>
      <c r="AS37">
        <f>0.8*COS(RADIANS((720+$A37*180)-360))</f>
        <v/>
      </c>
      <c r="AT37">
        <f>0.7*SIN(RADIANS((900+$A37*180)-360))</f>
        <v/>
      </c>
      <c r="AU37">
        <f>0.7*COS(RADIANS((900+$A37*180)-360))</f>
        <v/>
      </c>
    </row>
    <row r="38">
      <c r="A38" s="26">
        <f>36/60</f>
        <v/>
      </c>
      <c r="B38" s="49">
        <f>(360-Simulador!$B$7)+$A38*((540+Simulador!$B$8)-(360-Simulador!$B$7))</f>
        <v/>
      </c>
      <c r="C38" s="49">
        <f>1.0*SIN(RADIANS(B38-360))</f>
        <v/>
      </c>
      <c r="D38" s="49">
        <f>1.0*COS(RADIANS(B38-360))</f>
        <v/>
      </c>
      <c r="E38" s="49">
        <f>(540+Simulador!$B$8)+$A38*((720-'Diagrama circular'!$B$9)-(540+Simulador!$B$8))</f>
        <v/>
      </c>
      <c r="F38" s="49">
        <f>0.88*SIN(RADIANS(E38-360))</f>
        <v/>
      </c>
      <c r="G38" s="49">
        <f>0.88*COS(RADIANS(E38-360))</f>
        <v/>
      </c>
      <c r="H38" s="49">
        <f>(720-'Diagrama circular'!$B$9)+$A38*((720)-(720-'Diagrama circular'!$B$9))</f>
        <v/>
      </c>
      <c r="I38" s="49">
        <f>0.88*SIN(RADIANS(H38-360))</f>
        <v/>
      </c>
      <c r="J38" s="49">
        <f>0.88*COS(RADIANS(H38-360))</f>
        <v/>
      </c>
      <c r="K38" s="49">
        <f>(720)+$A38*((900-Simulador!$B$5)-(720))</f>
        <v/>
      </c>
      <c r="L38" s="49">
        <f>0.76*SIN(RADIANS(K38-360))</f>
        <v/>
      </c>
      <c r="M38" s="49">
        <f>0.76*COS(RADIANS(K38-360))</f>
        <v/>
      </c>
      <c r="N38" s="49">
        <f>(900-Simulador!$B$5)+$A38*((1080+Simulador!$B$6)-(900-Simulador!$B$5))</f>
        <v/>
      </c>
      <c r="O38" s="49">
        <f>0.64*SIN(RADIANS(N38-360))</f>
        <v/>
      </c>
      <c r="P38" s="49">
        <f>0.64*COS(RADIANS(N38-360))</f>
        <v/>
      </c>
      <c r="Q38" s="49">
        <f>(360-Simulador!$B$7)+$A38*((360+Simulador!$B$6)-(360-Simulador!$B$7))</f>
        <v/>
      </c>
      <c r="R38" s="49">
        <f>0.42*SIN(RADIANS(Q38-360))</f>
        <v/>
      </c>
      <c r="S38" s="49">
        <f>0.42*COS(RADIANS(Q38-360))</f>
        <v/>
      </c>
      <c r="AN38">
        <f>1.0*SIN(RADIANS((360+$A38*180)-360))</f>
        <v/>
      </c>
      <c r="AO38">
        <f>1.0*COS(RADIANS((360+$A38*180)-360))</f>
        <v/>
      </c>
      <c r="AP38">
        <f>0.9*SIN(RADIANS((540+$A38*180)-360))</f>
        <v/>
      </c>
      <c r="AQ38">
        <f>0.9*COS(RADIANS((540+$A38*180)-360))</f>
        <v/>
      </c>
      <c r="AR38">
        <f>0.8*SIN(RADIANS((720+$A38*180)-360))</f>
        <v/>
      </c>
      <c r="AS38">
        <f>0.8*COS(RADIANS((720+$A38*180)-360))</f>
        <v/>
      </c>
      <c r="AT38">
        <f>0.7*SIN(RADIANS((900+$A38*180)-360))</f>
        <v/>
      </c>
      <c r="AU38">
        <f>0.7*COS(RADIANS((900+$A38*180)-360))</f>
        <v/>
      </c>
    </row>
    <row r="39">
      <c r="A39" s="26">
        <f>37/60</f>
        <v/>
      </c>
      <c r="B39" s="49">
        <f>(360-Simulador!$B$7)+$A39*((540+Simulador!$B$8)-(360-Simulador!$B$7))</f>
        <v/>
      </c>
      <c r="C39" s="49">
        <f>1.0*SIN(RADIANS(B39-360))</f>
        <v/>
      </c>
      <c r="D39" s="49">
        <f>1.0*COS(RADIANS(B39-360))</f>
        <v/>
      </c>
      <c r="E39" s="49">
        <f>(540+Simulador!$B$8)+$A39*((720-'Diagrama circular'!$B$9)-(540+Simulador!$B$8))</f>
        <v/>
      </c>
      <c r="F39" s="49">
        <f>0.88*SIN(RADIANS(E39-360))</f>
        <v/>
      </c>
      <c r="G39" s="49">
        <f>0.88*COS(RADIANS(E39-360))</f>
        <v/>
      </c>
      <c r="H39" s="49">
        <f>(720-'Diagrama circular'!$B$9)+$A39*((720)-(720-'Diagrama circular'!$B$9))</f>
        <v/>
      </c>
      <c r="I39" s="49">
        <f>0.88*SIN(RADIANS(H39-360))</f>
        <v/>
      </c>
      <c r="J39" s="49">
        <f>0.88*COS(RADIANS(H39-360))</f>
        <v/>
      </c>
      <c r="K39" s="49">
        <f>(720)+$A39*((900-Simulador!$B$5)-(720))</f>
        <v/>
      </c>
      <c r="L39" s="49">
        <f>0.76*SIN(RADIANS(K39-360))</f>
        <v/>
      </c>
      <c r="M39" s="49">
        <f>0.76*COS(RADIANS(K39-360))</f>
        <v/>
      </c>
      <c r="N39" s="49">
        <f>(900-Simulador!$B$5)+$A39*((1080+Simulador!$B$6)-(900-Simulador!$B$5))</f>
        <v/>
      </c>
      <c r="O39" s="49">
        <f>0.64*SIN(RADIANS(N39-360))</f>
        <v/>
      </c>
      <c r="P39" s="49">
        <f>0.64*COS(RADIANS(N39-360))</f>
        <v/>
      </c>
      <c r="Q39" s="49">
        <f>(360-Simulador!$B$7)+$A39*((360+Simulador!$B$6)-(360-Simulador!$B$7))</f>
        <v/>
      </c>
      <c r="R39" s="49">
        <f>0.42*SIN(RADIANS(Q39-360))</f>
        <v/>
      </c>
      <c r="S39" s="49">
        <f>0.42*COS(RADIANS(Q39-360))</f>
        <v/>
      </c>
      <c r="AN39">
        <f>1.0*SIN(RADIANS((360+$A39*180)-360))</f>
        <v/>
      </c>
      <c r="AO39">
        <f>1.0*COS(RADIANS((360+$A39*180)-360))</f>
        <v/>
      </c>
      <c r="AP39">
        <f>0.9*SIN(RADIANS((540+$A39*180)-360))</f>
        <v/>
      </c>
      <c r="AQ39">
        <f>0.9*COS(RADIANS((540+$A39*180)-360))</f>
        <v/>
      </c>
      <c r="AR39">
        <f>0.8*SIN(RADIANS((720+$A39*180)-360))</f>
        <v/>
      </c>
      <c r="AS39">
        <f>0.8*COS(RADIANS((720+$A39*180)-360))</f>
        <v/>
      </c>
      <c r="AT39">
        <f>0.7*SIN(RADIANS((900+$A39*180)-360))</f>
        <v/>
      </c>
      <c r="AU39">
        <f>0.7*COS(RADIANS((900+$A39*180)-360))</f>
        <v/>
      </c>
    </row>
    <row r="40">
      <c r="A40" s="26">
        <f>38/60</f>
        <v/>
      </c>
      <c r="B40" s="49">
        <f>(360-Simulador!$B$7)+$A40*((540+Simulador!$B$8)-(360-Simulador!$B$7))</f>
        <v/>
      </c>
      <c r="C40" s="49">
        <f>1.0*SIN(RADIANS(B40-360))</f>
        <v/>
      </c>
      <c r="D40" s="49">
        <f>1.0*COS(RADIANS(B40-360))</f>
        <v/>
      </c>
      <c r="E40" s="49">
        <f>(540+Simulador!$B$8)+$A40*((720-'Diagrama circular'!$B$9)-(540+Simulador!$B$8))</f>
        <v/>
      </c>
      <c r="F40" s="49">
        <f>0.88*SIN(RADIANS(E40-360))</f>
        <v/>
      </c>
      <c r="G40" s="49">
        <f>0.88*COS(RADIANS(E40-360))</f>
        <v/>
      </c>
      <c r="H40" s="49">
        <f>(720-'Diagrama circular'!$B$9)+$A40*((720)-(720-'Diagrama circular'!$B$9))</f>
        <v/>
      </c>
      <c r="I40" s="49">
        <f>0.88*SIN(RADIANS(H40-360))</f>
        <v/>
      </c>
      <c r="J40" s="49">
        <f>0.88*COS(RADIANS(H40-360))</f>
        <v/>
      </c>
      <c r="K40" s="49">
        <f>(720)+$A40*((900-Simulador!$B$5)-(720))</f>
        <v/>
      </c>
      <c r="L40" s="49">
        <f>0.76*SIN(RADIANS(K40-360))</f>
        <v/>
      </c>
      <c r="M40" s="49">
        <f>0.76*COS(RADIANS(K40-360))</f>
        <v/>
      </c>
      <c r="N40" s="49">
        <f>(900-Simulador!$B$5)+$A40*((1080+Simulador!$B$6)-(900-Simulador!$B$5))</f>
        <v/>
      </c>
      <c r="O40" s="49">
        <f>0.64*SIN(RADIANS(N40-360))</f>
        <v/>
      </c>
      <c r="P40" s="49">
        <f>0.64*COS(RADIANS(N40-360))</f>
        <v/>
      </c>
      <c r="Q40" s="49">
        <f>(360-Simulador!$B$7)+$A40*((360+Simulador!$B$6)-(360-Simulador!$B$7))</f>
        <v/>
      </c>
      <c r="R40" s="49">
        <f>0.42*SIN(RADIANS(Q40-360))</f>
        <v/>
      </c>
      <c r="S40" s="49">
        <f>0.42*COS(RADIANS(Q40-360))</f>
        <v/>
      </c>
      <c r="AN40">
        <f>1.0*SIN(RADIANS((360+$A40*180)-360))</f>
        <v/>
      </c>
      <c r="AO40">
        <f>1.0*COS(RADIANS((360+$A40*180)-360))</f>
        <v/>
      </c>
      <c r="AP40">
        <f>0.9*SIN(RADIANS((540+$A40*180)-360))</f>
        <v/>
      </c>
      <c r="AQ40">
        <f>0.9*COS(RADIANS((540+$A40*180)-360))</f>
        <v/>
      </c>
      <c r="AR40">
        <f>0.8*SIN(RADIANS((720+$A40*180)-360))</f>
        <v/>
      </c>
      <c r="AS40">
        <f>0.8*COS(RADIANS((720+$A40*180)-360))</f>
        <v/>
      </c>
      <c r="AT40">
        <f>0.7*SIN(RADIANS((900+$A40*180)-360))</f>
        <v/>
      </c>
      <c r="AU40">
        <f>0.7*COS(RADIANS((900+$A40*180)-360))</f>
        <v/>
      </c>
    </row>
    <row r="41">
      <c r="A41" s="26">
        <f>39/60</f>
        <v/>
      </c>
      <c r="B41" s="49">
        <f>(360-Simulador!$B$7)+$A41*((540+Simulador!$B$8)-(360-Simulador!$B$7))</f>
        <v/>
      </c>
      <c r="C41" s="49">
        <f>1.0*SIN(RADIANS(B41-360))</f>
        <v/>
      </c>
      <c r="D41" s="49">
        <f>1.0*COS(RADIANS(B41-360))</f>
        <v/>
      </c>
      <c r="E41" s="49">
        <f>(540+Simulador!$B$8)+$A41*((720-'Diagrama circular'!$B$9)-(540+Simulador!$B$8))</f>
        <v/>
      </c>
      <c r="F41" s="49">
        <f>0.88*SIN(RADIANS(E41-360))</f>
        <v/>
      </c>
      <c r="G41" s="49">
        <f>0.88*COS(RADIANS(E41-360))</f>
        <v/>
      </c>
      <c r="H41" s="49">
        <f>(720-'Diagrama circular'!$B$9)+$A41*((720)-(720-'Diagrama circular'!$B$9))</f>
        <v/>
      </c>
      <c r="I41" s="49">
        <f>0.88*SIN(RADIANS(H41-360))</f>
        <v/>
      </c>
      <c r="J41" s="49">
        <f>0.88*COS(RADIANS(H41-360))</f>
        <v/>
      </c>
      <c r="K41" s="49">
        <f>(720)+$A41*((900-Simulador!$B$5)-(720))</f>
        <v/>
      </c>
      <c r="L41" s="49">
        <f>0.76*SIN(RADIANS(K41-360))</f>
        <v/>
      </c>
      <c r="M41" s="49">
        <f>0.76*COS(RADIANS(K41-360))</f>
        <v/>
      </c>
      <c r="N41" s="49">
        <f>(900-Simulador!$B$5)+$A41*((1080+Simulador!$B$6)-(900-Simulador!$B$5))</f>
        <v/>
      </c>
      <c r="O41" s="49">
        <f>0.64*SIN(RADIANS(N41-360))</f>
        <v/>
      </c>
      <c r="P41" s="49">
        <f>0.64*COS(RADIANS(N41-360))</f>
        <v/>
      </c>
      <c r="Q41" s="49">
        <f>(360-Simulador!$B$7)+$A41*((360+Simulador!$B$6)-(360-Simulador!$B$7))</f>
        <v/>
      </c>
      <c r="R41" s="49">
        <f>0.42*SIN(RADIANS(Q41-360))</f>
        <v/>
      </c>
      <c r="S41" s="49">
        <f>0.42*COS(RADIANS(Q41-360))</f>
        <v/>
      </c>
      <c r="AN41">
        <f>1.0*SIN(RADIANS((360+$A41*180)-360))</f>
        <v/>
      </c>
      <c r="AO41">
        <f>1.0*COS(RADIANS((360+$A41*180)-360))</f>
        <v/>
      </c>
      <c r="AP41">
        <f>0.9*SIN(RADIANS((540+$A41*180)-360))</f>
        <v/>
      </c>
      <c r="AQ41">
        <f>0.9*COS(RADIANS((540+$A41*180)-360))</f>
        <v/>
      </c>
      <c r="AR41">
        <f>0.8*SIN(RADIANS((720+$A41*180)-360))</f>
        <v/>
      </c>
      <c r="AS41">
        <f>0.8*COS(RADIANS((720+$A41*180)-360))</f>
        <v/>
      </c>
      <c r="AT41">
        <f>0.7*SIN(RADIANS((900+$A41*180)-360))</f>
        <v/>
      </c>
      <c r="AU41">
        <f>0.7*COS(RADIANS((900+$A41*180)-360))</f>
        <v/>
      </c>
    </row>
    <row r="42">
      <c r="A42" s="26">
        <f>40/60</f>
        <v/>
      </c>
      <c r="B42" s="49">
        <f>(360-Simulador!$B$7)+$A42*((540+Simulador!$B$8)-(360-Simulador!$B$7))</f>
        <v/>
      </c>
      <c r="C42" s="49">
        <f>1.0*SIN(RADIANS(B42-360))</f>
        <v/>
      </c>
      <c r="D42" s="49">
        <f>1.0*COS(RADIANS(B42-360))</f>
        <v/>
      </c>
      <c r="E42" s="49">
        <f>(540+Simulador!$B$8)+$A42*((720-'Diagrama circular'!$B$9)-(540+Simulador!$B$8))</f>
        <v/>
      </c>
      <c r="F42" s="49">
        <f>0.88*SIN(RADIANS(E42-360))</f>
        <v/>
      </c>
      <c r="G42" s="49">
        <f>0.88*COS(RADIANS(E42-360))</f>
        <v/>
      </c>
      <c r="H42" s="49">
        <f>(720-'Diagrama circular'!$B$9)+$A42*((720)-(720-'Diagrama circular'!$B$9))</f>
        <v/>
      </c>
      <c r="I42" s="49">
        <f>0.88*SIN(RADIANS(H42-360))</f>
        <v/>
      </c>
      <c r="J42" s="49">
        <f>0.88*COS(RADIANS(H42-360))</f>
        <v/>
      </c>
      <c r="K42" s="49">
        <f>(720)+$A42*((900-Simulador!$B$5)-(720))</f>
        <v/>
      </c>
      <c r="L42" s="49">
        <f>0.76*SIN(RADIANS(K42-360))</f>
        <v/>
      </c>
      <c r="M42" s="49">
        <f>0.76*COS(RADIANS(K42-360))</f>
        <v/>
      </c>
      <c r="N42" s="49">
        <f>(900-Simulador!$B$5)+$A42*((1080+Simulador!$B$6)-(900-Simulador!$B$5))</f>
        <v/>
      </c>
      <c r="O42" s="49">
        <f>0.64*SIN(RADIANS(N42-360))</f>
        <v/>
      </c>
      <c r="P42" s="49">
        <f>0.64*COS(RADIANS(N42-360))</f>
        <v/>
      </c>
      <c r="Q42" s="49">
        <f>(360-Simulador!$B$7)+$A42*((360+Simulador!$B$6)-(360-Simulador!$B$7))</f>
        <v/>
      </c>
      <c r="R42" s="49">
        <f>0.42*SIN(RADIANS(Q42-360))</f>
        <v/>
      </c>
      <c r="S42" s="49">
        <f>0.42*COS(RADIANS(Q42-360))</f>
        <v/>
      </c>
      <c r="AN42">
        <f>1.0*SIN(RADIANS((360+$A42*180)-360))</f>
        <v/>
      </c>
      <c r="AO42">
        <f>1.0*COS(RADIANS((360+$A42*180)-360))</f>
        <v/>
      </c>
      <c r="AP42">
        <f>0.9*SIN(RADIANS((540+$A42*180)-360))</f>
        <v/>
      </c>
      <c r="AQ42">
        <f>0.9*COS(RADIANS((540+$A42*180)-360))</f>
        <v/>
      </c>
      <c r="AR42">
        <f>0.8*SIN(RADIANS((720+$A42*180)-360))</f>
        <v/>
      </c>
      <c r="AS42">
        <f>0.8*COS(RADIANS((720+$A42*180)-360))</f>
        <v/>
      </c>
      <c r="AT42">
        <f>0.7*SIN(RADIANS((900+$A42*180)-360))</f>
        <v/>
      </c>
      <c r="AU42">
        <f>0.7*COS(RADIANS((900+$A42*180)-360))</f>
        <v/>
      </c>
    </row>
    <row r="43">
      <c r="A43" s="26">
        <f>41/60</f>
        <v/>
      </c>
      <c r="B43" s="49">
        <f>(360-Simulador!$B$7)+$A43*((540+Simulador!$B$8)-(360-Simulador!$B$7))</f>
        <v/>
      </c>
      <c r="C43" s="49">
        <f>1.0*SIN(RADIANS(B43-360))</f>
        <v/>
      </c>
      <c r="D43" s="49">
        <f>1.0*COS(RADIANS(B43-360))</f>
        <v/>
      </c>
      <c r="E43" s="49">
        <f>(540+Simulador!$B$8)+$A43*((720-'Diagrama circular'!$B$9)-(540+Simulador!$B$8))</f>
        <v/>
      </c>
      <c r="F43" s="49">
        <f>0.88*SIN(RADIANS(E43-360))</f>
        <v/>
      </c>
      <c r="G43" s="49">
        <f>0.88*COS(RADIANS(E43-360))</f>
        <v/>
      </c>
      <c r="H43" s="49">
        <f>(720-'Diagrama circular'!$B$9)+$A43*((720)-(720-'Diagrama circular'!$B$9))</f>
        <v/>
      </c>
      <c r="I43" s="49">
        <f>0.88*SIN(RADIANS(H43-360))</f>
        <v/>
      </c>
      <c r="J43" s="49">
        <f>0.88*COS(RADIANS(H43-360))</f>
        <v/>
      </c>
      <c r="K43" s="49">
        <f>(720)+$A43*((900-Simulador!$B$5)-(720))</f>
        <v/>
      </c>
      <c r="L43" s="49">
        <f>0.76*SIN(RADIANS(K43-360))</f>
        <v/>
      </c>
      <c r="M43" s="49">
        <f>0.76*COS(RADIANS(K43-360))</f>
        <v/>
      </c>
      <c r="N43" s="49">
        <f>(900-Simulador!$B$5)+$A43*((1080+Simulador!$B$6)-(900-Simulador!$B$5))</f>
        <v/>
      </c>
      <c r="O43" s="49">
        <f>0.64*SIN(RADIANS(N43-360))</f>
        <v/>
      </c>
      <c r="P43" s="49">
        <f>0.64*COS(RADIANS(N43-360))</f>
        <v/>
      </c>
      <c r="Q43" s="49">
        <f>(360-Simulador!$B$7)+$A43*((360+Simulador!$B$6)-(360-Simulador!$B$7))</f>
        <v/>
      </c>
      <c r="R43" s="49">
        <f>0.42*SIN(RADIANS(Q43-360))</f>
        <v/>
      </c>
      <c r="S43" s="49">
        <f>0.42*COS(RADIANS(Q43-360))</f>
        <v/>
      </c>
      <c r="AN43">
        <f>1.0*SIN(RADIANS((360+$A43*180)-360))</f>
        <v/>
      </c>
      <c r="AO43">
        <f>1.0*COS(RADIANS((360+$A43*180)-360))</f>
        <v/>
      </c>
      <c r="AP43">
        <f>0.9*SIN(RADIANS((540+$A43*180)-360))</f>
        <v/>
      </c>
      <c r="AQ43">
        <f>0.9*COS(RADIANS((540+$A43*180)-360))</f>
        <v/>
      </c>
      <c r="AR43">
        <f>0.8*SIN(RADIANS((720+$A43*180)-360))</f>
        <v/>
      </c>
      <c r="AS43">
        <f>0.8*COS(RADIANS((720+$A43*180)-360))</f>
        <v/>
      </c>
      <c r="AT43">
        <f>0.7*SIN(RADIANS((900+$A43*180)-360))</f>
        <v/>
      </c>
      <c r="AU43">
        <f>0.7*COS(RADIANS((900+$A43*180)-360))</f>
        <v/>
      </c>
    </row>
    <row r="44">
      <c r="A44" s="26">
        <f>42/60</f>
        <v/>
      </c>
      <c r="B44" s="49">
        <f>(360-Simulador!$B$7)+$A44*((540+Simulador!$B$8)-(360-Simulador!$B$7))</f>
        <v/>
      </c>
      <c r="C44" s="49">
        <f>1.0*SIN(RADIANS(B44-360))</f>
        <v/>
      </c>
      <c r="D44" s="49">
        <f>1.0*COS(RADIANS(B44-360))</f>
        <v/>
      </c>
      <c r="E44" s="49">
        <f>(540+Simulador!$B$8)+$A44*((720-'Diagrama circular'!$B$9)-(540+Simulador!$B$8))</f>
        <v/>
      </c>
      <c r="F44" s="49">
        <f>0.88*SIN(RADIANS(E44-360))</f>
        <v/>
      </c>
      <c r="G44" s="49">
        <f>0.88*COS(RADIANS(E44-360))</f>
        <v/>
      </c>
      <c r="H44" s="49">
        <f>(720-'Diagrama circular'!$B$9)+$A44*((720)-(720-'Diagrama circular'!$B$9))</f>
        <v/>
      </c>
      <c r="I44" s="49">
        <f>0.88*SIN(RADIANS(H44-360))</f>
        <v/>
      </c>
      <c r="J44" s="49">
        <f>0.88*COS(RADIANS(H44-360))</f>
        <v/>
      </c>
      <c r="K44" s="49">
        <f>(720)+$A44*((900-Simulador!$B$5)-(720))</f>
        <v/>
      </c>
      <c r="L44" s="49">
        <f>0.76*SIN(RADIANS(K44-360))</f>
        <v/>
      </c>
      <c r="M44" s="49">
        <f>0.76*COS(RADIANS(K44-360))</f>
        <v/>
      </c>
      <c r="N44" s="49">
        <f>(900-Simulador!$B$5)+$A44*((1080+Simulador!$B$6)-(900-Simulador!$B$5))</f>
        <v/>
      </c>
      <c r="O44" s="49">
        <f>0.64*SIN(RADIANS(N44-360))</f>
        <v/>
      </c>
      <c r="P44" s="49">
        <f>0.64*COS(RADIANS(N44-360))</f>
        <v/>
      </c>
      <c r="Q44" s="49">
        <f>(360-Simulador!$B$7)+$A44*((360+Simulador!$B$6)-(360-Simulador!$B$7))</f>
        <v/>
      </c>
      <c r="R44" s="49">
        <f>0.42*SIN(RADIANS(Q44-360))</f>
        <v/>
      </c>
      <c r="S44" s="49">
        <f>0.42*COS(RADIANS(Q44-360))</f>
        <v/>
      </c>
      <c r="AN44">
        <f>1.0*SIN(RADIANS((360+$A44*180)-360))</f>
        <v/>
      </c>
      <c r="AO44">
        <f>1.0*COS(RADIANS((360+$A44*180)-360))</f>
        <v/>
      </c>
      <c r="AP44">
        <f>0.9*SIN(RADIANS((540+$A44*180)-360))</f>
        <v/>
      </c>
      <c r="AQ44">
        <f>0.9*COS(RADIANS((540+$A44*180)-360))</f>
        <v/>
      </c>
      <c r="AR44">
        <f>0.8*SIN(RADIANS((720+$A44*180)-360))</f>
        <v/>
      </c>
      <c r="AS44">
        <f>0.8*COS(RADIANS((720+$A44*180)-360))</f>
        <v/>
      </c>
      <c r="AT44">
        <f>0.7*SIN(RADIANS((900+$A44*180)-360))</f>
        <v/>
      </c>
      <c r="AU44">
        <f>0.7*COS(RADIANS((900+$A44*180)-360))</f>
        <v/>
      </c>
    </row>
    <row r="45">
      <c r="A45" s="26">
        <f>43/60</f>
        <v/>
      </c>
      <c r="B45" s="49">
        <f>(360-Simulador!$B$7)+$A45*((540+Simulador!$B$8)-(360-Simulador!$B$7))</f>
        <v/>
      </c>
      <c r="C45" s="49">
        <f>1.0*SIN(RADIANS(B45-360))</f>
        <v/>
      </c>
      <c r="D45" s="49">
        <f>1.0*COS(RADIANS(B45-360))</f>
        <v/>
      </c>
      <c r="E45" s="49">
        <f>(540+Simulador!$B$8)+$A45*((720-'Diagrama circular'!$B$9)-(540+Simulador!$B$8))</f>
        <v/>
      </c>
      <c r="F45" s="49">
        <f>0.88*SIN(RADIANS(E45-360))</f>
        <v/>
      </c>
      <c r="G45" s="49">
        <f>0.88*COS(RADIANS(E45-360))</f>
        <v/>
      </c>
      <c r="H45" s="49">
        <f>(720-'Diagrama circular'!$B$9)+$A45*((720)-(720-'Diagrama circular'!$B$9))</f>
        <v/>
      </c>
      <c r="I45" s="49">
        <f>0.88*SIN(RADIANS(H45-360))</f>
        <v/>
      </c>
      <c r="J45" s="49">
        <f>0.88*COS(RADIANS(H45-360))</f>
        <v/>
      </c>
      <c r="K45" s="49">
        <f>(720)+$A45*((900-Simulador!$B$5)-(720))</f>
        <v/>
      </c>
      <c r="L45" s="49">
        <f>0.76*SIN(RADIANS(K45-360))</f>
        <v/>
      </c>
      <c r="M45" s="49">
        <f>0.76*COS(RADIANS(K45-360))</f>
        <v/>
      </c>
      <c r="N45" s="49">
        <f>(900-Simulador!$B$5)+$A45*((1080+Simulador!$B$6)-(900-Simulador!$B$5))</f>
        <v/>
      </c>
      <c r="O45" s="49">
        <f>0.64*SIN(RADIANS(N45-360))</f>
        <v/>
      </c>
      <c r="P45" s="49">
        <f>0.64*COS(RADIANS(N45-360))</f>
        <v/>
      </c>
      <c r="Q45" s="49">
        <f>(360-Simulador!$B$7)+$A45*((360+Simulador!$B$6)-(360-Simulador!$B$7))</f>
        <v/>
      </c>
      <c r="R45" s="49">
        <f>0.42*SIN(RADIANS(Q45-360))</f>
        <v/>
      </c>
      <c r="S45" s="49">
        <f>0.42*COS(RADIANS(Q45-360))</f>
        <v/>
      </c>
      <c r="AN45">
        <f>1.0*SIN(RADIANS((360+$A45*180)-360))</f>
        <v/>
      </c>
      <c r="AO45">
        <f>1.0*COS(RADIANS((360+$A45*180)-360))</f>
        <v/>
      </c>
      <c r="AP45">
        <f>0.9*SIN(RADIANS((540+$A45*180)-360))</f>
        <v/>
      </c>
      <c r="AQ45">
        <f>0.9*COS(RADIANS((540+$A45*180)-360))</f>
        <v/>
      </c>
      <c r="AR45">
        <f>0.8*SIN(RADIANS((720+$A45*180)-360))</f>
        <v/>
      </c>
      <c r="AS45">
        <f>0.8*COS(RADIANS((720+$A45*180)-360))</f>
        <v/>
      </c>
      <c r="AT45">
        <f>0.7*SIN(RADIANS((900+$A45*180)-360))</f>
        <v/>
      </c>
      <c r="AU45">
        <f>0.7*COS(RADIANS((900+$A45*180)-360))</f>
        <v/>
      </c>
    </row>
    <row r="46">
      <c r="A46" s="26">
        <f>44/60</f>
        <v/>
      </c>
      <c r="B46" s="49">
        <f>(360-Simulador!$B$7)+$A46*((540+Simulador!$B$8)-(360-Simulador!$B$7))</f>
        <v/>
      </c>
      <c r="C46" s="49">
        <f>1.0*SIN(RADIANS(B46-360))</f>
        <v/>
      </c>
      <c r="D46" s="49">
        <f>1.0*COS(RADIANS(B46-360))</f>
        <v/>
      </c>
      <c r="E46" s="49">
        <f>(540+Simulador!$B$8)+$A46*((720-'Diagrama circular'!$B$9)-(540+Simulador!$B$8))</f>
        <v/>
      </c>
      <c r="F46" s="49">
        <f>0.88*SIN(RADIANS(E46-360))</f>
        <v/>
      </c>
      <c r="G46" s="49">
        <f>0.88*COS(RADIANS(E46-360))</f>
        <v/>
      </c>
      <c r="H46" s="49">
        <f>(720-'Diagrama circular'!$B$9)+$A46*((720)-(720-'Diagrama circular'!$B$9))</f>
        <v/>
      </c>
      <c r="I46" s="49">
        <f>0.88*SIN(RADIANS(H46-360))</f>
        <v/>
      </c>
      <c r="J46" s="49">
        <f>0.88*COS(RADIANS(H46-360))</f>
        <v/>
      </c>
      <c r="K46" s="49">
        <f>(720)+$A46*((900-Simulador!$B$5)-(720))</f>
        <v/>
      </c>
      <c r="L46" s="49">
        <f>0.76*SIN(RADIANS(K46-360))</f>
        <v/>
      </c>
      <c r="M46" s="49">
        <f>0.76*COS(RADIANS(K46-360))</f>
        <v/>
      </c>
      <c r="N46" s="49">
        <f>(900-Simulador!$B$5)+$A46*((1080+Simulador!$B$6)-(900-Simulador!$B$5))</f>
        <v/>
      </c>
      <c r="O46" s="49">
        <f>0.64*SIN(RADIANS(N46-360))</f>
        <v/>
      </c>
      <c r="P46" s="49">
        <f>0.64*COS(RADIANS(N46-360))</f>
        <v/>
      </c>
      <c r="Q46" s="49">
        <f>(360-Simulador!$B$7)+$A46*((360+Simulador!$B$6)-(360-Simulador!$B$7))</f>
        <v/>
      </c>
      <c r="R46" s="49">
        <f>0.42*SIN(RADIANS(Q46-360))</f>
        <v/>
      </c>
      <c r="S46" s="49">
        <f>0.42*COS(RADIANS(Q46-360))</f>
        <v/>
      </c>
      <c r="AN46">
        <f>1.0*SIN(RADIANS((360+$A46*180)-360))</f>
        <v/>
      </c>
      <c r="AO46">
        <f>1.0*COS(RADIANS((360+$A46*180)-360))</f>
        <v/>
      </c>
      <c r="AP46">
        <f>0.9*SIN(RADIANS((540+$A46*180)-360))</f>
        <v/>
      </c>
      <c r="AQ46">
        <f>0.9*COS(RADIANS((540+$A46*180)-360))</f>
        <v/>
      </c>
      <c r="AR46">
        <f>0.8*SIN(RADIANS((720+$A46*180)-360))</f>
        <v/>
      </c>
      <c r="AS46">
        <f>0.8*COS(RADIANS((720+$A46*180)-360))</f>
        <v/>
      </c>
      <c r="AT46">
        <f>0.7*SIN(RADIANS((900+$A46*180)-360))</f>
        <v/>
      </c>
      <c r="AU46">
        <f>0.7*COS(RADIANS((900+$A46*180)-360))</f>
        <v/>
      </c>
    </row>
    <row r="47">
      <c r="A47" s="26">
        <f>45/60</f>
        <v/>
      </c>
      <c r="B47" s="49">
        <f>(360-Simulador!$B$7)+$A47*((540+Simulador!$B$8)-(360-Simulador!$B$7))</f>
        <v/>
      </c>
      <c r="C47" s="49">
        <f>1.0*SIN(RADIANS(B47-360))</f>
        <v/>
      </c>
      <c r="D47" s="49">
        <f>1.0*COS(RADIANS(B47-360))</f>
        <v/>
      </c>
      <c r="E47" s="49">
        <f>(540+Simulador!$B$8)+$A47*((720-'Diagrama circular'!$B$9)-(540+Simulador!$B$8))</f>
        <v/>
      </c>
      <c r="F47" s="49">
        <f>0.88*SIN(RADIANS(E47-360))</f>
        <v/>
      </c>
      <c r="G47" s="49">
        <f>0.88*COS(RADIANS(E47-360))</f>
        <v/>
      </c>
      <c r="H47" s="49">
        <f>(720-'Diagrama circular'!$B$9)+$A47*((720)-(720-'Diagrama circular'!$B$9))</f>
        <v/>
      </c>
      <c r="I47" s="49">
        <f>0.88*SIN(RADIANS(H47-360))</f>
        <v/>
      </c>
      <c r="J47" s="49">
        <f>0.88*COS(RADIANS(H47-360))</f>
        <v/>
      </c>
      <c r="K47" s="49">
        <f>(720)+$A47*((900-Simulador!$B$5)-(720))</f>
        <v/>
      </c>
      <c r="L47" s="49">
        <f>0.76*SIN(RADIANS(K47-360))</f>
        <v/>
      </c>
      <c r="M47" s="49">
        <f>0.76*COS(RADIANS(K47-360))</f>
        <v/>
      </c>
      <c r="N47" s="49">
        <f>(900-Simulador!$B$5)+$A47*((1080+Simulador!$B$6)-(900-Simulador!$B$5))</f>
        <v/>
      </c>
      <c r="O47" s="49">
        <f>0.64*SIN(RADIANS(N47-360))</f>
        <v/>
      </c>
      <c r="P47" s="49">
        <f>0.64*COS(RADIANS(N47-360))</f>
        <v/>
      </c>
      <c r="Q47" s="49">
        <f>(360-Simulador!$B$7)+$A47*((360+Simulador!$B$6)-(360-Simulador!$B$7))</f>
        <v/>
      </c>
      <c r="R47" s="49">
        <f>0.42*SIN(RADIANS(Q47-360))</f>
        <v/>
      </c>
      <c r="S47" s="49">
        <f>0.42*COS(RADIANS(Q47-360))</f>
        <v/>
      </c>
      <c r="AN47">
        <f>1.0*SIN(RADIANS((360+$A47*180)-360))</f>
        <v/>
      </c>
      <c r="AO47">
        <f>1.0*COS(RADIANS((360+$A47*180)-360))</f>
        <v/>
      </c>
      <c r="AP47">
        <f>0.9*SIN(RADIANS((540+$A47*180)-360))</f>
        <v/>
      </c>
      <c r="AQ47">
        <f>0.9*COS(RADIANS((540+$A47*180)-360))</f>
        <v/>
      </c>
      <c r="AR47">
        <f>0.8*SIN(RADIANS((720+$A47*180)-360))</f>
        <v/>
      </c>
      <c r="AS47">
        <f>0.8*COS(RADIANS((720+$A47*180)-360))</f>
        <v/>
      </c>
      <c r="AT47">
        <f>0.7*SIN(RADIANS((900+$A47*180)-360))</f>
        <v/>
      </c>
      <c r="AU47">
        <f>0.7*COS(RADIANS((900+$A47*180)-360))</f>
        <v/>
      </c>
    </row>
    <row r="48">
      <c r="A48" s="26">
        <f>46/60</f>
        <v/>
      </c>
      <c r="B48" s="49">
        <f>(360-Simulador!$B$7)+$A48*((540+Simulador!$B$8)-(360-Simulador!$B$7))</f>
        <v/>
      </c>
      <c r="C48" s="49">
        <f>1.0*SIN(RADIANS(B48-360))</f>
        <v/>
      </c>
      <c r="D48" s="49">
        <f>1.0*COS(RADIANS(B48-360))</f>
        <v/>
      </c>
      <c r="E48" s="49">
        <f>(540+Simulador!$B$8)+$A48*((720-'Diagrama circular'!$B$9)-(540+Simulador!$B$8))</f>
        <v/>
      </c>
      <c r="F48" s="49">
        <f>0.88*SIN(RADIANS(E48-360))</f>
        <v/>
      </c>
      <c r="G48" s="49">
        <f>0.88*COS(RADIANS(E48-360))</f>
        <v/>
      </c>
      <c r="H48" s="49">
        <f>(720-'Diagrama circular'!$B$9)+$A48*((720)-(720-'Diagrama circular'!$B$9))</f>
        <v/>
      </c>
      <c r="I48" s="49">
        <f>0.88*SIN(RADIANS(H48-360))</f>
        <v/>
      </c>
      <c r="J48" s="49">
        <f>0.88*COS(RADIANS(H48-360))</f>
        <v/>
      </c>
      <c r="K48" s="49">
        <f>(720)+$A48*((900-Simulador!$B$5)-(720))</f>
        <v/>
      </c>
      <c r="L48" s="49">
        <f>0.76*SIN(RADIANS(K48-360))</f>
        <v/>
      </c>
      <c r="M48" s="49">
        <f>0.76*COS(RADIANS(K48-360))</f>
        <v/>
      </c>
      <c r="N48" s="49">
        <f>(900-Simulador!$B$5)+$A48*((1080+Simulador!$B$6)-(900-Simulador!$B$5))</f>
        <v/>
      </c>
      <c r="O48" s="49">
        <f>0.64*SIN(RADIANS(N48-360))</f>
        <v/>
      </c>
      <c r="P48" s="49">
        <f>0.64*COS(RADIANS(N48-360))</f>
        <v/>
      </c>
      <c r="Q48" s="49">
        <f>(360-Simulador!$B$7)+$A48*((360+Simulador!$B$6)-(360-Simulador!$B$7))</f>
        <v/>
      </c>
      <c r="R48" s="49">
        <f>0.42*SIN(RADIANS(Q48-360))</f>
        <v/>
      </c>
      <c r="S48" s="49">
        <f>0.42*COS(RADIANS(Q48-360))</f>
        <v/>
      </c>
      <c r="AN48">
        <f>1.0*SIN(RADIANS((360+$A48*180)-360))</f>
        <v/>
      </c>
      <c r="AO48">
        <f>1.0*COS(RADIANS((360+$A48*180)-360))</f>
        <v/>
      </c>
      <c r="AP48">
        <f>0.9*SIN(RADIANS((540+$A48*180)-360))</f>
        <v/>
      </c>
      <c r="AQ48">
        <f>0.9*COS(RADIANS((540+$A48*180)-360))</f>
        <v/>
      </c>
      <c r="AR48">
        <f>0.8*SIN(RADIANS((720+$A48*180)-360))</f>
        <v/>
      </c>
      <c r="AS48">
        <f>0.8*COS(RADIANS((720+$A48*180)-360))</f>
        <v/>
      </c>
      <c r="AT48">
        <f>0.7*SIN(RADIANS((900+$A48*180)-360))</f>
        <v/>
      </c>
      <c r="AU48">
        <f>0.7*COS(RADIANS((900+$A48*180)-360))</f>
        <v/>
      </c>
    </row>
    <row r="49">
      <c r="A49" s="26">
        <f>47/60</f>
        <v/>
      </c>
      <c r="B49" s="49">
        <f>(360-Simulador!$B$7)+$A49*((540+Simulador!$B$8)-(360-Simulador!$B$7))</f>
        <v/>
      </c>
      <c r="C49" s="49">
        <f>1.0*SIN(RADIANS(B49-360))</f>
        <v/>
      </c>
      <c r="D49" s="49">
        <f>1.0*COS(RADIANS(B49-360))</f>
        <v/>
      </c>
      <c r="E49" s="49">
        <f>(540+Simulador!$B$8)+$A49*((720-'Diagrama circular'!$B$9)-(540+Simulador!$B$8))</f>
        <v/>
      </c>
      <c r="F49" s="49">
        <f>0.88*SIN(RADIANS(E49-360))</f>
        <v/>
      </c>
      <c r="G49" s="49">
        <f>0.88*COS(RADIANS(E49-360))</f>
        <v/>
      </c>
      <c r="H49" s="49">
        <f>(720-'Diagrama circular'!$B$9)+$A49*((720)-(720-'Diagrama circular'!$B$9))</f>
        <v/>
      </c>
      <c r="I49" s="49">
        <f>0.88*SIN(RADIANS(H49-360))</f>
        <v/>
      </c>
      <c r="J49" s="49">
        <f>0.88*COS(RADIANS(H49-360))</f>
        <v/>
      </c>
      <c r="K49" s="49">
        <f>(720)+$A49*((900-Simulador!$B$5)-(720))</f>
        <v/>
      </c>
      <c r="L49" s="49">
        <f>0.76*SIN(RADIANS(K49-360))</f>
        <v/>
      </c>
      <c r="M49" s="49">
        <f>0.76*COS(RADIANS(K49-360))</f>
        <v/>
      </c>
      <c r="N49" s="49">
        <f>(900-Simulador!$B$5)+$A49*((1080+Simulador!$B$6)-(900-Simulador!$B$5))</f>
        <v/>
      </c>
      <c r="O49" s="49">
        <f>0.64*SIN(RADIANS(N49-360))</f>
        <v/>
      </c>
      <c r="P49" s="49">
        <f>0.64*COS(RADIANS(N49-360))</f>
        <v/>
      </c>
      <c r="Q49" s="49">
        <f>(360-Simulador!$B$7)+$A49*((360+Simulador!$B$6)-(360-Simulador!$B$7))</f>
        <v/>
      </c>
      <c r="R49" s="49">
        <f>0.42*SIN(RADIANS(Q49-360))</f>
        <v/>
      </c>
      <c r="S49" s="49">
        <f>0.42*COS(RADIANS(Q49-360))</f>
        <v/>
      </c>
      <c r="AN49">
        <f>1.0*SIN(RADIANS((360+$A49*180)-360))</f>
        <v/>
      </c>
      <c r="AO49">
        <f>1.0*COS(RADIANS((360+$A49*180)-360))</f>
        <v/>
      </c>
      <c r="AP49">
        <f>0.9*SIN(RADIANS((540+$A49*180)-360))</f>
        <v/>
      </c>
      <c r="AQ49">
        <f>0.9*COS(RADIANS((540+$A49*180)-360))</f>
        <v/>
      </c>
      <c r="AR49">
        <f>0.8*SIN(RADIANS((720+$A49*180)-360))</f>
        <v/>
      </c>
      <c r="AS49">
        <f>0.8*COS(RADIANS((720+$A49*180)-360))</f>
        <v/>
      </c>
      <c r="AT49">
        <f>0.7*SIN(RADIANS((900+$A49*180)-360))</f>
        <v/>
      </c>
      <c r="AU49">
        <f>0.7*COS(RADIANS((900+$A49*180)-360))</f>
        <v/>
      </c>
    </row>
    <row r="50">
      <c r="A50" s="26">
        <f>48/60</f>
        <v/>
      </c>
      <c r="B50" s="49">
        <f>(360-Simulador!$B$7)+$A50*((540+Simulador!$B$8)-(360-Simulador!$B$7))</f>
        <v/>
      </c>
      <c r="C50" s="49">
        <f>1.0*SIN(RADIANS(B50-360))</f>
        <v/>
      </c>
      <c r="D50" s="49">
        <f>1.0*COS(RADIANS(B50-360))</f>
        <v/>
      </c>
      <c r="E50" s="49">
        <f>(540+Simulador!$B$8)+$A50*((720-'Diagrama circular'!$B$9)-(540+Simulador!$B$8))</f>
        <v/>
      </c>
      <c r="F50" s="49">
        <f>0.88*SIN(RADIANS(E50-360))</f>
        <v/>
      </c>
      <c r="G50" s="49">
        <f>0.88*COS(RADIANS(E50-360))</f>
        <v/>
      </c>
      <c r="H50" s="49">
        <f>(720-'Diagrama circular'!$B$9)+$A50*((720)-(720-'Diagrama circular'!$B$9))</f>
        <v/>
      </c>
      <c r="I50" s="49">
        <f>0.88*SIN(RADIANS(H50-360))</f>
        <v/>
      </c>
      <c r="J50" s="49">
        <f>0.88*COS(RADIANS(H50-360))</f>
        <v/>
      </c>
      <c r="K50" s="49">
        <f>(720)+$A50*((900-Simulador!$B$5)-(720))</f>
        <v/>
      </c>
      <c r="L50" s="49">
        <f>0.76*SIN(RADIANS(K50-360))</f>
        <v/>
      </c>
      <c r="M50" s="49">
        <f>0.76*COS(RADIANS(K50-360))</f>
        <v/>
      </c>
      <c r="N50" s="49">
        <f>(900-Simulador!$B$5)+$A50*((1080+Simulador!$B$6)-(900-Simulador!$B$5))</f>
        <v/>
      </c>
      <c r="O50" s="49">
        <f>0.64*SIN(RADIANS(N50-360))</f>
        <v/>
      </c>
      <c r="P50" s="49">
        <f>0.64*COS(RADIANS(N50-360))</f>
        <v/>
      </c>
      <c r="Q50" s="49">
        <f>(360-Simulador!$B$7)+$A50*((360+Simulador!$B$6)-(360-Simulador!$B$7))</f>
        <v/>
      </c>
      <c r="R50" s="49">
        <f>0.42*SIN(RADIANS(Q50-360))</f>
        <v/>
      </c>
      <c r="S50" s="49">
        <f>0.42*COS(RADIANS(Q50-360))</f>
        <v/>
      </c>
      <c r="AN50">
        <f>1.0*SIN(RADIANS((360+$A50*180)-360))</f>
        <v/>
      </c>
      <c r="AO50">
        <f>1.0*COS(RADIANS((360+$A50*180)-360))</f>
        <v/>
      </c>
      <c r="AP50">
        <f>0.9*SIN(RADIANS((540+$A50*180)-360))</f>
        <v/>
      </c>
      <c r="AQ50">
        <f>0.9*COS(RADIANS((540+$A50*180)-360))</f>
        <v/>
      </c>
      <c r="AR50">
        <f>0.8*SIN(RADIANS((720+$A50*180)-360))</f>
        <v/>
      </c>
      <c r="AS50">
        <f>0.8*COS(RADIANS((720+$A50*180)-360))</f>
        <v/>
      </c>
      <c r="AT50">
        <f>0.7*SIN(RADIANS((900+$A50*180)-360))</f>
        <v/>
      </c>
      <c r="AU50">
        <f>0.7*COS(RADIANS((900+$A50*180)-360))</f>
        <v/>
      </c>
    </row>
    <row r="51">
      <c r="A51" s="26">
        <f>49/60</f>
        <v/>
      </c>
      <c r="B51" s="49">
        <f>(360-Simulador!$B$7)+$A51*((540+Simulador!$B$8)-(360-Simulador!$B$7))</f>
        <v/>
      </c>
      <c r="C51" s="49">
        <f>1.0*SIN(RADIANS(B51-360))</f>
        <v/>
      </c>
      <c r="D51" s="49">
        <f>1.0*COS(RADIANS(B51-360))</f>
        <v/>
      </c>
      <c r="E51" s="49">
        <f>(540+Simulador!$B$8)+$A51*((720-'Diagrama circular'!$B$9)-(540+Simulador!$B$8))</f>
        <v/>
      </c>
      <c r="F51" s="49">
        <f>0.88*SIN(RADIANS(E51-360))</f>
        <v/>
      </c>
      <c r="G51" s="49">
        <f>0.88*COS(RADIANS(E51-360))</f>
        <v/>
      </c>
      <c r="H51" s="49">
        <f>(720-'Diagrama circular'!$B$9)+$A51*((720)-(720-'Diagrama circular'!$B$9))</f>
        <v/>
      </c>
      <c r="I51" s="49">
        <f>0.88*SIN(RADIANS(H51-360))</f>
        <v/>
      </c>
      <c r="J51" s="49">
        <f>0.88*COS(RADIANS(H51-360))</f>
        <v/>
      </c>
      <c r="K51" s="49">
        <f>(720)+$A51*((900-Simulador!$B$5)-(720))</f>
        <v/>
      </c>
      <c r="L51" s="49">
        <f>0.76*SIN(RADIANS(K51-360))</f>
        <v/>
      </c>
      <c r="M51" s="49">
        <f>0.76*COS(RADIANS(K51-360))</f>
        <v/>
      </c>
      <c r="N51" s="49">
        <f>(900-Simulador!$B$5)+$A51*((1080+Simulador!$B$6)-(900-Simulador!$B$5))</f>
        <v/>
      </c>
      <c r="O51" s="49">
        <f>0.64*SIN(RADIANS(N51-360))</f>
        <v/>
      </c>
      <c r="P51" s="49">
        <f>0.64*COS(RADIANS(N51-360))</f>
        <v/>
      </c>
      <c r="Q51" s="49">
        <f>(360-Simulador!$B$7)+$A51*((360+Simulador!$B$6)-(360-Simulador!$B$7))</f>
        <v/>
      </c>
      <c r="R51" s="49">
        <f>0.42*SIN(RADIANS(Q51-360))</f>
        <v/>
      </c>
      <c r="S51" s="49">
        <f>0.42*COS(RADIANS(Q51-360))</f>
        <v/>
      </c>
      <c r="AN51">
        <f>1.0*SIN(RADIANS((360+$A51*180)-360))</f>
        <v/>
      </c>
      <c r="AO51">
        <f>1.0*COS(RADIANS((360+$A51*180)-360))</f>
        <v/>
      </c>
      <c r="AP51">
        <f>0.9*SIN(RADIANS((540+$A51*180)-360))</f>
        <v/>
      </c>
      <c r="AQ51">
        <f>0.9*COS(RADIANS((540+$A51*180)-360))</f>
        <v/>
      </c>
      <c r="AR51">
        <f>0.8*SIN(RADIANS((720+$A51*180)-360))</f>
        <v/>
      </c>
      <c r="AS51">
        <f>0.8*COS(RADIANS((720+$A51*180)-360))</f>
        <v/>
      </c>
      <c r="AT51">
        <f>0.7*SIN(RADIANS((900+$A51*180)-360))</f>
        <v/>
      </c>
      <c r="AU51">
        <f>0.7*COS(RADIANS((900+$A51*180)-360))</f>
        <v/>
      </c>
    </row>
    <row r="52">
      <c r="A52" s="26">
        <f>50/60</f>
        <v/>
      </c>
      <c r="B52" s="49">
        <f>(360-Simulador!$B$7)+$A52*((540+Simulador!$B$8)-(360-Simulador!$B$7))</f>
        <v/>
      </c>
      <c r="C52" s="49">
        <f>1.0*SIN(RADIANS(B52-360))</f>
        <v/>
      </c>
      <c r="D52" s="49">
        <f>1.0*COS(RADIANS(B52-360))</f>
        <v/>
      </c>
      <c r="E52" s="49">
        <f>(540+Simulador!$B$8)+$A52*((720-'Diagrama circular'!$B$9)-(540+Simulador!$B$8))</f>
        <v/>
      </c>
      <c r="F52" s="49">
        <f>0.88*SIN(RADIANS(E52-360))</f>
        <v/>
      </c>
      <c r="G52" s="49">
        <f>0.88*COS(RADIANS(E52-360))</f>
        <v/>
      </c>
      <c r="H52" s="49">
        <f>(720-'Diagrama circular'!$B$9)+$A52*((720)-(720-'Diagrama circular'!$B$9))</f>
        <v/>
      </c>
      <c r="I52" s="49">
        <f>0.88*SIN(RADIANS(H52-360))</f>
        <v/>
      </c>
      <c r="J52" s="49">
        <f>0.88*COS(RADIANS(H52-360))</f>
        <v/>
      </c>
      <c r="K52" s="49">
        <f>(720)+$A52*((900-Simulador!$B$5)-(720))</f>
        <v/>
      </c>
      <c r="L52" s="49">
        <f>0.76*SIN(RADIANS(K52-360))</f>
        <v/>
      </c>
      <c r="M52" s="49">
        <f>0.76*COS(RADIANS(K52-360))</f>
        <v/>
      </c>
      <c r="N52" s="49">
        <f>(900-Simulador!$B$5)+$A52*((1080+Simulador!$B$6)-(900-Simulador!$B$5))</f>
        <v/>
      </c>
      <c r="O52" s="49">
        <f>0.64*SIN(RADIANS(N52-360))</f>
        <v/>
      </c>
      <c r="P52" s="49">
        <f>0.64*COS(RADIANS(N52-360))</f>
        <v/>
      </c>
      <c r="Q52" s="49">
        <f>(360-Simulador!$B$7)+$A52*((360+Simulador!$B$6)-(360-Simulador!$B$7))</f>
        <v/>
      </c>
      <c r="R52" s="49">
        <f>0.42*SIN(RADIANS(Q52-360))</f>
        <v/>
      </c>
      <c r="S52" s="49">
        <f>0.42*COS(RADIANS(Q52-360))</f>
        <v/>
      </c>
      <c r="AN52">
        <f>1.0*SIN(RADIANS((360+$A52*180)-360))</f>
        <v/>
      </c>
      <c r="AO52">
        <f>1.0*COS(RADIANS((360+$A52*180)-360))</f>
        <v/>
      </c>
      <c r="AP52">
        <f>0.9*SIN(RADIANS((540+$A52*180)-360))</f>
        <v/>
      </c>
      <c r="AQ52">
        <f>0.9*COS(RADIANS((540+$A52*180)-360))</f>
        <v/>
      </c>
      <c r="AR52">
        <f>0.8*SIN(RADIANS((720+$A52*180)-360))</f>
        <v/>
      </c>
      <c r="AS52">
        <f>0.8*COS(RADIANS((720+$A52*180)-360))</f>
        <v/>
      </c>
      <c r="AT52">
        <f>0.7*SIN(RADIANS((900+$A52*180)-360))</f>
        <v/>
      </c>
      <c r="AU52">
        <f>0.7*COS(RADIANS((900+$A52*180)-360))</f>
        <v/>
      </c>
    </row>
    <row r="53">
      <c r="A53" s="26">
        <f>51/60</f>
        <v/>
      </c>
      <c r="B53" s="49">
        <f>(360-Simulador!$B$7)+$A53*((540+Simulador!$B$8)-(360-Simulador!$B$7))</f>
        <v/>
      </c>
      <c r="C53" s="49">
        <f>1.0*SIN(RADIANS(B53-360))</f>
        <v/>
      </c>
      <c r="D53" s="49">
        <f>1.0*COS(RADIANS(B53-360))</f>
        <v/>
      </c>
      <c r="E53" s="49">
        <f>(540+Simulador!$B$8)+$A53*((720-'Diagrama circular'!$B$9)-(540+Simulador!$B$8))</f>
        <v/>
      </c>
      <c r="F53" s="49">
        <f>0.88*SIN(RADIANS(E53-360))</f>
        <v/>
      </c>
      <c r="G53" s="49">
        <f>0.88*COS(RADIANS(E53-360))</f>
        <v/>
      </c>
      <c r="H53" s="49">
        <f>(720-'Diagrama circular'!$B$9)+$A53*((720)-(720-'Diagrama circular'!$B$9))</f>
        <v/>
      </c>
      <c r="I53" s="49">
        <f>0.88*SIN(RADIANS(H53-360))</f>
        <v/>
      </c>
      <c r="J53" s="49">
        <f>0.88*COS(RADIANS(H53-360))</f>
        <v/>
      </c>
      <c r="K53" s="49">
        <f>(720)+$A53*((900-Simulador!$B$5)-(720))</f>
        <v/>
      </c>
      <c r="L53" s="49">
        <f>0.76*SIN(RADIANS(K53-360))</f>
        <v/>
      </c>
      <c r="M53" s="49">
        <f>0.76*COS(RADIANS(K53-360))</f>
        <v/>
      </c>
      <c r="N53" s="49">
        <f>(900-Simulador!$B$5)+$A53*((1080+Simulador!$B$6)-(900-Simulador!$B$5))</f>
        <v/>
      </c>
      <c r="O53" s="49">
        <f>0.64*SIN(RADIANS(N53-360))</f>
        <v/>
      </c>
      <c r="P53" s="49">
        <f>0.64*COS(RADIANS(N53-360))</f>
        <v/>
      </c>
      <c r="Q53" s="49">
        <f>(360-Simulador!$B$7)+$A53*((360+Simulador!$B$6)-(360-Simulador!$B$7))</f>
        <v/>
      </c>
      <c r="R53" s="49">
        <f>0.42*SIN(RADIANS(Q53-360))</f>
        <v/>
      </c>
      <c r="S53" s="49">
        <f>0.42*COS(RADIANS(Q53-360))</f>
        <v/>
      </c>
      <c r="AN53">
        <f>1.0*SIN(RADIANS((360+$A53*180)-360))</f>
        <v/>
      </c>
      <c r="AO53">
        <f>1.0*COS(RADIANS((360+$A53*180)-360))</f>
        <v/>
      </c>
      <c r="AP53">
        <f>0.9*SIN(RADIANS((540+$A53*180)-360))</f>
        <v/>
      </c>
      <c r="AQ53">
        <f>0.9*COS(RADIANS((540+$A53*180)-360))</f>
        <v/>
      </c>
      <c r="AR53">
        <f>0.8*SIN(RADIANS((720+$A53*180)-360))</f>
        <v/>
      </c>
      <c r="AS53">
        <f>0.8*COS(RADIANS((720+$A53*180)-360))</f>
        <v/>
      </c>
      <c r="AT53">
        <f>0.7*SIN(RADIANS((900+$A53*180)-360))</f>
        <v/>
      </c>
      <c r="AU53">
        <f>0.7*COS(RADIANS((900+$A53*180)-360))</f>
        <v/>
      </c>
    </row>
    <row r="54">
      <c r="A54" s="26">
        <f>52/60</f>
        <v/>
      </c>
      <c r="B54" s="49">
        <f>(360-Simulador!$B$7)+$A54*((540+Simulador!$B$8)-(360-Simulador!$B$7))</f>
        <v/>
      </c>
      <c r="C54" s="49">
        <f>1.0*SIN(RADIANS(B54-360))</f>
        <v/>
      </c>
      <c r="D54" s="49">
        <f>1.0*COS(RADIANS(B54-360))</f>
        <v/>
      </c>
      <c r="E54" s="49">
        <f>(540+Simulador!$B$8)+$A54*((720-'Diagrama circular'!$B$9)-(540+Simulador!$B$8))</f>
        <v/>
      </c>
      <c r="F54" s="49">
        <f>0.88*SIN(RADIANS(E54-360))</f>
        <v/>
      </c>
      <c r="G54" s="49">
        <f>0.88*COS(RADIANS(E54-360))</f>
        <v/>
      </c>
      <c r="H54" s="49">
        <f>(720-'Diagrama circular'!$B$9)+$A54*((720)-(720-'Diagrama circular'!$B$9))</f>
        <v/>
      </c>
      <c r="I54" s="49">
        <f>0.88*SIN(RADIANS(H54-360))</f>
        <v/>
      </c>
      <c r="J54" s="49">
        <f>0.88*COS(RADIANS(H54-360))</f>
        <v/>
      </c>
      <c r="K54" s="49">
        <f>(720)+$A54*((900-Simulador!$B$5)-(720))</f>
        <v/>
      </c>
      <c r="L54" s="49">
        <f>0.76*SIN(RADIANS(K54-360))</f>
        <v/>
      </c>
      <c r="M54" s="49">
        <f>0.76*COS(RADIANS(K54-360))</f>
        <v/>
      </c>
      <c r="N54" s="49">
        <f>(900-Simulador!$B$5)+$A54*((1080+Simulador!$B$6)-(900-Simulador!$B$5))</f>
        <v/>
      </c>
      <c r="O54" s="49">
        <f>0.64*SIN(RADIANS(N54-360))</f>
        <v/>
      </c>
      <c r="P54" s="49">
        <f>0.64*COS(RADIANS(N54-360))</f>
        <v/>
      </c>
      <c r="Q54" s="49">
        <f>(360-Simulador!$B$7)+$A54*((360+Simulador!$B$6)-(360-Simulador!$B$7))</f>
        <v/>
      </c>
      <c r="R54" s="49">
        <f>0.42*SIN(RADIANS(Q54-360))</f>
        <v/>
      </c>
      <c r="S54" s="49">
        <f>0.42*COS(RADIANS(Q54-360))</f>
        <v/>
      </c>
      <c r="AN54">
        <f>1.0*SIN(RADIANS((360+$A54*180)-360))</f>
        <v/>
      </c>
      <c r="AO54">
        <f>1.0*COS(RADIANS((360+$A54*180)-360))</f>
        <v/>
      </c>
      <c r="AP54">
        <f>0.9*SIN(RADIANS((540+$A54*180)-360))</f>
        <v/>
      </c>
      <c r="AQ54">
        <f>0.9*COS(RADIANS((540+$A54*180)-360))</f>
        <v/>
      </c>
      <c r="AR54">
        <f>0.8*SIN(RADIANS((720+$A54*180)-360))</f>
        <v/>
      </c>
      <c r="AS54">
        <f>0.8*COS(RADIANS((720+$A54*180)-360))</f>
        <v/>
      </c>
      <c r="AT54">
        <f>0.7*SIN(RADIANS((900+$A54*180)-360))</f>
        <v/>
      </c>
      <c r="AU54">
        <f>0.7*COS(RADIANS((900+$A54*180)-360))</f>
        <v/>
      </c>
    </row>
    <row r="55">
      <c r="A55" s="26">
        <f>53/60</f>
        <v/>
      </c>
      <c r="B55" s="49">
        <f>(360-Simulador!$B$7)+$A55*((540+Simulador!$B$8)-(360-Simulador!$B$7))</f>
        <v/>
      </c>
      <c r="C55" s="49">
        <f>1.0*SIN(RADIANS(B55-360))</f>
        <v/>
      </c>
      <c r="D55" s="49">
        <f>1.0*COS(RADIANS(B55-360))</f>
        <v/>
      </c>
      <c r="E55" s="49">
        <f>(540+Simulador!$B$8)+$A55*((720-'Diagrama circular'!$B$9)-(540+Simulador!$B$8))</f>
        <v/>
      </c>
      <c r="F55" s="49">
        <f>0.88*SIN(RADIANS(E55-360))</f>
        <v/>
      </c>
      <c r="G55" s="49">
        <f>0.88*COS(RADIANS(E55-360))</f>
        <v/>
      </c>
      <c r="H55" s="49">
        <f>(720-'Diagrama circular'!$B$9)+$A55*((720)-(720-'Diagrama circular'!$B$9))</f>
        <v/>
      </c>
      <c r="I55" s="49">
        <f>0.88*SIN(RADIANS(H55-360))</f>
        <v/>
      </c>
      <c r="J55" s="49">
        <f>0.88*COS(RADIANS(H55-360))</f>
        <v/>
      </c>
      <c r="K55" s="49">
        <f>(720)+$A55*((900-Simulador!$B$5)-(720))</f>
        <v/>
      </c>
      <c r="L55" s="49">
        <f>0.76*SIN(RADIANS(K55-360))</f>
        <v/>
      </c>
      <c r="M55" s="49">
        <f>0.76*COS(RADIANS(K55-360))</f>
        <v/>
      </c>
      <c r="N55" s="49">
        <f>(900-Simulador!$B$5)+$A55*((1080+Simulador!$B$6)-(900-Simulador!$B$5))</f>
        <v/>
      </c>
      <c r="O55" s="49">
        <f>0.64*SIN(RADIANS(N55-360))</f>
        <v/>
      </c>
      <c r="P55" s="49">
        <f>0.64*COS(RADIANS(N55-360))</f>
        <v/>
      </c>
      <c r="Q55" s="49">
        <f>(360-Simulador!$B$7)+$A55*((360+Simulador!$B$6)-(360-Simulador!$B$7))</f>
        <v/>
      </c>
      <c r="R55" s="49">
        <f>0.42*SIN(RADIANS(Q55-360))</f>
        <v/>
      </c>
      <c r="S55" s="49">
        <f>0.42*COS(RADIANS(Q55-360))</f>
        <v/>
      </c>
      <c r="AN55">
        <f>1.0*SIN(RADIANS((360+$A55*180)-360))</f>
        <v/>
      </c>
      <c r="AO55">
        <f>1.0*COS(RADIANS((360+$A55*180)-360))</f>
        <v/>
      </c>
      <c r="AP55">
        <f>0.9*SIN(RADIANS((540+$A55*180)-360))</f>
        <v/>
      </c>
      <c r="AQ55">
        <f>0.9*COS(RADIANS((540+$A55*180)-360))</f>
        <v/>
      </c>
      <c r="AR55">
        <f>0.8*SIN(RADIANS((720+$A55*180)-360))</f>
        <v/>
      </c>
      <c r="AS55">
        <f>0.8*COS(RADIANS((720+$A55*180)-360))</f>
        <v/>
      </c>
      <c r="AT55">
        <f>0.7*SIN(RADIANS((900+$A55*180)-360))</f>
        <v/>
      </c>
      <c r="AU55">
        <f>0.7*COS(RADIANS((900+$A55*180)-360))</f>
        <v/>
      </c>
    </row>
    <row r="56">
      <c r="A56" s="26">
        <f>54/60</f>
        <v/>
      </c>
      <c r="B56" s="49">
        <f>(360-Simulador!$B$7)+$A56*((540+Simulador!$B$8)-(360-Simulador!$B$7))</f>
        <v/>
      </c>
      <c r="C56" s="49">
        <f>1.0*SIN(RADIANS(B56-360))</f>
        <v/>
      </c>
      <c r="D56" s="49">
        <f>1.0*COS(RADIANS(B56-360))</f>
        <v/>
      </c>
      <c r="E56" s="49">
        <f>(540+Simulador!$B$8)+$A56*((720-'Diagrama circular'!$B$9)-(540+Simulador!$B$8))</f>
        <v/>
      </c>
      <c r="F56" s="49">
        <f>0.88*SIN(RADIANS(E56-360))</f>
        <v/>
      </c>
      <c r="G56" s="49">
        <f>0.88*COS(RADIANS(E56-360))</f>
        <v/>
      </c>
      <c r="H56" s="49">
        <f>(720-'Diagrama circular'!$B$9)+$A56*((720)-(720-'Diagrama circular'!$B$9))</f>
        <v/>
      </c>
      <c r="I56" s="49">
        <f>0.88*SIN(RADIANS(H56-360))</f>
        <v/>
      </c>
      <c r="J56" s="49">
        <f>0.88*COS(RADIANS(H56-360))</f>
        <v/>
      </c>
      <c r="K56" s="49">
        <f>(720)+$A56*((900-Simulador!$B$5)-(720))</f>
        <v/>
      </c>
      <c r="L56" s="49">
        <f>0.76*SIN(RADIANS(K56-360))</f>
        <v/>
      </c>
      <c r="M56" s="49">
        <f>0.76*COS(RADIANS(K56-360))</f>
        <v/>
      </c>
      <c r="N56" s="49">
        <f>(900-Simulador!$B$5)+$A56*((1080+Simulador!$B$6)-(900-Simulador!$B$5))</f>
        <v/>
      </c>
      <c r="O56" s="49">
        <f>0.64*SIN(RADIANS(N56-360))</f>
        <v/>
      </c>
      <c r="P56" s="49">
        <f>0.64*COS(RADIANS(N56-360))</f>
        <v/>
      </c>
      <c r="Q56" s="49">
        <f>(360-Simulador!$B$7)+$A56*((360+Simulador!$B$6)-(360-Simulador!$B$7))</f>
        <v/>
      </c>
      <c r="R56" s="49">
        <f>0.42*SIN(RADIANS(Q56-360))</f>
        <v/>
      </c>
      <c r="S56" s="49">
        <f>0.42*COS(RADIANS(Q56-360))</f>
        <v/>
      </c>
      <c r="AN56">
        <f>1.0*SIN(RADIANS((360+$A56*180)-360))</f>
        <v/>
      </c>
      <c r="AO56">
        <f>1.0*COS(RADIANS((360+$A56*180)-360))</f>
        <v/>
      </c>
      <c r="AP56">
        <f>0.9*SIN(RADIANS((540+$A56*180)-360))</f>
        <v/>
      </c>
      <c r="AQ56">
        <f>0.9*COS(RADIANS((540+$A56*180)-360))</f>
        <v/>
      </c>
      <c r="AR56">
        <f>0.8*SIN(RADIANS((720+$A56*180)-360))</f>
        <v/>
      </c>
      <c r="AS56">
        <f>0.8*COS(RADIANS((720+$A56*180)-360))</f>
        <v/>
      </c>
      <c r="AT56">
        <f>0.7*SIN(RADIANS((900+$A56*180)-360))</f>
        <v/>
      </c>
      <c r="AU56">
        <f>0.7*COS(RADIANS((900+$A56*180)-360))</f>
        <v/>
      </c>
    </row>
    <row r="57">
      <c r="A57" s="26">
        <f>55/60</f>
        <v/>
      </c>
      <c r="B57" s="49">
        <f>(360-Simulador!$B$7)+$A57*((540+Simulador!$B$8)-(360-Simulador!$B$7))</f>
        <v/>
      </c>
      <c r="C57" s="49">
        <f>1.0*SIN(RADIANS(B57-360))</f>
        <v/>
      </c>
      <c r="D57" s="49">
        <f>1.0*COS(RADIANS(B57-360))</f>
        <v/>
      </c>
      <c r="E57" s="49">
        <f>(540+Simulador!$B$8)+$A57*((720-'Diagrama circular'!$B$9)-(540+Simulador!$B$8))</f>
        <v/>
      </c>
      <c r="F57" s="49">
        <f>0.88*SIN(RADIANS(E57-360))</f>
        <v/>
      </c>
      <c r="G57" s="49">
        <f>0.88*COS(RADIANS(E57-360))</f>
        <v/>
      </c>
      <c r="H57" s="49">
        <f>(720-'Diagrama circular'!$B$9)+$A57*((720)-(720-'Diagrama circular'!$B$9))</f>
        <v/>
      </c>
      <c r="I57" s="49">
        <f>0.88*SIN(RADIANS(H57-360))</f>
        <v/>
      </c>
      <c r="J57" s="49">
        <f>0.88*COS(RADIANS(H57-360))</f>
        <v/>
      </c>
      <c r="K57" s="49">
        <f>(720)+$A57*((900-Simulador!$B$5)-(720))</f>
        <v/>
      </c>
      <c r="L57" s="49">
        <f>0.76*SIN(RADIANS(K57-360))</f>
        <v/>
      </c>
      <c r="M57" s="49">
        <f>0.76*COS(RADIANS(K57-360))</f>
        <v/>
      </c>
      <c r="N57" s="49">
        <f>(900-Simulador!$B$5)+$A57*((1080+Simulador!$B$6)-(900-Simulador!$B$5))</f>
        <v/>
      </c>
      <c r="O57" s="49">
        <f>0.64*SIN(RADIANS(N57-360))</f>
        <v/>
      </c>
      <c r="P57" s="49">
        <f>0.64*COS(RADIANS(N57-360))</f>
        <v/>
      </c>
      <c r="Q57" s="49">
        <f>(360-Simulador!$B$7)+$A57*((360+Simulador!$B$6)-(360-Simulador!$B$7))</f>
        <v/>
      </c>
      <c r="R57" s="49">
        <f>0.42*SIN(RADIANS(Q57-360))</f>
        <v/>
      </c>
      <c r="S57" s="49">
        <f>0.42*COS(RADIANS(Q57-360))</f>
        <v/>
      </c>
      <c r="AN57">
        <f>1.0*SIN(RADIANS((360+$A57*180)-360))</f>
        <v/>
      </c>
      <c r="AO57">
        <f>1.0*COS(RADIANS((360+$A57*180)-360))</f>
        <v/>
      </c>
      <c r="AP57">
        <f>0.9*SIN(RADIANS((540+$A57*180)-360))</f>
        <v/>
      </c>
      <c r="AQ57">
        <f>0.9*COS(RADIANS((540+$A57*180)-360))</f>
        <v/>
      </c>
      <c r="AR57">
        <f>0.8*SIN(RADIANS((720+$A57*180)-360))</f>
        <v/>
      </c>
      <c r="AS57">
        <f>0.8*COS(RADIANS((720+$A57*180)-360))</f>
        <v/>
      </c>
      <c r="AT57">
        <f>0.7*SIN(RADIANS((900+$A57*180)-360))</f>
        <v/>
      </c>
      <c r="AU57">
        <f>0.7*COS(RADIANS((900+$A57*180)-360))</f>
        <v/>
      </c>
    </row>
    <row r="58">
      <c r="A58" s="26">
        <f>56/60</f>
        <v/>
      </c>
      <c r="B58" s="49">
        <f>(360-Simulador!$B$7)+$A58*((540+Simulador!$B$8)-(360-Simulador!$B$7))</f>
        <v/>
      </c>
      <c r="C58" s="49">
        <f>1.0*SIN(RADIANS(B58-360))</f>
        <v/>
      </c>
      <c r="D58" s="49">
        <f>1.0*COS(RADIANS(B58-360))</f>
        <v/>
      </c>
      <c r="E58" s="49">
        <f>(540+Simulador!$B$8)+$A58*((720-'Diagrama circular'!$B$9)-(540+Simulador!$B$8))</f>
        <v/>
      </c>
      <c r="F58" s="49">
        <f>0.88*SIN(RADIANS(E58-360))</f>
        <v/>
      </c>
      <c r="G58" s="49">
        <f>0.88*COS(RADIANS(E58-360))</f>
        <v/>
      </c>
      <c r="H58" s="49">
        <f>(720-'Diagrama circular'!$B$9)+$A58*((720)-(720-'Diagrama circular'!$B$9))</f>
        <v/>
      </c>
      <c r="I58" s="49">
        <f>0.88*SIN(RADIANS(H58-360))</f>
        <v/>
      </c>
      <c r="J58" s="49">
        <f>0.88*COS(RADIANS(H58-360))</f>
        <v/>
      </c>
      <c r="K58" s="49">
        <f>(720)+$A58*((900-Simulador!$B$5)-(720))</f>
        <v/>
      </c>
      <c r="L58" s="49">
        <f>0.76*SIN(RADIANS(K58-360))</f>
        <v/>
      </c>
      <c r="M58" s="49">
        <f>0.76*COS(RADIANS(K58-360))</f>
        <v/>
      </c>
      <c r="N58" s="49">
        <f>(900-Simulador!$B$5)+$A58*((1080+Simulador!$B$6)-(900-Simulador!$B$5))</f>
        <v/>
      </c>
      <c r="O58" s="49">
        <f>0.64*SIN(RADIANS(N58-360))</f>
        <v/>
      </c>
      <c r="P58" s="49">
        <f>0.64*COS(RADIANS(N58-360))</f>
        <v/>
      </c>
      <c r="Q58" s="49">
        <f>(360-Simulador!$B$7)+$A58*((360+Simulador!$B$6)-(360-Simulador!$B$7))</f>
        <v/>
      </c>
      <c r="R58" s="49">
        <f>0.42*SIN(RADIANS(Q58-360))</f>
        <v/>
      </c>
      <c r="S58" s="49">
        <f>0.42*COS(RADIANS(Q58-360))</f>
        <v/>
      </c>
      <c r="AN58">
        <f>1.0*SIN(RADIANS((360+$A58*180)-360))</f>
        <v/>
      </c>
      <c r="AO58">
        <f>1.0*COS(RADIANS((360+$A58*180)-360))</f>
        <v/>
      </c>
      <c r="AP58">
        <f>0.9*SIN(RADIANS((540+$A58*180)-360))</f>
        <v/>
      </c>
      <c r="AQ58">
        <f>0.9*COS(RADIANS((540+$A58*180)-360))</f>
        <v/>
      </c>
      <c r="AR58">
        <f>0.8*SIN(RADIANS((720+$A58*180)-360))</f>
        <v/>
      </c>
      <c r="AS58">
        <f>0.8*COS(RADIANS((720+$A58*180)-360))</f>
        <v/>
      </c>
      <c r="AT58">
        <f>0.7*SIN(RADIANS((900+$A58*180)-360))</f>
        <v/>
      </c>
      <c r="AU58">
        <f>0.7*COS(RADIANS((900+$A58*180)-360))</f>
        <v/>
      </c>
    </row>
    <row r="59">
      <c r="A59" s="26">
        <f>57/60</f>
        <v/>
      </c>
      <c r="B59" s="49">
        <f>(360-Simulador!$B$7)+$A59*((540+Simulador!$B$8)-(360-Simulador!$B$7))</f>
        <v/>
      </c>
      <c r="C59" s="49">
        <f>1.0*SIN(RADIANS(B59-360))</f>
        <v/>
      </c>
      <c r="D59" s="49">
        <f>1.0*COS(RADIANS(B59-360))</f>
        <v/>
      </c>
      <c r="E59" s="49">
        <f>(540+Simulador!$B$8)+$A59*((720-'Diagrama circular'!$B$9)-(540+Simulador!$B$8))</f>
        <v/>
      </c>
      <c r="F59" s="49">
        <f>0.88*SIN(RADIANS(E59-360))</f>
        <v/>
      </c>
      <c r="G59" s="49">
        <f>0.88*COS(RADIANS(E59-360))</f>
        <v/>
      </c>
      <c r="H59" s="49">
        <f>(720-'Diagrama circular'!$B$9)+$A59*((720)-(720-'Diagrama circular'!$B$9))</f>
        <v/>
      </c>
      <c r="I59" s="49">
        <f>0.88*SIN(RADIANS(H59-360))</f>
        <v/>
      </c>
      <c r="J59" s="49">
        <f>0.88*COS(RADIANS(H59-360))</f>
        <v/>
      </c>
      <c r="K59" s="49">
        <f>(720)+$A59*((900-Simulador!$B$5)-(720))</f>
        <v/>
      </c>
      <c r="L59" s="49">
        <f>0.76*SIN(RADIANS(K59-360))</f>
        <v/>
      </c>
      <c r="M59" s="49">
        <f>0.76*COS(RADIANS(K59-360))</f>
        <v/>
      </c>
      <c r="N59" s="49">
        <f>(900-Simulador!$B$5)+$A59*((1080+Simulador!$B$6)-(900-Simulador!$B$5))</f>
        <v/>
      </c>
      <c r="O59" s="49">
        <f>0.64*SIN(RADIANS(N59-360))</f>
        <v/>
      </c>
      <c r="P59" s="49">
        <f>0.64*COS(RADIANS(N59-360))</f>
        <v/>
      </c>
      <c r="Q59" s="49">
        <f>(360-Simulador!$B$7)+$A59*((360+Simulador!$B$6)-(360-Simulador!$B$7))</f>
        <v/>
      </c>
      <c r="R59" s="49">
        <f>0.42*SIN(RADIANS(Q59-360))</f>
        <v/>
      </c>
      <c r="S59" s="49">
        <f>0.42*COS(RADIANS(Q59-360))</f>
        <v/>
      </c>
      <c r="AN59">
        <f>1.0*SIN(RADIANS((360+$A59*180)-360))</f>
        <v/>
      </c>
      <c r="AO59">
        <f>1.0*COS(RADIANS((360+$A59*180)-360))</f>
        <v/>
      </c>
      <c r="AP59">
        <f>0.9*SIN(RADIANS((540+$A59*180)-360))</f>
        <v/>
      </c>
      <c r="AQ59">
        <f>0.9*COS(RADIANS((540+$A59*180)-360))</f>
        <v/>
      </c>
      <c r="AR59">
        <f>0.8*SIN(RADIANS((720+$A59*180)-360))</f>
        <v/>
      </c>
      <c r="AS59">
        <f>0.8*COS(RADIANS((720+$A59*180)-360))</f>
        <v/>
      </c>
      <c r="AT59">
        <f>0.7*SIN(RADIANS((900+$A59*180)-360))</f>
        <v/>
      </c>
      <c r="AU59">
        <f>0.7*COS(RADIANS((900+$A59*180)-360))</f>
        <v/>
      </c>
    </row>
    <row r="60">
      <c r="A60" s="26">
        <f>58/60</f>
        <v/>
      </c>
      <c r="B60" s="49">
        <f>(360-Simulador!$B$7)+$A60*((540+Simulador!$B$8)-(360-Simulador!$B$7))</f>
        <v/>
      </c>
      <c r="C60" s="49">
        <f>1.0*SIN(RADIANS(B60-360))</f>
        <v/>
      </c>
      <c r="D60" s="49">
        <f>1.0*COS(RADIANS(B60-360))</f>
        <v/>
      </c>
      <c r="E60" s="49">
        <f>(540+Simulador!$B$8)+$A60*((720-'Diagrama circular'!$B$9)-(540+Simulador!$B$8))</f>
        <v/>
      </c>
      <c r="F60" s="49">
        <f>0.88*SIN(RADIANS(E60-360))</f>
        <v/>
      </c>
      <c r="G60" s="49">
        <f>0.88*COS(RADIANS(E60-360))</f>
        <v/>
      </c>
      <c r="H60" s="49">
        <f>(720-'Diagrama circular'!$B$9)+$A60*((720)-(720-'Diagrama circular'!$B$9))</f>
        <v/>
      </c>
      <c r="I60" s="49">
        <f>0.88*SIN(RADIANS(H60-360))</f>
        <v/>
      </c>
      <c r="J60" s="49">
        <f>0.88*COS(RADIANS(H60-360))</f>
        <v/>
      </c>
      <c r="K60" s="49">
        <f>(720)+$A60*((900-Simulador!$B$5)-(720))</f>
        <v/>
      </c>
      <c r="L60" s="49">
        <f>0.76*SIN(RADIANS(K60-360))</f>
        <v/>
      </c>
      <c r="M60" s="49">
        <f>0.76*COS(RADIANS(K60-360))</f>
        <v/>
      </c>
      <c r="N60" s="49">
        <f>(900-Simulador!$B$5)+$A60*((1080+Simulador!$B$6)-(900-Simulador!$B$5))</f>
        <v/>
      </c>
      <c r="O60" s="49">
        <f>0.64*SIN(RADIANS(N60-360))</f>
        <v/>
      </c>
      <c r="P60" s="49">
        <f>0.64*COS(RADIANS(N60-360))</f>
        <v/>
      </c>
      <c r="Q60" s="49">
        <f>(360-Simulador!$B$7)+$A60*((360+Simulador!$B$6)-(360-Simulador!$B$7))</f>
        <v/>
      </c>
      <c r="R60" s="49">
        <f>0.42*SIN(RADIANS(Q60-360))</f>
        <v/>
      </c>
      <c r="S60" s="49">
        <f>0.42*COS(RADIANS(Q60-360))</f>
        <v/>
      </c>
      <c r="AN60">
        <f>1.0*SIN(RADIANS((360+$A60*180)-360))</f>
        <v/>
      </c>
      <c r="AO60">
        <f>1.0*COS(RADIANS((360+$A60*180)-360))</f>
        <v/>
      </c>
      <c r="AP60">
        <f>0.9*SIN(RADIANS((540+$A60*180)-360))</f>
        <v/>
      </c>
      <c r="AQ60">
        <f>0.9*COS(RADIANS((540+$A60*180)-360))</f>
        <v/>
      </c>
      <c r="AR60">
        <f>0.8*SIN(RADIANS((720+$A60*180)-360))</f>
        <v/>
      </c>
      <c r="AS60">
        <f>0.8*COS(RADIANS((720+$A60*180)-360))</f>
        <v/>
      </c>
      <c r="AT60">
        <f>0.7*SIN(RADIANS((900+$A60*180)-360))</f>
        <v/>
      </c>
      <c r="AU60">
        <f>0.7*COS(RADIANS((900+$A60*180)-360))</f>
        <v/>
      </c>
    </row>
    <row r="61">
      <c r="A61" s="26">
        <f>59/60</f>
        <v/>
      </c>
      <c r="B61" s="49">
        <f>(360-Simulador!$B$7)+$A61*((540+Simulador!$B$8)-(360-Simulador!$B$7))</f>
        <v/>
      </c>
      <c r="C61" s="49">
        <f>1.0*SIN(RADIANS(B61-360))</f>
        <v/>
      </c>
      <c r="D61" s="49">
        <f>1.0*COS(RADIANS(B61-360))</f>
        <v/>
      </c>
      <c r="E61" s="49">
        <f>(540+Simulador!$B$8)+$A61*((720-'Diagrama circular'!$B$9)-(540+Simulador!$B$8))</f>
        <v/>
      </c>
      <c r="F61" s="49">
        <f>0.88*SIN(RADIANS(E61-360))</f>
        <v/>
      </c>
      <c r="G61" s="49">
        <f>0.88*COS(RADIANS(E61-360))</f>
        <v/>
      </c>
      <c r="H61" s="49">
        <f>(720-'Diagrama circular'!$B$9)+$A61*((720)-(720-'Diagrama circular'!$B$9))</f>
        <v/>
      </c>
      <c r="I61" s="49">
        <f>0.88*SIN(RADIANS(H61-360))</f>
        <v/>
      </c>
      <c r="J61" s="49">
        <f>0.88*COS(RADIANS(H61-360))</f>
        <v/>
      </c>
      <c r="K61" s="49">
        <f>(720)+$A61*((900-Simulador!$B$5)-(720))</f>
        <v/>
      </c>
      <c r="L61" s="49">
        <f>0.76*SIN(RADIANS(K61-360))</f>
        <v/>
      </c>
      <c r="M61" s="49">
        <f>0.76*COS(RADIANS(K61-360))</f>
        <v/>
      </c>
      <c r="N61" s="49">
        <f>(900-Simulador!$B$5)+$A61*((1080+Simulador!$B$6)-(900-Simulador!$B$5))</f>
        <v/>
      </c>
      <c r="O61" s="49">
        <f>0.64*SIN(RADIANS(N61-360))</f>
        <v/>
      </c>
      <c r="P61" s="49">
        <f>0.64*COS(RADIANS(N61-360))</f>
        <v/>
      </c>
      <c r="Q61" s="49">
        <f>(360-Simulador!$B$7)+$A61*((360+Simulador!$B$6)-(360-Simulador!$B$7))</f>
        <v/>
      </c>
      <c r="R61" s="49">
        <f>0.42*SIN(RADIANS(Q61-360))</f>
        <v/>
      </c>
      <c r="S61" s="49">
        <f>0.42*COS(RADIANS(Q61-360))</f>
        <v/>
      </c>
      <c r="AN61">
        <f>1.0*SIN(RADIANS((360+$A61*180)-360))</f>
        <v/>
      </c>
      <c r="AO61">
        <f>1.0*COS(RADIANS((360+$A61*180)-360))</f>
        <v/>
      </c>
      <c r="AP61">
        <f>0.9*SIN(RADIANS((540+$A61*180)-360))</f>
        <v/>
      </c>
      <c r="AQ61">
        <f>0.9*COS(RADIANS((540+$A61*180)-360))</f>
        <v/>
      </c>
      <c r="AR61">
        <f>0.8*SIN(RADIANS((720+$A61*180)-360))</f>
        <v/>
      </c>
      <c r="AS61">
        <f>0.8*COS(RADIANS((720+$A61*180)-360))</f>
        <v/>
      </c>
      <c r="AT61">
        <f>0.7*SIN(RADIANS((900+$A61*180)-360))</f>
        <v/>
      </c>
      <c r="AU61">
        <f>0.7*COS(RADIANS((900+$A61*180)-360))</f>
        <v/>
      </c>
    </row>
    <row r="62">
      <c r="A62" s="26">
        <f>60/60</f>
        <v/>
      </c>
      <c r="B62" s="49">
        <f>(360-Simulador!$B$7)+$A62*((540+Simulador!$B$8)-(360-Simulador!$B$7))</f>
        <v/>
      </c>
      <c r="C62" s="49">
        <f>1.0*SIN(RADIANS(B62-360))</f>
        <v/>
      </c>
      <c r="D62" s="49">
        <f>1.0*COS(RADIANS(B62-360))</f>
        <v/>
      </c>
      <c r="E62" s="49">
        <f>(540+Simulador!$B$8)+$A62*((720-'Diagrama circular'!$B$9)-(540+Simulador!$B$8))</f>
        <v/>
      </c>
      <c r="F62" s="49">
        <f>0.88*SIN(RADIANS(E62-360))</f>
        <v/>
      </c>
      <c r="G62" s="49">
        <f>0.88*COS(RADIANS(E62-360))</f>
        <v/>
      </c>
      <c r="H62" s="49">
        <f>(720-'Diagrama circular'!$B$9)+$A62*((720)-(720-'Diagrama circular'!$B$9))</f>
        <v/>
      </c>
      <c r="I62" s="49">
        <f>0.88*SIN(RADIANS(H62-360))</f>
        <v/>
      </c>
      <c r="J62" s="49">
        <f>0.88*COS(RADIANS(H62-360))</f>
        <v/>
      </c>
      <c r="K62" s="49">
        <f>(720)+$A62*((900-Simulador!$B$5)-(720))</f>
        <v/>
      </c>
      <c r="L62" s="49">
        <f>0.76*SIN(RADIANS(K62-360))</f>
        <v/>
      </c>
      <c r="M62" s="49">
        <f>0.76*COS(RADIANS(K62-360))</f>
        <v/>
      </c>
      <c r="N62" s="49">
        <f>(900-Simulador!$B$5)+$A62*((1080+Simulador!$B$6)-(900-Simulador!$B$5))</f>
        <v/>
      </c>
      <c r="O62" s="49">
        <f>0.64*SIN(RADIANS(N62-360))</f>
        <v/>
      </c>
      <c r="P62" s="49">
        <f>0.64*COS(RADIANS(N62-360))</f>
        <v/>
      </c>
      <c r="Q62" s="49">
        <f>(360-Simulador!$B$7)+$A62*((360+Simulador!$B$6)-(360-Simulador!$B$7))</f>
        <v/>
      </c>
      <c r="R62" s="49">
        <f>0.42*SIN(RADIANS(Q62-360))</f>
        <v/>
      </c>
      <c r="S62" s="49">
        <f>0.42*COS(RADIANS(Q62-360))</f>
        <v/>
      </c>
      <c r="AN62">
        <f>1.0*SIN(RADIANS((360+$A62*180)-360))</f>
        <v/>
      </c>
      <c r="AO62">
        <f>1.0*COS(RADIANS((360+$A62*180)-360))</f>
        <v/>
      </c>
      <c r="AP62">
        <f>0.9*SIN(RADIANS((540+$A62*180)-360))</f>
        <v/>
      </c>
      <c r="AQ62">
        <f>0.9*COS(RADIANS((540+$A62*180)-360))</f>
        <v/>
      </c>
      <c r="AR62">
        <f>0.8*SIN(RADIANS((720+$A62*180)-360))</f>
        <v/>
      </c>
      <c r="AS62">
        <f>0.8*COS(RADIANS((720+$A62*180)-360))</f>
        <v/>
      </c>
      <c r="AT62">
        <f>0.7*SIN(RADIANS((900+$A62*180)-360))</f>
        <v/>
      </c>
      <c r="AU62">
        <f>0.7*COS(RADIANS((900+$A62*180)-360))</f>
        <v/>
      </c>
    </row>
    <row r="66">
      <c r="AN66" t="inlineStr">
        <is>
          <t>Admisión</t>
        </is>
      </c>
      <c r="AO66">
        <f>AN32</f>
        <v/>
      </c>
      <c r="AP66">
        <f>AO32</f>
        <v/>
      </c>
    </row>
    <row r="67">
      <c r="AN67" t="inlineStr">
        <is>
          <t>Compresión</t>
        </is>
      </c>
      <c r="AO67">
        <f>AP32</f>
        <v/>
      </c>
      <c r="AP67">
        <f>AQ32</f>
        <v/>
      </c>
    </row>
    <row r="68">
      <c r="AN68" t="inlineStr">
        <is>
          <t>Expansión</t>
        </is>
      </c>
      <c r="AO68">
        <f>AR32</f>
        <v/>
      </c>
      <c r="AP68">
        <f>AS32</f>
        <v/>
      </c>
    </row>
    <row r="69">
      <c r="AN69" t="inlineStr">
        <is>
          <t>Escape</t>
        </is>
      </c>
      <c r="AO69">
        <f>AT32</f>
        <v/>
      </c>
      <c r="AP69">
        <f>AU32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C8C8C"/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Secuencias genéricas en espiral (centro → extremos) (no editar)</t>
        </is>
      </c>
    </row>
    <row r="2">
      <c r="A2" t="inlineStr">
        <is>
          <t>Fila superior (n | columnas 1–9)</t>
        </is>
      </c>
    </row>
    <row r="3">
      <c r="A3" t="n">
        <v>8</v>
      </c>
      <c r="B3" t="n">
        <v>5</v>
      </c>
      <c r="C3" t="n">
        <v>1</v>
      </c>
      <c r="D3" t="n">
        <v>3</v>
      </c>
      <c r="E3" t="n">
        <v>7</v>
      </c>
    </row>
    <row r="4">
      <c r="A4" t="n">
        <v>10</v>
      </c>
      <c r="B4" t="n">
        <v>7</v>
      </c>
      <c r="C4" t="n">
        <v>3</v>
      </c>
      <c r="D4" t="n">
        <v>1</v>
      </c>
      <c r="E4" t="n">
        <v>5</v>
      </c>
      <c r="F4" t="n">
        <v>9</v>
      </c>
    </row>
    <row r="5">
      <c r="A5" t="n">
        <v>12</v>
      </c>
      <c r="B5" t="n">
        <v>9</v>
      </c>
      <c r="C5" t="n">
        <v>5</v>
      </c>
      <c r="D5" t="n">
        <v>1</v>
      </c>
      <c r="E5" t="n">
        <v>3</v>
      </c>
      <c r="F5" t="n">
        <v>7</v>
      </c>
      <c r="G5" t="n">
        <v>11</v>
      </c>
    </row>
    <row r="6">
      <c r="A6" t="n">
        <v>14</v>
      </c>
      <c r="B6" t="n">
        <v>11</v>
      </c>
      <c r="C6" t="n">
        <v>7</v>
      </c>
      <c r="D6" t="n">
        <v>3</v>
      </c>
      <c r="E6" t="n">
        <v>1</v>
      </c>
      <c r="F6" t="n">
        <v>5</v>
      </c>
      <c r="G6" t="n">
        <v>9</v>
      </c>
      <c r="H6" t="n">
        <v>13</v>
      </c>
    </row>
    <row r="7">
      <c r="A7" t="n">
        <v>16</v>
      </c>
      <c r="B7" t="n">
        <v>13</v>
      </c>
      <c r="C7" t="n">
        <v>9</v>
      </c>
      <c r="D7" t="n">
        <v>5</v>
      </c>
      <c r="E7" t="n">
        <v>1</v>
      </c>
      <c r="F7" t="n">
        <v>3</v>
      </c>
      <c r="G7" t="n">
        <v>7</v>
      </c>
      <c r="H7" t="n">
        <v>11</v>
      </c>
      <c r="I7" t="n">
        <v>15</v>
      </c>
    </row>
    <row r="8">
      <c r="A8" t="n">
        <v>18</v>
      </c>
      <c r="B8" t="n">
        <v>15</v>
      </c>
      <c r="C8" t="n">
        <v>11</v>
      </c>
      <c r="D8" t="n">
        <v>7</v>
      </c>
      <c r="E8" t="n">
        <v>3</v>
      </c>
      <c r="F8" t="n">
        <v>1</v>
      </c>
      <c r="G8" t="n">
        <v>5</v>
      </c>
      <c r="H8" t="n">
        <v>9</v>
      </c>
      <c r="I8" t="n">
        <v>13</v>
      </c>
      <c r="J8" t="n">
        <v>17</v>
      </c>
    </row>
    <row r="11">
      <c r="A11" t="inlineStr">
        <is>
          <t>Fila inferior (n | columnas 1–9)</t>
        </is>
      </c>
    </row>
    <row r="12">
      <c r="A12" t="n">
        <v>8</v>
      </c>
      <c r="B12" t="n">
        <v>8</v>
      </c>
      <c r="C12" t="n">
        <v>4</v>
      </c>
      <c r="D12" t="n">
        <v>2</v>
      </c>
      <c r="E12" t="n">
        <v>6</v>
      </c>
    </row>
    <row r="13">
      <c r="A13" t="n">
        <v>10</v>
      </c>
      <c r="B13" t="n">
        <v>10</v>
      </c>
      <c r="C13" t="n">
        <v>6</v>
      </c>
      <c r="D13" t="n">
        <v>2</v>
      </c>
      <c r="E13" t="n">
        <v>4</v>
      </c>
      <c r="F13" t="n">
        <v>8</v>
      </c>
    </row>
    <row r="14">
      <c r="A14" t="n">
        <v>12</v>
      </c>
      <c r="B14" t="n">
        <v>12</v>
      </c>
      <c r="C14" t="n">
        <v>8</v>
      </c>
      <c r="D14" t="n">
        <v>4</v>
      </c>
      <c r="E14" t="n">
        <v>2</v>
      </c>
      <c r="F14" t="n">
        <v>6</v>
      </c>
      <c r="G14" t="n">
        <v>10</v>
      </c>
    </row>
    <row r="15">
      <c r="A15" t="n">
        <v>14</v>
      </c>
      <c r="B15" t="n">
        <v>14</v>
      </c>
      <c r="C15" t="n">
        <v>10</v>
      </c>
      <c r="D15" t="n">
        <v>6</v>
      </c>
      <c r="E15" t="n">
        <v>2</v>
      </c>
      <c r="F15" t="n">
        <v>4</v>
      </c>
      <c r="G15" t="n">
        <v>8</v>
      </c>
      <c r="H15" t="n">
        <v>12</v>
      </c>
    </row>
    <row r="16">
      <c r="A16" t="n">
        <v>16</v>
      </c>
      <c r="B16" t="n">
        <v>16</v>
      </c>
      <c r="C16" t="n">
        <v>12</v>
      </c>
      <c r="D16" t="n">
        <v>8</v>
      </c>
      <c r="E16" t="n">
        <v>4</v>
      </c>
      <c r="F16" t="n">
        <v>2</v>
      </c>
      <c r="G16" t="n">
        <v>6</v>
      </c>
      <c r="H16" t="n">
        <v>10</v>
      </c>
      <c r="I16" t="n">
        <v>14</v>
      </c>
    </row>
    <row r="17">
      <c r="A17" t="n">
        <v>18</v>
      </c>
      <c r="B17" t="n">
        <v>18</v>
      </c>
      <c r="C17" t="n">
        <v>14</v>
      </c>
      <c r="D17" t="n">
        <v>10</v>
      </c>
      <c r="E17" t="n">
        <v>6</v>
      </c>
      <c r="F17" t="n">
        <v>2</v>
      </c>
      <c r="G17" t="n">
        <v>4</v>
      </c>
      <c r="H17" t="n">
        <v>8</v>
      </c>
      <c r="I17" t="n">
        <v>12</v>
      </c>
      <c r="J17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C8C8C"/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Curvas fuerza–longitud (no editar)</t>
        </is>
      </c>
    </row>
    <row r="2">
      <c r="A2" s="3" t="inlineStr">
        <is>
          <t>Longitud (mm)</t>
        </is>
      </c>
      <c r="B2" s="3" t="inlineStr">
        <is>
          <t>F especificada (N)</t>
        </is>
      </c>
      <c r="C2" s="3" t="inlineStr">
        <is>
          <t>F medida (N)</t>
        </is>
      </c>
      <c r="E2" s="3" t="inlineStr">
        <is>
          <t>Puntos</t>
        </is>
      </c>
      <c r="F2" s="3" t="inlineStr">
        <is>
          <t>F</t>
        </is>
      </c>
    </row>
    <row r="3">
      <c r="A3">
        <f>'Muelles de válvula'!$B$5-('Muelles de válvula'!$B$5-'Muelles de válvula'!$B$12)*0/20</f>
        <v/>
      </c>
      <c r="B3">
        <f>'Muelles de válvula'!$B$18*('Muelles de válvula'!$B$5-A3)</f>
        <v/>
      </c>
      <c r="C3">
        <f>'Muelles de válvula'!$B$19*MAX(0,'Muelles de válvula'!$B$7-A3)</f>
        <v/>
      </c>
      <c r="E3">
        <f>'Muelles de válvula'!B8</f>
        <v/>
      </c>
      <c r="F3">
        <f>'Muelles de válvula'!B9</f>
        <v/>
      </c>
      <c r="H3">
        <f>'Muelles de válvula'!B8</f>
        <v/>
      </c>
      <c r="I3">
        <f>'Muelles de válvula'!B10</f>
        <v/>
      </c>
    </row>
    <row r="4">
      <c r="A4">
        <f>'Muelles de válvula'!$B$5-('Muelles de válvula'!$B$5-'Muelles de válvula'!$B$12)*1/20</f>
        <v/>
      </c>
      <c r="B4">
        <f>'Muelles de válvula'!$B$18*('Muelles de válvula'!$B$5-A4)</f>
        <v/>
      </c>
      <c r="C4">
        <f>'Muelles de válvula'!$B$19*MAX(0,'Muelles de válvula'!$B$7-A4)</f>
        <v/>
      </c>
      <c r="E4">
        <f>'Muelles de válvula'!B20</f>
        <v/>
      </c>
      <c r="F4">
        <f>'Muelles de válvula'!B21</f>
        <v/>
      </c>
      <c r="H4">
        <f>'Muelles de válvula'!B20</f>
        <v/>
      </c>
      <c r="I4">
        <f>'Muelles de válvula'!B22</f>
        <v/>
      </c>
    </row>
    <row r="5">
      <c r="A5">
        <f>'Muelles de válvula'!$B$5-('Muelles de válvula'!$B$5-'Muelles de válvula'!$B$12)*2/20</f>
        <v/>
      </c>
      <c r="B5">
        <f>'Muelles de válvula'!$B$18*('Muelles de válvula'!$B$5-A5)</f>
        <v/>
      </c>
      <c r="C5">
        <f>'Muelles de válvula'!$B$19*MAX(0,'Muelles de válvula'!$B$7-A5)</f>
        <v/>
      </c>
    </row>
    <row r="6">
      <c r="A6">
        <f>'Muelles de válvula'!$B$5-('Muelles de válvula'!$B$5-'Muelles de válvula'!$B$12)*3/20</f>
        <v/>
      </c>
      <c r="B6">
        <f>'Muelles de válvula'!$B$18*('Muelles de válvula'!$B$5-A6)</f>
        <v/>
      </c>
      <c r="C6">
        <f>'Muelles de válvula'!$B$19*MAX(0,'Muelles de válvula'!$B$7-A6)</f>
        <v/>
      </c>
    </row>
    <row r="7">
      <c r="A7">
        <f>'Muelles de válvula'!$B$5-('Muelles de válvula'!$B$5-'Muelles de válvula'!$B$12)*4/20</f>
        <v/>
      </c>
      <c r="B7">
        <f>'Muelles de válvula'!$B$18*('Muelles de válvula'!$B$5-A7)</f>
        <v/>
      </c>
      <c r="C7">
        <f>'Muelles de válvula'!$B$19*MAX(0,'Muelles de válvula'!$B$7-A7)</f>
        <v/>
      </c>
    </row>
    <row r="8">
      <c r="A8">
        <f>'Muelles de válvula'!$B$5-('Muelles de válvula'!$B$5-'Muelles de válvula'!$B$12)*5/20</f>
        <v/>
      </c>
      <c r="B8">
        <f>'Muelles de válvula'!$B$18*('Muelles de válvula'!$B$5-A8)</f>
        <v/>
      </c>
      <c r="C8">
        <f>'Muelles de válvula'!$B$19*MAX(0,'Muelles de válvula'!$B$7-A8)</f>
        <v/>
      </c>
    </row>
    <row r="9">
      <c r="A9">
        <f>'Muelles de válvula'!$B$5-('Muelles de válvula'!$B$5-'Muelles de válvula'!$B$12)*6/20</f>
        <v/>
      </c>
      <c r="B9">
        <f>'Muelles de válvula'!$B$18*('Muelles de válvula'!$B$5-A9)</f>
        <v/>
      </c>
      <c r="C9">
        <f>'Muelles de válvula'!$B$19*MAX(0,'Muelles de válvula'!$B$7-A9)</f>
        <v/>
      </c>
    </row>
    <row r="10">
      <c r="A10">
        <f>'Muelles de válvula'!$B$5-('Muelles de válvula'!$B$5-'Muelles de válvula'!$B$12)*7/20</f>
        <v/>
      </c>
      <c r="B10">
        <f>'Muelles de válvula'!$B$18*('Muelles de válvula'!$B$5-A10)</f>
        <v/>
      </c>
      <c r="C10">
        <f>'Muelles de válvula'!$B$19*MAX(0,'Muelles de válvula'!$B$7-A10)</f>
        <v/>
      </c>
    </row>
    <row r="11">
      <c r="A11">
        <f>'Muelles de válvula'!$B$5-('Muelles de válvula'!$B$5-'Muelles de válvula'!$B$12)*8/20</f>
        <v/>
      </c>
      <c r="B11">
        <f>'Muelles de válvula'!$B$18*('Muelles de válvula'!$B$5-A11)</f>
        <v/>
      </c>
      <c r="C11">
        <f>'Muelles de válvula'!$B$19*MAX(0,'Muelles de válvula'!$B$7-A11)</f>
        <v/>
      </c>
    </row>
    <row r="12">
      <c r="A12">
        <f>'Muelles de válvula'!$B$5-('Muelles de válvula'!$B$5-'Muelles de válvula'!$B$12)*9/20</f>
        <v/>
      </c>
      <c r="B12">
        <f>'Muelles de válvula'!$B$18*('Muelles de válvula'!$B$5-A12)</f>
        <v/>
      </c>
      <c r="C12">
        <f>'Muelles de válvula'!$B$19*MAX(0,'Muelles de válvula'!$B$7-A12)</f>
        <v/>
      </c>
    </row>
    <row r="13">
      <c r="A13">
        <f>'Muelles de válvula'!$B$5-('Muelles de válvula'!$B$5-'Muelles de válvula'!$B$12)*10/20</f>
        <v/>
      </c>
      <c r="B13">
        <f>'Muelles de válvula'!$B$18*('Muelles de válvula'!$B$5-A13)</f>
        <v/>
      </c>
      <c r="C13">
        <f>'Muelles de válvula'!$B$19*MAX(0,'Muelles de válvula'!$B$7-A13)</f>
        <v/>
      </c>
    </row>
    <row r="14">
      <c r="A14">
        <f>'Muelles de válvula'!$B$5-('Muelles de válvula'!$B$5-'Muelles de válvula'!$B$12)*11/20</f>
        <v/>
      </c>
      <c r="B14">
        <f>'Muelles de válvula'!$B$18*('Muelles de válvula'!$B$5-A14)</f>
        <v/>
      </c>
      <c r="C14">
        <f>'Muelles de válvula'!$B$19*MAX(0,'Muelles de válvula'!$B$7-A14)</f>
        <v/>
      </c>
    </row>
    <row r="15">
      <c r="A15">
        <f>'Muelles de válvula'!$B$5-('Muelles de válvula'!$B$5-'Muelles de válvula'!$B$12)*12/20</f>
        <v/>
      </c>
      <c r="B15">
        <f>'Muelles de válvula'!$B$18*('Muelles de válvula'!$B$5-A15)</f>
        <v/>
      </c>
      <c r="C15">
        <f>'Muelles de válvula'!$B$19*MAX(0,'Muelles de válvula'!$B$7-A15)</f>
        <v/>
      </c>
    </row>
    <row r="16">
      <c r="A16">
        <f>'Muelles de válvula'!$B$5-('Muelles de válvula'!$B$5-'Muelles de válvula'!$B$12)*13/20</f>
        <v/>
      </c>
      <c r="B16">
        <f>'Muelles de válvula'!$B$18*('Muelles de válvula'!$B$5-A16)</f>
        <v/>
      </c>
      <c r="C16">
        <f>'Muelles de válvula'!$B$19*MAX(0,'Muelles de válvula'!$B$7-A16)</f>
        <v/>
      </c>
    </row>
    <row r="17">
      <c r="A17">
        <f>'Muelles de válvula'!$B$5-('Muelles de válvula'!$B$5-'Muelles de válvula'!$B$12)*14/20</f>
        <v/>
      </c>
      <c r="B17">
        <f>'Muelles de válvula'!$B$18*('Muelles de válvula'!$B$5-A17)</f>
        <v/>
      </c>
      <c r="C17">
        <f>'Muelles de válvula'!$B$19*MAX(0,'Muelles de válvula'!$B$7-A17)</f>
        <v/>
      </c>
    </row>
    <row r="18">
      <c r="A18">
        <f>'Muelles de válvula'!$B$5-('Muelles de válvula'!$B$5-'Muelles de válvula'!$B$12)*15/20</f>
        <v/>
      </c>
      <c r="B18">
        <f>'Muelles de válvula'!$B$18*('Muelles de válvula'!$B$5-A18)</f>
        <v/>
      </c>
      <c r="C18">
        <f>'Muelles de válvula'!$B$19*MAX(0,'Muelles de válvula'!$B$7-A18)</f>
        <v/>
      </c>
    </row>
    <row r="19">
      <c r="A19">
        <f>'Muelles de válvula'!$B$5-('Muelles de válvula'!$B$5-'Muelles de válvula'!$B$12)*16/20</f>
        <v/>
      </c>
      <c r="B19">
        <f>'Muelles de válvula'!$B$18*('Muelles de válvula'!$B$5-A19)</f>
        <v/>
      </c>
      <c r="C19">
        <f>'Muelles de válvula'!$B$19*MAX(0,'Muelles de válvula'!$B$7-A19)</f>
        <v/>
      </c>
    </row>
    <row r="20">
      <c r="A20">
        <f>'Muelles de válvula'!$B$5-('Muelles de válvula'!$B$5-'Muelles de válvula'!$B$12)*17/20</f>
        <v/>
      </c>
      <c r="B20">
        <f>'Muelles de válvula'!$B$18*('Muelles de válvula'!$B$5-A20)</f>
        <v/>
      </c>
      <c r="C20">
        <f>'Muelles de válvula'!$B$19*MAX(0,'Muelles de válvula'!$B$7-A20)</f>
        <v/>
      </c>
    </row>
    <row r="21">
      <c r="A21">
        <f>'Muelles de válvula'!$B$5-('Muelles de válvula'!$B$5-'Muelles de válvula'!$B$12)*18/20</f>
        <v/>
      </c>
      <c r="B21">
        <f>'Muelles de válvula'!$B$18*('Muelles de válvula'!$B$5-A21)</f>
        <v/>
      </c>
      <c r="C21">
        <f>'Muelles de válvula'!$B$19*MAX(0,'Muelles de válvula'!$B$7-A21)</f>
        <v/>
      </c>
    </row>
    <row r="22">
      <c r="A22">
        <f>'Muelles de válvula'!$B$5-('Muelles de válvula'!$B$5-'Muelles de válvula'!$B$12)*19/20</f>
        <v/>
      </c>
      <c r="B22">
        <f>'Muelles de válvula'!$B$18*('Muelles de válvula'!$B$5-A22)</f>
        <v/>
      </c>
      <c r="C22">
        <f>'Muelles de válvula'!$B$19*MAX(0,'Muelles de válvula'!$B$7-A22)</f>
        <v/>
      </c>
    </row>
    <row r="23">
      <c r="A23">
        <f>'Muelles de válvula'!$B$5-('Muelles de válvula'!$B$5-'Muelles de válvula'!$B$12)*20/20</f>
        <v/>
      </c>
      <c r="B23">
        <f>'Muelles de válvula'!$B$18*('Muelles de válvula'!$B$5-A23)</f>
        <v/>
      </c>
      <c r="C23">
        <f>'Muelles de válvula'!$B$19*MAX(0,'Muelles de válvula'!$B$7-A23)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2026-10-15T12:17:36Z</dcterms:created>
  <dcterms:modified xmlns:dcterms="http://purl.org/dc/terms/" xmlns:xsi="http://www.w3.org/2001/XMLSchema-instance" xsi:type="dcterms:W3CDTF">2026-10-15T12:17:36Z</dcterms:modified>
</cp:coreProperties>
</file>