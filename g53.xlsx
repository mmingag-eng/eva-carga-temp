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Curvas_motor" sheetId="3" state="visible" r:id="rId5"/>
    <sheet name="3_Resistencias" sheetId="4" state="visible" r:id="rId6"/>
    <sheet name="4_Relaciones" sheetId="5" state="visible" r:id="rId7"/>
    <sheet name="5_Diente_sierra" sheetId="6" state="visible" r:id="rId8"/>
    <sheet name="6_Traccion" sheetId="7" state="visible" r:id="rId9"/>
    <sheet name="7_Potencias" sheetId="8" state="visible" r:id="rId10"/>
    <sheet name="8_Adherencia" sheetId="9" state="visible" r:id="rId11"/>
  </sheets>
  <definedNames>
    <definedName function="false" hidden="false" name="a0" vbProcedure="false">1_Datos!$C$17</definedName>
    <definedName function="false" hidden="false" name="Af" vbProcedure="false">1_Datos!$C$4</definedName>
    <definedName function="false" hidden="false" name="alfa" vbProcedure="false">1_Datos!$C$34</definedName>
    <definedName function="false" hidden="false" name="Cx" vbProcedure="false">1_Datos!$C$3</definedName>
    <definedName function="false" hidden="false" name="Dll" vbProcedure="false">1_Datos!$C$11</definedName>
    <definedName function="false" hidden="false" name="esc" vbProcedure="false">1_Datos!$C$44</definedName>
    <definedName function="false" hidden="false" name="eta" vbProcedure="false">1_Datos!$C$15</definedName>
    <definedName function="false" hidden="false" name="f0" vbProcedure="false">1_Datos!$C$7</definedName>
    <definedName function="false" hidden="false" name="Fadh0" vbProcedure="false">1_Datos!$C$48</definedName>
    <definedName function="false" hidden="false" name="Fadh1" vbProcedure="false">1_Datos!$C$46</definedName>
    <definedName function="false" hidden="false" name="Fi1" vbProcedure="false">1_Datos!$C$39</definedName>
    <definedName function="false" hidden="false" name="Fp1" vbProcedure="false">1_Datos!$C$37</definedName>
    <definedName function="false" hidden="false" name="Fr1" vbProcedure="false">1_Datos!$C$38</definedName>
    <definedName function="false" hidden="false" name="fs" vbProcedure="false">1_Datos!$C$8</definedName>
    <definedName function="false" hidden="false" name="Ft1" vbProcedure="false">1_Datos!$C$40</definedName>
    <definedName function="false" hidden="false" name="g" vbProcedure="false">1_Datos!$C$6</definedName>
    <definedName function="false" hidden="false" name="Gw" vbProcedure="false">1_Datos!$C$36</definedName>
    <definedName function="false" hidden="false" name="hcg" vbProcedure="false">1_Datos!$C$20</definedName>
    <definedName function="false" hidden="false" name="Hn" vbProcedure="false">1_Datos!$C$10</definedName>
    <definedName function="false" hidden="false" name="i1" vbProcedure="false">1_Datos!$C$41</definedName>
    <definedName function="false" hidden="false" name="igr" vbProcedure="false">1_Datos!$C$18</definedName>
    <definedName function="false" hidden="false" name="iQ" vbProcedure="false">1_Datos!$C$42</definedName>
    <definedName function="false" hidden="false" name="Ka" vbProcedure="false">1_Datos!$C$32</definedName>
    <definedName function="false" hidden="false" name="kc" vbProcedure="false">1_Datos!$C$12</definedName>
    <definedName function="false" hidden="false" name="kg" vbProcedure="false">1_Datos!$C$43</definedName>
    <definedName function="false" hidden="false" name="Kn" vbProcedure="false">1_Datos!$C$33</definedName>
    <definedName function="false" hidden="false" name="l1" vbProcedure="false">1_Datos!$C$21</definedName>
    <definedName function="false" hidden="false" name="Lb" vbProcedure="false">1_Datos!$C$19</definedName>
    <definedName function="false" hidden="false" name="m" vbProcedure="false">1_Datos!$C$5</definedName>
    <definedName function="false" hidden="false" name="mu" vbProcedure="false">1_Datos!$C$22</definedName>
    <definedName function="false" hidden="false" name="Nd1" vbProcedure="false">1_Datos!$C$45</definedName>
    <definedName function="false" hidden="false" name="nP" vbProcedure="false">1_Datos!$C$30</definedName>
    <definedName function="false" hidden="false" name="nT" vbProcedure="false">1_Datos!$C$28</definedName>
    <definedName function="false" hidden="false" name="pend" vbProcedure="false">1_Datos!$C$16</definedName>
    <definedName function="false" hidden="false" name="Pmax" vbProcedure="false">1_Datos!$C$29</definedName>
    <definedName function="false" hidden="false" name="Q" vbProcedure="false">1_Datos!$C$14</definedName>
    <definedName function="false" hidden="false" name="rc" vbProcedure="false">1_Datos!$C$26</definedName>
    <definedName function="false" hidden="false" name="rho" vbProcedure="false">1_Datos!$C$2</definedName>
    <definedName function="false" hidden="false" name="rn" vbProcedure="false">1_Datos!$C$25</definedName>
    <definedName function="false" hidden="false" name="Tmax" vbProcedure="false">1_Datos!$C$27</definedName>
    <definedName function="false" hidden="false" name="TP" vbProcedure="false">1_Datos!$C$31</definedName>
    <definedName function="false" hidden="false" name="Vmax" vbProcedure="false">1_Datos!$C$13</definedName>
    <definedName function="false" hidden="false" name="Wn" vbProcedure="false">1_Datos!$C$9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<sst xmlns="http://schemas.openxmlformats.org/spreadsheetml/2006/main" count="291" uniqueCount="227">
  <si>
    <t xml:space="preserve">PRÁCTICA 1 – ANÁLISIS DE PAR, POTENCIA Y FUNCIONAMIENTO DEL SISTEMA DE TRANSMISIÓN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</si>
  <si>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</si>
  <si>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</si>
  <si>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vehículo del laboratorio; todas las demás hojas se recalculan.</t>
  </si>
  <si>
    <t xml:space="preserve">2. Las celdas verdes son RESULTADOS calculados con fórmulas (no escriba sobre ellas).</t>
  </si>
  <si>
    <t xml:space="preserve">3. Cada hoja corresponde a un apartado de la guía y a una sección del código MATLAB P1_Transmision.m.</t>
  </si>
  <si>
    <t xml:space="preserve">Hojas del libro:</t>
  </si>
  <si>
    <t xml:space="preserve">1_Datos: datos del vehículo, del neumático y resultados principales (radio, relaciones de 1.ª y última marcha, razón geométrica). Ecuaciones (15) a (26) de la guía.</t>
  </si>
  <si>
    <t xml:space="preserve">2_Curvas_motor: característica exterior de velocidad (par y potencia) y comparación con la ecuación de Leiderman. Figura: curvas de par y potencia.</t>
  </si>
  <si>
    <t xml:space="preserve">3_Resistencias: resistencias aerodinámica, a la rodadura y por pendiente, y potencia resistente. Figura: resistencias al avance.</t>
  </si>
  <si>
    <t xml:space="preserve">4_Relaciones: relaciones de transmisión en progresión geométrica, velocidades por marcha, esfuerzo máximo y régimen tras el cambio.</t>
  </si>
  <si>
    <t xml:space="preserve">5_Diente_sierra: diagrama de velocidades (régimen del motor frente a velocidad) o diagrama de cubrimiento de marchas.</t>
  </si>
  <si>
    <t xml:space="preserve">6_Traccion: diagrama de tracción: esfuerzo tractor por marcha frente a resistencias totales y límite de adherencia.</t>
  </si>
  <si>
    <t xml:space="preserve">7_Potencias: potencia disponible en rueda por marcha frente a potencia resistente en llano (velocidad máxima).</t>
  </si>
  <si>
    <t xml:space="preserve">8_Adherencia: carga dinámica sobre el eje motriz delantero y pendiente máxima superable por adherencia.</t>
  </si>
  <si>
    <t xml:space="preserve">Interpretación de los diagramas:</t>
  </si>
  <si>
    <t xml:space="preserve">• Curvas del motor: la zona de elasticidad va del régimen de par máximo al de potencia máxima; conviene que tras cada cambio el régimen caiga dentro de ella.</t>
  </si>
  <si>
    <t xml:space="preserve">• Diente de sierra (cubrimiento): cada recta es una marcha; el salto vertical al cambiar muestra la caída de régimen. Si la recta siguiente empieza por debajo del régimen de par máximo, el escalonamiento es excesivo.</t>
  </si>
  <si>
    <t xml:space="preserve">• Diagrama de tracción: el vehículo puede acelerar o subir la pendiente donde la curva de esfuerzo de la marcha está por encima de la curva de resistencia; el cruce de la última marcha con la resistencia en llano da la velocidad máxima teórica. Por encima de la línea de adherencia las ruedas patinan.</t>
  </si>
  <si>
    <t xml:space="preserve">• Diagrama de potencias: la potencia en rueda de la última marcha debe cortar a la potencia resistente cerca del máximo de potencia del motor.</t>
  </si>
  <si>
    <t xml:space="preserve">Modelo: rodadura f = f0 + fs·(v/100)^2 (v en km/h), conservando el modelo del libro Curvas_caja_de_cambios.xlsx del docente. Radio bajo carga rc = 0,98·r.</t>
  </si>
  <si>
    <t xml:space="preserve">Nota: el Excel del docente evaluaba la rodadura de las filas de pendiente 10 % y 20 % con v en m/s y la de la 1.ª marcha a Vmax; aquí se usa v en km/h en todas las filas y f0 en el arranque.</t>
  </si>
  <si>
    <t xml:space="preserve">Parámetro</t>
  </si>
  <si>
    <t xml:space="preserve">Símbolo</t>
  </si>
  <si>
    <t xml:space="preserve">Valor</t>
  </si>
  <si>
    <t xml:space="preserve">Unidad</t>
  </si>
  <si>
    <t xml:space="preserve">Ecuación / observación</t>
  </si>
  <si>
    <t xml:space="preserve">Densidad del aire</t>
  </si>
  <si>
    <t xml:space="preserve">ρ</t>
  </si>
  <si>
    <t xml:space="preserve">kg/m³</t>
  </si>
  <si>
    <t xml:space="preserve">Entrada</t>
  </si>
  <si>
    <t xml:space="preserve">Coeficiente aerodinámico</t>
  </si>
  <si>
    <t xml:space="preserve">Cx</t>
  </si>
  <si>
    <t xml:space="preserve">—</t>
  </si>
  <si>
    <t xml:space="preserve">Área frontal</t>
  </si>
  <si>
    <t xml:space="preserve">Af</t>
  </si>
  <si>
    <t xml:space="preserve">m²</t>
  </si>
  <si>
    <t xml:space="preserve">Masa del vehículo</t>
  </si>
  <si>
    <t xml:space="preserve">m</t>
  </si>
  <si>
    <t xml:space="preserve">kg</t>
  </si>
  <si>
    <t xml:space="preserve">Aceleración de la gravedad</t>
  </si>
  <si>
    <t xml:space="preserve">g</t>
  </si>
  <si>
    <t xml:space="preserve">m/s²</t>
  </si>
  <si>
    <t xml:space="preserve">Coeficiente de rodadura base</t>
  </si>
  <si>
    <t xml:space="preserve">f0</t>
  </si>
  <si>
    <t xml:space="preserve">Entrada (depende de la presión de inflado)</t>
  </si>
  <si>
    <t xml:space="preserve">Coeficiente de rodadura dependiente de la velocidad</t>
  </si>
  <si>
    <t xml:space="preserve">fs</t>
  </si>
  <si>
    <t xml:space="preserve">Ancho nominal del neumático</t>
  </si>
  <si>
    <t xml:space="preserve">W</t>
  </si>
  <si>
    <t xml:space="preserve">mm</t>
  </si>
  <si>
    <t xml:space="preserve">Entrada (175/50 R13)</t>
  </si>
  <si>
    <t xml:space="preserve">Relación de aspecto</t>
  </si>
  <si>
    <t xml:space="preserve">H/W</t>
  </si>
  <si>
    <t xml:space="preserve">%</t>
  </si>
  <si>
    <t xml:space="preserve">Diámetro de la llanta</t>
  </si>
  <si>
    <t xml:space="preserve">D</t>
  </si>
  <si>
    <t xml:space="preserve">in</t>
  </si>
  <si>
    <t xml:space="preserve">Factor de aplastamiento</t>
  </si>
  <si>
    <t xml:space="preserve">kc</t>
  </si>
  <si>
    <t xml:space="preserve">Entrada: rc = kc·r</t>
  </si>
  <si>
    <t xml:space="preserve">Velocidad máxima deseada</t>
  </si>
  <si>
    <t xml:space="preserve">Vmax</t>
  </si>
  <si>
    <t xml:space="preserve">km/h</t>
  </si>
  <si>
    <t xml:space="preserve">Número de marchas</t>
  </si>
  <si>
    <t xml:space="preserve">Q</t>
  </si>
  <si>
    <t xml:space="preserve">Entrada (máx. 6)</t>
  </si>
  <si>
    <t xml:space="preserve">Rendimiento de la transmisión</t>
  </si>
  <si>
    <t xml:space="preserve">η</t>
  </si>
  <si>
    <t xml:space="preserve">Pendiente máxima deseada</t>
  </si>
  <si>
    <t xml:space="preserve">p</t>
  </si>
  <si>
    <t xml:space="preserve">Aceleración en el arranque</t>
  </si>
  <si>
    <t xml:space="preserve">a0</t>
  </si>
  <si>
    <t xml:space="preserve">Relación del grupo reductor (supuesta)</t>
  </si>
  <si>
    <t xml:space="preserve">id</t>
  </si>
  <si>
    <t xml:space="preserve">Entrada supuesta para separar caja y grupo</t>
  </si>
  <si>
    <t xml:space="preserve">Distancia entre ejes</t>
  </si>
  <si>
    <t xml:space="preserve">L</t>
  </si>
  <si>
    <t xml:space="preserve">Altura del centro de gravedad</t>
  </si>
  <si>
    <t xml:space="preserve">h</t>
  </si>
  <si>
    <t xml:space="preserve">Distancia del CG al eje delantero</t>
  </si>
  <si>
    <t xml:space="preserve">l1</t>
  </si>
  <si>
    <t xml:space="preserve">Coeficiente de adherencia neumático-calzada</t>
  </si>
  <si>
    <t xml:space="preserve">μ</t>
  </si>
  <si>
    <t xml:space="preserve">Entrada (asfalto seco)</t>
  </si>
  <si>
    <t xml:space="preserve">RESULTADOS PRINCIPALES</t>
  </si>
  <si>
    <t xml:space="preserve">Radio nominal del neumático</t>
  </si>
  <si>
    <t xml:space="preserve">r</t>
  </si>
  <si>
    <t xml:space="preserve">Ec. (15): r = W·(H/W) + D/2</t>
  </si>
  <si>
    <t xml:space="preserve">Radio bajo carga</t>
  </si>
  <si>
    <t xml:space="preserve">rc</t>
  </si>
  <si>
    <t xml:space="preserve">Ec. (16): rc = kc·r</t>
  </si>
  <si>
    <t xml:space="preserve">Par máximo del motor</t>
  </si>
  <si>
    <t xml:space="preserve">Mmax</t>
  </si>
  <si>
    <t xml:space="preserve">N·m</t>
  </si>
  <si>
    <t xml:space="preserve">Hoja 2</t>
  </si>
  <si>
    <t xml:space="preserve">Régimen de par máximo</t>
  </si>
  <si>
    <t xml:space="preserve">nM</t>
  </si>
  <si>
    <t xml:space="preserve">min⁻¹</t>
  </si>
  <si>
    <t xml:space="preserve">Potencia máxima</t>
  </si>
  <si>
    <t xml:space="preserve">Pmax</t>
  </si>
  <si>
    <t xml:space="preserve">kW</t>
  </si>
  <si>
    <t xml:space="preserve">Régimen de potencia máxima</t>
  </si>
  <si>
    <t xml:space="preserve">nP</t>
  </si>
  <si>
    <t xml:space="preserve">Par a potencia máxima</t>
  </si>
  <si>
    <t xml:space="preserve">MP</t>
  </si>
  <si>
    <t xml:space="preserve">Coeficiente de adaptabilidad (elasticidad de par)</t>
  </si>
  <si>
    <t xml:space="preserve">Ka</t>
  </si>
  <si>
    <t xml:space="preserve">Ec. (4): Ka = Mmax/MP</t>
  </si>
  <si>
    <t xml:space="preserve">Coeficiente de elasticidad de régimen</t>
  </si>
  <si>
    <t xml:space="preserve">Kn</t>
  </si>
  <si>
    <t xml:space="preserve">Ec. (5): Kn = nP/nM</t>
  </si>
  <si>
    <t xml:space="preserve">Ángulo de la pendiente máxima</t>
  </si>
  <si>
    <t xml:space="preserve">α</t>
  </si>
  <si>
    <t xml:space="preserve">rad</t>
  </si>
  <si>
    <t xml:space="preserve">Ec. (12): α = arctan(p/100)</t>
  </si>
  <si>
    <t xml:space="preserve">α (°)</t>
  </si>
  <si>
    <t xml:space="preserve">°</t>
  </si>
  <si>
    <t xml:space="preserve">Peso del vehículo</t>
  </si>
  <si>
    <t xml:space="preserve">G</t>
  </si>
  <si>
    <t xml:space="preserve">N</t>
  </si>
  <si>
    <t xml:space="preserve">G = m·g</t>
  </si>
  <si>
    <t xml:space="preserve">Resistencia por pendiente máxima</t>
  </si>
  <si>
    <t xml:space="preserve">Fp</t>
  </si>
  <si>
    <t xml:space="preserve">Ec. (12)</t>
  </si>
  <si>
    <t xml:space="preserve">Resistencia a la rodadura en el arranque</t>
  </si>
  <si>
    <t xml:space="preserve">Fr</t>
  </si>
  <si>
    <t xml:space="preserve">Ec. (11) con v = 0</t>
  </si>
  <si>
    <t xml:space="preserve">Fuerza de inercia en el arranque</t>
  </si>
  <si>
    <t xml:space="preserve">Fi</t>
  </si>
  <si>
    <t xml:space="preserve">Fi = m·a0</t>
  </si>
  <si>
    <t xml:space="preserve">Esfuerzo tractor necesario en 1.ª</t>
  </si>
  <si>
    <t xml:space="preserve">Ft1</t>
  </si>
  <si>
    <t xml:space="preserve">Ec. (17)</t>
  </si>
  <si>
    <t xml:space="preserve">Relación total de 1.ª marcha</t>
  </si>
  <si>
    <t xml:space="preserve">i1</t>
  </si>
  <si>
    <t xml:space="preserve">Ec. (18): i1 = Ft1·rc/(Mmax·η)</t>
  </si>
  <si>
    <t xml:space="preserve">Relación total de la última marcha</t>
  </si>
  <si>
    <t xml:space="preserve">iQ</t>
  </si>
  <si>
    <t xml:space="preserve">Ec. (19): iQ = π·nP·rc/(30·Vmax)</t>
  </si>
  <si>
    <t xml:space="preserve">Razón de la progresión geométrica</t>
  </si>
  <si>
    <t xml:space="preserve">k</t>
  </si>
  <si>
    <t xml:space="preserve">Ec. (20): k = (iQ/i1)^(1/(Q−1))</t>
  </si>
  <si>
    <t xml:space="preserve">Escalonamiento entre marchas</t>
  </si>
  <si>
    <t xml:space="preserve">1/k</t>
  </si>
  <si>
    <t xml:space="preserve">ij/ij+1</t>
  </si>
  <si>
    <t xml:space="preserve">Carga sobre el eje delantero en pendiente máxima</t>
  </si>
  <si>
    <t xml:space="preserve">Nd</t>
  </si>
  <si>
    <t xml:space="preserve">Ec. (25)</t>
  </si>
  <si>
    <t xml:space="preserve">Esfuerzo máximo por adherencia en pendiente máxima</t>
  </si>
  <si>
    <t xml:space="preserve">Fadh</t>
  </si>
  <si>
    <t xml:space="preserve">Ec. (26)</t>
  </si>
  <si>
    <t xml:space="preserve">¿Sube la pendiente máxima sin patinar?</t>
  </si>
  <si>
    <t xml:space="preserve">Comparar Fadh con Ft1</t>
  </si>
  <si>
    <t xml:space="preserve">Esfuerzo máximo por adherencia en llano</t>
  </si>
  <si>
    <t xml:space="preserve">Fadh0</t>
  </si>
  <si>
    <t xml:space="preserve">Ec. (26) con α = 0</t>
  </si>
  <si>
    <t xml:space="preserve">Característica exterior de velocidad del motor (datos de banco) y ecuación de Leiderman</t>
  </si>
  <si>
    <t xml:space="preserve">n (min⁻¹)</t>
  </si>
  <si>
    <t xml:space="preserve">M (N·m)</t>
  </si>
  <si>
    <t xml:space="preserve">ω (rad/s)</t>
  </si>
  <si>
    <t xml:space="preserve">P (kW)</t>
  </si>
  <si>
    <t xml:space="preserve">P (CV)</t>
  </si>
  <si>
    <t xml:space="preserve">x = n/nP</t>
  </si>
  <si>
    <t xml:space="preserve">P Leiderman (kW)</t>
  </si>
  <si>
    <t xml:space="preserve">M Leiderman (N·m)</t>
  </si>
  <si>
    <t xml:space="preserve">Lectura: la zona de elasticidad está entre nM (par máximo) y nP (potencia máxima). Las curvas discontinuas son la aproximación de Leiderman (Jovaj, 1982): P = Pmax·[x + x² − x³].</t>
  </si>
  <si>
    <t xml:space="preserve">Resistencias al avance en función de la velocidad y de la pendiente</t>
  </si>
  <si>
    <t xml:space="preserve">Pendientes (%):</t>
  </si>
  <si>
    <t xml:space="preserve">v (km/h)</t>
  </si>
  <si>
    <t xml:space="preserve">v (m/s)</t>
  </si>
  <si>
    <t xml:space="preserve">Fa (N)</t>
  </si>
  <si>
    <t xml:space="preserve">f (—)</t>
  </si>
  <si>
    <t xml:space="preserve">Fr 0% (N)</t>
  </si>
  <si>
    <t xml:space="preserve">Fr 10% (N)</t>
  </si>
  <si>
    <t xml:space="preserve">Fr 20% (N)</t>
  </si>
  <si>
    <t xml:space="preserve">Fr 30% (N)</t>
  </si>
  <si>
    <t xml:space="preserve">Fp 0% (N)</t>
  </si>
  <si>
    <t xml:space="preserve">Fp 10% (N)</t>
  </si>
  <si>
    <t xml:space="preserve">Fp 20% (N)</t>
  </si>
  <si>
    <t xml:space="preserve">Fp 30% (N)</t>
  </si>
  <si>
    <t xml:space="preserve">Ftotal 0% (N)</t>
  </si>
  <si>
    <t xml:space="preserve">Ftotal 10% (N)</t>
  </si>
  <si>
    <t xml:space="preserve">Ftotal 20% (N)</t>
  </si>
  <si>
    <t xml:space="preserve">Ftotal 30% (N)</t>
  </si>
  <si>
    <t xml:space="preserve">P resistente llano (kW)</t>
  </si>
  <si>
    <t xml:space="preserve">Relaciones de transmisión en progresión geométrica y prestaciones por marcha</t>
  </si>
  <si>
    <t xml:space="preserve">Marcha j</t>
  </si>
  <si>
    <t xml:space="preserve">Relación total ij</t>
  </si>
  <si>
    <t xml:space="preserve">Relación de caja ic = ij/id</t>
  </si>
  <si>
    <t xml:space="preserve">Escalonamiento ij/ij+1</t>
  </si>
  <si>
    <t xml:space="preserve">v a nM (km/h)</t>
  </si>
  <si>
    <t xml:space="preserve">v a nP (km/h)</t>
  </si>
  <si>
    <t xml:space="preserve">Esfuerzo máx. en rueda (N)</t>
  </si>
  <si>
    <t xml:space="preserve">Par máx. en rueda (N·m)</t>
  </si>
  <si>
    <t xml:space="preserve">Régimen tras cambiar a nP (min⁻¹)</t>
  </si>
  <si>
    <t xml:space="preserve">¿En zona de elasticidad?</t>
  </si>
  <si>
    <t xml:space="preserve">Ecuaciones: ij = i1·k^(j−1) (21); v = 0,377·rc·n/ij (14); F = Mmax·ij·η/rc (22); n tras el cambio = nP·ij+1/ij (23).</t>
  </si>
  <si>
    <t xml:space="preserve">Diagrama de velocidades (diente de sierra / cubrimiento de marchas)</t>
  </si>
  <si>
    <t xml:space="preserve">v 1.ª (km/h)</t>
  </si>
  <si>
    <t xml:space="preserve">v 2.ª (km/h)</t>
  </si>
  <si>
    <t xml:space="preserve">v 3.ª (km/h)</t>
  </si>
  <si>
    <t xml:space="preserve">v 4.ª (km/h)</t>
  </si>
  <si>
    <t xml:space="preserve">v 5.ª (km/h)</t>
  </si>
  <si>
    <t xml:space="preserve">v 6.ª (km/h)</t>
  </si>
  <si>
    <t xml:space="preserve">Líneas de referencia</t>
  </si>
  <si>
    <t xml:space="preserve">nM (min⁻¹)</t>
  </si>
  <si>
    <t xml:space="preserve">nP (min⁻¹)</t>
  </si>
  <si>
    <t xml:space="preserve">Lectura: se sube en cada marcha hasta nP y se cambia; el régimen cae verticalmente a nP·ij+1/ij. Si ese valor queda por encima de nM, el cubrimiento es correcto.</t>
  </si>
  <si>
    <t xml:space="preserve">Diagrama de tracción: esfuerzo en rueda por marcha frente a resistencias</t>
  </si>
  <si>
    <t xml:space="preserve">F 1.ª (N)</t>
  </si>
  <si>
    <t xml:space="preserve">F 2.ª (N)</t>
  </si>
  <si>
    <t xml:space="preserve">F 3.ª (N)</t>
  </si>
  <si>
    <t xml:space="preserve">F 4.ª (N)</t>
  </si>
  <si>
    <t xml:space="preserve">Límite adherencia llano (N)</t>
  </si>
  <si>
    <t xml:space="preserve">Diagrama de potencias: potencia en rueda por marcha frente a potencia resistente en llano</t>
  </si>
  <si>
    <t xml:space="preserve">P motor (kW)</t>
  </si>
  <si>
    <t xml:space="preserve">P rueda = η·P (kW)</t>
  </si>
  <si>
    <t xml:space="preserve">Potencia necesaria a Vmax en llano (kW):</t>
  </si>
  <si>
    <t xml:space="preserve">Potencia máxima del motor (kW):</t>
  </si>
  <si>
    <t xml:space="preserve">Límite de adherencia en el eje motriz delantero (tracción delantera) en función de la pendiente</t>
  </si>
  <si>
    <t xml:space="preserve">Pendiente p (%)</t>
  </si>
  <si>
    <t xml:space="preserve">α (rad)</t>
  </si>
  <si>
    <t xml:space="preserve">Nd (N)</t>
  </si>
  <si>
    <t xml:space="preserve">F adherencia μ·Nd (N)</t>
  </si>
  <si>
    <t xml:space="preserve">F necesaria (Fp + Fr) (N)</t>
  </si>
  <si>
    <t xml:space="preserve">¿Supera sin patinar?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</si>
</sst>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0"/>
    <numFmt numFmtId="166" formatCode="0.00"/>
    <numFmt numFmtId="167" formatCode="0.0"/>
    <numFmt numFmtId="168" formatCode="0.00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ED7D31"/>
      <rgbColor rgb="FF878787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Curvas características: par y potencia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2_Curvas_motor!B2</c:f>
              <c:strCache>
                <c:ptCount val="1"/>
                <c:pt idx="0">
                  <c:v>M (N·m)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2_Curvas_motor!$A$3:$A$16</c:f>
              <c:numCache>
                <c:formatCode>General</c:formatCode>
                <c:ptCount val="1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</c:numCache>
            </c:numRef>
          </c:xVal>
          <c:yVal>
            <c:numRef>
              <c:f>2_Curvas_motor!$B$3:$B$16</c:f>
              <c:numCache>
                <c:formatCode>General</c:formatCode>
                <c:ptCount val="14"/>
                <c:pt idx="0">
                  <c:v>100</c:v>
                </c:pt>
                <c:pt idx="1">
                  <c:v>105</c:v>
                </c:pt>
                <c:pt idx="2">
                  <c:v>108</c:v>
                </c:pt>
                <c:pt idx="3">
                  <c:v>112</c:v>
                </c:pt>
                <c:pt idx="4">
                  <c:v>116</c:v>
                </c:pt>
                <c:pt idx="5">
                  <c:v>117</c:v>
                </c:pt>
                <c:pt idx="6">
                  <c:v>118</c:v>
                </c:pt>
                <c:pt idx="7">
                  <c:v>120</c:v>
                </c:pt>
                <c:pt idx="8">
                  <c:v>118</c:v>
                </c:pt>
                <c:pt idx="9">
                  <c:v>116</c:v>
                </c:pt>
                <c:pt idx="10">
                  <c:v>112</c:v>
                </c:pt>
                <c:pt idx="11">
                  <c:v>108</c:v>
                </c:pt>
                <c:pt idx="12">
                  <c:v>100</c:v>
                </c:pt>
                <c:pt idx="13">
                  <c:v>90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2_Curvas_motor!H2</c:f>
              <c:strCache>
                <c:ptCount val="1"/>
                <c:pt idx="0">
                  <c:v>M Leiderman (N·m)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2_Curvas_motor!$A$3:$A$16</c:f>
              <c:numCache>
                <c:formatCode>General</c:formatCode>
                <c:ptCount val="1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</c:numCache>
            </c:numRef>
          </c:xVal>
          <c:yVal>
            <c:numRef>
              <c:f>2_Curvas_motor!$H$3:$H$16</c:f>
              <c:numCache>
                <c:formatCode>0.00</c:formatCode>
                <c:ptCount val="14"/>
                <c:pt idx="0">
                  <c:v>107.100591715976</c:v>
                </c:pt>
                <c:pt idx="1">
                  <c:v>113.01775147929</c:v>
                </c:pt>
                <c:pt idx="2">
                  <c:v>117.751479289941</c:v>
                </c:pt>
                <c:pt idx="3">
                  <c:v>121.301775147929</c:v>
                </c:pt>
                <c:pt idx="4">
                  <c:v>123.668639053254</c:v>
                </c:pt>
                <c:pt idx="5">
                  <c:v>124.852071005917</c:v>
                </c:pt>
                <c:pt idx="6">
                  <c:v>124.852071005917</c:v>
                </c:pt>
                <c:pt idx="7">
                  <c:v>123.668639053254</c:v>
                </c:pt>
                <c:pt idx="8">
                  <c:v>121.301775147929</c:v>
                </c:pt>
                <c:pt idx="9">
                  <c:v>117.751479289941</c:v>
                </c:pt>
                <c:pt idx="10">
                  <c:v>113.01775147929</c:v>
                </c:pt>
                <c:pt idx="11">
                  <c:v>107.100591715976</c:v>
                </c:pt>
                <c:pt idx="12">
                  <c:v>100</c:v>
                </c:pt>
                <c:pt idx="13">
                  <c:v>91.715976331361</c:v>
                </c:pt>
              </c:numCache>
            </c:numRef>
          </c:yVal>
          <c:smooth val="1"/>
        </c:ser>
        <c:axId val="61807718"/>
        <c:axId val="99981421"/>
      </c:scatterChart>
      <c:scatterChart>
        <c:scatterStyle val="line"/>
        <c:varyColors val="0"/>
        <c:ser>
          <c:idx val="2"/>
          <c:order val="2"/>
          <c:tx>
            <c:strRef>
              <c:f>2_Curvas_motor!D2</c:f>
              <c:strCache>
                <c:ptCount val="1"/>
                <c:pt idx="0">
                  <c:v>P (kW)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2_Curvas_motor!$A$3:$A$16</c:f>
              <c:numCache>
                <c:formatCode>General</c:formatCode>
                <c:ptCount val="1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</c:numCache>
            </c:numRef>
          </c:xVal>
          <c:yVal>
            <c:numRef>
              <c:f>2_Curvas_motor!$D$3:$D$16</c:f>
              <c:numCache>
                <c:formatCode>0.00</c:formatCode>
                <c:ptCount val="14"/>
                <c:pt idx="0">
                  <c:v>5.23598775598299</c:v>
                </c:pt>
                <c:pt idx="1">
                  <c:v>10.9955742875643</c:v>
                </c:pt>
                <c:pt idx="2">
                  <c:v>16.9646003293849</c:v>
                </c:pt>
                <c:pt idx="3">
                  <c:v>23.4572251468038</c:v>
                </c:pt>
                <c:pt idx="4">
                  <c:v>30.3687289847013</c:v>
                </c:pt>
                <c:pt idx="5">
                  <c:v>36.7566340470006</c:v>
                </c:pt>
                <c:pt idx="6">
                  <c:v>43.2492588644195</c:v>
                </c:pt>
                <c:pt idx="7">
                  <c:v>50.2654824574367</c:v>
                </c:pt>
                <c:pt idx="8">
                  <c:v>55.6061899685394</c:v>
                </c:pt>
                <c:pt idx="9">
                  <c:v>60.7374579694027</c:v>
                </c:pt>
                <c:pt idx="10">
                  <c:v>64.5073691537104</c:v>
                </c:pt>
                <c:pt idx="11">
                  <c:v>67.8584013175395</c:v>
                </c:pt>
                <c:pt idx="12">
                  <c:v>68.0678408277789</c:v>
                </c:pt>
                <c:pt idx="13">
                  <c:v>65.9734457253857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2_Curvas_motor!G2</c:f>
              <c:strCache>
                <c:ptCount val="1"/>
                <c:pt idx="0">
                  <c:v>P Leiderman (kW)</c:v>
                </c:pt>
              </c:strCache>
            </c:strRef>
          </c:tx>
          <c:spPr>
            <a:solidFill>
              <a:srgbClr val="808080"/>
            </a:solidFill>
            <a:ln w="2196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2_Curvas_motor!$A$3:$A$16</c:f>
              <c:numCache>
                <c:formatCode>General</c:formatCode>
                <c:ptCount val="1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</c:numCache>
            </c:numRef>
          </c:xVal>
          <c:yVal>
            <c:numRef>
              <c:f>2_Curvas_motor!$G$3:$G$16</c:f>
              <c:numCache>
                <c:formatCode>0.00</c:formatCode>
                <c:ptCount val="14"/>
                <c:pt idx="0">
                  <c:v>5.60777386883385</c:v>
                </c:pt>
                <c:pt idx="1">
                  <c:v>11.8351912590858</c:v>
                </c:pt>
                <c:pt idx="2">
                  <c:v>18.4963591143304</c:v>
                </c:pt>
                <c:pt idx="3">
                  <c:v>25.4053843781423</c:v>
                </c:pt>
                <c:pt idx="4">
                  <c:v>32.376373994096</c:v>
                </c:pt>
                <c:pt idx="5">
                  <c:v>39.2234349057661</c:v>
                </c:pt>
                <c:pt idx="6">
                  <c:v>45.7606740567271</c:v>
                </c:pt>
                <c:pt idx="7">
                  <c:v>51.8021983905536</c:v>
                </c:pt>
                <c:pt idx="8">
                  <c:v>57.1621148508202</c:v>
                </c:pt>
                <c:pt idx="9">
                  <c:v>61.6545303811015</c:v>
                </c:pt>
                <c:pt idx="10">
                  <c:v>65.093551924972</c:v>
                </c:pt>
                <c:pt idx="11">
                  <c:v>67.2932864260062</c:v>
                </c:pt>
                <c:pt idx="12">
                  <c:v>68.0678408277789</c:v>
                </c:pt>
                <c:pt idx="13">
                  <c:v>67.2313220738644</c:v>
                </c:pt>
              </c:numCache>
            </c:numRef>
          </c:yVal>
          <c:smooth val="1"/>
        </c:ser>
        <c:axId val="47846637"/>
        <c:axId val="40083836"/>
      </c:scatterChart>
      <c:valAx>
        <c:axId val="61807718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n (min⁻¹)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81421"/>
        <c:crosses val="autoZero"/>
        <c:crossBetween val="midCat"/>
      </c:valAx>
      <c:valAx>
        <c:axId val="9998142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Par M (N·m)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07718"/>
        <c:crosses val="autoZero"/>
        <c:crossBetween val="midCat"/>
      </c:valAx>
      <c:valAx>
        <c:axId val="47846637"/>
        <c:scaling>
          <c:orientation val="minMax"/>
          <c:min val="0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n (min⁻¹)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83836"/>
        <c:crosses val="autoZero"/>
        <c:crossBetween val="midCat"/>
      </c:valAx>
      <c:valAx>
        <c:axId val="40083836"/>
        <c:scaling>
          <c:orientation val="minMax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P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846637"/>
        <c:crosses val="max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Resistencias al avance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3_Resistencias!C3</c:f>
              <c:strCache>
                <c:ptCount val="1"/>
                <c:pt idx="0">
                  <c:v>Fa (N)</c:v>
                </c:pt>
              </c:strCache>
            </c:strRef>
          </c:tx>
          <c:spPr>
            <a:solidFill>
              <a:srgbClr val="00b0f0"/>
            </a:solidFill>
            <a:ln w="219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3_Resistencias!$C$4:$C$24</c:f>
              <c:numCache>
                <c:formatCode>0.0</c:formatCode>
                <c:ptCount val="21"/>
                <c:pt idx="0">
                  <c:v>0</c:v>
                </c:pt>
                <c:pt idx="1">
                  <c:v>2.41030092592593</c:v>
                </c:pt>
                <c:pt idx="2">
                  <c:v>9.6412037037037</c:v>
                </c:pt>
                <c:pt idx="3">
                  <c:v>21.6927083333333</c:v>
                </c:pt>
                <c:pt idx="4">
                  <c:v>38.5648148148148</c:v>
                </c:pt>
                <c:pt idx="5">
                  <c:v>60.2575231481482</c:v>
                </c:pt>
                <c:pt idx="6">
                  <c:v>86.7708333333334</c:v>
                </c:pt>
                <c:pt idx="7">
                  <c:v>118.10474537037</c:v>
                </c:pt>
                <c:pt idx="8">
                  <c:v>154.259259259259</c:v>
                </c:pt>
                <c:pt idx="9">
                  <c:v>195.234375</c:v>
                </c:pt>
                <c:pt idx="10">
                  <c:v>241.030092592593</c:v>
                </c:pt>
                <c:pt idx="11">
                  <c:v>291.646412037037</c:v>
                </c:pt>
                <c:pt idx="12">
                  <c:v>347.083333333333</c:v>
                </c:pt>
                <c:pt idx="13">
                  <c:v>407.340856481481</c:v>
                </c:pt>
                <c:pt idx="14">
                  <c:v>472.418981481481</c:v>
                </c:pt>
                <c:pt idx="15">
                  <c:v>542.317708333333</c:v>
                </c:pt>
                <c:pt idx="16">
                  <c:v>617.037037037037</c:v>
                </c:pt>
                <c:pt idx="17">
                  <c:v>696.576967592593</c:v>
                </c:pt>
                <c:pt idx="18">
                  <c:v>780.9375</c:v>
                </c:pt>
                <c:pt idx="19">
                  <c:v>870.118634259259</c:v>
                </c:pt>
                <c:pt idx="20">
                  <c:v>964.12037037037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3_Resistencias!E3</c:f>
              <c:strCache>
                <c:ptCount val="1"/>
                <c:pt idx="0">
                  <c:v>Fr 0% (N)</c:v>
                </c:pt>
              </c:strCache>
            </c:strRef>
          </c:tx>
          <c:spPr>
            <a:solidFill>
              <a:srgbClr val="bf9000"/>
            </a:solidFill>
            <a:ln w="2196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3_Resistencias!$E$4:$E$24</c:f>
              <c:numCache>
                <c:formatCode>0.0</c:formatCode>
                <c:ptCount val="21"/>
                <c:pt idx="0">
                  <c:v>74.99745</c:v>
                </c:pt>
                <c:pt idx="1">
                  <c:v>75.542886</c:v>
                </c:pt>
                <c:pt idx="2">
                  <c:v>77.179194</c:v>
                </c:pt>
                <c:pt idx="3">
                  <c:v>79.906374</c:v>
                </c:pt>
                <c:pt idx="4">
                  <c:v>83.724426</c:v>
                </c:pt>
                <c:pt idx="5">
                  <c:v>88.63335</c:v>
                </c:pt>
                <c:pt idx="6">
                  <c:v>94.633146</c:v>
                </c:pt>
                <c:pt idx="7">
                  <c:v>101.723814</c:v>
                </c:pt>
                <c:pt idx="8">
                  <c:v>109.905354</c:v>
                </c:pt>
                <c:pt idx="9">
                  <c:v>119.177766</c:v>
                </c:pt>
                <c:pt idx="10">
                  <c:v>129.54105</c:v>
                </c:pt>
                <c:pt idx="11">
                  <c:v>140.995206</c:v>
                </c:pt>
                <c:pt idx="12">
                  <c:v>153.540234</c:v>
                </c:pt>
                <c:pt idx="13">
                  <c:v>167.176134</c:v>
                </c:pt>
                <c:pt idx="14">
                  <c:v>181.902906</c:v>
                </c:pt>
                <c:pt idx="15">
                  <c:v>197.72055</c:v>
                </c:pt>
                <c:pt idx="16">
                  <c:v>214.629066</c:v>
                </c:pt>
                <c:pt idx="17">
                  <c:v>232.628454</c:v>
                </c:pt>
                <c:pt idx="18">
                  <c:v>251.718714</c:v>
                </c:pt>
                <c:pt idx="19">
                  <c:v>271.899846</c:v>
                </c:pt>
                <c:pt idx="20">
                  <c:v>293.17185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3_Resistencias!M3</c:f>
              <c:strCache>
                <c:ptCount val="1"/>
                <c:pt idx="0">
                  <c:v>Ftotal 0% (N)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3_Resistencias!$M$4:$M$24</c:f>
              <c:numCache>
                <c:formatCode>0.0</c:formatCode>
                <c:ptCount val="21"/>
                <c:pt idx="0">
                  <c:v>74.99745</c:v>
                </c:pt>
                <c:pt idx="1">
                  <c:v>77.9531869259259</c:v>
                </c:pt>
                <c:pt idx="2">
                  <c:v>86.8203977037037</c:v>
                </c:pt>
                <c:pt idx="3">
                  <c:v>101.599082333333</c:v>
                </c:pt>
                <c:pt idx="4">
                  <c:v>122.289240814815</c:v>
                </c:pt>
                <c:pt idx="5">
                  <c:v>148.890873148148</c:v>
                </c:pt>
                <c:pt idx="6">
                  <c:v>181.403979333333</c:v>
                </c:pt>
                <c:pt idx="7">
                  <c:v>219.82855937037</c:v>
                </c:pt>
                <c:pt idx="8">
                  <c:v>264.164613259259</c:v>
                </c:pt>
                <c:pt idx="9">
                  <c:v>314.412141</c:v>
                </c:pt>
                <c:pt idx="10">
                  <c:v>370.571142592593</c:v>
                </c:pt>
                <c:pt idx="11">
                  <c:v>432.641618037037</c:v>
                </c:pt>
                <c:pt idx="12">
                  <c:v>500.623567333333</c:v>
                </c:pt>
                <c:pt idx="13">
                  <c:v>574.516990481482</c:v>
                </c:pt>
                <c:pt idx="14">
                  <c:v>654.321887481481</c:v>
                </c:pt>
                <c:pt idx="15">
                  <c:v>740.038258333333</c:v>
                </c:pt>
                <c:pt idx="16">
                  <c:v>831.666103037037</c:v>
                </c:pt>
                <c:pt idx="17">
                  <c:v>929.205421592593</c:v>
                </c:pt>
                <c:pt idx="18">
                  <c:v>1032.656214</c:v>
                </c:pt>
                <c:pt idx="19">
                  <c:v>1142.01848025926</c:v>
                </c:pt>
                <c:pt idx="20">
                  <c:v>1257.29222037037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3_Resistencias!N3</c:f>
              <c:strCache>
                <c:ptCount val="1"/>
                <c:pt idx="0">
                  <c:v>Ftotal 10% (N)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3_Resistencias!$N$4:$N$24</c:f>
              <c:numCache>
                <c:formatCode>0.0</c:formatCode>
                <c:ptCount val="21"/>
                <c:pt idx="0">
                  <c:v>753.036633020134</c:v>
                </c:pt>
                <c:pt idx="1">
                  <c:v>755.989663050939</c:v>
                </c:pt>
                <c:pt idx="2">
                  <c:v>764.848753143355</c:v>
                </c:pt>
                <c:pt idx="3">
                  <c:v>779.613903297382</c:v>
                </c:pt>
                <c:pt idx="4">
                  <c:v>800.285113513019</c:v>
                </c:pt>
                <c:pt idx="5">
                  <c:v>826.862383790266</c:v>
                </c:pt>
                <c:pt idx="6">
                  <c:v>859.345714129125</c:v>
                </c:pt>
                <c:pt idx="7">
                  <c:v>897.735104529594</c:v>
                </c:pt>
                <c:pt idx="8">
                  <c:v>942.030554991673</c:v>
                </c:pt>
                <c:pt idx="9">
                  <c:v>992.232065515363</c:v>
                </c:pt>
                <c:pt idx="10">
                  <c:v>1048.33963610066</c:v>
                </c:pt>
                <c:pt idx="11">
                  <c:v>1110.35326674758</c:v>
                </c:pt>
                <c:pt idx="12">
                  <c:v>1178.2729574561</c:v>
                </c:pt>
                <c:pt idx="13">
                  <c:v>1252.09870822623</c:v>
                </c:pt>
                <c:pt idx="14">
                  <c:v>1331.83051905797</c:v>
                </c:pt>
                <c:pt idx="15">
                  <c:v>1417.46838995133</c:v>
                </c:pt>
                <c:pt idx="16">
                  <c:v>1509.01232090629</c:v>
                </c:pt>
                <c:pt idx="17">
                  <c:v>1606.46231192287</c:v>
                </c:pt>
                <c:pt idx="18">
                  <c:v>1709.81836300105</c:v>
                </c:pt>
                <c:pt idx="19">
                  <c:v>1819.08047414085</c:v>
                </c:pt>
                <c:pt idx="20">
                  <c:v>1934.24864534225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3_Resistencias!O3</c:f>
              <c:strCache>
                <c:ptCount val="1"/>
                <c:pt idx="0">
                  <c:v>Ftotal 20% (N)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3_Resistencias!$O$4:$O$24</c:f>
              <c:numCache>
                <c:formatCode>0.0</c:formatCode>
                <c:ptCount val="21"/>
                <c:pt idx="0">
                  <c:v>1410.65105376148</c:v>
                </c:pt>
                <c:pt idx="1">
                  <c:v>1413.59619868883</c:v>
                </c:pt>
                <c:pt idx="2">
                  <c:v>1422.43163347089</c:v>
                </c:pt>
                <c:pt idx="3">
                  <c:v>1437.15735810765</c:v>
                </c:pt>
                <c:pt idx="4">
                  <c:v>1457.77337259911</c:v>
                </c:pt>
                <c:pt idx="5">
                  <c:v>1484.27967694528</c:v>
                </c:pt>
                <c:pt idx="6">
                  <c:v>1516.67627114615</c:v>
                </c:pt>
                <c:pt idx="7">
                  <c:v>1554.96315520173</c:v>
                </c:pt>
                <c:pt idx="8">
                  <c:v>1599.14032911201</c:v>
                </c:pt>
                <c:pt idx="9">
                  <c:v>1649.207792877</c:v>
                </c:pt>
                <c:pt idx="10">
                  <c:v>1705.16554649669</c:v>
                </c:pt>
                <c:pt idx="11">
                  <c:v>1767.01358997108</c:v>
                </c:pt>
                <c:pt idx="12">
                  <c:v>1834.75192330018</c:v>
                </c:pt>
                <c:pt idx="13">
                  <c:v>1908.38054648398</c:v>
                </c:pt>
                <c:pt idx="14">
                  <c:v>1987.89945952249</c:v>
                </c:pt>
                <c:pt idx="15">
                  <c:v>2073.3086624157</c:v>
                </c:pt>
                <c:pt idx="16">
                  <c:v>2164.60815516361</c:v>
                </c:pt>
                <c:pt idx="17">
                  <c:v>2261.79793776623</c:v>
                </c:pt>
                <c:pt idx="18">
                  <c:v>2364.87801022355</c:v>
                </c:pt>
                <c:pt idx="19">
                  <c:v>2473.84837253558</c:v>
                </c:pt>
                <c:pt idx="20">
                  <c:v>2588.70902470231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3_Resistencias!P3</c:f>
              <c:strCache>
                <c:ptCount val="1"/>
                <c:pt idx="0">
                  <c:v>Ftotal 30% (N)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3_Resistencias!$P$4:$P$24</c:f>
              <c:numCache>
                <c:formatCode>0.0</c:formatCode>
                <c:ptCount val="21"/>
                <c:pt idx="0">
                  <c:v>2030.95804533162</c:v>
                </c:pt>
                <c:pt idx="1">
                  <c:v>2033.89077919526</c:v>
                </c:pt>
                <c:pt idx="2">
                  <c:v>2042.68898078615</c:v>
                </c:pt>
                <c:pt idx="3">
                  <c:v>2057.35265010431</c:v>
                </c:pt>
                <c:pt idx="4">
                  <c:v>2077.88178714973</c:v>
                </c:pt>
                <c:pt idx="5">
                  <c:v>2104.27639192242</c:v>
                </c:pt>
                <c:pt idx="6">
                  <c:v>2136.53646442237</c:v>
                </c:pt>
                <c:pt idx="7">
                  <c:v>2174.66200464958</c:v>
                </c:pt>
                <c:pt idx="8">
                  <c:v>2218.65301260406</c:v>
                </c:pt>
                <c:pt idx="9">
                  <c:v>2268.5094882858</c:v>
                </c:pt>
                <c:pt idx="10">
                  <c:v>2324.23143169481</c:v>
                </c:pt>
                <c:pt idx="11">
                  <c:v>2385.81884283107</c:v>
                </c:pt>
                <c:pt idx="12">
                  <c:v>2453.27172169461</c:v>
                </c:pt>
                <c:pt idx="13">
                  <c:v>2526.5900682854</c:v>
                </c:pt>
                <c:pt idx="14">
                  <c:v>2605.77388260346</c:v>
                </c:pt>
                <c:pt idx="15">
                  <c:v>2690.82316464878</c:v>
                </c:pt>
                <c:pt idx="16">
                  <c:v>2781.73791442137</c:v>
                </c:pt>
                <c:pt idx="17">
                  <c:v>2878.51813192122</c:v>
                </c:pt>
                <c:pt idx="18">
                  <c:v>2981.16381714833</c:v>
                </c:pt>
                <c:pt idx="19">
                  <c:v>3089.67497010271</c:v>
                </c:pt>
                <c:pt idx="20">
                  <c:v>3204.05159078435</c:v>
                </c:pt>
              </c:numCache>
            </c:numRef>
          </c:yVal>
          <c:smooth val="1"/>
        </c:ser>
        <c:axId val="33075756"/>
        <c:axId val="10443960"/>
      </c:scatterChart>
      <c:valAx>
        <c:axId val="33075756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43960"/>
        <c:crosses val="autoZero"/>
        <c:crossBetween val="midCat"/>
      </c:valAx>
      <c:valAx>
        <c:axId val="1044396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Fuerza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07575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velocidades (diente de sierra)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"1.ª marcha"</c:f>
              <c:strCache>
                <c:ptCount val="1"/>
                <c:pt idx="0">
                  <c:v>1.ª marcha</c:v>
                </c:pt>
              </c:strCache>
            </c:strRef>
          </c:tx>
          <c:spPr>
            <a:solidFill>
              <a:srgbClr val="00b0f0"/>
            </a:solidFill>
            <a:ln w="219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5_Diente_sierra!$B$3:$B$16</c:f>
              <c:numCache>
                <c:formatCode>0.0</c:formatCode>
                <c:ptCount val="14"/>
                <c:pt idx="0">
                  <c:v>0</c:v>
                </c:pt>
                <c:pt idx="1">
                  <c:v>6.20413144218257</c:v>
                </c:pt>
                <c:pt idx="2">
                  <c:v>12.4082628843651</c:v>
                </c:pt>
                <c:pt idx="3">
                  <c:v>18.6123943265477</c:v>
                </c:pt>
                <c:pt idx="4">
                  <c:v>24.8165257687303</c:v>
                </c:pt>
                <c:pt idx="5">
                  <c:v>31.0206572109129</c:v>
                </c:pt>
                <c:pt idx="6">
                  <c:v>37.2247886530955</c:v>
                </c:pt>
                <c:pt idx="7">
                  <c:v>43.428920095278</c:v>
                </c:pt>
                <c:pt idx="8">
                  <c:v>49.6330515374606</c:v>
                </c:pt>
                <c:pt idx="9">
                  <c:v>55.8371829796432</c:v>
                </c:pt>
                <c:pt idx="10">
                  <c:v>62.0413144218258</c:v>
                </c:pt>
                <c:pt idx="11">
                  <c:v>68.2454458640083</c:v>
                </c:pt>
                <c:pt idx="12">
                  <c:v>74.4495773061909</c:v>
                </c:pt>
                <c:pt idx="13">
                  <c:v>80.6537087483735</c:v>
                </c:pt>
              </c:numCache>
            </c:numRef>
          </c:xVal>
          <c:yVal>
            <c:numRef>
              <c:f>5_Diente_sierra!$A$3:$A$16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"2.ª marcha"</c:f>
              <c:strCache>
                <c:ptCount val="1"/>
                <c:pt idx="0">
                  <c:v>2.ª marcha</c:v>
                </c:pt>
              </c:strCache>
            </c:strRef>
          </c:tx>
          <c:spPr>
            <a:solidFill>
              <a:srgbClr val="bf9000"/>
            </a:solidFill>
            <a:ln w="2196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5_Diente_sierra!$C$3:$C$16</c:f>
              <c:numCache>
                <c:formatCode>0.0</c:formatCode>
                <c:ptCount val="14"/>
                <c:pt idx="0">
                  <c:v>0</c:v>
                </c:pt>
                <c:pt idx="1">
                  <c:v>8.1077519801332</c:v>
                </c:pt>
                <c:pt idx="2">
                  <c:v>16.2155039602664</c:v>
                </c:pt>
                <c:pt idx="3">
                  <c:v>24.3232559403996</c:v>
                </c:pt>
                <c:pt idx="4">
                  <c:v>32.4310079205328</c:v>
                </c:pt>
                <c:pt idx="5">
                  <c:v>40.538759900666</c:v>
                </c:pt>
                <c:pt idx="6">
                  <c:v>48.6465118807992</c:v>
                </c:pt>
                <c:pt idx="7">
                  <c:v>56.7542638609324</c:v>
                </c:pt>
                <c:pt idx="8">
                  <c:v>64.8620158410656</c:v>
                </c:pt>
                <c:pt idx="9">
                  <c:v>72.9697678211987</c:v>
                </c:pt>
                <c:pt idx="10">
                  <c:v>81.077519801332</c:v>
                </c:pt>
                <c:pt idx="11">
                  <c:v>89.1852717814651</c:v>
                </c:pt>
                <c:pt idx="12">
                  <c:v>97.2930237615983</c:v>
                </c:pt>
                <c:pt idx="13">
                  <c:v>105.400775741732</c:v>
                </c:pt>
              </c:numCache>
            </c:numRef>
          </c:xVal>
          <c:yVal>
            <c:numRef>
              <c:f>5_Diente_sierra!$A$3:$A$16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"3.ª marcha"</c:f>
              <c:strCache>
                <c:ptCount val="1"/>
                <c:pt idx="0">
                  <c:v>3.ª marcha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5_Diente_sierra!$D$3:$D$16</c:f>
              <c:numCache>
                <c:formatCode>0.0</c:formatCode>
                <c:ptCount val="14"/>
                <c:pt idx="0">
                  <c:v>0</c:v>
                </c:pt>
                <c:pt idx="1">
                  <c:v>10.5954625210565</c:v>
                </c:pt>
                <c:pt idx="2">
                  <c:v>21.190925042113</c:v>
                </c:pt>
                <c:pt idx="3">
                  <c:v>31.7863875631695</c:v>
                </c:pt>
                <c:pt idx="4">
                  <c:v>42.381850084226</c:v>
                </c:pt>
                <c:pt idx="5">
                  <c:v>52.9773126052825</c:v>
                </c:pt>
                <c:pt idx="6">
                  <c:v>63.572775126339</c:v>
                </c:pt>
                <c:pt idx="7">
                  <c:v>74.1682376473956</c:v>
                </c:pt>
                <c:pt idx="8">
                  <c:v>84.7637001684521</c:v>
                </c:pt>
                <c:pt idx="9">
                  <c:v>95.3591626895086</c:v>
                </c:pt>
                <c:pt idx="10">
                  <c:v>105.954625210565</c:v>
                </c:pt>
                <c:pt idx="11">
                  <c:v>116.550087731622</c:v>
                </c:pt>
                <c:pt idx="12">
                  <c:v>127.145550252678</c:v>
                </c:pt>
                <c:pt idx="13">
                  <c:v>137.741012773735</c:v>
                </c:pt>
              </c:numCache>
            </c:numRef>
          </c:xVal>
          <c:yVal>
            <c:numRef>
              <c:f>5_Diente_sierra!$A$3:$A$16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"4.ª marcha"</c:f>
              <c:strCache>
                <c:ptCount val="1"/>
                <c:pt idx="0">
                  <c:v>4.ª marcha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5_Diente_sierra!$E$3:$E$16</c:f>
              <c:numCache>
                <c:formatCode>0.0</c:formatCode>
                <c:ptCount val="14"/>
                <c:pt idx="0">
                  <c:v>0</c:v>
                </c:pt>
                <c:pt idx="1">
                  <c:v>13.8464800489949</c:v>
                </c:pt>
                <c:pt idx="2">
                  <c:v>27.6929600979898</c:v>
                </c:pt>
                <c:pt idx="3">
                  <c:v>41.5394401469847</c:v>
                </c:pt>
                <c:pt idx="4">
                  <c:v>55.3859201959796</c:v>
                </c:pt>
                <c:pt idx="5">
                  <c:v>69.2324002449745</c:v>
                </c:pt>
                <c:pt idx="6">
                  <c:v>83.0788802939694</c:v>
                </c:pt>
                <c:pt idx="7">
                  <c:v>96.9253603429643</c:v>
                </c:pt>
                <c:pt idx="8">
                  <c:v>110.771840391959</c:v>
                </c:pt>
                <c:pt idx="9">
                  <c:v>124.618320440954</c:v>
                </c:pt>
                <c:pt idx="10">
                  <c:v>138.464800489949</c:v>
                </c:pt>
                <c:pt idx="11">
                  <c:v>152.311280538944</c:v>
                </c:pt>
                <c:pt idx="12">
                  <c:v>166.157760587939</c:v>
                </c:pt>
                <c:pt idx="13">
                  <c:v>180.004240636934</c:v>
                </c:pt>
              </c:numCache>
            </c:numRef>
          </c:xVal>
          <c:yVal>
            <c:numRef>
              <c:f>5_Diente_sierra!$A$3:$A$16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"nM par máximo"</c:f>
              <c:strCache>
                <c:ptCount val="1"/>
                <c:pt idx="0">
                  <c:v>nM par máximo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5_Diente_sierra!$A$20:$A$21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5_Diente_sierra!$B$20:$B$21</c:f>
              <c:numCache>
                <c:formatCode>0.0000</c:formatCode>
                <c:ptCount val="2"/>
                <c:pt idx="0">
                  <c:v>4000</c:v>
                </c:pt>
                <c:pt idx="1">
                  <c:v>4000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"nP potencia máxima"</c:f>
              <c:strCache>
                <c:ptCount val="1"/>
                <c:pt idx="0">
                  <c:v>nP potencia máxima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5_Diente_sierra!$A$20:$A$21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5_Diente_sierra!$C$20:$C$21</c:f>
              <c:numCache>
                <c:formatCode>0.0000</c:formatCode>
                <c:ptCount val="2"/>
                <c:pt idx="0">
                  <c:v>6500</c:v>
                </c:pt>
                <c:pt idx="1">
                  <c:v>6500</c:v>
                </c:pt>
              </c:numCache>
            </c:numRef>
          </c:yVal>
          <c:smooth val="1"/>
        </c:ser>
        <c:axId val="59523198"/>
        <c:axId val="63076843"/>
      </c:scatterChart>
      <c:valAx>
        <c:axId val="59523198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76843"/>
        <c:crosses val="autoZero"/>
        <c:crossBetween val="midCat"/>
      </c:valAx>
      <c:valAx>
        <c:axId val="630768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del motor (min⁻¹)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231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tracción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"Esfuerzo 1.ª"</c:f>
              <c:strCache>
                <c:ptCount val="1"/>
                <c:pt idx="0">
                  <c:v>Esfuerzo 1.ª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6_Traccion!$C$3:$C$16</c:f>
              <c:numCache>
                <c:formatCode>0.0</c:formatCode>
                <c:ptCount val="14"/>
                <c:pt idx="0">
                  <c:v>6.20413144218257</c:v>
                </c:pt>
                <c:pt idx="1">
                  <c:v>12.4082628843651</c:v>
                </c:pt>
                <c:pt idx="2">
                  <c:v>18.6123943265477</c:v>
                </c:pt>
                <c:pt idx="3">
                  <c:v>24.8165257687303</c:v>
                </c:pt>
                <c:pt idx="4">
                  <c:v>31.0206572109129</c:v>
                </c:pt>
                <c:pt idx="5">
                  <c:v>37.2247886530955</c:v>
                </c:pt>
                <c:pt idx="6">
                  <c:v>43.428920095278</c:v>
                </c:pt>
                <c:pt idx="7">
                  <c:v>49.6330515374606</c:v>
                </c:pt>
                <c:pt idx="8">
                  <c:v>55.8371829796432</c:v>
                </c:pt>
                <c:pt idx="9">
                  <c:v>62.0413144218258</c:v>
                </c:pt>
                <c:pt idx="10">
                  <c:v>68.2454458640083</c:v>
                </c:pt>
                <c:pt idx="11">
                  <c:v>74.4495773061909</c:v>
                </c:pt>
                <c:pt idx="12">
                  <c:v>80.6537087483735</c:v>
                </c:pt>
                <c:pt idx="13">
                  <c:v>86.8578401905561</c:v>
                </c:pt>
              </c:numCache>
            </c:numRef>
          </c:xVal>
          <c:yVal>
            <c:numRef>
              <c:f>6_Traccion!$D$3:$D$16</c:f>
              <c:numCache>
                <c:formatCode>0.0</c:formatCode>
                <c:ptCount val="14"/>
                <c:pt idx="0">
                  <c:v>2886.3830766455</c:v>
                </c:pt>
                <c:pt idx="1">
                  <c:v>3030.70223047777</c:v>
                </c:pt>
                <c:pt idx="2">
                  <c:v>3117.29372277714</c:v>
                </c:pt>
                <c:pt idx="3">
                  <c:v>3232.74904584296</c:v>
                </c:pt>
                <c:pt idx="4">
                  <c:v>3348.20436890878</c:v>
                </c:pt>
                <c:pt idx="5">
                  <c:v>3377.06819967523</c:v>
                </c:pt>
                <c:pt idx="6">
                  <c:v>3405.93203044169</c:v>
                </c:pt>
                <c:pt idx="7">
                  <c:v>3463.6596919746</c:v>
                </c:pt>
                <c:pt idx="8">
                  <c:v>3405.93203044169</c:v>
                </c:pt>
                <c:pt idx="9">
                  <c:v>3348.20436890878</c:v>
                </c:pt>
                <c:pt idx="10">
                  <c:v>3232.74904584296</c:v>
                </c:pt>
                <c:pt idx="11">
                  <c:v>3117.29372277714</c:v>
                </c:pt>
                <c:pt idx="12">
                  <c:v>2886.3830766455</c:v>
                </c:pt>
                <c:pt idx="13">
                  <c:v>2597.74476898095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"Esfuerzo 2.ª"</c:f>
              <c:strCache>
                <c:ptCount val="1"/>
                <c:pt idx="0">
                  <c:v>Esfuerzo 2.ª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6_Traccion!$E$3:$E$16</c:f>
              <c:numCache>
                <c:formatCode>0.0</c:formatCode>
                <c:ptCount val="14"/>
                <c:pt idx="0">
                  <c:v>8.1077519801332</c:v>
                </c:pt>
                <c:pt idx="1">
                  <c:v>16.2155039602664</c:v>
                </c:pt>
                <c:pt idx="2">
                  <c:v>24.3232559403996</c:v>
                </c:pt>
                <c:pt idx="3">
                  <c:v>32.4310079205328</c:v>
                </c:pt>
                <c:pt idx="4">
                  <c:v>40.538759900666</c:v>
                </c:pt>
                <c:pt idx="5">
                  <c:v>48.6465118807992</c:v>
                </c:pt>
                <c:pt idx="6">
                  <c:v>56.7542638609324</c:v>
                </c:pt>
                <c:pt idx="7">
                  <c:v>64.8620158410656</c:v>
                </c:pt>
                <c:pt idx="8">
                  <c:v>72.9697678211987</c:v>
                </c:pt>
                <c:pt idx="9">
                  <c:v>81.077519801332</c:v>
                </c:pt>
                <c:pt idx="10">
                  <c:v>89.1852717814651</c:v>
                </c:pt>
                <c:pt idx="11">
                  <c:v>97.2930237615983</c:v>
                </c:pt>
                <c:pt idx="12">
                  <c:v>105.400775741732</c:v>
                </c:pt>
                <c:pt idx="13">
                  <c:v>113.508527721865</c:v>
                </c:pt>
              </c:numCache>
            </c:numRef>
          </c:xVal>
          <c:yVal>
            <c:numRef>
              <c:f>6_Traccion!$F$3:$F$16</c:f>
              <c:numCache>
                <c:formatCode>0.0</c:formatCode>
                <c:ptCount val="14"/>
                <c:pt idx="0">
                  <c:v>2208.68867768521</c:v>
                </c:pt>
                <c:pt idx="1">
                  <c:v>2319.12311156947</c:v>
                </c:pt>
                <c:pt idx="2">
                  <c:v>2385.38377190002</c:v>
                </c:pt>
                <c:pt idx="3">
                  <c:v>2473.73131900743</c:v>
                </c:pt>
                <c:pt idx="4">
                  <c:v>2562.07886611484</c:v>
                </c:pt>
                <c:pt idx="5">
                  <c:v>2584.16575289169</c:v>
                </c:pt>
                <c:pt idx="6">
                  <c:v>2606.25263966854</c:v>
                </c:pt>
                <c:pt idx="7">
                  <c:v>2650.42641322225</c:v>
                </c:pt>
                <c:pt idx="8">
                  <c:v>2606.25263966854</c:v>
                </c:pt>
                <c:pt idx="9">
                  <c:v>2562.07886611484</c:v>
                </c:pt>
                <c:pt idx="10">
                  <c:v>2473.73131900743</c:v>
                </c:pt>
                <c:pt idx="11">
                  <c:v>2385.38377190002</c:v>
                </c:pt>
                <c:pt idx="12">
                  <c:v>2208.68867768521</c:v>
                </c:pt>
                <c:pt idx="13">
                  <c:v>1987.81980991669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"Esfuerzo 3.ª"</c:f>
              <c:strCache>
                <c:ptCount val="1"/>
                <c:pt idx="0">
                  <c:v>Esfuerzo 3.ª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6_Traccion!$G$3:$G$16</c:f>
              <c:numCache>
                <c:formatCode>0.0</c:formatCode>
                <c:ptCount val="14"/>
                <c:pt idx="0">
                  <c:v>10.5954625210565</c:v>
                </c:pt>
                <c:pt idx="1">
                  <c:v>21.190925042113</c:v>
                </c:pt>
                <c:pt idx="2">
                  <c:v>31.7863875631695</c:v>
                </c:pt>
                <c:pt idx="3">
                  <c:v>42.381850084226</c:v>
                </c:pt>
                <c:pt idx="4">
                  <c:v>52.9773126052825</c:v>
                </c:pt>
                <c:pt idx="5">
                  <c:v>63.572775126339</c:v>
                </c:pt>
                <c:pt idx="6">
                  <c:v>74.1682376473956</c:v>
                </c:pt>
                <c:pt idx="7">
                  <c:v>84.7637001684521</c:v>
                </c:pt>
                <c:pt idx="8">
                  <c:v>95.3591626895086</c:v>
                </c:pt>
                <c:pt idx="9">
                  <c:v>105.954625210565</c:v>
                </c:pt>
                <c:pt idx="10">
                  <c:v>116.550087731622</c:v>
                </c:pt>
                <c:pt idx="11">
                  <c:v>127.145550252678</c:v>
                </c:pt>
                <c:pt idx="12">
                  <c:v>137.741012773735</c:v>
                </c:pt>
                <c:pt idx="13">
                  <c:v>148.336475294791</c:v>
                </c:pt>
              </c:numCache>
            </c:numRef>
          </c:xVal>
          <c:yVal>
            <c:numRef>
              <c:f>6_Traccion!$H$3:$H$16</c:f>
              <c:numCache>
                <c:formatCode>0.0</c:formatCode>
                <c:ptCount val="14"/>
                <c:pt idx="0">
                  <c:v>1690.11026790121</c:v>
                </c:pt>
                <c:pt idx="1">
                  <c:v>1774.61578129627</c:v>
                </c:pt>
                <c:pt idx="2">
                  <c:v>1825.3190893333</c:v>
                </c:pt>
                <c:pt idx="3">
                  <c:v>1892.92350004935</c:v>
                </c:pt>
                <c:pt idx="4">
                  <c:v>1960.5279107654</c:v>
                </c:pt>
                <c:pt idx="5">
                  <c:v>1977.42901344441</c:v>
                </c:pt>
                <c:pt idx="6">
                  <c:v>1994.33011612342</c:v>
                </c:pt>
                <c:pt idx="7">
                  <c:v>2028.13232148145</c:v>
                </c:pt>
                <c:pt idx="8">
                  <c:v>1994.33011612342</c:v>
                </c:pt>
                <c:pt idx="9">
                  <c:v>1960.5279107654</c:v>
                </c:pt>
                <c:pt idx="10">
                  <c:v>1892.92350004935</c:v>
                </c:pt>
                <c:pt idx="11">
                  <c:v>1825.3190893333</c:v>
                </c:pt>
                <c:pt idx="12">
                  <c:v>1690.11026790121</c:v>
                </c:pt>
                <c:pt idx="13">
                  <c:v>1521.09924111109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"Esfuerzo 4.ª"</c:f>
              <c:strCache>
                <c:ptCount val="1"/>
                <c:pt idx="0">
                  <c:v>Esfuerzo 4.ª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6_Traccion!$I$3:$I$16</c:f>
              <c:numCache>
                <c:formatCode>0.0</c:formatCode>
                <c:ptCount val="14"/>
                <c:pt idx="0">
                  <c:v>13.8464800489949</c:v>
                </c:pt>
                <c:pt idx="1">
                  <c:v>27.6929600979898</c:v>
                </c:pt>
                <c:pt idx="2">
                  <c:v>41.5394401469847</c:v>
                </c:pt>
                <c:pt idx="3">
                  <c:v>55.3859201959796</c:v>
                </c:pt>
                <c:pt idx="4">
                  <c:v>69.2324002449745</c:v>
                </c:pt>
                <c:pt idx="5">
                  <c:v>83.0788802939694</c:v>
                </c:pt>
                <c:pt idx="6">
                  <c:v>96.9253603429643</c:v>
                </c:pt>
                <c:pt idx="7">
                  <c:v>110.771840391959</c:v>
                </c:pt>
                <c:pt idx="8">
                  <c:v>124.618320440954</c:v>
                </c:pt>
                <c:pt idx="9">
                  <c:v>138.464800489949</c:v>
                </c:pt>
                <c:pt idx="10">
                  <c:v>152.311280538944</c:v>
                </c:pt>
                <c:pt idx="11">
                  <c:v>166.157760587939</c:v>
                </c:pt>
                <c:pt idx="12">
                  <c:v>180.004240636934</c:v>
                </c:pt>
                <c:pt idx="13">
                  <c:v>193.850720685929</c:v>
                </c:pt>
              </c:numCache>
            </c:numRef>
          </c:xVal>
          <c:yVal>
            <c:numRef>
              <c:f>6_Traccion!$J$3:$J$16</c:f>
              <c:numCache>
                <c:formatCode>0.0</c:formatCode>
                <c:ptCount val="14"/>
                <c:pt idx="0">
                  <c:v>1293.2889757278</c:v>
                </c:pt>
                <c:pt idx="1">
                  <c:v>1357.95342451419</c:v>
                </c:pt>
                <c:pt idx="2">
                  <c:v>1396.75209378602</c:v>
                </c:pt>
                <c:pt idx="3">
                  <c:v>1448.48365281513</c:v>
                </c:pt>
                <c:pt idx="4">
                  <c:v>1500.21521184425</c:v>
                </c:pt>
                <c:pt idx="5">
                  <c:v>1513.14810160152</c:v>
                </c:pt>
                <c:pt idx="6">
                  <c:v>1526.0809913588</c:v>
                </c:pt>
                <c:pt idx="7">
                  <c:v>1551.94677087336</c:v>
                </c:pt>
                <c:pt idx="8">
                  <c:v>1526.0809913588</c:v>
                </c:pt>
                <c:pt idx="9">
                  <c:v>1500.21521184425</c:v>
                </c:pt>
                <c:pt idx="10">
                  <c:v>1448.48365281513</c:v>
                </c:pt>
                <c:pt idx="11">
                  <c:v>1396.75209378602</c:v>
                </c:pt>
                <c:pt idx="12">
                  <c:v>1293.2889757278</c:v>
                </c:pt>
                <c:pt idx="13">
                  <c:v>1163.96007815502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"Resistencia 0 %"</c:f>
              <c:strCache>
                <c:ptCount val="1"/>
                <c:pt idx="0">
                  <c:v>Resistencia 0 %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3_Resistencias!$M$4:$M$24</c:f>
              <c:numCache>
                <c:formatCode>0.0</c:formatCode>
                <c:ptCount val="21"/>
                <c:pt idx="0">
                  <c:v>74.99745</c:v>
                </c:pt>
                <c:pt idx="1">
                  <c:v>77.9531869259259</c:v>
                </c:pt>
                <c:pt idx="2">
                  <c:v>86.8203977037037</c:v>
                </c:pt>
                <c:pt idx="3">
                  <c:v>101.599082333333</c:v>
                </c:pt>
                <c:pt idx="4">
                  <c:v>122.289240814815</c:v>
                </c:pt>
                <c:pt idx="5">
                  <c:v>148.890873148148</c:v>
                </c:pt>
                <c:pt idx="6">
                  <c:v>181.403979333333</c:v>
                </c:pt>
                <c:pt idx="7">
                  <c:v>219.82855937037</c:v>
                </c:pt>
                <c:pt idx="8">
                  <c:v>264.164613259259</c:v>
                </c:pt>
                <c:pt idx="9">
                  <c:v>314.412141</c:v>
                </c:pt>
                <c:pt idx="10">
                  <c:v>370.571142592593</c:v>
                </c:pt>
                <c:pt idx="11">
                  <c:v>432.641618037037</c:v>
                </c:pt>
                <c:pt idx="12">
                  <c:v>500.623567333333</c:v>
                </c:pt>
                <c:pt idx="13">
                  <c:v>574.516990481482</c:v>
                </c:pt>
                <c:pt idx="14">
                  <c:v>654.321887481481</c:v>
                </c:pt>
                <c:pt idx="15">
                  <c:v>740.038258333333</c:v>
                </c:pt>
                <c:pt idx="16">
                  <c:v>831.666103037037</c:v>
                </c:pt>
                <c:pt idx="17">
                  <c:v>929.205421592593</c:v>
                </c:pt>
                <c:pt idx="18">
                  <c:v>1032.656214</c:v>
                </c:pt>
                <c:pt idx="19">
                  <c:v>1142.01848025926</c:v>
                </c:pt>
                <c:pt idx="20">
                  <c:v>1257.29222037037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"Resistencia 10 %"</c:f>
              <c:strCache>
                <c:ptCount val="1"/>
                <c:pt idx="0">
                  <c:v>Resistencia 10 %</c:v>
                </c:pt>
              </c:strCache>
            </c:strRef>
          </c:tx>
          <c:spPr>
            <a:solidFill>
              <a:srgbClr val="808080"/>
            </a:solidFill>
            <a:ln w="2196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3_Resistencias!$N$4:$N$24</c:f>
              <c:numCache>
                <c:formatCode>0.0</c:formatCode>
                <c:ptCount val="21"/>
                <c:pt idx="0">
                  <c:v>753.036633020134</c:v>
                </c:pt>
                <c:pt idx="1">
                  <c:v>755.989663050939</c:v>
                </c:pt>
                <c:pt idx="2">
                  <c:v>764.848753143355</c:v>
                </c:pt>
                <c:pt idx="3">
                  <c:v>779.613903297382</c:v>
                </c:pt>
                <c:pt idx="4">
                  <c:v>800.285113513019</c:v>
                </c:pt>
                <c:pt idx="5">
                  <c:v>826.862383790266</c:v>
                </c:pt>
                <c:pt idx="6">
                  <c:v>859.345714129125</c:v>
                </c:pt>
                <c:pt idx="7">
                  <c:v>897.735104529594</c:v>
                </c:pt>
                <c:pt idx="8">
                  <c:v>942.030554991673</c:v>
                </c:pt>
                <c:pt idx="9">
                  <c:v>992.232065515363</c:v>
                </c:pt>
                <c:pt idx="10">
                  <c:v>1048.33963610066</c:v>
                </c:pt>
                <c:pt idx="11">
                  <c:v>1110.35326674758</c:v>
                </c:pt>
                <c:pt idx="12">
                  <c:v>1178.2729574561</c:v>
                </c:pt>
                <c:pt idx="13">
                  <c:v>1252.09870822623</c:v>
                </c:pt>
                <c:pt idx="14">
                  <c:v>1331.83051905797</c:v>
                </c:pt>
                <c:pt idx="15">
                  <c:v>1417.46838995133</c:v>
                </c:pt>
                <c:pt idx="16">
                  <c:v>1509.01232090629</c:v>
                </c:pt>
                <c:pt idx="17">
                  <c:v>1606.46231192287</c:v>
                </c:pt>
                <c:pt idx="18">
                  <c:v>1709.81836300105</c:v>
                </c:pt>
                <c:pt idx="19">
                  <c:v>1819.08047414085</c:v>
                </c:pt>
                <c:pt idx="20">
                  <c:v>1934.24864534225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"Resistencia 20 %"</c:f>
              <c:strCache>
                <c:ptCount val="1"/>
                <c:pt idx="0">
                  <c:v>Resistencia 20 %</c:v>
                </c:pt>
              </c:strCache>
            </c:strRef>
          </c:tx>
          <c:spPr>
            <a:solidFill>
              <a:srgbClr val="00b0f0"/>
            </a:solidFill>
            <a:ln w="21960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3_Resistencias!$O$4:$O$24</c:f>
              <c:numCache>
                <c:formatCode>0.0</c:formatCode>
                <c:ptCount val="21"/>
                <c:pt idx="0">
                  <c:v>1410.65105376148</c:v>
                </c:pt>
                <c:pt idx="1">
                  <c:v>1413.59619868883</c:v>
                </c:pt>
                <c:pt idx="2">
                  <c:v>1422.43163347089</c:v>
                </c:pt>
                <c:pt idx="3">
                  <c:v>1437.15735810765</c:v>
                </c:pt>
                <c:pt idx="4">
                  <c:v>1457.77337259911</c:v>
                </c:pt>
                <c:pt idx="5">
                  <c:v>1484.27967694528</c:v>
                </c:pt>
                <c:pt idx="6">
                  <c:v>1516.67627114615</c:v>
                </c:pt>
                <c:pt idx="7">
                  <c:v>1554.96315520173</c:v>
                </c:pt>
                <c:pt idx="8">
                  <c:v>1599.14032911201</c:v>
                </c:pt>
                <c:pt idx="9">
                  <c:v>1649.207792877</c:v>
                </c:pt>
                <c:pt idx="10">
                  <c:v>1705.16554649669</c:v>
                </c:pt>
                <c:pt idx="11">
                  <c:v>1767.01358997108</c:v>
                </c:pt>
                <c:pt idx="12">
                  <c:v>1834.75192330018</c:v>
                </c:pt>
                <c:pt idx="13">
                  <c:v>1908.38054648398</c:v>
                </c:pt>
                <c:pt idx="14">
                  <c:v>1987.89945952249</c:v>
                </c:pt>
                <c:pt idx="15">
                  <c:v>2073.3086624157</c:v>
                </c:pt>
                <c:pt idx="16">
                  <c:v>2164.60815516361</c:v>
                </c:pt>
                <c:pt idx="17">
                  <c:v>2261.79793776623</c:v>
                </c:pt>
                <c:pt idx="18">
                  <c:v>2364.87801022355</c:v>
                </c:pt>
                <c:pt idx="19">
                  <c:v>2473.84837253558</c:v>
                </c:pt>
                <c:pt idx="20">
                  <c:v>2588.70902470231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"Resistencia 30 %"</c:f>
              <c:strCache>
                <c:ptCount val="1"/>
                <c:pt idx="0">
                  <c:v>Resistencia 30 %</c:v>
                </c:pt>
              </c:strCache>
            </c:strRef>
          </c:tx>
          <c:spPr>
            <a:solidFill>
              <a:srgbClr val="bf9000"/>
            </a:solidFill>
            <a:ln w="21960">
              <a:solidFill>
                <a:srgbClr val="bf9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3_Resistencias!$P$4:$P$24</c:f>
              <c:numCache>
                <c:formatCode>0.0</c:formatCode>
                <c:ptCount val="21"/>
                <c:pt idx="0">
                  <c:v>2030.95804533162</c:v>
                </c:pt>
                <c:pt idx="1">
                  <c:v>2033.89077919526</c:v>
                </c:pt>
                <c:pt idx="2">
                  <c:v>2042.68898078615</c:v>
                </c:pt>
                <c:pt idx="3">
                  <c:v>2057.35265010431</c:v>
                </c:pt>
                <c:pt idx="4">
                  <c:v>2077.88178714973</c:v>
                </c:pt>
                <c:pt idx="5">
                  <c:v>2104.27639192242</c:v>
                </c:pt>
                <c:pt idx="6">
                  <c:v>2136.53646442237</c:v>
                </c:pt>
                <c:pt idx="7">
                  <c:v>2174.66200464958</c:v>
                </c:pt>
                <c:pt idx="8">
                  <c:v>2218.65301260406</c:v>
                </c:pt>
                <c:pt idx="9">
                  <c:v>2268.5094882858</c:v>
                </c:pt>
                <c:pt idx="10">
                  <c:v>2324.23143169481</c:v>
                </c:pt>
                <c:pt idx="11">
                  <c:v>2385.81884283107</c:v>
                </c:pt>
                <c:pt idx="12">
                  <c:v>2453.27172169461</c:v>
                </c:pt>
                <c:pt idx="13">
                  <c:v>2526.5900682854</c:v>
                </c:pt>
                <c:pt idx="14">
                  <c:v>2605.77388260346</c:v>
                </c:pt>
                <c:pt idx="15">
                  <c:v>2690.82316464878</c:v>
                </c:pt>
                <c:pt idx="16">
                  <c:v>2781.73791442137</c:v>
                </c:pt>
                <c:pt idx="17">
                  <c:v>2878.51813192122</c:v>
                </c:pt>
                <c:pt idx="18">
                  <c:v>2981.16381714833</c:v>
                </c:pt>
                <c:pt idx="19">
                  <c:v>3089.67497010271</c:v>
                </c:pt>
                <c:pt idx="20">
                  <c:v>3204.05159078435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"Límite de adherencia (llano)"</c:f>
              <c:strCache>
                <c:ptCount val="1"/>
                <c:pt idx="0">
                  <c:v>Límite de adherencia (llano)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6_Traccion!$A$20:$A$21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6_Traccion!$B$20:$B$21</c:f>
              <c:numCache>
                <c:formatCode>0.0000</c:formatCode>
                <c:ptCount val="2"/>
                <c:pt idx="0">
                  <c:v>3872.5956</c:v>
                </c:pt>
                <c:pt idx="1">
                  <c:v>3872.5956</c:v>
                </c:pt>
              </c:numCache>
            </c:numRef>
          </c:yVal>
          <c:smooth val="1"/>
        </c:ser>
        <c:axId val="85978886"/>
        <c:axId val="33967312"/>
      </c:scatterChart>
      <c:valAx>
        <c:axId val="85978886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67312"/>
        <c:crosses val="autoZero"/>
        <c:crossBetween val="midCat"/>
      </c:valAx>
      <c:valAx>
        <c:axId val="3396731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Fuerza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7888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potencias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"P rueda 1.ª"</c:f>
              <c:strCache>
                <c:ptCount val="1"/>
                <c:pt idx="0">
                  <c:v>P rueda 1.ª</c:v>
                </c:pt>
              </c:strCache>
            </c:strRef>
          </c:tx>
          <c:spPr>
            <a:solidFill>
              <a:srgbClr val="808080"/>
            </a:solidFill>
            <a:ln w="21960">
              <a:solidFill>
                <a:srgbClr val="80808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7_Potencias!$D$3:$D$16</c:f>
              <c:numCache>
                <c:formatCode>0.0</c:formatCode>
                <c:ptCount val="14"/>
                <c:pt idx="0">
                  <c:v>6.20413144218257</c:v>
                </c:pt>
                <c:pt idx="1">
                  <c:v>12.4082628843651</c:v>
                </c:pt>
                <c:pt idx="2">
                  <c:v>18.6123943265477</c:v>
                </c:pt>
                <c:pt idx="3">
                  <c:v>24.8165257687303</c:v>
                </c:pt>
                <c:pt idx="4">
                  <c:v>31.0206572109129</c:v>
                </c:pt>
                <c:pt idx="5">
                  <c:v>37.2247886530955</c:v>
                </c:pt>
                <c:pt idx="6">
                  <c:v>43.428920095278</c:v>
                </c:pt>
                <c:pt idx="7">
                  <c:v>49.6330515374606</c:v>
                </c:pt>
                <c:pt idx="8">
                  <c:v>55.8371829796432</c:v>
                </c:pt>
                <c:pt idx="9">
                  <c:v>62.0413144218258</c:v>
                </c:pt>
                <c:pt idx="10">
                  <c:v>68.2454458640083</c:v>
                </c:pt>
                <c:pt idx="11">
                  <c:v>74.4495773061909</c:v>
                </c:pt>
                <c:pt idx="12">
                  <c:v>80.6537087483735</c:v>
                </c:pt>
                <c:pt idx="13">
                  <c:v>86.8578401905561</c:v>
                </c:pt>
              </c:numCache>
            </c:numRef>
          </c:xVal>
          <c:yVal>
            <c:numRef>
              <c:f>7_Potencias!$C$3:$C$16</c:f>
              <c:numCache>
                <c:formatCode>0.0</c:formatCode>
                <c:ptCount val="14"/>
                <c:pt idx="0">
                  <c:v>4.97418836818384</c:v>
                </c:pt>
                <c:pt idx="1">
                  <c:v>10.4457955731861</c:v>
                </c:pt>
                <c:pt idx="2">
                  <c:v>16.1163703129156</c:v>
                </c:pt>
                <c:pt idx="3">
                  <c:v>22.2843638894636</c:v>
                </c:pt>
                <c:pt idx="4">
                  <c:v>28.8502925354663</c:v>
                </c:pt>
                <c:pt idx="5">
                  <c:v>34.9188023446506</c:v>
                </c:pt>
                <c:pt idx="6">
                  <c:v>41.0867959211985</c:v>
                </c:pt>
                <c:pt idx="7">
                  <c:v>47.7522083345649</c:v>
                </c:pt>
                <c:pt idx="8">
                  <c:v>52.8258804701124</c:v>
                </c:pt>
                <c:pt idx="9">
                  <c:v>57.7005850709325</c:v>
                </c:pt>
                <c:pt idx="10">
                  <c:v>61.2820006960249</c:v>
                </c:pt>
                <c:pt idx="11">
                  <c:v>64.4654812516626</c:v>
                </c:pt>
                <c:pt idx="12">
                  <c:v>64.6644487863899</c:v>
                </c:pt>
                <c:pt idx="13">
                  <c:v>62.6747734391164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"P rueda 2.ª"</c:f>
              <c:strCache>
                <c:ptCount val="1"/>
                <c:pt idx="0">
                  <c:v>P rueda 2.ª</c:v>
                </c:pt>
              </c:strCache>
            </c:strRef>
          </c:tx>
          <c:spPr>
            <a:solidFill>
              <a:srgbClr val="00b0f0"/>
            </a:solidFill>
            <a:ln w="21960">
              <a:solidFill>
                <a:srgbClr val="00b0f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7_Potencias!$E$3:$E$16</c:f>
              <c:numCache>
                <c:formatCode>0.0</c:formatCode>
                <c:ptCount val="14"/>
                <c:pt idx="0">
                  <c:v>8.1077519801332</c:v>
                </c:pt>
                <c:pt idx="1">
                  <c:v>16.2155039602664</c:v>
                </c:pt>
                <c:pt idx="2">
                  <c:v>24.3232559403996</c:v>
                </c:pt>
                <c:pt idx="3">
                  <c:v>32.4310079205328</c:v>
                </c:pt>
                <c:pt idx="4">
                  <c:v>40.538759900666</c:v>
                </c:pt>
                <c:pt idx="5">
                  <c:v>48.6465118807992</c:v>
                </c:pt>
                <c:pt idx="6">
                  <c:v>56.7542638609324</c:v>
                </c:pt>
                <c:pt idx="7">
                  <c:v>64.8620158410656</c:v>
                </c:pt>
                <c:pt idx="8">
                  <c:v>72.9697678211987</c:v>
                </c:pt>
                <c:pt idx="9">
                  <c:v>81.077519801332</c:v>
                </c:pt>
                <c:pt idx="10">
                  <c:v>89.1852717814651</c:v>
                </c:pt>
                <c:pt idx="11">
                  <c:v>97.2930237615983</c:v>
                </c:pt>
                <c:pt idx="12">
                  <c:v>105.400775741732</c:v>
                </c:pt>
                <c:pt idx="13">
                  <c:v>113.508527721865</c:v>
                </c:pt>
              </c:numCache>
            </c:numRef>
          </c:xVal>
          <c:yVal>
            <c:numRef>
              <c:f>7_Potencias!$C$3:$C$16</c:f>
              <c:numCache>
                <c:formatCode>0.0</c:formatCode>
                <c:ptCount val="14"/>
                <c:pt idx="0">
                  <c:v>4.97418836818384</c:v>
                </c:pt>
                <c:pt idx="1">
                  <c:v>10.4457955731861</c:v>
                </c:pt>
                <c:pt idx="2">
                  <c:v>16.1163703129156</c:v>
                </c:pt>
                <c:pt idx="3">
                  <c:v>22.2843638894636</c:v>
                </c:pt>
                <c:pt idx="4">
                  <c:v>28.8502925354663</c:v>
                </c:pt>
                <c:pt idx="5">
                  <c:v>34.9188023446506</c:v>
                </c:pt>
                <c:pt idx="6">
                  <c:v>41.0867959211985</c:v>
                </c:pt>
                <c:pt idx="7">
                  <c:v>47.7522083345649</c:v>
                </c:pt>
                <c:pt idx="8">
                  <c:v>52.8258804701124</c:v>
                </c:pt>
                <c:pt idx="9">
                  <c:v>57.7005850709325</c:v>
                </c:pt>
                <c:pt idx="10">
                  <c:v>61.2820006960249</c:v>
                </c:pt>
                <c:pt idx="11">
                  <c:v>64.4654812516626</c:v>
                </c:pt>
                <c:pt idx="12">
                  <c:v>64.6644487863899</c:v>
                </c:pt>
                <c:pt idx="13">
                  <c:v>62.6747734391164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"P rueda 3.ª"</c:f>
              <c:strCache>
                <c:ptCount val="1"/>
                <c:pt idx="0">
                  <c:v>P rueda 3.ª</c:v>
                </c:pt>
              </c:strCache>
            </c:strRef>
          </c:tx>
          <c:spPr>
            <a:solidFill>
              <a:srgbClr val="bf9000"/>
            </a:solidFill>
            <a:ln w="21960">
              <a:solidFill>
                <a:srgbClr val="bf9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7_Potencias!$F$3:$F$16</c:f>
              <c:numCache>
                <c:formatCode>0.0</c:formatCode>
                <c:ptCount val="14"/>
                <c:pt idx="0">
                  <c:v>10.5954625210565</c:v>
                </c:pt>
                <c:pt idx="1">
                  <c:v>21.190925042113</c:v>
                </c:pt>
                <c:pt idx="2">
                  <c:v>31.7863875631695</c:v>
                </c:pt>
                <c:pt idx="3">
                  <c:v>42.381850084226</c:v>
                </c:pt>
                <c:pt idx="4">
                  <c:v>52.9773126052825</c:v>
                </c:pt>
                <c:pt idx="5">
                  <c:v>63.572775126339</c:v>
                </c:pt>
                <c:pt idx="6">
                  <c:v>74.1682376473956</c:v>
                </c:pt>
                <c:pt idx="7">
                  <c:v>84.7637001684521</c:v>
                </c:pt>
                <c:pt idx="8">
                  <c:v>95.3591626895086</c:v>
                </c:pt>
                <c:pt idx="9">
                  <c:v>105.954625210565</c:v>
                </c:pt>
                <c:pt idx="10">
                  <c:v>116.550087731622</c:v>
                </c:pt>
                <c:pt idx="11">
                  <c:v>127.145550252678</c:v>
                </c:pt>
                <c:pt idx="12">
                  <c:v>137.741012773735</c:v>
                </c:pt>
                <c:pt idx="13">
                  <c:v>148.336475294791</c:v>
                </c:pt>
              </c:numCache>
            </c:numRef>
          </c:xVal>
          <c:yVal>
            <c:numRef>
              <c:f>7_Potencias!$C$3:$C$16</c:f>
              <c:numCache>
                <c:formatCode>0.0</c:formatCode>
                <c:ptCount val="14"/>
                <c:pt idx="0">
                  <c:v>4.97418836818384</c:v>
                </c:pt>
                <c:pt idx="1">
                  <c:v>10.4457955731861</c:v>
                </c:pt>
                <c:pt idx="2">
                  <c:v>16.1163703129156</c:v>
                </c:pt>
                <c:pt idx="3">
                  <c:v>22.2843638894636</c:v>
                </c:pt>
                <c:pt idx="4">
                  <c:v>28.8502925354663</c:v>
                </c:pt>
                <c:pt idx="5">
                  <c:v>34.9188023446506</c:v>
                </c:pt>
                <c:pt idx="6">
                  <c:v>41.0867959211985</c:v>
                </c:pt>
                <c:pt idx="7">
                  <c:v>47.7522083345649</c:v>
                </c:pt>
                <c:pt idx="8">
                  <c:v>52.8258804701124</c:v>
                </c:pt>
                <c:pt idx="9">
                  <c:v>57.7005850709325</c:v>
                </c:pt>
                <c:pt idx="10">
                  <c:v>61.2820006960249</c:v>
                </c:pt>
                <c:pt idx="11">
                  <c:v>64.4654812516626</c:v>
                </c:pt>
                <c:pt idx="12">
                  <c:v>64.6644487863899</c:v>
                </c:pt>
                <c:pt idx="13">
                  <c:v>62.6747734391164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"P rueda 4.ª"</c:f>
              <c:strCache>
                <c:ptCount val="1"/>
                <c:pt idx="0">
                  <c:v>P rueda 4.ª</c:v>
                </c:pt>
              </c:strCache>
            </c:strRef>
          </c:tx>
          <c:spPr>
            <a:solidFill>
              <a:srgbClr val="000000"/>
            </a:solidFill>
            <a:ln w="219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7_Potencias!$G$3:$G$16</c:f>
              <c:numCache>
                <c:formatCode>0.0</c:formatCode>
                <c:ptCount val="14"/>
                <c:pt idx="0">
                  <c:v>13.8464800489949</c:v>
                </c:pt>
                <c:pt idx="1">
                  <c:v>27.6929600979898</c:v>
                </c:pt>
                <c:pt idx="2">
                  <c:v>41.5394401469847</c:v>
                </c:pt>
                <c:pt idx="3">
                  <c:v>55.3859201959796</c:v>
                </c:pt>
                <c:pt idx="4">
                  <c:v>69.2324002449745</c:v>
                </c:pt>
                <c:pt idx="5">
                  <c:v>83.0788802939694</c:v>
                </c:pt>
                <c:pt idx="6">
                  <c:v>96.9253603429643</c:v>
                </c:pt>
                <c:pt idx="7">
                  <c:v>110.771840391959</c:v>
                </c:pt>
                <c:pt idx="8">
                  <c:v>124.618320440954</c:v>
                </c:pt>
                <c:pt idx="9">
                  <c:v>138.464800489949</c:v>
                </c:pt>
                <c:pt idx="10">
                  <c:v>152.311280538944</c:v>
                </c:pt>
                <c:pt idx="11">
                  <c:v>166.157760587939</c:v>
                </c:pt>
                <c:pt idx="12">
                  <c:v>180.004240636934</c:v>
                </c:pt>
                <c:pt idx="13">
                  <c:v>193.850720685929</c:v>
                </c:pt>
              </c:numCache>
            </c:numRef>
          </c:xVal>
          <c:yVal>
            <c:numRef>
              <c:f>7_Potencias!$C$3:$C$16</c:f>
              <c:numCache>
                <c:formatCode>0.0</c:formatCode>
                <c:ptCount val="14"/>
                <c:pt idx="0">
                  <c:v>4.97418836818384</c:v>
                </c:pt>
                <c:pt idx="1">
                  <c:v>10.4457955731861</c:v>
                </c:pt>
                <c:pt idx="2">
                  <c:v>16.1163703129156</c:v>
                </c:pt>
                <c:pt idx="3">
                  <c:v>22.2843638894636</c:v>
                </c:pt>
                <c:pt idx="4">
                  <c:v>28.8502925354663</c:v>
                </c:pt>
                <c:pt idx="5">
                  <c:v>34.9188023446506</c:v>
                </c:pt>
                <c:pt idx="6">
                  <c:v>41.0867959211985</c:v>
                </c:pt>
                <c:pt idx="7">
                  <c:v>47.7522083345649</c:v>
                </c:pt>
                <c:pt idx="8">
                  <c:v>52.8258804701124</c:v>
                </c:pt>
                <c:pt idx="9">
                  <c:v>57.7005850709325</c:v>
                </c:pt>
                <c:pt idx="10">
                  <c:v>61.2820006960249</c:v>
                </c:pt>
                <c:pt idx="11">
                  <c:v>64.4654812516626</c:v>
                </c:pt>
                <c:pt idx="12">
                  <c:v>64.6644487863899</c:v>
                </c:pt>
                <c:pt idx="13">
                  <c:v>62.6747734391164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"P resistente llano"</c:f>
              <c:strCache>
                <c:ptCount val="1"/>
                <c:pt idx="0">
                  <c:v>P resistente llano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3_Resistencias!$A$4:$A$24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3_Resistencias!$Q$4:$Q$24</c:f>
              <c:numCache>
                <c:formatCode>0.0</c:formatCode>
                <c:ptCount val="21"/>
                <c:pt idx="0">
                  <c:v>0</c:v>
                </c:pt>
                <c:pt idx="1">
                  <c:v>0.216536630349794</c:v>
                </c:pt>
                <c:pt idx="2">
                  <c:v>0.482335542798354</c:v>
                </c:pt>
                <c:pt idx="3">
                  <c:v>0.846659019444445</c:v>
                </c:pt>
                <c:pt idx="4">
                  <c:v>1.35876934238683</c:v>
                </c:pt>
                <c:pt idx="5">
                  <c:v>2.06792879372428</c:v>
                </c:pt>
                <c:pt idx="6">
                  <c:v>3.02339965555556</c:v>
                </c:pt>
                <c:pt idx="7">
                  <c:v>4.27444420997942</c:v>
                </c:pt>
                <c:pt idx="8">
                  <c:v>5.87032473909465</c:v>
                </c:pt>
                <c:pt idx="9">
                  <c:v>7.860303525</c:v>
                </c:pt>
                <c:pt idx="10">
                  <c:v>10.2936428497942</c:v>
                </c:pt>
                <c:pt idx="11">
                  <c:v>13.2196049955761</c:v>
                </c:pt>
                <c:pt idx="12">
                  <c:v>16.6874522444444</c:v>
                </c:pt>
                <c:pt idx="13">
                  <c:v>20.7464468784979</c:v>
                </c:pt>
                <c:pt idx="14">
                  <c:v>25.4458511798354</c:v>
                </c:pt>
                <c:pt idx="15">
                  <c:v>30.8349274305556</c:v>
                </c:pt>
                <c:pt idx="16">
                  <c:v>36.9629379127572</c:v>
                </c:pt>
                <c:pt idx="17">
                  <c:v>43.8791449085391</c:v>
                </c:pt>
                <c:pt idx="18">
                  <c:v>51.6328107</c:v>
                </c:pt>
                <c:pt idx="19">
                  <c:v>60.2731975692387</c:v>
                </c:pt>
                <c:pt idx="20">
                  <c:v>69.8495677983539</c:v>
                </c:pt>
              </c:numCache>
            </c:numRef>
          </c:yVal>
          <c:smooth val="1"/>
        </c:ser>
        <c:axId val="62831576"/>
        <c:axId val="40668837"/>
      </c:scatterChart>
      <c:valAx>
        <c:axId val="62831576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668837"/>
        <c:crosses val="autoZero"/>
        <c:crossBetween val="midCat"/>
      </c:valAx>
      <c:valAx>
        <c:axId val="4066883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Potencia (kW)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31576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Adherencia frente a esfuerzo necesario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8_Adherencia!D2</c:f>
              <c:strCache>
                <c:ptCount val="1"/>
                <c:pt idx="0">
                  <c:v>F adherencia μ·Nd (N)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8_Adherencia!$A$3:$A$13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8_Adherencia!$D$3:$D$13</c:f>
              <c:numCache>
                <c:formatCode>0.0</c:formatCode>
                <c:ptCount val="11"/>
                <c:pt idx="0">
                  <c:v>3872.5956</c:v>
                </c:pt>
                <c:pt idx="1">
                  <c:v>3785.0895173692</c:v>
                </c:pt>
                <c:pt idx="2">
                  <c:v>3688.64291605752</c:v>
                </c:pt>
                <c:pt idx="3">
                  <c:v>3584.16501529518</c:v>
                </c:pt>
                <c:pt idx="4">
                  <c:v>3472.71165954609</c:v>
                </c:pt>
                <c:pt idx="5">
                  <c:v>3355.43887868121</c:v>
                </c:pt>
                <c:pt idx="6">
                  <c:v>3233.55406496039</c:v>
                </c:pt>
                <c:pt idx="7">
                  <c:v>3108.26892165238</c:v>
                </c:pt>
                <c:pt idx="8">
                  <c:v>2980.75762007269</c:v>
                </c:pt>
                <c:pt idx="9">
                  <c:v>2852.12253767843</c:v>
                </c:pt>
                <c:pt idx="10">
                  <c:v>2723.36877875945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8_Adherencia!E2</c:f>
              <c:strCache>
                <c:ptCount val="1"/>
                <c:pt idx="0">
                  <c:v>F necesaria (Fp + Fr) (N)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8_Adherencia!$A$3:$A$13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8_Adherencia!$E$3:$E$13</c:f>
              <c:numCache>
                <c:formatCode>0.0</c:formatCode>
                <c:ptCount val="11"/>
                <c:pt idx="0">
                  <c:v>74.99745</c:v>
                </c:pt>
                <c:pt idx="1">
                  <c:v>415.376054039984</c:v>
                </c:pt>
                <c:pt idx="2">
                  <c:v>753.036633020134</c:v>
                </c:pt>
                <c:pt idx="3">
                  <c:v>1085.54549573318</c:v>
                </c:pt>
                <c:pt idx="4">
                  <c:v>1410.65105376148</c:v>
                </c:pt>
                <c:pt idx="5">
                  <c:v>1726.35397836399</c:v>
                </c:pt>
                <c:pt idx="6">
                  <c:v>2030.95804533162</c:v>
                </c:pt>
                <c:pt idx="7">
                  <c:v>2323.09964816363</c:v>
                </c:pt>
                <c:pt idx="8">
                  <c:v>2601.75644604929</c:v>
                </c:pt>
                <c:pt idx="9">
                  <c:v>2866.23763928217</c:v>
                </c:pt>
                <c:pt idx="10">
                  <c:v>3116.1596919746</c:v>
                </c:pt>
              </c:numCache>
            </c:numRef>
          </c:yVal>
          <c:smooth val="1"/>
        </c:ser>
        <c:axId val="33547094"/>
        <c:axId val="74668074"/>
      </c:scatterChart>
      <c:valAx>
        <c:axId val="33547094"/>
        <c:scaling>
          <c:orientation val="minMax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Pendiente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68074"/>
        <c:crosses val="autoZero"/>
        <c:crossBetween val="midCat"/>
      </c:valAx>
      <c:valAx>
        <c:axId val="7466807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Fuerza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54709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23</xdr:col>
      <xdr:colOff>78840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9069840" y="19044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20880</xdr:rowOff>
    </xdr:from>
    <xdr:to>
      <xdr:col>9</xdr:col>
      <xdr:colOff>392760</xdr:colOff>
      <xdr:row>49</xdr:row>
      <xdr:rowOff>128520</xdr:rowOff>
    </xdr:to>
    <xdr:graphicFrame>
      <xdr:nvGraphicFramePr>
        <xdr:cNvPr id="1" name="Chart 1"/>
        <xdr:cNvGraphicFramePr/>
      </xdr:nvGraphicFramePr>
      <xdr:xfrm>
        <a:off x="0" y="495288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22</xdr:col>
      <xdr:colOff>78480</xdr:colOff>
      <xdr:row>23</xdr:row>
      <xdr:rowOff>149400</xdr:rowOff>
    </xdr:to>
    <xdr:graphicFrame>
      <xdr:nvGraphicFramePr>
        <xdr:cNvPr id="2" name="Chart 1"/>
        <xdr:cNvGraphicFramePr/>
      </xdr:nvGraphicFramePr>
      <xdr:xfrm>
        <a:off x="4892040" y="19044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1</xdr:row>
      <xdr:rowOff>0</xdr:rowOff>
    </xdr:from>
    <xdr:to>
      <xdr:col>26</xdr:col>
      <xdr:colOff>187200</xdr:colOff>
      <xdr:row>25</xdr:row>
      <xdr:rowOff>127800</xdr:rowOff>
    </xdr:to>
    <xdr:graphicFrame>
      <xdr:nvGraphicFramePr>
        <xdr:cNvPr id="3" name="Chart 1"/>
        <xdr:cNvGraphicFramePr/>
      </xdr:nvGraphicFramePr>
      <xdr:xfrm>
        <a:off x="9774720" y="190440"/>
        <a:ext cx="93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22</xdr:col>
      <xdr:colOff>78480</xdr:colOff>
      <xdr:row>24</xdr:row>
      <xdr:rowOff>128520</xdr:rowOff>
    </xdr:to>
    <xdr:graphicFrame>
      <xdr:nvGraphicFramePr>
        <xdr:cNvPr id="4" name="Chart 1"/>
        <xdr:cNvGraphicFramePr/>
      </xdr:nvGraphicFramePr>
      <xdr:xfrm>
        <a:off x="8012520" y="19044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18</xdr:col>
      <xdr:colOff>473040</xdr:colOff>
      <xdr:row>22</xdr:row>
      <xdr:rowOff>149400</xdr:rowOff>
    </xdr:to>
    <xdr:graphicFrame>
      <xdr:nvGraphicFramePr>
        <xdr:cNvPr id="5" name="Chart 1"/>
        <xdr:cNvGraphicFramePr/>
      </xdr:nvGraphicFramePr>
      <xdr:xfrm>
        <a:off x="9069840" y="19044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2" customFormat="false" ht="28.3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2" t="s">
        <v>20</v>
      </c>
    </row>
    <row r="26" customFormat="false" ht="28.3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</row>
    <row r="2" customFormat="false" ht="15" hidden="false" customHeight="false" outlineLevel="0" collapsed="false">
      <c r="A2" s="0" t="s">
        <v>27</v>
      </c>
      <c r="B2" s="0" t="s">
        <v>28</v>
      </c>
      <c r="C2" s="5" t="n">
        <v>1.225</v>
      </c>
      <c r="D2" s="6" t="s">
        <v>29</v>
      </c>
      <c r="E2" s="6" t="s">
        <v>30</v>
      </c>
    </row>
    <row r="3" customFormat="false" ht="15" hidden="false" customHeight="false" outlineLevel="0" collapsed="false">
      <c r="A3" s="0" t="s">
        <v>31</v>
      </c>
      <c r="B3" s="0" t="s">
        <v>32</v>
      </c>
      <c r="C3" s="5" t="n">
        <v>0.34</v>
      </c>
      <c r="D3" s="6" t="s">
        <v>33</v>
      </c>
      <c r="E3" s="6" t="s">
        <v>30</v>
      </c>
    </row>
    <row r="4" customFormat="false" ht="15" hidden="false" customHeight="false" outlineLevel="0" collapsed="false">
      <c r="A4" s="0" t="s">
        <v>34</v>
      </c>
      <c r="B4" s="0" t="s">
        <v>35</v>
      </c>
      <c r="C4" s="5" t="n">
        <v>1.5</v>
      </c>
      <c r="D4" s="6" t="s">
        <v>36</v>
      </c>
      <c r="E4" s="6" t="s">
        <v>30</v>
      </c>
    </row>
    <row r="5" customFormat="false" ht="15" hidden="false" customHeight="false" outlineLevel="0" collapsed="false">
      <c r="A5" s="0" t="s">
        <v>37</v>
      </c>
      <c r="B5" s="0" t="s">
        <v>38</v>
      </c>
      <c r="C5" s="5" t="n">
        <v>695</v>
      </c>
      <c r="D5" s="6" t="s">
        <v>39</v>
      </c>
      <c r="E5" s="6" t="s">
        <v>30</v>
      </c>
    </row>
    <row r="6" customFormat="false" ht="15" hidden="false" customHeight="false" outlineLevel="0" collapsed="false">
      <c r="A6" s="0" t="s">
        <v>40</v>
      </c>
      <c r="B6" s="0" t="s">
        <v>41</v>
      </c>
      <c r="C6" s="5" t="n">
        <v>9.81</v>
      </c>
      <c r="D6" s="6" t="s">
        <v>42</v>
      </c>
      <c r="E6" s="6" t="s">
        <v>30</v>
      </c>
    </row>
    <row r="7" customFormat="false" ht="15" hidden="false" customHeight="false" outlineLevel="0" collapsed="false">
      <c r="A7" s="0" t="s">
        <v>43</v>
      </c>
      <c r="B7" s="0" t="s">
        <v>44</v>
      </c>
      <c r="C7" s="5" t="n">
        <v>0.011</v>
      </c>
      <c r="D7" s="6" t="s">
        <v>33</v>
      </c>
      <c r="E7" s="6" t="s">
        <v>45</v>
      </c>
    </row>
    <row r="8" customFormat="false" ht="15" hidden="false" customHeight="false" outlineLevel="0" collapsed="false">
      <c r="A8" s="0" t="s">
        <v>46</v>
      </c>
      <c r="B8" s="0" t="s">
        <v>47</v>
      </c>
      <c r="C8" s="5" t="n">
        <v>0.008</v>
      </c>
      <c r="D8" s="6" t="s">
        <v>33</v>
      </c>
      <c r="E8" s="6" t="s">
        <v>30</v>
      </c>
    </row>
    <row r="9" customFormat="false" ht="15" hidden="false" customHeight="false" outlineLevel="0" collapsed="false">
      <c r="A9" s="0" t="s">
        <v>48</v>
      </c>
      <c r="B9" s="0" t="s">
        <v>49</v>
      </c>
      <c r="C9" s="5" t="n">
        <v>175</v>
      </c>
      <c r="D9" s="6" t="s">
        <v>50</v>
      </c>
      <c r="E9" s="6" t="s">
        <v>51</v>
      </c>
    </row>
    <row r="10" customFormat="false" ht="15" hidden="false" customHeight="false" outlineLevel="0" collapsed="false">
      <c r="A10" s="0" t="s">
        <v>52</v>
      </c>
      <c r="B10" s="0" t="s">
        <v>53</v>
      </c>
      <c r="C10" s="5" t="n">
        <v>50</v>
      </c>
      <c r="D10" s="6" t="s">
        <v>54</v>
      </c>
      <c r="E10" s="6" t="s">
        <v>30</v>
      </c>
    </row>
    <row r="11" customFormat="false" ht="15" hidden="false" customHeight="false" outlineLevel="0" collapsed="false">
      <c r="A11" s="0" t="s">
        <v>55</v>
      </c>
      <c r="B11" s="0" t="s">
        <v>56</v>
      </c>
      <c r="C11" s="5" t="n">
        <v>13</v>
      </c>
      <c r="D11" s="6" t="s">
        <v>57</v>
      </c>
      <c r="E11" s="6" t="s">
        <v>30</v>
      </c>
    </row>
    <row r="12" customFormat="false" ht="15" hidden="false" customHeight="false" outlineLevel="0" collapsed="false">
      <c r="A12" s="0" t="s">
        <v>58</v>
      </c>
      <c r="B12" s="0" t="s">
        <v>59</v>
      </c>
      <c r="C12" s="5" t="n">
        <v>0.98</v>
      </c>
      <c r="D12" s="6" t="s">
        <v>33</v>
      </c>
      <c r="E12" s="6" t="s">
        <v>60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5" t="n">
        <v>180</v>
      </c>
      <c r="D13" s="6" t="s">
        <v>63</v>
      </c>
      <c r="E13" s="6" t="s">
        <v>30</v>
      </c>
    </row>
    <row r="14" customFormat="false" ht="15" hidden="false" customHeight="false" outlineLevel="0" collapsed="false">
      <c r="A14" s="0" t="s">
        <v>64</v>
      </c>
      <c r="B14" s="0" t="s">
        <v>65</v>
      </c>
      <c r="C14" s="5" t="n">
        <v>4</v>
      </c>
      <c r="D14" s="6" t="s">
        <v>33</v>
      </c>
      <c r="E14" s="6" t="s">
        <v>66</v>
      </c>
    </row>
    <row r="15" customFormat="false" ht="15" hidden="false" customHeight="false" outlineLevel="0" collapsed="false">
      <c r="A15" s="0" t="s">
        <v>67</v>
      </c>
      <c r="B15" s="0" t="s">
        <v>68</v>
      </c>
      <c r="C15" s="5" t="n">
        <v>0.95</v>
      </c>
      <c r="D15" s="6" t="s">
        <v>33</v>
      </c>
      <c r="E15" s="6" t="s">
        <v>30</v>
      </c>
    </row>
    <row r="16" customFormat="false" ht="15" hidden="false" customHeight="false" outlineLevel="0" collapsed="false">
      <c r="A16" s="0" t="s">
        <v>69</v>
      </c>
      <c r="B16" s="0" t="s">
        <v>70</v>
      </c>
      <c r="C16" s="5" t="n">
        <v>50</v>
      </c>
      <c r="D16" s="6" t="s">
        <v>54</v>
      </c>
      <c r="E16" s="6" t="s">
        <v>30</v>
      </c>
    </row>
    <row r="17" customFormat="false" ht="15" hidden="false" customHeight="false" outlineLevel="0" collapsed="false">
      <c r="A17" s="0" t="s">
        <v>71</v>
      </c>
      <c r="B17" s="0" t="s">
        <v>72</v>
      </c>
      <c r="C17" s="5" t="n">
        <v>0.5</v>
      </c>
      <c r="D17" s="6" t="s">
        <v>42</v>
      </c>
      <c r="E17" s="6" t="s">
        <v>30</v>
      </c>
    </row>
    <row r="18" customFormat="false" ht="15" hidden="false" customHeight="false" outlineLevel="0" collapsed="false">
      <c r="A18" s="0" t="s">
        <v>73</v>
      </c>
      <c r="B18" s="0" t="s">
        <v>74</v>
      </c>
      <c r="C18" s="5" t="n">
        <v>4</v>
      </c>
      <c r="D18" s="6" t="s">
        <v>33</v>
      </c>
      <c r="E18" s="6" t="s">
        <v>75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5" t="n">
        <v>2.53</v>
      </c>
      <c r="D19" s="6" t="s">
        <v>38</v>
      </c>
      <c r="E19" s="6" t="s">
        <v>30</v>
      </c>
    </row>
    <row r="20" customFormat="false" ht="15" hidden="false" customHeight="false" outlineLevel="0" collapsed="false">
      <c r="A20" s="0" t="s">
        <v>78</v>
      </c>
      <c r="B20" s="0" t="s">
        <v>79</v>
      </c>
      <c r="C20" s="5" t="n">
        <v>0.767927</v>
      </c>
      <c r="D20" s="6" t="s">
        <v>38</v>
      </c>
      <c r="E20" s="6" t="s">
        <v>30</v>
      </c>
    </row>
    <row r="21" customFormat="false" ht="15" hidden="false" customHeight="false" outlineLevel="0" collapsed="false">
      <c r="A21" s="0" t="s">
        <v>80</v>
      </c>
      <c r="B21" s="0" t="s">
        <v>81</v>
      </c>
      <c r="C21" s="5" t="n">
        <v>0.7337</v>
      </c>
      <c r="D21" s="6" t="s">
        <v>38</v>
      </c>
      <c r="E21" s="6" t="s">
        <v>30</v>
      </c>
    </row>
    <row r="22" customFormat="false" ht="15" hidden="false" customHeight="false" outlineLevel="0" collapsed="false">
      <c r="A22" s="0" t="s">
        <v>82</v>
      </c>
      <c r="B22" s="0" t="s">
        <v>83</v>
      </c>
      <c r="C22" s="5" t="n">
        <v>0.8</v>
      </c>
      <c r="D22" s="6" t="s">
        <v>33</v>
      </c>
      <c r="E22" s="6" t="s">
        <v>84</v>
      </c>
    </row>
    <row r="24" customFormat="false" ht="15" hidden="false" customHeight="false" outlineLevel="0" collapsed="false">
      <c r="A24" s="7" t="s">
        <v>85</v>
      </c>
    </row>
    <row r="25" customFormat="false" ht="15" hidden="false" customHeight="false" outlineLevel="0" collapsed="false">
      <c r="A25" s="0" t="s">
        <v>86</v>
      </c>
      <c r="B25" s="0" t="s">
        <v>87</v>
      </c>
      <c r="C25" s="8" t="n">
        <f aca="false">(Wn/1000)*(Hn/100)+(Dll/2)*0.0254</f>
        <v>0.2526</v>
      </c>
      <c r="D25" s="6" t="s">
        <v>38</v>
      </c>
      <c r="E25" s="6" t="s">
        <v>88</v>
      </c>
    </row>
    <row r="26" customFormat="false" ht="15" hidden="false" customHeight="false" outlineLevel="0" collapsed="false">
      <c r="A26" s="0" t="s">
        <v>89</v>
      </c>
      <c r="B26" s="0" t="s">
        <v>90</v>
      </c>
      <c r="C26" s="8" t="n">
        <f aca="false">kc*rn</f>
        <v>0.247548</v>
      </c>
      <c r="D26" s="6" t="s">
        <v>38</v>
      </c>
      <c r="E26" s="6" t="s">
        <v>91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8" t="n">
        <f aca="false">MAX(2_Curvas_motor!$B$3:$B$16)</f>
        <v>120</v>
      </c>
      <c r="D27" s="6" t="s">
        <v>94</v>
      </c>
      <c r="E27" s="6" t="s">
        <v>95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8" t="n">
        <f aca="false">INDEX(2_Curvas_motor!$A$3:$A$16,MATCH(Tmax,2_Curvas_motor!$B$3:$B$16,0))</f>
        <v>4000</v>
      </c>
      <c r="D28" s="6" t="s">
        <v>98</v>
      </c>
      <c r="E28" s="6" t="s">
        <v>95</v>
      </c>
    </row>
    <row r="29" customFormat="false" ht="15" hidden="false" customHeight="false" outlineLevel="0" collapsed="false">
      <c r="A29" s="0" t="s">
        <v>99</v>
      </c>
      <c r="B29" s="0" t="s">
        <v>100</v>
      </c>
      <c r="C29" s="8" t="n">
        <f aca="false">MAX(2_Curvas_motor!$D$3:$D$16)</f>
        <v>68.0678408277789</v>
      </c>
      <c r="D29" s="6" t="s">
        <v>101</v>
      </c>
      <c r="E29" s="6" t="s">
        <v>95</v>
      </c>
    </row>
    <row r="30" customFormat="false" ht="15" hidden="false" customHeight="false" outlineLevel="0" collapsed="false">
      <c r="A30" s="0" t="s">
        <v>102</v>
      </c>
      <c r="B30" s="0" t="s">
        <v>103</v>
      </c>
      <c r="C30" s="8" t="n">
        <f aca="false">INDEX(2_Curvas_motor!$A$3:$A$16,MATCH(Pmax,2_Curvas_motor!$D$3:$D$16,0))</f>
        <v>6500</v>
      </c>
      <c r="D30" s="6" t="s">
        <v>98</v>
      </c>
      <c r="E30" s="6" t="s">
        <v>95</v>
      </c>
    </row>
    <row r="31" customFormat="false" ht="15" hidden="false" customHeight="false" outlineLevel="0" collapsed="false">
      <c r="A31" s="0" t="s">
        <v>104</v>
      </c>
      <c r="B31" s="0" t="s">
        <v>105</v>
      </c>
      <c r="C31" s="8" t="n">
        <f aca="false">INDEX(2_Curvas_motor!$B$3:$B$16,MATCH(Pmax,2_Curvas_motor!$D$3:$D$16,0))</f>
        <v>100</v>
      </c>
      <c r="D31" s="6" t="s">
        <v>94</v>
      </c>
      <c r="E31" s="6" t="s">
        <v>95</v>
      </c>
    </row>
    <row r="32" customFormat="false" ht="15" hidden="false" customHeight="false" outlineLevel="0" collapsed="false">
      <c r="A32" s="0" t="s">
        <v>106</v>
      </c>
      <c r="B32" s="0" t="s">
        <v>107</v>
      </c>
      <c r="C32" s="8" t="n">
        <f aca="false">Tmax/TP</f>
        <v>1.2</v>
      </c>
      <c r="D32" s="6" t="s">
        <v>33</v>
      </c>
      <c r="E32" s="6" t="s">
        <v>108</v>
      </c>
    </row>
    <row r="33" customFormat="false" ht="15" hidden="false" customHeight="false" outlineLevel="0" collapsed="false">
      <c r="A33" s="0" t="s">
        <v>109</v>
      </c>
      <c r="B33" s="0" t="s">
        <v>110</v>
      </c>
      <c r="C33" s="8" t="n">
        <f aca="false">nP/nT</f>
        <v>1.625</v>
      </c>
      <c r="D33" s="6" t="s">
        <v>33</v>
      </c>
      <c r="E33" s="6" t="s">
        <v>111</v>
      </c>
    </row>
    <row r="34" customFormat="false" ht="15" hidden="false" customHeight="false" outlineLevel="0" collapsed="false">
      <c r="A34" s="0" t="s">
        <v>112</v>
      </c>
      <c r="B34" s="0" t="s">
        <v>113</v>
      </c>
      <c r="C34" s="8" t="n">
        <f aca="false">ATAN(pend/100)</f>
        <v>0.463647609000806</v>
      </c>
      <c r="D34" s="6" t="s">
        <v>114</v>
      </c>
      <c r="E34" s="6" t="s">
        <v>115</v>
      </c>
    </row>
    <row r="35" customFormat="false" ht="15" hidden="false" customHeight="false" outlineLevel="0" collapsed="false">
      <c r="A35" s="0" t="s">
        <v>112</v>
      </c>
      <c r="B35" s="0" t="s">
        <v>116</v>
      </c>
      <c r="C35" s="8" t="n">
        <f aca="false">DEGREES(alfa)</f>
        <v>26.565051177078</v>
      </c>
      <c r="D35" s="6" t="s">
        <v>117</v>
      </c>
    </row>
    <row r="36" customFormat="false" ht="15" hidden="false" customHeight="false" outlineLevel="0" collapsed="false">
      <c r="A36" s="0" t="s">
        <v>118</v>
      </c>
      <c r="B36" s="0" t="s">
        <v>119</v>
      </c>
      <c r="C36" s="8" t="n">
        <f aca="false">m*g</f>
        <v>6817.95</v>
      </c>
      <c r="D36" s="6" t="s">
        <v>120</v>
      </c>
      <c r="E36" s="6" t="s">
        <v>121</v>
      </c>
    </row>
    <row r="37" customFormat="false" ht="15" hidden="false" customHeight="false" outlineLevel="0" collapsed="false">
      <c r="A37" s="0" t="s">
        <v>122</v>
      </c>
      <c r="B37" s="0" t="s">
        <v>123</v>
      </c>
      <c r="C37" s="8" t="n">
        <f aca="false">Gw*SIN(alfa)</f>
        <v>3049.07993343894</v>
      </c>
      <c r="D37" s="6" t="s">
        <v>120</v>
      </c>
      <c r="E37" s="6" t="s">
        <v>124</v>
      </c>
    </row>
    <row r="38" customFormat="false" ht="15" hidden="false" customHeight="false" outlineLevel="0" collapsed="false">
      <c r="A38" s="0" t="s">
        <v>125</v>
      </c>
      <c r="B38" s="0" t="s">
        <v>126</v>
      </c>
      <c r="C38" s="8" t="n">
        <f aca="false">f0*Gw*COS(alfa)</f>
        <v>67.0797585356566</v>
      </c>
      <c r="D38" s="6" t="s">
        <v>120</v>
      </c>
      <c r="E38" s="6" t="s">
        <v>127</v>
      </c>
    </row>
    <row r="39" customFormat="false" ht="15" hidden="false" customHeight="false" outlineLevel="0" collapsed="false">
      <c r="A39" s="0" t="s">
        <v>128</v>
      </c>
      <c r="B39" s="0" t="s">
        <v>129</v>
      </c>
      <c r="C39" s="8" t="n">
        <f aca="false">m*a0</f>
        <v>347.5</v>
      </c>
      <c r="D39" s="6" t="s">
        <v>120</v>
      </c>
      <c r="E39" s="6" t="s">
        <v>130</v>
      </c>
    </row>
    <row r="40" customFormat="false" ht="15" hidden="false" customHeight="false" outlineLevel="0" collapsed="false">
      <c r="A40" s="0" t="s">
        <v>131</v>
      </c>
      <c r="B40" s="0" t="s">
        <v>132</v>
      </c>
      <c r="C40" s="8" t="n">
        <f aca="false">Fp1+Fr1+Fi1</f>
        <v>3463.6596919746</v>
      </c>
      <c r="D40" s="6" t="s">
        <v>120</v>
      </c>
      <c r="E40" s="6" t="s">
        <v>133</v>
      </c>
    </row>
    <row r="41" customFormat="false" ht="15" hidden="false" customHeight="false" outlineLevel="0" collapsed="false">
      <c r="A41" s="0" t="s">
        <v>134</v>
      </c>
      <c r="B41" s="0" t="s">
        <v>135</v>
      </c>
      <c r="C41" s="8" t="n">
        <f aca="false">Ft1*rc/(Tmax*eta)</f>
        <v>7.52124587218357</v>
      </c>
      <c r="D41" s="6" t="s">
        <v>33</v>
      </c>
      <c r="E41" s="6" t="s">
        <v>136</v>
      </c>
    </row>
    <row r="42" customFormat="false" ht="15" hidden="false" customHeight="false" outlineLevel="0" collapsed="false">
      <c r="A42" s="0" t="s">
        <v>137</v>
      </c>
      <c r="B42" s="0" t="s">
        <v>138</v>
      </c>
      <c r="C42" s="8" t="n">
        <f aca="false">PI()*nP*rc/(30*Vmax/3.6)</f>
        <v>3.370011572247</v>
      </c>
      <c r="D42" s="6" t="s">
        <v>33</v>
      </c>
      <c r="E42" s="6" t="s">
        <v>139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8" t="n">
        <f aca="false">(iQ/i1)^(1/(Q-1))</f>
        <v>0.765209821092807</v>
      </c>
      <c r="D43" s="6" t="s">
        <v>33</v>
      </c>
      <c r="E43" s="6" t="s">
        <v>142</v>
      </c>
    </row>
    <row r="44" customFormat="false" ht="15" hidden="false" customHeight="false" outlineLevel="0" collapsed="false">
      <c r="A44" s="0" t="s">
        <v>143</v>
      </c>
      <c r="B44" s="0" t="s">
        <v>144</v>
      </c>
      <c r="C44" s="8" t="n">
        <f aca="false">1/kg</f>
        <v>1.30683111015471</v>
      </c>
      <c r="D44" s="6" t="s">
        <v>33</v>
      </c>
      <c r="E44" s="6" t="s">
        <v>145</v>
      </c>
    </row>
    <row r="45" customFormat="false" ht="15" hidden="false" customHeight="false" outlineLevel="0" collapsed="false">
      <c r="A45" s="0" t="s">
        <v>146</v>
      </c>
      <c r="B45" s="0" t="s">
        <v>147</v>
      </c>
      <c r="C45" s="8" t="n">
        <f aca="false">Gw*COS(alfa)*(Lb-l1)/Lb-Gw*SIN(alfa)*hcg/Lb</f>
        <v>3404.21097344931</v>
      </c>
      <c r="D45" s="6" t="s">
        <v>120</v>
      </c>
      <c r="E45" s="6" t="s">
        <v>148</v>
      </c>
    </row>
    <row r="46" customFormat="false" ht="15" hidden="false" customHeight="false" outlineLevel="0" collapsed="false">
      <c r="A46" s="0" t="s">
        <v>149</v>
      </c>
      <c r="B46" s="0" t="s">
        <v>150</v>
      </c>
      <c r="C46" s="8" t="n">
        <f aca="false">mu*Nd1</f>
        <v>2723.36877875945</v>
      </c>
      <c r="D46" s="6" t="s">
        <v>120</v>
      </c>
      <c r="E46" s="6" t="s">
        <v>151</v>
      </c>
    </row>
    <row r="47" customFormat="false" ht="15" hidden="false" customHeight="false" outlineLevel="0" collapsed="false">
      <c r="A47" s="0" t="s">
        <v>152</v>
      </c>
      <c r="B47" s="0" t="s">
        <v>33</v>
      </c>
      <c r="C47" s="8" t="str">
        <f aca="false">IF(Fadh1&gt;=Ft1,"SÍ","NO: patina (limitado por adherencia)")</f>
        <v>NO: patina (limitado por adherencia)</v>
      </c>
      <c r="D47" s="6" t="s">
        <v>33</v>
      </c>
      <c r="E47" s="6" t="s">
        <v>153</v>
      </c>
    </row>
    <row r="48" customFormat="false" ht="15" hidden="false" customHeight="false" outlineLevel="0" collapsed="false">
      <c r="A48" s="0" t="s">
        <v>154</v>
      </c>
      <c r="B48" s="0" t="s">
        <v>155</v>
      </c>
      <c r="C48" s="8" t="n">
        <f aca="false">mu*Gw*(Lb-l1)/Lb</f>
        <v>3872.5956</v>
      </c>
      <c r="D48" s="6" t="s">
        <v>120</v>
      </c>
      <c r="E48" s="6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1" customFormat="false" ht="15" hidden="false" customHeight="false" outlineLevel="0" collapsed="false">
      <c r="A1" s="7" t="s">
        <v>157</v>
      </c>
    </row>
    <row r="2" customFormat="false" ht="28.35" hidden="false" customHeight="false" outlineLevel="0" collapsed="false">
      <c r="A2" s="4" t="s">
        <v>158</v>
      </c>
      <c r="B2" s="4" t="s">
        <v>159</v>
      </c>
      <c r="C2" s="4" t="s">
        <v>160</v>
      </c>
      <c r="D2" s="4" t="s">
        <v>161</v>
      </c>
      <c r="E2" s="4" t="s">
        <v>162</v>
      </c>
      <c r="F2" s="4" t="s">
        <v>163</v>
      </c>
      <c r="G2" s="4" t="s">
        <v>164</v>
      </c>
      <c r="H2" s="4" t="s">
        <v>165</v>
      </c>
    </row>
    <row r="3" customFormat="false" ht="15" hidden="false" customHeight="false" outlineLevel="0" collapsed="false">
      <c r="A3" s="5" t="n">
        <v>500</v>
      </c>
      <c r="B3" s="5" t="n">
        <v>100</v>
      </c>
      <c r="C3" s="9" t="n">
        <f aca="false">A3*PI()/30</f>
        <v>52.3598775598299</v>
      </c>
      <c r="D3" s="9" t="n">
        <f aca="false">B3*C3/1000</f>
        <v>5.23598775598299</v>
      </c>
      <c r="E3" s="9" t="n">
        <f aca="false">D3*1000/735.5</f>
        <v>7.11895004212507</v>
      </c>
      <c r="F3" s="9" t="n">
        <f aca="false">A3/nP</f>
        <v>0.0769230769230769</v>
      </c>
      <c r="G3" s="9" t="n">
        <f aca="false">Pmax*(F3+F3^2-F3^3)</f>
        <v>5.60777386883385</v>
      </c>
      <c r="H3" s="9" t="n">
        <f aca="false">G3*1000/C3</f>
        <v>107.100591715976</v>
      </c>
    </row>
    <row r="4" customFormat="false" ht="15" hidden="false" customHeight="false" outlineLevel="0" collapsed="false">
      <c r="A4" s="5" t="n">
        <v>1000</v>
      </c>
      <c r="B4" s="5" t="n">
        <v>105</v>
      </c>
      <c r="C4" s="9" t="n">
        <f aca="false">A4*PI()/30</f>
        <v>104.71975511966</v>
      </c>
      <c r="D4" s="9" t="n">
        <f aca="false">B4*C4/1000</f>
        <v>10.9955742875643</v>
      </c>
      <c r="E4" s="9" t="n">
        <f aca="false">D4*1000/735.5</f>
        <v>14.9497950884626</v>
      </c>
      <c r="F4" s="9" t="n">
        <f aca="false">A4/nP</f>
        <v>0.153846153846154</v>
      </c>
      <c r="G4" s="9" t="n">
        <f aca="false">Pmax*(F4+F4^2-F4^3)</f>
        <v>11.8351912590858</v>
      </c>
      <c r="H4" s="9" t="n">
        <f aca="false">G4*1000/C4</f>
        <v>113.01775147929</v>
      </c>
    </row>
    <row r="5" customFormat="false" ht="15" hidden="false" customHeight="false" outlineLevel="0" collapsed="false">
      <c r="A5" s="5" t="n">
        <v>1500</v>
      </c>
      <c r="B5" s="5" t="n">
        <v>108</v>
      </c>
      <c r="C5" s="9" t="n">
        <f aca="false">A5*PI()/30</f>
        <v>157.07963267949</v>
      </c>
      <c r="D5" s="9" t="n">
        <f aca="false">B5*C5/1000</f>
        <v>16.9646003293849</v>
      </c>
      <c r="E5" s="9" t="n">
        <f aca="false">D5*1000/735.5</f>
        <v>23.0653981364852</v>
      </c>
      <c r="F5" s="9" t="n">
        <f aca="false">A5/nP</f>
        <v>0.230769230769231</v>
      </c>
      <c r="G5" s="9" t="n">
        <f aca="false">Pmax*(F5+F5^2-F5^3)</f>
        <v>18.4963591143304</v>
      </c>
      <c r="H5" s="9" t="n">
        <f aca="false">G5*1000/C5</f>
        <v>117.751479289941</v>
      </c>
    </row>
    <row r="6" customFormat="false" ht="15" hidden="false" customHeight="false" outlineLevel="0" collapsed="false">
      <c r="A6" s="5" t="n">
        <v>2000</v>
      </c>
      <c r="B6" s="5" t="n">
        <v>112</v>
      </c>
      <c r="C6" s="9" t="n">
        <f aca="false">A6*PI()/30</f>
        <v>209.43951023932</v>
      </c>
      <c r="D6" s="9" t="n">
        <f aca="false">B6*C6/1000</f>
        <v>23.4572251468038</v>
      </c>
      <c r="E6" s="9" t="n">
        <f aca="false">D6*1000/735.5</f>
        <v>31.8928961887203</v>
      </c>
      <c r="F6" s="9" t="n">
        <f aca="false">A6/nP</f>
        <v>0.307692307692308</v>
      </c>
      <c r="G6" s="9" t="n">
        <f aca="false">Pmax*(F6+F6^2-F6^3)</f>
        <v>25.4053843781423</v>
      </c>
      <c r="H6" s="9" t="n">
        <f aca="false">G6*1000/C6</f>
        <v>121.301775147929</v>
      </c>
    </row>
    <row r="7" customFormat="false" ht="15" hidden="false" customHeight="false" outlineLevel="0" collapsed="false">
      <c r="A7" s="5" t="n">
        <v>2500</v>
      </c>
      <c r="B7" s="5" t="n">
        <v>116</v>
      </c>
      <c r="C7" s="9" t="n">
        <f aca="false">A7*PI()/30</f>
        <v>261.799387799149</v>
      </c>
      <c r="D7" s="9" t="n">
        <f aca="false">B7*C7/1000</f>
        <v>30.3687289847013</v>
      </c>
      <c r="E7" s="9" t="n">
        <f aca="false">D7*1000/735.5</f>
        <v>41.2899102443254</v>
      </c>
      <c r="F7" s="9" t="n">
        <f aca="false">A7/nP</f>
        <v>0.384615384615385</v>
      </c>
      <c r="G7" s="9" t="n">
        <f aca="false">Pmax*(F7+F7^2-F7^3)</f>
        <v>32.376373994096</v>
      </c>
      <c r="H7" s="9" t="n">
        <f aca="false">G7*1000/C7</f>
        <v>123.668639053254</v>
      </c>
    </row>
    <row r="8" customFormat="false" ht="15" hidden="false" customHeight="false" outlineLevel="0" collapsed="false">
      <c r="A8" s="5" t="n">
        <v>3000</v>
      </c>
      <c r="B8" s="5" t="n">
        <v>117</v>
      </c>
      <c r="C8" s="9" t="n">
        <f aca="false">A8*PI()/30</f>
        <v>314.159265358979</v>
      </c>
      <c r="D8" s="9" t="n">
        <f aca="false">B8*C8/1000</f>
        <v>36.7566340470006</v>
      </c>
      <c r="E8" s="9" t="n">
        <f aca="false">D8*1000/735.5</f>
        <v>49.975029295718</v>
      </c>
      <c r="F8" s="9" t="n">
        <f aca="false">A8/nP</f>
        <v>0.461538461538462</v>
      </c>
      <c r="G8" s="9" t="n">
        <f aca="false">Pmax*(F8+F8^2-F8^3)</f>
        <v>39.2234349057661</v>
      </c>
      <c r="H8" s="9" t="n">
        <f aca="false">G8*1000/C8</f>
        <v>124.852071005917</v>
      </c>
    </row>
    <row r="9" customFormat="false" ht="15" hidden="false" customHeight="false" outlineLevel="0" collapsed="false">
      <c r="A9" s="5" t="n">
        <v>3500</v>
      </c>
      <c r="B9" s="5" t="n">
        <v>118</v>
      </c>
      <c r="C9" s="9" t="n">
        <f aca="false">A9*PI()/30</f>
        <v>366.519142918809</v>
      </c>
      <c r="D9" s="9" t="n">
        <f aca="false">B9*C9/1000</f>
        <v>43.2492588644195</v>
      </c>
      <c r="E9" s="9" t="n">
        <f aca="false">D9*1000/735.5</f>
        <v>58.8025273479531</v>
      </c>
      <c r="F9" s="9" t="n">
        <f aca="false">A9/nP</f>
        <v>0.538461538461538</v>
      </c>
      <c r="G9" s="9" t="n">
        <f aca="false">Pmax*(F9+F9^2-F9^3)</f>
        <v>45.7606740567271</v>
      </c>
      <c r="H9" s="9" t="n">
        <f aca="false">G9*1000/C9</f>
        <v>124.852071005917</v>
      </c>
    </row>
    <row r="10" customFormat="false" ht="15" hidden="false" customHeight="false" outlineLevel="0" collapsed="false">
      <c r="A10" s="5" t="n">
        <v>4000</v>
      </c>
      <c r="B10" s="5" t="n">
        <v>120</v>
      </c>
      <c r="C10" s="9" t="n">
        <f aca="false">A10*PI()/30</f>
        <v>418.879020478639</v>
      </c>
      <c r="D10" s="9" t="n">
        <f aca="false">B10*C10/1000</f>
        <v>50.2654824574367</v>
      </c>
      <c r="E10" s="9" t="n">
        <f aca="false">D10*1000/735.5</f>
        <v>68.3419204044007</v>
      </c>
      <c r="F10" s="9" t="n">
        <f aca="false">A10/nP</f>
        <v>0.615384615384615</v>
      </c>
      <c r="G10" s="9" t="n">
        <f aca="false">Pmax*(F10+F10^2-F10^3)</f>
        <v>51.8021983905536</v>
      </c>
      <c r="H10" s="9" t="n">
        <f aca="false">G10*1000/C10</f>
        <v>123.668639053254</v>
      </c>
    </row>
    <row r="11" customFormat="false" ht="15" hidden="false" customHeight="false" outlineLevel="0" collapsed="false">
      <c r="A11" s="5" t="n">
        <v>4500</v>
      </c>
      <c r="B11" s="5" t="n">
        <v>118</v>
      </c>
      <c r="C11" s="9" t="n">
        <f aca="false">A11*PI()/30</f>
        <v>471.238898038469</v>
      </c>
      <c r="D11" s="9" t="n">
        <f aca="false">B11*C11/1000</f>
        <v>55.6061899685394</v>
      </c>
      <c r="E11" s="9" t="n">
        <f aca="false">D11*1000/735.5</f>
        <v>75.6032494473682</v>
      </c>
      <c r="F11" s="9" t="n">
        <f aca="false">A11/nP</f>
        <v>0.692307692307692</v>
      </c>
      <c r="G11" s="9" t="n">
        <f aca="false">Pmax*(F11+F11^2-F11^3)</f>
        <v>57.1621148508202</v>
      </c>
      <c r="H11" s="9" t="n">
        <f aca="false">G11*1000/C11</f>
        <v>121.301775147929</v>
      </c>
    </row>
    <row r="12" customFormat="false" ht="15" hidden="false" customHeight="false" outlineLevel="0" collapsed="false">
      <c r="A12" s="5" t="n">
        <v>5000</v>
      </c>
      <c r="B12" s="5" t="n">
        <v>116</v>
      </c>
      <c r="C12" s="9" t="n">
        <f aca="false">A12*PI()/30</f>
        <v>523.598775598299</v>
      </c>
      <c r="D12" s="9" t="n">
        <f aca="false">B12*C12/1000</f>
        <v>60.7374579694027</v>
      </c>
      <c r="E12" s="9" t="n">
        <f aca="false">D12*1000/735.5</f>
        <v>82.5798204886508</v>
      </c>
      <c r="F12" s="9" t="n">
        <f aca="false">A12/nP</f>
        <v>0.769230769230769</v>
      </c>
      <c r="G12" s="9" t="n">
        <f aca="false">Pmax*(F12+F12^2-F12^3)</f>
        <v>61.6545303811015</v>
      </c>
      <c r="H12" s="9" t="n">
        <f aca="false">G12*1000/C12</f>
        <v>117.751479289941</v>
      </c>
    </row>
    <row r="13" customFormat="false" ht="15" hidden="false" customHeight="false" outlineLevel="0" collapsed="false">
      <c r="A13" s="5" t="n">
        <v>5500</v>
      </c>
      <c r="B13" s="5" t="n">
        <v>112</v>
      </c>
      <c r="C13" s="9" t="n">
        <f aca="false">A13*PI()/30</f>
        <v>575.958653158129</v>
      </c>
      <c r="D13" s="9" t="n">
        <f aca="false">B13*C13/1000</f>
        <v>64.5073691537104</v>
      </c>
      <c r="E13" s="9" t="n">
        <f aca="false">D13*1000/735.5</f>
        <v>87.7054645189809</v>
      </c>
      <c r="F13" s="9" t="n">
        <f aca="false">A13/nP</f>
        <v>0.846153846153846</v>
      </c>
      <c r="G13" s="9" t="n">
        <f aca="false">Pmax*(F13+F13^2-F13^3)</f>
        <v>65.093551924972</v>
      </c>
      <c r="H13" s="9" t="n">
        <f aca="false">G13*1000/C13</f>
        <v>113.01775147929</v>
      </c>
    </row>
    <row r="14" customFormat="false" ht="15" hidden="false" customHeight="false" outlineLevel="0" collapsed="false">
      <c r="A14" s="5" t="n">
        <v>6000</v>
      </c>
      <c r="B14" s="5" t="n">
        <v>108</v>
      </c>
      <c r="C14" s="9" t="n">
        <f aca="false">A14*PI()/30</f>
        <v>628.318530717959</v>
      </c>
      <c r="D14" s="9" t="n">
        <f aca="false">B14*C14/1000</f>
        <v>67.8584013175395</v>
      </c>
      <c r="E14" s="9" t="n">
        <f aca="false">D14*1000/735.5</f>
        <v>92.2615925459409</v>
      </c>
      <c r="F14" s="9" t="n">
        <f aca="false">A14/nP</f>
        <v>0.923076923076923</v>
      </c>
      <c r="G14" s="9" t="n">
        <f aca="false">Pmax*(F14+F14^2-F14^3)</f>
        <v>67.2932864260062</v>
      </c>
      <c r="H14" s="9" t="n">
        <f aca="false">G14*1000/C14</f>
        <v>107.100591715976</v>
      </c>
    </row>
    <row r="15" customFormat="false" ht="15" hidden="false" customHeight="false" outlineLevel="0" collapsed="false">
      <c r="A15" s="5" t="n">
        <v>6500</v>
      </c>
      <c r="B15" s="5" t="n">
        <v>100</v>
      </c>
      <c r="C15" s="9" t="n">
        <f aca="false">A15*PI()/30</f>
        <v>680.678408277789</v>
      </c>
      <c r="D15" s="9" t="n">
        <f aca="false">B15*C15/1000</f>
        <v>68.0678408277789</v>
      </c>
      <c r="E15" s="9" t="n">
        <f aca="false">D15*1000/735.5</f>
        <v>92.5463505476259</v>
      </c>
      <c r="F15" s="9" t="n">
        <f aca="false">A15/nP</f>
        <v>1</v>
      </c>
      <c r="G15" s="9" t="n">
        <f aca="false">Pmax*(F15+F15^2-F15^3)</f>
        <v>68.0678408277789</v>
      </c>
      <c r="H15" s="9" t="n">
        <f aca="false">G15*1000/C15</f>
        <v>100</v>
      </c>
    </row>
    <row r="16" customFormat="false" ht="15" hidden="false" customHeight="false" outlineLevel="0" collapsed="false">
      <c r="A16" s="5" t="n">
        <v>7000</v>
      </c>
      <c r="B16" s="5" t="n">
        <v>90</v>
      </c>
      <c r="C16" s="9" t="n">
        <f aca="false">A16*PI()/30</f>
        <v>733.038285837618</v>
      </c>
      <c r="D16" s="9" t="n">
        <f aca="false">B16*C16/1000</f>
        <v>65.9734457253857</v>
      </c>
      <c r="E16" s="9" t="n">
        <f aca="false">D16*1000/735.5</f>
        <v>89.6987705307759</v>
      </c>
      <c r="F16" s="9" t="n">
        <f aca="false">A16/nP</f>
        <v>1.07692307692308</v>
      </c>
      <c r="G16" s="9" t="n">
        <f aca="false">Pmax*(F16+F16^2-F16^3)</f>
        <v>67.2313220738644</v>
      </c>
      <c r="H16" s="9" t="n">
        <f aca="false">G16*1000/C16</f>
        <v>91.715976331361</v>
      </c>
    </row>
    <row r="19" customFormat="false" ht="15" hidden="false" customHeight="false" outlineLevel="0" collapsed="false">
      <c r="A19" s="0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3"/>
  </cols>
  <sheetData>
    <row r="1" customFormat="false" ht="15" hidden="false" customHeight="false" outlineLevel="0" collapsed="false">
      <c r="A1" s="7" t="s">
        <v>167</v>
      </c>
    </row>
    <row r="2" customFormat="false" ht="15" hidden="false" customHeight="false" outlineLevel="0" collapsed="false">
      <c r="A2" s="0" t="s">
        <v>168</v>
      </c>
      <c r="C2" s="5" t="n">
        <v>0</v>
      </c>
      <c r="D2" s="5" t="n">
        <v>10</v>
      </c>
      <c r="E2" s="5" t="n">
        <v>20</v>
      </c>
      <c r="F2" s="5" t="n">
        <v>30</v>
      </c>
    </row>
    <row r="3" customFormat="false" ht="28.35" hidden="false" customHeight="false" outlineLevel="0" collapsed="false">
      <c r="A3" s="4" t="s">
        <v>169</v>
      </c>
      <c r="B3" s="4" t="s">
        <v>170</v>
      </c>
      <c r="C3" s="4" t="s">
        <v>171</v>
      </c>
      <c r="D3" s="4" t="s">
        <v>172</v>
      </c>
      <c r="E3" s="4" t="s">
        <v>173</v>
      </c>
      <c r="F3" s="4" t="s">
        <v>174</v>
      </c>
      <c r="G3" s="4" t="s">
        <v>175</v>
      </c>
      <c r="H3" s="4" t="s">
        <v>176</v>
      </c>
      <c r="I3" s="4" t="s">
        <v>177</v>
      </c>
      <c r="J3" s="4" t="s">
        <v>178</v>
      </c>
      <c r="K3" s="4" t="s">
        <v>179</v>
      </c>
      <c r="L3" s="4" t="s">
        <v>180</v>
      </c>
      <c r="M3" s="4" t="s">
        <v>181</v>
      </c>
      <c r="N3" s="4" t="s">
        <v>182</v>
      </c>
      <c r="O3" s="4" t="s">
        <v>183</v>
      </c>
      <c r="P3" s="4" t="s">
        <v>184</v>
      </c>
      <c r="Q3" s="4" t="s">
        <v>185</v>
      </c>
    </row>
    <row r="4" customFormat="false" ht="15" hidden="false" customHeight="false" outlineLevel="0" collapsed="false">
      <c r="A4" s="5" t="n">
        <v>0</v>
      </c>
      <c r="B4" s="10" t="n">
        <f aca="false">A4/3.6</f>
        <v>0</v>
      </c>
      <c r="C4" s="10" t="n">
        <f aca="false">0.5*rho*Cx*Af*B4^2</f>
        <v>0</v>
      </c>
      <c r="D4" s="10" t="n">
        <f aca="false">f0+fs*(A4/100)^2</f>
        <v>0.011</v>
      </c>
      <c r="E4" s="10" t="n">
        <f aca="false">D4*Gw*COS(ATAN($C$2/100))</f>
        <v>74.99745</v>
      </c>
      <c r="F4" s="10" t="n">
        <f aca="false">D4*Gw*COS(ATAN($D$2/100))</f>
        <v>74.6252519209142</v>
      </c>
      <c r="G4" s="10" t="n">
        <f aca="false">D4*Gw*COS(ATAN($E$2/100))</f>
        <v>73.541050196096</v>
      </c>
      <c r="H4" s="10" t="n">
        <f aca="false">D4*Gw*COS(ATAN($F$2/100))</f>
        <v>71.8345289345591</v>
      </c>
      <c r="I4" s="10" t="n">
        <f aca="false">Gw*SIN(ATAN($C$2/100))</f>
        <v>0</v>
      </c>
      <c r="J4" s="10" t="n">
        <f aca="false">Gw*SIN(ATAN($D$2/100))</f>
        <v>678.41138109922</v>
      </c>
      <c r="K4" s="10" t="n">
        <f aca="false">Gw*SIN(ATAN($E$2/100))</f>
        <v>1337.11000356538</v>
      </c>
      <c r="L4" s="10" t="n">
        <f aca="false">Gw*SIN(ATAN($F$2/100))</f>
        <v>1959.12351639707</v>
      </c>
      <c r="M4" s="10" t="n">
        <f aca="false">C4+E4+I4</f>
        <v>74.99745</v>
      </c>
      <c r="N4" s="10" t="n">
        <f aca="false">C4+F4+J4</f>
        <v>753.036633020134</v>
      </c>
      <c r="O4" s="10" t="n">
        <f aca="false">C4+G4+K4</f>
        <v>1410.65105376148</v>
      </c>
      <c r="P4" s="10" t="n">
        <f aca="false">C4+H4+L4</f>
        <v>2030.95804533162</v>
      </c>
      <c r="Q4" s="10" t="n">
        <f aca="false">M4*B4/1000</f>
        <v>0</v>
      </c>
    </row>
    <row r="5" customFormat="false" ht="15" hidden="false" customHeight="false" outlineLevel="0" collapsed="false">
      <c r="A5" s="5" t="n">
        <v>10</v>
      </c>
      <c r="B5" s="10" t="n">
        <f aca="false">A5/3.6</f>
        <v>2.77777777777778</v>
      </c>
      <c r="C5" s="10" t="n">
        <f aca="false">0.5*rho*Cx*Af*B5^2</f>
        <v>2.41030092592593</v>
      </c>
      <c r="D5" s="10" t="n">
        <f aca="false">f0+fs*(A5/100)^2</f>
        <v>0.01108</v>
      </c>
      <c r="E5" s="10" t="n">
        <f aca="false">D5*Gw*COS(ATAN($C$2/100))</f>
        <v>75.542886</v>
      </c>
      <c r="F5" s="10" t="n">
        <f aca="false">D5*Gw*COS(ATAN($D$2/100))</f>
        <v>75.1679810257935</v>
      </c>
      <c r="G5" s="10" t="n">
        <f aca="false">D5*Gw*COS(ATAN($E$2/100))</f>
        <v>74.0758941975222</v>
      </c>
      <c r="H5" s="10" t="n">
        <f aca="false">D5*Gw*COS(ATAN($F$2/100))</f>
        <v>72.3569618722649</v>
      </c>
      <c r="I5" s="10" t="n">
        <f aca="false">Gw*SIN(ATAN($C$2/100))</f>
        <v>0</v>
      </c>
      <c r="J5" s="10" t="n">
        <f aca="false">Gw*SIN(ATAN($D$2/100))</f>
        <v>678.41138109922</v>
      </c>
      <c r="K5" s="10" t="n">
        <f aca="false">Gw*SIN(ATAN($E$2/100))</f>
        <v>1337.11000356538</v>
      </c>
      <c r="L5" s="10" t="n">
        <f aca="false">Gw*SIN(ATAN($F$2/100))</f>
        <v>1959.12351639707</v>
      </c>
      <c r="M5" s="10" t="n">
        <f aca="false">C5+E5+I5</f>
        <v>77.9531869259259</v>
      </c>
      <c r="N5" s="10" t="n">
        <f aca="false">C5+F5+J5</f>
        <v>755.989663050939</v>
      </c>
      <c r="O5" s="10" t="n">
        <f aca="false">C5+G5+K5</f>
        <v>1413.59619868883</v>
      </c>
      <c r="P5" s="10" t="n">
        <f aca="false">C5+H5+L5</f>
        <v>2033.89077919526</v>
      </c>
      <c r="Q5" s="10" t="n">
        <f aca="false">M5*B5/1000</f>
        <v>0.216536630349794</v>
      </c>
    </row>
    <row r="6" customFormat="false" ht="15" hidden="false" customHeight="false" outlineLevel="0" collapsed="false">
      <c r="A6" s="5" t="n">
        <v>20</v>
      </c>
      <c r="B6" s="10" t="n">
        <f aca="false">A6/3.6</f>
        <v>5.55555555555556</v>
      </c>
      <c r="C6" s="10" t="n">
        <f aca="false">0.5*rho*Cx*Af*B6^2</f>
        <v>9.6412037037037</v>
      </c>
      <c r="D6" s="10" t="n">
        <f aca="false">f0+fs*(A6/100)^2</f>
        <v>0.01132</v>
      </c>
      <c r="E6" s="10" t="n">
        <f aca="false">D6*Gw*COS(ATAN($C$2/100))</f>
        <v>77.179194</v>
      </c>
      <c r="F6" s="10" t="n">
        <f aca="false">D6*Gw*COS(ATAN($D$2/100))</f>
        <v>76.7961683404317</v>
      </c>
      <c r="G6" s="10" t="n">
        <f aca="false">D6*Gw*COS(ATAN($E$2/100))</f>
        <v>75.6804262018006</v>
      </c>
      <c r="H6" s="10" t="n">
        <f aca="false">D6*Gw*COS(ATAN($F$2/100))</f>
        <v>73.9242606853826</v>
      </c>
      <c r="I6" s="10" t="n">
        <f aca="false">Gw*SIN(ATAN($C$2/100))</f>
        <v>0</v>
      </c>
      <c r="J6" s="10" t="n">
        <f aca="false">Gw*SIN(ATAN($D$2/100))</f>
        <v>678.41138109922</v>
      </c>
      <c r="K6" s="10" t="n">
        <f aca="false">Gw*SIN(ATAN($E$2/100))</f>
        <v>1337.11000356538</v>
      </c>
      <c r="L6" s="10" t="n">
        <f aca="false">Gw*SIN(ATAN($F$2/100))</f>
        <v>1959.12351639707</v>
      </c>
      <c r="M6" s="10" t="n">
        <f aca="false">C6+E6+I6</f>
        <v>86.8203977037037</v>
      </c>
      <c r="N6" s="10" t="n">
        <f aca="false">C6+F6+J6</f>
        <v>764.848753143355</v>
      </c>
      <c r="O6" s="10" t="n">
        <f aca="false">C6+G6+K6</f>
        <v>1422.43163347089</v>
      </c>
      <c r="P6" s="10" t="n">
        <f aca="false">C6+H6+L6</f>
        <v>2042.68898078615</v>
      </c>
      <c r="Q6" s="10" t="n">
        <f aca="false">M6*B6/1000</f>
        <v>0.482335542798354</v>
      </c>
    </row>
    <row r="7" customFormat="false" ht="15" hidden="false" customHeight="false" outlineLevel="0" collapsed="false">
      <c r="A7" s="5" t="n">
        <v>30</v>
      </c>
      <c r="B7" s="10" t="n">
        <f aca="false">A7/3.6</f>
        <v>8.33333333333333</v>
      </c>
      <c r="C7" s="10" t="n">
        <f aca="false">0.5*rho*Cx*Af*B7^2</f>
        <v>21.6927083333333</v>
      </c>
      <c r="D7" s="10" t="n">
        <f aca="false">f0+fs*(A7/100)^2</f>
        <v>0.01172</v>
      </c>
      <c r="E7" s="10" t="n">
        <f aca="false">D7*Gw*COS(ATAN($C$2/100))</f>
        <v>79.906374</v>
      </c>
      <c r="F7" s="10" t="n">
        <f aca="false">D7*Gw*COS(ATAN($D$2/100))</f>
        <v>79.5098138648285</v>
      </c>
      <c r="G7" s="10" t="n">
        <f aca="false">D7*Gw*COS(ATAN($E$2/100))</f>
        <v>78.3546462089314</v>
      </c>
      <c r="H7" s="10" t="n">
        <f aca="false">D7*Gw*COS(ATAN($F$2/100))</f>
        <v>76.536425373912</v>
      </c>
      <c r="I7" s="10" t="n">
        <f aca="false">Gw*SIN(ATAN($C$2/100))</f>
        <v>0</v>
      </c>
      <c r="J7" s="10" t="n">
        <f aca="false">Gw*SIN(ATAN($D$2/100))</f>
        <v>678.41138109922</v>
      </c>
      <c r="K7" s="10" t="n">
        <f aca="false">Gw*SIN(ATAN($E$2/100))</f>
        <v>1337.11000356538</v>
      </c>
      <c r="L7" s="10" t="n">
        <f aca="false">Gw*SIN(ATAN($F$2/100))</f>
        <v>1959.12351639707</v>
      </c>
      <c r="M7" s="10" t="n">
        <f aca="false">C7+E7+I7</f>
        <v>101.599082333333</v>
      </c>
      <c r="N7" s="10" t="n">
        <f aca="false">C7+F7+J7</f>
        <v>779.613903297382</v>
      </c>
      <c r="O7" s="10" t="n">
        <f aca="false">C7+G7+K7</f>
        <v>1437.15735810765</v>
      </c>
      <c r="P7" s="10" t="n">
        <f aca="false">C7+H7+L7</f>
        <v>2057.35265010431</v>
      </c>
      <c r="Q7" s="10" t="n">
        <f aca="false">M7*B7/1000</f>
        <v>0.846659019444445</v>
      </c>
    </row>
    <row r="8" customFormat="false" ht="15" hidden="false" customHeight="false" outlineLevel="0" collapsed="false">
      <c r="A8" s="5" t="n">
        <v>40</v>
      </c>
      <c r="B8" s="10" t="n">
        <f aca="false">A8/3.6</f>
        <v>11.1111111111111</v>
      </c>
      <c r="C8" s="10" t="n">
        <f aca="false">0.5*rho*Cx*Af*B8^2</f>
        <v>38.5648148148148</v>
      </c>
      <c r="D8" s="10" t="n">
        <f aca="false">f0+fs*(A8/100)^2</f>
        <v>0.01228</v>
      </c>
      <c r="E8" s="10" t="n">
        <f aca="false">D8*Gw*COS(ATAN($C$2/100))</f>
        <v>83.724426</v>
      </c>
      <c r="F8" s="10" t="n">
        <f aca="false">D8*Gw*COS(ATAN($D$2/100))</f>
        <v>83.3089175989842</v>
      </c>
      <c r="G8" s="10" t="n">
        <f aca="false">D8*Gw*COS(ATAN($E$2/100))</f>
        <v>82.0985542189144</v>
      </c>
      <c r="H8" s="10" t="n">
        <f aca="false">D8*Gw*COS(ATAN($F$2/100))</f>
        <v>80.1934559378532</v>
      </c>
      <c r="I8" s="10" t="n">
        <f aca="false">Gw*SIN(ATAN($C$2/100))</f>
        <v>0</v>
      </c>
      <c r="J8" s="10" t="n">
        <f aca="false">Gw*SIN(ATAN($D$2/100))</f>
        <v>678.41138109922</v>
      </c>
      <c r="K8" s="10" t="n">
        <f aca="false">Gw*SIN(ATAN($E$2/100))</f>
        <v>1337.11000356538</v>
      </c>
      <c r="L8" s="10" t="n">
        <f aca="false">Gw*SIN(ATAN($F$2/100))</f>
        <v>1959.12351639707</v>
      </c>
      <c r="M8" s="10" t="n">
        <f aca="false">C8+E8+I8</f>
        <v>122.289240814815</v>
      </c>
      <c r="N8" s="10" t="n">
        <f aca="false">C8+F8+J8</f>
        <v>800.285113513019</v>
      </c>
      <c r="O8" s="10" t="n">
        <f aca="false">C8+G8+K8</f>
        <v>1457.77337259911</v>
      </c>
      <c r="P8" s="10" t="n">
        <f aca="false">C8+H8+L8</f>
        <v>2077.88178714973</v>
      </c>
      <c r="Q8" s="10" t="n">
        <f aca="false">M8*B8/1000</f>
        <v>1.35876934238683</v>
      </c>
    </row>
    <row r="9" customFormat="false" ht="15" hidden="false" customHeight="false" outlineLevel="0" collapsed="false">
      <c r="A9" s="5" t="n">
        <v>50</v>
      </c>
      <c r="B9" s="10" t="n">
        <f aca="false">A9/3.6</f>
        <v>13.8888888888889</v>
      </c>
      <c r="C9" s="10" t="n">
        <f aca="false">0.5*rho*Cx*Af*B9^2</f>
        <v>60.2575231481482</v>
      </c>
      <c r="D9" s="10" t="n">
        <f aca="false">f0+fs*(A9/100)^2</f>
        <v>0.013</v>
      </c>
      <c r="E9" s="10" t="n">
        <f aca="false">D9*Gw*COS(ATAN($C$2/100))</f>
        <v>88.63335</v>
      </c>
      <c r="F9" s="10" t="n">
        <f aca="false">D9*Gw*COS(ATAN($D$2/100))</f>
        <v>88.1934795428985</v>
      </c>
      <c r="G9" s="10" t="n">
        <f aca="false">D9*Gw*COS(ATAN($E$2/100))</f>
        <v>86.9121502317498</v>
      </c>
      <c r="H9" s="10" t="n">
        <f aca="false">D9*Gw*COS(ATAN($F$2/100))</f>
        <v>84.8953523772062</v>
      </c>
      <c r="I9" s="10" t="n">
        <f aca="false">Gw*SIN(ATAN($C$2/100))</f>
        <v>0</v>
      </c>
      <c r="J9" s="10" t="n">
        <f aca="false">Gw*SIN(ATAN($D$2/100))</f>
        <v>678.41138109922</v>
      </c>
      <c r="K9" s="10" t="n">
        <f aca="false">Gw*SIN(ATAN($E$2/100))</f>
        <v>1337.11000356538</v>
      </c>
      <c r="L9" s="10" t="n">
        <f aca="false">Gw*SIN(ATAN($F$2/100))</f>
        <v>1959.12351639707</v>
      </c>
      <c r="M9" s="10" t="n">
        <f aca="false">C9+E9+I9</f>
        <v>148.890873148148</v>
      </c>
      <c r="N9" s="10" t="n">
        <f aca="false">C9+F9+J9</f>
        <v>826.862383790266</v>
      </c>
      <c r="O9" s="10" t="n">
        <f aca="false">C9+G9+K9</f>
        <v>1484.27967694528</v>
      </c>
      <c r="P9" s="10" t="n">
        <f aca="false">C9+H9+L9</f>
        <v>2104.27639192242</v>
      </c>
      <c r="Q9" s="10" t="n">
        <f aca="false">M9*B9/1000</f>
        <v>2.06792879372428</v>
      </c>
    </row>
    <row r="10" customFormat="false" ht="15" hidden="false" customHeight="false" outlineLevel="0" collapsed="false">
      <c r="A10" s="5" t="n">
        <v>60</v>
      </c>
      <c r="B10" s="10" t="n">
        <f aca="false">A10/3.6</f>
        <v>16.6666666666667</v>
      </c>
      <c r="C10" s="10" t="n">
        <f aca="false">0.5*rho*Cx*Af*B10^2</f>
        <v>86.7708333333334</v>
      </c>
      <c r="D10" s="10" t="n">
        <f aca="false">f0+fs*(A10/100)^2</f>
        <v>0.01388</v>
      </c>
      <c r="E10" s="10" t="n">
        <f aca="false">D10*Gw*COS(ATAN($C$2/100))</f>
        <v>94.633146</v>
      </c>
      <c r="F10" s="10" t="n">
        <f aca="false">D10*Gw*COS(ATAN($D$2/100))</f>
        <v>94.1634996965717</v>
      </c>
      <c r="G10" s="10" t="n">
        <f aca="false">D10*Gw*COS(ATAN($E$2/100))</f>
        <v>92.7954342474375</v>
      </c>
      <c r="H10" s="10" t="n">
        <f aca="false">D10*Gw*COS(ATAN($F$2/100))</f>
        <v>90.6421146919709</v>
      </c>
      <c r="I10" s="10" t="n">
        <f aca="false">Gw*SIN(ATAN($C$2/100))</f>
        <v>0</v>
      </c>
      <c r="J10" s="10" t="n">
        <f aca="false">Gw*SIN(ATAN($D$2/100))</f>
        <v>678.41138109922</v>
      </c>
      <c r="K10" s="10" t="n">
        <f aca="false">Gw*SIN(ATAN($E$2/100))</f>
        <v>1337.11000356538</v>
      </c>
      <c r="L10" s="10" t="n">
        <f aca="false">Gw*SIN(ATAN($F$2/100))</f>
        <v>1959.12351639707</v>
      </c>
      <c r="M10" s="10" t="n">
        <f aca="false">C10+E10+I10</f>
        <v>181.403979333333</v>
      </c>
      <c r="N10" s="10" t="n">
        <f aca="false">C10+F10+J10</f>
        <v>859.345714129125</v>
      </c>
      <c r="O10" s="10" t="n">
        <f aca="false">C10+G10+K10</f>
        <v>1516.67627114615</v>
      </c>
      <c r="P10" s="10" t="n">
        <f aca="false">C10+H10+L10</f>
        <v>2136.53646442237</v>
      </c>
      <c r="Q10" s="10" t="n">
        <f aca="false">M10*B10/1000</f>
        <v>3.02339965555556</v>
      </c>
    </row>
    <row r="11" customFormat="false" ht="15" hidden="false" customHeight="false" outlineLevel="0" collapsed="false">
      <c r="A11" s="5" t="n">
        <v>70</v>
      </c>
      <c r="B11" s="10" t="n">
        <f aca="false">A11/3.6</f>
        <v>19.4444444444444</v>
      </c>
      <c r="C11" s="10" t="n">
        <f aca="false">0.5*rho*Cx*Af*B11^2</f>
        <v>118.10474537037</v>
      </c>
      <c r="D11" s="10" t="n">
        <f aca="false">f0+fs*(A11/100)^2</f>
        <v>0.01492</v>
      </c>
      <c r="E11" s="10" t="n">
        <f aca="false">D11*Gw*COS(ATAN($C$2/100))</f>
        <v>101.723814</v>
      </c>
      <c r="F11" s="10" t="n">
        <f aca="false">D11*Gw*COS(ATAN($D$2/100))</f>
        <v>101.218978060004</v>
      </c>
      <c r="G11" s="10" t="n">
        <f aca="false">D11*Gw*COS(ATAN($E$2/100))</f>
        <v>99.7484062659775</v>
      </c>
      <c r="H11" s="10" t="n">
        <f aca="false">D11*Gw*COS(ATAN($F$2/100))</f>
        <v>97.4337428821474</v>
      </c>
      <c r="I11" s="10" t="n">
        <f aca="false">Gw*SIN(ATAN($C$2/100))</f>
        <v>0</v>
      </c>
      <c r="J11" s="10" t="n">
        <f aca="false">Gw*SIN(ATAN($D$2/100))</f>
        <v>678.41138109922</v>
      </c>
      <c r="K11" s="10" t="n">
        <f aca="false">Gw*SIN(ATAN($E$2/100))</f>
        <v>1337.11000356538</v>
      </c>
      <c r="L11" s="10" t="n">
        <f aca="false">Gw*SIN(ATAN($F$2/100))</f>
        <v>1959.12351639707</v>
      </c>
      <c r="M11" s="10" t="n">
        <f aca="false">C11+E11+I11</f>
        <v>219.82855937037</v>
      </c>
      <c r="N11" s="10" t="n">
        <f aca="false">C11+F11+J11</f>
        <v>897.735104529594</v>
      </c>
      <c r="O11" s="10" t="n">
        <f aca="false">C11+G11+K11</f>
        <v>1554.96315520173</v>
      </c>
      <c r="P11" s="10" t="n">
        <f aca="false">C11+H11+L11</f>
        <v>2174.66200464958</v>
      </c>
      <c r="Q11" s="10" t="n">
        <f aca="false">M11*B11/1000</f>
        <v>4.27444420997942</v>
      </c>
    </row>
    <row r="12" customFormat="false" ht="15" hidden="false" customHeight="false" outlineLevel="0" collapsed="false">
      <c r="A12" s="5" t="n">
        <v>80</v>
      </c>
      <c r="B12" s="10" t="n">
        <f aca="false">A12/3.6</f>
        <v>22.2222222222222</v>
      </c>
      <c r="C12" s="10" t="n">
        <f aca="false">0.5*rho*Cx*Af*B12^2</f>
        <v>154.259259259259</v>
      </c>
      <c r="D12" s="10" t="n">
        <f aca="false">f0+fs*(A12/100)^2</f>
        <v>0.01612</v>
      </c>
      <c r="E12" s="10" t="n">
        <f aca="false">D12*Gw*COS(ATAN($C$2/100))</f>
        <v>109.905354</v>
      </c>
      <c r="F12" s="10" t="n">
        <f aca="false">D12*Gw*COS(ATAN($D$2/100))</f>
        <v>109.359914633194</v>
      </c>
      <c r="G12" s="10" t="n">
        <f aca="false">D12*Gw*COS(ATAN($E$2/100))</f>
        <v>107.77106628737</v>
      </c>
      <c r="H12" s="10" t="n">
        <f aca="false">D12*Gw*COS(ATAN($F$2/100))</f>
        <v>105.270236947736</v>
      </c>
      <c r="I12" s="10" t="n">
        <f aca="false">Gw*SIN(ATAN($C$2/100))</f>
        <v>0</v>
      </c>
      <c r="J12" s="10" t="n">
        <f aca="false">Gw*SIN(ATAN($D$2/100))</f>
        <v>678.41138109922</v>
      </c>
      <c r="K12" s="10" t="n">
        <f aca="false">Gw*SIN(ATAN($E$2/100))</f>
        <v>1337.11000356538</v>
      </c>
      <c r="L12" s="10" t="n">
        <f aca="false">Gw*SIN(ATAN($F$2/100))</f>
        <v>1959.12351639707</v>
      </c>
      <c r="M12" s="10" t="n">
        <f aca="false">C12+E12+I12</f>
        <v>264.164613259259</v>
      </c>
      <c r="N12" s="10" t="n">
        <f aca="false">C12+F12+J12</f>
        <v>942.030554991673</v>
      </c>
      <c r="O12" s="10" t="n">
        <f aca="false">C12+G12+K12</f>
        <v>1599.14032911201</v>
      </c>
      <c r="P12" s="10" t="n">
        <f aca="false">C12+H12+L12</f>
        <v>2218.65301260406</v>
      </c>
      <c r="Q12" s="10" t="n">
        <f aca="false">M12*B12/1000</f>
        <v>5.87032473909465</v>
      </c>
    </row>
    <row r="13" customFormat="false" ht="15" hidden="false" customHeight="false" outlineLevel="0" collapsed="false">
      <c r="A13" s="5" t="n">
        <v>90</v>
      </c>
      <c r="B13" s="10" t="n">
        <f aca="false">A13/3.6</f>
        <v>25</v>
      </c>
      <c r="C13" s="10" t="n">
        <f aca="false">0.5*rho*Cx*Af*B13^2</f>
        <v>195.234375</v>
      </c>
      <c r="D13" s="10" t="n">
        <f aca="false">f0+fs*(A13/100)^2</f>
        <v>0.01748</v>
      </c>
      <c r="E13" s="10" t="n">
        <f aca="false">D13*Gw*COS(ATAN($C$2/100))</f>
        <v>119.177766</v>
      </c>
      <c r="F13" s="10" t="n">
        <f aca="false">D13*Gw*COS(ATAN($D$2/100))</f>
        <v>118.586309416144</v>
      </c>
      <c r="G13" s="10" t="n">
        <f aca="false">D13*Gw*COS(ATAN($E$2/100))</f>
        <v>116.863414311614</v>
      </c>
      <c r="H13" s="10" t="n">
        <f aca="false">D13*Gw*COS(ATAN($F$2/100))</f>
        <v>114.151596888736</v>
      </c>
      <c r="I13" s="10" t="n">
        <f aca="false">Gw*SIN(ATAN($C$2/100))</f>
        <v>0</v>
      </c>
      <c r="J13" s="10" t="n">
        <f aca="false">Gw*SIN(ATAN($D$2/100))</f>
        <v>678.41138109922</v>
      </c>
      <c r="K13" s="10" t="n">
        <f aca="false">Gw*SIN(ATAN($E$2/100))</f>
        <v>1337.11000356538</v>
      </c>
      <c r="L13" s="10" t="n">
        <f aca="false">Gw*SIN(ATAN($F$2/100))</f>
        <v>1959.12351639707</v>
      </c>
      <c r="M13" s="10" t="n">
        <f aca="false">C13+E13+I13</f>
        <v>314.412141</v>
      </c>
      <c r="N13" s="10" t="n">
        <f aca="false">C13+F13+J13</f>
        <v>992.232065515363</v>
      </c>
      <c r="O13" s="10" t="n">
        <f aca="false">C13+G13+K13</f>
        <v>1649.207792877</v>
      </c>
      <c r="P13" s="10" t="n">
        <f aca="false">C13+H13+L13</f>
        <v>2268.5094882858</v>
      </c>
      <c r="Q13" s="10" t="n">
        <f aca="false">M13*B13/1000</f>
        <v>7.860303525</v>
      </c>
    </row>
    <row r="14" customFormat="false" ht="15" hidden="false" customHeight="false" outlineLevel="0" collapsed="false">
      <c r="A14" s="5" t="n">
        <v>100</v>
      </c>
      <c r="B14" s="10" t="n">
        <f aca="false">A14/3.6</f>
        <v>27.7777777777778</v>
      </c>
      <c r="C14" s="10" t="n">
        <f aca="false">0.5*rho*Cx*Af*B14^2</f>
        <v>241.030092592593</v>
      </c>
      <c r="D14" s="10" t="n">
        <f aca="false">f0+fs*(A14/100)^2</f>
        <v>0.019</v>
      </c>
      <c r="E14" s="10" t="n">
        <f aca="false">D14*Gw*COS(ATAN($C$2/100))</f>
        <v>129.54105</v>
      </c>
      <c r="F14" s="10" t="n">
        <f aca="false">D14*Gw*COS(ATAN($D$2/100))</f>
        <v>128.898162408852</v>
      </c>
      <c r="G14" s="10" t="n">
        <f aca="false">D14*Gw*COS(ATAN($E$2/100))</f>
        <v>127.025450338711</v>
      </c>
      <c r="H14" s="10" t="n">
        <f aca="false">D14*Gw*COS(ATAN($F$2/100))</f>
        <v>124.077822705147</v>
      </c>
      <c r="I14" s="10" t="n">
        <f aca="false">Gw*SIN(ATAN($C$2/100))</f>
        <v>0</v>
      </c>
      <c r="J14" s="10" t="n">
        <f aca="false">Gw*SIN(ATAN($D$2/100))</f>
        <v>678.41138109922</v>
      </c>
      <c r="K14" s="10" t="n">
        <f aca="false">Gw*SIN(ATAN($E$2/100))</f>
        <v>1337.11000356538</v>
      </c>
      <c r="L14" s="10" t="n">
        <f aca="false">Gw*SIN(ATAN($F$2/100))</f>
        <v>1959.12351639707</v>
      </c>
      <c r="M14" s="10" t="n">
        <f aca="false">C14+E14+I14</f>
        <v>370.571142592593</v>
      </c>
      <c r="N14" s="10" t="n">
        <f aca="false">C14+F14+J14</f>
        <v>1048.33963610066</v>
      </c>
      <c r="O14" s="10" t="n">
        <f aca="false">C14+G14+K14</f>
        <v>1705.16554649669</v>
      </c>
      <c r="P14" s="10" t="n">
        <f aca="false">C14+H14+L14</f>
        <v>2324.23143169481</v>
      </c>
      <c r="Q14" s="10" t="n">
        <f aca="false">M14*B14/1000</f>
        <v>10.2936428497942</v>
      </c>
    </row>
    <row r="15" customFormat="false" ht="15" hidden="false" customHeight="false" outlineLevel="0" collapsed="false">
      <c r="A15" s="5" t="n">
        <v>110</v>
      </c>
      <c r="B15" s="10" t="n">
        <f aca="false">A15/3.6</f>
        <v>30.5555555555556</v>
      </c>
      <c r="C15" s="10" t="n">
        <f aca="false">0.5*rho*Cx*Af*B15^2</f>
        <v>291.646412037037</v>
      </c>
      <c r="D15" s="10" t="n">
        <f aca="false">f0+fs*(A15/100)^2</f>
        <v>0.02068</v>
      </c>
      <c r="E15" s="10" t="n">
        <f aca="false">D15*Gw*COS(ATAN($C$2/100))</f>
        <v>140.995206</v>
      </c>
      <c r="F15" s="10" t="n">
        <f aca="false">D15*Gw*COS(ATAN($D$2/100))</f>
        <v>140.295473611319</v>
      </c>
      <c r="G15" s="10" t="n">
        <f aca="false">D15*Gw*COS(ATAN($E$2/100))</f>
        <v>138.257174368661</v>
      </c>
      <c r="H15" s="10" t="n">
        <f aca="false">D15*Gw*COS(ATAN($F$2/100))</f>
        <v>135.048914396971</v>
      </c>
      <c r="I15" s="10" t="n">
        <f aca="false">Gw*SIN(ATAN($C$2/100))</f>
        <v>0</v>
      </c>
      <c r="J15" s="10" t="n">
        <f aca="false">Gw*SIN(ATAN($D$2/100))</f>
        <v>678.41138109922</v>
      </c>
      <c r="K15" s="10" t="n">
        <f aca="false">Gw*SIN(ATAN($E$2/100))</f>
        <v>1337.11000356538</v>
      </c>
      <c r="L15" s="10" t="n">
        <f aca="false">Gw*SIN(ATAN($F$2/100))</f>
        <v>1959.12351639707</v>
      </c>
      <c r="M15" s="10" t="n">
        <f aca="false">C15+E15+I15</f>
        <v>432.641618037037</v>
      </c>
      <c r="N15" s="10" t="n">
        <f aca="false">C15+F15+J15</f>
        <v>1110.35326674758</v>
      </c>
      <c r="O15" s="10" t="n">
        <f aca="false">C15+G15+K15</f>
        <v>1767.01358997108</v>
      </c>
      <c r="P15" s="10" t="n">
        <f aca="false">C15+H15+L15</f>
        <v>2385.81884283107</v>
      </c>
      <c r="Q15" s="10" t="n">
        <f aca="false">M15*B15/1000</f>
        <v>13.2196049955761</v>
      </c>
    </row>
    <row r="16" customFormat="false" ht="15" hidden="false" customHeight="false" outlineLevel="0" collapsed="false">
      <c r="A16" s="5" t="n">
        <v>120</v>
      </c>
      <c r="B16" s="10" t="n">
        <f aca="false">A16/3.6</f>
        <v>33.3333333333333</v>
      </c>
      <c r="C16" s="10" t="n">
        <f aca="false">0.5*rho*Cx*Af*B16^2</f>
        <v>347.083333333333</v>
      </c>
      <c r="D16" s="10" t="n">
        <f aca="false">f0+fs*(A16/100)^2</f>
        <v>0.02252</v>
      </c>
      <c r="E16" s="10" t="n">
        <f aca="false">D16*Gw*COS(ATAN($C$2/100))</f>
        <v>153.540234</v>
      </c>
      <c r="F16" s="10" t="n">
        <f aca="false">D16*Gw*COS(ATAN($D$2/100))</f>
        <v>152.778243023544</v>
      </c>
      <c r="G16" s="10" t="n">
        <f aca="false">D16*Gw*COS(ATAN($E$2/100))</f>
        <v>150.558586401462</v>
      </c>
      <c r="H16" s="10" t="n">
        <f aca="false">D16*Gw*COS(ATAN($F$2/100))</f>
        <v>147.064871964206</v>
      </c>
      <c r="I16" s="10" t="n">
        <f aca="false">Gw*SIN(ATAN($C$2/100))</f>
        <v>0</v>
      </c>
      <c r="J16" s="10" t="n">
        <f aca="false">Gw*SIN(ATAN($D$2/100))</f>
        <v>678.41138109922</v>
      </c>
      <c r="K16" s="10" t="n">
        <f aca="false">Gw*SIN(ATAN($E$2/100))</f>
        <v>1337.11000356538</v>
      </c>
      <c r="L16" s="10" t="n">
        <f aca="false">Gw*SIN(ATAN($F$2/100))</f>
        <v>1959.12351639707</v>
      </c>
      <c r="M16" s="10" t="n">
        <f aca="false">C16+E16+I16</f>
        <v>500.623567333333</v>
      </c>
      <c r="N16" s="10" t="n">
        <f aca="false">C16+F16+J16</f>
        <v>1178.2729574561</v>
      </c>
      <c r="O16" s="10" t="n">
        <f aca="false">C16+G16+K16</f>
        <v>1834.75192330018</v>
      </c>
      <c r="P16" s="10" t="n">
        <f aca="false">C16+H16+L16</f>
        <v>2453.27172169461</v>
      </c>
      <c r="Q16" s="10" t="n">
        <f aca="false">M16*B16/1000</f>
        <v>16.6874522444444</v>
      </c>
    </row>
    <row r="17" customFormat="false" ht="15" hidden="false" customHeight="false" outlineLevel="0" collapsed="false">
      <c r="A17" s="5" t="n">
        <v>130</v>
      </c>
      <c r="B17" s="10" t="n">
        <f aca="false">A17/3.6</f>
        <v>36.1111111111111</v>
      </c>
      <c r="C17" s="10" t="n">
        <f aca="false">0.5*rho*Cx*Af*B17^2</f>
        <v>407.340856481481</v>
      </c>
      <c r="D17" s="10" t="n">
        <f aca="false">f0+fs*(A17/100)^2</f>
        <v>0.02452</v>
      </c>
      <c r="E17" s="10" t="n">
        <f aca="false">D17*Gw*COS(ATAN($C$2/100))</f>
        <v>167.176134</v>
      </c>
      <c r="F17" s="10" t="n">
        <f aca="false">D17*Gw*COS(ATAN($D$2/100))</f>
        <v>166.346470645529</v>
      </c>
      <c r="G17" s="10" t="n">
        <f aca="false">D17*Gw*COS(ATAN($E$2/100))</f>
        <v>163.929686437116</v>
      </c>
      <c r="H17" s="10" t="n">
        <f aca="false">D17*Gw*COS(ATAN($F$2/100))</f>
        <v>160.125695406853</v>
      </c>
      <c r="I17" s="10" t="n">
        <f aca="false">Gw*SIN(ATAN($C$2/100))</f>
        <v>0</v>
      </c>
      <c r="J17" s="10" t="n">
        <f aca="false">Gw*SIN(ATAN($D$2/100))</f>
        <v>678.41138109922</v>
      </c>
      <c r="K17" s="10" t="n">
        <f aca="false">Gw*SIN(ATAN($E$2/100))</f>
        <v>1337.11000356538</v>
      </c>
      <c r="L17" s="10" t="n">
        <f aca="false">Gw*SIN(ATAN($F$2/100))</f>
        <v>1959.12351639707</v>
      </c>
      <c r="M17" s="10" t="n">
        <f aca="false">C17+E17+I17</f>
        <v>574.516990481482</v>
      </c>
      <c r="N17" s="10" t="n">
        <f aca="false">C17+F17+J17</f>
        <v>1252.09870822623</v>
      </c>
      <c r="O17" s="10" t="n">
        <f aca="false">C17+G17+K17</f>
        <v>1908.38054648398</v>
      </c>
      <c r="P17" s="10" t="n">
        <f aca="false">C17+H17+L17</f>
        <v>2526.5900682854</v>
      </c>
      <c r="Q17" s="10" t="n">
        <f aca="false">M17*B17/1000</f>
        <v>20.7464468784979</v>
      </c>
    </row>
    <row r="18" customFormat="false" ht="15" hidden="false" customHeight="false" outlineLevel="0" collapsed="false">
      <c r="A18" s="5" t="n">
        <v>140</v>
      </c>
      <c r="B18" s="10" t="n">
        <f aca="false">A18/3.6</f>
        <v>38.8888888888889</v>
      </c>
      <c r="C18" s="10" t="n">
        <f aca="false">0.5*rho*Cx*Af*B18^2</f>
        <v>472.418981481481</v>
      </c>
      <c r="D18" s="10" t="n">
        <f aca="false">f0+fs*(A18/100)^2</f>
        <v>0.02668</v>
      </c>
      <c r="E18" s="10" t="n">
        <f aca="false">D18*Gw*COS(ATAN($C$2/100))</f>
        <v>181.902906</v>
      </c>
      <c r="F18" s="10" t="n">
        <f aca="false">D18*Gw*COS(ATAN($D$2/100))</f>
        <v>181.000156477272</v>
      </c>
      <c r="G18" s="10" t="n">
        <f aca="false">D18*Gw*COS(ATAN($E$2/100))</f>
        <v>178.370474475622</v>
      </c>
      <c r="H18" s="10" t="n">
        <f aca="false">D18*Gw*COS(ATAN($F$2/100))</f>
        <v>174.231384724912</v>
      </c>
      <c r="I18" s="10" t="n">
        <f aca="false">Gw*SIN(ATAN($C$2/100))</f>
        <v>0</v>
      </c>
      <c r="J18" s="10" t="n">
        <f aca="false">Gw*SIN(ATAN($D$2/100))</f>
        <v>678.41138109922</v>
      </c>
      <c r="K18" s="10" t="n">
        <f aca="false">Gw*SIN(ATAN($E$2/100))</f>
        <v>1337.11000356538</v>
      </c>
      <c r="L18" s="10" t="n">
        <f aca="false">Gw*SIN(ATAN($F$2/100))</f>
        <v>1959.12351639707</v>
      </c>
      <c r="M18" s="10" t="n">
        <f aca="false">C18+E18+I18</f>
        <v>654.321887481481</v>
      </c>
      <c r="N18" s="10" t="n">
        <f aca="false">C18+F18+J18</f>
        <v>1331.83051905797</v>
      </c>
      <c r="O18" s="10" t="n">
        <f aca="false">C18+G18+K18</f>
        <v>1987.89945952249</v>
      </c>
      <c r="P18" s="10" t="n">
        <f aca="false">C18+H18+L18</f>
        <v>2605.77388260346</v>
      </c>
      <c r="Q18" s="10" t="n">
        <f aca="false">M18*B18/1000</f>
        <v>25.4458511798354</v>
      </c>
    </row>
    <row r="19" customFormat="false" ht="15" hidden="false" customHeight="false" outlineLevel="0" collapsed="false">
      <c r="A19" s="5" t="n">
        <v>150</v>
      </c>
      <c r="B19" s="10" t="n">
        <f aca="false">A19/3.6</f>
        <v>41.6666666666667</v>
      </c>
      <c r="C19" s="10" t="n">
        <f aca="false">0.5*rho*Cx*Af*B19^2</f>
        <v>542.317708333333</v>
      </c>
      <c r="D19" s="10" t="n">
        <f aca="false">f0+fs*(A19/100)^2</f>
        <v>0.029</v>
      </c>
      <c r="E19" s="10" t="n">
        <f aca="false">D19*Gw*COS(ATAN($C$2/100))</f>
        <v>197.72055</v>
      </c>
      <c r="F19" s="10" t="n">
        <f aca="false">D19*Gw*COS(ATAN($D$2/100))</f>
        <v>196.739300518774</v>
      </c>
      <c r="G19" s="10" t="n">
        <f aca="false">D19*Gw*COS(ATAN($E$2/100))</f>
        <v>193.88095051698</v>
      </c>
      <c r="H19" s="10" t="n">
        <f aca="false">D19*Gw*COS(ATAN($F$2/100))</f>
        <v>189.381939918383</v>
      </c>
      <c r="I19" s="10" t="n">
        <f aca="false">Gw*SIN(ATAN($C$2/100))</f>
        <v>0</v>
      </c>
      <c r="J19" s="10" t="n">
        <f aca="false">Gw*SIN(ATAN($D$2/100))</f>
        <v>678.41138109922</v>
      </c>
      <c r="K19" s="10" t="n">
        <f aca="false">Gw*SIN(ATAN($E$2/100))</f>
        <v>1337.11000356538</v>
      </c>
      <c r="L19" s="10" t="n">
        <f aca="false">Gw*SIN(ATAN($F$2/100))</f>
        <v>1959.12351639707</v>
      </c>
      <c r="M19" s="10" t="n">
        <f aca="false">C19+E19+I19</f>
        <v>740.038258333333</v>
      </c>
      <c r="N19" s="10" t="n">
        <f aca="false">C19+F19+J19</f>
        <v>1417.46838995133</v>
      </c>
      <c r="O19" s="10" t="n">
        <f aca="false">C19+G19+K19</f>
        <v>2073.3086624157</v>
      </c>
      <c r="P19" s="10" t="n">
        <f aca="false">C19+H19+L19</f>
        <v>2690.82316464878</v>
      </c>
      <c r="Q19" s="10" t="n">
        <f aca="false">M19*B19/1000</f>
        <v>30.8349274305556</v>
      </c>
    </row>
    <row r="20" customFormat="false" ht="15" hidden="false" customHeight="false" outlineLevel="0" collapsed="false">
      <c r="A20" s="5" t="n">
        <v>160</v>
      </c>
      <c r="B20" s="10" t="n">
        <f aca="false">A20/3.6</f>
        <v>44.4444444444444</v>
      </c>
      <c r="C20" s="10" t="n">
        <f aca="false">0.5*rho*Cx*Af*B20^2</f>
        <v>617.037037037037</v>
      </c>
      <c r="D20" s="10" t="n">
        <f aca="false">f0+fs*(A20/100)^2</f>
        <v>0.03148</v>
      </c>
      <c r="E20" s="10" t="n">
        <f aca="false">D20*Gw*COS(ATAN($C$2/100))</f>
        <v>214.629066</v>
      </c>
      <c r="F20" s="10" t="n">
        <f aca="false">D20*Gw*COS(ATAN($D$2/100))</f>
        <v>213.563902770034</v>
      </c>
      <c r="G20" s="10" t="n">
        <f aca="false">D20*Gw*COS(ATAN($E$2/100))</f>
        <v>210.461114561191</v>
      </c>
      <c r="H20" s="10" t="n">
        <f aca="false">D20*Gw*COS(ATAN($F$2/100))</f>
        <v>205.577360987265</v>
      </c>
      <c r="I20" s="10" t="n">
        <f aca="false">Gw*SIN(ATAN($C$2/100))</f>
        <v>0</v>
      </c>
      <c r="J20" s="10" t="n">
        <f aca="false">Gw*SIN(ATAN($D$2/100))</f>
        <v>678.41138109922</v>
      </c>
      <c r="K20" s="10" t="n">
        <f aca="false">Gw*SIN(ATAN($E$2/100))</f>
        <v>1337.11000356538</v>
      </c>
      <c r="L20" s="10" t="n">
        <f aca="false">Gw*SIN(ATAN($F$2/100))</f>
        <v>1959.12351639707</v>
      </c>
      <c r="M20" s="10" t="n">
        <f aca="false">C20+E20+I20</f>
        <v>831.666103037037</v>
      </c>
      <c r="N20" s="10" t="n">
        <f aca="false">C20+F20+J20</f>
        <v>1509.01232090629</v>
      </c>
      <c r="O20" s="10" t="n">
        <f aca="false">C20+G20+K20</f>
        <v>2164.60815516361</v>
      </c>
      <c r="P20" s="10" t="n">
        <f aca="false">C20+H20+L20</f>
        <v>2781.73791442137</v>
      </c>
      <c r="Q20" s="10" t="n">
        <f aca="false">M20*B20/1000</f>
        <v>36.9629379127572</v>
      </c>
    </row>
    <row r="21" customFormat="false" ht="15" hidden="false" customHeight="false" outlineLevel="0" collapsed="false">
      <c r="A21" s="5" t="n">
        <v>170</v>
      </c>
      <c r="B21" s="10" t="n">
        <f aca="false">A21/3.6</f>
        <v>47.2222222222222</v>
      </c>
      <c r="C21" s="10" t="n">
        <f aca="false">0.5*rho*Cx*Af*B21^2</f>
        <v>696.576967592593</v>
      </c>
      <c r="D21" s="10" t="n">
        <f aca="false">f0+fs*(A21/100)^2</f>
        <v>0.03412</v>
      </c>
      <c r="E21" s="10" t="n">
        <f aca="false">D21*Gw*COS(ATAN($C$2/100))</f>
        <v>232.628454</v>
      </c>
      <c r="F21" s="10" t="n">
        <f aca="false">D21*Gw*COS(ATAN($D$2/100))</f>
        <v>231.473963231054</v>
      </c>
      <c r="G21" s="10" t="n">
        <f aca="false">D21*Gw*COS(ATAN($E$2/100))</f>
        <v>228.110966608254</v>
      </c>
      <c r="H21" s="10" t="n">
        <f aca="false">D21*Gw*COS(ATAN($F$2/100))</f>
        <v>222.81764793156</v>
      </c>
      <c r="I21" s="10" t="n">
        <f aca="false">Gw*SIN(ATAN($C$2/100))</f>
        <v>0</v>
      </c>
      <c r="J21" s="10" t="n">
        <f aca="false">Gw*SIN(ATAN($D$2/100))</f>
        <v>678.41138109922</v>
      </c>
      <c r="K21" s="10" t="n">
        <f aca="false">Gw*SIN(ATAN($E$2/100))</f>
        <v>1337.11000356538</v>
      </c>
      <c r="L21" s="10" t="n">
        <f aca="false">Gw*SIN(ATAN($F$2/100))</f>
        <v>1959.12351639707</v>
      </c>
      <c r="M21" s="10" t="n">
        <f aca="false">C21+E21+I21</f>
        <v>929.205421592593</v>
      </c>
      <c r="N21" s="10" t="n">
        <f aca="false">C21+F21+J21</f>
        <v>1606.46231192287</v>
      </c>
      <c r="O21" s="10" t="n">
        <f aca="false">C21+G21+K21</f>
        <v>2261.79793776623</v>
      </c>
      <c r="P21" s="10" t="n">
        <f aca="false">C21+H21+L21</f>
        <v>2878.51813192122</v>
      </c>
      <c r="Q21" s="10" t="n">
        <f aca="false">M21*B21/1000</f>
        <v>43.8791449085391</v>
      </c>
    </row>
    <row r="22" customFormat="false" ht="15" hidden="false" customHeight="false" outlineLevel="0" collapsed="false">
      <c r="A22" s="5" t="n">
        <v>180</v>
      </c>
      <c r="B22" s="10" t="n">
        <f aca="false">A22/3.6</f>
        <v>50</v>
      </c>
      <c r="C22" s="10" t="n">
        <f aca="false">0.5*rho*Cx*Af*B22^2</f>
        <v>780.9375</v>
      </c>
      <c r="D22" s="10" t="n">
        <f aca="false">f0+fs*(A22/100)^2</f>
        <v>0.03692</v>
      </c>
      <c r="E22" s="10" t="n">
        <f aca="false">D22*Gw*COS(ATAN($C$2/100))</f>
        <v>251.718714</v>
      </c>
      <c r="F22" s="10" t="n">
        <f aca="false">D22*Gw*COS(ATAN($D$2/100))</f>
        <v>250.469481901832</v>
      </c>
      <c r="G22" s="10" t="n">
        <f aca="false">D22*Gw*COS(ATAN($E$2/100))</f>
        <v>246.83050665817</v>
      </c>
      <c r="H22" s="10" t="n">
        <f aca="false">D22*Gw*COS(ATAN($F$2/100))</f>
        <v>241.102800751265</v>
      </c>
      <c r="I22" s="10" t="n">
        <f aca="false">Gw*SIN(ATAN($C$2/100))</f>
        <v>0</v>
      </c>
      <c r="J22" s="10" t="n">
        <f aca="false">Gw*SIN(ATAN($D$2/100))</f>
        <v>678.41138109922</v>
      </c>
      <c r="K22" s="10" t="n">
        <f aca="false">Gw*SIN(ATAN($E$2/100))</f>
        <v>1337.11000356538</v>
      </c>
      <c r="L22" s="10" t="n">
        <f aca="false">Gw*SIN(ATAN($F$2/100))</f>
        <v>1959.12351639707</v>
      </c>
      <c r="M22" s="10" t="n">
        <f aca="false">C22+E22+I22</f>
        <v>1032.656214</v>
      </c>
      <c r="N22" s="10" t="n">
        <f aca="false">C22+F22+J22</f>
        <v>1709.81836300105</v>
      </c>
      <c r="O22" s="10" t="n">
        <f aca="false">C22+G22+K22</f>
        <v>2364.87801022355</v>
      </c>
      <c r="P22" s="10" t="n">
        <f aca="false">C22+H22+L22</f>
        <v>2981.16381714833</v>
      </c>
      <c r="Q22" s="10" t="n">
        <f aca="false">M22*B22/1000</f>
        <v>51.6328107</v>
      </c>
    </row>
    <row r="23" customFormat="false" ht="15" hidden="false" customHeight="false" outlineLevel="0" collapsed="false">
      <c r="A23" s="5" t="n">
        <v>190</v>
      </c>
      <c r="B23" s="10" t="n">
        <f aca="false">A23/3.6</f>
        <v>52.7777777777778</v>
      </c>
      <c r="C23" s="10" t="n">
        <f aca="false">0.5*rho*Cx*Af*B23^2</f>
        <v>870.118634259259</v>
      </c>
      <c r="D23" s="10" t="n">
        <f aca="false">f0+fs*(A23/100)^2</f>
        <v>0.03988</v>
      </c>
      <c r="E23" s="10" t="n">
        <f aca="false">D23*Gw*COS(ATAN($C$2/100))</f>
        <v>271.899846</v>
      </c>
      <c r="F23" s="10" t="n">
        <f aca="false">D23*Gw*COS(ATAN($D$2/100))</f>
        <v>270.550458782369</v>
      </c>
      <c r="G23" s="10" t="n">
        <f aca="false">D23*Gw*COS(ATAN($E$2/100))</f>
        <v>266.619734710937</v>
      </c>
      <c r="H23" s="10" t="n">
        <f aca="false">D23*Gw*COS(ATAN($F$2/100))</f>
        <v>260.432819446383</v>
      </c>
      <c r="I23" s="10" t="n">
        <f aca="false">Gw*SIN(ATAN($C$2/100))</f>
        <v>0</v>
      </c>
      <c r="J23" s="10" t="n">
        <f aca="false">Gw*SIN(ATAN($D$2/100))</f>
        <v>678.41138109922</v>
      </c>
      <c r="K23" s="10" t="n">
        <f aca="false">Gw*SIN(ATAN($E$2/100))</f>
        <v>1337.11000356538</v>
      </c>
      <c r="L23" s="10" t="n">
        <f aca="false">Gw*SIN(ATAN($F$2/100))</f>
        <v>1959.12351639707</v>
      </c>
      <c r="M23" s="10" t="n">
        <f aca="false">C23+E23+I23</f>
        <v>1142.01848025926</v>
      </c>
      <c r="N23" s="10" t="n">
        <f aca="false">C23+F23+J23</f>
        <v>1819.08047414085</v>
      </c>
      <c r="O23" s="10" t="n">
        <f aca="false">C23+G23+K23</f>
        <v>2473.84837253558</v>
      </c>
      <c r="P23" s="10" t="n">
        <f aca="false">C23+H23+L23</f>
        <v>3089.67497010271</v>
      </c>
      <c r="Q23" s="10" t="n">
        <f aca="false">M23*B23/1000</f>
        <v>60.2731975692387</v>
      </c>
    </row>
    <row r="24" customFormat="false" ht="15" hidden="false" customHeight="false" outlineLevel="0" collapsed="false">
      <c r="A24" s="5" t="n">
        <v>200</v>
      </c>
      <c r="B24" s="10" t="n">
        <f aca="false">A24/3.6</f>
        <v>55.5555555555556</v>
      </c>
      <c r="C24" s="10" t="n">
        <f aca="false">0.5*rho*Cx*Af*B24^2</f>
        <v>964.12037037037</v>
      </c>
      <c r="D24" s="10" t="n">
        <f aca="false">f0+fs*(A24/100)^2</f>
        <v>0.043</v>
      </c>
      <c r="E24" s="10" t="n">
        <f aca="false">D24*Gw*COS(ATAN($C$2/100))</f>
        <v>293.17185</v>
      </c>
      <c r="F24" s="10" t="n">
        <f aca="false">D24*Gw*COS(ATAN($D$2/100))</f>
        <v>291.716893872664</v>
      </c>
      <c r="G24" s="10" t="n">
        <f aca="false">D24*Gw*COS(ATAN($E$2/100))</f>
        <v>287.478650766557</v>
      </c>
      <c r="H24" s="10" t="n">
        <f aca="false">D24*Gw*COS(ATAN($F$2/100))</f>
        <v>280.807704016913</v>
      </c>
      <c r="I24" s="10" t="n">
        <f aca="false">Gw*SIN(ATAN($C$2/100))</f>
        <v>0</v>
      </c>
      <c r="J24" s="10" t="n">
        <f aca="false">Gw*SIN(ATAN($D$2/100))</f>
        <v>678.41138109922</v>
      </c>
      <c r="K24" s="10" t="n">
        <f aca="false">Gw*SIN(ATAN($E$2/100))</f>
        <v>1337.11000356538</v>
      </c>
      <c r="L24" s="10" t="n">
        <f aca="false">Gw*SIN(ATAN($F$2/100))</f>
        <v>1959.12351639707</v>
      </c>
      <c r="M24" s="10" t="n">
        <f aca="false">C24+E24+I24</f>
        <v>1257.29222037037</v>
      </c>
      <c r="N24" s="10" t="n">
        <f aca="false">C24+F24+J24</f>
        <v>1934.24864534225</v>
      </c>
      <c r="O24" s="10" t="n">
        <f aca="false">C24+G24+K24</f>
        <v>2588.70902470231</v>
      </c>
      <c r="P24" s="10" t="n">
        <f aca="false">C24+H24+L24</f>
        <v>3204.05159078435</v>
      </c>
      <c r="Q24" s="10" t="n">
        <f aca="false">M24*B24/1000</f>
        <v>69.8495677983539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7"/>
  </cols>
  <sheetData>
    <row r="1" customFormat="false" ht="15" hidden="false" customHeight="false" outlineLevel="0" collapsed="false">
      <c r="A1" s="7" t="s">
        <v>186</v>
      </c>
    </row>
    <row r="2" customFormat="false" ht="41.75" hidden="false" customHeight="false" outlineLevel="0" collapsed="false">
      <c r="A2" s="4" t="s">
        <v>187</v>
      </c>
      <c r="B2" s="4" t="s">
        <v>188</v>
      </c>
      <c r="C2" s="4" t="s">
        <v>189</v>
      </c>
      <c r="D2" s="4" t="s">
        <v>190</v>
      </c>
      <c r="E2" s="4" t="s">
        <v>191</v>
      </c>
      <c r="F2" s="4" t="s">
        <v>192</v>
      </c>
      <c r="G2" s="4" t="s">
        <v>193</v>
      </c>
      <c r="H2" s="4" t="s">
        <v>194</v>
      </c>
      <c r="I2" s="4" t="s">
        <v>195</v>
      </c>
      <c r="J2" s="4" t="s">
        <v>196</v>
      </c>
    </row>
    <row r="3" customFormat="false" ht="15" hidden="false" customHeight="false" outlineLevel="0" collapsed="false">
      <c r="A3" s="0" t="n">
        <v>1</v>
      </c>
      <c r="B3" s="11" t="n">
        <f aca="false">IF(A3&lt;=Q,i1*kg^(A3-1),"")</f>
        <v>7.52124587218357</v>
      </c>
      <c r="C3" s="11" t="n">
        <f aca="false">IF(A3&lt;=Q,B3/igr,"")</f>
        <v>1.88031146804589</v>
      </c>
      <c r="D3" s="11" t="n">
        <f aca="false">IF(A3&lt;Q,B3/B4,"")</f>
        <v>1.30683111015471</v>
      </c>
      <c r="E3" s="11" t="n">
        <f aca="false">IF(A3&lt;=Q,0.377*rc*nT/B3,"")</f>
        <v>49.6330515374606</v>
      </c>
      <c r="F3" s="11" t="n">
        <f aca="false">IF(A3&lt;=Q,0.377*rc*nP/B3,"")</f>
        <v>80.6537087483735</v>
      </c>
      <c r="G3" s="11" t="n">
        <f aca="false">IF(A3&lt;=Q,Tmax*B3*eta/rc,"")</f>
        <v>3463.6596919746</v>
      </c>
      <c r="H3" s="11" t="n">
        <f aca="false">IF(A3&lt;=Q,Tmax*B3*eta,"")</f>
        <v>857.422029428927</v>
      </c>
      <c r="I3" s="11" t="n">
        <f aca="false">IF(A3&lt;Q,nP*B4/B3,"")</f>
        <v>4973.86383710325</v>
      </c>
      <c r="J3" s="11" t="str">
        <f aca="false">IF(A3&lt;Q,IF(AND(I3&gt;=nT,I3&lt;=nP),"SÍ","NO"),"")</f>
        <v>SÍ</v>
      </c>
    </row>
    <row r="4" customFormat="false" ht="15" hidden="false" customHeight="false" outlineLevel="0" collapsed="false">
      <c r="A4" s="0" t="n">
        <v>2</v>
      </c>
      <c r="B4" s="11" t="n">
        <f aca="false">IF(A4&lt;=Q,i1*kg^(A4-1),"")</f>
        <v>5.75533120824861</v>
      </c>
      <c r="C4" s="11" t="n">
        <f aca="false">IF(A4&lt;=Q,B4/igr,"")</f>
        <v>1.43883280206215</v>
      </c>
      <c r="D4" s="11" t="n">
        <f aca="false">IF(A4&lt;Q,B4/B5,"")</f>
        <v>1.30683111015471</v>
      </c>
      <c r="E4" s="11" t="n">
        <f aca="false">IF(A4&lt;=Q,0.377*rc*nT/B4,"")</f>
        <v>64.8620158410656</v>
      </c>
      <c r="F4" s="11" t="n">
        <f aca="false">IF(A4&lt;=Q,0.377*rc*nP/B4,"")</f>
        <v>105.400775741732</v>
      </c>
      <c r="G4" s="11" t="n">
        <f aca="false">IF(A4&lt;=Q,Tmax*B4*eta/rc,"")</f>
        <v>2650.42641322225</v>
      </c>
      <c r="H4" s="11" t="n">
        <f aca="false">IF(A4&lt;=Q,Tmax*B4*eta,"")</f>
        <v>656.107757740341</v>
      </c>
      <c r="I4" s="11" t="n">
        <f aca="false">IF(A4&lt;Q,nP*B5/B4,"")</f>
        <v>4973.86383710325</v>
      </c>
      <c r="J4" s="11" t="str">
        <f aca="false">IF(A4&lt;Q,IF(AND(I4&gt;=nT,I4&lt;=nP),"SÍ","NO"),"")</f>
        <v>SÍ</v>
      </c>
    </row>
    <row r="5" customFormat="false" ht="15" hidden="false" customHeight="false" outlineLevel="0" collapsed="false">
      <c r="A5" s="0" t="n">
        <v>3</v>
      </c>
      <c r="B5" s="11" t="n">
        <f aca="false">IF(A5&lt;=Q,i1*kg^(A5-1),"")</f>
        <v>4.40403596419377</v>
      </c>
      <c r="C5" s="11" t="n">
        <f aca="false">IF(A5&lt;=Q,B5/igr,"")</f>
        <v>1.10100899104844</v>
      </c>
      <c r="D5" s="11" t="n">
        <f aca="false">IF(A5&lt;Q,B5/B6,"")</f>
        <v>1.30683111015471</v>
      </c>
      <c r="E5" s="11" t="n">
        <f aca="false">IF(A5&lt;=Q,0.377*rc*nT/B5,"")</f>
        <v>84.7637001684521</v>
      </c>
      <c r="F5" s="11" t="n">
        <f aca="false">IF(A5&lt;=Q,0.377*rc*nP/B5,"")</f>
        <v>137.741012773735</v>
      </c>
      <c r="G5" s="11" t="n">
        <f aca="false">IF(A5&lt;=Q,Tmax*B5*eta/rc,"")</f>
        <v>2028.13232148145</v>
      </c>
      <c r="H5" s="11" t="n">
        <f aca="false">IF(A5&lt;=Q,Tmax*B5*eta,"")</f>
        <v>502.060099918089</v>
      </c>
      <c r="I5" s="11" t="n">
        <f aca="false">IF(A5&lt;Q,nP*B6/B5,"")</f>
        <v>4973.86383710325</v>
      </c>
      <c r="J5" s="11" t="str">
        <f aca="false">IF(A5&lt;Q,IF(AND(I5&gt;=nT,I5&lt;=nP),"SÍ","NO"),"")</f>
        <v>SÍ</v>
      </c>
    </row>
    <row r="6" customFormat="false" ht="15" hidden="false" customHeight="false" outlineLevel="0" collapsed="false">
      <c r="A6" s="0" t="n">
        <v>4</v>
      </c>
      <c r="B6" s="11" t="n">
        <f aca="false">IF(A6&lt;=Q,i1*kg^(A6-1),"")</f>
        <v>3.370011572247</v>
      </c>
      <c r="C6" s="11" t="n">
        <f aca="false">IF(A6&lt;=Q,B6/igr,"")</f>
        <v>0.84250289306175</v>
      </c>
      <c r="D6" s="11" t="str">
        <f aca="false">IF(A6&lt;Q,B6/B7,"")</f>
        <v/>
      </c>
      <c r="E6" s="11" t="n">
        <f aca="false">IF(A6&lt;=Q,0.377*rc*nT/B6,"")</f>
        <v>110.771840391959</v>
      </c>
      <c r="F6" s="11" t="n">
        <f aca="false">IF(A6&lt;=Q,0.377*rc*nP/B6,"")</f>
        <v>180.004240636934</v>
      </c>
      <c r="G6" s="11" t="n">
        <f aca="false">IF(A6&lt;=Q,Tmax*B6*eta/rc,"")</f>
        <v>1551.94677087336</v>
      </c>
      <c r="H6" s="11" t="n">
        <f aca="false">IF(A6&lt;=Q,Tmax*B6*eta,"")</f>
        <v>384.181319236158</v>
      </c>
      <c r="I6" s="11" t="str">
        <f aca="false">IF(A6&lt;Q,nP*B7/B6,"")</f>
        <v/>
      </c>
      <c r="J6" s="11" t="str">
        <f aca="false">IF(A6&lt;Q,IF(AND(I6&gt;=nT,I6&lt;=nP),"SÍ","NO"),"")</f>
        <v/>
      </c>
    </row>
    <row r="7" customFormat="false" ht="15" hidden="false" customHeight="false" outlineLevel="0" collapsed="false">
      <c r="A7" s="0" t="n">
        <v>5</v>
      </c>
      <c r="B7" s="11" t="str">
        <f aca="false">IF(A7&lt;=Q,i1*kg^(A7-1),"")</f>
        <v/>
      </c>
      <c r="C7" s="11" t="str">
        <f aca="false">IF(A7&lt;=Q,B7/igr,"")</f>
        <v/>
      </c>
      <c r="D7" s="11" t="str">
        <f aca="false">IF(A7&lt;Q,B7/B8,"")</f>
        <v/>
      </c>
      <c r="E7" s="11" t="str">
        <f aca="false">IF(A7&lt;=Q,0.377*rc*nT/B7,"")</f>
        <v/>
      </c>
      <c r="F7" s="11" t="str">
        <f aca="false">IF(A7&lt;=Q,0.377*rc*nP/B7,"")</f>
        <v/>
      </c>
      <c r="G7" s="11" t="str">
        <f aca="false">IF(A7&lt;=Q,Tmax*B7*eta/rc,"")</f>
        <v/>
      </c>
      <c r="H7" s="11" t="str">
        <f aca="false">IF(A7&lt;=Q,Tmax*B7*eta,"")</f>
        <v/>
      </c>
      <c r="I7" s="11" t="str">
        <f aca="false">IF(A7&lt;Q,nP*B8/B7,"")</f>
        <v/>
      </c>
      <c r="J7" s="11" t="str">
        <f aca="false">IF(A7&lt;Q,IF(AND(I7&gt;=nT,I7&lt;=nP),"SÍ","NO"),"")</f>
        <v/>
      </c>
    </row>
    <row r="8" customFormat="false" ht="15" hidden="false" customHeight="false" outlineLevel="0" collapsed="false">
      <c r="A8" s="0" t="n">
        <v>6</v>
      </c>
      <c r="B8" s="11" t="str">
        <f aca="false">IF(A8&lt;=Q,i1*kg^(A8-1),"")</f>
        <v/>
      </c>
      <c r="C8" s="11" t="str">
        <f aca="false">IF(A8&lt;=Q,B8/igr,"")</f>
        <v/>
      </c>
      <c r="D8" s="11" t="str">
        <f aca="false">IF(A8&lt;Q,B8/B9,"")</f>
        <v/>
      </c>
      <c r="E8" s="11" t="str">
        <f aca="false">IF(A8&lt;=Q,0.377*rc*nT/B8,"")</f>
        <v/>
      </c>
      <c r="F8" s="11" t="str">
        <f aca="false">IF(A8&lt;=Q,0.377*rc*nP/B8,"")</f>
        <v/>
      </c>
      <c r="G8" s="11" t="str">
        <f aca="false">IF(A8&lt;=Q,Tmax*B8*eta/rc,"")</f>
        <v/>
      </c>
      <c r="H8" s="11" t="str">
        <f aca="false">IF(A8&lt;=Q,Tmax*B8*eta,"")</f>
        <v/>
      </c>
      <c r="I8" s="11" t="str">
        <f aca="false">IF(A8&lt;Q,nP*B9/B8,"")</f>
        <v/>
      </c>
      <c r="J8" s="11" t="str">
        <f aca="false">IF(A8&lt;Q,IF(AND(I8&gt;=nT,I8&lt;=nP),"SÍ","NO"),"")</f>
        <v/>
      </c>
    </row>
    <row r="11" customFormat="false" ht="15" hidden="false" customHeight="false" outlineLevel="0" collapsed="false">
      <c r="A11" s="0" t="s">
        <v>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198</v>
      </c>
    </row>
    <row r="2" customFormat="false" ht="28.35" hidden="false" customHeight="false" outlineLevel="0" collapsed="false">
      <c r="A2" s="4" t="s">
        <v>158</v>
      </c>
      <c r="B2" s="4" t="s">
        <v>199</v>
      </c>
      <c r="C2" s="4" t="s">
        <v>200</v>
      </c>
      <c r="D2" s="4" t="s">
        <v>201</v>
      </c>
      <c r="E2" s="4" t="s">
        <v>202</v>
      </c>
      <c r="F2" s="4" t="s">
        <v>203</v>
      </c>
      <c r="G2" s="4" t="s">
        <v>204</v>
      </c>
    </row>
    <row r="3" customFormat="false" ht="15" hidden="false" customHeight="false" outlineLevel="0" collapsed="false">
      <c r="A3" s="5" t="n">
        <v>0</v>
      </c>
      <c r="B3" s="10" t="n">
        <f aca="false">0.377*rc*A3/4_Relaciones!$B$3</f>
        <v>0</v>
      </c>
      <c r="C3" s="10" t="n">
        <f aca="false">0.377*rc*A3/4_Relaciones!$B$4</f>
        <v>0</v>
      </c>
      <c r="D3" s="10" t="n">
        <f aca="false">0.377*rc*A3/4_Relaciones!$B$5</f>
        <v>0</v>
      </c>
      <c r="E3" s="10" t="n">
        <f aca="false">0.377*rc*A3/4_Relaciones!$B$6</f>
        <v>0</v>
      </c>
      <c r="F3" s="10" t="str">
        <f aca="false">IF(5&lt;=Q,0.377*rc*A3/4_Relaciones!$B$7,"")</f>
        <v/>
      </c>
      <c r="G3" s="10" t="str">
        <f aca="false">IF(6&lt;=Q,0.377*rc*A3/4_Relaciones!$B$8,"")</f>
        <v/>
      </c>
    </row>
    <row r="4" customFormat="false" ht="15" hidden="false" customHeight="false" outlineLevel="0" collapsed="false">
      <c r="A4" s="5" t="n">
        <v>500</v>
      </c>
      <c r="B4" s="10" t="n">
        <f aca="false">0.377*rc*A4/4_Relaciones!$B$3</f>
        <v>6.20413144218257</v>
      </c>
      <c r="C4" s="10" t="n">
        <f aca="false">0.377*rc*A4/4_Relaciones!$B$4</f>
        <v>8.1077519801332</v>
      </c>
      <c r="D4" s="10" t="n">
        <f aca="false">0.377*rc*A4/4_Relaciones!$B$5</f>
        <v>10.5954625210565</v>
      </c>
      <c r="E4" s="10" t="n">
        <f aca="false">0.377*rc*A4/4_Relaciones!$B$6</f>
        <v>13.8464800489949</v>
      </c>
      <c r="F4" s="10" t="str">
        <f aca="false">IF(5&lt;=Q,0.377*rc*A4/4_Relaciones!$B$7,"")</f>
        <v/>
      </c>
      <c r="G4" s="10" t="str">
        <f aca="false">IF(6&lt;=Q,0.377*rc*A4/4_Relaciones!$B$8,"")</f>
        <v/>
      </c>
    </row>
    <row r="5" customFormat="false" ht="15" hidden="false" customHeight="false" outlineLevel="0" collapsed="false">
      <c r="A5" s="5" t="n">
        <v>1000</v>
      </c>
      <c r="B5" s="10" t="n">
        <f aca="false">0.377*rc*A5/4_Relaciones!$B$3</f>
        <v>12.4082628843651</v>
      </c>
      <c r="C5" s="10" t="n">
        <f aca="false">0.377*rc*A5/4_Relaciones!$B$4</f>
        <v>16.2155039602664</v>
      </c>
      <c r="D5" s="10" t="n">
        <f aca="false">0.377*rc*A5/4_Relaciones!$B$5</f>
        <v>21.190925042113</v>
      </c>
      <c r="E5" s="10" t="n">
        <f aca="false">0.377*rc*A5/4_Relaciones!$B$6</f>
        <v>27.6929600979898</v>
      </c>
      <c r="F5" s="10" t="str">
        <f aca="false">IF(5&lt;=Q,0.377*rc*A5/4_Relaciones!$B$7,"")</f>
        <v/>
      </c>
      <c r="G5" s="10" t="str">
        <f aca="false">IF(6&lt;=Q,0.377*rc*A5/4_Relaciones!$B$8,"")</f>
        <v/>
      </c>
    </row>
    <row r="6" customFormat="false" ht="15" hidden="false" customHeight="false" outlineLevel="0" collapsed="false">
      <c r="A6" s="5" t="n">
        <v>1500</v>
      </c>
      <c r="B6" s="10" t="n">
        <f aca="false">0.377*rc*A6/4_Relaciones!$B$3</f>
        <v>18.6123943265477</v>
      </c>
      <c r="C6" s="10" t="n">
        <f aca="false">0.377*rc*A6/4_Relaciones!$B$4</f>
        <v>24.3232559403996</v>
      </c>
      <c r="D6" s="10" t="n">
        <f aca="false">0.377*rc*A6/4_Relaciones!$B$5</f>
        <v>31.7863875631695</v>
      </c>
      <c r="E6" s="10" t="n">
        <f aca="false">0.377*rc*A6/4_Relaciones!$B$6</f>
        <v>41.5394401469847</v>
      </c>
      <c r="F6" s="10" t="str">
        <f aca="false">IF(5&lt;=Q,0.377*rc*A6/4_Relaciones!$B$7,"")</f>
        <v/>
      </c>
      <c r="G6" s="10" t="str">
        <f aca="false">IF(6&lt;=Q,0.377*rc*A6/4_Relaciones!$B$8,"")</f>
        <v/>
      </c>
    </row>
    <row r="7" customFormat="false" ht="15" hidden="false" customHeight="false" outlineLevel="0" collapsed="false">
      <c r="A7" s="5" t="n">
        <v>2000</v>
      </c>
      <c r="B7" s="10" t="n">
        <f aca="false">0.377*rc*A7/4_Relaciones!$B$3</f>
        <v>24.8165257687303</v>
      </c>
      <c r="C7" s="10" t="n">
        <f aca="false">0.377*rc*A7/4_Relaciones!$B$4</f>
        <v>32.4310079205328</v>
      </c>
      <c r="D7" s="10" t="n">
        <f aca="false">0.377*rc*A7/4_Relaciones!$B$5</f>
        <v>42.381850084226</v>
      </c>
      <c r="E7" s="10" t="n">
        <f aca="false">0.377*rc*A7/4_Relaciones!$B$6</f>
        <v>55.3859201959796</v>
      </c>
      <c r="F7" s="10" t="str">
        <f aca="false">IF(5&lt;=Q,0.377*rc*A7/4_Relaciones!$B$7,"")</f>
        <v/>
      </c>
      <c r="G7" s="10" t="str">
        <f aca="false">IF(6&lt;=Q,0.377*rc*A7/4_Relaciones!$B$8,"")</f>
        <v/>
      </c>
    </row>
    <row r="8" customFormat="false" ht="15" hidden="false" customHeight="false" outlineLevel="0" collapsed="false">
      <c r="A8" s="5" t="n">
        <v>2500</v>
      </c>
      <c r="B8" s="10" t="n">
        <f aca="false">0.377*rc*A8/4_Relaciones!$B$3</f>
        <v>31.0206572109129</v>
      </c>
      <c r="C8" s="10" t="n">
        <f aca="false">0.377*rc*A8/4_Relaciones!$B$4</f>
        <v>40.538759900666</v>
      </c>
      <c r="D8" s="10" t="n">
        <f aca="false">0.377*rc*A8/4_Relaciones!$B$5</f>
        <v>52.9773126052825</v>
      </c>
      <c r="E8" s="10" t="n">
        <f aca="false">0.377*rc*A8/4_Relaciones!$B$6</f>
        <v>69.2324002449745</v>
      </c>
      <c r="F8" s="10" t="str">
        <f aca="false">IF(5&lt;=Q,0.377*rc*A8/4_Relaciones!$B$7,"")</f>
        <v/>
      </c>
      <c r="G8" s="10" t="str">
        <f aca="false">IF(6&lt;=Q,0.377*rc*A8/4_Relaciones!$B$8,"")</f>
        <v/>
      </c>
    </row>
    <row r="9" customFormat="false" ht="15" hidden="false" customHeight="false" outlineLevel="0" collapsed="false">
      <c r="A9" s="5" t="n">
        <v>3000</v>
      </c>
      <c r="B9" s="10" t="n">
        <f aca="false">0.377*rc*A9/4_Relaciones!$B$3</f>
        <v>37.2247886530955</v>
      </c>
      <c r="C9" s="10" t="n">
        <f aca="false">0.377*rc*A9/4_Relaciones!$B$4</f>
        <v>48.6465118807992</v>
      </c>
      <c r="D9" s="10" t="n">
        <f aca="false">0.377*rc*A9/4_Relaciones!$B$5</f>
        <v>63.572775126339</v>
      </c>
      <c r="E9" s="10" t="n">
        <f aca="false">0.377*rc*A9/4_Relaciones!$B$6</f>
        <v>83.0788802939694</v>
      </c>
      <c r="F9" s="10" t="str">
        <f aca="false">IF(5&lt;=Q,0.377*rc*A9/4_Relaciones!$B$7,"")</f>
        <v/>
      </c>
      <c r="G9" s="10" t="str">
        <f aca="false">IF(6&lt;=Q,0.377*rc*A9/4_Relaciones!$B$8,"")</f>
        <v/>
      </c>
    </row>
    <row r="10" customFormat="false" ht="15" hidden="false" customHeight="false" outlineLevel="0" collapsed="false">
      <c r="A10" s="5" t="n">
        <v>3500</v>
      </c>
      <c r="B10" s="10" t="n">
        <f aca="false">0.377*rc*A10/4_Relaciones!$B$3</f>
        <v>43.428920095278</v>
      </c>
      <c r="C10" s="10" t="n">
        <f aca="false">0.377*rc*A10/4_Relaciones!$B$4</f>
        <v>56.7542638609324</v>
      </c>
      <c r="D10" s="10" t="n">
        <f aca="false">0.377*rc*A10/4_Relaciones!$B$5</f>
        <v>74.1682376473956</v>
      </c>
      <c r="E10" s="10" t="n">
        <f aca="false">0.377*rc*A10/4_Relaciones!$B$6</f>
        <v>96.9253603429643</v>
      </c>
      <c r="F10" s="10" t="str">
        <f aca="false">IF(5&lt;=Q,0.377*rc*A10/4_Relaciones!$B$7,"")</f>
        <v/>
      </c>
      <c r="G10" s="10" t="str">
        <f aca="false">IF(6&lt;=Q,0.377*rc*A10/4_Relaciones!$B$8,"")</f>
        <v/>
      </c>
    </row>
    <row r="11" customFormat="false" ht="15" hidden="false" customHeight="false" outlineLevel="0" collapsed="false">
      <c r="A11" s="5" t="n">
        <v>4000</v>
      </c>
      <c r="B11" s="10" t="n">
        <f aca="false">0.377*rc*A11/4_Relaciones!$B$3</f>
        <v>49.6330515374606</v>
      </c>
      <c r="C11" s="10" t="n">
        <f aca="false">0.377*rc*A11/4_Relaciones!$B$4</f>
        <v>64.8620158410656</v>
      </c>
      <c r="D11" s="10" t="n">
        <f aca="false">0.377*rc*A11/4_Relaciones!$B$5</f>
        <v>84.7637001684521</v>
      </c>
      <c r="E11" s="10" t="n">
        <f aca="false">0.377*rc*A11/4_Relaciones!$B$6</f>
        <v>110.771840391959</v>
      </c>
      <c r="F11" s="10" t="str">
        <f aca="false">IF(5&lt;=Q,0.377*rc*A11/4_Relaciones!$B$7,"")</f>
        <v/>
      </c>
      <c r="G11" s="10" t="str">
        <f aca="false">IF(6&lt;=Q,0.377*rc*A11/4_Relaciones!$B$8,"")</f>
        <v/>
      </c>
    </row>
    <row r="12" customFormat="false" ht="15" hidden="false" customHeight="false" outlineLevel="0" collapsed="false">
      <c r="A12" s="5" t="n">
        <v>4500</v>
      </c>
      <c r="B12" s="10" t="n">
        <f aca="false">0.377*rc*A12/4_Relaciones!$B$3</f>
        <v>55.8371829796432</v>
      </c>
      <c r="C12" s="10" t="n">
        <f aca="false">0.377*rc*A12/4_Relaciones!$B$4</f>
        <v>72.9697678211987</v>
      </c>
      <c r="D12" s="10" t="n">
        <f aca="false">0.377*rc*A12/4_Relaciones!$B$5</f>
        <v>95.3591626895086</v>
      </c>
      <c r="E12" s="10" t="n">
        <f aca="false">0.377*rc*A12/4_Relaciones!$B$6</f>
        <v>124.618320440954</v>
      </c>
      <c r="F12" s="10" t="str">
        <f aca="false">IF(5&lt;=Q,0.377*rc*A12/4_Relaciones!$B$7,"")</f>
        <v/>
      </c>
      <c r="G12" s="10" t="str">
        <f aca="false">IF(6&lt;=Q,0.377*rc*A12/4_Relaciones!$B$8,"")</f>
        <v/>
      </c>
    </row>
    <row r="13" customFormat="false" ht="15" hidden="false" customHeight="false" outlineLevel="0" collapsed="false">
      <c r="A13" s="5" t="n">
        <v>5000</v>
      </c>
      <c r="B13" s="10" t="n">
        <f aca="false">0.377*rc*A13/4_Relaciones!$B$3</f>
        <v>62.0413144218258</v>
      </c>
      <c r="C13" s="10" t="n">
        <f aca="false">0.377*rc*A13/4_Relaciones!$B$4</f>
        <v>81.077519801332</v>
      </c>
      <c r="D13" s="10" t="n">
        <f aca="false">0.377*rc*A13/4_Relaciones!$B$5</f>
        <v>105.954625210565</v>
      </c>
      <c r="E13" s="10" t="n">
        <f aca="false">0.377*rc*A13/4_Relaciones!$B$6</f>
        <v>138.464800489949</v>
      </c>
      <c r="F13" s="10" t="str">
        <f aca="false">IF(5&lt;=Q,0.377*rc*A13/4_Relaciones!$B$7,"")</f>
        <v/>
      </c>
      <c r="G13" s="10" t="str">
        <f aca="false">IF(6&lt;=Q,0.377*rc*A13/4_Relaciones!$B$8,"")</f>
        <v/>
      </c>
    </row>
    <row r="14" customFormat="false" ht="15" hidden="false" customHeight="false" outlineLevel="0" collapsed="false">
      <c r="A14" s="5" t="n">
        <v>5500</v>
      </c>
      <c r="B14" s="10" t="n">
        <f aca="false">0.377*rc*A14/4_Relaciones!$B$3</f>
        <v>68.2454458640083</v>
      </c>
      <c r="C14" s="10" t="n">
        <f aca="false">0.377*rc*A14/4_Relaciones!$B$4</f>
        <v>89.1852717814651</v>
      </c>
      <c r="D14" s="10" t="n">
        <f aca="false">0.377*rc*A14/4_Relaciones!$B$5</f>
        <v>116.550087731622</v>
      </c>
      <c r="E14" s="10" t="n">
        <f aca="false">0.377*rc*A14/4_Relaciones!$B$6</f>
        <v>152.311280538944</v>
      </c>
      <c r="F14" s="10" t="str">
        <f aca="false">IF(5&lt;=Q,0.377*rc*A14/4_Relaciones!$B$7,"")</f>
        <v/>
      </c>
      <c r="G14" s="10" t="str">
        <f aca="false">IF(6&lt;=Q,0.377*rc*A14/4_Relaciones!$B$8,"")</f>
        <v/>
      </c>
    </row>
    <row r="15" customFormat="false" ht="15" hidden="false" customHeight="false" outlineLevel="0" collapsed="false">
      <c r="A15" s="5" t="n">
        <v>6000</v>
      </c>
      <c r="B15" s="10" t="n">
        <f aca="false">0.377*rc*A15/4_Relaciones!$B$3</f>
        <v>74.4495773061909</v>
      </c>
      <c r="C15" s="10" t="n">
        <f aca="false">0.377*rc*A15/4_Relaciones!$B$4</f>
        <v>97.2930237615983</v>
      </c>
      <c r="D15" s="10" t="n">
        <f aca="false">0.377*rc*A15/4_Relaciones!$B$5</f>
        <v>127.145550252678</v>
      </c>
      <c r="E15" s="10" t="n">
        <f aca="false">0.377*rc*A15/4_Relaciones!$B$6</f>
        <v>166.157760587939</v>
      </c>
      <c r="F15" s="10" t="str">
        <f aca="false">IF(5&lt;=Q,0.377*rc*A15/4_Relaciones!$B$7,"")</f>
        <v/>
      </c>
      <c r="G15" s="10" t="str">
        <f aca="false">IF(6&lt;=Q,0.377*rc*A15/4_Relaciones!$B$8,"")</f>
        <v/>
      </c>
    </row>
    <row r="16" customFormat="false" ht="15" hidden="false" customHeight="false" outlineLevel="0" collapsed="false">
      <c r="A16" s="5" t="n">
        <v>6500</v>
      </c>
      <c r="B16" s="10" t="n">
        <f aca="false">0.377*rc*A16/4_Relaciones!$B$3</f>
        <v>80.6537087483735</v>
      </c>
      <c r="C16" s="10" t="n">
        <f aca="false">0.377*rc*A16/4_Relaciones!$B$4</f>
        <v>105.400775741732</v>
      </c>
      <c r="D16" s="10" t="n">
        <f aca="false">0.377*rc*A16/4_Relaciones!$B$5</f>
        <v>137.741012773735</v>
      </c>
      <c r="E16" s="10" t="n">
        <f aca="false">0.377*rc*A16/4_Relaciones!$B$6</f>
        <v>180.004240636934</v>
      </c>
      <c r="F16" s="10" t="str">
        <f aca="false">IF(5&lt;=Q,0.377*rc*A16/4_Relaciones!$B$7,"")</f>
        <v/>
      </c>
      <c r="G16" s="10" t="str">
        <f aca="false">IF(6&lt;=Q,0.377*rc*A16/4_Relaciones!$B$8,"")</f>
        <v/>
      </c>
    </row>
    <row r="18" customFormat="false" ht="15" hidden="false" customHeight="false" outlineLevel="0" collapsed="false">
      <c r="A18" s="0" t="s">
        <v>205</v>
      </c>
    </row>
    <row r="19" customFormat="false" ht="28.35" hidden="false" customHeight="false" outlineLevel="0" collapsed="false">
      <c r="A19" s="4" t="s">
        <v>169</v>
      </c>
      <c r="B19" s="4" t="s">
        <v>206</v>
      </c>
      <c r="C19" s="4" t="s">
        <v>207</v>
      </c>
    </row>
    <row r="20" customFormat="false" ht="15" hidden="false" customHeight="false" outlineLevel="0" collapsed="false">
      <c r="A20" s="0" t="n">
        <v>0</v>
      </c>
      <c r="B20" s="12" t="n">
        <f aca="false">nT</f>
        <v>4000</v>
      </c>
      <c r="C20" s="12" t="n">
        <f aca="false">nP</f>
        <v>6500</v>
      </c>
    </row>
    <row r="21" customFormat="false" ht="15" hidden="false" customHeight="false" outlineLevel="0" collapsed="false">
      <c r="A21" s="0" t="n">
        <f aca="false">Vmax</f>
        <v>180</v>
      </c>
      <c r="B21" s="12" t="n">
        <f aca="false">nT</f>
        <v>4000</v>
      </c>
      <c r="C21" s="12" t="n">
        <f aca="false">nP</f>
        <v>6500</v>
      </c>
    </row>
    <row r="23" customFormat="false" ht="15" hidden="false" customHeight="false" outlineLevel="0" collapsed="false">
      <c r="A23" s="0" t="s">
        <v>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3"/>
  </cols>
  <sheetData>
    <row r="1" customFormat="false" ht="15" hidden="false" customHeight="false" outlineLevel="0" collapsed="false">
      <c r="A1" s="7" t="s">
        <v>209</v>
      </c>
    </row>
    <row r="2" customFormat="false" ht="15" hidden="false" customHeight="false" outlineLevel="0" collapsed="false">
      <c r="A2" s="4" t="s">
        <v>158</v>
      </c>
      <c r="B2" s="4" t="s">
        <v>159</v>
      </c>
      <c r="C2" s="4" t="s">
        <v>199</v>
      </c>
      <c r="D2" s="4" t="s">
        <v>210</v>
      </c>
      <c r="E2" s="4" t="s">
        <v>200</v>
      </c>
      <c r="F2" s="4" t="s">
        <v>211</v>
      </c>
      <c r="G2" s="4" t="s">
        <v>201</v>
      </c>
      <c r="H2" s="4" t="s">
        <v>212</v>
      </c>
      <c r="I2" s="4" t="s">
        <v>202</v>
      </c>
      <c r="J2" s="4" t="s">
        <v>213</v>
      </c>
    </row>
    <row r="3" customFormat="false" ht="15" hidden="false" customHeight="false" outlineLevel="0" collapsed="false">
      <c r="A3" s="10" t="n">
        <f aca="false">2_Curvas_motor!A3</f>
        <v>500</v>
      </c>
      <c r="B3" s="10" t="n">
        <f aca="false">2_Curvas_motor!B3</f>
        <v>100</v>
      </c>
      <c r="C3" s="10" t="n">
        <f aca="false">IF(1&lt;=Q,0.377*rc*A3/4_Relaciones!$B$3,)</f>
        <v>6.20413144218257</v>
      </c>
      <c r="D3" s="10" t="n">
        <f aca="false">IF(1&lt;=Q,B3*4_Relaciones!$B$3*eta/rc,)</f>
        <v>2886.3830766455</v>
      </c>
      <c r="E3" s="10" t="n">
        <f aca="false">IF(2&lt;=Q,0.377*rc*A3/4_Relaciones!$B$4,)</f>
        <v>8.1077519801332</v>
      </c>
      <c r="F3" s="10" t="n">
        <f aca="false">IF(2&lt;=Q,B3*4_Relaciones!$B$4*eta/rc,)</f>
        <v>2208.68867768521</v>
      </c>
      <c r="G3" s="10" t="n">
        <f aca="false">IF(3&lt;=Q,0.377*rc*A3/4_Relaciones!$B$5,)</f>
        <v>10.5954625210565</v>
      </c>
      <c r="H3" s="10" t="n">
        <f aca="false">IF(3&lt;=Q,B3*4_Relaciones!$B$5*eta/rc,)</f>
        <v>1690.11026790121</v>
      </c>
      <c r="I3" s="10" t="n">
        <f aca="false">IF(4&lt;=Q,0.377*rc*A3/4_Relaciones!$B$6,)</f>
        <v>13.8464800489949</v>
      </c>
      <c r="J3" s="10" t="n">
        <f aca="false">IF(4&lt;=Q,B3*4_Relaciones!$B$6*eta/rc,)</f>
        <v>1293.2889757278</v>
      </c>
    </row>
    <row r="4" customFormat="false" ht="15" hidden="false" customHeight="false" outlineLevel="0" collapsed="false">
      <c r="A4" s="10" t="n">
        <f aca="false">2_Curvas_motor!A4</f>
        <v>1000</v>
      </c>
      <c r="B4" s="10" t="n">
        <f aca="false">2_Curvas_motor!B4</f>
        <v>105</v>
      </c>
      <c r="C4" s="10" t="n">
        <f aca="false">IF(1&lt;=Q,0.377*rc*A4/4_Relaciones!$B$3,)</f>
        <v>12.4082628843651</v>
      </c>
      <c r="D4" s="10" t="n">
        <f aca="false">IF(1&lt;=Q,B4*4_Relaciones!$B$3*eta/rc,)</f>
        <v>3030.70223047777</v>
      </c>
      <c r="E4" s="10" t="n">
        <f aca="false">IF(2&lt;=Q,0.377*rc*A4/4_Relaciones!$B$4,)</f>
        <v>16.2155039602664</v>
      </c>
      <c r="F4" s="10" t="n">
        <f aca="false">IF(2&lt;=Q,B4*4_Relaciones!$B$4*eta/rc,)</f>
        <v>2319.12311156947</v>
      </c>
      <c r="G4" s="10" t="n">
        <f aca="false">IF(3&lt;=Q,0.377*rc*A4/4_Relaciones!$B$5,)</f>
        <v>21.190925042113</v>
      </c>
      <c r="H4" s="10" t="n">
        <f aca="false">IF(3&lt;=Q,B4*4_Relaciones!$B$5*eta/rc,)</f>
        <v>1774.61578129627</v>
      </c>
      <c r="I4" s="10" t="n">
        <f aca="false">IF(4&lt;=Q,0.377*rc*A4/4_Relaciones!$B$6,)</f>
        <v>27.6929600979898</v>
      </c>
      <c r="J4" s="10" t="n">
        <f aca="false">IF(4&lt;=Q,B4*4_Relaciones!$B$6*eta/rc,)</f>
        <v>1357.95342451419</v>
      </c>
    </row>
    <row r="5" customFormat="false" ht="15" hidden="false" customHeight="false" outlineLevel="0" collapsed="false">
      <c r="A5" s="10" t="n">
        <f aca="false">2_Curvas_motor!A5</f>
        <v>1500</v>
      </c>
      <c r="B5" s="10" t="n">
        <f aca="false">2_Curvas_motor!B5</f>
        <v>108</v>
      </c>
      <c r="C5" s="10" t="n">
        <f aca="false">IF(1&lt;=Q,0.377*rc*A5/4_Relaciones!$B$3,)</f>
        <v>18.6123943265477</v>
      </c>
      <c r="D5" s="10" t="n">
        <f aca="false">IF(1&lt;=Q,B5*4_Relaciones!$B$3*eta/rc,)</f>
        <v>3117.29372277714</v>
      </c>
      <c r="E5" s="10" t="n">
        <f aca="false">IF(2&lt;=Q,0.377*rc*A5/4_Relaciones!$B$4,)</f>
        <v>24.3232559403996</v>
      </c>
      <c r="F5" s="10" t="n">
        <f aca="false">IF(2&lt;=Q,B5*4_Relaciones!$B$4*eta/rc,)</f>
        <v>2385.38377190002</v>
      </c>
      <c r="G5" s="10" t="n">
        <f aca="false">IF(3&lt;=Q,0.377*rc*A5/4_Relaciones!$B$5,)</f>
        <v>31.7863875631695</v>
      </c>
      <c r="H5" s="10" t="n">
        <f aca="false">IF(3&lt;=Q,B5*4_Relaciones!$B$5*eta/rc,)</f>
        <v>1825.3190893333</v>
      </c>
      <c r="I5" s="10" t="n">
        <f aca="false">IF(4&lt;=Q,0.377*rc*A5/4_Relaciones!$B$6,)</f>
        <v>41.5394401469847</v>
      </c>
      <c r="J5" s="10" t="n">
        <f aca="false">IF(4&lt;=Q,B5*4_Relaciones!$B$6*eta/rc,)</f>
        <v>1396.75209378602</v>
      </c>
    </row>
    <row r="6" customFormat="false" ht="15" hidden="false" customHeight="false" outlineLevel="0" collapsed="false">
      <c r="A6" s="10" t="n">
        <f aca="false">2_Curvas_motor!A6</f>
        <v>2000</v>
      </c>
      <c r="B6" s="10" t="n">
        <f aca="false">2_Curvas_motor!B6</f>
        <v>112</v>
      </c>
      <c r="C6" s="10" t="n">
        <f aca="false">IF(1&lt;=Q,0.377*rc*A6/4_Relaciones!$B$3,)</f>
        <v>24.8165257687303</v>
      </c>
      <c r="D6" s="10" t="n">
        <f aca="false">IF(1&lt;=Q,B6*4_Relaciones!$B$3*eta/rc,)</f>
        <v>3232.74904584296</v>
      </c>
      <c r="E6" s="10" t="n">
        <f aca="false">IF(2&lt;=Q,0.377*rc*A6/4_Relaciones!$B$4,)</f>
        <v>32.4310079205328</v>
      </c>
      <c r="F6" s="10" t="n">
        <f aca="false">IF(2&lt;=Q,B6*4_Relaciones!$B$4*eta/rc,)</f>
        <v>2473.73131900743</v>
      </c>
      <c r="G6" s="10" t="n">
        <f aca="false">IF(3&lt;=Q,0.377*rc*A6/4_Relaciones!$B$5,)</f>
        <v>42.381850084226</v>
      </c>
      <c r="H6" s="10" t="n">
        <f aca="false">IF(3&lt;=Q,B6*4_Relaciones!$B$5*eta/rc,)</f>
        <v>1892.92350004935</v>
      </c>
      <c r="I6" s="10" t="n">
        <f aca="false">IF(4&lt;=Q,0.377*rc*A6/4_Relaciones!$B$6,)</f>
        <v>55.3859201959796</v>
      </c>
      <c r="J6" s="10" t="n">
        <f aca="false">IF(4&lt;=Q,B6*4_Relaciones!$B$6*eta/rc,)</f>
        <v>1448.48365281513</v>
      </c>
    </row>
    <row r="7" customFormat="false" ht="15" hidden="false" customHeight="false" outlineLevel="0" collapsed="false">
      <c r="A7" s="10" t="n">
        <f aca="false">2_Curvas_motor!A7</f>
        <v>2500</v>
      </c>
      <c r="B7" s="10" t="n">
        <f aca="false">2_Curvas_motor!B7</f>
        <v>116</v>
      </c>
      <c r="C7" s="10" t="n">
        <f aca="false">IF(1&lt;=Q,0.377*rc*A7/4_Relaciones!$B$3,)</f>
        <v>31.0206572109129</v>
      </c>
      <c r="D7" s="10" t="n">
        <f aca="false">IF(1&lt;=Q,B7*4_Relaciones!$B$3*eta/rc,)</f>
        <v>3348.20436890878</v>
      </c>
      <c r="E7" s="10" t="n">
        <f aca="false">IF(2&lt;=Q,0.377*rc*A7/4_Relaciones!$B$4,)</f>
        <v>40.538759900666</v>
      </c>
      <c r="F7" s="10" t="n">
        <f aca="false">IF(2&lt;=Q,B7*4_Relaciones!$B$4*eta/rc,)</f>
        <v>2562.07886611484</v>
      </c>
      <c r="G7" s="10" t="n">
        <f aca="false">IF(3&lt;=Q,0.377*rc*A7/4_Relaciones!$B$5,)</f>
        <v>52.9773126052825</v>
      </c>
      <c r="H7" s="10" t="n">
        <f aca="false">IF(3&lt;=Q,B7*4_Relaciones!$B$5*eta/rc,)</f>
        <v>1960.5279107654</v>
      </c>
      <c r="I7" s="10" t="n">
        <f aca="false">IF(4&lt;=Q,0.377*rc*A7/4_Relaciones!$B$6,)</f>
        <v>69.2324002449745</v>
      </c>
      <c r="J7" s="10" t="n">
        <f aca="false">IF(4&lt;=Q,B7*4_Relaciones!$B$6*eta/rc,)</f>
        <v>1500.21521184425</v>
      </c>
    </row>
    <row r="8" customFormat="false" ht="15" hidden="false" customHeight="false" outlineLevel="0" collapsed="false">
      <c r="A8" s="10" t="n">
        <f aca="false">2_Curvas_motor!A8</f>
        <v>3000</v>
      </c>
      <c r="B8" s="10" t="n">
        <f aca="false">2_Curvas_motor!B8</f>
        <v>117</v>
      </c>
      <c r="C8" s="10" t="n">
        <f aca="false">IF(1&lt;=Q,0.377*rc*A8/4_Relaciones!$B$3,)</f>
        <v>37.2247886530955</v>
      </c>
      <c r="D8" s="10" t="n">
        <f aca="false">IF(1&lt;=Q,B8*4_Relaciones!$B$3*eta/rc,)</f>
        <v>3377.06819967523</v>
      </c>
      <c r="E8" s="10" t="n">
        <f aca="false">IF(2&lt;=Q,0.377*rc*A8/4_Relaciones!$B$4,)</f>
        <v>48.6465118807992</v>
      </c>
      <c r="F8" s="10" t="n">
        <f aca="false">IF(2&lt;=Q,B8*4_Relaciones!$B$4*eta/rc,)</f>
        <v>2584.16575289169</v>
      </c>
      <c r="G8" s="10" t="n">
        <f aca="false">IF(3&lt;=Q,0.377*rc*A8/4_Relaciones!$B$5,)</f>
        <v>63.572775126339</v>
      </c>
      <c r="H8" s="10" t="n">
        <f aca="false">IF(3&lt;=Q,B8*4_Relaciones!$B$5*eta/rc,)</f>
        <v>1977.42901344441</v>
      </c>
      <c r="I8" s="10" t="n">
        <f aca="false">IF(4&lt;=Q,0.377*rc*A8/4_Relaciones!$B$6,)</f>
        <v>83.0788802939694</v>
      </c>
      <c r="J8" s="10" t="n">
        <f aca="false">IF(4&lt;=Q,B8*4_Relaciones!$B$6*eta/rc,)</f>
        <v>1513.14810160152</v>
      </c>
    </row>
    <row r="9" customFormat="false" ht="15" hidden="false" customHeight="false" outlineLevel="0" collapsed="false">
      <c r="A9" s="10" t="n">
        <f aca="false">2_Curvas_motor!A9</f>
        <v>3500</v>
      </c>
      <c r="B9" s="10" t="n">
        <f aca="false">2_Curvas_motor!B9</f>
        <v>118</v>
      </c>
      <c r="C9" s="10" t="n">
        <f aca="false">IF(1&lt;=Q,0.377*rc*A9/4_Relaciones!$B$3,)</f>
        <v>43.428920095278</v>
      </c>
      <c r="D9" s="10" t="n">
        <f aca="false">IF(1&lt;=Q,B9*4_Relaciones!$B$3*eta/rc,)</f>
        <v>3405.93203044169</v>
      </c>
      <c r="E9" s="10" t="n">
        <f aca="false">IF(2&lt;=Q,0.377*rc*A9/4_Relaciones!$B$4,)</f>
        <v>56.7542638609324</v>
      </c>
      <c r="F9" s="10" t="n">
        <f aca="false">IF(2&lt;=Q,B9*4_Relaciones!$B$4*eta/rc,)</f>
        <v>2606.25263966854</v>
      </c>
      <c r="G9" s="10" t="n">
        <f aca="false">IF(3&lt;=Q,0.377*rc*A9/4_Relaciones!$B$5,)</f>
        <v>74.1682376473956</v>
      </c>
      <c r="H9" s="10" t="n">
        <f aca="false">IF(3&lt;=Q,B9*4_Relaciones!$B$5*eta/rc,)</f>
        <v>1994.33011612342</v>
      </c>
      <c r="I9" s="10" t="n">
        <f aca="false">IF(4&lt;=Q,0.377*rc*A9/4_Relaciones!$B$6,)</f>
        <v>96.9253603429643</v>
      </c>
      <c r="J9" s="10" t="n">
        <f aca="false">IF(4&lt;=Q,B9*4_Relaciones!$B$6*eta/rc,)</f>
        <v>1526.0809913588</v>
      </c>
    </row>
    <row r="10" customFormat="false" ht="15" hidden="false" customHeight="false" outlineLevel="0" collapsed="false">
      <c r="A10" s="10" t="n">
        <f aca="false">2_Curvas_motor!A10</f>
        <v>4000</v>
      </c>
      <c r="B10" s="10" t="n">
        <f aca="false">2_Curvas_motor!B10</f>
        <v>120</v>
      </c>
      <c r="C10" s="10" t="n">
        <f aca="false">IF(1&lt;=Q,0.377*rc*A10/4_Relaciones!$B$3,)</f>
        <v>49.6330515374606</v>
      </c>
      <c r="D10" s="10" t="n">
        <f aca="false">IF(1&lt;=Q,B10*4_Relaciones!$B$3*eta/rc,)</f>
        <v>3463.6596919746</v>
      </c>
      <c r="E10" s="10" t="n">
        <f aca="false">IF(2&lt;=Q,0.377*rc*A10/4_Relaciones!$B$4,)</f>
        <v>64.8620158410656</v>
      </c>
      <c r="F10" s="10" t="n">
        <f aca="false">IF(2&lt;=Q,B10*4_Relaciones!$B$4*eta/rc,)</f>
        <v>2650.42641322225</v>
      </c>
      <c r="G10" s="10" t="n">
        <f aca="false">IF(3&lt;=Q,0.377*rc*A10/4_Relaciones!$B$5,)</f>
        <v>84.7637001684521</v>
      </c>
      <c r="H10" s="10" t="n">
        <f aca="false">IF(3&lt;=Q,B10*4_Relaciones!$B$5*eta/rc,)</f>
        <v>2028.13232148145</v>
      </c>
      <c r="I10" s="10" t="n">
        <f aca="false">IF(4&lt;=Q,0.377*rc*A10/4_Relaciones!$B$6,)</f>
        <v>110.771840391959</v>
      </c>
      <c r="J10" s="10" t="n">
        <f aca="false">IF(4&lt;=Q,B10*4_Relaciones!$B$6*eta/rc,)</f>
        <v>1551.94677087336</v>
      </c>
    </row>
    <row r="11" customFormat="false" ht="15" hidden="false" customHeight="false" outlineLevel="0" collapsed="false">
      <c r="A11" s="10" t="n">
        <f aca="false">2_Curvas_motor!A11</f>
        <v>4500</v>
      </c>
      <c r="B11" s="10" t="n">
        <f aca="false">2_Curvas_motor!B11</f>
        <v>118</v>
      </c>
      <c r="C11" s="10" t="n">
        <f aca="false">IF(1&lt;=Q,0.377*rc*A11/4_Relaciones!$B$3,)</f>
        <v>55.8371829796432</v>
      </c>
      <c r="D11" s="10" t="n">
        <f aca="false">IF(1&lt;=Q,B11*4_Relaciones!$B$3*eta/rc,)</f>
        <v>3405.93203044169</v>
      </c>
      <c r="E11" s="10" t="n">
        <f aca="false">IF(2&lt;=Q,0.377*rc*A11/4_Relaciones!$B$4,)</f>
        <v>72.9697678211987</v>
      </c>
      <c r="F11" s="10" t="n">
        <f aca="false">IF(2&lt;=Q,B11*4_Relaciones!$B$4*eta/rc,)</f>
        <v>2606.25263966854</v>
      </c>
      <c r="G11" s="10" t="n">
        <f aca="false">IF(3&lt;=Q,0.377*rc*A11/4_Relaciones!$B$5,)</f>
        <v>95.3591626895086</v>
      </c>
      <c r="H11" s="10" t="n">
        <f aca="false">IF(3&lt;=Q,B11*4_Relaciones!$B$5*eta/rc,)</f>
        <v>1994.33011612342</v>
      </c>
      <c r="I11" s="10" t="n">
        <f aca="false">IF(4&lt;=Q,0.377*rc*A11/4_Relaciones!$B$6,)</f>
        <v>124.618320440954</v>
      </c>
      <c r="J11" s="10" t="n">
        <f aca="false">IF(4&lt;=Q,B11*4_Relaciones!$B$6*eta/rc,)</f>
        <v>1526.0809913588</v>
      </c>
    </row>
    <row r="12" customFormat="false" ht="15" hidden="false" customHeight="false" outlineLevel="0" collapsed="false">
      <c r="A12" s="10" t="n">
        <f aca="false">2_Curvas_motor!A12</f>
        <v>5000</v>
      </c>
      <c r="B12" s="10" t="n">
        <f aca="false">2_Curvas_motor!B12</f>
        <v>116</v>
      </c>
      <c r="C12" s="10" t="n">
        <f aca="false">IF(1&lt;=Q,0.377*rc*A12/4_Relaciones!$B$3,)</f>
        <v>62.0413144218258</v>
      </c>
      <c r="D12" s="10" t="n">
        <f aca="false">IF(1&lt;=Q,B12*4_Relaciones!$B$3*eta/rc,)</f>
        <v>3348.20436890878</v>
      </c>
      <c r="E12" s="10" t="n">
        <f aca="false">IF(2&lt;=Q,0.377*rc*A12/4_Relaciones!$B$4,)</f>
        <v>81.077519801332</v>
      </c>
      <c r="F12" s="10" t="n">
        <f aca="false">IF(2&lt;=Q,B12*4_Relaciones!$B$4*eta/rc,)</f>
        <v>2562.07886611484</v>
      </c>
      <c r="G12" s="10" t="n">
        <f aca="false">IF(3&lt;=Q,0.377*rc*A12/4_Relaciones!$B$5,)</f>
        <v>105.954625210565</v>
      </c>
      <c r="H12" s="10" t="n">
        <f aca="false">IF(3&lt;=Q,B12*4_Relaciones!$B$5*eta/rc,)</f>
        <v>1960.5279107654</v>
      </c>
      <c r="I12" s="10" t="n">
        <f aca="false">IF(4&lt;=Q,0.377*rc*A12/4_Relaciones!$B$6,)</f>
        <v>138.464800489949</v>
      </c>
      <c r="J12" s="10" t="n">
        <f aca="false">IF(4&lt;=Q,B12*4_Relaciones!$B$6*eta/rc,)</f>
        <v>1500.21521184425</v>
      </c>
    </row>
    <row r="13" customFormat="false" ht="15" hidden="false" customHeight="false" outlineLevel="0" collapsed="false">
      <c r="A13" s="10" t="n">
        <f aca="false">2_Curvas_motor!A13</f>
        <v>5500</v>
      </c>
      <c r="B13" s="10" t="n">
        <f aca="false">2_Curvas_motor!B13</f>
        <v>112</v>
      </c>
      <c r="C13" s="10" t="n">
        <f aca="false">IF(1&lt;=Q,0.377*rc*A13/4_Relaciones!$B$3,)</f>
        <v>68.2454458640083</v>
      </c>
      <c r="D13" s="10" t="n">
        <f aca="false">IF(1&lt;=Q,B13*4_Relaciones!$B$3*eta/rc,)</f>
        <v>3232.74904584296</v>
      </c>
      <c r="E13" s="10" t="n">
        <f aca="false">IF(2&lt;=Q,0.377*rc*A13/4_Relaciones!$B$4,)</f>
        <v>89.1852717814651</v>
      </c>
      <c r="F13" s="10" t="n">
        <f aca="false">IF(2&lt;=Q,B13*4_Relaciones!$B$4*eta/rc,)</f>
        <v>2473.73131900743</v>
      </c>
      <c r="G13" s="10" t="n">
        <f aca="false">IF(3&lt;=Q,0.377*rc*A13/4_Relaciones!$B$5,)</f>
        <v>116.550087731622</v>
      </c>
      <c r="H13" s="10" t="n">
        <f aca="false">IF(3&lt;=Q,B13*4_Relaciones!$B$5*eta/rc,)</f>
        <v>1892.92350004935</v>
      </c>
      <c r="I13" s="10" t="n">
        <f aca="false">IF(4&lt;=Q,0.377*rc*A13/4_Relaciones!$B$6,)</f>
        <v>152.311280538944</v>
      </c>
      <c r="J13" s="10" t="n">
        <f aca="false">IF(4&lt;=Q,B13*4_Relaciones!$B$6*eta/rc,)</f>
        <v>1448.48365281513</v>
      </c>
    </row>
    <row r="14" customFormat="false" ht="15" hidden="false" customHeight="false" outlineLevel="0" collapsed="false">
      <c r="A14" s="10" t="n">
        <f aca="false">2_Curvas_motor!A14</f>
        <v>6000</v>
      </c>
      <c r="B14" s="10" t="n">
        <f aca="false">2_Curvas_motor!B14</f>
        <v>108</v>
      </c>
      <c r="C14" s="10" t="n">
        <f aca="false">IF(1&lt;=Q,0.377*rc*A14/4_Relaciones!$B$3,)</f>
        <v>74.4495773061909</v>
      </c>
      <c r="D14" s="10" t="n">
        <f aca="false">IF(1&lt;=Q,B14*4_Relaciones!$B$3*eta/rc,)</f>
        <v>3117.29372277714</v>
      </c>
      <c r="E14" s="10" t="n">
        <f aca="false">IF(2&lt;=Q,0.377*rc*A14/4_Relaciones!$B$4,)</f>
        <v>97.2930237615983</v>
      </c>
      <c r="F14" s="10" t="n">
        <f aca="false">IF(2&lt;=Q,B14*4_Relaciones!$B$4*eta/rc,)</f>
        <v>2385.38377190002</v>
      </c>
      <c r="G14" s="10" t="n">
        <f aca="false">IF(3&lt;=Q,0.377*rc*A14/4_Relaciones!$B$5,)</f>
        <v>127.145550252678</v>
      </c>
      <c r="H14" s="10" t="n">
        <f aca="false">IF(3&lt;=Q,B14*4_Relaciones!$B$5*eta/rc,)</f>
        <v>1825.3190893333</v>
      </c>
      <c r="I14" s="10" t="n">
        <f aca="false">IF(4&lt;=Q,0.377*rc*A14/4_Relaciones!$B$6,)</f>
        <v>166.157760587939</v>
      </c>
      <c r="J14" s="10" t="n">
        <f aca="false">IF(4&lt;=Q,B14*4_Relaciones!$B$6*eta/rc,)</f>
        <v>1396.75209378602</v>
      </c>
    </row>
    <row r="15" customFormat="false" ht="15" hidden="false" customHeight="false" outlineLevel="0" collapsed="false">
      <c r="A15" s="10" t="n">
        <f aca="false">2_Curvas_motor!A15</f>
        <v>6500</v>
      </c>
      <c r="B15" s="10" t="n">
        <f aca="false">2_Curvas_motor!B15</f>
        <v>100</v>
      </c>
      <c r="C15" s="10" t="n">
        <f aca="false">IF(1&lt;=Q,0.377*rc*A15/4_Relaciones!$B$3,)</f>
        <v>80.6537087483735</v>
      </c>
      <c r="D15" s="10" t="n">
        <f aca="false">IF(1&lt;=Q,B15*4_Relaciones!$B$3*eta/rc,)</f>
        <v>2886.3830766455</v>
      </c>
      <c r="E15" s="10" t="n">
        <f aca="false">IF(2&lt;=Q,0.377*rc*A15/4_Relaciones!$B$4,)</f>
        <v>105.400775741732</v>
      </c>
      <c r="F15" s="10" t="n">
        <f aca="false">IF(2&lt;=Q,B15*4_Relaciones!$B$4*eta/rc,)</f>
        <v>2208.68867768521</v>
      </c>
      <c r="G15" s="10" t="n">
        <f aca="false">IF(3&lt;=Q,0.377*rc*A15/4_Relaciones!$B$5,)</f>
        <v>137.741012773735</v>
      </c>
      <c r="H15" s="10" t="n">
        <f aca="false">IF(3&lt;=Q,B15*4_Relaciones!$B$5*eta/rc,)</f>
        <v>1690.11026790121</v>
      </c>
      <c r="I15" s="10" t="n">
        <f aca="false">IF(4&lt;=Q,0.377*rc*A15/4_Relaciones!$B$6,)</f>
        <v>180.004240636934</v>
      </c>
      <c r="J15" s="10" t="n">
        <f aca="false">IF(4&lt;=Q,B15*4_Relaciones!$B$6*eta/rc,)</f>
        <v>1293.2889757278</v>
      </c>
    </row>
    <row r="16" customFormat="false" ht="15" hidden="false" customHeight="false" outlineLevel="0" collapsed="false">
      <c r="A16" s="10" t="n">
        <f aca="false">2_Curvas_motor!A16</f>
        <v>7000</v>
      </c>
      <c r="B16" s="10" t="n">
        <f aca="false">2_Curvas_motor!B16</f>
        <v>90</v>
      </c>
      <c r="C16" s="10" t="n">
        <f aca="false">IF(1&lt;=Q,0.377*rc*A16/4_Relaciones!$B$3,)</f>
        <v>86.8578401905561</v>
      </c>
      <c r="D16" s="10" t="n">
        <f aca="false">IF(1&lt;=Q,B16*4_Relaciones!$B$3*eta/rc,)</f>
        <v>2597.74476898095</v>
      </c>
      <c r="E16" s="10" t="n">
        <f aca="false">IF(2&lt;=Q,0.377*rc*A16/4_Relaciones!$B$4,)</f>
        <v>113.508527721865</v>
      </c>
      <c r="F16" s="10" t="n">
        <f aca="false">IF(2&lt;=Q,B16*4_Relaciones!$B$4*eta/rc,)</f>
        <v>1987.81980991669</v>
      </c>
      <c r="G16" s="10" t="n">
        <f aca="false">IF(3&lt;=Q,0.377*rc*A16/4_Relaciones!$B$5,)</f>
        <v>148.336475294791</v>
      </c>
      <c r="H16" s="10" t="n">
        <f aca="false">IF(3&lt;=Q,B16*4_Relaciones!$B$5*eta/rc,)</f>
        <v>1521.09924111109</v>
      </c>
      <c r="I16" s="10" t="n">
        <f aca="false">IF(4&lt;=Q,0.377*rc*A16/4_Relaciones!$B$6,)</f>
        <v>193.850720685929</v>
      </c>
      <c r="J16" s="10" t="n">
        <f aca="false">IF(4&lt;=Q,B16*4_Relaciones!$B$6*eta/rc,)</f>
        <v>1163.96007815502</v>
      </c>
    </row>
    <row r="19" customFormat="false" ht="41.75" hidden="false" customHeight="false" outlineLevel="0" collapsed="false">
      <c r="A19" s="4" t="s">
        <v>169</v>
      </c>
      <c r="B19" s="4" t="s">
        <v>214</v>
      </c>
    </row>
    <row r="20" customFormat="false" ht="15" hidden="false" customHeight="false" outlineLevel="0" collapsed="false">
      <c r="A20" s="0" t="n">
        <v>0</v>
      </c>
      <c r="B20" s="12" t="n">
        <f aca="false">Fadh0</f>
        <v>3872.5956</v>
      </c>
    </row>
    <row r="21" customFormat="false" ht="15" hidden="false" customHeight="false" outlineLevel="0" collapsed="false">
      <c r="A21" s="0" t="n">
        <v>200</v>
      </c>
      <c r="B21" s="12" t="n">
        <f aca="false">Fadh0</f>
        <v>3872.5956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5"/>
  </cols>
  <sheetData>
    <row r="1" customFormat="false" ht="15" hidden="false" customHeight="false" outlineLevel="0" collapsed="false">
      <c r="A1" s="7" t="s">
        <v>215</v>
      </c>
    </row>
    <row r="2" customFormat="false" ht="28.35" hidden="false" customHeight="false" outlineLevel="0" collapsed="false">
      <c r="A2" s="4" t="s">
        <v>158</v>
      </c>
      <c r="B2" s="4" t="s">
        <v>216</v>
      </c>
      <c r="C2" s="4" t="s">
        <v>217</v>
      </c>
      <c r="D2" s="4" t="s">
        <v>199</v>
      </c>
      <c r="E2" s="4" t="s">
        <v>200</v>
      </c>
      <c r="F2" s="4" t="s">
        <v>201</v>
      </c>
      <c r="G2" s="4" t="s">
        <v>202</v>
      </c>
    </row>
    <row r="3" customFormat="false" ht="15" hidden="false" customHeight="false" outlineLevel="0" collapsed="false">
      <c r="A3" s="10" t="n">
        <f aca="false">2_Curvas_motor!A3</f>
        <v>500</v>
      </c>
      <c r="B3" s="10" t="n">
        <f aca="false">2_Curvas_motor!D3</f>
        <v>5.23598775598299</v>
      </c>
      <c r="C3" s="10" t="n">
        <f aca="false">B3*eta</f>
        <v>4.97418836818384</v>
      </c>
      <c r="D3" s="10" t="n">
        <f aca="false">6_Traccion!C3</f>
        <v>6.20413144218257</v>
      </c>
      <c r="E3" s="10" t="n">
        <f aca="false">6_Traccion!E3</f>
        <v>8.1077519801332</v>
      </c>
      <c r="F3" s="10" t="n">
        <f aca="false">6_Traccion!G3</f>
        <v>10.5954625210565</v>
      </c>
      <c r="G3" s="10" t="n">
        <f aca="false">6_Traccion!I3</f>
        <v>13.8464800489949</v>
      </c>
    </row>
    <row r="4" customFormat="false" ht="15" hidden="false" customHeight="false" outlineLevel="0" collapsed="false">
      <c r="A4" s="10" t="n">
        <f aca="false">2_Curvas_motor!A4</f>
        <v>1000</v>
      </c>
      <c r="B4" s="10" t="n">
        <f aca="false">2_Curvas_motor!D4</f>
        <v>10.9955742875643</v>
      </c>
      <c r="C4" s="10" t="n">
        <f aca="false">B4*eta</f>
        <v>10.4457955731861</v>
      </c>
      <c r="D4" s="10" t="n">
        <f aca="false">6_Traccion!C4</f>
        <v>12.4082628843651</v>
      </c>
      <c r="E4" s="10" t="n">
        <f aca="false">6_Traccion!E4</f>
        <v>16.2155039602664</v>
      </c>
      <c r="F4" s="10" t="n">
        <f aca="false">6_Traccion!G4</f>
        <v>21.190925042113</v>
      </c>
      <c r="G4" s="10" t="n">
        <f aca="false">6_Traccion!I4</f>
        <v>27.6929600979898</v>
      </c>
    </row>
    <row r="5" customFormat="false" ht="15" hidden="false" customHeight="false" outlineLevel="0" collapsed="false">
      <c r="A5" s="10" t="n">
        <f aca="false">2_Curvas_motor!A5</f>
        <v>1500</v>
      </c>
      <c r="B5" s="10" t="n">
        <f aca="false">2_Curvas_motor!D5</f>
        <v>16.9646003293849</v>
      </c>
      <c r="C5" s="10" t="n">
        <f aca="false">B5*eta</f>
        <v>16.1163703129156</v>
      </c>
      <c r="D5" s="10" t="n">
        <f aca="false">6_Traccion!C5</f>
        <v>18.6123943265477</v>
      </c>
      <c r="E5" s="10" t="n">
        <f aca="false">6_Traccion!E5</f>
        <v>24.3232559403996</v>
      </c>
      <c r="F5" s="10" t="n">
        <f aca="false">6_Traccion!G5</f>
        <v>31.7863875631695</v>
      </c>
      <c r="G5" s="10" t="n">
        <f aca="false">6_Traccion!I5</f>
        <v>41.5394401469847</v>
      </c>
    </row>
    <row r="6" customFormat="false" ht="15" hidden="false" customHeight="false" outlineLevel="0" collapsed="false">
      <c r="A6" s="10" t="n">
        <f aca="false">2_Curvas_motor!A6</f>
        <v>2000</v>
      </c>
      <c r="B6" s="10" t="n">
        <f aca="false">2_Curvas_motor!D6</f>
        <v>23.4572251468038</v>
      </c>
      <c r="C6" s="10" t="n">
        <f aca="false">B6*eta</f>
        <v>22.2843638894636</v>
      </c>
      <c r="D6" s="10" t="n">
        <f aca="false">6_Traccion!C6</f>
        <v>24.8165257687303</v>
      </c>
      <c r="E6" s="10" t="n">
        <f aca="false">6_Traccion!E6</f>
        <v>32.4310079205328</v>
      </c>
      <c r="F6" s="10" t="n">
        <f aca="false">6_Traccion!G6</f>
        <v>42.381850084226</v>
      </c>
      <c r="G6" s="10" t="n">
        <f aca="false">6_Traccion!I6</f>
        <v>55.3859201959796</v>
      </c>
    </row>
    <row r="7" customFormat="false" ht="15" hidden="false" customHeight="false" outlineLevel="0" collapsed="false">
      <c r="A7" s="10" t="n">
        <f aca="false">2_Curvas_motor!A7</f>
        <v>2500</v>
      </c>
      <c r="B7" s="10" t="n">
        <f aca="false">2_Curvas_motor!D7</f>
        <v>30.3687289847013</v>
      </c>
      <c r="C7" s="10" t="n">
        <f aca="false">B7*eta</f>
        <v>28.8502925354663</v>
      </c>
      <c r="D7" s="10" t="n">
        <f aca="false">6_Traccion!C7</f>
        <v>31.0206572109129</v>
      </c>
      <c r="E7" s="10" t="n">
        <f aca="false">6_Traccion!E7</f>
        <v>40.538759900666</v>
      </c>
      <c r="F7" s="10" t="n">
        <f aca="false">6_Traccion!G7</f>
        <v>52.9773126052825</v>
      </c>
      <c r="G7" s="10" t="n">
        <f aca="false">6_Traccion!I7</f>
        <v>69.2324002449745</v>
      </c>
    </row>
    <row r="8" customFormat="false" ht="15" hidden="false" customHeight="false" outlineLevel="0" collapsed="false">
      <c r="A8" s="10" t="n">
        <f aca="false">2_Curvas_motor!A8</f>
        <v>3000</v>
      </c>
      <c r="B8" s="10" t="n">
        <f aca="false">2_Curvas_motor!D8</f>
        <v>36.7566340470006</v>
      </c>
      <c r="C8" s="10" t="n">
        <f aca="false">B8*eta</f>
        <v>34.9188023446506</v>
      </c>
      <c r="D8" s="10" t="n">
        <f aca="false">6_Traccion!C8</f>
        <v>37.2247886530955</v>
      </c>
      <c r="E8" s="10" t="n">
        <f aca="false">6_Traccion!E8</f>
        <v>48.6465118807992</v>
      </c>
      <c r="F8" s="10" t="n">
        <f aca="false">6_Traccion!G8</f>
        <v>63.572775126339</v>
      </c>
      <c r="G8" s="10" t="n">
        <f aca="false">6_Traccion!I8</f>
        <v>83.0788802939694</v>
      </c>
    </row>
    <row r="9" customFormat="false" ht="15" hidden="false" customHeight="false" outlineLevel="0" collapsed="false">
      <c r="A9" s="10" t="n">
        <f aca="false">2_Curvas_motor!A9</f>
        <v>3500</v>
      </c>
      <c r="B9" s="10" t="n">
        <f aca="false">2_Curvas_motor!D9</f>
        <v>43.2492588644195</v>
      </c>
      <c r="C9" s="10" t="n">
        <f aca="false">B9*eta</f>
        <v>41.0867959211985</v>
      </c>
      <c r="D9" s="10" t="n">
        <f aca="false">6_Traccion!C9</f>
        <v>43.428920095278</v>
      </c>
      <c r="E9" s="10" t="n">
        <f aca="false">6_Traccion!E9</f>
        <v>56.7542638609324</v>
      </c>
      <c r="F9" s="10" t="n">
        <f aca="false">6_Traccion!G9</f>
        <v>74.1682376473956</v>
      </c>
      <c r="G9" s="10" t="n">
        <f aca="false">6_Traccion!I9</f>
        <v>96.9253603429643</v>
      </c>
    </row>
    <row r="10" customFormat="false" ht="15" hidden="false" customHeight="false" outlineLevel="0" collapsed="false">
      <c r="A10" s="10" t="n">
        <f aca="false">2_Curvas_motor!A10</f>
        <v>4000</v>
      </c>
      <c r="B10" s="10" t="n">
        <f aca="false">2_Curvas_motor!D10</f>
        <v>50.2654824574367</v>
      </c>
      <c r="C10" s="10" t="n">
        <f aca="false">B10*eta</f>
        <v>47.7522083345649</v>
      </c>
      <c r="D10" s="10" t="n">
        <f aca="false">6_Traccion!C10</f>
        <v>49.6330515374606</v>
      </c>
      <c r="E10" s="10" t="n">
        <f aca="false">6_Traccion!E10</f>
        <v>64.8620158410656</v>
      </c>
      <c r="F10" s="10" t="n">
        <f aca="false">6_Traccion!G10</f>
        <v>84.7637001684521</v>
      </c>
      <c r="G10" s="10" t="n">
        <f aca="false">6_Traccion!I10</f>
        <v>110.771840391959</v>
      </c>
    </row>
    <row r="11" customFormat="false" ht="15" hidden="false" customHeight="false" outlineLevel="0" collapsed="false">
      <c r="A11" s="10" t="n">
        <f aca="false">2_Curvas_motor!A11</f>
        <v>4500</v>
      </c>
      <c r="B11" s="10" t="n">
        <f aca="false">2_Curvas_motor!D11</f>
        <v>55.6061899685394</v>
      </c>
      <c r="C11" s="10" t="n">
        <f aca="false">B11*eta</f>
        <v>52.8258804701124</v>
      </c>
      <c r="D11" s="10" t="n">
        <f aca="false">6_Traccion!C11</f>
        <v>55.8371829796432</v>
      </c>
      <c r="E11" s="10" t="n">
        <f aca="false">6_Traccion!E11</f>
        <v>72.9697678211987</v>
      </c>
      <c r="F11" s="10" t="n">
        <f aca="false">6_Traccion!G11</f>
        <v>95.3591626895086</v>
      </c>
      <c r="G11" s="10" t="n">
        <f aca="false">6_Traccion!I11</f>
        <v>124.618320440954</v>
      </c>
    </row>
    <row r="12" customFormat="false" ht="15" hidden="false" customHeight="false" outlineLevel="0" collapsed="false">
      <c r="A12" s="10" t="n">
        <f aca="false">2_Curvas_motor!A12</f>
        <v>5000</v>
      </c>
      <c r="B12" s="10" t="n">
        <f aca="false">2_Curvas_motor!D12</f>
        <v>60.7374579694027</v>
      </c>
      <c r="C12" s="10" t="n">
        <f aca="false">B12*eta</f>
        <v>57.7005850709325</v>
      </c>
      <c r="D12" s="10" t="n">
        <f aca="false">6_Traccion!C12</f>
        <v>62.0413144218258</v>
      </c>
      <c r="E12" s="10" t="n">
        <f aca="false">6_Traccion!E12</f>
        <v>81.077519801332</v>
      </c>
      <c r="F12" s="10" t="n">
        <f aca="false">6_Traccion!G12</f>
        <v>105.954625210565</v>
      </c>
      <c r="G12" s="10" t="n">
        <f aca="false">6_Traccion!I12</f>
        <v>138.464800489949</v>
      </c>
    </row>
    <row r="13" customFormat="false" ht="15" hidden="false" customHeight="false" outlineLevel="0" collapsed="false">
      <c r="A13" s="10" t="n">
        <f aca="false">2_Curvas_motor!A13</f>
        <v>5500</v>
      </c>
      <c r="B13" s="10" t="n">
        <f aca="false">2_Curvas_motor!D13</f>
        <v>64.5073691537104</v>
      </c>
      <c r="C13" s="10" t="n">
        <f aca="false">B13*eta</f>
        <v>61.2820006960249</v>
      </c>
      <c r="D13" s="10" t="n">
        <f aca="false">6_Traccion!C13</f>
        <v>68.2454458640083</v>
      </c>
      <c r="E13" s="10" t="n">
        <f aca="false">6_Traccion!E13</f>
        <v>89.1852717814651</v>
      </c>
      <c r="F13" s="10" t="n">
        <f aca="false">6_Traccion!G13</f>
        <v>116.550087731622</v>
      </c>
      <c r="G13" s="10" t="n">
        <f aca="false">6_Traccion!I13</f>
        <v>152.311280538944</v>
      </c>
    </row>
    <row r="14" customFormat="false" ht="15" hidden="false" customHeight="false" outlineLevel="0" collapsed="false">
      <c r="A14" s="10" t="n">
        <f aca="false">2_Curvas_motor!A14</f>
        <v>6000</v>
      </c>
      <c r="B14" s="10" t="n">
        <f aca="false">2_Curvas_motor!D14</f>
        <v>67.8584013175395</v>
      </c>
      <c r="C14" s="10" t="n">
        <f aca="false">B14*eta</f>
        <v>64.4654812516626</v>
      </c>
      <c r="D14" s="10" t="n">
        <f aca="false">6_Traccion!C14</f>
        <v>74.4495773061909</v>
      </c>
      <c r="E14" s="10" t="n">
        <f aca="false">6_Traccion!E14</f>
        <v>97.2930237615983</v>
      </c>
      <c r="F14" s="10" t="n">
        <f aca="false">6_Traccion!G14</f>
        <v>127.145550252678</v>
      </c>
      <c r="G14" s="10" t="n">
        <f aca="false">6_Traccion!I14</f>
        <v>166.157760587939</v>
      </c>
    </row>
    <row r="15" customFormat="false" ht="15" hidden="false" customHeight="false" outlineLevel="0" collapsed="false">
      <c r="A15" s="10" t="n">
        <f aca="false">2_Curvas_motor!A15</f>
        <v>6500</v>
      </c>
      <c r="B15" s="10" t="n">
        <f aca="false">2_Curvas_motor!D15</f>
        <v>68.0678408277789</v>
      </c>
      <c r="C15" s="10" t="n">
        <f aca="false">B15*eta</f>
        <v>64.6644487863899</v>
      </c>
      <c r="D15" s="10" t="n">
        <f aca="false">6_Traccion!C15</f>
        <v>80.6537087483735</v>
      </c>
      <c r="E15" s="10" t="n">
        <f aca="false">6_Traccion!E15</f>
        <v>105.400775741732</v>
      </c>
      <c r="F15" s="10" t="n">
        <f aca="false">6_Traccion!G15</f>
        <v>137.741012773735</v>
      </c>
      <c r="G15" s="10" t="n">
        <f aca="false">6_Traccion!I15</f>
        <v>180.004240636934</v>
      </c>
    </row>
    <row r="16" customFormat="false" ht="15" hidden="false" customHeight="false" outlineLevel="0" collapsed="false">
      <c r="A16" s="10" t="n">
        <f aca="false">2_Curvas_motor!A16</f>
        <v>7000</v>
      </c>
      <c r="B16" s="10" t="n">
        <f aca="false">2_Curvas_motor!D16</f>
        <v>65.9734457253857</v>
      </c>
      <c r="C16" s="10" t="n">
        <f aca="false">B16*eta</f>
        <v>62.6747734391164</v>
      </c>
      <c r="D16" s="10" t="n">
        <f aca="false">6_Traccion!C16</f>
        <v>86.8578401905561</v>
      </c>
      <c r="E16" s="10" t="n">
        <f aca="false">6_Traccion!E16</f>
        <v>113.508527721865</v>
      </c>
      <c r="F16" s="10" t="n">
        <f aca="false">6_Traccion!G16</f>
        <v>148.336475294791</v>
      </c>
      <c r="G16" s="10" t="n">
        <f aca="false">6_Traccion!I16</f>
        <v>193.850720685929</v>
      </c>
    </row>
    <row r="19" customFormat="false" ht="15" hidden="false" customHeight="false" outlineLevel="0" collapsed="false">
      <c r="A19" s="0" t="s">
        <v>218</v>
      </c>
      <c r="D19" s="13" t="n">
        <f aca="false">INDEX(3_Resistencias!Q4:Q24,MATCH(Vmax,3_Resistencias!A4:A24,0))/eta</f>
        <v>54.3503270526316</v>
      </c>
    </row>
    <row r="20" customFormat="false" ht="15" hidden="false" customHeight="false" outlineLevel="0" collapsed="false">
      <c r="A20" s="0" t="s">
        <v>219</v>
      </c>
      <c r="D20" s="8" t="n">
        <f aca="false">Pmax</f>
        <v>68.0678408277789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15" hidden="false" customHeight="false" outlineLevel="0" collapsed="false">
      <c r="A1" s="7" t="s">
        <v>220</v>
      </c>
    </row>
    <row r="2" customFormat="false" ht="28.35" hidden="false" customHeight="false" outlineLevel="0" collapsed="false">
      <c r="A2" s="4" t="s">
        <v>221</v>
      </c>
      <c r="B2" s="4" t="s">
        <v>222</v>
      </c>
      <c r="C2" s="4" t="s">
        <v>223</v>
      </c>
      <c r="D2" s="4" t="s">
        <v>224</v>
      </c>
      <c r="E2" s="4" t="s">
        <v>225</v>
      </c>
      <c r="F2" s="4" t="s">
        <v>226</v>
      </c>
    </row>
    <row r="3" customFormat="false" ht="15" hidden="false" customHeight="false" outlineLevel="0" collapsed="false">
      <c r="A3" s="5" t="n">
        <v>0</v>
      </c>
      <c r="B3" s="10" t="n">
        <f aca="false">ATAN(A3/100)</f>
        <v>0</v>
      </c>
      <c r="C3" s="10" t="n">
        <f aca="false">Gw*COS(B3)*(Lb-l1)/Lb-Gw*SIN(B3)*hcg/Lb</f>
        <v>4840.7445</v>
      </c>
      <c r="D3" s="10" t="n">
        <f aca="false">mu*C3</f>
        <v>3872.5956</v>
      </c>
      <c r="E3" s="10" t="n">
        <f aca="false">Gw*SIN(B3)+f0*Gw*COS(B3)</f>
        <v>74.99745</v>
      </c>
      <c r="F3" s="10" t="str">
        <f aca="false">IF(D3&gt;=E3,"SÍ","NO")</f>
        <v>SÍ</v>
      </c>
    </row>
    <row r="4" customFormat="false" ht="15" hidden="false" customHeight="false" outlineLevel="0" collapsed="false">
      <c r="A4" s="5" t="n">
        <v>5</v>
      </c>
      <c r="B4" s="10" t="n">
        <f aca="false">ATAN(A4/100)</f>
        <v>0.0499583957219428</v>
      </c>
      <c r="C4" s="10" t="n">
        <f aca="false">Gw*COS(B4)*(Lb-l1)/Lb-Gw*SIN(B4)*hcg/Lb</f>
        <v>4731.3618967115</v>
      </c>
      <c r="D4" s="10" t="n">
        <f aca="false">mu*C4</f>
        <v>3785.0895173692</v>
      </c>
      <c r="E4" s="10" t="n">
        <f aca="false">Gw*SIN(B4)+f0*Gw*COS(B4)</f>
        <v>415.376054039984</v>
      </c>
      <c r="F4" s="10" t="str">
        <f aca="false">IF(D4&gt;=E4,"SÍ","NO")</f>
        <v>SÍ</v>
      </c>
    </row>
    <row r="5" customFormat="false" ht="15" hidden="false" customHeight="false" outlineLevel="0" collapsed="false">
      <c r="A5" s="5" t="n">
        <v>10</v>
      </c>
      <c r="B5" s="10" t="n">
        <f aca="false">ATAN(A5/100)</f>
        <v>0.099668652491162</v>
      </c>
      <c r="C5" s="10" t="n">
        <f aca="false">Gw*COS(B5)*(Lb-l1)/Lb-Gw*SIN(B5)*hcg/Lb</f>
        <v>4610.8036450719</v>
      </c>
      <c r="D5" s="10" t="n">
        <f aca="false">mu*C5</f>
        <v>3688.64291605752</v>
      </c>
      <c r="E5" s="10" t="n">
        <f aca="false">Gw*SIN(B5)+f0*Gw*COS(B5)</f>
        <v>753.036633020134</v>
      </c>
      <c r="F5" s="10" t="str">
        <f aca="false">IF(D5&gt;=E5,"SÍ","NO")</f>
        <v>SÍ</v>
      </c>
    </row>
    <row r="6" customFormat="false" ht="15" hidden="false" customHeight="false" outlineLevel="0" collapsed="false">
      <c r="A6" s="5" t="n">
        <v>15</v>
      </c>
      <c r="B6" s="10" t="n">
        <f aca="false">ATAN(A6/100)</f>
        <v>0.148889947609497</v>
      </c>
      <c r="C6" s="10" t="n">
        <f aca="false">Gw*COS(B6)*(Lb-l1)/Lb-Gw*SIN(B6)*hcg/Lb</f>
        <v>4480.20626911898</v>
      </c>
      <c r="D6" s="10" t="n">
        <f aca="false">mu*C6</f>
        <v>3584.16501529518</v>
      </c>
      <c r="E6" s="10" t="n">
        <f aca="false">Gw*SIN(B6)+f0*Gw*COS(B6)</f>
        <v>1085.54549573318</v>
      </c>
      <c r="F6" s="10" t="str">
        <f aca="false">IF(D6&gt;=E6,"SÍ","NO")</f>
        <v>SÍ</v>
      </c>
    </row>
    <row r="7" customFormat="false" ht="15" hidden="false" customHeight="false" outlineLevel="0" collapsed="false">
      <c r="A7" s="5" t="n">
        <v>20</v>
      </c>
      <c r="B7" s="10" t="n">
        <f aca="false">ATAN(A7/100)</f>
        <v>0.197395559849881</v>
      </c>
      <c r="C7" s="10" t="n">
        <f aca="false">Gw*COS(B7)*(Lb-l1)/Lb-Gw*SIN(B7)*hcg/Lb</f>
        <v>4340.88957443262</v>
      </c>
      <c r="D7" s="10" t="n">
        <f aca="false">mu*C7</f>
        <v>3472.71165954609</v>
      </c>
      <c r="E7" s="10" t="n">
        <f aca="false">Gw*SIN(B7)+f0*Gw*COS(B7)</f>
        <v>1410.65105376148</v>
      </c>
      <c r="F7" s="10" t="str">
        <f aca="false">IF(D7&gt;=E7,"SÍ","NO")</f>
        <v>SÍ</v>
      </c>
    </row>
    <row r="8" customFormat="false" ht="15" hidden="false" customHeight="false" outlineLevel="0" collapsed="false">
      <c r="A8" s="5" t="n">
        <v>25</v>
      </c>
      <c r="B8" s="10" t="n">
        <f aca="false">ATAN(A8/100)</f>
        <v>0.244978663126864</v>
      </c>
      <c r="C8" s="10" t="n">
        <f aca="false">Gw*COS(B8)*(Lb-l1)/Lb-Gw*SIN(B8)*hcg/Lb</f>
        <v>4194.29859835152</v>
      </c>
      <c r="D8" s="10" t="n">
        <f aca="false">mu*C8</f>
        <v>3355.43887868121</v>
      </c>
      <c r="E8" s="10" t="n">
        <f aca="false">Gw*SIN(B8)+f0*Gw*COS(B8)</f>
        <v>1726.35397836399</v>
      </c>
      <c r="F8" s="10" t="str">
        <f aca="false">IF(D8&gt;=E8,"SÍ","NO")</f>
        <v>SÍ</v>
      </c>
    </row>
    <row r="9" customFormat="false" ht="15" hidden="false" customHeight="false" outlineLevel="0" collapsed="false">
      <c r="A9" s="5" t="n">
        <v>30</v>
      </c>
      <c r="B9" s="10" t="n">
        <f aca="false">ATAN(A9/100)</f>
        <v>0.291456794477867</v>
      </c>
      <c r="C9" s="10" t="n">
        <f aca="false">Gw*COS(B9)*(Lb-l1)/Lb-Gw*SIN(B9)*hcg/Lb</f>
        <v>4041.94258120049</v>
      </c>
      <c r="D9" s="10" t="n">
        <f aca="false">mu*C9</f>
        <v>3233.55406496039</v>
      </c>
      <c r="E9" s="10" t="n">
        <f aca="false">Gw*SIN(B9)+f0*Gw*COS(B9)</f>
        <v>2030.95804533162</v>
      </c>
      <c r="F9" s="10" t="str">
        <f aca="false">IF(D9&gt;=E9,"SÍ","NO")</f>
        <v>SÍ</v>
      </c>
    </row>
    <row r="10" customFormat="false" ht="15" hidden="false" customHeight="false" outlineLevel="0" collapsed="false">
      <c r="A10" s="5" t="n">
        <v>35</v>
      </c>
      <c r="B10" s="10" t="n">
        <f aca="false">ATAN(A10/100)</f>
        <v>0.336674819386727</v>
      </c>
      <c r="C10" s="10" t="n">
        <f aca="false">Gw*COS(B10)*(Lb-l1)/Lb-Gw*SIN(B10)*hcg/Lb</f>
        <v>3885.33615206548</v>
      </c>
      <c r="D10" s="10" t="n">
        <f aca="false">mu*C10</f>
        <v>3108.26892165238</v>
      </c>
      <c r="E10" s="10" t="n">
        <f aca="false">Gw*SIN(B10)+f0*Gw*COS(B10)</f>
        <v>2323.09964816363</v>
      </c>
      <c r="F10" s="10" t="str">
        <f aca="false">IF(D10&gt;=E10,"SÍ","NO")</f>
        <v>SÍ</v>
      </c>
    </row>
    <row r="11" customFormat="false" ht="15" hidden="false" customHeight="false" outlineLevel="0" collapsed="false">
      <c r="A11" s="5" t="n">
        <v>40</v>
      </c>
      <c r="B11" s="10" t="n">
        <f aca="false">ATAN(A11/100)</f>
        <v>0.380506377112365</v>
      </c>
      <c r="C11" s="10" t="n">
        <f aca="false">Gw*COS(B11)*(Lb-l1)/Lb-Gw*SIN(B11)*hcg/Lb</f>
        <v>3725.94702509086</v>
      </c>
      <c r="D11" s="10" t="n">
        <f aca="false">mu*C11</f>
        <v>2980.75762007269</v>
      </c>
      <c r="E11" s="10" t="n">
        <f aca="false">Gw*SIN(B11)+f0*Gw*COS(B11)</f>
        <v>2601.75644604929</v>
      </c>
      <c r="F11" s="10" t="str">
        <f aca="false">IF(D11&gt;=E11,"SÍ","NO")</f>
        <v>SÍ</v>
      </c>
    </row>
    <row r="12" customFormat="false" ht="15" hidden="false" customHeight="false" outlineLevel="0" collapsed="false">
      <c r="A12" s="5" t="n">
        <v>45</v>
      </c>
      <c r="B12" s="10" t="n">
        <f aca="false">ATAN(A12/100)</f>
        <v>0.422853926132941</v>
      </c>
      <c r="C12" s="10" t="n">
        <f aca="false">Gw*COS(B12)*(Lb-l1)/Lb-Gw*SIN(B12)*hcg/Lb</f>
        <v>3565.15317209803</v>
      </c>
      <c r="D12" s="10" t="n">
        <f aca="false">mu*C12</f>
        <v>2852.12253767843</v>
      </c>
      <c r="E12" s="10" t="n">
        <f aca="false">Gw*SIN(B12)+f0*Gw*COS(B12)</f>
        <v>2866.23763928217</v>
      </c>
      <c r="F12" s="10" t="str">
        <f aca="false">IF(D12&gt;=E12,"SÍ","NO")</f>
        <v>NO</v>
      </c>
    </row>
    <row r="13" customFormat="false" ht="15" hidden="false" customHeight="false" outlineLevel="0" collapsed="false">
      <c r="A13" s="5" t="n">
        <v>50</v>
      </c>
      <c r="B13" s="10" t="n">
        <f aca="false">ATAN(A13/100)</f>
        <v>0.463647609000806</v>
      </c>
      <c r="C13" s="10" t="n">
        <f aca="false">Gw*COS(B13)*(Lb-l1)/Lb-Gw*SIN(B13)*hcg/Lb</f>
        <v>3404.21097344931</v>
      </c>
      <c r="D13" s="10" t="n">
        <f aca="false">mu*C13</f>
        <v>2723.36877875945</v>
      </c>
      <c r="E13" s="10" t="n">
        <f aca="false">Gw*SIN(B13)+f0*Gw*COS(B13)</f>
        <v>3116.1596919746</v>
      </c>
      <c r="F13" s="10" t="str">
        <f aca="false">IF(D13&gt;=E13,"SÍ","NO")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2026-09-16T05:08:12Z</dcterms:created>
  <dc:creator>openpyxl</dc:creator>
  <dc:description/>
  <dc:language>en-US</dc:language>
  <cp:lastModifiedBy/>
  <dcterms:modified xsi:type="dcterms:W3CDTF">2026-09-16T05:08:14Z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