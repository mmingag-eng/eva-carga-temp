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charts/chartT1_chart1.xml" ContentType="application/vnd.openxmlformats-officedocument.drawingml.chart+xml"/>
  <Override PartName="/xl/drawings/drawingT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tor" sheetId="1" state="visible" r:id="rId1"/>
    <sheet xmlns:r="http://schemas.openxmlformats.org/officeDocument/2006/relationships" name="Mezcla" sheetId="2" state="visible" r:id="rId2"/>
    <sheet xmlns:r="http://schemas.openxmlformats.org/officeDocument/2006/relationships" name="Bomba" sheetId="3" state="visible" r:id="rId3"/>
    <sheet xmlns:r="http://schemas.openxmlformats.org/officeDocument/2006/relationships" name="Grafic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##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1F3864"/>
      <sz val="13"/>
    </font>
    <font>
      <b val="1"/>
    </font>
    <font>
      <b val="1"/>
      <color rgb="FF0000FF"/>
    </font>
    <font>
      <b val="1"/>
      <color rgb="FFFFFFFF"/>
    </font>
    <font>
      <b val="1"/>
      <color rgb="FF00000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2" fontId="9" fillId="2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49" fontId="8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18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5" fontId="16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2" fontId="9" fillId="2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49" fontId="8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19" fillId="6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5911"/>
          <bgColor rgb="00C659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Factor λ por condición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Mezcla!E15</f>
              <strCache>
                <ptCount val="1"/>
                <pt idx="0">
                  <v>λ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Mezcla!$A$16:$A$19</f>
              <strCache>
                <ptCount val="4"/>
                <pt idx="0">
                  <v>Arranque en frío</v>
                </pt>
                <pt idx="1">
                  <v>Ralentí</v>
                </pt>
                <pt idx="2">
                  <v>Carga parcial</v>
                </pt>
                <pt idx="3">
                  <v>Plena carga</v>
                </pt>
              </strCache>
            </strRef>
          </cat>
          <val>
            <numRef>
              <f>Mezcla!$E$16:$E$19</f>
              <numCache>
                <formatCode>0.000</formatCode>
                <ptCount val="4"/>
                <pt idx="0">
                  <v>0.54421768707483</v>
                </pt>
                <pt idx="1">
                  <v>0.887311446317658</v>
                </pt>
                <pt idx="2">
                  <v>1.03332472229398</v>
                </pt>
                <pt idx="3">
                  <v>0.868432479374729</v>
                </pt>
              </numCache>
            </numRef>
          </val>
        </ser>
        <gapWidth val="150"/>
        <overlap val="0"/>
        <axId val="39557723"/>
        <axId val="89661198"/>
      </barChart>
      <catAx>
        <axId val="395577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9661198"/>
        <crosses val="autoZero"/>
        <auto val="1"/>
        <lblAlgn val="ctr"/>
        <lblOffset val="100"/>
        <noMultiLvlLbl val="0"/>
      </catAx>
      <valAx>
        <axId val="8966119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λ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955772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T1_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Factor λ por condición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Mezcla!E15</c:f>
              <c:strCache>
                <c:ptCount val="1"/>
                <c:pt idx="0">
                  <c:v>λ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Mezcla!$A$16:$A$19</c:f>
              <c:strCache>
                <c:ptCount val="4"/>
                <c:pt idx="0">
                  <c:v>Arranque en frío</c:v>
                </c:pt>
                <c:pt idx="1">
                  <c:v>Ralentí</c:v>
                </c:pt>
                <c:pt idx="2">
                  <c:v>Carga parcial</c:v>
                </c:pt>
                <c:pt idx="3">
                  <c:v>Plena carga</c:v>
                </c:pt>
              </c:strCache>
            </c:strRef>
          </c:cat>
          <c:val>
            <c:numRef>
              <c:f>Mezcla!$E$16:$E$19</c:f>
              <c:numCache>
                <c:formatCode>0.000</c:formatCode>
                <c:ptCount val="4"/>
                <c:pt idx="0">
                  <c:v>0.54421768707483</c:v>
                </c:pt>
                <c:pt idx="1">
                  <c:v>0.887311446317658</c:v>
                </c:pt>
                <c:pt idx="2">
                  <c:v>1.03332472229398</c:v>
                </c:pt>
                <c:pt idx="3">
                  <c:v>0.868432479374729</c:v>
                </c:pt>
              </c:numCache>
            </c:numRef>
          </c:val>
        </c:ser>
        <c:gapWidth val="150"/>
        <c:overlap val="0"/>
        <c:axId val="39557723"/>
        <c:axId val="89661198"/>
      </c:barChart>
      <c:catAx>
        <c:axId val="395577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61198"/>
        <c:crosses val="autoZero"/>
        <c:auto val="1"/>
        <c:lblAlgn val="ctr"/>
        <c:lblOffset val="100"/>
        <c:noMultiLvlLbl val="0"/>
      </c:catAx>
      <c:valAx>
        <c:axId val="896611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λ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577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T1.xml.rels><?xml version="1.0" encoding="UTF-8"?>
<Relationships xmlns="http://schemas.openxmlformats.org/package/2006/relationships"><Relationship Id="rId1" Type="http://schemas.openxmlformats.org/officeDocument/2006/relationships/chart" Target="../charts/chartT1_chart1.xml"/>
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4680</colOff>
      <row>16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T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T1.xml"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J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style="15" min="1" max="1"/>
    <col width="8" customWidth="1" style="15" min="2" max="2"/>
    <col width="13" customWidth="1" style="15" min="3" max="3"/>
    <col width="13" customWidth="1" style="15" min="4" max="4"/>
    <col width="13" customWidth="1" style="15" min="5" max="5"/>
    <col width="15" customWidth="1" style="15" min="6" max="6"/>
    <col width="13" customWidth="1" style="15" min="7" max="7"/>
    <col width="13" customWidth="1" style="15" min="8" max="8"/>
    <col width="24" customWidth="1" style="15" min="9" max="9"/>
    <col width="60" customWidth="1" style="15" min="10" max="10"/>
  </cols>
  <sheetData>
    <row r="1">
      <c r="A1" s="16" t="inlineStr">
        <is>
          <t>ESPECIFICACIONES DEL FABRICANTE – MOTOR ASIGNADO</t>
        </is>
      </c>
    </row>
    <row r="3">
      <c r="A3" s="17" t="inlineStr">
        <is>
          <t>Motor asignado (elija de la lista):</t>
        </is>
      </c>
      <c r="C3" s="18" t="inlineStr">
        <is>
          <t>Daihatsu CB-20</t>
        </is>
      </c>
      <c r="D3" s="19" t="n"/>
      <c r="E3" s="20" t="n"/>
    </row>
    <row r="4" ht="45" customHeight="1" s="15">
      <c r="A4" s="21" t="inlineStr">
        <is>
          <t>Las celdas verdes de las demás hojas toman el «Valor aplicado» de esta tabla. Cuando el manual da un límite de servicio, el máximo/mínimo es ese límite. Si el manual del motor no especifica el dato, se aplica el valor orientativo y la columna «Origen» lo indica.</t>
        </is>
      </c>
    </row>
    <row r="6" ht="32" customHeight="1" s="15">
      <c r="A6" s="22" t="inlineStr">
        <is>
          <t>Comprobación</t>
        </is>
      </c>
      <c r="B6" s="22" t="inlineStr">
        <is>
          <t>Unidad</t>
        </is>
      </c>
      <c r="C6" s="22" t="inlineStr">
        <is>
          <t>Daihatsu CB-20</t>
        </is>
      </c>
      <c r="D6" s="22" t="inlineStr">
        <is>
          <t>Nissan A14</t>
        </is>
      </c>
      <c r="E6" s="22" t="inlineStr">
        <is>
          <t>Hyundai G4EC</t>
        </is>
      </c>
      <c r="F6" s="22" t="inlineStr">
        <is>
          <t>Chevrolet Monza 2.0</t>
        </is>
      </c>
      <c r="G6" s="22" t="inlineStr">
        <is>
          <t>Valor orientativo</t>
        </is>
      </c>
      <c r="H6" s="22" t="inlineStr">
        <is>
          <t>Valor aplicado</t>
        </is>
      </c>
      <c r="I6" s="22" t="inlineStr">
        <is>
          <t>Origen</t>
        </is>
      </c>
      <c r="J6" s="22" t="inlineStr">
        <is>
          <t>Fuente en el manual</t>
        </is>
      </c>
    </row>
    <row r="7">
      <c r="A7" s="23" t="inlineStr">
        <is>
          <t>Presión de la bomba de combustible – mín.</t>
        </is>
      </c>
      <c r="B7" s="24" t="inlineStr">
        <is>
          <t>bar</t>
        </is>
      </c>
      <c r="C7" s="25" t="n"/>
      <c r="D7" s="25" t="n">
        <v>0.206</v>
      </c>
      <c r="E7" s="25" t="inlineStr">
        <is>
          <t>N/A (inyección)</t>
        </is>
      </c>
      <c r="F7" s="25" t="n">
        <v>0.25</v>
      </c>
      <c r="G7" s="25" t="n">
        <v>0.2</v>
      </c>
      <c r="H7" s="26">
        <f>IF(ISNUMBER(INDEX($C7:$F7,MATCH($C$3,$C$6:$F$6,0))),INDEX($C7:$F7,MATCH($C$3,$C$6:$F$6,0)),IF(INDEX($C7:$F7,MATCH($C$3,$C$6:$F$6,0))&lt;&gt;"","",IF($G7="","",$G7)))</f>
        <v/>
      </c>
      <c r="I7" s="23">
        <f>IF(ISNUMBER(INDEX($C7:$F7,MATCH($C$3,$C$6:$F$6,0))),"Manual",IF(INDEX($C7:$F7,MATCH($C$3,$C$6:$F$6,0))&lt;&gt;"","No aplica a este motor",IF($G7="","Sin dato","Orientativo: el manual no lo especifica")))</f>
        <v/>
      </c>
      <c r="J7" s="23" t="inlineStr">
        <is>
          <t>Haynes p. 43 (0,21–0,27 kgf/cm²); Monza p. 6Z-02 (25–33 kPa)</t>
        </is>
      </c>
    </row>
    <row r="8">
      <c r="A8" s="23" t="inlineStr">
        <is>
          <t>Presión de la bomba de combustible – máx.</t>
        </is>
      </c>
      <c r="B8" s="24" t="inlineStr">
        <is>
          <t>bar</t>
        </is>
      </c>
      <c r="C8" s="25" t="n"/>
      <c r="D8" s="25" t="n">
        <v>0.265</v>
      </c>
      <c r="E8" s="25" t="inlineStr">
        <is>
          <t>N/A (inyección)</t>
        </is>
      </c>
      <c r="F8" s="25" t="n">
        <v>0.33</v>
      </c>
      <c r="G8" s="25" t="n">
        <v>0.4</v>
      </c>
      <c r="H8" s="26">
        <f>IF(ISNUMBER(INDEX($C8:$F8,MATCH($C$3,$C$6:$F$6,0))),INDEX($C8:$F8,MATCH($C$3,$C$6:$F$6,0)),IF(INDEX($C8:$F8,MATCH($C$3,$C$6:$F$6,0))&lt;&gt;"","",IF($G8="","",$G8)))</f>
        <v/>
      </c>
      <c r="I8" s="23">
        <f>IF(ISNUMBER(INDEX($C8:$F8,MATCH($C$3,$C$6:$F$6,0))),"Manual",IF(INDEX($C8:$F8,MATCH($C$3,$C$6:$F$6,0))&lt;&gt;"","No aplica a este motor",IF($G8="","Sin dato","Orientativo: el manual no lo especifica")))</f>
        <v/>
      </c>
      <c r="J8" s="23" t="inlineStr">
        <is>
          <t>Haynes p. 43; Monza p. 6Z-02</t>
        </is>
      </c>
    </row>
    <row r="9">
      <c r="A9" s="23" t="inlineStr">
        <is>
          <t>Caudal mínimo de la bomba de combustible</t>
        </is>
      </c>
      <c r="B9" s="24" t="inlineStr">
        <is>
          <t>L/h</t>
        </is>
      </c>
      <c r="C9" s="25" t="n"/>
      <c r="D9" s="25" t="n"/>
      <c r="E9" s="25" t="inlineStr">
        <is>
          <t>N/A (inyección)</t>
        </is>
      </c>
      <c r="F9" s="25" t="n">
        <v>42</v>
      </c>
      <c r="G9" s="25" t="n">
        <v>20</v>
      </c>
      <c r="H9" s="26">
        <f>IF(ISNUMBER(INDEX($C9:$F9,MATCH($C$3,$C$6:$F$6,0))),INDEX($C9:$F9,MATCH($C$3,$C$6:$F$6,0)),IF(INDEX($C9:$F9,MATCH($C$3,$C$6:$F$6,0))&lt;&gt;"","",IF($G9="","",$G9)))</f>
        <v/>
      </c>
      <c r="I9" s="23">
        <f>IF(ISNUMBER(INDEX($C9:$F9,MATCH($C$3,$C$6:$F$6,0))),"Manual",IF(INDEX($C9:$F9,MATCH($C$3,$C$6:$F$6,0))&lt;&gt;"","No aplica a este motor",IF($G9="","Sin dato","Orientativo: el manual no lo especifica")))</f>
        <v/>
      </c>
      <c r="J9" s="23" t="inlineStr">
        <is>
          <t>Monza p. 6Z-02 (0,7 L/min a 2500 rpm)</t>
        </is>
      </c>
    </row>
    <row r="11" ht="48" customHeight="1" s="15">
      <c r="A11" s="21" t="inlineStr">
        <is>
          <t>Fuentes: Daihatsu Motor Co. (1987), Workshop manual Type CB engine; Daihatsu Motor Sales (1979), Technical information Charade (CB-20); Jones (1988), Haynes Datsun Sunny (A14); Hyundai Motor Company (2001), Accent LC G 1.6 DOHC (familia Alpha, como el G4EC); General Motors do Brasil (1990), Monza: Manual de reparações. Conversiones: 1 kg/cm² = 0,980665 bar; 1 kg·m = 9,80665 N·m.</t>
        </is>
      </c>
    </row>
  </sheetData>
  <mergeCells count="3">
    <mergeCell ref="C3:E3"/>
    <mergeCell ref="A4:J4"/>
    <mergeCell ref="A11:J11"/>
  </mergeCells>
  <conditionalFormatting sqref="C7:F9">
    <cfRule type="expression" priority="1" dxfId="0">
      <formula>C$6=$C$3</formula>
    </cfRule>
  </conditionalFormatting>
  <conditionalFormatting sqref="C6:F6">
    <cfRule type="expression" priority="2" dxfId="1">
      <formula>C$6=$C$3</formula>
    </cfRule>
  </conditionalFormatting>
  <dataValidations count="1">
    <dataValidation sqref="C3" showDropDown="0" showInputMessage="0" showErrorMessage="1" allowBlank="0" errorTitle="Motor no válido" error="Elija uno de los cuatro motores del laboratorio." type="list">
      <formula1>"Daihatsu CB-20,Nissan A14,Hyundai G4EC,Chevrolet Monza 2.0"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27" min="1" max="1"/>
    <col width="24" customWidth="1" style="27" min="2" max="2"/>
    <col width="18" customWidth="1" style="27" min="3" max="3"/>
    <col width="12" customWidth="1" style="27" min="4" max="5"/>
    <col width="18" customWidth="1" style="27" min="6" max="6"/>
    <col width="32" customWidth="1" style="27" min="7" max="7"/>
  </cols>
  <sheetData>
    <row r="1" ht="17.35" customHeight="1" s="15">
      <c r="A1" s="28" t="inlineStr">
        <is>
          <t>SFM GUÍA 5 – SISTEMA DE ALIMENTACIÓN DE AIRE Y COMBUSTIBLE</t>
        </is>
      </c>
    </row>
    <row r="2" ht="15" customHeight="1" s="15">
      <c r="A2" s="29" t="inlineStr">
        <is>
          <t>A/C = ṁ_aire/ṁ_comb;  λ = (A/C)/(A/C)_esteq;  L/h = mL/t·3,6</t>
        </is>
      </c>
    </row>
    <row r="3" ht="15" customHeight="1" s="15">
      <c r="A3" s="30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5">
      <c r="A5" s="31" t="inlineStr">
        <is>
          <t>Parámetro</t>
        </is>
      </c>
      <c r="B5" s="31" t="inlineStr">
        <is>
          <t>Símbolo</t>
        </is>
      </c>
      <c r="C5" s="31" t="inlineStr">
        <is>
          <t>Valor</t>
        </is>
      </c>
      <c r="D5" s="31" t="inlineStr">
        <is>
          <t>Unidad</t>
        </is>
      </c>
      <c r="E5" s="31" t="inlineStr">
        <is>
          <t>Observación</t>
        </is>
      </c>
    </row>
    <row r="6" ht="15" customHeight="1" s="15">
      <c r="A6" s="32" t="inlineStr">
        <is>
          <t>Relación estequiométrica de la gasolina</t>
        </is>
      </c>
      <c r="B6" s="32" t="inlineStr">
        <is>
          <t>AC_e</t>
        </is>
      </c>
      <c r="C6" s="33" t="n">
        <v>14.7</v>
      </c>
      <c r="D6" s="32" t="inlineStr">
        <is>
          <t>kg/kg</t>
        </is>
      </c>
      <c r="E6" s="32" t="inlineStr">
        <is>
          <t>Valor típico</t>
        </is>
      </c>
    </row>
    <row r="7" ht="15" customHeight="1" s="15">
      <c r="A7" s="32" t="inlineStr">
        <is>
          <t>Densidad de la gasolina</t>
        </is>
      </c>
      <c r="B7" s="32" t="inlineStr">
        <is>
          <t>ρ_f</t>
        </is>
      </c>
      <c r="C7" s="33" t="n">
        <v>0.74</v>
      </c>
      <c r="D7" s="32" t="inlineStr">
        <is>
          <t>kg/L</t>
        </is>
      </c>
      <c r="E7" s="32" t="inlineStr">
        <is>
          <t>Valor típico</t>
        </is>
      </c>
    </row>
    <row r="8" ht="15" customHeight="1" s="15">
      <c r="A8" s="32" t="inlineStr">
        <is>
          <t>Presión atmosférica a nivel del mar</t>
        </is>
      </c>
      <c r="B8" s="32" t="inlineStr">
        <is>
          <t>P0</t>
        </is>
      </c>
      <c r="C8" s="33" t="n">
        <v>101.325</v>
      </c>
      <c r="D8" s="32" t="inlineStr">
        <is>
          <t>kPa</t>
        </is>
      </c>
      <c r="E8" s="32" t="inlineStr">
        <is>
          <t>Referencia</t>
        </is>
      </c>
    </row>
    <row r="9" ht="15" customHeight="1" s="15">
      <c r="A9" s="32" t="inlineStr">
        <is>
          <t>Presión atmosférica local</t>
        </is>
      </c>
      <c r="B9" s="32" t="inlineStr">
        <is>
          <t>P_loc</t>
        </is>
      </c>
      <c r="C9" s="33" t="n">
        <v>79</v>
      </c>
      <c r="D9" s="32" t="inlineStr">
        <is>
          <t>kPa</t>
        </is>
      </c>
      <c r="E9" s="32" t="inlineStr">
        <is>
          <t>Loja (aprox.)</t>
        </is>
      </c>
    </row>
    <row r="10" ht="15" customHeight="1" s="15">
      <c r="A10" s="32" t="inlineStr">
        <is>
          <t>Temperatura del aire a nivel del mar</t>
        </is>
      </c>
      <c r="B10" s="32" t="inlineStr">
        <is>
          <t>T0</t>
        </is>
      </c>
      <c r="C10" s="33" t="n">
        <v>25</v>
      </c>
      <c r="D10" s="32" t="inlineStr">
        <is>
          <t>°C</t>
        </is>
      </c>
      <c r="E10" s="32" t="inlineStr">
        <is>
          <t>Referencia de ajuste del carburador</t>
        </is>
      </c>
    </row>
    <row r="11" ht="15" customHeight="1" s="15">
      <c r="A11" s="32" t="inlineStr">
        <is>
          <t>Temperatura del aire local</t>
        </is>
      </c>
      <c r="B11" s="32" t="inlineStr">
        <is>
          <t>T_loc</t>
        </is>
      </c>
      <c r="C11" s="33" t="n">
        <v>18</v>
      </c>
      <c r="D11" s="32" t="inlineStr">
        <is>
          <t>°C</t>
        </is>
      </c>
      <c r="E11" s="32" t="inlineStr">
        <is>
          <t>Loja (aprox.)</t>
        </is>
      </c>
    </row>
    <row r="12" ht="15" customHeight="1" s="15">
      <c r="A12" s="32" t="inlineStr">
        <is>
          <t>Constante del aire</t>
        </is>
      </c>
      <c r="B12" s="32" t="inlineStr">
        <is>
          <t>R</t>
        </is>
      </c>
      <c r="C12" s="33" t="n">
        <v>287</v>
      </c>
      <c r="D12" s="32" t="inlineStr">
        <is>
          <t>J/(kg·K)</t>
        </is>
      </c>
      <c r="E12" s="32" t="n"/>
    </row>
    <row r="13"/>
    <row r="14" ht="15" customHeight="1" s="15">
      <c r="A14" s="34" t="inlineStr">
        <is>
          <t>1. Relación aire/combustible y factor lambda (ejercicios)</t>
        </is>
      </c>
    </row>
    <row r="15" ht="31.5" customHeight="1" s="15">
      <c r="A15" s="31" t="inlineStr">
        <is>
          <t>Caso</t>
        </is>
      </c>
      <c r="B15" s="31" t="inlineStr">
        <is>
          <t>Aire (kg/h)</t>
        </is>
      </c>
      <c r="C15" s="31" t="inlineStr">
        <is>
          <t>Combustible (kg/h)</t>
        </is>
      </c>
      <c r="D15" s="31" t="inlineStr">
        <is>
          <t>A/C</t>
        </is>
      </c>
      <c r="E15" s="31" t="inlineStr">
        <is>
          <t>λ</t>
        </is>
      </c>
      <c r="F15" s="31" t="inlineStr">
        <is>
          <t>Tipo de mezcla</t>
        </is>
      </c>
      <c r="G15" s="31" t="inlineStr">
        <is>
          <t>Uso típico</t>
        </is>
      </c>
    </row>
    <row r="16" ht="15" customHeight="1" s="15">
      <c r="A16" s="35" t="inlineStr">
        <is>
          <t>Arranque en frío</t>
        </is>
      </c>
      <c r="B16" s="36" t="n">
        <v>60</v>
      </c>
      <c r="C16" s="36" t="n">
        <v>7.5</v>
      </c>
      <c r="D16" s="37">
        <f>IF(OR(B16="",C16=""),"",B16/C16)</f>
        <v/>
      </c>
      <c r="E16" s="38">
        <f>IF(D16="","",D16/$C$6)</f>
        <v/>
      </c>
      <c r="F16" s="39">
        <f>IF(E16="","",IF(E16&lt;0.97,"Rica",IF(E16&lt;=1.03,"Estequiométrica","Pobre")))</f>
        <v/>
      </c>
      <c r="G16" s="39">
        <f>IF(E16="","",IF(E16&lt;0.8,"Arranque en frío / aceleración",IF(E16&lt;0.97,"Ralentí o potencia máxima",IF(E16&lt;=1.03,"Catalizador de tres vías","Economía en carga parcial"))))</f>
        <v/>
      </c>
    </row>
    <row r="17" ht="15" customHeight="1" s="15">
      <c r="A17" s="35" t="inlineStr">
        <is>
          <t>Ralentí</t>
        </is>
      </c>
      <c r="B17" s="36" t="n">
        <v>12</v>
      </c>
      <c r="C17" s="36" t="n">
        <v>0.92</v>
      </c>
      <c r="D17" s="37">
        <f>IF(OR(B17="",C17=""),"",B17/C17)</f>
        <v/>
      </c>
      <c r="E17" s="38">
        <f>IF(D17="","",D17/$C$6)</f>
        <v/>
      </c>
      <c r="F17" s="39">
        <f>IF(E17="","",IF(E17&lt;0.97,"Rica",IF(E17&lt;=1.03,"Estequiométrica","Pobre")))</f>
        <v/>
      </c>
      <c r="G17" s="39">
        <f>IF(E17="","",IF(E17&lt;0.8,"Arranque en frío / aceleración",IF(E17&lt;0.97,"Ralentí o potencia máxima",IF(E17&lt;=1.03,"Catalizador de tres vías","Economía en carga parcial"))))</f>
        <v/>
      </c>
    </row>
    <row r="18" ht="15" customHeight="1" s="15">
      <c r="A18" s="35" t="inlineStr">
        <is>
          <t>Carga parcial</t>
        </is>
      </c>
      <c r="B18" s="36" t="n">
        <v>120</v>
      </c>
      <c r="C18" s="36" t="n">
        <v>7.9</v>
      </c>
      <c r="D18" s="37">
        <f>IF(OR(B18="",C18=""),"",B18/C18)</f>
        <v/>
      </c>
      <c r="E18" s="38">
        <f>IF(D18="","",D18/$C$6)</f>
        <v/>
      </c>
      <c r="F18" s="39">
        <f>IF(E18="","",IF(E18&lt;0.97,"Rica",IF(E18&lt;=1.03,"Estequiométrica","Pobre")))</f>
        <v/>
      </c>
      <c r="G18" s="39">
        <f>IF(E18="","",IF(E18&lt;0.8,"Arranque en frío / aceleración",IF(E18&lt;0.97,"Ralentí o potencia máxima",IF(E18&lt;=1.03,"Catalizador de tres vías","Economía en carga parcial"))))</f>
        <v/>
      </c>
    </row>
    <row r="19" ht="15" customHeight="1" s="15">
      <c r="A19" s="35" t="inlineStr">
        <is>
          <t>Plena carga</t>
        </is>
      </c>
      <c r="B19" s="36" t="n">
        <v>300</v>
      </c>
      <c r="C19" s="36" t="n">
        <v>23.5</v>
      </c>
      <c r="D19" s="37">
        <f>IF(OR(B19="",C19=""),"",B19/C19)</f>
        <v/>
      </c>
      <c r="E19" s="38">
        <f>IF(D19="","",D19/$C$6)</f>
        <v/>
      </c>
      <c r="F19" s="39">
        <f>IF(E19="","",IF(E19&lt;0.97,"Rica",IF(E19&lt;=1.03,"Estequiométrica","Pobre")))</f>
        <v/>
      </c>
      <c r="G19" s="39">
        <f>IF(E19="","",IF(E19&lt;0.8,"Arranque en frío / aceleración",IF(E19&lt;0.97,"Ralentí o potencia máxima",IF(E19&lt;=1.03,"Catalizador de tres vías","Economía en carga parcial"))))</f>
        <v/>
      </c>
    </row>
    <row r="20" ht="15" customHeight="1" s="15">
      <c r="A20" s="35" t="inlineStr">
        <is>
          <t>Motor del laboratorio</t>
        </is>
      </c>
      <c r="B20" s="36" t="n"/>
      <c r="C20" s="36" t="n"/>
      <c r="D20" s="37">
        <f>IF(OR(B20="",C20=""),"",B20/C20)</f>
        <v/>
      </c>
      <c r="E20" s="38">
        <f>IF(D20="","",D20/$C$6)</f>
        <v/>
      </c>
      <c r="F20" s="39">
        <f>IF(E20="","",IF(E20&lt;0.97,"Rica",IF(E20&lt;=1.03,"Estequiométrica","Pobre")))</f>
        <v/>
      </c>
      <c r="G20" s="39">
        <f>IF(E20="","",IF(E20&lt;0.8,"Arranque en frío / aceleración",IF(E20&lt;0.97,"Ralentí o potencia máxima",IF(E20&lt;=1.03,"Catalizador de tres vías","Economía en carga parcial"))))</f>
        <v/>
      </c>
    </row>
    <row r="21"/>
    <row r="22" ht="15" customHeight="1" s="15">
      <c r="A22" s="34" t="inlineStr">
        <is>
          <t>2. Efecto de la altitud sobre la mezcla de un carburador</t>
        </is>
      </c>
    </row>
    <row r="23" ht="31.5" customHeight="1" s="15">
      <c r="A23" s="31" t="inlineStr">
        <is>
          <t>Magnitud</t>
        </is>
      </c>
      <c r="B23" s="31" t="inlineStr">
        <is>
          <t>Ecuación</t>
        </is>
      </c>
      <c r="C23" s="31" t="inlineStr">
        <is>
          <t>Valor</t>
        </is>
      </c>
      <c r="D23" s="31" t="inlineStr">
        <is>
          <t>Unidad</t>
        </is>
      </c>
    </row>
    <row r="24" ht="15" customHeight="1" s="15">
      <c r="A24" s="35" t="inlineStr">
        <is>
          <t>Densidad del aire a nivel del mar</t>
        </is>
      </c>
      <c r="B24" s="32" t="inlineStr">
        <is>
          <t>ρ0 = P0/(R·T0)</t>
        </is>
      </c>
      <c r="C24" s="38">
        <f>C8*1000/(C12*(C10+273.15))</f>
        <v/>
      </c>
      <c r="D24" s="32" t="inlineStr">
        <is>
          <t>kg/m³</t>
        </is>
      </c>
    </row>
    <row r="25" ht="15" customHeight="1" s="15">
      <c r="A25" s="35" t="inlineStr">
        <is>
          <t>Densidad del aire local</t>
        </is>
      </c>
      <c r="B25" s="32" t="inlineStr">
        <is>
          <t>ρ = P/(R·T)</t>
        </is>
      </c>
      <c r="C25" s="38">
        <f>C9*1000/(C12*(C11+273.15))</f>
        <v/>
      </c>
      <c r="D25" s="32" t="inlineStr">
        <is>
          <t>kg/m³</t>
        </is>
      </c>
    </row>
    <row r="26" ht="15" customHeight="1" s="15">
      <c r="A26" s="35" t="inlineStr">
        <is>
          <t>Relación de densidades</t>
        </is>
      </c>
      <c r="B26" s="32" t="inlineStr">
        <is>
          <t>ρ/ρ0</t>
        </is>
      </c>
      <c r="C26" s="38">
        <f>C25/C24</f>
        <v/>
      </c>
      <c r="D26" s="32" t="inlineStr">
        <is>
          <t>—</t>
        </is>
      </c>
    </row>
    <row r="27" ht="15" customHeight="1" s="15">
      <c r="A27" s="35" t="inlineStr">
        <is>
          <t>Factor de variación de A/C (carburador)</t>
        </is>
      </c>
      <c r="B27" s="32" t="inlineStr">
        <is>
          <t>√(ρ/ρ0)</t>
        </is>
      </c>
      <c r="C27" s="38">
        <f>SQRT(C26)</f>
        <v/>
      </c>
      <c r="D27" s="32" t="inlineStr">
        <is>
          <t>—</t>
        </is>
      </c>
    </row>
    <row r="28" ht="15" customHeight="1" s="15">
      <c r="A28" s="35" t="inlineStr">
        <is>
          <t>λ en Loja si a nivel del mar λ = 1</t>
        </is>
      </c>
      <c r="B28" s="32" t="inlineStr">
        <is>
          <t>λ_loc = λ0·√(ρ/ρ0)</t>
        </is>
      </c>
      <c r="C28" s="38">
        <f>1*C27</f>
        <v/>
      </c>
      <c r="D28" s="32" t="inlineStr">
        <is>
          <t>—</t>
        </is>
      </c>
    </row>
    <row r="29" ht="15" customHeight="1" s="15">
      <c r="A29" s="35" t="inlineStr">
        <is>
          <t>Enriquecimiento de la mezcla</t>
        </is>
      </c>
      <c r="B29" s="32" t="inlineStr">
        <is>
          <t>(1 − √(ρ/ρ0))·100</t>
        </is>
      </c>
      <c r="C29" s="38">
        <f>(1-C27)*100</f>
        <v/>
      </c>
      <c r="D29" s="32" t="inlineStr">
        <is>
          <t>%</t>
        </is>
      </c>
    </row>
    <row r="30" ht="15" customHeight="1" s="15">
      <c r="A30" s="35" t="inlineStr">
        <is>
          <t>Pérdida de masa de aire (potencia atmosférica)</t>
        </is>
      </c>
      <c r="B30" s="32" t="inlineStr">
        <is>
          <t>(1 − ρ/ρ0)·100</t>
        </is>
      </c>
      <c r="C30" s="38">
        <f>(1-C26)*100</f>
        <v/>
      </c>
      <c r="D30" s="32" t="inlineStr">
        <is>
          <t>%</t>
        </is>
      </c>
    </row>
    <row r="31"/>
    <row r="32" ht="15" customHeight="1" s="15">
      <c r="A32" s="40" t="inlineStr">
        <is>
          <t>En el carburador el caudal de aire y de gasolina dependen de la depresión del difusor; la relación A/C varía aproximadamente con √ρ_aire, por eso la mezcla se enriquece en altura.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27" min="1" max="1"/>
    <col width="28" customWidth="1" style="27" min="2" max="2"/>
    <col width="18" customWidth="1" style="27" min="3" max="4"/>
    <col width="8" customWidth="1" style="27" min="5" max="5"/>
    <col width="30" customWidth="1" style="27" min="6" max="6"/>
  </cols>
  <sheetData>
    <row r="1" ht="17.35" customHeight="1" s="15">
      <c r="A1" s="28" t="inlineStr">
        <is>
          <t>Comprobación de la bomba de combustible y los filtros</t>
        </is>
      </c>
    </row>
    <row r="2" ht="15" customHeight="1" s="15">
      <c r="A2" s="29" t="inlineStr">
        <is>
          <t>Caudal = volumen/tiempo</t>
        </is>
      </c>
    </row>
    <row r="3" ht="15" customHeight="1" s="15">
      <c r="A3" s="30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5">
      <c r="A5" s="31" t="inlineStr">
        <is>
          <t>Comprobación</t>
        </is>
      </c>
      <c r="B5" s="31" t="inlineStr">
        <is>
          <t>Medido</t>
        </is>
      </c>
      <c r="C5" s="31" t="inlineStr">
        <is>
          <t>Especificación mín.</t>
        </is>
      </c>
      <c r="D5" s="31" t="inlineStr">
        <is>
          <t>Especificación máx.</t>
        </is>
      </c>
      <c r="E5" s="31" t="inlineStr">
        <is>
          <t>Unidad</t>
        </is>
      </c>
      <c r="F5" s="31" t="inlineStr">
        <is>
          <t>Resultado</t>
        </is>
      </c>
    </row>
    <row r="6" ht="15" customHeight="1" s="15">
      <c r="A6" s="35" t="inlineStr">
        <is>
          <t>Presión de la bomba en ralentí</t>
        </is>
      </c>
      <c r="B6" s="36" t="n"/>
      <c r="C6" s="41">
        <f>Motor!$H$7</f>
        <v/>
      </c>
      <c r="D6" s="41">
        <f>Motor!$H$8</f>
        <v/>
      </c>
      <c r="E6" s="32" t="inlineStr">
        <is>
          <t>bar</t>
        </is>
      </c>
      <c r="F6" s="39">
        <f>IF(COUNTA(B6)=0,"",IF(AND(B6&gt;=C6,B6&lt;=D6),"Correcto","Fuera de especificación"))</f>
        <v/>
      </c>
    </row>
    <row r="7" ht="15" customHeight="1" s="15">
      <c r="A7" s="35" t="inlineStr">
        <is>
          <t>Presión a 2000 rpm</t>
        </is>
      </c>
      <c r="B7" s="36" t="n"/>
      <c r="C7" s="41">
        <f>Motor!$H$7</f>
        <v/>
      </c>
      <c r="D7" s="41">
        <f>Motor!$H$8</f>
        <v/>
      </c>
      <c r="E7" s="32" t="inlineStr">
        <is>
          <t>bar</t>
        </is>
      </c>
      <c r="F7" s="39">
        <f>IF(COUNTA(B7)=0,"",IF(AND(B7&gt;=C7,B7&lt;=D7),"Correcto","Fuera de especificación"))</f>
        <v/>
      </c>
    </row>
    <row r="8" ht="15" customHeight="1" s="15">
      <c r="A8" s="35" t="inlineStr">
        <is>
          <t>Caída de presión en 1 min (motor apagado)</t>
        </is>
      </c>
      <c r="B8" s="36" t="n"/>
      <c r="C8" s="36" t="n">
        <v>0</v>
      </c>
      <c r="D8" s="36" t="n">
        <v>0.05</v>
      </c>
      <c r="E8" s="32" t="inlineStr">
        <is>
          <t>bar</t>
        </is>
      </c>
      <c r="F8" s="39">
        <f>IF(COUNTA(B8)=0,"",IF(AND(B8&gt;=C8,B8&lt;=D8),"Correcto","Fuera de especificación"))</f>
        <v/>
      </c>
    </row>
    <row r="9" ht="15" customHeight="1" s="15">
      <c r="A9" s="35" t="inlineStr">
        <is>
          <t>Volumen recogido</t>
        </is>
      </c>
      <c r="B9" s="36" t="n"/>
      <c r="C9" s="36" t="n"/>
      <c r="D9" s="36" t="n"/>
      <c r="E9" s="32" t="inlineStr">
        <is>
          <t>mL</t>
        </is>
      </c>
    </row>
    <row r="10" ht="15" customHeight="1" s="15">
      <c r="A10" s="35" t="inlineStr">
        <is>
          <t>Tiempo de medición</t>
        </is>
      </c>
      <c r="B10" s="36" t="n"/>
      <c r="C10" s="36" t="n"/>
      <c r="D10" s="36" t="n"/>
      <c r="E10" s="32" t="inlineStr">
        <is>
          <t>s</t>
        </is>
      </c>
    </row>
    <row r="11" ht="15" customHeight="1" s="15">
      <c r="A11" s="35" t="inlineStr">
        <is>
          <t>Caudal de la bomba</t>
        </is>
      </c>
      <c r="B11" s="37">
        <f>IF(COUNTA(B9,B10)=0,"",B9/B10*3.6)</f>
        <v/>
      </c>
      <c r="C11" s="41">
        <f>Motor!$H$9</f>
        <v/>
      </c>
      <c r="D11" s="42" t="n"/>
      <c r="E11" s="32" t="inlineStr">
        <is>
          <t>L/h</t>
        </is>
      </c>
      <c r="F11" s="39">
        <f>IF(COUNTA(B9,B10)=0,"",IF(B11&gt;=C11,"Correcto","Caudal insuficiente"))</f>
        <v/>
      </c>
    </row>
    <row r="12" ht="15" customHeight="1" s="15">
      <c r="A12" s="35" t="inlineStr">
        <is>
          <t>Caudal másico</t>
        </is>
      </c>
      <c r="B12" s="37">
        <f>IF(COUNTA(B9,B10)=0,"",B11*Mezcla!$C$7)</f>
        <v/>
      </c>
      <c r="E12" s="32" t="inlineStr">
        <is>
          <t>kg/h</t>
        </is>
      </c>
    </row>
    <row r="13" ht="15" customHeight="1" s="15">
      <c r="A13" s="35" t="inlineStr">
        <is>
          <t>Caudal para el consumo máximo del motor</t>
        </is>
      </c>
      <c r="B13" s="36" t="n">
        <v>12</v>
      </c>
      <c r="E13" s="32" t="inlineStr">
        <is>
          <t>L/h</t>
        </is>
      </c>
      <c r="F13" s="39">
        <f>IF(COUNTA(B9,B10)=0,"",IF(B11&gt;=1.5*B13,"Margen suficiente (≥ 1,5 veces)","Margen insuficiente"))</f>
        <v/>
      </c>
    </row>
    <row r="14"/>
    <row r="15" ht="31.5" customHeight="1" s="15">
      <c r="A15" s="31" t="inlineStr">
        <is>
          <t>Filtro</t>
        </is>
      </c>
      <c r="B15" s="31" t="inlineStr">
        <is>
          <t>Estado (Bueno / Saturado / Dañado)</t>
        </is>
      </c>
      <c r="C15" s="31" t="inlineStr">
        <is>
          <t>Acción</t>
        </is>
      </c>
    </row>
    <row r="16" ht="15" customHeight="1" s="15">
      <c r="A16" s="35" t="inlineStr">
        <is>
          <t>Filtro de aire</t>
        </is>
      </c>
      <c r="B16" s="42" t="n"/>
      <c r="C16" s="39">
        <f>IF(COUNTA(B16)=0,"",IF(B16="Bueno","Mantener",IF(B16="Saturado","Limpiar o sustituir","Sustituir")))</f>
        <v/>
      </c>
    </row>
    <row r="17" ht="15" customHeight="1" s="15">
      <c r="A17" s="35" t="inlineStr">
        <is>
          <t>Filtro de combustible</t>
        </is>
      </c>
      <c r="B17" s="42" t="n"/>
      <c r="C17" s="39">
        <f>IF(COUNTA(B17)=0,"",IF(B17="Bueno","Mantener",IF(B17="Saturado","Limpiar o sustituir","Sustituir")))</f>
        <v/>
      </c>
    </row>
    <row r="18" ht="15" customHeight="1" s="15">
      <c r="A18" s="35" t="inlineStr">
        <is>
          <t>Malla de entrada del carburador</t>
        </is>
      </c>
      <c r="B18" s="42" t="n"/>
      <c r="C18" s="39">
        <f>IF(COUNTA(B18)=0,"",IF(B18="Bueno","Mantener",IF(B18="Saturado","Limpiar o sustituir","Sustituir")))</f>
        <v/>
      </c>
    </row>
    <row r="19"/>
    <row r="20" ht="15" customHeight="1" s="15">
      <c r="A20" s="40" t="inlineStr">
        <is>
          <t>Especificaciones orientativas para bombas mecánicas de carburador; use las del manual del vehículo.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3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drawing r:id="rIdDrw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2026-09-15T22:06:00Z</dcterms:created>
  <dcterms:modified xmlns:dcterms="http://purl.org/dc/terms/" xmlns:xsi="http://www.w3.org/2001/XMLSchema-instance" xsi:type="dcterms:W3CDTF">2026-10-16T11:46:45Z</dcterms:modified>
  <cp:revision>1</cp:revision>
</cp:coreProperties>
</file>