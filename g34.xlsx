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not" sheetId="1" state="visible" r:id="rId3"/>
    <sheet name="Puntos" sheetId="2" state="visible" r:id="rId4"/>
    <sheet name="Graficas" sheetId="3" state="visible" r:id="rId5"/>
    <sheet name="Parametric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<sst xmlns="http://schemas.openxmlformats.org/spreadsheetml/2006/main" count="186" uniqueCount="87">
  <si>
    <t xml:space="preserve">GUÍA 5 – CICLO DE CARNOT: DIAGRAMAS P–v, T–s Y T–v</t>
  </si>
  <si>
    <t xml:space="preserve">η = 1 − T_L/T_H</t>
  </si>
  <si>
    <t xml:space="preserve">Leyenda: celdas amarillas con texto azul = datos de entrada (editar). Texto negro = fórmulas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</si>
  <si>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</si>
  <si>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</si>
  <si>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</si>
  <si>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</si>
  <si>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</si>
  <si>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Temperatura del foco caliente</t>
  </si>
  <si>
    <t xml:space="preserve">T_H</t>
  </si>
  <si>
    <t xml:space="preserve">K</t>
  </si>
  <si>
    <t xml:space="preserve">Temperatura del foco frío</t>
  </si>
  <si>
    <t xml:space="preserve">T_L</t>
  </si>
  <si>
    <t xml:space="preserve">Volumen específico en 1</t>
  </si>
  <si>
    <t xml:space="preserve">v1</t>
  </si>
  <si>
    <t xml:space="preserve">m³/kg</t>
  </si>
  <si>
    <t xml:space="preserve">Volumen específico en 2</t>
  </si>
  <si>
    <t xml:space="preserve">v2</t>
  </si>
  <si>
    <t xml:space="preserve">Constante del aire</t>
  </si>
  <si>
    <t xml:space="preserve">R</t>
  </si>
  <si>
    <t xml:space="preserve">kJ/(kg·K)</t>
  </si>
  <si>
    <t xml:space="preserve">Relación de calores específicos γ</t>
  </si>
  <si>
    <t xml:space="preserve">g</t>
  </si>
  <si>
    <t xml:space="preserve">—</t>
  </si>
  <si>
    <t xml:space="preserve">Calor específico a v cte</t>
  </si>
  <si>
    <t xml:space="preserve">cv</t>
  </si>
  <si>
    <t xml:space="preserve">Masa de fluido</t>
  </si>
  <si>
    <t xml:space="preserve">m</t>
  </si>
  <si>
    <t xml:space="preserve">kg</t>
  </si>
  <si>
    <t xml:space="preserve">Estados del ciclo (s referida al estado 1)</t>
  </si>
  <si>
    <t xml:space="preserve">Estado</t>
  </si>
  <si>
    <t xml:space="preserve">P (kPa)</t>
  </si>
  <si>
    <t xml:space="preserve">T (K)</t>
  </si>
  <si>
    <t xml:space="preserve">v (m³/kg)</t>
  </si>
  <si>
    <t xml:space="preserve">s (kJ/kg·K)</t>
  </si>
  <si>
    <t xml:space="preserve">V (m³)</t>
  </si>
  <si>
    <t xml:space="preserve">Balance por proceso (por unidad de masa): Q − W = ΔU</t>
  </si>
  <si>
    <t xml:space="preserve">Proceso</t>
  </si>
  <si>
    <t xml:space="preserve">Tipo</t>
  </si>
  <si>
    <t xml:space="preserve">Q (kJ/kg)</t>
  </si>
  <si>
    <t xml:space="preserve">W (kJ/kg)</t>
  </si>
  <si>
    <t xml:space="preserve">ΔU (kJ/kg)</t>
  </si>
  <si>
    <t xml:space="preserve">Δs (kJ/kg·K)</t>
  </si>
  <si>
    <t xml:space="preserve">Q − W − ΔU</t>
  </si>
  <si>
    <t xml:space="preserve">1→2</t>
  </si>
  <si>
    <t xml:space="preserve">Expansión isotérmica</t>
  </si>
  <si>
    <t xml:space="preserve">2→3</t>
  </si>
  <si>
    <t xml:space="preserve">Expansión adiabática</t>
  </si>
  <si>
    <t xml:space="preserve">3→4</t>
  </si>
  <si>
    <t xml:space="preserve">Compresión isotérmica</t>
  </si>
  <si>
    <t xml:space="preserve">4→1</t>
  </si>
  <si>
    <t xml:space="preserve">Compresión adiabática</t>
  </si>
  <si>
    <t xml:space="preserve">Ciclo</t>
  </si>
  <si>
    <t xml:space="preserve">Convención: Q &gt; 0 recibido por el gas; W &gt; 0 realizado por el gas. En el ciclo ΔU = 0 y Δs = 0 (pequeñas diferencias se deben a redondeos de c_p y c_v).</t>
  </si>
  <si>
    <t xml:space="preserve">Resultados del ciclo</t>
  </si>
  <si>
    <t xml:space="preserve">Magnitud</t>
  </si>
  <si>
    <t xml:space="preserve">Ecuación</t>
  </si>
  <si>
    <t xml:space="preserve">Calor aportado</t>
  </si>
  <si>
    <t xml:space="preserve">q_ent</t>
  </si>
  <si>
    <t xml:space="preserve">kJ/kg</t>
  </si>
  <si>
    <t xml:space="preserve">Calor cedido</t>
  </si>
  <si>
    <t xml:space="preserve">q_sal</t>
  </si>
  <si>
    <t xml:space="preserve">Trabajo neto</t>
  </si>
  <si>
    <t xml:space="preserve">w = Σ W</t>
  </si>
  <si>
    <t xml:space="preserve">Eficiencia térmica (balance)</t>
  </si>
  <si>
    <t xml:space="preserve">η = w/q_ent</t>
  </si>
  <si>
    <t xml:space="preserve">%</t>
  </si>
  <si>
    <t xml:space="preserve">Eficiencia de Carnot (fórmula)</t>
  </si>
  <si>
    <t xml:space="preserve">Eficiencia de Carnot entre T máx y T mín</t>
  </si>
  <si>
    <t xml:space="preserve">η_C = 1 − T_mín/T_máx</t>
  </si>
  <si>
    <t xml:space="preserve">Temperatura media de aporte de calor</t>
  </si>
  <si>
    <t xml:space="preserve">T_m = q_ent/Δs_ent</t>
  </si>
  <si>
    <t xml:space="preserve">Presión media efectiva</t>
  </si>
  <si>
    <t xml:space="preserve">PME = w/(v_máx − v_mín)</t>
  </si>
  <si>
    <t xml:space="preserve">kPa</t>
  </si>
  <si>
    <t xml:space="preserve">Presión máxima</t>
  </si>
  <si>
    <t xml:space="preserve">P_máx</t>
  </si>
  <si>
    <t xml:space="preserve">Temperatura máxima</t>
  </si>
  <si>
    <t xml:space="preserve">T_máx</t>
  </si>
  <si>
    <t xml:space="preserve">Puntos de los diagramas (20 por proceso)</t>
  </si>
  <si>
    <t xml:space="preserve">Columnas: proceso, fracción, v, T, P, s, V</t>
  </si>
  <si>
    <t xml:space="preserve">t</t>
  </si>
  <si>
    <t xml:space="preserve">Eficiencia de Carnot en función de T_H</t>
  </si>
  <si>
    <t xml:space="preserve">T_L constante</t>
  </si>
  <si>
    <t xml:space="preserve">T_H (K)</t>
  </si>
  <si>
    <t xml:space="preserve">η Carnot (%)</t>
  </si>
  <si>
    <t xml:space="preserve">W_neto (kJ/kg)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</si>
</sst>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0.0000"/>
    <numFmt numFmtId="168" formatCode="0.00000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59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0.15</c:v>
                </c:pt>
                <c:pt idx="1">
                  <c:v>0.1605264</c:v>
                </c:pt>
                <c:pt idx="2">
                  <c:v>0.1710526</c:v>
                </c:pt>
                <c:pt idx="3">
                  <c:v>0.181579</c:v>
                </c:pt>
                <c:pt idx="4">
                  <c:v>0.1921052</c:v>
                </c:pt>
                <c:pt idx="5">
                  <c:v>0.2026316</c:v>
                </c:pt>
                <c:pt idx="6">
                  <c:v>0.2131578</c:v>
                </c:pt>
                <c:pt idx="7">
                  <c:v>0.2236842</c:v>
                </c:pt>
                <c:pt idx="8">
                  <c:v>0.2342106</c:v>
                </c:pt>
                <c:pt idx="9">
                  <c:v>0.2447368</c:v>
                </c:pt>
                <c:pt idx="10">
                  <c:v>0.2552632</c:v>
                </c:pt>
                <c:pt idx="11">
                  <c:v>0.2657894</c:v>
                </c:pt>
                <c:pt idx="12">
                  <c:v>0.2763158</c:v>
                </c:pt>
                <c:pt idx="13">
                  <c:v>0.2868422</c:v>
                </c:pt>
                <c:pt idx="14">
                  <c:v>0.2973684</c:v>
                </c:pt>
                <c:pt idx="15">
                  <c:v>0.3078948</c:v>
                </c:pt>
                <c:pt idx="16">
                  <c:v>0.318421</c:v>
                </c:pt>
                <c:pt idx="17">
                  <c:v>0.3289474</c:v>
                </c:pt>
                <c:pt idx="18">
                  <c:v>0.3394736</c:v>
                </c:pt>
                <c:pt idx="19">
                  <c:v>0.35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1339.33333333333</c:v>
                </c:pt>
                <c:pt idx="1">
                  <c:v>1251.50754019277</c:v>
                </c:pt>
                <c:pt idx="2">
                  <c:v>1174.4925245217</c:v>
                </c:pt>
                <c:pt idx="3">
                  <c:v>1106.40547640421</c:v>
                </c:pt>
                <c:pt idx="4">
                  <c:v>1045.78116573627</c:v>
                </c:pt>
                <c:pt idx="5">
                  <c:v>991.454442446292</c:v>
                </c:pt>
                <c:pt idx="6">
                  <c:v>942.494246046825</c:v>
                </c:pt>
                <c:pt idx="7">
                  <c:v>898.141218736057</c:v>
                </c:pt>
                <c:pt idx="8">
                  <c:v>857.775011037075</c:v>
                </c:pt>
                <c:pt idx="9">
                  <c:v>820.881861657094</c:v>
                </c:pt>
                <c:pt idx="10">
                  <c:v>787.030798015539</c:v>
                </c:pt>
                <c:pt idx="11">
                  <c:v>755.861595684403</c:v>
                </c:pt>
                <c:pt idx="12">
                  <c:v>727.06663896889</c:v>
                </c:pt>
                <c:pt idx="13">
                  <c:v>700.385089781071</c:v>
                </c:pt>
                <c:pt idx="14">
                  <c:v>675.592968183573</c:v>
                </c:pt>
                <c:pt idx="15">
                  <c:v>652.495592650477</c:v>
                </c:pt>
                <c:pt idx="16">
                  <c:v>630.925724119955</c:v>
                </c:pt>
                <c:pt idx="17">
                  <c:v>610.73594136935</c:v>
                </c:pt>
                <c:pt idx="18">
                  <c:v>591.798596415156</c:v>
                </c:pt>
                <c:pt idx="19">
                  <c:v>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0.35</c:v>
                </c:pt>
                <c:pt idx="1">
                  <c:v>0.484779193563115</c:v>
                </c:pt>
                <c:pt idx="2">
                  <c:v>0.619555826342039</c:v>
                </c:pt>
                <c:pt idx="3">
                  <c:v>0.754335019905154</c:v>
                </c:pt>
                <c:pt idx="4">
                  <c:v>0.889111652684077</c:v>
                </c:pt>
                <c:pt idx="5">
                  <c:v>1.02389084624719</c:v>
                </c:pt>
                <c:pt idx="6">
                  <c:v>1.15866747902612</c:v>
                </c:pt>
                <c:pt idx="7">
                  <c:v>1.29344667258923</c:v>
                </c:pt>
                <c:pt idx="8">
                  <c:v>1.42822586615235</c:v>
                </c:pt>
                <c:pt idx="9">
                  <c:v>1.56300249893127</c:v>
                </c:pt>
                <c:pt idx="10">
                  <c:v>1.69778169249439</c:v>
                </c:pt>
                <c:pt idx="11">
                  <c:v>1.83255832527331</c:v>
                </c:pt>
                <c:pt idx="12">
                  <c:v>1.96733751883642</c:v>
                </c:pt>
                <c:pt idx="13">
                  <c:v>2.10211671239954</c:v>
                </c:pt>
                <c:pt idx="14">
                  <c:v>2.23689334517846</c:v>
                </c:pt>
                <c:pt idx="15">
                  <c:v>2.37167253874158</c:v>
                </c:pt>
                <c:pt idx="16">
                  <c:v>2.5064491715205</c:v>
                </c:pt>
                <c:pt idx="17">
                  <c:v>2.64122836508362</c:v>
                </c:pt>
                <c:pt idx="18">
                  <c:v>2.77600499786254</c:v>
                </c:pt>
                <c:pt idx="19">
                  <c:v>2.91078419142566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574</c:v>
                </c:pt>
                <c:pt idx="1">
                  <c:v>363.785675198491</c:v>
                </c:pt>
                <c:pt idx="2">
                  <c:v>258.044454813848</c:v>
                </c:pt>
                <c:pt idx="3">
                  <c:v>195.892214641252</c:v>
                </c:pt>
                <c:pt idx="4">
                  <c:v>155.621046506049</c:v>
                </c:pt>
                <c:pt idx="5">
                  <c:v>127.717976741101</c:v>
                </c:pt>
                <c:pt idx="6">
                  <c:v>107.414969612693</c:v>
                </c:pt>
                <c:pt idx="7">
                  <c:v>92.0787076852294</c:v>
                </c:pt>
                <c:pt idx="8">
                  <c:v>80.1477809647752</c:v>
                </c:pt>
                <c:pt idx="9">
                  <c:v>70.6421019517584</c:v>
                </c:pt>
                <c:pt idx="10">
                  <c:v>62.9176611037173</c:v>
                </c:pt>
                <c:pt idx="11">
                  <c:v>56.5361494303791</c:v>
                </c:pt>
                <c:pt idx="12">
                  <c:v>51.1890099980646</c:v>
                </c:pt>
                <c:pt idx="13">
                  <c:v>46.653861903554</c:v>
                </c:pt>
                <c:pt idx="14">
                  <c:v>42.766505599449</c:v>
                </c:pt>
                <c:pt idx="15">
                  <c:v>39.4031134873721</c:v>
                </c:pt>
                <c:pt idx="16">
                  <c:v>36.4690702753163</c:v>
                </c:pt>
                <c:pt idx="17">
                  <c:v>33.8905659051642</c:v>
                </c:pt>
                <c:pt idx="18">
                  <c:v>31.6095864034916</c:v>
                </c:pt>
                <c:pt idx="19">
                  <c:v>29.5796576928053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2.91078419142566</c:v>
                </c:pt>
                <c:pt idx="1">
                  <c:v>2.82324110938959</c:v>
                </c:pt>
                <c:pt idx="2">
                  <c:v>2.73569969065878</c:v>
                </c:pt>
                <c:pt idx="3">
                  <c:v>2.64815660862271</c:v>
                </c:pt>
                <c:pt idx="4">
                  <c:v>2.5606151898919</c:v>
                </c:pt>
                <c:pt idx="5">
                  <c:v>2.47307210785583</c:v>
                </c:pt>
                <c:pt idx="6">
                  <c:v>2.38553068912502</c:v>
                </c:pt>
                <c:pt idx="7">
                  <c:v>2.29798760708895</c:v>
                </c:pt>
                <c:pt idx="8">
                  <c:v>2.21044452505289</c:v>
                </c:pt>
                <c:pt idx="9">
                  <c:v>2.12290310632207</c:v>
                </c:pt>
                <c:pt idx="10">
                  <c:v>2.03536002428601</c:v>
                </c:pt>
                <c:pt idx="11">
                  <c:v>1.94781860555519</c:v>
                </c:pt>
                <c:pt idx="12">
                  <c:v>1.86027552351913</c:v>
                </c:pt>
                <c:pt idx="13">
                  <c:v>1.77273244148306</c:v>
                </c:pt>
                <c:pt idx="14">
                  <c:v>1.68519102275225</c:v>
                </c:pt>
                <c:pt idx="15">
                  <c:v>1.59764794071618</c:v>
                </c:pt>
                <c:pt idx="16">
                  <c:v>1.51010652198537</c:v>
                </c:pt>
                <c:pt idx="17">
                  <c:v>1.4225634399493</c:v>
                </c:pt>
                <c:pt idx="18">
                  <c:v>1.33502202121849</c:v>
                </c:pt>
                <c:pt idx="19">
                  <c:v>1.24747893918242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29.5796576928053</c:v>
                </c:pt>
                <c:pt idx="1">
                  <c:v>30.4968639460679</c:v>
                </c:pt>
                <c:pt idx="2">
                  <c:v>31.4727527637606</c:v>
                </c:pt>
                <c:pt idx="3">
                  <c:v>32.5131828380724</c:v>
                </c:pt>
                <c:pt idx="4">
                  <c:v>33.6247321893123</c:v>
                </c:pt>
                <c:pt idx="5">
                  <c:v>34.8149978023282</c:v>
                </c:pt>
                <c:pt idx="6">
                  <c:v>36.0925979248586</c:v>
                </c:pt>
                <c:pt idx="7">
                  <c:v>37.4675649835509</c:v>
                </c:pt>
                <c:pt idx="8">
                  <c:v>38.9514412255788</c:v>
                </c:pt>
                <c:pt idx="9">
                  <c:v>40.5576682909321</c:v>
                </c:pt>
                <c:pt idx="10">
                  <c:v>42.302098386846</c:v>
                </c:pt>
                <c:pt idx="11">
                  <c:v>44.2032947803467</c:v>
                </c:pt>
                <c:pt idx="12">
                  <c:v>46.2834665679644</c:v>
                </c:pt>
                <c:pt idx="13">
                  <c:v>48.5690891559298</c:v>
                </c:pt>
                <c:pt idx="14">
                  <c:v>51.0921307065722</c:v>
                </c:pt>
                <c:pt idx="15">
                  <c:v>53.8917228293761</c:v>
                </c:pt>
                <c:pt idx="16">
                  <c:v>57.0158454032783</c:v>
                </c:pt>
                <c:pt idx="17">
                  <c:v>60.5245415298093</c:v>
                </c:pt>
                <c:pt idx="18">
                  <c:v>64.4933181861791</c:v>
                </c:pt>
                <c:pt idx="19">
                  <c:v>69.0192012832124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1.24747893918242</c:v>
                </c:pt>
                <c:pt idx="1">
                  <c:v>1.18971642765537</c:v>
                </c:pt>
                <c:pt idx="2">
                  <c:v>1.13195501360726</c:v>
                </c:pt>
                <c:pt idx="3">
                  <c:v>1.07419250208021</c:v>
                </c:pt>
                <c:pt idx="4">
                  <c:v>1.0164310880321</c:v>
                </c:pt>
                <c:pt idx="5">
                  <c:v>0.958668576505055</c:v>
                </c:pt>
                <c:pt idx="6">
                  <c:v>0.900907162456945</c:v>
                </c:pt>
                <c:pt idx="7">
                  <c:v>0.843144650929896</c:v>
                </c:pt>
                <c:pt idx="8">
                  <c:v>0.785382139402847</c:v>
                </c:pt>
                <c:pt idx="9">
                  <c:v>0.727620725354736</c:v>
                </c:pt>
                <c:pt idx="10">
                  <c:v>0.669858213827687</c:v>
                </c:pt>
                <c:pt idx="11">
                  <c:v>0.612096799779577</c:v>
                </c:pt>
                <c:pt idx="12">
                  <c:v>0.554334288252528</c:v>
                </c:pt>
                <c:pt idx="13">
                  <c:v>0.496571776725478</c:v>
                </c:pt>
                <c:pt idx="14">
                  <c:v>0.438810362677368</c:v>
                </c:pt>
                <c:pt idx="15">
                  <c:v>0.381047851150319</c:v>
                </c:pt>
                <c:pt idx="16">
                  <c:v>0.323286437102209</c:v>
                </c:pt>
                <c:pt idx="17">
                  <c:v>0.265523925575159</c:v>
                </c:pt>
                <c:pt idx="18">
                  <c:v>0.207762511527049</c:v>
                </c:pt>
                <c:pt idx="19">
                  <c:v>0.15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69.0192012832124</c:v>
                </c:pt>
                <c:pt idx="1">
                  <c:v>73.755701608147</c:v>
                </c:pt>
                <c:pt idx="2">
                  <c:v>79.0779871120499</c:v>
                </c:pt>
                <c:pt idx="3">
                  <c:v>85.0944973090713</c:v>
                </c:pt>
                <c:pt idx="4">
                  <c:v>91.9405981372016</c:v>
                </c:pt>
                <c:pt idx="5">
                  <c:v>99.788513065381</c:v>
                </c:pt>
                <c:pt idx="6">
                  <c:v>108.859011108293</c:v>
                </c:pt>
                <c:pt idx="7">
                  <c:v>119.441023328817</c:v>
                </c:pt>
                <c:pt idx="8">
                  <c:v>131.917682004218</c:v>
                </c:pt>
                <c:pt idx="9">
                  <c:v>146.807875908674</c:v>
                </c:pt>
                <c:pt idx="10">
                  <c:v>164.83157122077</c:v>
                </c:pt>
                <c:pt idx="11">
                  <c:v>187.011488917809</c:v>
                </c:pt>
                <c:pt idx="12">
                  <c:v>214.850317932202</c:v>
                </c:pt>
                <c:pt idx="13">
                  <c:v>250.634929096283</c:v>
                </c:pt>
                <c:pt idx="14">
                  <c:v>298.008612395901</c:v>
                </c:pt>
                <c:pt idx="15">
                  <c:v>363.115775180782</c:v>
                </c:pt>
                <c:pt idx="16">
                  <c:v>457.081834162922</c:v>
                </c:pt>
                <c:pt idx="17">
                  <c:v>602.10372789898</c:v>
                </c:pt>
                <c:pt idx="18">
                  <c:v>848.833242129814</c:v>
                </c:pt>
                <c:pt idx="19">
                  <c:v>1339.33333333333</c:v>
                </c:pt>
              </c:numCache>
            </c:numRef>
          </c:yVal>
          <c:smooth val="1"/>
        </c:ser>
        <c:axId val="63419968"/>
        <c:axId val="60582757"/>
      </c:scatterChart>
      <c:valAx>
        <c:axId val="634199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82757"/>
        <c:crosses val="autoZero"/>
        <c:crossBetween val="midCat"/>
      </c:valAx>
      <c:valAx>
        <c:axId val="60582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99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Puntos!$F$5:$F$24</c:f>
              <c:numCache>
                <c:formatCode>0.00000</c:formatCode>
                <c:ptCount val="20"/>
                <c:pt idx="0">
                  <c:v>0</c:v>
                </c:pt>
                <c:pt idx="1">
                  <c:v>0.019465235706562</c:v>
                </c:pt>
                <c:pt idx="2">
                  <c:v>0.0376933796069117</c:v>
                </c:pt>
                <c:pt idx="3">
                  <c:v>0.0548329361392913</c:v>
                </c:pt>
                <c:pt idx="4">
                  <c:v>0.0710060513848925</c:v>
                </c:pt>
                <c:pt idx="5">
                  <c:v>0.0863164720216716</c:v>
                </c:pt>
                <c:pt idx="6">
                  <c:v>0.10085106596689</c:v>
                </c:pt>
                <c:pt idx="7">
                  <c:v>0.114685183238322</c:v>
                </c:pt>
                <c:pt idx="8">
                  <c:v>0.127883014536729</c:v>
                </c:pt>
                <c:pt idx="9">
                  <c:v>0.14050029129012</c:v>
                </c:pt>
                <c:pt idx="10">
                  <c:v>0.152586384302157</c:v>
                </c:pt>
                <c:pt idx="11">
                  <c:v>0.164183794900558</c:v>
                </c:pt>
                <c:pt idx="12">
                  <c:v>0.175330917560026</c:v>
                </c:pt>
                <c:pt idx="13">
                  <c:v>0.186061223120224</c:v>
                </c:pt>
                <c:pt idx="14">
                  <c:v>0.196404569783341</c:v>
                </c:pt>
                <c:pt idx="15">
                  <c:v>0.206388264290229</c:v>
                </c:pt>
                <c:pt idx="16">
                  <c:v>0.216036125279728</c:v>
                </c:pt>
                <c:pt idx="17">
                  <c:v>0.225370356289243</c:v>
                </c:pt>
                <c:pt idx="18">
                  <c:v>0.234410374989477</c:v>
                </c:pt>
                <c:pt idx="19">
                  <c:v>0.243174485931127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Puntos!$F$25:$F$44</c:f>
              <c:numCache>
                <c:formatCode>0.00000</c:formatCode>
                <c:ptCount val="20"/>
                <c:pt idx="0">
                  <c:v>0.243174485931127</c:v>
                </c:pt>
                <c:pt idx="1">
                  <c:v>0.243174485931127</c:v>
                </c:pt>
                <c:pt idx="2">
                  <c:v>0.243174485931127</c:v>
                </c:pt>
                <c:pt idx="3">
                  <c:v>0.243174485931127</c:v>
                </c:pt>
                <c:pt idx="4">
                  <c:v>0.243174485931127</c:v>
                </c:pt>
                <c:pt idx="5">
                  <c:v>0.243174485931127</c:v>
                </c:pt>
                <c:pt idx="6">
                  <c:v>0.243174485931127</c:v>
                </c:pt>
                <c:pt idx="7">
                  <c:v>0.243174485931127</c:v>
                </c:pt>
                <c:pt idx="8">
                  <c:v>0.243174485931127</c:v>
                </c:pt>
                <c:pt idx="9">
                  <c:v>0.243174485931127</c:v>
                </c:pt>
                <c:pt idx="10">
                  <c:v>0.243174485931127</c:v>
                </c:pt>
                <c:pt idx="11">
                  <c:v>0.243174485931127</c:v>
                </c:pt>
                <c:pt idx="12">
                  <c:v>0.243174485931127</c:v>
                </c:pt>
                <c:pt idx="13">
                  <c:v>0.243174485931127</c:v>
                </c:pt>
                <c:pt idx="14">
                  <c:v>0.243174485931127</c:v>
                </c:pt>
                <c:pt idx="15">
                  <c:v>0.243174485931127</c:v>
                </c:pt>
                <c:pt idx="16">
                  <c:v>0.243174485931127</c:v>
                </c:pt>
                <c:pt idx="17">
                  <c:v>0.243174485931127</c:v>
                </c:pt>
                <c:pt idx="18">
                  <c:v>0.243174485931127</c:v>
                </c:pt>
                <c:pt idx="19">
                  <c:v>0.243174485931127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700</c:v>
                </c:pt>
                <c:pt idx="1">
                  <c:v>614.479882413024</c:v>
                </c:pt>
                <c:pt idx="2">
                  <c:v>557.048590366462</c:v>
                </c:pt>
                <c:pt idx="3">
                  <c:v>514.872326239281</c:v>
                </c:pt>
                <c:pt idx="4">
                  <c:v>482.106222478813</c:v>
                </c:pt>
                <c:pt idx="5">
                  <c:v>455.642046294163</c:v>
                </c:pt>
                <c:pt idx="6">
                  <c:v>433.652376483643</c:v>
                </c:pt>
                <c:pt idx="7">
                  <c:v>414.97873892605</c:v>
                </c:pt>
                <c:pt idx="8">
                  <c:v>398.847156406288</c:v>
                </c:pt>
                <c:pt idx="9">
                  <c:v>384.717010036083</c:v>
                </c:pt>
                <c:pt idx="10">
                  <c:v>372.19670089358</c:v>
                </c:pt>
                <c:pt idx="11">
                  <c:v>360.995788562847</c:v>
                </c:pt>
                <c:pt idx="12">
                  <c:v>350.892194847684</c:v>
                </c:pt>
                <c:pt idx="13">
                  <c:v>341.713807684464</c:v>
                </c:pt>
                <c:pt idx="14">
                  <c:v>333.324431261132</c:v>
                </c:pt>
                <c:pt idx="15">
                  <c:v>325.614223689611</c:v>
                </c:pt>
                <c:pt idx="16">
                  <c:v>318.494323964075</c:v>
                </c:pt>
                <c:pt idx="17">
                  <c:v>311.891024311692</c:v>
                </c:pt>
                <c:pt idx="18">
                  <c:v>305.743448907528</c:v>
                </c:pt>
                <c:pt idx="19">
                  <c:v>300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Puntos!$F$45:$F$64</c:f>
              <c:numCache>
                <c:formatCode>0.00000</c:formatCode>
                <c:ptCount val="20"/>
                <c:pt idx="0">
                  <c:v>0.243174485931127</c:v>
                </c:pt>
                <c:pt idx="1">
                  <c:v>0.234410374989477</c:v>
                </c:pt>
                <c:pt idx="2">
                  <c:v>0.225370356289243</c:v>
                </c:pt>
                <c:pt idx="3">
                  <c:v>0.216036125279728</c:v>
                </c:pt>
                <c:pt idx="4">
                  <c:v>0.206388264290229</c:v>
                </c:pt>
                <c:pt idx="5">
                  <c:v>0.196404569783341</c:v>
                </c:pt>
                <c:pt idx="6">
                  <c:v>0.186061223120224</c:v>
                </c:pt>
                <c:pt idx="7">
                  <c:v>0.175330917560026</c:v>
                </c:pt>
                <c:pt idx="8">
                  <c:v>0.164183794900558</c:v>
                </c:pt>
                <c:pt idx="9">
                  <c:v>0.152586384302157</c:v>
                </c:pt>
                <c:pt idx="10">
                  <c:v>0.14050029129012</c:v>
                </c:pt>
                <c:pt idx="11">
                  <c:v>0.127883014536729</c:v>
                </c:pt>
                <c:pt idx="12">
                  <c:v>0.114685183238322</c:v>
                </c:pt>
                <c:pt idx="13">
                  <c:v>0.10085106596689</c:v>
                </c:pt>
                <c:pt idx="14">
                  <c:v>0.0863164720216717</c:v>
                </c:pt>
                <c:pt idx="15">
                  <c:v>0.0710060513848925</c:v>
                </c:pt>
                <c:pt idx="16">
                  <c:v>0.0548329361392913</c:v>
                </c:pt>
                <c:pt idx="17">
                  <c:v>0.0376933796069117</c:v>
                </c:pt>
                <c:pt idx="18">
                  <c:v>0.0194652357065621</c:v>
                </c:pt>
                <c:pt idx="19">
                  <c:v>0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Puntos!$F$65:$F$84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300</c:v>
                </c:pt>
                <c:pt idx="1">
                  <c:v>305.743448907527</c:v>
                </c:pt>
                <c:pt idx="2">
                  <c:v>311.891024311692</c:v>
                </c:pt>
                <c:pt idx="3">
                  <c:v>318.494323964075</c:v>
                </c:pt>
                <c:pt idx="4">
                  <c:v>325.614223689611</c:v>
                </c:pt>
                <c:pt idx="5">
                  <c:v>333.324431261132</c:v>
                </c:pt>
                <c:pt idx="6">
                  <c:v>341.713807684464</c:v>
                </c:pt>
                <c:pt idx="7">
                  <c:v>350.892194847684</c:v>
                </c:pt>
                <c:pt idx="8">
                  <c:v>360.995788562847</c:v>
                </c:pt>
                <c:pt idx="9">
                  <c:v>372.19670089358</c:v>
                </c:pt>
                <c:pt idx="10">
                  <c:v>384.717010036083</c:v>
                </c:pt>
                <c:pt idx="11">
                  <c:v>398.847156406288</c:v>
                </c:pt>
                <c:pt idx="12">
                  <c:v>414.97873892605</c:v>
                </c:pt>
                <c:pt idx="13">
                  <c:v>433.652376483643</c:v>
                </c:pt>
                <c:pt idx="14">
                  <c:v>455.642046294163</c:v>
                </c:pt>
                <c:pt idx="15">
                  <c:v>482.106222478813</c:v>
                </c:pt>
                <c:pt idx="16">
                  <c:v>514.872326239281</c:v>
                </c:pt>
                <c:pt idx="17">
                  <c:v>557.048590366462</c:v>
                </c:pt>
                <c:pt idx="18">
                  <c:v>614.479882413025</c:v>
                </c:pt>
                <c:pt idx="19">
                  <c:v>700</c:v>
                </c:pt>
              </c:numCache>
            </c:numRef>
          </c:yVal>
          <c:smooth val="1"/>
        </c:ser>
        <c:axId val="52507326"/>
        <c:axId val="69427219"/>
      </c:scatterChart>
      <c:valAx>
        <c:axId val="525073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 (kJ/kg·K)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27219"/>
        <c:crosses val="autoZero"/>
        <c:crossBetween val="midCat"/>
      </c:valAx>
      <c:valAx>
        <c:axId val="69427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0732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0.15</c:v>
                </c:pt>
                <c:pt idx="1">
                  <c:v>0.1605264</c:v>
                </c:pt>
                <c:pt idx="2">
                  <c:v>0.1710526</c:v>
                </c:pt>
                <c:pt idx="3">
                  <c:v>0.181579</c:v>
                </c:pt>
                <c:pt idx="4">
                  <c:v>0.1921052</c:v>
                </c:pt>
                <c:pt idx="5">
                  <c:v>0.2026316</c:v>
                </c:pt>
                <c:pt idx="6">
                  <c:v>0.2131578</c:v>
                </c:pt>
                <c:pt idx="7">
                  <c:v>0.2236842</c:v>
                </c:pt>
                <c:pt idx="8">
                  <c:v>0.2342106</c:v>
                </c:pt>
                <c:pt idx="9">
                  <c:v>0.2447368</c:v>
                </c:pt>
                <c:pt idx="10">
                  <c:v>0.2552632</c:v>
                </c:pt>
                <c:pt idx="11">
                  <c:v>0.2657894</c:v>
                </c:pt>
                <c:pt idx="12">
                  <c:v>0.2763158</c:v>
                </c:pt>
                <c:pt idx="13">
                  <c:v>0.2868422</c:v>
                </c:pt>
                <c:pt idx="14">
                  <c:v>0.2973684</c:v>
                </c:pt>
                <c:pt idx="15">
                  <c:v>0.3078948</c:v>
                </c:pt>
                <c:pt idx="16">
                  <c:v>0.318421</c:v>
                </c:pt>
                <c:pt idx="17">
                  <c:v>0.3289474</c:v>
                </c:pt>
                <c:pt idx="18">
                  <c:v>0.3394736</c:v>
                </c:pt>
                <c:pt idx="19">
                  <c:v>0.35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0.35</c:v>
                </c:pt>
                <c:pt idx="1">
                  <c:v>0.484779193563115</c:v>
                </c:pt>
                <c:pt idx="2">
                  <c:v>0.619555826342039</c:v>
                </c:pt>
                <c:pt idx="3">
                  <c:v>0.754335019905154</c:v>
                </c:pt>
                <c:pt idx="4">
                  <c:v>0.889111652684077</c:v>
                </c:pt>
                <c:pt idx="5">
                  <c:v>1.02389084624719</c:v>
                </c:pt>
                <c:pt idx="6">
                  <c:v>1.15866747902612</c:v>
                </c:pt>
                <c:pt idx="7">
                  <c:v>1.29344667258923</c:v>
                </c:pt>
                <c:pt idx="8">
                  <c:v>1.42822586615235</c:v>
                </c:pt>
                <c:pt idx="9">
                  <c:v>1.56300249893127</c:v>
                </c:pt>
                <c:pt idx="10">
                  <c:v>1.69778169249439</c:v>
                </c:pt>
                <c:pt idx="11">
                  <c:v>1.83255832527331</c:v>
                </c:pt>
                <c:pt idx="12">
                  <c:v>1.96733751883642</c:v>
                </c:pt>
                <c:pt idx="13">
                  <c:v>2.10211671239954</c:v>
                </c:pt>
                <c:pt idx="14">
                  <c:v>2.23689334517846</c:v>
                </c:pt>
                <c:pt idx="15">
                  <c:v>2.37167253874158</c:v>
                </c:pt>
                <c:pt idx="16">
                  <c:v>2.5064491715205</c:v>
                </c:pt>
                <c:pt idx="17">
                  <c:v>2.64122836508362</c:v>
                </c:pt>
                <c:pt idx="18">
                  <c:v>2.77600499786254</c:v>
                </c:pt>
                <c:pt idx="19">
                  <c:v>2.91078419142566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700</c:v>
                </c:pt>
                <c:pt idx="1">
                  <c:v>614.479882413024</c:v>
                </c:pt>
                <c:pt idx="2">
                  <c:v>557.048590366462</c:v>
                </c:pt>
                <c:pt idx="3">
                  <c:v>514.872326239281</c:v>
                </c:pt>
                <c:pt idx="4">
                  <c:v>482.106222478813</c:v>
                </c:pt>
                <c:pt idx="5">
                  <c:v>455.642046294163</c:v>
                </c:pt>
                <c:pt idx="6">
                  <c:v>433.652376483643</c:v>
                </c:pt>
                <c:pt idx="7">
                  <c:v>414.97873892605</c:v>
                </c:pt>
                <c:pt idx="8">
                  <c:v>398.847156406288</c:v>
                </c:pt>
                <c:pt idx="9">
                  <c:v>384.717010036083</c:v>
                </c:pt>
                <c:pt idx="10">
                  <c:v>372.19670089358</c:v>
                </c:pt>
                <c:pt idx="11">
                  <c:v>360.995788562847</c:v>
                </c:pt>
                <c:pt idx="12">
                  <c:v>350.892194847684</c:v>
                </c:pt>
                <c:pt idx="13">
                  <c:v>341.713807684464</c:v>
                </c:pt>
                <c:pt idx="14">
                  <c:v>333.324431261132</c:v>
                </c:pt>
                <c:pt idx="15">
                  <c:v>325.614223689611</c:v>
                </c:pt>
                <c:pt idx="16">
                  <c:v>318.494323964075</c:v>
                </c:pt>
                <c:pt idx="17">
                  <c:v>311.891024311692</c:v>
                </c:pt>
                <c:pt idx="18">
                  <c:v>305.743448907528</c:v>
                </c:pt>
                <c:pt idx="19">
                  <c:v>300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2.91078419142566</c:v>
                </c:pt>
                <c:pt idx="1">
                  <c:v>2.82324110938959</c:v>
                </c:pt>
                <c:pt idx="2">
                  <c:v>2.73569969065878</c:v>
                </c:pt>
                <c:pt idx="3">
                  <c:v>2.64815660862271</c:v>
                </c:pt>
                <c:pt idx="4">
                  <c:v>2.5606151898919</c:v>
                </c:pt>
                <c:pt idx="5">
                  <c:v>2.47307210785583</c:v>
                </c:pt>
                <c:pt idx="6">
                  <c:v>2.38553068912502</c:v>
                </c:pt>
                <c:pt idx="7">
                  <c:v>2.29798760708895</c:v>
                </c:pt>
                <c:pt idx="8">
                  <c:v>2.21044452505289</c:v>
                </c:pt>
                <c:pt idx="9">
                  <c:v>2.12290310632207</c:v>
                </c:pt>
                <c:pt idx="10">
                  <c:v>2.03536002428601</c:v>
                </c:pt>
                <c:pt idx="11">
                  <c:v>1.94781860555519</c:v>
                </c:pt>
                <c:pt idx="12">
                  <c:v>1.86027552351913</c:v>
                </c:pt>
                <c:pt idx="13">
                  <c:v>1.77273244148306</c:v>
                </c:pt>
                <c:pt idx="14">
                  <c:v>1.68519102275225</c:v>
                </c:pt>
                <c:pt idx="15">
                  <c:v>1.59764794071618</c:v>
                </c:pt>
                <c:pt idx="16">
                  <c:v>1.51010652198537</c:v>
                </c:pt>
                <c:pt idx="17">
                  <c:v>1.4225634399493</c:v>
                </c:pt>
                <c:pt idx="18">
                  <c:v>1.33502202121849</c:v>
                </c:pt>
                <c:pt idx="19">
                  <c:v>1.24747893918242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1.24747893918242</c:v>
                </c:pt>
                <c:pt idx="1">
                  <c:v>1.18971642765537</c:v>
                </c:pt>
                <c:pt idx="2">
                  <c:v>1.13195501360726</c:v>
                </c:pt>
                <c:pt idx="3">
                  <c:v>1.07419250208021</c:v>
                </c:pt>
                <c:pt idx="4">
                  <c:v>1.0164310880321</c:v>
                </c:pt>
                <c:pt idx="5">
                  <c:v>0.958668576505055</c:v>
                </c:pt>
                <c:pt idx="6">
                  <c:v>0.900907162456945</c:v>
                </c:pt>
                <c:pt idx="7">
                  <c:v>0.843144650929896</c:v>
                </c:pt>
                <c:pt idx="8">
                  <c:v>0.785382139402847</c:v>
                </c:pt>
                <c:pt idx="9">
                  <c:v>0.727620725354736</c:v>
                </c:pt>
                <c:pt idx="10">
                  <c:v>0.669858213827687</c:v>
                </c:pt>
                <c:pt idx="11">
                  <c:v>0.612096799779577</c:v>
                </c:pt>
                <c:pt idx="12">
                  <c:v>0.554334288252528</c:v>
                </c:pt>
                <c:pt idx="13">
                  <c:v>0.496571776725478</c:v>
                </c:pt>
                <c:pt idx="14">
                  <c:v>0.438810362677368</c:v>
                </c:pt>
                <c:pt idx="15">
                  <c:v>0.381047851150319</c:v>
                </c:pt>
                <c:pt idx="16">
                  <c:v>0.323286437102209</c:v>
                </c:pt>
                <c:pt idx="17">
                  <c:v>0.265523925575159</c:v>
                </c:pt>
                <c:pt idx="18">
                  <c:v>0.207762511527049</c:v>
                </c:pt>
                <c:pt idx="19">
                  <c:v>0.15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300</c:v>
                </c:pt>
                <c:pt idx="1">
                  <c:v>305.743448907527</c:v>
                </c:pt>
                <c:pt idx="2">
                  <c:v>311.891024311692</c:v>
                </c:pt>
                <c:pt idx="3">
                  <c:v>318.494323964075</c:v>
                </c:pt>
                <c:pt idx="4">
                  <c:v>325.614223689611</c:v>
                </c:pt>
                <c:pt idx="5">
                  <c:v>333.324431261132</c:v>
                </c:pt>
                <c:pt idx="6">
                  <c:v>341.713807684464</c:v>
                </c:pt>
                <c:pt idx="7">
                  <c:v>350.892194847684</c:v>
                </c:pt>
                <c:pt idx="8">
                  <c:v>360.995788562847</c:v>
                </c:pt>
                <c:pt idx="9">
                  <c:v>372.19670089358</c:v>
                </c:pt>
                <c:pt idx="10">
                  <c:v>384.717010036083</c:v>
                </c:pt>
                <c:pt idx="11">
                  <c:v>398.847156406288</c:v>
                </c:pt>
                <c:pt idx="12">
                  <c:v>414.97873892605</c:v>
                </c:pt>
                <c:pt idx="13">
                  <c:v>433.652376483643</c:v>
                </c:pt>
                <c:pt idx="14">
                  <c:v>455.642046294163</c:v>
                </c:pt>
                <c:pt idx="15">
                  <c:v>482.106222478813</c:v>
                </c:pt>
                <c:pt idx="16">
                  <c:v>514.872326239281</c:v>
                </c:pt>
                <c:pt idx="17">
                  <c:v>557.048590366462</c:v>
                </c:pt>
                <c:pt idx="18">
                  <c:v>614.479882413025</c:v>
                </c:pt>
                <c:pt idx="19">
                  <c:v>700</c:v>
                </c:pt>
              </c:numCache>
            </c:numRef>
          </c:yVal>
          <c:smooth val="1"/>
        </c:ser>
        <c:axId val="74808567"/>
        <c:axId val="62662468"/>
      </c:scatterChart>
      <c:valAx>
        <c:axId val="748085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62468"/>
        <c:crosses val="autoZero"/>
        <c:crossBetween val="midCat"/>
      </c:valAx>
      <c:valAx>
        <c:axId val="62662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0856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(escalas logarítmicas)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0.15</c:v>
                </c:pt>
                <c:pt idx="1">
                  <c:v>0.1605264</c:v>
                </c:pt>
                <c:pt idx="2">
                  <c:v>0.1710526</c:v>
                </c:pt>
                <c:pt idx="3">
                  <c:v>0.181579</c:v>
                </c:pt>
                <c:pt idx="4">
                  <c:v>0.1921052</c:v>
                </c:pt>
                <c:pt idx="5">
                  <c:v>0.2026316</c:v>
                </c:pt>
                <c:pt idx="6">
                  <c:v>0.2131578</c:v>
                </c:pt>
                <c:pt idx="7">
                  <c:v>0.2236842</c:v>
                </c:pt>
                <c:pt idx="8">
                  <c:v>0.2342106</c:v>
                </c:pt>
                <c:pt idx="9">
                  <c:v>0.2447368</c:v>
                </c:pt>
                <c:pt idx="10">
                  <c:v>0.2552632</c:v>
                </c:pt>
                <c:pt idx="11">
                  <c:v>0.2657894</c:v>
                </c:pt>
                <c:pt idx="12">
                  <c:v>0.2763158</c:v>
                </c:pt>
                <c:pt idx="13">
                  <c:v>0.2868422</c:v>
                </c:pt>
                <c:pt idx="14">
                  <c:v>0.2973684</c:v>
                </c:pt>
                <c:pt idx="15">
                  <c:v>0.3078948</c:v>
                </c:pt>
                <c:pt idx="16">
                  <c:v>0.318421</c:v>
                </c:pt>
                <c:pt idx="17">
                  <c:v>0.3289474</c:v>
                </c:pt>
                <c:pt idx="18">
                  <c:v>0.3394736</c:v>
                </c:pt>
                <c:pt idx="19">
                  <c:v>0.35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1339.33333333333</c:v>
                </c:pt>
                <c:pt idx="1">
                  <c:v>1251.50754019277</c:v>
                </c:pt>
                <c:pt idx="2">
                  <c:v>1174.4925245217</c:v>
                </c:pt>
                <c:pt idx="3">
                  <c:v>1106.40547640421</c:v>
                </c:pt>
                <c:pt idx="4">
                  <c:v>1045.78116573627</c:v>
                </c:pt>
                <c:pt idx="5">
                  <c:v>991.454442446292</c:v>
                </c:pt>
                <c:pt idx="6">
                  <c:v>942.494246046825</c:v>
                </c:pt>
                <c:pt idx="7">
                  <c:v>898.141218736057</c:v>
                </c:pt>
                <c:pt idx="8">
                  <c:v>857.775011037075</c:v>
                </c:pt>
                <c:pt idx="9">
                  <c:v>820.881861657094</c:v>
                </c:pt>
                <c:pt idx="10">
                  <c:v>787.030798015539</c:v>
                </c:pt>
                <c:pt idx="11">
                  <c:v>755.861595684403</c:v>
                </c:pt>
                <c:pt idx="12">
                  <c:v>727.06663896889</c:v>
                </c:pt>
                <c:pt idx="13">
                  <c:v>700.385089781071</c:v>
                </c:pt>
                <c:pt idx="14">
                  <c:v>675.592968183573</c:v>
                </c:pt>
                <c:pt idx="15">
                  <c:v>652.495592650477</c:v>
                </c:pt>
                <c:pt idx="16">
                  <c:v>630.925724119955</c:v>
                </c:pt>
                <c:pt idx="17">
                  <c:v>610.73594136935</c:v>
                </c:pt>
                <c:pt idx="18">
                  <c:v>591.798596415156</c:v>
                </c:pt>
                <c:pt idx="19">
                  <c:v>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0.35</c:v>
                </c:pt>
                <c:pt idx="1">
                  <c:v>0.484779193563115</c:v>
                </c:pt>
                <c:pt idx="2">
                  <c:v>0.619555826342039</c:v>
                </c:pt>
                <c:pt idx="3">
                  <c:v>0.754335019905154</c:v>
                </c:pt>
                <c:pt idx="4">
                  <c:v>0.889111652684077</c:v>
                </c:pt>
                <c:pt idx="5">
                  <c:v>1.02389084624719</c:v>
                </c:pt>
                <c:pt idx="6">
                  <c:v>1.15866747902612</c:v>
                </c:pt>
                <c:pt idx="7">
                  <c:v>1.29344667258923</c:v>
                </c:pt>
                <c:pt idx="8">
                  <c:v>1.42822586615235</c:v>
                </c:pt>
                <c:pt idx="9">
                  <c:v>1.56300249893127</c:v>
                </c:pt>
                <c:pt idx="10">
                  <c:v>1.69778169249439</c:v>
                </c:pt>
                <c:pt idx="11">
                  <c:v>1.83255832527331</c:v>
                </c:pt>
                <c:pt idx="12">
                  <c:v>1.96733751883642</c:v>
                </c:pt>
                <c:pt idx="13">
                  <c:v>2.10211671239954</c:v>
                </c:pt>
                <c:pt idx="14">
                  <c:v>2.23689334517846</c:v>
                </c:pt>
                <c:pt idx="15">
                  <c:v>2.37167253874158</c:v>
                </c:pt>
                <c:pt idx="16">
                  <c:v>2.5064491715205</c:v>
                </c:pt>
                <c:pt idx="17">
                  <c:v>2.64122836508362</c:v>
                </c:pt>
                <c:pt idx="18">
                  <c:v>2.77600499786254</c:v>
                </c:pt>
                <c:pt idx="19">
                  <c:v>2.91078419142566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574</c:v>
                </c:pt>
                <c:pt idx="1">
                  <c:v>363.785675198491</c:v>
                </c:pt>
                <c:pt idx="2">
                  <c:v>258.044454813848</c:v>
                </c:pt>
                <c:pt idx="3">
                  <c:v>195.892214641252</c:v>
                </c:pt>
                <c:pt idx="4">
                  <c:v>155.621046506049</c:v>
                </c:pt>
                <c:pt idx="5">
                  <c:v>127.717976741101</c:v>
                </c:pt>
                <c:pt idx="6">
                  <c:v>107.414969612693</c:v>
                </c:pt>
                <c:pt idx="7">
                  <c:v>92.0787076852294</c:v>
                </c:pt>
                <c:pt idx="8">
                  <c:v>80.1477809647752</c:v>
                </c:pt>
                <c:pt idx="9">
                  <c:v>70.6421019517584</c:v>
                </c:pt>
                <c:pt idx="10">
                  <c:v>62.9176611037173</c:v>
                </c:pt>
                <c:pt idx="11">
                  <c:v>56.5361494303791</c:v>
                </c:pt>
                <c:pt idx="12">
                  <c:v>51.1890099980646</c:v>
                </c:pt>
                <c:pt idx="13">
                  <c:v>46.653861903554</c:v>
                </c:pt>
                <c:pt idx="14">
                  <c:v>42.766505599449</c:v>
                </c:pt>
                <c:pt idx="15">
                  <c:v>39.4031134873721</c:v>
                </c:pt>
                <c:pt idx="16">
                  <c:v>36.4690702753163</c:v>
                </c:pt>
                <c:pt idx="17">
                  <c:v>33.8905659051642</c:v>
                </c:pt>
                <c:pt idx="18">
                  <c:v>31.6095864034916</c:v>
                </c:pt>
                <c:pt idx="19">
                  <c:v>29.5796576928053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2.91078419142566</c:v>
                </c:pt>
                <c:pt idx="1">
                  <c:v>2.82324110938959</c:v>
                </c:pt>
                <c:pt idx="2">
                  <c:v>2.73569969065878</c:v>
                </c:pt>
                <c:pt idx="3">
                  <c:v>2.64815660862271</c:v>
                </c:pt>
                <c:pt idx="4">
                  <c:v>2.5606151898919</c:v>
                </c:pt>
                <c:pt idx="5">
                  <c:v>2.47307210785583</c:v>
                </c:pt>
                <c:pt idx="6">
                  <c:v>2.38553068912502</c:v>
                </c:pt>
                <c:pt idx="7">
                  <c:v>2.29798760708895</c:v>
                </c:pt>
                <c:pt idx="8">
                  <c:v>2.21044452505289</c:v>
                </c:pt>
                <c:pt idx="9">
                  <c:v>2.12290310632207</c:v>
                </c:pt>
                <c:pt idx="10">
                  <c:v>2.03536002428601</c:v>
                </c:pt>
                <c:pt idx="11">
                  <c:v>1.94781860555519</c:v>
                </c:pt>
                <c:pt idx="12">
                  <c:v>1.86027552351913</c:v>
                </c:pt>
                <c:pt idx="13">
                  <c:v>1.77273244148306</c:v>
                </c:pt>
                <c:pt idx="14">
                  <c:v>1.68519102275225</c:v>
                </c:pt>
                <c:pt idx="15">
                  <c:v>1.59764794071618</c:v>
                </c:pt>
                <c:pt idx="16">
                  <c:v>1.51010652198537</c:v>
                </c:pt>
                <c:pt idx="17">
                  <c:v>1.4225634399493</c:v>
                </c:pt>
                <c:pt idx="18">
                  <c:v>1.33502202121849</c:v>
                </c:pt>
                <c:pt idx="19">
                  <c:v>1.24747893918242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29.5796576928053</c:v>
                </c:pt>
                <c:pt idx="1">
                  <c:v>30.4968639460679</c:v>
                </c:pt>
                <c:pt idx="2">
                  <c:v>31.4727527637606</c:v>
                </c:pt>
                <c:pt idx="3">
                  <c:v>32.5131828380724</c:v>
                </c:pt>
                <c:pt idx="4">
                  <c:v>33.6247321893123</c:v>
                </c:pt>
                <c:pt idx="5">
                  <c:v>34.8149978023282</c:v>
                </c:pt>
                <c:pt idx="6">
                  <c:v>36.0925979248586</c:v>
                </c:pt>
                <c:pt idx="7">
                  <c:v>37.4675649835509</c:v>
                </c:pt>
                <c:pt idx="8">
                  <c:v>38.9514412255788</c:v>
                </c:pt>
                <c:pt idx="9">
                  <c:v>40.5576682909321</c:v>
                </c:pt>
                <c:pt idx="10">
                  <c:v>42.302098386846</c:v>
                </c:pt>
                <c:pt idx="11">
                  <c:v>44.2032947803467</c:v>
                </c:pt>
                <c:pt idx="12">
                  <c:v>46.2834665679644</c:v>
                </c:pt>
                <c:pt idx="13">
                  <c:v>48.5690891559298</c:v>
                </c:pt>
                <c:pt idx="14">
                  <c:v>51.0921307065722</c:v>
                </c:pt>
                <c:pt idx="15">
                  <c:v>53.8917228293761</c:v>
                </c:pt>
                <c:pt idx="16">
                  <c:v>57.0158454032783</c:v>
                </c:pt>
                <c:pt idx="17">
                  <c:v>60.5245415298093</c:v>
                </c:pt>
                <c:pt idx="18">
                  <c:v>64.4933181861791</c:v>
                </c:pt>
                <c:pt idx="19">
                  <c:v>69.0192012832124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1.24747893918242</c:v>
                </c:pt>
                <c:pt idx="1">
                  <c:v>1.18971642765537</c:v>
                </c:pt>
                <c:pt idx="2">
                  <c:v>1.13195501360726</c:v>
                </c:pt>
                <c:pt idx="3">
                  <c:v>1.07419250208021</c:v>
                </c:pt>
                <c:pt idx="4">
                  <c:v>1.0164310880321</c:v>
                </c:pt>
                <c:pt idx="5">
                  <c:v>0.958668576505055</c:v>
                </c:pt>
                <c:pt idx="6">
                  <c:v>0.900907162456945</c:v>
                </c:pt>
                <c:pt idx="7">
                  <c:v>0.843144650929896</c:v>
                </c:pt>
                <c:pt idx="8">
                  <c:v>0.785382139402847</c:v>
                </c:pt>
                <c:pt idx="9">
                  <c:v>0.727620725354736</c:v>
                </c:pt>
                <c:pt idx="10">
                  <c:v>0.669858213827687</c:v>
                </c:pt>
                <c:pt idx="11">
                  <c:v>0.612096799779577</c:v>
                </c:pt>
                <c:pt idx="12">
                  <c:v>0.554334288252528</c:v>
                </c:pt>
                <c:pt idx="13">
                  <c:v>0.496571776725478</c:v>
                </c:pt>
                <c:pt idx="14">
                  <c:v>0.438810362677368</c:v>
                </c:pt>
                <c:pt idx="15">
                  <c:v>0.381047851150319</c:v>
                </c:pt>
                <c:pt idx="16">
                  <c:v>0.323286437102209</c:v>
                </c:pt>
                <c:pt idx="17">
                  <c:v>0.265523925575159</c:v>
                </c:pt>
                <c:pt idx="18">
                  <c:v>0.207762511527049</c:v>
                </c:pt>
                <c:pt idx="19">
                  <c:v>0.15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69.0192012832124</c:v>
                </c:pt>
                <c:pt idx="1">
                  <c:v>73.755701608147</c:v>
                </c:pt>
                <c:pt idx="2">
                  <c:v>79.0779871120499</c:v>
                </c:pt>
                <c:pt idx="3">
                  <c:v>85.0944973090713</c:v>
                </c:pt>
                <c:pt idx="4">
                  <c:v>91.9405981372016</c:v>
                </c:pt>
                <c:pt idx="5">
                  <c:v>99.788513065381</c:v>
                </c:pt>
                <c:pt idx="6">
                  <c:v>108.859011108293</c:v>
                </c:pt>
                <c:pt idx="7">
                  <c:v>119.441023328817</c:v>
                </c:pt>
                <c:pt idx="8">
                  <c:v>131.917682004218</c:v>
                </c:pt>
                <c:pt idx="9">
                  <c:v>146.807875908674</c:v>
                </c:pt>
                <c:pt idx="10">
                  <c:v>164.83157122077</c:v>
                </c:pt>
                <c:pt idx="11">
                  <c:v>187.011488917809</c:v>
                </c:pt>
                <c:pt idx="12">
                  <c:v>214.850317932202</c:v>
                </c:pt>
                <c:pt idx="13">
                  <c:v>250.634929096283</c:v>
                </c:pt>
                <c:pt idx="14">
                  <c:v>298.008612395901</c:v>
                </c:pt>
                <c:pt idx="15">
                  <c:v>363.115775180782</c:v>
                </c:pt>
                <c:pt idx="16">
                  <c:v>457.081834162922</c:v>
                </c:pt>
                <c:pt idx="17">
                  <c:v>602.10372789898</c:v>
                </c:pt>
                <c:pt idx="18">
                  <c:v>848.833242129814</c:v>
                </c:pt>
                <c:pt idx="19">
                  <c:v>1339.33333333333</c:v>
                </c:pt>
              </c:numCache>
            </c:numRef>
          </c:yVal>
          <c:smooth val="1"/>
        </c:ser>
        <c:axId val="19490734"/>
        <c:axId val="22972534"/>
      </c:scatterChart>
      <c:valAx>
        <c:axId val="19490734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72534"/>
        <c:crosses val="autoZero"/>
        <c:crossBetween val="midCat"/>
      </c:valAx>
      <c:valAx>
        <c:axId val="2297253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9073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255960</xdr:colOff>
      <xdr:row>16</xdr:row>
      <xdr:rowOff>11520</xdr:rowOff>
    </xdr:to>
    <xdr:graphicFrame>
      <xdr:nvGraphicFramePr>
        <xdr:cNvPr id="1" name="Chart 2"/>
        <xdr:cNvGraphicFramePr/>
      </xdr:nvGraphicFramePr>
      <xdr:xfrm>
        <a:off x="611496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9</xdr:col>
      <xdr:colOff>255960</xdr:colOff>
      <xdr:row>34</xdr:row>
      <xdr:rowOff>11520</xdr:rowOff>
    </xdr:to>
    <xdr:graphicFrame>
      <xdr:nvGraphicFramePr>
        <xdr:cNvPr id="2" name="Chart 3"/>
        <xdr:cNvGraphicFramePr/>
      </xdr:nvGraphicFramePr>
      <xdr:xfrm>
        <a:off x="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19</xdr:col>
      <xdr:colOff>255960</xdr:colOff>
      <xdr:row>34</xdr:row>
      <xdr:rowOff>11520</xdr:rowOff>
    </xdr:to>
    <xdr:graphicFrame>
      <xdr:nvGraphicFramePr>
        <xdr:cNvPr id="3" name="Chart 4"/>
        <xdr:cNvGraphicFramePr/>
      </xdr:nvGraphicFramePr>
      <xdr:xfrm>
        <a:off x="611496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700</v>
      </c>
      <c r="D6" s="5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6" t="n">
        <v>300</v>
      </c>
      <c r="D7" s="5" t="s">
        <v>10</v>
      </c>
    </row>
    <row r="8" customFormat="false" ht="15" hidden="false" customHeight="false" outlineLevel="0" collapsed="false">
      <c r="A8" s="5" t="s">
        <v>13</v>
      </c>
      <c r="B8" s="5" t="s">
        <v>14</v>
      </c>
      <c r="C8" s="6" t="n">
        <v>0.15</v>
      </c>
      <c r="D8" s="5" t="s">
        <v>15</v>
      </c>
    </row>
    <row r="9" customFormat="false" ht="15" hidden="false" customHeight="false" outlineLevel="0" collapsed="false">
      <c r="A9" s="5" t="s">
        <v>16</v>
      </c>
      <c r="B9" s="5" t="s">
        <v>17</v>
      </c>
      <c r="C9" s="6" t="n">
        <v>0.35</v>
      </c>
      <c r="D9" s="5" t="s">
        <v>15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6" t="n">
        <v>0.287</v>
      </c>
      <c r="D10" s="5" t="s">
        <v>20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6" t="n">
        <v>1.4</v>
      </c>
      <c r="D11" s="5" t="s">
        <v>23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6" t="n">
        <v>0.718</v>
      </c>
      <c r="D12" s="5" t="s">
        <v>20</v>
      </c>
    </row>
    <row r="13" customFormat="false" ht="15" hidden="false" customHeight="false" outlineLevel="0" collapsed="false">
      <c r="A13" s="5" t="s">
        <v>26</v>
      </c>
      <c r="B13" s="5" t="s">
        <v>27</v>
      </c>
      <c r="C13" s="6" t="n">
        <v>1</v>
      </c>
      <c r="D13" s="5" t="s">
        <v>28</v>
      </c>
    </row>
    <row r="15" customFormat="false" ht="15" hidden="false" customHeight="false" outlineLevel="0" collapsed="false">
      <c r="A15" s="7" t="s">
        <v>29</v>
      </c>
    </row>
    <row r="16" customFormat="false" ht="31.5" hidden="false" customHeight="true" outlineLevel="0" collapsed="false">
      <c r="A16" s="4" t="s">
        <v>30</v>
      </c>
      <c r="B16" s="4" t="s">
        <v>31</v>
      </c>
      <c r="C16" s="4" t="s">
        <v>32</v>
      </c>
      <c r="D16" s="4" t="s">
        <v>33</v>
      </c>
      <c r="E16" s="4" t="s">
        <v>34</v>
      </c>
      <c r="F16" s="4" t="s">
        <v>35</v>
      </c>
    </row>
    <row r="17" customFormat="false" ht="15" hidden="false" customHeight="false" outlineLevel="0" collapsed="false">
      <c r="A17" s="8" t="n">
        <v>1</v>
      </c>
      <c r="B17" s="9" t="n">
        <f aca="false">Carnot!$C$10*Carnot!$C$6/Carnot!$C$8</f>
        <v>1339.33333333333</v>
      </c>
      <c r="C17" s="9" t="n">
        <f aca="false">Carnot!$C$6</f>
        <v>700</v>
      </c>
      <c r="D17" s="10" t="n">
        <f aca="false">Carnot!$C$8</f>
        <v>0.15</v>
      </c>
      <c r="E17" s="10" t="n">
        <f aca="false">0</f>
        <v>0</v>
      </c>
      <c r="F17" s="10" t="n">
        <f aca="false">Carnot!$D$17*Carnot!$C$13</f>
        <v>0.15</v>
      </c>
    </row>
    <row r="18" customFormat="false" ht="15" hidden="false" customHeight="false" outlineLevel="0" collapsed="false">
      <c r="A18" s="8" t="n">
        <v>2</v>
      </c>
      <c r="B18" s="9" t="n">
        <f aca="false">Carnot!$C$10*Carnot!$C$6/Carnot!$C$9</f>
        <v>574</v>
      </c>
      <c r="C18" s="9" t="n">
        <f aca="false">Carnot!$C$6</f>
        <v>700</v>
      </c>
      <c r="D18" s="10" t="n">
        <f aca="false">Carnot!$C$9</f>
        <v>0.35</v>
      </c>
      <c r="E18" s="10" t="n">
        <f aca="false">Carnot!$C$10*LN(Carnot!$C$9/Carnot!$C$8)</f>
        <v>0.243174485931127</v>
      </c>
      <c r="F18" s="10" t="n">
        <f aca="false">Carnot!$D$18*Carnot!$C$13</f>
        <v>0.35</v>
      </c>
    </row>
    <row r="19" customFormat="false" ht="15" hidden="false" customHeight="false" outlineLevel="0" collapsed="false">
      <c r="A19" s="8" t="n">
        <v>3</v>
      </c>
      <c r="B19" s="9" t="n">
        <f aca="false">Carnot!$C$10*Carnot!$C$7/Carnot!$D$19</f>
        <v>29.5796576928053</v>
      </c>
      <c r="C19" s="9" t="n">
        <f aca="false">Carnot!$C$7</f>
        <v>300</v>
      </c>
      <c r="D19" s="10" t="n">
        <f aca="false">Carnot!$C$9*(Carnot!$C$6/Carnot!$C$7)^(1/(Carnot!$C$11-1))</f>
        <v>2.91078419142566</v>
      </c>
      <c r="E19" s="10" t="n">
        <f aca="false">Carnot!$E$18</f>
        <v>0.243174485931127</v>
      </c>
      <c r="F19" s="10" t="n">
        <f aca="false">Carnot!$D$19*Carnot!$C$13</f>
        <v>2.91078419142566</v>
      </c>
    </row>
    <row r="20" customFormat="false" ht="15" hidden="false" customHeight="false" outlineLevel="0" collapsed="false">
      <c r="A20" s="8" t="n">
        <v>4</v>
      </c>
      <c r="B20" s="9" t="n">
        <f aca="false">Carnot!$C$10*Carnot!$C$7/Carnot!$D$20</f>
        <v>69.0192012832124</v>
      </c>
      <c r="C20" s="9" t="n">
        <f aca="false">Carnot!$C$7</f>
        <v>300</v>
      </c>
      <c r="D20" s="10" t="n">
        <f aca="false">Carnot!$C$8*(Carnot!$C$6/Carnot!$C$7)^(1/(Carnot!$C$11-1))</f>
        <v>1.24747893918242</v>
      </c>
      <c r="E20" s="10" t="n">
        <f aca="false">0</f>
        <v>0</v>
      </c>
      <c r="F20" s="10" t="n">
        <f aca="false">Carnot!$D$20*Carnot!$C$13</f>
        <v>1.24747893918242</v>
      </c>
    </row>
    <row r="22" customFormat="false" ht="15" hidden="false" customHeight="false" outlineLevel="0" collapsed="false">
      <c r="A22" s="7" t="s">
        <v>36</v>
      </c>
    </row>
    <row r="23" customFormat="false" ht="31.5" hidden="false" customHeight="true" outlineLevel="0" collapsed="false">
      <c r="A23" s="4" t="s">
        <v>37</v>
      </c>
      <c r="B23" s="4" t="s">
        <v>38</v>
      </c>
      <c r="C23" s="4" t="s">
        <v>39</v>
      </c>
      <c r="D23" s="4" t="s">
        <v>40</v>
      </c>
      <c r="E23" s="4" t="s">
        <v>41</v>
      </c>
      <c r="F23" s="4" t="s">
        <v>42</v>
      </c>
      <c r="G23" s="4" t="s">
        <v>43</v>
      </c>
    </row>
    <row r="24" customFormat="false" ht="15" hidden="false" customHeight="false" outlineLevel="0" collapsed="false">
      <c r="A24" s="8" t="s">
        <v>44</v>
      </c>
      <c r="B24" s="5" t="s">
        <v>45</v>
      </c>
      <c r="C24" s="9" t="n">
        <f aca="false">Carnot!$C$10*Carnot!$C$6*LN(Carnot!$C$9/Carnot!$C$8)</f>
        <v>170.222140151789</v>
      </c>
      <c r="D24" s="9" t="n">
        <f aca="false">C24</f>
        <v>170.222140151789</v>
      </c>
      <c r="E24" s="9" t="n">
        <f aca="false">0</f>
        <v>0</v>
      </c>
      <c r="F24" s="10" t="n">
        <f aca="false">Carnot!$E$18-Carnot!$E$17</f>
        <v>0.243174485931127</v>
      </c>
      <c r="G24" s="11" t="n">
        <f aca="false">C24-D24-E24</f>
        <v>0</v>
      </c>
    </row>
    <row r="25" customFormat="false" ht="15" hidden="false" customHeight="false" outlineLevel="0" collapsed="false">
      <c r="A25" s="8" t="s">
        <v>46</v>
      </c>
      <c r="B25" s="5" t="s">
        <v>47</v>
      </c>
      <c r="C25" s="9" t="n">
        <f aca="false">0</f>
        <v>0</v>
      </c>
      <c r="D25" s="9" t="n">
        <f aca="false">-E25</f>
        <v>287.2</v>
      </c>
      <c r="E25" s="9" t="n">
        <f aca="false">Carnot!$C$12*(Carnot!$C$19-Carnot!$C$18)</f>
        <v>-287.2</v>
      </c>
      <c r="F25" s="10" t="n">
        <f aca="false">Carnot!$E$19-Carnot!$E$18</f>
        <v>0</v>
      </c>
      <c r="G25" s="11" t="n">
        <f aca="false">C25-D25-E25</f>
        <v>0</v>
      </c>
    </row>
    <row r="26" customFormat="false" ht="15" hidden="false" customHeight="false" outlineLevel="0" collapsed="false">
      <c r="A26" s="8" t="s">
        <v>48</v>
      </c>
      <c r="B26" s="5" t="s">
        <v>49</v>
      </c>
      <c r="C26" s="9" t="n">
        <f aca="false">Carnot!$C$10*Carnot!$C$7*LN(Carnot!$D$20/Carnot!$D$19)</f>
        <v>-72.9523457793382</v>
      </c>
      <c r="D26" s="9" t="n">
        <f aca="false">C26</f>
        <v>-72.9523457793382</v>
      </c>
      <c r="E26" s="9" t="n">
        <f aca="false">0</f>
        <v>0</v>
      </c>
      <c r="F26" s="10" t="n">
        <f aca="false">Carnot!$E$20-Carnot!$E$19</f>
        <v>-0.243174485931127</v>
      </c>
      <c r="G26" s="11" t="n">
        <f aca="false">C26-D26-E26</f>
        <v>0</v>
      </c>
    </row>
    <row r="27" customFormat="false" ht="15" hidden="false" customHeight="false" outlineLevel="0" collapsed="false">
      <c r="A27" s="8" t="s">
        <v>50</v>
      </c>
      <c r="B27" s="5" t="s">
        <v>51</v>
      </c>
      <c r="C27" s="9" t="n">
        <f aca="false">0</f>
        <v>0</v>
      </c>
      <c r="D27" s="9" t="n">
        <f aca="false">-E27</f>
        <v>-287.2</v>
      </c>
      <c r="E27" s="9" t="n">
        <f aca="false">Carnot!$C$12*(Carnot!$C$17-Carnot!$C$20)</f>
        <v>287.2</v>
      </c>
      <c r="F27" s="10" t="n">
        <f aca="false">Carnot!$E$17-Carnot!$E$20</f>
        <v>0</v>
      </c>
      <c r="G27" s="11" t="n">
        <f aca="false">C27-D27-E27</f>
        <v>0</v>
      </c>
    </row>
    <row r="28" customFormat="false" ht="15" hidden="false" customHeight="false" outlineLevel="0" collapsed="false">
      <c r="A28" s="8" t="s">
        <v>52</v>
      </c>
      <c r="C28" s="12" t="n">
        <f aca="false">SUM(C24:C27)</f>
        <v>97.269794372451</v>
      </c>
      <c r="D28" s="12" t="n">
        <f aca="false">SUM(D24:D27)</f>
        <v>97.269794372451</v>
      </c>
      <c r="E28" s="12" t="n">
        <f aca="false">SUM(E24:E27)</f>
        <v>0</v>
      </c>
      <c r="F28" s="13" t="n">
        <f aca="false">SUM(F24:F27)</f>
        <v>0</v>
      </c>
    </row>
    <row r="29" customFormat="false" ht="15" hidden="false" customHeight="false" outlineLevel="0" collapsed="false">
      <c r="A29" s="14" t="s">
        <v>53</v>
      </c>
    </row>
    <row r="31" customFormat="false" ht="15" hidden="false" customHeight="false" outlineLevel="0" collapsed="false">
      <c r="A31" s="7" t="s">
        <v>54</v>
      </c>
    </row>
    <row r="32" customFormat="false" ht="31.5" hidden="false" customHeight="true" outlineLevel="0" collapsed="false">
      <c r="A32" s="4" t="s">
        <v>55</v>
      </c>
      <c r="B32" s="4" t="s">
        <v>56</v>
      </c>
      <c r="C32" s="4" t="s">
        <v>5</v>
      </c>
      <c r="D32" s="4" t="s">
        <v>6</v>
      </c>
    </row>
    <row r="33" customFormat="false" ht="15" hidden="false" customHeight="false" outlineLevel="0" collapsed="false">
      <c r="A33" s="8" t="s">
        <v>57</v>
      </c>
      <c r="B33" s="5" t="s">
        <v>58</v>
      </c>
      <c r="C33" s="9" t="n">
        <f aca="false">Carnot!$C$24</f>
        <v>170.222140151789</v>
      </c>
      <c r="D33" s="5" t="s">
        <v>59</v>
      </c>
    </row>
    <row r="34" customFormat="false" ht="15" hidden="false" customHeight="false" outlineLevel="0" collapsed="false">
      <c r="A34" s="8" t="s">
        <v>60</v>
      </c>
      <c r="B34" s="5" t="s">
        <v>61</v>
      </c>
      <c r="C34" s="9" t="n">
        <f aca="false">-Carnot!$C$26</f>
        <v>72.9523457793382</v>
      </c>
      <c r="D34" s="5" t="s">
        <v>59</v>
      </c>
    </row>
    <row r="35" customFormat="false" ht="15" hidden="false" customHeight="false" outlineLevel="0" collapsed="false">
      <c r="A35" s="8" t="s">
        <v>62</v>
      </c>
      <c r="B35" s="5" t="s">
        <v>63</v>
      </c>
      <c r="C35" s="9" t="n">
        <f aca="false">Carnot!$D$28</f>
        <v>97.269794372451</v>
      </c>
      <c r="D35" s="5" t="s">
        <v>59</v>
      </c>
    </row>
    <row r="36" customFormat="false" ht="15" hidden="false" customHeight="false" outlineLevel="0" collapsed="false">
      <c r="A36" s="8" t="s">
        <v>64</v>
      </c>
      <c r="B36" s="5" t="s">
        <v>65</v>
      </c>
      <c r="C36" s="9" t="n">
        <f aca="false">C35/C33*100</f>
        <v>57.1428571428571</v>
      </c>
      <c r="D36" s="5" t="s">
        <v>66</v>
      </c>
    </row>
    <row r="37" customFormat="false" ht="15" hidden="false" customHeight="false" outlineLevel="0" collapsed="false">
      <c r="A37" s="8" t="s">
        <v>67</v>
      </c>
      <c r="B37" s="5" t="s">
        <v>1</v>
      </c>
      <c r="C37" s="9" t="n">
        <f aca="false">(1-Carnot!$C$7/Carnot!$C$6)*100</f>
        <v>57.1428571428571</v>
      </c>
      <c r="D37" s="5" t="s">
        <v>66</v>
      </c>
    </row>
    <row r="38" customFormat="false" ht="15" hidden="false" customHeight="false" outlineLevel="0" collapsed="false">
      <c r="A38" s="8" t="s">
        <v>68</v>
      </c>
      <c r="B38" s="5" t="s">
        <v>69</v>
      </c>
      <c r="C38" s="9" t="n">
        <f aca="false">(1-Carnot!$C$7/Carnot!$C$6)*100</f>
        <v>57.1428571428571</v>
      </c>
      <c r="D38" s="5" t="s">
        <v>66</v>
      </c>
    </row>
    <row r="39" customFormat="false" ht="15" hidden="false" customHeight="false" outlineLevel="0" collapsed="false">
      <c r="A39" s="8" t="s">
        <v>70</v>
      </c>
      <c r="B39" s="5" t="s">
        <v>71</v>
      </c>
      <c r="C39" s="9" t="n">
        <f aca="false">C33/Carnot!$F$24</f>
        <v>700</v>
      </c>
      <c r="D39" s="5" t="s">
        <v>10</v>
      </c>
    </row>
    <row r="40" customFormat="false" ht="15" hidden="false" customHeight="false" outlineLevel="0" collapsed="false">
      <c r="A40" s="8" t="s">
        <v>72</v>
      </c>
      <c r="B40" s="5" t="s">
        <v>73</v>
      </c>
      <c r="C40" s="9" t="n">
        <f aca="false">C35/(MAX(Carnot!$D$17,Carnot!$D$18,Carnot!$D$19,Carnot!$D$20)-MIN(Carnot!$D$17,Carnot!$D$18,Carnot!$D$19,Carnot!$D$20))</f>
        <v>35.2326685564732</v>
      </c>
      <c r="D40" s="5" t="s">
        <v>74</v>
      </c>
    </row>
    <row r="41" customFormat="false" ht="15" hidden="false" customHeight="false" outlineLevel="0" collapsed="false">
      <c r="A41" s="8" t="s">
        <v>75</v>
      </c>
      <c r="B41" s="5" t="s">
        <v>76</v>
      </c>
      <c r="C41" s="9" t="n">
        <f aca="false">MAX(Carnot!$B$17,Carnot!$B$18,Carnot!$B$19,Carnot!$B$20)</f>
        <v>1339.33333333333</v>
      </c>
      <c r="D41" s="5" t="s">
        <v>74</v>
      </c>
    </row>
    <row r="42" customFormat="false" ht="15" hidden="false" customHeight="false" outlineLevel="0" collapsed="false">
      <c r="A42" s="8" t="s">
        <v>77</v>
      </c>
      <c r="B42" s="5" t="s">
        <v>78</v>
      </c>
      <c r="C42" s="9" t="n">
        <f aca="false">MAX(Carnot!$C$17,Carnot!$C$18,Carnot!$C$19,Carnot!$C$20)</f>
        <v>700</v>
      </c>
      <c r="D42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1.5" hidden="false" customHeight="true" outlineLevel="0" collapsed="false">
      <c r="A4" s="4" t="s">
        <v>37</v>
      </c>
      <c r="B4" s="4" t="s">
        <v>81</v>
      </c>
      <c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>
    </row>
    <row r="5" customFormat="false" ht="15" hidden="false" customHeight="false" outlineLevel="0" collapsed="false">
      <c r="A5" s="5" t="s">
        <v>44</v>
      </c>
      <c r="B5" s="11" t="n">
        <v>0</v>
      </c>
      <c r="C5" s="15" t="n">
        <f aca="false">Carnot!$D$17+(Carnot!$D$18-Carnot!$D$17)*B5</f>
        <v>0.15</v>
      </c>
      <c r="D5" s="9" t="n">
        <f aca="false">Carnot!$C$17</f>
        <v>700</v>
      </c>
      <c r="E5" s="9" t="n">
        <f aca="false">Carnot!$C$10*D5/C5</f>
        <v>1339.33333333333</v>
      </c>
      <c r="F5" s="15" t="n">
        <f aca="false">Carnot!$C$10*LN(C5/Carnot!$D$17)</f>
        <v>0</v>
      </c>
      <c r="G5" s="10" t="n">
        <f aca="false">C5*Carnot!$C$13</f>
        <v>0.15</v>
      </c>
    </row>
    <row r="6" customFormat="false" ht="15" hidden="false" customHeight="false" outlineLevel="0" collapsed="false">
      <c r="A6" s="5" t="s">
        <v>44</v>
      </c>
      <c r="B6" s="11" t="n">
        <v>0.052632</v>
      </c>
      <c r="C6" s="15" t="n">
        <f aca="false">Carnot!$D$17+(Carnot!$D$18-Carnot!$D$17)*B6</f>
        <v>0.1605264</v>
      </c>
      <c r="D6" s="9" t="n">
        <f aca="false">Carnot!$C$17</f>
        <v>700</v>
      </c>
      <c r="E6" s="9" t="n">
        <f aca="false">Carnot!$C$10*D6/C6</f>
        <v>1251.50754019277</v>
      </c>
      <c r="F6" s="15" t="n">
        <f aca="false">Carnot!$C$10*LN(C6/Carnot!$D$17)</f>
        <v>0.019465235706562</v>
      </c>
      <c r="G6" s="10" t="n">
        <f aca="false">C6*Carnot!$C$13</f>
        <v>0.1605264</v>
      </c>
    </row>
    <row r="7" customFormat="false" ht="15" hidden="false" customHeight="false" outlineLevel="0" collapsed="false">
      <c r="A7" s="5" t="s">
        <v>44</v>
      </c>
      <c r="B7" s="11" t="n">
        <v>0.105263</v>
      </c>
      <c r="C7" s="15" t="n">
        <f aca="false">Carnot!$D$17+(Carnot!$D$18-Carnot!$D$17)*B7</f>
        <v>0.1710526</v>
      </c>
      <c r="D7" s="9" t="n">
        <f aca="false">Carnot!$C$17</f>
        <v>700</v>
      </c>
      <c r="E7" s="9" t="n">
        <f aca="false">Carnot!$C$10*D7/C7</f>
        <v>1174.4925245217</v>
      </c>
      <c r="F7" s="15" t="n">
        <f aca="false">Carnot!$C$10*LN(C7/Carnot!$D$17)</f>
        <v>0.0376933796069117</v>
      </c>
      <c r="G7" s="10" t="n">
        <f aca="false">C7*Carnot!$C$13</f>
        <v>0.1710526</v>
      </c>
    </row>
    <row r="8" customFormat="false" ht="15" hidden="false" customHeight="false" outlineLevel="0" collapsed="false">
      <c r="A8" s="5" t="s">
        <v>44</v>
      </c>
      <c r="B8" s="11" t="n">
        <v>0.157895</v>
      </c>
      <c r="C8" s="15" t="n">
        <f aca="false">Carnot!$D$17+(Carnot!$D$18-Carnot!$D$17)*B8</f>
        <v>0.181579</v>
      </c>
      <c r="D8" s="9" t="n">
        <f aca="false">Carnot!$C$17</f>
        <v>700</v>
      </c>
      <c r="E8" s="9" t="n">
        <f aca="false">Carnot!$C$10*D8/C8</f>
        <v>1106.40547640421</v>
      </c>
      <c r="F8" s="15" t="n">
        <f aca="false">Carnot!$C$10*LN(C8/Carnot!$D$17)</f>
        <v>0.0548329361392913</v>
      </c>
      <c r="G8" s="10" t="n">
        <f aca="false">C8*Carnot!$C$13</f>
        <v>0.181579</v>
      </c>
    </row>
    <row r="9" customFormat="false" ht="15" hidden="false" customHeight="false" outlineLevel="0" collapsed="false">
      <c r="A9" s="5" t="s">
        <v>44</v>
      </c>
      <c r="B9" s="11" t="n">
        <v>0.210526</v>
      </c>
      <c r="C9" s="15" t="n">
        <f aca="false">Carnot!$D$17+(Carnot!$D$18-Carnot!$D$17)*B9</f>
        <v>0.1921052</v>
      </c>
      <c r="D9" s="9" t="n">
        <f aca="false">Carnot!$C$17</f>
        <v>700</v>
      </c>
      <c r="E9" s="9" t="n">
        <f aca="false">Carnot!$C$10*D9/C9</f>
        <v>1045.78116573627</v>
      </c>
      <c r="F9" s="15" t="n">
        <f aca="false">Carnot!$C$10*LN(C9/Carnot!$D$17)</f>
        <v>0.0710060513848925</v>
      </c>
      <c r="G9" s="10" t="n">
        <f aca="false">C9*Carnot!$C$13</f>
        <v>0.1921052</v>
      </c>
    </row>
    <row r="10" customFormat="false" ht="15" hidden="false" customHeight="false" outlineLevel="0" collapsed="false">
      <c r="A10" s="5" t="s">
        <v>44</v>
      </c>
      <c r="B10" s="11" t="n">
        <v>0.263158</v>
      </c>
      <c r="C10" s="15" t="n">
        <f aca="false">Carnot!$D$17+(Carnot!$D$18-Carnot!$D$17)*B10</f>
        <v>0.2026316</v>
      </c>
      <c r="D10" s="9" t="n">
        <f aca="false">Carnot!$C$17</f>
        <v>700</v>
      </c>
      <c r="E10" s="9" t="n">
        <f aca="false">Carnot!$C$10*D10/C10</f>
        <v>991.454442446292</v>
      </c>
      <c r="F10" s="15" t="n">
        <f aca="false">Carnot!$C$10*LN(C10/Carnot!$D$17)</f>
        <v>0.0863164720216716</v>
      </c>
      <c r="G10" s="10" t="n">
        <f aca="false">C10*Carnot!$C$13</f>
        <v>0.2026316</v>
      </c>
    </row>
    <row r="11" customFormat="false" ht="15" hidden="false" customHeight="false" outlineLevel="0" collapsed="false">
      <c r="A11" s="5" t="s">
        <v>44</v>
      </c>
      <c r="B11" s="11" t="n">
        <v>0.315789</v>
      </c>
      <c r="C11" s="15" t="n">
        <f aca="false">Carnot!$D$17+(Carnot!$D$18-Carnot!$D$17)*B11</f>
        <v>0.2131578</v>
      </c>
      <c r="D11" s="9" t="n">
        <f aca="false">Carnot!$C$17</f>
        <v>700</v>
      </c>
      <c r="E11" s="9" t="n">
        <f aca="false">Carnot!$C$10*D11/C11</f>
        <v>942.494246046825</v>
      </c>
      <c r="F11" s="15" t="n">
        <f aca="false">Carnot!$C$10*LN(C11/Carnot!$D$17)</f>
        <v>0.10085106596689</v>
      </c>
      <c r="G11" s="10" t="n">
        <f aca="false">C11*Carnot!$C$13</f>
        <v>0.2131578</v>
      </c>
    </row>
    <row r="12" customFormat="false" ht="15" hidden="false" customHeight="false" outlineLevel="0" collapsed="false">
      <c r="A12" s="5" t="s">
        <v>44</v>
      </c>
      <c r="B12" s="11" t="n">
        <v>0.368421</v>
      </c>
      <c r="C12" s="15" t="n">
        <f aca="false">Carnot!$D$17+(Carnot!$D$18-Carnot!$D$17)*B12</f>
        <v>0.2236842</v>
      </c>
      <c r="D12" s="9" t="n">
        <f aca="false">Carnot!$C$17</f>
        <v>700</v>
      </c>
      <c r="E12" s="9" t="n">
        <f aca="false">Carnot!$C$10*D12/C12</f>
        <v>898.141218736057</v>
      </c>
      <c r="F12" s="15" t="n">
        <f aca="false">Carnot!$C$10*LN(C12/Carnot!$D$17)</f>
        <v>0.114685183238322</v>
      </c>
      <c r="G12" s="10" t="n">
        <f aca="false">C12*Carnot!$C$13</f>
        <v>0.2236842</v>
      </c>
    </row>
    <row r="13" customFormat="false" ht="15" hidden="false" customHeight="false" outlineLevel="0" collapsed="false">
      <c r="A13" s="5" t="s">
        <v>44</v>
      </c>
      <c r="B13" s="11" t="n">
        <v>0.421053</v>
      </c>
      <c r="C13" s="15" t="n">
        <f aca="false">Carnot!$D$17+(Carnot!$D$18-Carnot!$D$17)*B13</f>
        <v>0.2342106</v>
      </c>
      <c r="D13" s="9" t="n">
        <f aca="false">Carnot!$C$17</f>
        <v>700</v>
      </c>
      <c r="E13" s="9" t="n">
        <f aca="false">Carnot!$C$10*D13/C13</f>
        <v>857.775011037075</v>
      </c>
      <c r="F13" s="15" t="n">
        <f aca="false">Carnot!$C$10*LN(C13/Carnot!$D$17)</f>
        <v>0.127883014536729</v>
      </c>
      <c r="G13" s="10" t="n">
        <f aca="false">C13*Carnot!$C$13</f>
        <v>0.2342106</v>
      </c>
    </row>
    <row r="14" customFormat="false" ht="15" hidden="false" customHeight="false" outlineLevel="0" collapsed="false">
      <c r="A14" s="5" t="s">
        <v>44</v>
      </c>
      <c r="B14" s="11" t="n">
        <v>0.473684</v>
      </c>
      <c r="C14" s="15" t="n">
        <f aca="false">Carnot!$D$17+(Carnot!$D$18-Carnot!$D$17)*B14</f>
        <v>0.2447368</v>
      </c>
      <c r="D14" s="9" t="n">
        <f aca="false">Carnot!$C$17</f>
        <v>700</v>
      </c>
      <c r="E14" s="9" t="n">
        <f aca="false">Carnot!$C$10*D14/C14</f>
        <v>820.881861657094</v>
      </c>
      <c r="F14" s="15" t="n">
        <f aca="false">Carnot!$C$10*LN(C14/Carnot!$D$17)</f>
        <v>0.14050029129012</v>
      </c>
      <c r="G14" s="10" t="n">
        <f aca="false">C14*Carnot!$C$13</f>
        <v>0.2447368</v>
      </c>
    </row>
    <row r="15" customFormat="false" ht="15" hidden="false" customHeight="false" outlineLevel="0" collapsed="false">
      <c r="A15" s="5" t="s">
        <v>44</v>
      </c>
      <c r="B15" s="11" t="n">
        <v>0.526316</v>
      </c>
      <c r="C15" s="15" t="n">
        <f aca="false">Carnot!$D$17+(Carnot!$D$18-Carnot!$D$17)*B15</f>
        <v>0.2552632</v>
      </c>
      <c r="D15" s="9" t="n">
        <f aca="false">Carnot!$C$17</f>
        <v>700</v>
      </c>
      <c r="E15" s="9" t="n">
        <f aca="false">Carnot!$C$10*D15/C15</f>
        <v>787.030798015539</v>
      </c>
      <c r="F15" s="15" t="n">
        <f aca="false">Carnot!$C$10*LN(C15/Carnot!$D$17)</f>
        <v>0.152586384302157</v>
      </c>
      <c r="G15" s="10" t="n">
        <f aca="false">C15*Carnot!$C$13</f>
        <v>0.2552632</v>
      </c>
    </row>
    <row r="16" customFormat="false" ht="15" hidden="false" customHeight="false" outlineLevel="0" collapsed="false">
      <c r="A16" s="5" t="s">
        <v>44</v>
      </c>
      <c r="B16" s="11" t="n">
        <v>0.578947</v>
      </c>
      <c r="C16" s="15" t="n">
        <f aca="false">Carnot!$D$17+(Carnot!$D$18-Carnot!$D$17)*B16</f>
        <v>0.2657894</v>
      </c>
      <c r="D16" s="9" t="n">
        <f aca="false">Carnot!$C$17</f>
        <v>700</v>
      </c>
      <c r="E16" s="9" t="n">
        <f aca="false">Carnot!$C$10*D16/C16</f>
        <v>755.861595684403</v>
      </c>
      <c r="F16" s="15" t="n">
        <f aca="false">Carnot!$C$10*LN(C16/Carnot!$D$17)</f>
        <v>0.164183794900558</v>
      </c>
      <c r="G16" s="10" t="n">
        <f aca="false">C16*Carnot!$C$13</f>
        <v>0.2657894</v>
      </c>
    </row>
    <row r="17" customFormat="false" ht="15" hidden="false" customHeight="false" outlineLevel="0" collapsed="false">
      <c r="A17" s="5" t="s">
        <v>44</v>
      </c>
      <c r="B17" s="11" t="n">
        <v>0.631579</v>
      </c>
      <c r="C17" s="15" t="n">
        <f aca="false">Carnot!$D$17+(Carnot!$D$18-Carnot!$D$17)*B17</f>
        <v>0.2763158</v>
      </c>
      <c r="D17" s="9" t="n">
        <f aca="false">Carnot!$C$17</f>
        <v>700</v>
      </c>
      <c r="E17" s="9" t="n">
        <f aca="false">Carnot!$C$10*D17/C17</f>
        <v>727.06663896889</v>
      </c>
      <c r="F17" s="15" t="n">
        <f aca="false">Carnot!$C$10*LN(C17/Carnot!$D$17)</f>
        <v>0.175330917560026</v>
      </c>
      <c r="G17" s="10" t="n">
        <f aca="false">C17*Carnot!$C$13</f>
        <v>0.2763158</v>
      </c>
    </row>
    <row r="18" customFormat="false" ht="15" hidden="false" customHeight="false" outlineLevel="0" collapsed="false">
      <c r="A18" s="5" t="s">
        <v>44</v>
      </c>
      <c r="B18" s="11" t="n">
        <v>0.684211</v>
      </c>
      <c r="C18" s="15" t="n">
        <f aca="false">Carnot!$D$17+(Carnot!$D$18-Carnot!$D$17)*B18</f>
        <v>0.2868422</v>
      </c>
      <c r="D18" s="9" t="n">
        <f aca="false">Carnot!$C$17</f>
        <v>700</v>
      </c>
      <c r="E18" s="9" t="n">
        <f aca="false">Carnot!$C$10*D18/C18</f>
        <v>700.385089781071</v>
      </c>
      <c r="F18" s="15" t="n">
        <f aca="false">Carnot!$C$10*LN(C18/Carnot!$D$17)</f>
        <v>0.186061223120224</v>
      </c>
      <c r="G18" s="10" t="n">
        <f aca="false">C18*Carnot!$C$13</f>
        <v>0.2868422</v>
      </c>
    </row>
    <row r="19" customFormat="false" ht="15" hidden="false" customHeight="false" outlineLevel="0" collapsed="false">
      <c r="A19" s="5" t="s">
        <v>44</v>
      </c>
      <c r="B19" s="11" t="n">
        <v>0.736842</v>
      </c>
      <c r="C19" s="15" t="n">
        <f aca="false">Carnot!$D$17+(Carnot!$D$18-Carnot!$D$17)*B19</f>
        <v>0.2973684</v>
      </c>
      <c r="D19" s="9" t="n">
        <f aca="false">Carnot!$C$17</f>
        <v>700</v>
      </c>
      <c r="E19" s="9" t="n">
        <f aca="false">Carnot!$C$10*D19/C19</f>
        <v>675.592968183573</v>
      </c>
      <c r="F19" s="15" t="n">
        <f aca="false">Carnot!$C$10*LN(C19/Carnot!$D$17)</f>
        <v>0.196404569783341</v>
      </c>
      <c r="G19" s="10" t="n">
        <f aca="false">C19*Carnot!$C$13</f>
        <v>0.2973684</v>
      </c>
    </row>
    <row r="20" customFormat="false" ht="15" hidden="false" customHeight="false" outlineLevel="0" collapsed="false">
      <c r="A20" s="5" t="s">
        <v>44</v>
      </c>
      <c r="B20" s="11" t="n">
        <v>0.789474</v>
      </c>
      <c r="C20" s="15" t="n">
        <f aca="false">Carnot!$D$17+(Carnot!$D$18-Carnot!$D$17)*B20</f>
        <v>0.3078948</v>
      </c>
      <c r="D20" s="9" t="n">
        <f aca="false">Carnot!$C$17</f>
        <v>700</v>
      </c>
      <c r="E20" s="9" t="n">
        <f aca="false">Carnot!$C$10*D20/C20</f>
        <v>652.495592650477</v>
      </c>
      <c r="F20" s="15" t="n">
        <f aca="false">Carnot!$C$10*LN(C20/Carnot!$D$17)</f>
        <v>0.206388264290229</v>
      </c>
      <c r="G20" s="10" t="n">
        <f aca="false">C20*Carnot!$C$13</f>
        <v>0.3078948</v>
      </c>
    </row>
    <row r="21" customFormat="false" ht="15" hidden="false" customHeight="false" outlineLevel="0" collapsed="false">
      <c r="A21" s="5" t="s">
        <v>44</v>
      </c>
      <c r="B21" s="11" t="n">
        <v>0.842105</v>
      </c>
      <c r="C21" s="15" t="n">
        <f aca="false">Carnot!$D$17+(Carnot!$D$18-Carnot!$D$17)*B21</f>
        <v>0.318421</v>
      </c>
      <c r="D21" s="9" t="n">
        <f aca="false">Carnot!$C$17</f>
        <v>700</v>
      </c>
      <c r="E21" s="9" t="n">
        <f aca="false">Carnot!$C$10*D21/C21</f>
        <v>630.925724119955</v>
      </c>
      <c r="F21" s="15" t="n">
        <f aca="false">Carnot!$C$10*LN(C21/Carnot!$D$17)</f>
        <v>0.216036125279728</v>
      </c>
      <c r="G21" s="10" t="n">
        <f aca="false">C21*Carnot!$C$13</f>
        <v>0.318421</v>
      </c>
    </row>
    <row r="22" customFormat="false" ht="15" hidden="false" customHeight="false" outlineLevel="0" collapsed="false">
      <c r="A22" s="5" t="s">
        <v>44</v>
      </c>
      <c r="B22" s="11" t="n">
        <v>0.894737</v>
      </c>
      <c r="C22" s="15" t="n">
        <f aca="false">Carnot!$D$17+(Carnot!$D$18-Carnot!$D$17)*B22</f>
        <v>0.3289474</v>
      </c>
      <c r="D22" s="9" t="n">
        <f aca="false">Carnot!$C$17</f>
        <v>700</v>
      </c>
      <c r="E22" s="9" t="n">
        <f aca="false">Carnot!$C$10*D22/C22</f>
        <v>610.73594136935</v>
      </c>
      <c r="F22" s="15" t="n">
        <f aca="false">Carnot!$C$10*LN(C22/Carnot!$D$17)</f>
        <v>0.225370356289243</v>
      </c>
      <c r="G22" s="10" t="n">
        <f aca="false">C22*Carnot!$C$13</f>
        <v>0.3289474</v>
      </c>
    </row>
    <row r="23" customFormat="false" ht="15" hidden="false" customHeight="false" outlineLevel="0" collapsed="false">
      <c r="A23" s="5" t="s">
        <v>44</v>
      </c>
      <c r="B23" s="11" t="n">
        <v>0.947368</v>
      </c>
      <c r="C23" s="15" t="n">
        <f aca="false">Carnot!$D$17+(Carnot!$D$18-Carnot!$D$17)*B23</f>
        <v>0.3394736</v>
      </c>
      <c r="D23" s="9" t="n">
        <f aca="false">Carnot!$C$17</f>
        <v>700</v>
      </c>
      <c r="E23" s="9" t="n">
        <f aca="false">Carnot!$C$10*D23/C23</f>
        <v>591.798596415156</v>
      </c>
      <c r="F23" s="15" t="n">
        <f aca="false">Carnot!$C$10*LN(C23/Carnot!$D$17)</f>
        <v>0.234410374989477</v>
      </c>
      <c r="G23" s="10" t="n">
        <f aca="false">C23*Carnot!$C$13</f>
        <v>0.3394736</v>
      </c>
    </row>
    <row r="24" customFormat="false" ht="15" hidden="false" customHeight="false" outlineLevel="0" collapsed="false">
      <c r="A24" s="5" t="s">
        <v>44</v>
      </c>
      <c r="B24" s="11" t="n">
        <v>1</v>
      </c>
      <c r="C24" s="15" t="n">
        <f aca="false">Carnot!$D$17+(Carnot!$D$18-Carnot!$D$17)*B24</f>
        <v>0.35</v>
      </c>
      <c r="D24" s="9" t="n">
        <f aca="false">Carnot!$C$17</f>
        <v>700</v>
      </c>
      <c r="E24" s="9" t="n">
        <f aca="false">Carnot!$C$10*D24/C24</f>
        <v>574</v>
      </c>
      <c r="F24" s="15" t="n">
        <f aca="false">Carnot!$C$10*LN(C24/Carnot!$D$17)</f>
        <v>0.243174485931127</v>
      </c>
      <c r="G24" s="10" t="n">
        <f aca="false">C24*Carnot!$C$13</f>
        <v>0.35</v>
      </c>
    </row>
    <row r="25" customFormat="false" ht="15" hidden="false" customHeight="false" outlineLevel="0" collapsed="false">
      <c r="A25" s="5" t="s">
        <v>46</v>
      </c>
      <c r="B25" s="11" t="n">
        <v>0</v>
      </c>
      <c r="C25" s="15" t="n">
        <f aca="false">Carnot!$D$18+(Carnot!$D$19-Carnot!$D$18)*B25</f>
        <v>0.35</v>
      </c>
      <c r="D25" s="9" t="n">
        <f aca="false">Carnot!$C$18*(Carnot!$D$18/C25)^(Carnot!$C$11-1)</f>
        <v>700</v>
      </c>
      <c r="E25" s="9" t="n">
        <f aca="false">Carnot!$C$10*D25/C25</f>
        <v>574</v>
      </c>
      <c r="F25" s="15" t="n">
        <f aca="false">Carnot!$E$18</f>
        <v>0.243174485931127</v>
      </c>
      <c r="G25" s="10" t="n">
        <f aca="false">C25*Carnot!$C$13</f>
        <v>0.35</v>
      </c>
    </row>
    <row r="26" customFormat="false" ht="15" hidden="false" customHeight="false" outlineLevel="0" collapsed="false">
      <c r="A26" s="5" t="s">
        <v>46</v>
      </c>
      <c r="B26" s="11" t="n">
        <v>0.052632</v>
      </c>
      <c r="C26" s="15" t="n">
        <f aca="false">Carnot!$D$18+(Carnot!$D$19-Carnot!$D$18)*B26</f>
        <v>0.484779193563115</v>
      </c>
      <c r="D26" s="9" t="n">
        <f aca="false">Carnot!$C$18*(Carnot!$D$18/C26)^(Carnot!$C$11-1)</f>
        <v>614.479882413024</v>
      </c>
      <c r="E26" s="9" t="n">
        <f aca="false">Carnot!$C$10*D26/C26</f>
        <v>363.785675198491</v>
      </c>
      <c r="F26" s="15" t="n">
        <f aca="false">Carnot!$E$18</f>
        <v>0.243174485931127</v>
      </c>
      <c r="G26" s="10" t="n">
        <f aca="false">C26*Carnot!$C$13</f>
        <v>0.484779193563115</v>
      </c>
    </row>
    <row r="27" customFormat="false" ht="15" hidden="false" customHeight="false" outlineLevel="0" collapsed="false">
      <c r="A27" s="5" t="s">
        <v>46</v>
      </c>
      <c r="B27" s="11" t="n">
        <v>0.105263</v>
      </c>
      <c r="C27" s="15" t="n">
        <f aca="false">Carnot!$D$18+(Carnot!$D$19-Carnot!$D$18)*B27</f>
        <v>0.619555826342039</v>
      </c>
      <c r="D27" s="9" t="n">
        <f aca="false">Carnot!$C$18*(Carnot!$D$18/C27)^(Carnot!$C$11-1)</f>
        <v>557.048590366462</v>
      </c>
      <c r="E27" s="9" t="n">
        <f aca="false">Carnot!$C$10*D27/C27</f>
        <v>258.044454813848</v>
      </c>
      <c r="F27" s="15" t="n">
        <f aca="false">Carnot!$E$18</f>
        <v>0.243174485931127</v>
      </c>
      <c r="G27" s="10" t="n">
        <f aca="false">C27*Carnot!$C$13</f>
        <v>0.619555826342039</v>
      </c>
    </row>
    <row r="28" customFormat="false" ht="15" hidden="false" customHeight="false" outlineLevel="0" collapsed="false">
      <c r="A28" s="5" t="s">
        <v>46</v>
      </c>
      <c r="B28" s="11" t="n">
        <v>0.157895</v>
      </c>
      <c r="C28" s="15" t="n">
        <f aca="false">Carnot!$D$18+(Carnot!$D$19-Carnot!$D$18)*B28</f>
        <v>0.754335019905154</v>
      </c>
      <c r="D28" s="9" t="n">
        <f aca="false">Carnot!$C$18*(Carnot!$D$18/C28)^(Carnot!$C$11-1)</f>
        <v>514.872326239281</v>
      </c>
      <c r="E28" s="9" t="n">
        <f aca="false">Carnot!$C$10*D28/C28</f>
        <v>195.892214641252</v>
      </c>
      <c r="F28" s="15" t="n">
        <f aca="false">Carnot!$E$18</f>
        <v>0.243174485931127</v>
      </c>
      <c r="G28" s="10" t="n">
        <f aca="false">C28*Carnot!$C$13</f>
        <v>0.754335019905154</v>
      </c>
    </row>
    <row r="29" customFormat="false" ht="15" hidden="false" customHeight="false" outlineLevel="0" collapsed="false">
      <c r="A29" s="5" t="s">
        <v>46</v>
      </c>
      <c r="B29" s="11" t="n">
        <v>0.210526</v>
      </c>
      <c r="C29" s="15" t="n">
        <f aca="false">Carnot!$D$18+(Carnot!$D$19-Carnot!$D$18)*B29</f>
        <v>0.889111652684077</v>
      </c>
      <c r="D29" s="9" t="n">
        <f aca="false">Carnot!$C$18*(Carnot!$D$18/C29)^(Carnot!$C$11-1)</f>
        <v>482.106222478813</v>
      </c>
      <c r="E29" s="9" t="n">
        <f aca="false">Carnot!$C$10*D29/C29</f>
        <v>155.621046506049</v>
      </c>
      <c r="F29" s="15" t="n">
        <f aca="false">Carnot!$E$18</f>
        <v>0.243174485931127</v>
      </c>
      <c r="G29" s="10" t="n">
        <f aca="false">C29*Carnot!$C$13</f>
        <v>0.889111652684077</v>
      </c>
    </row>
    <row r="30" customFormat="false" ht="15" hidden="false" customHeight="false" outlineLevel="0" collapsed="false">
      <c r="A30" s="5" t="s">
        <v>46</v>
      </c>
      <c r="B30" s="11" t="n">
        <v>0.263158</v>
      </c>
      <c r="C30" s="15" t="n">
        <f aca="false">Carnot!$D$18+(Carnot!$D$19-Carnot!$D$18)*B30</f>
        <v>1.02389084624719</v>
      </c>
      <c r="D30" s="9" t="n">
        <f aca="false">Carnot!$C$18*(Carnot!$D$18/C30)^(Carnot!$C$11-1)</f>
        <v>455.642046294163</v>
      </c>
      <c r="E30" s="9" t="n">
        <f aca="false">Carnot!$C$10*D30/C30</f>
        <v>127.717976741101</v>
      </c>
      <c r="F30" s="15" t="n">
        <f aca="false">Carnot!$E$18</f>
        <v>0.243174485931127</v>
      </c>
      <c r="G30" s="10" t="n">
        <f aca="false">C30*Carnot!$C$13</f>
        <v>1.02389084624719</v>
      </c>
    </row>
    <row r="31" customFormat="false" ht="15" hidden="false" customHeight="false" outlineLevel="0" collapsed="false">
      <c r="A31" s="5" t="s">
        <v>46</v>
      </c>
      <c r="B31" s="11" t="n">
        <v>0.315789</v>
      </c>
      <c r="C31" s="15" t="n">
        <f aca="false">Carnot!$D$18+(Carnot!$D$19-Carnot!$D$18)*B31</f>
        <v>1.15866747902612</v>
      </c>
      <c r="D31" s="9" t="n">
        <f aca="false">Carnot!$C$18*(Carnot!$D$18/C31)^(Carnot!$C$11-1)</f>
        <v>433.652376483643</v>
      </c>
      <c r="E31" s="9" t="n">
        <f aca="false">Carnot!$C$10*D31/C31</f>
        <v>107.414969612693</v>
      </c>
      <c r="F31" s="15" t="n">
        <f aca="false">Carnot!$E$18</f>
        <v>0.243174485931127</v>
      </c>
      <c r="G31" s="10" t="n">
        <f aca="false">C31*Carnot!$C$13</f>
        <v>1.15866747902612</v>
      </c>
    </row>
    <row r="32" customFormat="false" ht="15" hidden="false" customHeight="false" outlineLevel="0" collapsed="false">
      <c r="A32" s="5" t="s">
        <v>46</v>
      </c>
      <c r="B32" s="11" t="n">
        <v>0.368421</v>
      </c>
      <c r="C32" s="15" t="n">
        <f aca="false">Carnot!$D$18+(Carnot!$D$19-Carnot!$D$18)*B32</f>
        <v>1.29344667258923</v>
      </c>
      <c r="D32" s="9" t="n">
        <f aca="false">Carnot!$C$18*(Carnot!$D$18/C32)^(Carnot!$C$11-1)</f>
        <v>414.97873892605</v>
      </c>
      <c r="E32" s="9" t="n">
        <f aca="false">Carnot!$C$10*D32/C32</f>
        <v>92.0787076852294</v>
      </c>
      <c r="F32" s="15" t="n">
        <f aca="false">Carnot!$E$18</f>
        <v>0.243174485931127</v>
      </c>
      <c r="G32" s="10" t="n">
        <f aca="false">C32*Carnot!$C$13</f>
        <v>1.29344667258923</v>
      </c>
    </row>
    <row r="33" customFormat="false" ht="15" hidden="false" customHeight="false" outlineLevel="0" collapsed="false">
      <c r="A33" s="5" t="s">
        <v>46</v>
      </c>
      <c r="B33" s="11" t="n">
        <v>0.421053</v>
      </c>
      <c r="C33" s="15" t="n">
        <f aca="false">Carnot!$D$18+(Carnot!$D$19-Carnot!$D$18)*B33</f>
        <v>1.42822586615235</v>
      </c>
      <c r="D33" s="9" t="n">
        <f aca="false">Carnot!$C$18*(Carnot!$D$18/C33)^(Carnot!$C$11-1)</f>
        <v>398.847156406288</v>
      </c>
      <c r="E33" s="9" t="n">
        <f aca="false">Carnot!$C$10*D33/C33</f>
        <v>80.1477809647752</v>
      </c>
      <c r="F33" s="15" t="n">
        <f aca="false">Carnot!$E$18</f>
        <v>0.243174485931127</v>
      </c>
      <c r="G33" s="10" t="n">
        <f aca="false">C33*Carnot!$C$13</f>
        <v>1.42822586615235</v>
      </c>
    </row>
    <row r="34" customFormat="false" ht="15" hidden="false" customHeight="false" outlineLevel="0" collapsed="false">
      <c r="A34" s="5" t="s">
        <v>46</v>
      </c>
      <c r="B34" s="11" t="n">
        <v>0.473684</v>
      </c>
      <c r="C34" s="15" t="n">
        <f aca="false">Carnot!$D$18+(Carnot!$D$19-Carnot!$D$18)*B34</f>
        <v>1.56300249893127</v>
      </c>
      <c r="D34" s="9" t="n">
        <f aca="false">Carnot!$C$18*(Carnot!$D$18/C34)^(Carnot!$C$11-1)</f>
        <v>384.717010036083</v>
      </c>
      <c r="E34" s="9" t="n">
        <f aca="false">Carnot!$C$10*D34/C34</f>
        <v>70.6421019517584</v>
      </c>
      <c r="F34" s="15" t="n">
        <f aca="false">Carnot!$E$18</f>
        <v>0.243174485931127</v>
      </c>
      <c r="G34" s="10" t="n">
        <f aca="false">C34*Carnot!$C$13</f>
        <v>1.56300249893127</v>
      </c>
    </row>
    <row r="35" customFormat="false" ht="15" hidden="false" customHeight="false" outlineLevel="0" collapsed="false">
      <c r="A35" s="5" t="s">
        <v>46</v>
      </c>
      <c r="B35" s="11" t="n">
        <v>0.526316</v>
      </c>
      <c r="C35" s="15" t="n">
        <f aca="false">Carnot!$D$18+(Carnot!$D$19-Carnot!$D$18)*B35</f>
        <v>1.69778169249439</v>
      </c>
      <c r="D35" s="9" t="n">
        <f aca="false">Carnot!$C$18*(Carnot!$D$18/C35)^(Carnot!$C$11-1)</f>
        <v>372.19670089358</v>
      </c>
      <c r="E35" s="9" t="n">
        <f aca="false">Carnot!$C$10*D35/C35</f>
        <v>62.9176611037173</v>
      </c>
      <c r="F35" s="15" t="n">
        <f aca="false">Carnot!$E$18</f>
        <v>0.243174485931127</v>
      </c>
      <c r="G35" s="10" t="n">
        <f aca="false">C35*Carnot!$C$13</f>
        <v>1.69778169249439</v>
      </c>
    </row>
    <row r="36" customFormat="false" ht="15" hidden="false" customHeight="false" outlineLevel="0" collapsed="false">
      <c r="A36" s="5" t="s">
        <v>46</v>
      </c>
      <c r="B36" s="11" t="n">
        <v>0.578947</v>
      </c>
      <c r="C36" s="15" t="n">
        <f aca="false">Carnot!$D$18+(Carnot!$D$19-Carnot!$D$18)*B36</f>
        <v>1.83255832527331</v>
      </c>
      <c r="D36" s="9" t="n">
        <f aca="false">Carnot!$C$18*(Carnot!$D$18/C36)^(Carnot!$C$11-1)</f>
        <v>360.995788562847</v>
      </c>
      <c r="E36" s="9" t="n">
        <f aca="false">Carnot!$C$10*D36/C36</f>
        <v>56.5361494303791</v>
      </c>
      <c r="F36" s="15" t="n">
        <f aca="false">Carnot!$E$18</f>
        <v>0.243174485931127</v>
      </c>
      <c r="G36" s="10" t="n">
        <f aca="false">C36*Carnot!$C$13</f>
        <v>1.83255832527331</v>
      </c>
    </row>
    <row r="37" customFormat="false" ht="15" hidden="false" customHeight="false" outlineLevel="0" collapsed="false">
      <c r="A37" s="5" t="s">
        <v>46</v>
      </c>
      <c r="B37" s="11" t="n">
        <v>0.631579</v>
      </c>
      <c r="C37" s="15" t="n">
        <f aca="false">Carnot!$D$18+(Carnot!$D$19-Carnot!$D$18)*B37</f>
        <v>1.96733751883642</v>
      </c>
      <c r="D37" s="9" t="n">
        <f aca="false">Carnot!$C$18*(Carnot!$D$18/C37)^(Carnot!$C$11-1)</f>
        <v>350.892194847684</v>
      </c>
      <c r="E37" s="9" t="n">
        <f aca="false">Carnot!$C$10*D37/C37</f>
        <v>51.1890099980646</v>
      </c>
      <c r="F37" s="15" t="n">
        <f aca="false">Carnot!$E$18</f>
        <v>0.243174485931127</v>
      </c>
      <c r="G37" s="10" t="n">
        <f aca="false">C37*Carnot!$C$13</f>
        <v>1.96733751883642</v>
      </c>
    </row>
    <row r="38" customFormat="false" ht="15" hidden="false" customHeight="false" outlineLevel="0" collapsed="false">
      <c r="A38" s="5" t="s">
        <v>46</v>
      </c>
      <c r="B38" s="11" t="n">
        <v>0.684211</v>
      </c>
      <c r="C38" s="15" t="n">
        <f aca="false">Carnot!$D$18+(Carnot!$D$19-Carnot!$D$18)*B38</f>
        <v>2.10211671239954</v>
      </c>
      <c r="D38" s="9" t="n">
        <f aca="false">Carnot!$C$18*(Carnot!$D$18/C38)^(Carnot!$C$11-1)</f>
        <v>341.713807684464</v>
      </c>
      <c r="E38" s="9" t="n">
        <f aca="false">Carnot!$C$10*D38/C38</f>
        <v>46.653861903554</v>
      </c>
      <c r="F38" s="15" t="n">
        <f aca="false">Carnot!$E$18</f>
        <v>0.243174485931127</v>
      </c>
      <c r="G38" s="10" t="n">
        <f aca="false">C38*Carnot!$C$13</f>
        <v>2.10211671239954</v>
      </c>
    </row>
    <row r="39" customFormat="false" ht="15" hidden="false" customHeight="false" outlineLevel="0" collapsed="false">
      <c r="A39" s="5" t="s">
        <v>46</v>
      </c>
      <c r="B39" s="11" t="n">
        <v>0.736842</v>
      </c>
      <c r="C39" s="15" t="n">
        <f aca="false">Carnot!$D$18+(Carnot!$D$19-Carnot!$D$18)*B39</f>
        <v>2.23689334517846</v>
      </c>
      <c r="D39" s="9" t="n">
        <f aca="false">Carnot!$C$18*(Carnot!$D$18/C39)^(Carnot!$C$11-1)</f>
        <v>333.324431261132</v>
      </c>
      <c r="E39" s="9" t="n">
        <f aca="false">Carnot!$C$10*D39/C39</f>
        <v>42.766505599449</v>
      </c>
      <c r="F39" s="15" t="n">
        <f aca="false">Carnot!$E$18</f>
        <v>0.243174485931127</v>
      </c>
      <c r="G39" s="10" t="n">
        <f aca="false">C39*Carnot!$C$13</f>
        <v>2.23689334517846</v>
      </c>
    </row>
    <row r="40" customFormat="false" ht="15" hidden="false" customHeight="false" outlineLevel="0" collapsed="false">
      <c r="A40" s="5" t="s">
        <v>46</v>
      </c>
      <c r="B40" s="11" t="n">
        <v>0.789474</v>
      </c>
      <c r="C40" s="15" t="n">
        <f aca="false">Carnot!$D$18+(Carnot!$D$19-Carnot!$D$18)*B40</f>
        <v>2.37167253874158</v>
      </c>
      <c r="D40" s="9" t="n">
        <f aca="false">Carnot!$C$18*(Carnot!$D$18/C40)^(Carnot!$C$11-1)</f>
        <v>325.614223689611</v>
      </c>
      <c r="E40" s="9" t="n">
        <f aca="false">Carnot!$C$10*D40/C40</f>
        <v>39.4031134873721</v>
      </c>
      <c r="F40" s="15" t="n">
        <f aca="false">Carnot!$E$18</f>
        <v>0.243174485931127</v>
      </c>
      <c r="G40" s="10" t="n">
        <f aca="false">C40*Carnot!$C$13</f>
        <v>2.37167253874158</v>
      </c>
    </row>
    <row r="41" customFormat="false" ht="15" hidden="false" customHeight="false" outlineLevel="0" collapsed="false">
      <c r="A41" s="5" t="s">
        <v>46</v>
      </c>
      <c r="B41" s="11" t="n">
        <v>0.842105</v>
      </c>
      <c r="C41" s="15" t="n">
        <f aca="false">Carnot!$D$18+(Carnot!$D$19-Carnot!$D$18)*B41</f>
        <v>2.5064491715205</v>
      </c>
      <c r="D41" s="9" t="n">
        <f aca="false">Carnot!$C$18*(Carnot!$D$18/C41)^(Carnot!$C$11-1)</f>
        <v>318.494323964075</v>
      </c>
      <c r="E41" s="9" t="n">
        <f aca="false">Carnot!$C$10*D41/C41</f>
        <v>36.4690702753163</v>
      </c>
      <c r="F41" s="15" t="n">
        <f aca="false">Carnot!$E$18</f>
        <v>0.243174485931127</v>
      </c>
      <c r="G41" s="10" t="n">
        <f aca="false">C41*Carnot!$C$13</f>
        <v>2.5064491715205</v>
      </c>
    </row>
    <row r="42" customFormat="false" ht="15" hidden="false" customHeight="false" outlineLevel="0" collapsed="false">
      <c r="A42" s="5" t="s">
        <v>46</v>
      </c>
      <c r="B42" s="11" t="n">
        <v>0.894737</v>
      </c>
      <c r="C42" s="15" t="n">
        <f aca="false">Carnot!$D$18+(Carnot!$D$19-Carnot!$D$18)*B42</f>
        <v>2.64122836508362</v>
      </c>
      <c r="D42" s="9" t="n">
        <f aca="false">Carnot!$C$18*(Carnot!$D$18/C42)^(Carnot!$C$11-1)</f>
        <v>311.891024311692</v>
      </c>
      <c r="E42" s="9" t="n">
        <f aca="false">Carnot!$C$10*D42/C42</f>
        <v>33.8905659051642</v>
      </c>
      <c r="F42" s="15" t="n">
        <f aca="false">Carnot!$E$18</f>
        <v>0.243174485931127</v>
      </c>
      <c r="G42" s="10" t="n">
        <f aca="false">C42*Carnot!$C$13</f>
        <v>2.64122836508362</v>
      </c>
    </row>
    <row r="43" customFormat="false" ht="15" hidden="false" customHeight="false" outlineLevel="0" collapsed="false">
      <c r="A43" s="5" t="s">
        <v>46</v>
      </c>
      <c r="B43" s="11" t="n">
        <v>0.947368</v>
      </c>
      <c r="C43" s="15" t="n">
        <f aca="false">Carnot!$D$18+(Carnot!$D$19-Carnot!$D$18)*B43</f>
        <v>2.77600499786254</v>
      </c>
      <c r="D43" s="9" t="n">
        <f aca="false">Carnot!$C$18*(Carnot!$D$18/C43)^(Carnot!$C$11-1)</f>
        <v>305.743448907528</v>
      </c>
      <c r="E43" s="9" t="n">
        <f aca="false">Carnot!$C$10*D43/C43</f>
        <v>31.6095864034916</v>
      </c>
      <c r="F43" s="15" t="n">
        <f aca="false">Carnot!$E$18</f>
        <v>0.243174485931127</v>
      </c>
      <c r="G43" s="10" t="n">
        <f aca="false">C43*Carnot!$C$13</f>
        <v>2.77600499786254</v>
      </c>
    </row>
    <row r="44" customFormat="false" ht="15" hidden="false" customHeight="false" outlineLevel="0" collapsed="false">
      <c r="A44" s="5" t="s">
        <v>46</v>
      </c>
      <c r="B44" s="11" t="n">
        <v>1</v>
      </c>
      <c r="C44" s="15" t="n">
        <f aca="false">Carnot!$D$18+(Carnot!$D$19-Carnot!$D$18)*B44</f>
        <v>2.91078419142566</v>
      </c>
      <c r="D44" s="9" t="n">
        <f aca="false">Carnot!$C$18*(Carnot!$D$18/C44)^(Carnot!$C$11-1)</f>
        <v>300</v>
      </c>
      <c r="E44" s="9" t="n">
        <f aca="false">Carnot!$C$10*D44/C44</f>
        <v>29.5796576928053</v>
      </c>
      <c r="F44" s="15" t="n">
        <f aca="false">Carnot!$E$18</f>
        <v>0.243174485931127</v>
      </c>
      <c r="G44" s="10" t="n">
        <f aca="false">C44*Carnot!$C$13</f>
        <v>2.91078419142566</v>
      </c>
    </row>
    <row r="45" customFormat="false" ht="15" hidden="false" customHeight="false" outlineLevel="0" collapsed="false">
      <c r="A45" s="5" t="s">
        <v>48</v>
      </c>
      <c r="B45" s="11" t="n">
        <v>0</v>
      </c>
      <c r="C45" s="15" t="n">
        <f aca="false">Carnot!$D$19+(Carnot!$D$20-Carnot!$D$19)*B45</f>
        <v>2.91078419142566</v>
      </c>
      <c r="D45" s="9" t="n">
        <f aca="false">Carnot!$C$19</f>
        <v>300</v>
      </c>
      <c r="E45" s="9" t="n">
        <f aca="false">Carnot!$C$10*D45/C45</f>
        <v>29.5796576928053</v>
      </c>
      <c r="F45" s="15" t="n">
        <f aca="false">Carnot!$E$18+Carnot!$C$10*LN(C45/Carnot!$D$19)</f>
        <v>0.243174485931127</v>
      </c>
      <c r="G45" s="10" t="n">
        <f aca="false">C45*Carnot!$C$13</f>
        <v>2.91078419142566</v>
      </c>
    </row>
    <row r="46" customFormat="false" ht="15" hidden="false" customHeight="false" outlineLevel="0" collapsed="false">
      <c r="A46" s="5" t="s">
        <v>48</v>
      </c>
      <c r="B46" s="11" t="n">
        <v>0.052632</v>
      </c>
      <c r="C46" s="15" t="n">
        <f aca="false">Carnot!$D$19+(Carnot!$D$20-Carnot!$D$19)*B46</f>
        <v>2.82324110938959</v>
      </c>
      <c r="D46" s="9" t="n">
        <f aca="false">Carnot!$C$19</f>
        <v>300</v>
      </c>
      <c r="E46" s="9" t="n">
        <f aca="false">Carnot!$C$10*D46/C46</f>
        <v>30.4968639460679</v>
      </c>
      <c r="F46" s="15" t="n">
        <f aca="false">Carnot!$E$18+Carnot!$C$10*LN(C46/Carnot!$D$19)</f>
        <v>0.234410374989477</v>
      </c>
      <c r="G46" s="10" t="n">
        <f aca="false">C46*Carnot!$C$13</f>
        <v>2.82324110938959</v>
      </c>
    </row>
    <row r="47" customFormat="false" ht="15" hidden="false" customHeight="false" outlineLevel="0" collapsed="false">
      <c r="A47" s="5" t="s">
        <v>48</v>
      </c>
      <c r="B47" s="11" t="n">
        <v>0.105263</v>
      </c>
      <c r="C47" s="15" t="n">
        <f aca="false">Carnot!$D$19+(Carnot!$D$20-Carnot!$D$19)*B47</f>
        <v>2.73569969065878</v>
      </c>
      <c r="D47" s="9" t="n">
        <f aca="false">Carnot!$C$19</f>
        <v>300</v>
      </c>
      <c r="E47" s="9" t="n">
        <f aca="false">Carnot!$C$10*D47/C47</f>
        <v>31.4727527637606</v>
      </c>
      <c r="F47" s="15" t="n">
        <f aca="false">Carnot!$E$18+Carnot!$C$10*LN(C47/Carnot!$D$19)</f>
        <v>0.225370356289243</v>
      </c>
      <c r="G47" s="10" t="n">
        <f aca="false">C47*Carnot!$C$13</f>
        <v>2.73569969065878</v>
      </c>
    </row>
    <row r="48" customFormat="false" ht="15" hidden="false" customHeight="false" outlineLevel="0" collapsed="false">
      <c r="A48" s="5" t="s">
        <v>48</v>
      </c>
      <c r="B48" s="11" t="n">
        <v>0.157895</v>
      </c>
      <c r="C48" s="15" t="n">
        <f aca="false">Carnot!$D$19+(Carnot!$D$20-Carnot!$D$19)*B48</f>
        <v>2.64815660862271</v>
      </c>
      <c r="D48" s="9" t="n">
        <f aca="false">Carnot!$C$19</f>
        <v>300</v>
      </c>
      <c r="E48" s="9" t="n">
        <f aca="false">Carnot!$C$10*D48/C48</f>
        <v>32.5131828380724</v>
      </c>
      <c r="F48" s="15" t="n">
        <f aca="false">Carnot!$E$18+Carnot!$C$10*LN(C48/Carnot!$D$19)</f>
        <v>0.216036125279728</v>
      </c>
      <c r="G48" s="10" t="n">
        <f aca="false">C48*Carnot!$C$13</f>
        <v>2.64815660862271</v>
      </c>
    </row>
    <row r="49" customFormat="false" ht="15" hidden="false" customHeight="false" outlineLevel="0" collapsed="false">
      <c r="A49" s="5" t="s">
        <v>48</v>
      </c>
      <c r="B49" s="11" t="n">
        <v>0.210526</v>
      </c>
      <c r="C49" s="15" t="n">
        <f aca="false">Carnot!$D$19+(Carnot!$D$20-Carnot!$D$19)*B49</f>
        <v>2.5606151898919</v>
      </c>
      <c r="D49" s="9" t="n">
        <f aca="false">Carnot!$C$19</f>
        <v>300</v>
      </c>
      <c r="E49" s="9" t="n">
        <f aca="false">Carnot!$C$10*D49/C49</f>
        <v>33.6247321893123</v>
      </c>
      <c r="F49" s="15" t="n">
        <f aca="false">Carnot!$E$18+Carnot!$C$10*LN(C49/Carnot!$D$19)</f>
        <v>0.206388264290229</v>
      </c>
      <c r="G49" s="10" t="n">
        <f aca="false">C49*Carnot!$C$13</f>
        <v>2.5606151898919</v>
      </c>
    </row>
    <row r="50" customFormat="false" ht="15" hidden="false" customHeight="false" outlineLevel="0" collapsed="false">
      <c r="A50" s="5" t="s">
        <v>48</v>
      </c>
      <c r="B50" s="11" t="n">
        <v>0.263158</v>
      </c>
      <c r="C50" s="15" t="n">
        <f aca="false">Carnot!$D$19+(Carnot!$D$20-Carnot!$D$19)*B50</f>
        <v>2.47307210785583</v>
      </c>
      <c r="D50" s="9" t="n">
        <f aca="false">Carnot!$C$19</f>
        <v>300</v>
      </c>
      <c r="E50" s="9" t="n">
        <f aca="false">Carnot!$C$10*D50/C50</f>
        <v>34.8149978023282</v>
      </c>
      <c r="F50" s="15" t="n">
        <f aca="false">Carnot!$E$18+Carnot!$C$10*LN(C50/Carnot!$D$19)</f>
        <v>0.196404569783341</v>
      </c>
      <c r="G50" s="10" t="n">
        <f aca="false">C50*Carnot!$C$13</f>
        <v>2.47307210785583</v>
      </c>
    </row>
    <row r="51" customFormat="false" ht="15" hidden="false" customHeight="false" outlineLevel="0" collapsed="false">
      <c r="A51" s="5" t="s">
        <v>48</v>
      </c>
      <c r="B51" s="11" t="n">
        <v>0.315789</v>
      </c>
      <c r="C51" s="15" t="n">
        <f aca="false">Carnot!$D$19+(Carnot!$D$20-Carnot!$D$19)*B51</f>
        <v>2.38553068912502</v>
      </c>
      <c r="D51" s="9" t="n">
        <f aca="false">Carnot!$C$19</f>
        <v>300</v>
      </c>
      <c r="E51" s="9" t="n">
        <f aca="false">Carnot!$C$10*D51/C51</f>
        <v>36.0925979248586</v>
      </c>
      <c r="F51" s="15" t="n">
        <f aca="false">Carnot!$E$18+Carnot!$C$10*LN(C51/Carnot!$D$19)</f>
        <v>0.186061223120224</v>
      </c>
      <c r="G51" s="10" t="n">
        <f aca="false">C51*Carnot!$C$13</f>
        <v>2.38553068912502</v>
      </c>
    </row>
    <row r="52" customFormat="false" ht="15" hidden="false" customHeight="false" outlineLevel="0" collapsed="false">
      <c r="A52" s="5" t="s">
        <v>48</v>
      </c>
      <c r="B52" s="11" t="n">
        <v>0.368421</v>
      </c>
      <c r="C52" s="15" t="n">
        <f aca="false">Carnot!$D$19+(Carnot!$D$20-Carnot!$D$19)*B52</f>
        <v>2.29798760708895</v>
      </c>
      <c r="D52" s="9" t="n">
        <f aca="false">Carnot!$C$19</f>
        <v>300</v>
      </c>
      <c r="E52" s="9" t="n">
        <f aca="false">Carnot!$C$10*D52/C52</f>
        <v>37.4675649835509</v>
      </c>
      <c r="F52" s="15" t="n">
        <f aca="false">Carnot!$E$18+Carnot!$C$10*LN(C52/Carnot!$D$19)</f>
        <v>0.175330917560026</v>
      </c>
      <c r="G52" s="10" t="n">
        <f aca="false">C52*Carnot!$C$13</f>
        <v>2.29798760708895</v>
      </c>
    </row>
    <row r="53" customFormat="false" ht="15" hidden="false" customHeight="false" outlineLevel="0" collapsed="false">
      <c r="A53" s="5" t="s">
        <v>48</v>
      </c>
      <c r="B53" s="11" t="n">
        <v>0.421053</v>
      </c>
      <c r="C53" s="15" t="n">
        <f aca="false">Carnot!$D$19+(Carnot!$D$20-Carnot!$D$19)*B53</f>
        <v>2.21044452505289</v>
      </c>
      <c r="D53" s="9" t="n">
        <f aca="false">Carnot!$C$19</f>
        <v>300</v>
      </c>
      <c r="E53" s="9" t="n">
        <f aca="false">Carnot!$C$10*D53/C53</f>
        <v>38.9514412255788</v>
      </c>
      <c r="F53" s="15" t="n">
        <f aca="false">Carnot!$E$18+Carnot!$C$10*LN(C53/Carnot!$D$19)</f>
        <v>0.164183794900558</v>
      </c>
      <c r="G53" s="10" t="n">
        <f aca="false">C53*Carnot!$C$13</f>
        <v>2.21044452505289</v>
      </c>
    </row>
    <row r="54" customFormat="false" ht="15" hidden="false" customHeight="false" outlineLevel="0" collapsed="false">
      <c r="A54" s="5" t="s">
        <v>48</v>
      </c>
      <c r="B54" s="11" t="n">
        <v>0.473684</v>
      </c>
      <c r="C54" s="15" t="n">
        <f aca="false">Carnot!$D$19+(Carnot!$D$20-Carnot!$D$19)*B54</f>
        <v>2.12290310632207</v>
      </c>
      <c r="D54" s="9" t="n">
        <f aca="false">Carnot!$C$19</f>
        <v>300</v>
      </c>
      <c r="E54" s="9" t="n">
        <f aca="false">Carnot!$C$10*D54/C54</f>
        <v>40.5576682909321</v>
      </c>
      <c r="F54" s="15" t="n">
        <f aca="false">Carnot!$E$18+Carnot!$C$10*LN(C54/Carnot!$D$19)</f>
        <v>0.152586384302157</v>
      </c>
      <c r="G54" s="10" t="n">
        <f aca="false">C54*Carnot!$C$13</f>
        <v>2.12290310632207</v>
      </c>
    </row>
    <row r="55" customFormat="false" ht="15" hidden="false" customHeight="false" outlineLevel="0" collapsed="false">
      <c r="A55" s="5" t="s">
        <v>48</v>
      </c>
      <c r="B55" s="11" t="n">
        <v>0.526316</v>
      </c>
      <c r="C55" s="15" t="n">
        <f aca="false">Carnot!$D$19+(Carnot!$D$20-Carnot!$D$19)*B55</f>
        <v>2.03536002428601</v>
      </c>
      <c r="D55" s="9" t="n">
        <f aca="false">Carnot!$C$19</f>
        <v>300</v>
      </c>
      <c r="E55" s="9" t="n">
        <f aca="false">Carnot!$C$10*D55/C55</f>
        <v>42.302098386846</v>
      </c>
      <c r="F55" s="15" t="n">
        <f aca="false">Carnot!$E$18+Carnot!$C$10*LN(C55/Carnot!$D$19)</f>
        <v>0.14050029129012</v>
      </c>
      <c r="G55" s="10" t="n">
        <f aca="false">C55*Carnot!$C$13</f>
        <v>2.03536002428601</v>
      </c>
    </row>
    <row r="56" customFormat="false" ht="15" hidden="false" customHeight="false" outlineLevel="0" collapsed="false">
      <c r="A56" s="5" t="s">
        <v>48</v>
      </c>
      <c r="B56" s="11" t="n">
        <v>0.578947</v>
      </c>
      <c r="C56" s="15" t="n">
        <f aca="false">Carnot!$D$19+(Carnot!$D$20-Carnot!$D$19)*B56</f>
        <v>1.94781860555519</v>
      </c>
      <c r="D56" s="9" t="n">
        <f aca="false">Carnot!$C$19</f>
        <v>300</v>
      </c>
      <c r="E56" s="9" t="n">
        <f aca="false">Carnot!$C$10*D56/C56</f>
        <v>44.2032947803467</v>
      </c>
      <c r="F56" s="15" t="n">
        <f aca="false">Carnot!$E$18+Carnot!$C$10*LN(C56/Carnot!$D$19)</f>
        <v>0.127883014536729</v>
      </c>
      <c r="G56" s="10" t="n">
        <f aca="false">C56*Carnot!$C$13</f>
        <v>1.94781860555519</v>
      </c>
    </row>
    <row r="57" customFormat="false" ht="15" hidden="false" customHeight="false" outlineLevel="0" collapsed="false">
      <c r="A57" s="5" t="s">
        <v>48</v>
      </c>
      <c r="B57" s="11" t="n">
        <v>0.631579</v>
      </c>
      <c r="C57" s="15" t="n">
        <f aca="false">Carnot!$D$19+(Carnot!$D$20-Carnot!$D$19)*B57</f>
        <v>1.86027552351913</v>
      </c>
      <c r="D57" s="9" t="n">
        <f aca="false">Carnot!$C$19</f>
        <v>300</v>
      </c>
      <c r="E57" s="9" t="n">
        <f aca="false">Carnot!$C$10*D57/C57</f>
        <v>46.2834665679644</v>
      </c>
      <c r="F57" s="15" t="n">
        <f aca="false">Carnot!$E$18+Carnot!$C$10*LN(C57/Carnot!$D$19)</f>
        <v>0.114685183238322</v>
      </c>
      <c r="G57" s="10" t="n">
        <f aca="false">C57*Carnot!$C$13</f>
        <v>1.86027552351913</v>
      </c>
    </row>
    <row r="58" customFormat="false" ht="15" hidden="false" customHeight="false" outlineLevel="0" collapsed="false">
      <c r="A58" s="5" t="s">
        <v>48</v>
      </c>
      <c r="B58" s="11" t="n">
        <v>0.684211</v>
      </c>
      <c r="C58" s="15" t="n">
        <f aca="false">Carnot!$D$19+(Carnot!$D$20-Carnot!$D$19)*B58</f>
        <v>1.77273244148306</v>
      </c>
      <c r="D58" s="9" t="n">
        <f aca="false">Carnot!$C$19</f>
        <v>300</v>
      </c>
      <c r="E58" s="9" t="n">
        <f aca="false">Carnot!$C$10*D58/C58</f>
        <v>48.5690891559298</v>
      </c>
      <c r="F58" s="15" t="n">
        <f aca="false">Carnot!$E$18+Carnot!$C$10*LN(C58/Carnot!$D$19)</f>
        <v>0.10085106596689</v>
      </c>
      <c r="G58" s="10" t="n">
        <f aca="false">C58*Carnot!$C$13</f>
        <v>1.77273244148306</v>
      </c>
    </row>
    <row r="59" customFormat="false" ht="15" hidden="false" customHeight="false" outlineLevel="0" collapsed="false">
      <c r="A59" s="5" t="s">
        <v>48</v>
      </c>
      <c r="B59" s="11" t="n">
        <v>0.736842</v>
      </c>
      <c r="C59" s="15" t="n">
        <f aca="false">Carnot!$D$19+(Carnot!$D$20-Carnot!$D$19)*B59</f>
        <v>1.68519102275225</v>
      </c>
      <c r="D59" s="9" t="n">
        <f aca="false">Carnot!$C$19</f>
        <v>300</v>
      </c>
      <c r="E59" s="9" t="n">
        <f aca="false">Carnot!$C$10*D59/C59</f>
        <v>51.0921307065722</v>
      </c>
      <c r="F59" s="15" t="n">
        <f aca="false">Carnot!$E$18+Carnot!$C$10*LN(C59/Carnot!$D$19)</f>
        <v>0.0863164720216717</v>
      </c>
      <c r="G59" s="10" t="n">
        <f aca="false">C59*Carnot!$C$13</f>
        <v>1.68519102275225</v>
      </c>
    </row>
    <row r="60" customFormat="false" ht="15" hidden="false" customHeight="false" outlineLevel="0" collapsed="false">
      <c r="A60" s="5" t="s">
        <v>48</v>
      </c>
      <c r="B60" s="11" t="n">
        <v>0.789474</v>
      </c>
      <c r="C60" s="15" t="n">
        <f aca="false">Carnot!$D$19+(Carnot!$D$20-Carnot!$D$19)*B60</f>
        <v>1.59764794071618</v>
      </c>
      <c r="D60" s="9" t="n">
        <f aca="false">Carnot!$C$19</f>
        <v>300</v>
      </c>
      <c r="E60" s="9" t="n">
        <f aca="false">Carnot!$C$10*D60/C60</f>
        <v>53.8917228293761</v>
      </c>
      <c r="F60" s="15" t="n">
        <f aca="false">Carnot!$E$18+Carnot!$C$10*LN(C60/Carnot!$D$19)</f>
        <v>0.0710060513848925</v>
      </c>
      <c r="G60" s="10" t="n">
        <f aca="false">C60*Carnot!$C$13</f>
        <v>1.59764794071618</v>
      </c>
    </row>
    <row r="61" customFormat="false" ht="15" hidden="false" customHeight="false" outlineLevel="0" collapsed="false">
      <c r="A61" s="5" t="s">
        <v>48</v>
      </c>
      <c r="B61" s="11" t="n">
        <v>0.842105</v>
      </c>
      <c r="C61" s="15" t="n">
        <f aca="false">Carnot!$D$19+(Carnot!$D$20-Carnot!$D$19)*B61</f>
        <v>1.51010652198537</v>
      </c>
      <c r="D61" s="9" t="n">
        <f aca="false">Carnot!$C$19</f>
        <v>300</v>
      </c>
      <c r="E61" s="9" t="n">
        <f aca="false">Carnot!$C$10*D61/C61</f>
        <v>57.0158454032783</v>
      </c>
      <c r="F61" s="15" t="n">
        <f aca="false">Carnot!$E$18+Carnot!$C$10*LN(C61/Carnot!$D$19)</f>
        <v>0.0548329361392913</v>
      </c>
      <c r="G61" s="10" t="n">
        <f aca="false">C61*Carnot!$C$13</f>
        <v>1.51010652198537</v>
      </c>
    </row>
    <row r="62" customFormat="false" ht="15" hidden="false" customHeight="false" outlineLevel="0" collapsed="false">
      <c r="A62" s="5" t="s">
        <v>48</v>
      </c>
      <c r="B62" s="11" t="n">
        <v>0.894737</v>
      </c>
      <c r="C62" s="15" t="n">
        <f aca="false">Carnot!$D$19+(Carnot!$D$20-Carnot!$D$19)*B62</f>
        <v>1.4225634399493</v>
      </c>
      <c r="D62" s="9" t="n">
        <f aca="false">Carnot!$C$19</f>
        <v>300</v>
      </c>
      <c r="E62" s="9" t="n">
        <f aca="false">Carnot!$C$10*D62/C62</f>
        <v>60.5245415298093</v>
      </c>
      <c r="F62" s="15" t="n">
        <f aca="false">Carnot!$E$18+Carnot!$C$10*LN(C62/Carnot!$D$19)</f>
        <v>0.0376933796069117</v>
      </c>
      <c r="G62" s="10" t="n">
        <f aca="false">C62*Carnot!$C$13</f>
        <v>1.4225634399493</v>
      </c>
    </row>
    <row r="63" customFormat="false" ht="15" hidden="false" customHeight="false" outlineLevel="0" collapsed="false">
      <c r="A63" s="5" t="s">
        <v>48</v>
      </c>
      <c r="B63" s="11" t="n">
        <v>0.947368</v>
      </c>
      <c r="C63" s="15" t="n">
        <f aca="false">Carnot!$D$19+(Carnot!$D$20-Carnot!$D$19)*B63</f>
        <v>1.33502202121849</v>
      </c>
      <c r="D63" s="9" t="n">
        <f aca="false">Carnot!$C$19</f>
        <v>300</v>
      </c>
      <c r="E63" s="9" t="n">
        <f aca="false">Carnot!$C$10*D63/C63</f>
        <v>64.4933181861791</v>
      </c>
      <c r="F63" s="15" t="n">
        <f aca="false">Carnot!$E$18+Carnot!$C$10*LN(C63/Carnot!$D$19)</f>
        <v>0.0194652357065621</v>
      </c>
      <c r="G63" s="10" t="n">
        <f aca="false">C63*Carnot!$C$13</f>
        <v>1.33502202121849</v>
      </c>
    </row>
    <row r="64" customFormat="false" ht="15" hidden="false" customHeight="false" outlineLevel="0" collapsed="false">
      <c r="A64" s="5" t="s">
        <v>48</v>
      </c>
      <c r="B64" s="11" t="n">
        <v>1</v>
      </c>
      <c r="C64" s="15" t="n">
        <f aca="false">Carnot!$D$19+(Carnot!$D$20-Carnot!$D$19)*B64</f>
        <v>1.24747893918242</v>
      </c>
      <c r="D64" s="9" t="n">
        <f aca="false">Carnot!$C$19</f>
        <v>300</v>
      </c>
      <c r="E64" s="9" t="n">
        <f aca="false">Carnot!$C$10*D64/C64</f>
        <v>69.0192012832124</v>
      </c>
      <c r="F64" s="15" t="n">
        <f aca="false">Carnot!$E$18+Carnot!$C$10*LN(C64/Carnot!$D$19)</f>
        <v>0</v>
      </c>
      <c r="G64" s="10" t="n">
        <f aca="false">C64*Carnot!$C$13</f>
        <v>1.24747893918242</v>
      </c>
    </row>
    <row r="65" customFormat="false" ht="15" hidden="false" customHeight="false" outlineLevel="0" collapsed="false">
      <c r="A65" s="5" t="s">
        <v>50</v>
      </c>
      <c r="B65" s="11" t="n">
        <v>0</v>
      </c>
      <c r="C65" s="15" t="n">
        <f aca="false">Carnot!$D$20+(Carnot!$D$17-Carnot!$D$20)*B65</f>
        <v>1.24747893918242</v>
      </c>
      <c r="D65" s="9" t="n">
        <f aca="false">Carnot!$C$20*(Carnot!$D$20/C65)^(Carnot!$C$11-1)</f>
        <v>300</v>
      </c>
      <c r="E65" s="9" t="n">
        <f aca="false">Carnot!$C$10*D65/C65</f>
        <v>69.0192012832124</v>
      </c>
      <c r="F65" s="15" t="n">
        <f aca="false">0</f>
        <v>0</v>
      </c>
      <c r="G65" s="10" t="n">
        <f aca="false">C65*Carnot!$C$13</f>
        <v>1.24747893918242</v>
      </c>
    </row>
    <row r="66" customFormat="false" ht="15" hidden="false" customHeight="false" outlineLevel="0" collapsed="false">
      <c r="A66" s="5" t="s">
        <v>50</v>
      </c>
      <c r="B66" s="11" t="n">
        <v>0.052632</v>
      </c>
      <c r="C66" s="15" t="n">
        <f aca="false">Carnot!$D$20+(Carnot!$D$17-Carnot!$D$20)*B66</f>
        <v>1.18971642765537</v>
      </c>
      <c r="D66" s="9" t="n">
        <f aca="false">Carnot!$C$20*(Carnot!$D$20/C66)^(Carnot!$C$11-1)</f>
        <v>305.743448907527</v>
      </c>
      <c r="E66" s="9" t="n">
        <f aca="false">Carnot!$C$10*D66/C66</f>
        <v>73.755701608147</v>
      </c>
      <c r="F66" s="15" t="n">
        <f aca="false">0</f>
        <v>0</v>
      </c>
      <c r="G66" s="10" t="n">
        <f aca="false">C66*Carnot!$C$13</f>
        <v>1.18971642765537</v>
      </c>
    </row>
    <row r="67" customFormat="false" ht="15" hidden="false" customHeight="false" outlineLevel="0" collapsed="false">
      <c r="A67" s="5" t="s">
        <v>50</v>
      </c>
      <c r="B67" s="11" t="n">
        <v>0.105263</v>
      </c>
      <c r="C67" s="15" t="n">
        <f aca="false">Carnot!$D$20+(Carnot!$D$17-Carnot!$D$20)*B67</f>
        <v>1.13195501360726</v>
      </c>
      <c r="D67" s="9" t="n">
        <f aca="false">Carnot!$C$20*(Carnot!$D$20/C67)^(Carnot!$C$11-1)</f>
        <v>311.891024311692</v>
      </c>
      <c r="E67" s="9" t="n">
        <f aca="false">Carnot!$C$10*D67/C67</f>
        <v>79.0779871120499</v>
      </c>
      <c r="F67" s="15" t="n">
        <f aca="false">0</f>
        <v>0</v>
      </c>
      <c r="G67" s="10" t="n">
        <f aca="false">C67*Carnot!$C$13</f>
        <v>1.13195501360726</v>
      </c>
    </row>
    <row r="68" customFormat="false" ht="15" hidden="false" customHeight="false" outlineLevel="0" collapsed="false">
      <c r="A68" s="5" t="s">
        <v>50</v>
      </c>
      <c r="B68" s="11" t="n">
        <v>0.157895</v>
      </c>
      <c r="C68" s="15" t="n">
        <f aca="false">Carnot!$D$20+(Carnot!$D$17-Carnot!$D$20)*B68</f>
        <v>1.07419250208021</v>
      </c>
      <c r="D68" s="9" t="n">
        <f aca="false">Carnot!$C$20*(Carnot!$D$20/C68)^(Carnot!$C$11-1)</f>
        <v>318.494323964075</v>
      </c>
      <c r="E68" s="9" t="n">
        <f aca="false">Carnot!$C$10*D68/C68</f>
        <v>85.0944973090713</v>
      </c>
      <c r="F68" s="15" t="n">
        <f aca="false">0</f>
        <v>0</v>
      </c>
      <c r="G68" s="10" t="n">
        <f aca="false">C68*Carnot!$C$13</f>
        <v>1.07419250208021</v>
      </c>
    </row>
    <row r="69" customFormat="false" ht="15" hidden="false" customHeight="false" outlineLevel="0" collapsed="false">
      <c r="A69" s="5" t="s">
        <v>50</v>
      </c>
      <c r="B69" s="11" t="n">
        <v>0.210526</v>
      </c>
      <c r="C69" s="15" t="n">
        <f aca="false">Carnot!$D$20+(Carnot!$D$17-Carnot!$D$20)*B69</f>
        <v>1.0164310880321</v>
      </c>
      <c r="D69" s="9" t="n">
        <f aca="false">Carnot!$C$20*(Carnot!$D$20/C69)^(Carnot!$C$11-1)</f>
        <v>325.614223689611</v>
      </c>
      <c r="E69" s="9" t="n">
        <f aca="false">Carnot!$C$10*D69/C69</f>
        <v>91.9405981372016</v>
      </c>
      <c r="F69" s="15" t="n">
        <f aca="false">0</f>
        <v>0</v>
      </c>
      <c r="G69" s="10" t="n">
        <f aca="false">C69*Carnot!$C$13</f>
        <v>1.0164310880321</v>
      </c>
    </row>
    <row r="70" customFormat="false" ht="15" hidden="false" customHeight="false" outlineLevel="0" collapsed="false">
      <c r="A70" s="5" t="s">
        <v>50</v>
      </c>
      <c r="B70" s="11" t="n">
        <v>0.263158</v>
      </c>
      <c r="C70" s="15" t="n">
        <f aca="false">Carnot!$D$20+(Carnot!$D$17-Carnot!$D$20)*B70</f>
        <v>0.958668576505055</v>
      </c>
      <c r="D70" s="9" t="n">
        <f aca="false">Carnot!$C$20*(Carnot!$D$20/C70)^(Carnot!$C$11-1)</f>
        <v>333.324431261132</v>
      </c>
      <c r="E70" s="9" t="n">
        <f aca="false">Carnot!$C$10*D70/C70</f>
        <v>99.788513065381</v>
      </c>
      <c r="F70" s="15" t="n">
        <f aca="false">0</f>
        <v>0</v>
      </c>
      <c r="G70" s="10" t="n">
        <f aca="false">C70*Carnot!$C$13</f>
        <v>0.958668576505055</v>
      </c>
    </row>
    <row r="71" customFormat="false" ht="15" hidden="false" customHeight="false" outlineLevel="0" collapsed="false">
      <c r="A71" s="5" t="s">
        <v>50</v>
      </c>
      <c r="B71" s="11" t="n">
        <v>0.315789</v>
      </c>
      <c r="C71" s="15" t="n">
        <f aca="false">Carnot!$D$20+(Carnot!$D$17-Carnot!$D$20)*B71</f>
        <v>0.900907162456945</v>
      </c>
      <c r="D71" s="9" t="n">
        <f aca="false">Carnot!$C$20*(Carnot!$D$20/C71)^(Carnot!$C$11-1)</f>
        <v>341.713807684464</v>
      </c>
      <c r="E71" s="9" t="n">
        <f aca="false">Carnot!$C$10*D71/C71</f>
        <v>108.859011108293</v>
      </c>
      <c r="F71" s="15" t="n">
        <f aca="false">0</f>
        <v>0</v>
      </c>
      <c r="G71" s="10" t="n">
        <f aca="false">C71*Carnot!$C$13</f>
        <v>0.900907162456945</v>
      </c>
    </row>
    <row r="72" customFormat="false" ht="15" hidden="false" customHeight="false" outlineLevel="0" collapsed="false">
      <c r="A72" s="5" t="s">
        <v>50</v>
      </c>
      <c r="B72" s="11" t="n">
        <v>0.368421</v>
      </c>
      <c r="C72" s="15" t="n">
        <f aca="false">Carnot!$D$20+(Carnot!$D$17-Carnot!$D$20)*B72</f>
        <v>0.843144650929896</v>
      </c>
      <c r="D72" s="9" t="n">
        <f aca="false">Carnot!$C$20*(Carnot!$D$20/C72)^(Carnot!$C$11-1)</f>
        <v>350.892194847684</v>
      </c>
      <c r="E72" s="9" t="n">
        <f aca="false">Carnot!$C$10*D72/C72</f>
        <v>119.441023328817</v>
      </c>
      <c r="F72" s="15" t="n">
        <f aca="false">0</f>
        <v>0</v>
      </c>
      <c r="G72" s="10" t="n">
        <f aca="false">C72*Carnot!$C$13</f>
        <v>0.843144650929896</v>
      </c>
    </row>
    <row r="73" customFormat="false" ht="15" hidden="false" customHeight="false" outlineLevel="0" collapsed="false">
      <c r="A73" s="5" t="s">
        <v>50</v>
      </c>
      <c r="B73" s="11" t="n">
        <v>0.421053</v>
      </c>
      <c r="C73" s="15" t="n">
        <f aca="false">Carnot!$D$20+(Carnot!$D$17-Carnot!$D$20)*B73</f>
        <v>0.785382139402847</v>
      </c>
      <c r="D73" s="9" t="n">
        <f aca="false">Carnot!$C$20*(Carnot!$D$20/C73)^(Carnot!$C$11-1)</f>
        <v>360.995788562847</v>
      </c>
      <c r="E73" s="9" t="n">
        <f aca="false">Carnot!$C$10*D73/C73</f>
        <v>131.917682004218</v>
      </c>
      <c r="F73" s="15" t="n">
        <f aca="false">0</f>
        <v>0</v>
      </c>
      <c r="G73" s="10" t="n">
        <f aca="false">C73*Carnot!$C$13</f>
        <v>0.785382139402847</v>
      </c>
    </row>
    <row r="74" customFormat="false" ht="15" hidden="false" customHeight="false" outlineLevel="0" collapsed="false">
      <c r="A74" s="5" t="s">
        <v>50</v>
      </c>
      <c r="B74" s="11" t="n">
        <v>0.473684</v>
      </c>
      <c r="C74" s="15" t="n">
        <f aca="false">Carnot!$D$20+(Carnot!$D$17-Carnot!$D$20)*B74</f>
        <v>0.727620725354736</v>
      </c>
      <c r="D74" s="9" t="n">
        <f aca="false">Carnot!$C$20*(Carnot!$D$20/C74)^(Carnot!$C$11-1)</f>
        <v>372.19670089358</v>
      </c>
      <c r="E74" s="9" t="n">
        <f aca="false">Carnot!$C$10*D74/C74</f>
        <v>146.807875908674</v>
      </c>
      <c r="F74" s="15" t="n">
        <f aca="false">0</f>
        <v>0</v>
      </c>
      <c r="G74" s="10" t="n">
        <f aca="false">C74*Carnot!$C$13</f>
        <v>0.727620725354736</v>
      </c>
    </row>
    <row r="75" customFormat="false" ht="15" hidden="false" customHeight="false" outlineLevel="0" collapsed="false">
      <c r="A75" s="5" t="s">
        <v>50</v>
      </c>
      <c r="B75" s="11" t="n">
        <v>0.526316</v>
      </c>
      <c r="C75" s="15" t="n">
        <f aca="false">Carnot!$D$20+(Carnot!$D$17-Carnot!$D$20)*B75</f>
        <v>0.669858213827687</v>
      </c>
      <c r="D75" s="9" t="n">
        <f aca="false">Carnot!$C$20*(Carnot!$D$20/C75)^(Carnot!$C$11-1)</f>
        <v>384.717010036083</v>
      </c>
      <c r="E75" s="9" t="n">
        <f aca="false">Carnot!$C$10*D75/C75</f>
        <v>164.83157122077</v>
      </c>
      <c r="F75" s="15" t="n">
        <f aca="false">0</f>
        <v>0</v>
      </c>
      <c r="G75" s="10" t="n">
        <f aca="false">C75*Carnot!$C$13</f>
        <v>0.669858213827687</v>
      </c>
    </row>
    <row r="76" customFormat="false" ht="15" hidden="false" customHeight="false" outlineLevel="0" collapsed="false">
      <c r="A76" s="5" t="s">
        <v>50</v>
      </c>
      <c r="B76" s="11" t="n">
        <v>0.578947</v>
      </c>
      <c r="C76" s="15" t="n">
        <f aca="false">Carnot!$D$20+(Carnot!$D$17-Carnot!$D$20)*B76</f>
        <v>0.612096799779577</v>
      </c>
      <c r="D76" s="9" t="n">
        <f aca="false">Carnot!$C$20*(Carnot!$D$20/C76)^(Carnot!$C$11-1)</f>
        <v>398.847156406288</v>
      </c>
      <c r="E76" s="9" t="n">
        <f aca="false">Carnot!$C$10*D76/C76</f>
        <v>187.011488917809</v>
      </c>
      <c r="F76" s="15" t="n">
        <f aca="false">0</f>
        <v>0</v>
      </c>
      <c r="G76" s="10" t="n">
        <f aca="false">C76*Carnot!$C$13</f>
        <v>0.612096799779577</v>
      </c>
    </row>
    <row r="77" customFormat="false" ht="15" hidden="false" customHeight="false" outlineLevel="0" collapsed="false">
      <c r="A77" s="5" t="s">
        <v>50</v>
      </c>
      <c r="B77" s="11" t="n">
        <v>0.631579</v>
      </c>
      <c r="C77" s="15" t="n">
        <f aca="false">Carnot!$D$20+(Carnot!$D$17-Carnot!$D$20)*B77</f>
        <v>0.554334288252528</v>
      </c>
      <c r="D77" s="9" t="n">
        <f aca="false">Carnot!$C$20*(Carnot!$D$20/C77)^(Carnot!$C$11-1)</f>
        <v>414.97873892605</v>
      </c>
      <c r="E77" s="9" t="n">
        <f aca="false">Carnot!$C$10*D77/C77</f>
        <v>214.850317932202</v>
      </c>
      <c r="F77" s="15" t="n">
        <f aca="false">0</f>
        <v>0</v>
      </c>
      <c r="G77" s="10" t="n">
        <f aca="false">C77*Carnot!$C$13</f>
        <v>0.554334288252528</v>
      </c>
    </row>
    <row r="78" customFormat="false" ht="15" hidden="false" customHeight="false" outlineLevel="0" collapsed="false">
      <c r="A78" s="5" t="s">
        <v>50</v>
      </c>
      <c r="B78" s="11" t="n">
        <v>0.684211</v>
      </c>
      <c r="C78" s="15" t="n">
        <f aca="false">Carnot!$D$20+(Carnot!$D$17-Carnot!$D$20)*B78</f>
        <v>0.496571776725478</v>
      </c>
      <c r="D78" s="9" t="n">
        <f aca="false">Carnot!$C$20*(Carnot!$D$20/C78)^(Carnot!$C$11-1)</f>
        <v>433.652376483643</v>
      </c>
      <c r="E78" s="9" t="n">
        <f aca="false">Carnot!$C$10*D78/C78</f>
        <v>250.634929096283</v>
      </c>
      <c r="F78" s="15" t="n">
        <f aca="false">0</f>
        <v>0</v>
      </c>
      <c r="G78" s="10" t="n">
        <f aca="false">C78*Carnot!$C$13</f>
        <v>0.496571776725478</v>
      </c>
    </row>
    <row r="79" customFormat="false" ht="15" hidden="false" customHeight="false" outlineLevel="0" collapsed="false">
      <c r="A79" s="5" t="s">
        <v>50</v>
      </c>
      <c r="B79" s="11" t="n">
        <v>0.736842</v>
      </c>
      <c r="C79" s="15" t="n">
        <f aca="false">Carnot!$D$20+(Carnot!$D$17-Carnot!$D$20)*B79</f>
        <v>0.438810362677368</v>
      </c>
      <c r="D79" s="9" t="n">
        <f aca="false">Carnot!$C$20*(Carnot!$D$20/C79)^(Carnot!$C$11-1)</f>
        <v>455.642046294163</v>
      </c>
      <c r="E79" s="9" t="n">
        <f aca="false">Carnot!$C$10*D79/C79</f>
        <v>298.008612395901</v>
      </c>
      <c r="F79" s="15" t="n">
        <f aca="false">0</f>
        <v>0</v>
      </c>
      <c r="G79" s="10" t="n">
        <f aca="false">C79*Carnot!$C$13</f>
        <v>0.438810362677368</v>
      </c>
    </row>
    <row r="80" customFormat="false" ht="15" hidden="false" customHeight="false" outlineLevel="0" collapsed="false">
      <c r="A80" s="5" t="s">
        <v>50</v>
      </c>
      <c r="B80" s="11" t="n">
        <v>0.789474</v>
      </c>
      <c r="C80" s="15" t="n">
        <f aca="false">Carnot!$D$20+(Carnot!$D$17-Carnot!$D$20)*B80</f>
        <v>0.381047851150319</v>
      </c>
      <c r="D80" s="9" t="n">
        <f aca="false">Carnot!$C$20*(Carnot!$D$20/C80)^(Carnot!$C$11-1)</f>
        <v>482.106222478813</v>
      </c>
      <c r="E80" s="9" t="n">
        <f aca="false">Carnot!$C$10*D80/C80</f>
        <v>363.115775180782</v>
      </c>
      <c r="F80" s="15" t="n">
        <f aca="false">0</f>
        <v>0</v>
      </c>
      <c r="G80" s="10" t="n">
        <f aca="false">C80*Carnot!$C$13</f>
        <v>0.381047851150319</v>
      </c>
    </row>
    <row r="81" customFormat="false" ht="15" hidden="false" customHeight="false" outlineLevel="0" collapsed="false">
      <c r="A81" s="5" t="s">
        <v>50</v>
      </c>
      <c r="B81" s="11" t="n">
        <v>0.842105</v>
      </c>
      <c r="C81" s="15" t="n">
        <f aca="false">Carnot!$D$20+(Carnot!$D$17-Carnot!$D$20)*B81</f>
        <v>0.323286437102209</v>
      </c>
      <c r="D81" s="9" t="n">
        <f aca="false">Carnot!$C$20*(Carnot!$D$20/C81)^(Carnot!$C$11-1)</f>
        <v>514.872326239281</v>
      </c>
      <c r="E81" s="9" t="n">
        <f aca="false">Carnot!$C$10*D81/C81</f>
        <v>457.081834162922</v>
      </c>
      <c r="F81" s="15" t="n">
        <f aca="false">0</f>
        <v>0</v>
      </c>
      <c r="G81" s="10" t="n">
        <f aca="false">C81*Carnot!$C$13</f>
        <v>0.323286437102209</v>
      </c>
    </row>
    <row r="82" customFormat="false" ht="15" hidden="false" customHeight="false" outlineLevel="0" collapsed="false">
      <c r="A82" s="5" t="s">
        <v>50</v>
      </c>
      <c r="B82" s="11" t="n">
        <v>0.894737</v>
      </c>
      <c r="C82" s="15" t="n">
        <f aca="false">Carnot!$D$20+(Carnot!$D$17-Carnot!$D$20)*B82</f>
        <v>0.265523925575159</v>
      </c>
      <c r="D82" s="9" t="n">
        <f aca="false">Carnot!$C$20*(Carnot!$D$20/C82)^(Carnot!$C$11-1)</f>
        <v>557.048590366462</v>
      </c>
      <c r="E82" s="9" t="n">
        <f aca="false">Carnot!$C$10*D82/C82</f>
        <v>602.10372789898</v>
      </c>
      <c r="F82" s="15" t="n">
        <f aca="false">0</f>
        <v>0</v>
      </c>
      <c r="G82" s="10" t="n">
        <f aca="false">C82*Carnot!$C$13</f>
        <v>0.265523925575159</v>
      </c>
    </row>
    <row r="83" customFormat="false" ht="15" hidden="false" customHeight="false" outlineLevel="0" collapsed="false">
      <c r="A83" s="5" t="s">
        <v>50</v>
      </c>
      <c r="B83" s="11" t="n">
        <v>0.947368</v>
      </c>
      <c r="C83" s="15" t="n">
        <f aca="false">Carnot!$D$20+(Carnot!$D$17-Carnot!$D$20)*B83</f>
        <v>0.207762511527049</v>
      </c>
      <c r="D83" s="9" t="n">
        <f aca="false">Carnot!$C$20*(Carnot!$D$20/C83)^(Carnot!$C$11-1)</f>
        <v>614.479882413025</v>
      </c>
      <c r="E83" s="9" t="n">
        <f aca="false">Carnot!$C$10*D83/C83</f>
        <v>848.833242129814</v>
      </c>
      <c r="F83" s="15" t="n">
        <f aca="false">0</f>
        <v>0</v>
      </c>
      <c r="G83" s="10" t="n">
        <f aca="false">C83*Carnot!$C$13</f>
        <v>0.207762511527049</v>
      </c>
    </row>
    <row r="84" customFormat="false" ht="15" hidden="false" customHeight="false" outlineLevel="0" collapsed="false">
      <c r="A84" s="5" t="s">
        <v>50</v>
      </c>
      <c r="B84" s="11" t="n">
        <v>1</v>
      </c>
      <c r="C84" s="15" t="n">
        <f aca="false">Carnot!$D$20+(Carnot!$D$17-Carnot!$D$20)*B84</f>
        <v>0.15</v>
      </c>
      <c r="D84" s="9" t="n">
        <f aca="false">Carnot!$C$20*(Carnot!$D$20/C84)^(Carnot!$C$11-1)</f>
        <v>700</v>
      </c>
      <c r="E84" s="9" t="n">
        <f aca="false">Carnot!$C$10*D84/C84</f>
        <v>1339.33333333333</v>
      </c>
      <c r="F84" s="15" t="n">
        <f aca="false">0</f>
        <v>0</v>
      </c>
      <c r="G84" s="10" t="n">
        <f aca="false">C84*Carnot!$C$13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31.5" hidden="false" customHeight="true" outlineLevel="0" collapsed="false">
      <c r="A4" s="4" t="s">
        <v>84</v>
      </c>
      <c r="B4" s="4" t="s">
        <v>85</v>
      </c>
      <c r="C4" s="4" t="s">
        <v>86</v>
      </c>
    </row>
    <row r="5" customFormat="false" ht="15" hidden="false" customHeight="false" outlineLevel="0" collapsed="false">
      <c r="A5" s="16" t="n">
        <v>400</v>
      </c>
      <c r="B5" s="9" t="n">
        <f aca="false">(1-Carnot!$C$7/A5)*100</f>
        <v>25</v>
      </c>
      <c r="C5" s="9" t="n">
        <f aca="false">Carnot!$C$10*LN(Carnot!$C$9/Carnot!$C$8)*(A5-Carnot!$C$7)</f>
        <v>24.3174485931127</v>
      </c>
    </row>
    <row r="6" customFormat="false" ht="15" hidden="false" customHeight="false" outlineLevel="0" collapsed="false">
      <c r="A6" s="16" t="n">
        <v>500</v>
      </c>
      <c r="B6" s="9" t="n">
        <f aca="false">(1-Carnot!$C$7/A6)*100</f>
        <v>40</v>
      </c>
      <c r="C6" s="9" t="n">
        <f aca="false">Carnot!$C$10*LN(Carnot!$C$9/Carnot!$C$8)*(A6-Carnot!$C$7)</f>
        <v>48.6348971862255</v>
      </c>
    </row>
    <row r="7" customFormat="false" ht="15" hidden="false" customHeight="false" outlineLevel="0" collapsed="false">
      <c r="A7" s="16" t="n">
        <v>600</v>
      </c>
      <c r="B7" s="9" t="n">
        <f aca="false">(1-Carnot!$C$7/A7)*100</f>
        <v>50</v>
      </c>
      <c r="C7" s="9" t="n">
        <f aca="false">Carnot!$C$10*LN(Carnot!$C$9/Carnot!$C$8)*(A7-Carnot!$C$7)</f>
        <v>72.9523457793382</v>
      </c>
    </row>
    <row r="8" customFormat="false" ht="15" hidden="false" customHeight="false" outlineLevel="0" collapsed="false">
      <c r="A8" s="16" t="n">
        <v>700</v>
      </c>
      <c r="B8" s="9" t="n">
        <f aca="false">(1-Carnot!$C$7/A8)*100</f>
        <v>57.1428571428571</v>
      </c>
      <c r="C8" s="9" t="n">
        <f aca="false">Carnot!$C$10*LN(Carnot!$C$9/Carnot!$C$8)*(A8-Carnot!$C$7)</f>
        <v>97.269794372451</v>
      </c>
    </row>
    <row r="9" customFormat="false" ht="15" hidden="false" customHeight="false" outlineLevel="0" collapsed="false">
      <c r="A9" s="16" t="n">
        <v>800</v>
      </c>
      <c r="B9" s="9" t="n">
        <f aca="false">(1-Carnot!$C$7/A9)*100</f>
        <v>62.5</v>
      </c>
      <c r="C9" s="9" t="n">
        <f aca="false">Carnot!$C$10*LN(Carnot!$C$9/Carnot!$C$8)*(A9-Carnot!$C$7)</f>
        <v>121.587242965564</v>
      </c>
    </row>
    <row r="10" customFormat="false" ht="15" hidden="false" customHeight="false" outlineLevel="0" collapsed="false">
      <c r="A10" s="16" t="n">
        <v>900</v>
      </c>
      <c r="B10" s="9" t="n">
        <f aca="false">(1-Carnot!$C$7/A10)*100</f>
        <v>66.6666666666667</v>
      </c>
      <c r="C10" s="9" t="n">
        <f aca="false">Carnot!$C$10*LN(Carnot!$C$9/Carnot!$C$8)*(A10-Carnot!$C$7)</f>
        <v>145.904691558676</v>
      </c>
    </row>
    <row r="11" customFormat="false" ht="15" hidden="false" customHeight="false" outlineLevel="0" collapsed="false">
      <c r="A11" s="16" t="n">
        <v>1000</v>
      </c>
      <c r="B11" s="9" t="n">
        <f aca="false">(1-Carnot!$C$7/A11)*100</f>
        <v>70</v>
      </c>
      <c r="C11" s="9" t="n">
        <f aca="false">Carnot!$C$10*LN(Carnot!$C$9/Carnot!$C$8)*(A11-Carnot!$C$7)</f>
        <v>170.222140151789</v>
      </c>
    </row>
    <row r="12" customFormat="false" ht="15" hidden="false" customHeight="false" outlineLevel="0" collapsed="false">
      <c r="A12" s="16" t="n">
        <v>1100</v>
      </c>
      <c r="B12" s="9" t="n">
        <f aca="false">(1-Carnot!$C$7/A12)*100</f>
        <v>72.7272727272727</v>
      </c>
      <c r="C12" s="9" t="n">
        <f aca="false">Carnot!$C$10*LN(Carnot!$C$9/Carnot!$C$8)*(A12-Carnot!$C$7)</f>
        <v>194.539588744902</v>
      </c>
    </row>
    <row r="13" customFormat="false" ht="15" hidden="false" customHeight="false" outlineLevel="0" collapsed="false">
      <c r="A13" s="16" t="n">
        <v>1200</v>
      </c>
      <c r="B13" s="9" t="n">
        <f aca="false">(1-Carnot!$C$7/A13)*100</f>
        <v>75</v>
      </c>
      <c r="C13" s="9" t="n">
        <f aca="false">Carnot!$C$10*LN(Carnot!$C$9/Carnot!$C$8)*(A13-Carnot!$C$7)</f>
        <v>218.857037338015</v>
      </c>
    </row>
    <row r="14" customFormat="false" ht="15" hidden="false" customHeight="false" outlineLevel="0" collapsed="false">
      <c r="A14" s="16" t="n">
        <v>1300</v>
      </c>
      <c r="B14" s="9" t="n">
        <f aca="false">(1-Carnot!$C$7/A14)*100</f>
        <v>76.9230769230769</v>
      </c>
      <c r="C14" s="9" t="n">
        <f aca="false">Carnot!$C$10*LN(Carnot!$C$9/Carnot!$C$8)*(A14-Carnot!$C$7)</f>
        <v>243.174485931127</v>
      </c>
    </row>
    <row r="15" customFormat="false" ht="15" hidden="false" customHeight="false" outlineLevel="0" collapsed="false">
      <c r="A15" s="16" t="n">
        <v>1400</v>
      </c>
      <c r="B15" s="9" t="n">
        <f aca="false">(1-Carnot!$C$7/A15)*100</f>
        <v>78.5714285714286</v>
      </c>
      <c r="C15" s="9" t="n">
        <f aca="false">Carnot!$C$10*LN(Carnot!$C$9/Carnot!$C$8)*(A15-Carnot!$C$7)</f>
        <v>267.49193452424</v>
      </c>
    </row>
    <row r="16" customFormat="false" ht="15" hidden="false" customHeight="false" outlineLevel="0" collapsed="false">
      <c r="A16" s="16" t="n">
        <v>1500</v>
      </c>
      <c r="B16" s="9" t="n">
        <f aca="false">(1-Carnot!$C$7/A16)*100</f>
        <v>80</v>
      </c>
      <c r="C16" s="9" t="n">
        <f aca="false">Carnot!$C$10*LN(Carnot!$C$9/Carnot!$C$8)*(A16-Carnot!$C$7)</f>
        <v>291.809383117353</v>
      </c>
    </row>
    <row r="17" customFormat="false" ht="15" hidden="false" customHeight="false" outlineLevel="0" collapsed="false">
      <c r="A17" s="16" t="n">
        <v>1600</v>
      </c>
      <c r="B17" s="9" t="n">
        <f aca="false">(1-Carnot!$C$7/A17)*100</f>
        <v>81.25</v>
      </c>
      <c r="C17" s="9" t="n">
        <f aca="false">Carnot!$C$10*LN(Carnot!$C$9/Carnot!$C$8)*(A17-Carnot!$C$7)</f>
        <v>316.126831710466</v>
      </c>
    </row>
    <row r="18" customFormat="false" ht="15" hidden="false" customHeight="false" outlineLevel="0" collapsed="false">
      <c r="A18" s="16" t="n">
        <v>1700</v>
      </c>
      <c r="B18" s="9" t="n">
        <f aca="false">(1-Carnot!$C$7/A18)*100</f>
        <v>82.3529411764706</v>
      </c>
      <c r="C18" s="9" t="n">
        <f aca="false">Carnot!$C$10*LN(Carnot!$C$9/Carnot!$C$8)*(A18-Carnot!$C$7)</f>
        <v>340.444280303578</v>
      </c>
    </row>
    <row r="19" customFormat="false" ht="15" hidden="false" customHeight="false" outlineLevel="0" collapsed="false">
      <c r="A19" s="16" t="n">
        <v>1800</v>
      </c>
      <c r="B19" s="9" t="n">
        <f aca="false">(1-Carnot!$C$7/A19)*100</f>
        <v>83.3333333333333</v>
      </c>
      <c r="C19" s="9" t="n">
        <f aca="false">Carnot!$C$10*LN(Carnot!$C$9/Carnot!$C$8)*(A19-Carnot!$C$7)</f>
        <v>364.761728896691</v>
      </c>
    </row>
    <row r="20" customFormat="false" ht="15" hidden="false" customHeight="false" outlineLevel="0" collapsed="false">
      <c r="A20" s="16" t="n">
        <v>1900</v>
      </c>
      <c r="B20" s="9" t="n">
        <f aca="false">(1-Carnot!$C$7/A20)*100</f>
        <v>84.2105263157895</v>
      </c>
      <c r="C20" s="9" t="n">
        <f aca="false">Carnot!$C$10*LN(Carnot!$C$9/Carnot!$C$8)*(A20-Carnot!$C$7)</f>
        <v>389.079177489804</v>
      </c>
    </row>
    <row r="21" customFormat="false" ht="15" hidden="false" customHeight="false" outlineLevel="0" collapsed="false">
      <c r="A21" s="16" t="n">
        <v>2000</v>
      </c>
      <c r="B21" s="9" t="n">
        <f aca="false">(1-Carnot!$C$7/A21)*100</f>
        <v>85</v>
      </c>
      <c r="C21" s="9" t="n">
        <f aca="false">Carnot!$C$10*LN(Carnot!$C$9/Carnot!$C$8)*(A21-Carnot!$C$7)</f>
        <v>413.396626082917</v>
      </c>
    </row>
    <row r="22" customFormat="false" ht="15" hidden="false" customHeight="false" outlineLevel="0" collapsed="false">
      <c r="A22" s="16" t="n">
        <v>2100</v>
      </c>
      <c r="B22" s="9" t="n">
        <f aca="false">(1-Carnot!$C$7/A22)*100</f>
        <v>85.7142857142857</v>
      </c>
      <c r="C22" s="9" t="n">
        <f aca="false">Carnot!$C$10*LN(Carnot!$C$9/Carnot!$C$8)*(A22-Carnot!$C$7)</f>
        <v>437.714074676029</v>
      </c>
    </row>
    <row r="23" customFormat="false" ht="15" hidden="false" customHeight="false" outlineLevel="0" collapsed="false">
      <c r="A23" s="16" t="n">
        <v>2200</v>
      </c>
      <c r="B23" s="9" t="n">
        <f aca="false">(1-Carnot!$C$7/A23)*100</f>
        <v>86.3636363636364</v>
      </c>
      <c r="C23" s="9" t="n">
        <f aca="false">Carnot!$C$10*LN(Carnot!$C$9/Carnot!$C$8)*(A23-Carnot!$C$7)</f>
        <v>462.031523269142</v>
      </c>
    </row>
    <row r="24" customFormat="false" ht="15" hidden="false" customHeight="false" outlineLevel="0" collapsed="false">
      <c r="A24" s="16" t="n">
        <v>2300</v>
      </c>
      <c r="B24" s="9" t="n">
        <f aca="false">(1-Carnot!$C$7/A24)*100</f>
        <v>86.9565217391304</v>
      </c>
      <c r="C24" s="9" t="n">
        <f aca="false">Carnot!$C$10*LN(Carnot!$C$9/Carnot!$C$8)*(A24-Carnot!$C$7)</f>
        <v>486.348971862255</v>
      </c>
    </row>
    <row r="25" customFormat="false" ht="15" hidden="false" customHeight="false" outlineLevel="0" collapsed="false">
      <c r="A25" s="16" t="n">
        <v>2400</v>
      </c>
      <c r="B25" s="9" t="n">
        <f aca="false">(1-Carnot!$C$7/A25)*100</f>
        <v>87.5</v>
      </c>
      <c r="C25" s="9" t="n">
        <f aca="false">Carnot!$C$10*LN(Carnot!$C$9/Carnot!$C$8)*(A25-Carnot!$C$7)</f>
        <v>510.666420455368</v>
      </c>
    </row>
    <row r="26" customFormat="false" ht="15" hidden="false" customHeight="false" outlineLevel="0" collapsed="false">
      <c r="A26" s="16" t="n">
        <v>2500</v>
      </c>
      <c r="B26" s="9" t="n">
        <f aca="false">(1-Carnot!$C$7/A26)*100</f>
        <v>88</v>
      </c>
      <c r="C26" s="9" t="n">
        <f aca="false">Carnot!$C$10*LN(Carnot!$C$9/Carnot!$C$8)*(A26-Carnot!$C$7)</f>
        <v>534.98386904848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2026-09-15T21:43:39Z</dcterms:created>
  <dc:creator>openpyxl</dc:creator>
  <dc:description/>
  <dc:language>en-US</dc:language>
  <cp:lastModifiedBy/>
  <dcterms:modified xsi:type="dcterms:W3CDTF">2026-09-15T21:43:40Z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