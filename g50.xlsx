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charts/chartT1_chart1.xml" ContentType="application/vnd.openxmlformats-officedocument.drawingml.chart+xml"/>
  <Override PartName="/xl/charts/chartT1_chart2.xml" ContentType="application/vnd.openxmlformats-officedocument.drawingml.chart+xml"/>
  <Override PartName="/xl/drawings/drawingT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tor" sheetId="1" state="visible" r:id="rId1"/>
    <sheet xmlns:r="http://schemas.openxmlformats.org/officeDocument/2006/relationships" name="Planitud" sheetId="2" state="visible" r:id="rId2"/>
    <sheet xmlns:r="http://schemas.openxmlformats.org/officeDocument/2006/relationships" name="Bancadas" sheetId="3" state="visible" r:id="rId3"/>
    <sheet xmlns:r="http://schemas.openxmlformats.org/officeDocument/2006/relationships" name="Cilindros" sheetId="4" state="visible" r:id="rId4"/>
    <sheet xmlns:r="http://schemas.openxmlformats.org/officeDocument/2006/relationships" name="Graficas" sheetId="5" state="visible" r:id="rId5"/>
    <sheet xmlns:r="http://schemas.openxmlformats.org/officeDocument/2006/relationships" name="Camisa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##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1F3864"/>
      <sz val="13"/>
    </font>
    <font>
      <b val="1"/>
    </font>
    <font>
      <b val="1"/>
      <color rgb="FF0000FF"/>
    </font>
    <font>
      <b val="1"/>
      <color rgb="FFFFFFFF"/>
    </font>
    <font>
      <b val="1"/>
      <color rgb="FF00000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2" fontId="8" fillId="2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17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5" fontId="15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18" fillId="6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2" fontId="8" fillId="2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5911"/>
          <bgColor rgb="00C6591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Desgaste, conicidad y ovalización por cilindro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Cilindros!I10</f>
              <strCache>
                <ptCount val="1"/>
                <pt idx="0">
                  <v>Desgaste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Cilindros!$A$11:$A$14</f>
              <strCach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strCache>
            </strRef>
          </cat>
          <val>
            <numRef>
              <f>Cilindros!$I$11:$I$14</f>
              <numCache>
                <formatCode>0.000</formatCode>
                <ptCount val="4"/>
                <pt idx="0">
                  <v>0.07000000000000001</v>
                </pt>
                <pt idx="1">
                  <v>0.08</v>
                </pt>
                <pt idx="2">
                  <v>0.12</v>
                </pt>
                <pt idx="3">
                  <v>0.06</v>
                </pt>
              </numCache>
            </numRef>
          </val>
        </ser>
        <ser>
          <idx val="1"/>
          <order val="1"/>
          <tx>
            <strRef>
              <f>Cilindros!J10</f>
              <strCache>
                <ptCount val="1"/>
                <pt idx="0">
                  <v>Conicidad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Cilindros!$A$11:$A$14</f>
              <strCach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strCache>
            </strRef>
          </cat>
          <val>
            <numRef>
              <f>Cilindros!$J$11:$J$14</f>
              <numCache>
                <formatCode>0.000</formatCode>
                <ptCount val="4"/>
                <pt idx="0">
                  <v>0.05</v>
                </pt>
                <pt idx="1">
                  <v>0.06</v>
                </pt>
                <pt idx="2">
                  <v>0.09</v>
                </pt>
                <pt idx="3">
                  <v>0.05</v>
                </pt>
              </numCache>
            </numRef>
          </val>
        </ser>
        <ser>
          <idx val="2"/>
          <order val="2"/>
          <tx>
            <strRef>
              <f>Cilindros!K10</f>
              <strCache>
                <ptCount val="1"/>
                <pt idx="0">
                  <v>Ovalización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Cilindros!$A$11:$A$14</f>
              <strCach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strCache>
            </strRef>
          </cat>
          <val>
            <numRef>
              <f>Cilindros!$K$11:$K$14</f>
              <numCache>
                <formatCode>0.000</formatCode>
                <ptCount val="4"/>
                <pt idx="0">
                  <v>0.03</v>
                </pt>
                <pt idx="1">
                  <v>0.03</v>
                </pt>
                <pt idx="2">
                  <v>0.06</v>
                </pt>
                <pt idx="3">
                  <v>0.02</v>
                </pt>
              </numCache>
            </numRef>
          </val>
        </ser>
        <gapWidth val="150"/>
        <overlap val="0"/>
        <axId val="68033018"/>
        <axId val="63777865"/>
      </barChart>
      <catAx>
        <axId val="6803301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3777865"/>
        <crosses val="autoZero"/>
        <auto val="1"/>
        <lblAlgn val="ctr"/>
        <lblOffset val="100"/>
        <noMultiLvlLbl val="0"/>
      </catAx>
      <valAx>
        <axId val="6377786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803301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Ovalización y conicidad de bancadas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Bancadas!I7</f>
              <strCache>
                <ptCount val="1"/>
                <pt idx="0">
                  <v>Ovalización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Bancadas!$A$8:$A$12</f>
              <strCach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strCache>
            </strRef>
          </cat>
          <val>
            <numRef>
              <f>Bancadas!$I$8:$I$12</f>
              <numCache>
                <formatCode>0.000</formatCode>
                <ptCount val="5"/>
                <pt idx="0">
                  <v>0.004</v>
                </pt>
                <pt idx="1">
                  <v>0.004</v>
                </pt>
                <pt idx="2">
                  <v>0.016</v>
                </pt>
                <pt idx="3">
                  <v>0.003</v>
                </pt>
                <pt idx="4">
                  <v>0.003</v>
                </pt>
              </numCache>
            </numRef>
          </val>
        </ser>
        <ser>
          <idx val="1"/>
          <order val="1"/>
          <tx>
            <strRef>
              <f>Bancadas!J7</f>
              <strCache>
                <ptCount val="1"/>
                <pt idx="0">
                  <v>Conicidad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Bancadas!$A$8:$A$12</f>
              <strCach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strCache>
            </strRef>
          </cat>
          <val>
            <numRef>
              <f>Bancadas!$J$8:$J$12</f>
              <numCache>
                <formatCode>0.000</formatCode>
                <ptCount val="5"/>
                <pt idx="0">
                  <v>0.001</v>
                </pt>
                <pt idx="1">
                  <v>0.0003</v>
                </pt>
                <pt idx="2">
                  <v>0</v>
                </pt>
                <pt idx="3">
                  <v>0.0007</v>
                </pt>
                <pt idx="4">
                  <v>0.001</v>
                </pt>
              </numCache>
            </numRef>
          </val>
        </ser>
        <gapWidth val="150"/>
        <overlap val="0"/>
        <axId val="97599698"/>
        <axId val="36333997"/>
      </barChart>
      <catAx>
        <axId val="9759969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6333997"/>
        <crosses val="autoZero"/>
        <auto val="1"/>
        <lblAlgn val="ctr"/>
        <lblOffset val="100"/>
        <noMultiLvlLbl val="0"/>
      </catAx>
      <valAx>
        <axId val="3633399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759969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T1_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Desgaste, conicidad y ovalización por cilindro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Cilindros!I10</c:f>
              <c:strCache>
                <c:ptCount val="1"/>
                <c:pt idx="0">
                  <c:v>Desgaste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Cilindros!$A$11:$A$14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Cilindros!$I$11:$I$14</c:f>
              <c:numCache>
                <c:formatCode>0.000</c:formatCode>
                <c:ptCount val="4"/>
                <c:pt idx="0">
                  <c:v>0.07</c:v>
                </c:pt>
                <c:pt idx="1">
                  <c:v>0.08</c:v>
                </c:pt>
                <c:pt idx="2">
                  <c:v>0.12</c:v>
                </c:pt>
                <c:pt idx="3">
                  <c:v>0.06</c:v>
                </c:pt>
              </c:numCache>
            </c:numRef>
          </c:val>
        </c:ser>
        <c:ser>
          <c:idx val="1"/>
          <c:order val="1"/>
          <c:tx>
            <c:strRef>
              <c:f>Cilindros!J10</c:f>
              <c:strCache>
                <c:ptCount val="1"/>
                <c:pt idx="0">
                  <c:v>Conicidad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Cilindros!$A$11:$A$14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Cilindros!$J$11:$J$14</c:f>
              <c:numCache>
                <c:formatCode>0.000</c:formatCode>
                <c:ptCount val="4"/>
                <c:pt idx="0">
                  <c:v>0.05</c:v>
                </c:pt>
                <c:pt idx="1">
                  <c:v>0.06</c:v>
                </c:pt>
                <c:pt idx="2">
                  <c:v>0.09</c:v>
                </c:pt>
                <c:pt idx="3">
                  <c:v>0.05</c:v>
                </c:pt>
              </c:numCache>
            </c:numRef>
          </c:val>
        </c:ser>
        <c:ser>
          <c:idx val="2"/>
          <c:order val="2"/>
          <c:tx>
            <c:strRef>
              <c:f>Cilindros!K10</c:f>
              <c:strCache>
                <c:ptCount val="1"/>
                <c:pt idx="0">
                  <c:v>Ovalización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Cilindros!$A$11:$A$14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Cilindros!$K$11:$K$14</c:f>
              <c:numCache>
                <c:formatCode>0.000</c:formatCode>
                <c:ptCount val="4"/>
                <c:pt idx="0">
                  <c:v>0.03</c:v>
                </c:pt>
                <c:pt idx="1">
                  <c:v>0.03</c:v>
                </c:pt>
                <c:pt idx="2">
                  <c:v>0.06</c:v>
                </c:pt>
                <c:pt idx="3">
                  <c:v>0.02</c:v>
                </c:pt>
              </c:numCache>
            </c:numRef>
          </c:val>
        </c:ser>
        <c:gapWidth val="150"/>
        <c:overlap val="0"/>
        <c:axId val="68033018"/>
        <c:axId val="63777865"/>
      </c:barChart>
      <c:catAx>
        <c:axId val="680330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77865"/>
        <c:crosses val="autoZero"/>
        <c:auto val="1"/>
        <c:lblAlgn val="ctr"/>
        <c:lblOffset val="100"/>
        <c:noMultiLvlLbl val="0"/>
      </c:catAx>
      <c:valAx>
        <c:axId val="637778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330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T1_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Ovalización y conicidad de bancadas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Bancadas!I7</c:f>
              <c:strCache>
                <c:ptCount val="1"/>
                <c:pt idx="0">
                  <c:v>Ovalización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Bancadas!$A$8:$A$12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Bancadas!$I$8:$I$12</c:f>
              <c:numCache>
                <c:formatCode>0.000</c:formatCode>
                <c:ptCount val="5"/>
                <c:pt idx="0">
                  <c:v>0.004</c:v>
                </c:pt>
                <c:pt idx="1">
                  <c:v>0.004</c:v>
                </c:pt>
                <c:pt idx="2">
                  <c:v>0.016</c:v>
                </c:pt>
                <c:pt idx="3">
                  <c:v>0.003</c:v>
                </c:pt>
                <c:pt idx="4">
                  <c:v>0.003</c:v>
                </c:pt>
              </c:numCache>
            </c:numRef>
          </c:val>
        </c:ser>
        <c:ser>
          <c:idx val="1"/>
          <c:order val="1"/>
          <c:tx>
            <c:strRef>
              <c:f>Bancadas!J7</c:f>
              <c:strCache>
                <c:ptCount val="1"/>
                <c:pt idx="0">
                  <c:v>Conicidad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Bancadas!$A$8:$A$12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Bancadas!$J$8:$J$12</c:f>
              <c:numCache>
                <c:formatCode>0.000</c:formatCode>
                <c:ptCount val="5"/>
                <c:pt idx="0">
                  <c:v>0.001</c:v>
                </c:pt>
                <c:pt idx="1">
                  <c:v>0.0003</c:v>
                </c:pt>
                <c:pt idx="2">
                  <c:v>0</c:v>
                </c:pt>
                <c:pt idx="3">
                  <c:v>0.0007</c:v>
                </c:pt>
                <c:pt idx="4">
                  <c:v>0.001</c:v>
                </c:pt>
              </c:numCache>
            </c:numRef>
          </c:val>
        </c:ser>
        <c:gapWidth val="150"/>
        <c:overlap val="0"/>
        <c:axId val="97599698"/>
        <c:axId val="36333997"/>
      </c:barChart>
      <c:catAx>
        <c:axId val="975996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33997"/>
        <c:crosses val="autoZero"/>
        <c:auto val="1"/>
        <c:lblAlgn val="ctr"/>
        <c:lblOffset val="100"/>
        <c:noMultiLvlLbl val="0"/>
      </c:catAx>
      <c:valAx>
        <c:axId val="36333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996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T1.xml.rels><?xml version="1.0" encoding="UTF-8"?>
<Relationships xmlns="http://schemas.openxmlformats.org/package/2006/relationships"><Relationship Id="rId1" Type="http://schemas.openxmlformats.org/officeDocument/2006/relationships/chart" Target="../charts/chartT1_chart1.xml"/><Relationship Id="rId2" Type="http://schemas.openxmlformats.org/officeDocument/2006/relationships/chart" Target="../charts/chartT1_chart2.xml"/>
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10</col>
      <colOff>4680</colOff>
      <row>16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18</row>
      <rowOff>0</rowOff>
    </from>
    <to>
      <col>10</col>
      <colOff>4680</colOff>
      <row>34</row>
      <rowOff>11520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T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4680</xdr:colOff>
      <xdr:row>34</xdr:row>
      <xdr:rowOff>11520</xdr:rowOff>
    </xdr:to>
    <xdr:graphicFrame>
      <xdr:nvGraphicFramePr>
        <xdr:cNvPr id="1" name="Chart 2"/>
        <xdr:cNvGraphicFramePr/>
      </xdr:nvGraphicFramePr>
      <xdr:xfrm>
        <a:off x="0" y="3429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Id="rIdDrw1" Type="http://schemas.openxmlformats.org/officeDocument/2006/relationships/drawing" Target="../drawings/drawingT1.xml"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J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style="17" min="1" max="1"/>
    <col width="8" customWidth="1" style="17" min="2" max="2"/>
    <col width="13" customWidth="1" style="17" min="3" max="3"/>
    <col width="13" customWidth="1" style="17" min="4" max="4"/>
    <col width="13" customWidth="1" style="17" min="5" max="5"/>
    <col width="15" customWidth="1" style="17" min="6" max="6"/>
    <col width="13" customWidth="1" style="17" min="7" max="7"/>
    <col width="13" customWidth="1" style="17" min="8" max="8"/>
    <col width="24" customWidth="1" style="17" min="9" max="9"/>
    <col width="60" customWidth="1" style="17" min="10" max="10"/>
  </cols>
  <sheetData>
    <row r="1">
      <c r="A1" s="18" t="inlineStr">
        <is>
          <t>ESPECIFICACIONES DEL FABRICANTE – MOTOR ASIGNADO</t>
        </is>
      </c>
    </row>
    <row r="3">
      <c r="A3" s="19" t="inlineStr">
        <is>
          <t>Motor asignado (elija de la lista):</t>
        </is>
      </c>
      <c r="C3" s="20" t="inlineStr">
        <is>
          <t>Daihatsu CB-20</t>
        </is>
      </c>
      <c r="D3" s="21" t="n"/>
      <c r="E3" s="22" t="n"/>
    </row>
    <row r="4" ht="45" customHeight="1" s="17">
      <c r="A4" s="23" t="inlineStr">
        <is>
          <t>Las celdas verdes de las demás hojas toman el «Valor aplicado» de esta tabla. Cuando el manual da un límite de servicio, el máximo/mínimo es ese límite. Si el manual del motor no especifica el dato, se aplica el valor orientativo y la columna «Origen» lo indica.</t>
        </is>
      </c>
    </row>
    <row r="6" ht="32" customHeight="1" s="17">
      <c r="A6" s="24" t="inlineStr">
        <is>
          <t>Comprobación</t>
        </is>
      </c>
      <c r="B6" s="24" t="inlineStr">
        <is>
          <t>Unidad</t>
        </is>
      </c>
      <c r="C6" s="24" t="inlineStr">
        <is>
          <t>Daihatsu CB-20</t>
        </is>
      </c>
      <c r="D6" s="24" t="inlineStr">
        <is>
          <t>Nissan A14</t>
        </is>
      </c>
      <c r="E6" s="24" t="inlineStr">
        <is>
          <t>Hyundai G4EC</t>
        </is>
      </c>
      <c r="F6" s="24" t="inlineStr">
        <is>
          <t>Chevrolet Monza 2.0</t>
        </is>
      </c>
      <c r="G6" s="24" t="inlineStr">
        <is>
          <t>Valor orientativo</t>
        </is>
      </c>
      <c r="H6" s="24" t="inlineStr">
        <is>
          <t>Valor aplicado</t>
        </is>
      </c>
      <c r="I6" s="24" t="inlineStr">
        <is>
          <t>Origen</t>
        </is>
      </c>
      <c r="J6" s="24" t="inlineStr">
        <is>
          <t>Fuente en el manual</t>
        </is>
      </c>
    </row>
    <row r="7">
      <c r="A7" s="25" t="inlineStr">
        <is>
          <t>Alabeo máx. del plano superior del bloque</t>
        </is>
      </c>
      <c r="B7" s="26" t="inlineStr">
        <is>
          <t>mm</t>
        </is>
      </c>
      <c r="C7" s="27" t="n">
        <v>0.1</v>
      </c>
      <c r="D7" s="27" t="n">
        <v>0.1</v>
      </c>
      <c r="E7" s="27" t="n"/>
      <c r="F7" s="27" t="n"/>
      <c r="G7" s="27" t="n">
        <v>0.05</v>
      </c>
      <c r="H7" s="28">
        <f>IF(ISNUMBER(INDEX($C7:$F7,MATCH($C$3,$C$6:$F$6,0))),INDEX($C7:$F7,MATCH($C$3,$C$6:$F$6,0)),IF(INDEX($C7:$F7,MATCH($C$3,$C$6:$F$6,0))&lt;&gt;"","",IF($G7="","",$G7)))</f>
        <v/>
      </c>
      <c r="I7" s="25">
        <f>IF(ISNUMBER(INDEX($C7:$F7,MATCH($C$3,$C$6:$F$6,0))),"Manual",IF(INDEX($C7:$F7,MATCH($C$3,$C$6:$F$6,0))&lt;&gt;"","No aplica a este motor",IF($G7="","Sin dato","Orientativo: el manual no lo especifica")))</f>
        <v/>
      </c>
      <c r="J7" s="25" t="inlineStr">
        <is>
          <t>CB p. 13-7; Haynes p. 19</t>
        </is>
      </c>
    </row>
    <row r="8">
      <c r="A8" s="25" t="inlineStr">
        <is>
          <t>Diámetro nominal del cilindro</t>
        </is>
      </c>
      <c r="B8" s="26" t="inlineStr">
        <is>
          <t>mm</t>
        </is>
      </c>
      <c r="C8" s="27" t="n">
        <v>76</v>
      </c>
      <c r="D8" s="27" t="n">
        <v>76</v>
      </c>
      <c r="E8" s="27" t="n">
        <v>75.5</v>
      </c>
      <c r="F8" s="27" t="n">
        <v>86</v>
      </c>
      <c r="G8" s="27" t="n">
        <v>78</v>
      </c>
      <c r="H8" s="28">
        <f>IF(ISNUMBER(INDEX($C8:$F8,MATCH($C$3,$C$6:$F$6,0))),INDEX($C8:$F8,MATCH($C$3,$C$6:$F$6,0)),IF(INDEX($C8:$F8,MATCH($C$3,$C$6:$F$6,0))&lt;&gt;"","",IF($G8="","",$G8)))</f>
        <v/>
      </c>
      <c r="I8" s="25">
        <f>IF(ISNUMBER(INDEX($C8:$F8,MATCH($C$3,$C$6:$F$6,0))),"Manual",IF(INDEX($C8:$F8,MATCH($C$3,$C$6:$F$6,0))&lt;&gt;"","No aplica a este motor",IF($G8="","Sin dato","Orientativo: el manual no lo especifica")))</f>
        <v/>
      </c>
      <c r="J8" s="25" t="inlineStr">
        <is>
          <t>CB-20: G10 p. 13; A14: Haynes p. 18; G4EC: dato del motor; Monza p. 6Z-01</t>
        </is>
      </c>
    </row>
    <row r="9">
      <c r="A9" s="25" t="inlineStr">
        <is>
          <t>Desgaste máximo del cilindro</t>
        </is>
      </c>
      <c r="B9" s="26" t="inlineStr">
        <is>
          <t>mm</t>
        </is>
      </c>
      <c r="C9" s="27" t="n"/>
      <c r="D9" s="27" t="n">
        <v>0.2</v>
      </c>
      <c r="E9" s="27" t="n"/>
      <c r="F9" s="27" t="n"/>
      <c r="G9" s="27" t="n">
        <v>0.1</v>
      </c>
      <c r="H9" s="28">
        <f>IF(ISNUMBER(INDEX($C9:$F9,MATCH($C$3,$C$6:$F$6,0))),INDEX($C9:$F9,MATCH($C$3,$C$6:$F$6,0)),IF(INDEX($C9:$F9,MATCH($C$3,$C$6:$F$6,0))&lt;&gt;"","",IF($G9="","",$G9)))</f>
        <v/>
      </c>
      <c r="I9" s="25">
        <f>IF(ISNUMBER(INDEX($C9:$F9,MATCH($C$3,$C$6:$F$6,0))),"Manual",IF(INDEX($C9:$F9,MATCH($C$3,$C$6:$F$6,0))&lt;&gt;"","No aplica a este motor",IF($G9="","Sin dato","Orientativo: el manual no lo especifica")))</f>
        <v/>
      </c>
      <c r="J9" s="25" t="inlineStr">
        <is>
          <t>Haynes p. 19</t>
        </is>
      </c>
    </row>
    <row r="10">
      <c r="A10" s="25" t="inlineStr">
        <is>
          <t>Ovalización y conicidad máx. del cilindro</t>
        </is>
      </c>
      <c r="B10" s="26" t="inlineStr">
        <is>
          <t>mm</t>
        </is>
      </c>
      <c r="C10" s="27" t="n">
        <v>0.1</v>
      </c>
      <c r="D10" s="27" t="n">
        <v>0.015</v>
      </c>
      <c r="E10" s="27" t="n">
        <v>0.01</v>
      </c>
      <c r="F10" s="27" t="n">
        <v>0.127</v>
      </c>
      <c r="G10" s="27" t="n">
        <v>0.05</v>
      </c>
      <c r="H10" s="28">
        <f>IF(ISNUMBER(INDEX($C10:$F10,MATCH($C$3,$C$6:$F$6,0))),INDEX($C10:$F10,MATCH($C$3,$C$6:$F$6,0)),IF(INDEX($C10:$F10,MATCH($C$3,$C$6:$F$6,0))&lt;&gt;"","",IF($G10="","",$G10)))</f>
        <v/>
      </c>
      <c r="I10" s="25">
        <f>IF(ISNUMBER(INDEX($C10:$F10,MATCH($C$3,$C$6:$F$6,0))),"Manual",IF(INDEX($C10:$F10,MATCH($C$3,$C$6:$F$6,0))&lt;&gt;"","No aplica a este motor",IF($G10="","Sin dato","Orientativo: el manual no lo especifica")))</f>
        <v/>
      </c>
      <c r="J10" s="25" t="inlineStr">
        <is>
          <t>Daihatsu Type CB, pp. 13-5 a 13-9 (col. CB-23/CB-61, mismo bloque y culata); Haynes p. 19; Hyundai Accent LC 1.6 DOHC (familia Alpha), EM General Information; GM Monza, pp. 6Z-01 a 6Z-03</t>
        </is>
      </c>
    </row>
    <row r="11">
      <c r="A11" s="25" t="inlineStr">
        <is>
          <t>Holgura pistón–cilindro nominal (punto medio del rango del manual)</t>
        </is>
      </c>
      <c r="B11" s="26" t="inlineStr">
        <is>
          <t>mm</t>
        </is>
      </c>
      <c r="C11" s="27" t="n">
        <v>0.045</v>
      </c>
      <c r="D11" s="27" t="n"/>
      <c r="E11" s="27" t="n">
        <v>0.035</v>
      </c>
      <c r="F11" s="27" t="n">
        <v>0.02</v>
      </c>
      <c r="G11" s="27" t="n">
        <v>0.04</v>
      </c>
      <c r="H11" s="28">
        <f>IF(ISNUMBER(INDEX($C11:$F11,MATCH($C$3,$C$6:$F$6,0))),INDEX($C11:$F11,MATCH($C$3,$C$6:$F$6,0)),IF(INDEX($C11:$F11,MATCH($C$3,$C$6:$F$6,0))&lt;&gt;"","",IF($G11="","",$G11)))</f>
        <v/>
      </c>
      <c r="I11" s="25">
        <f>IF(ISNUMBER(INDEX($C11:$F11,MATCH($C$3,$C$6:$F$6,0))),"Manual",IF(INDEX($C11:$F11,MATCH($C$3,$C$6:$F$6,0))&lt;&gt;"","No aplica a este motor",IF($G11="","Sin dato","Orientativo: el manual no lo especifica")))</f>
        <v/>
      </c>
      <c r="J11" s="25" t="inlineStr">
        <is>
          <t>CB 0,035–0,055; Hyundai 0,025–0,045; Monza 0,010–0,030</t>
        </is>
      </c>
    </row>
    <row r="13" ht="48" customHeight="1" s="17">
      <c r="A13" s="23" t="inlineStr">
        <is>
          <t>Fuentes: Daihatsu Motor Co. (1987), Workshop manual Type CB engine; Daihatsu Motor Sales (1979), Technical information Charade (CB-20); Jones (1988), Haynes Datsun Sunny (A14); Hyundai Motor Company (2001), Accent LC G 1.6 DOHC (familia Alpha, como el G4EC); General Motors do Brasil (1990), Monza: Manual de reparações. Conversiones: 1 kg/cm² = 0,980665 bar; 1 kg·m = 9,80665 N·m.</t>
        </is>
      </c>
    </row>
  </sheetData>
  <mergeCells count="3">
    <mergeCell ref="C3:E3"/>
    <mergeCell ref="A4:J4"/>
    <mergeCell ref="A13:J13"/>
  </mergeCells>
  <conditionalFormatting sqref="C7:F11">
    <cfRule type="expression" priority="1" dxfId="0">
      <formula>C$6=$C$3</formula>
    </cfRule>
  </conditionalFormatting>
  <conditionalFormatting sqref="C6:F6">
    <cfRule type="expression" priority="2" dxfId="1">
      <formula>C$6=$C$3</formula>
    </cfRule>
  </conditionalFormatting>
  <dataValidations count="1">
    <dataValidation sqref="C3" showDropDown="0" showInputMessage="0" showErrorMessage="1" allowBlank="0" errorTitle="Motor no válido" error="Elija uno de los cuatro motores del laboratorio." type="list">
      <formula1>"Daihatsu CB-20,Nissan A14,Hyundai G4EC,Chevrolet Monza 2.0"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29" min="1" max="1"/>
    <col width="18" customWidth="1" style="29" min="2" max="2"/>
    <col width="26" customWidth="1" style="29" min="3" max="3"/>
    <col width="12" customWidth="1" style="29" min="4" max="4"/>
  </cols>
  <sheetData>
    <row r="1" ht="17.35" customHeight="1" s="17">
      <c r="A1" s="30" t="inlineStr">
        <is>
          <t>SFM GUÍA 15 – BLOQUE MOTOR</t>
        </is>
      </c>
    </row>
    <row r="2" ht="15" customHeight="1" s="17">
      <c r="A2" s="31" t="inlineStr">
        <is>
          <t>Planitud, alojamientos de bancada y cilindros</t>
        </is>
      </c>
    </row>
    <row r="3" ht="15" customHeight="1" s="17">
      <c r="A3" s="32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15" customHeight="1" s="17">
      <c r="A4" s="33" t="inlineStr">
        <is>
          <t>Límite de planitud del plano superior (mm)</t>
        </is>
      </c>
      <c r="D4" s="34">
        <f>Motor!$H$7</f>
        <v/>
      </c>
    </row>
    <row r="5"/>
    <row r="6" ht="31.5" customHeight="1" s="17">
      <c r="A6" s="35" t="inlineStr">
        <is>
          <t>Posición</t>
        </is>
      </c>
      <c r="B6" s="35" t="inlineStr">
        <is>
          <t>Galga máxima (mm)</t>
        </is>
      </c>
      <c r="C6" s="35" t="inlineStr">
        <is>
          <t>Estado</t>
        </is>
      </c>
    </row>
    <row r="7" ht="15" customHeight="1" s="17">
      <c r="A7" s="36" t="inlineStr">
        <is>
          <t>Longitudinal izquierda</t>
        </is>
      </c>
      <c r="B7" s="37" t="n"/>
      <c r="C7" s="38">
        <f>IF(COUNTA(B7)=0,"",IF(B7&lt;=$D$4,"Correcto","Planificar"))</f>
        <v/>
      </c>
    </row>
    <row r="8" ht="15" customHeight="1" s="17">
      <c r="A8" s="36" t="inlineStr">
        <is>
          <t>Longitudinal central</t>
        </is>
      </c>
      <c r="B8" s="37" t="n"/>
      <c r="C8" s="38">
        <f>IF(COUNTA(B8)=0,"",IF(B8&lt;=$D$4,"Correcto","Planificar"))</f>
        <v/>
      </c>
    </row>
    <row r="9" ht="15" customHeight="1" s="17">
      <c r="A9" s="36" t="inlineStr">
        <is>
          <t>Longitudinal derecha</t>
        </is>
      </c>
      <c r="B9" s="37" t="n"/>
      <c r="C9" s="38">
        <f>IF(COUNTA(B9)=0,"",IF(B9&lt;=$D$4,"Correcto","Planificar"))</f>
        <v/>
      </c>
    </row>
    <row r="10" ht="15" customHeight="1" s="17">
      <c r="A10" s="36" t="inlineStr">
        <is>
          <t>Transversal</t>
        </is>
      </c>
      <c r="B10" s="37" t="n"/>
      <c r="C10" s="38">
        <f>IF(COUNTA(B10)=0,"",IF(B10&lt;=$D$4,"Correcto","Planificar"))</f>
        <v/>
      </c>
    </row>
    <row r="11" ht="15" customHeight="1" s="17">
      <c r="A11" s="36" t="inlineStr">
        <is>
          <t>Diagonal 1</t>
        </is>
      </c>
      <c r="B11" s="37" t="n"/>
      <c r="C11" s="38">
        <f>IF(COUNTA(B11)=0,"",IF(B11&lt;=$D$4,"Correcto","Planificar"))</f>
        <v/>
      </c>
    </row>
    <row r="12" ht="15" customHeight="1" s="17">
      <c r="A12" s="36" t="inlineStr">
        <is>
          <t>Diagonal 2</t>
        </is>
      </c>
      <c r="B12" s="37" t="n"/>
      <c r="C12" s="38">
        <f>IF(COUNTA(B12)=0,"",IF(B12&lt;=$D$4,"Correcto","Planificar"))</f>
        <v/>
      </c>
    </row>
    <row r="13" ht="15" customHeight="1" s="17">
      <c r="A13" s="36" t="inlineStr">
        <is>
          <t>Máximo</t>
        </is>
      </c>
      <c r="B13" s="39">
        <f>IF(COUNTA(B7,B8,B9,B10,B11,B12)=0,"",MAX(B7:B12))</f>
        <v/>
      </c>
      <c r="C13" s="40">
        <f>IF(COUNTA(B7,B8,B9,B10,B11,B12)=0,"",IF(B13&lt;=$D$4,"Plano superior aceptable","Requiere planificado"))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9" min="1" max="1"/>
    <col width="10" customWidth="1" style="29" min="2" max="7"/>
    <col width="12" customWidth="1" style="29" min="8" max="10"/>
    <col width="30" customWidth="1" style="29" min="11" max="11"/>
  </cols>
  <sheetData>
    <row r="1" ht="17.35" customHeight="1" s="17">
      <c r="A1" s="30" t="inlineStr">
        <is>
          <t>Alojamientos de bancada (sombreretes apretados al par)</t>
        </is>
      </c>
    </row>
    <row r="2" ht="15" customHeight="1" s="17">
      <c r="A2" s="31" t="inlineStr">
        <is>
          <t>Ovalización = máx − mín en una profundidad; conicidad = diferencia de promedios entre profundidades</t>
        </is>
      </c>
    </row>
    <row r="3" ht="15" customHeight="1" s="17">
      <c r="A3" s="32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15" customHeight="1" s="17">
      <c r="A4" s="33" t="inlineStr">
        <is>
          <t>Diámetro nominal (mm)</t>
        </is>
      </c>
      <c r="D4" s="41" t="n">
        <v>58</v>
      </c>
      <c r="F4" s="33" t="inlineStr">
        <is>
          <t>Límite ovalización/conicidad (mm)</t>
        </is>
      </c>
      <c r="I4" s="41" t="n">
        <v>0.01</v>
      </c>
    </row>
    <row r="5" ht="15" customHeight="1" s="17">
      <c r="A5" s="33" t="inlineStr">
        <is>
          <t>Tolerancia de diámetro (+ mm)</t>
        </is>
      </c>
      <c r="D5" s="41" t="n">
        <v>0.019</v>
      </c>
    </row>
    <row r="6"/>
    <row r="7" ht="31.5" customHeight="1" s="17">
      <c r="A7" s="35" t="inlineStr">
        <is>
          <t>Apoyo</t>
        </is>
      </c>
      <c r="B7" s="35" t="inlineStr">
        <is>
          <t>A 0°</t>
        </is>
      </c>
      <c r="C7" s="35" t="inlineStr">
        <is>
          <t>A 120°</t>
        </is>
      </c>
      <c r="D7" s="35" t="inlineStr">
        <is>
          <t>A 240°</t>
        </is>
      </c>
      <c r="E7" s="35" t="inlineStr">
        <is>
          <t>B 0°</t>
        </is>
      </c>
      <c r="F7" s="35" t="inlineStr">
        <is>
          <t>B 120°</t>
        </is>
      </c>
      <c r="G7" s="35" t="inlineStr">
        <is>
          <t>B 240°</t>
        </is>
      </c>
      <c r="H7" s="35" t="inlineStr">
        <is>
          <t>Ø promedio</t>
        </is>
      </c>
      <c r="I7" s="35" t="inlineStr">
        <is>
          <t>Ovalización</t>
        </is>
      </c>
      <c r="J7" s="35" t="inlineStr">
        <is>
          <t>Conicidad</t>
        </is>
      </c>
      <c r="K7" s="35" t="inlineStr">
        <is>
          <t>Estado</t>
        </is>
      </c>
    </row>
    <row r="8" ht="15" customHeight="1" s="17">
      <c r="A8" s="36" t="n">
        <v>1</v>
      </c>
      <c r="B8" s="41" t="n"/>
      <c r="C8" s="41" t="n"/>
      <c r="D8" s="41" t="n"/>
      <c r="E8" s="41" t="n"/>
      <c r="F8" s="41" t="n"/>
      <c r="G8" s="41" t="n"/>
      <c r="H8" s="42">
        <f>IF(COUNTA(B8,C8,D8,E8,F8,G8)=0,"",AVERAGE(B8:G8))</f>
        <v/>
      </c>
      <c r="I8" s="42">
        <f>IF(COUNTA(B8,C8,D8,E8,F8,G8)=0,"",ROUND(MAX(MAX(B8:D8)-MIN(B8:D8),MAX(E8:G8)-MIN(E8:G8)),3))</f>
        <v/>
      </c>
      <c r="J8" s="42">
        <f>IF(COUNTA(B8,C8,D8,E8,F8,G8)=0,"",ROUND(ABS(AVERAGE(B8:D8)-AVERAGE(E8:G8)),4))</f>
        <v/>
      </c>
      <c r="K8" s="38">
        <f>IF(COUNTA(B8,C8,D8,E8,F8,G8)=0,"",IF(AND(MAX(B8:G8)&lt;=$D$4+$D$5,MIN(B8:G8)&gt;=$D$4,I8&lt;=$I$4,J8&lt;=$I$4),"Correcto","Mandrinar (taller especializado)"))</f>
        <v/>
      </c>
    </row>
    <row r="9" ht="15" customHeight="1" s="17">
      <c r="A9" s="36" t="n">
        <v>2</v>
      </c>
      <c r="B9" s="41" t="n"/>
      <c r="C9" s="41" t="n"/>
      <c r="D9" s="41" t="n"/>
      <c r="E9" s="41" t="n"/>
      <c r="F9" s="41" t="n"/>
      <c r="G9" s="41" t="n"/>
      <c r="H9" s="42">
        <f>IF(COUNTA(B9,C9,D9,E9,F9,G9)=0,"",AVERAGE(B9:G9))</f>
        <v/>
      </c>
      <c r="I9" s="42">
        <f>IF(COUNTA(B9,C9,D9,E9,F9,G9)=0,"",ROUND(MAX(MAX(B9:D9)-MIN(B9:D9),MAX(E9:G9)-MIN(E9:G9)),3))</f>
        <v/>
      </c>
      <c r="J9" s="42">
        <f>IF(COUNTA(B9,C9,D9,E9,F9,G9)=0,"",ROUND(ABS(AVERAGE(B9:D9)-AVERAGE(E9:G9)),4))</f>
        <v/>
      </c>
      <c r="K9" s="38">
        <f>IF(COUNTA(B9,C9,D9,E9,F9,G9)=0,"",IF(AND(MAX(B9:G9)&lt;=$D$4+$D$5,MIN(B9:G9)&gt;=$D$4,I9&lt;=$I$4,J9&lt;=$I$4),"Correcto","Mandrinar (taller especializado)"))</f>
        <v/>
      </c>
    </row>
    <row r="10" ht="15" customHeight="1" s="17">
      <c r="A10" s="36" t="n">
        <v>3</v>
      </c>
      <c r="B10" s="41" t="n"/>
      <c r="C10" s="41" t="n"/>
      <c r="D10" s="41" t="n"/>
      <c r="E10" s="41" t="n"/>
      <c r="F10" s="41" t="n"/>
      <c r="G10" s="41" t="n"/>
      <c r="H10" s="42">
        <f>IF(COUNTA(B10,C10,D10,E10,F10,G10)=0,"",AVERAGE(B10:G10))</f>
        <v/>
      </c>
      <c r="I10" s="42">
        <f>IF(COUNTA(B10,C10,D10,E10,F10,G10)=0,"",ROUND(MAX(MAX(B10:D10)-MIN(B10:D10),MAX(E10:G10)-MIN(E10:G10)),3))</f>
        <v/>
      </c>
      <c r="J10" s="42">
        <f>IF(COUNTA(B10,C10,D10,E10,F10,G10)=0,"",ROUND(ABS(AVERAGE(B10:D10)-AVERAGE(E10:G10)),4))</f>
        <v/>
      </c>
      <c r="K10" s="38">
        <f>IF(COUNTA(B10,C10,D10,E10,F10,G10)=0,"",IF(AND(MAX(B10:G10)&lt;=$D$4+$D$5,MIN(B10:G10)&gt;=$D$4,I10&lt;=$I$4,J10&lt;=$I$4),"Correcto","Mandrinar (taller especializado)"))</f>
        <v/>
      </c>
    </row>
    <row r="11" ht="15" customHeight="1" s="17">
      <c r="A11" s="36" t="n">
        <v>4</v>
      </c>
      <c r="B11" s="41" t="n"/>
      <c r="C11" s="41" t="n"/>
      <c r="D11" s="41" t="n"/>
      <c r="E11" s="41" t="n"/>
      <c r="F11" s="41" t="n"/>
      <c r="G11" s="41" t="n"/>
      <c r="H11" s="42">
        <f>IF(COUNTA(B11,C11,D11,E11,F11,G11)=0,"",AVERAGE(B11:G11))</f>
        <v/>
      </c>
      <c r="I11" s="42">
        <f>IF(COUNTA(B11,C11,D11,E11,F11,G11)=0,"",ROUND(MAX(MAX(B11:D11)-MIN(B11:D11),MAX(E11:G11)-MIN(E11:G11)),3))</f>
        <v/>
      </c>
      <c r="J11" s="42">
        <f>IF(COUNTA(B11,C11,D11,E11,F11,G11)=0,"",ROUND(ABS(AVERAGE(B11:D11)-AVERAGE(E11:G11)),4))</f>
        <v/>
      </c>
      <c r="K11" s="38">
        <f>IF(COUNTA(B11,C11,D11,E11,F11,G11)=0,"",IF(AND(MAX(B11:G11)&lt;=$D$4+$D$5,MIN(B11:G11)&gt;=$D$4,I11&lt;=$I$4,J11&lt;=$I$4),"Correcto","Mandrinar (taller especializado)"))</f>
        <v/>
      </c>
    </row>
    <row r="12" ht="15" customHeight="1" s="17">
      <c r="A12" s="36" t="n">
        <v>5</v>
      </c>
      <c r="B12" s="41" t="n"/>
      <c r="C12" s="41" t="n"/>
      <c r="D12" s="41" t="n"/>
      <c r="E12" s="41" t="n"/>
      <c r="F12" s="41" t="n"/>
      <c r="G12" s="41" t="n"/>
      <c r="H12" s="42">
        <f>IF(COUNTA(B12,C12,D12,E12,F12,G12)=0,"",AVERAGE(B12:G12))</f>
        <v/>
      </c>
      <c r="I12" s="42">
        <f>IF(COUNTA(B12,C12,D12,E12,F12,G12)=0,"",ROUND(MAX(MAX(B12:D12)-MIN(B12:D12),MAX(E12:G12)-MIN(E12:G12)),3))</f>
        <v/>
      </c>
      <c r="J12" s="42">
        <f>IF(COUNTA(B12,C12,D12,E12,F12,G12)=0,"",ROUND(ABS(AVERAGE(B12:D12)-AVERAGE(E12:G12)),4))</f>
        <v/>
      </c>
      <c r="K12" s="38">
        <f>IF(COUNTA(B12,C12,D12,E12,F12,G12)=0,"",IF(AND(MAX(B12:G12)&lt;=$D$4+$D$5,MIN(B12:G12)&gt;=$D$4,I12&lt;=$I$4,J12&lt;=$I$4),"Correcto","Mandrinar (taller especializado)"))</f>
        <v/>
      </c>
    </row>
    <row r="13" ht="15" customHeight="1" s="17">
      <c r="A13" s="36" t="inlineStr">
        <is>
          <t>Alineación</t>
        </is>
      </c>
      <c r="H13" s="42">
        <f>IF(COUNTA(B8,C8,D8,E8,F8,G8,B9,C9,D9,E9,F9,G9,B10,C10,D10,E10,F10,G10,B11,C11,D11,E11,F11,G11,B12,C12,D12,E12,F12,G12)=0,"",MAX(H8:H12)-MIN(H8:H12))</f>
        <v/>
      </c>
      <c r="I13" s="43" t="inlineStr">
        <is>
          <t>mm (dispersión de Ø)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9" min="1" max="1"/>
    <col width="10" customWidth="1" style="29" min="2" max="2"/>
    <col width="11" customWidth="1" style="29" min="3" max="3"/>
    <col width="10" customWidth="1" style="29" min="4" max="4"/>
    <col width="11" customWidth="1" style="29" min="5" max="5"/>
    <col width="10" customWidth="1" style="29" min="6" max="6"/>
    <col width="11" customWidth="1" style="29" min="7" max="7"/>
    <col width="10" customWidth="1" style="29" min="8" max="10"/>
    <col width="11" customWidth="1" style="29" min="11" max="11"/>
    <col width="30" customWidth="1" style="29" min="12" max="12"/>
    <col width="22" customWidth="1" style="29" min="13" max="13"/>
  </cols>
  <sheetData>
    <row r="1" ht="17.35" customHeight="1" s="17">
      <c r="A1" s="30" t="inlineStr">
        <is>
          <t>Cilindros: desgaste, conicidad, ovalización y decisión de reparación</t>
        </is>
      </c>
    </row>
    <row r="2" ht="15" customHeight="1" s="17">
      <c r="A2" s="31" t="n"/>
    </row>
    <row r="3" ht="15" customHeight="1" s="17">
      <c r="A3" s="32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15" customHeight="1" s="17">
      <c r="A4" s="33" t="inlineStr">
        <is>
          <t>Diámetro nominal (mm)</t>
        </is>
      </c>
      <c r="D4" s="34">
        <f>Motor!$H$8</f>
        <v/>
      </c>
    </row>
    <row r="5" ht="15" customHeight="1" s="17">
      <c r="A5" s="33" t="inlineStr">
        <is>
          <t>Límite de desgaste (mm)</t>
        </is>
      </c>
      <c r="D5" s="34">
        <f>Motor!$H$9</f>
        <v/>
      </c>
    </row>
    <row r="6" ht="15" customHeight="1" s="17">
      <c r="A6" s="33" t="inlineStr">
        <is>
          <t>Límite de conicidad/ovalización (mm)</t>
        </is>
      </c>
      <c r="D6" s="34">
        <f>Motor!$H$10</f>
        <v/>
      </c>
    </row>
    <row r="7" ht="15" customHeight="1" s="17">
      <c r="A7" s="33" t="inlineStr">
        <is>
          <t>Holgura pistón–cilindro nominal (mm)</t>
        </is>
      </c>
      <c r="D7" s="34">
        <f>Motor!$H$11</f>
        <v/>
      </c>
    </row>
    <row r="8" ht="15" customHeight="1" s="17">
      <c r="A8" s="33" t="inlineStr">
        <is>
          <t>Incremento de sobremedida (mm)</t>
        </is>
      </c>
      <c r="D8" s="37" t="n">
        <v>0.25</v>
      </c>
    </row>
    <row r="9"/>
    <row r="10" ht="31.5" customHeight="1" s="17">
      <c r="A10" s="35" t="inlineStr">
        <is>
          <t>Cilindro</t>
        </is>
      </c>
      <c r="B10" s="35" t="inlineStr">
        <is>
          <t>Sup. long.</t>
        </is>
      </c>
      <c r="C10" s="35" t="inlineStr">
        <is>
          <t>Sup. transv.</t>
        </is>
      </c>
      <c r="D10" s="35" t="inlineStr">
        <is>
          <t>Med. long.</t>
        </is>
      </c>
      <c r="E10" s="35" t="inlineStr">
        <is>
          <t>Med. transv.</t>
        </is>
      </c>
      <c r="F10" s="35" t="inlineStr">
        <is>
          <t>Inf. long.</t>
        </is>
      </c>
      <c r="G10" s="35" t="inlineStr">
        <is>
          <t>Inf. transv.</t>
        </is>
      </c>
      <c r="H10" s="35" t="inlineStr">
        <is>
          <t>Ø máx.</t>
        </is>
      </c>
      <c r="I10" s="35" t="inlineStr">
        <is>
          <t>Desgaste</t>
        </is>
      </c>
      <c r="J10" s="35" t="inlineStr">
        <is>
          <t>Conicidad</t>
        </is>
      </c>
      <c r="K10" s="35" t="inlineStr">
        <is>
          <t>Ovalización</t>
        </is>
      </c>
      <c r="L10" s="35" t="inlineStr">
        <is>
          <t>Decisión</t>
        </is>
      </c>
      <c r="M10" s="35" t="inlineStr">
        <is>
          <t>Sobremedida necesaria (mm)</t>
        </is>
      </c>
    </row>
    <row r="11" ht="15" customHeight="1" s="17">
      <c r="A11" s="36" t="n">
        <v>1</v>
      </c>
      <c r="B11" s="41" t="n"/>
      <c r="C11" s="41" t="n"/>
      <c r="D11" s="41" t="n"/>
      <c r="E11" s="41" t="n"/>
      <c r="F11" s="41" t="n"/>
      <c r="G11" s="41" t="n"/>
      <c r="H11" s="42">
        <f>IF(COUNTA(B11,C11,D11,E11,F11,G11)=0,"",MAX(B11:G11))</f>
        <v/>
      </c>
      <c r="I11" s="42">
        <f>IF(COUNTA(B11,C11,D11,E11,F11,G11)=0,"",ROUND(H11-$D$4,3))</f>
        <v/>
      </c>
      <c r="J11" s="42">
        <f>IF(COUNTA(B11,C11,F11,G11)=0,"",ROUND(MAX(B11:C11)-MAX(F11:G11),3))</f>
        <v/>
      </c>
      <c r="K11" s="42">
        <f>IF(COUNTA(B11,C11,D11,E11,F11,G11)=0,"",ROUND(MAX(C11-B11,E11-D11,G11-F11),3))</f>
        <v/>
      </c>
      <c r="L11" s="38">
        <f>IF(COUNTA(B11,C11,D11,E11,F11,G11)=0,"",IF(AND(I11&lt;=$D$5,J11&lt;=$D$6,K11&lt;=$D$6),"Bruñido y segmentos nuevos","Rectificar a sobremedida"))</f>
        <v/>
      </c>
      <c r="M11" s="39">
        <f>IF(COUNTA(B11,C11,D11,E11,F11,G11)=0,"",IF(L11="Bruñido y segmentos nuevos",0,CEILING(I11+0.02,$D$8)))</f>
        <v/>
      </c>
    </row>
    <row r="12" ht="15" customHeight="1" s="17">
      <c r="A12" s="36" t="n">
        <v>2</v>
      </c>
      <c r="B12" s="41" t="n"/>
      <c r="C12" s="41" t="n"/>
      <c r="D12" s="41" t="n"/>
      <c r="E12" s="41" t="n"/>
      <c r="F12" s="41" t="n"/>
      <c r="G12" s="41" t="n"/>
      <c r="H12" s="42">
        <f>IF(COUNTA(B12,C12,D12,E12,F12,G12)=0,"",MAX(B12:G12))</f>
        <v/>
      </c>
      <c r="I12" s="42">
        <f>IF(COUNTA(B12,C12,D12,E12,F12,G12)=0,"",ROUND(H12-$D$4,3))</f>
        <v/>
      </c>
      <c r="J12" s="42">
        <f>IF(COUNTA(B12,C12,F12,G12)=0,"",ROUND(MAX(B12:C12)-MAX(F12:G12),3))</f>
        <v/>
      </c>
      <c r="K12" s="42">
        <f>IF(COUNTA(B12,C12,D12,E12,F12,G12)=0,"",ROUND(MAX(C12-B12,E12-D12,G12-F12),3))</f>
        <v/>
      </c>
      <c r="L12" s="38">
        <f>IF(COUNTA(B12,C12,D12,E12,F12,G12)=0,"",IF(AND(I12&lt;=$D$5,J12&lt;=$D$6,K12&lt;=$D$6),"Bruñido y segmentos nuevos","Rectificar a sobremedida"))</f>
        <v/>
      </c>
      <c r="M12" s="39">
        <f>IF(COUNTA(B12,C12,D12,E12,F12,G12)=0,"",IF(L12="Bruñido y segmentos nuevos",0,CEILING(I12+0.02,$D$8)))</f>
        <v/>
      </c>
    </row>
    <row r="13" ht="15" customHeight="1" s="17">
      <c r="A13" s="36" t="n">
        <v>3</v>
      </c>
      <c r="B13" s="41" t="n"/>
      <c r="C13" s="41" t="n"/>
      <c r="D13" s="41" t="n"/>
      <c r="E13" s="41" t="n"/>
      <c r="F13" s="41" t="n"/>
      <c r="G13" s="41" t="n"/>
      <c r="H13" s="42">
        <f>IF(COUNTA(B13,C13,D13,E13,F13,G13)=0,"",MAX(B13:G13))</f>
        <v/>
      </c>
      <c r="I13" s="42">
        <f>IF(COUNTA(B13,C13,D13,E13,F13,G13)=0,"",ROUND(H13-$D$4,3))</f>
        <v/>
      </c>
      <c r="J13" s="42">
        <f>IF(COUNTA(B13,C13,F13,G13)=0,"",ROUND(MAX(B13:C13)-MAX(F13:G13),3))</f>
        <v/>
      </c>
      <c r="K13" s="42">
        <f>IF(COUNTA(B13,C13,D13,E13,F13,G13)=0,"",ROUND(MAX(C13-B13,E13-D13,G13-F13),3))</f>
        <v/>
      </c>
      <c r="L13" s="38">
        <f>IF(COUNTA(B13,C13,D13,E13,F13,G13)=0,"",IF(AND(I13&lt;=$D$5,J13&lt;=$D$6,K13&lt;=$D$6),"Bruñido y segmentos nuevos","Rectificar a sobremedida"))</f>
        <v/>
      </c>
      <c r="M13" s="39">
        <f>IF(COUNTA(B13,C13,D13,E13,F13,G13)=0,"",IF(L13="Bruñido y segmentos nuevos",0,CEILING(I13+0.02,$D$8)))</f>
        <v/>
      </c>
    </row>
    <row r="14" ht="15" customHeight="1" s="17">
      <c r="A14" s="36" t="n">
        <v>4</v>
      </c>
      <c r="B14" s="41" t="n"/>
      <c r="C14" s="41" t="n"/>
      <c r="D14" s="41" t="n"/>
      <c r="E14" s="41" t="n"/>
      <c r="F14" s="41" t="n"/>
      <c r="G14" s="41" t="n"/>
      <c r="H14" s="42">
        <f>IF(COUNTA(B14,C14,D14,E14,F14,G14)=0,"",MAX(B14:G14))</f>
        <v/>
      </c>
      <c r="I14" s="42">
        <f>IF(COUNTA(B14,C14,D14,E14,F14,G14)=0,"",ROUND(H14-$D$4,3))</f>
        <v/>
      </c>
      <c r="J14" s="42">
        <f>IF(COUNTA(B14,C14,F14,G14)=0,"",ROUND(MAX(B14:C14)-MAX(F14:G14),3))</f>
        <v/>
      </c>
      <c r="K14" s="42">
        <f>IF(COUNTA(B14,C14,D14,E14,F14,G14)=0,"",ROUND(MAX(C14-B14,E14-D14,G14-F14),3))</f>
        <v/>
      </c>
      <c r="L14" s="38">
        <f>IF(COUNTA(B14,C14,D14,E14,F14,G14)=0,"",IF(AND(I14&lt;=$D$5,J14&lt;=$D$6,K14&lt;=$D$6),"Bruñido y segmentos nuevos","Rectificar a sobremedida"))</f>
        <v/>
      </c>
      <c r="M14" s="39">
        <f>IF(COUNTA(B14,C14,D14,E14,F14,G14)=0,"",IF(L14="Bruñido y segmentos nuevos",0,CEILING(I14+0.02,$D$8)))</f>
        <v/>
      </c>
    </row>
    <row r="15"/>
    <row r="16" ht="15" customHeight="1" s="17">
      <c r="A16" s="36" t="inlineStr">
        <is>
          <t>Motor</t>
        </is>
      </c>
      <c r="L16" s="40">
        <f>IF(COUNTA(B11,C11,D11,E11,F11,G11,B12,C12,D12,E12,F12,G12,B13,C13,D13,E13,F13,G13,B14,C14,D14,E14,F14,G14)=0,"",IF(COUNTIF(L11:L14,"Rectificar a sobremedida")&gt;0,"Rectificar TODOS los cilindros","Bruñido general"))</f>
        <v/>
      </c>
      <c r="M16" s="44">
        <f>IF(COUNTA(B11,C11,D11,E11,F11,G11,B12,C12,D12,E12,F12,G12,B13,C13,D13,E13,F13,G13,B14,C14,D14,E14,F14,G14)=0,"",MAX(M11:M14))</f>
        <v/>
      </c>
    </row>
    <row r="17" ht="15" customHeight="1" s="17">
      <c r="A17" s="36" t="inlineStr">
        <is>
          <t>Diámetro final de mecanizado (mm)</t>
        </is>
      </c>
      <c r="M17" s="42">
        <f>IF(COUNTA(B11,C11,D11,E11,F11,G11,B12,C12,D12,E12,F12,G12,B13,C13,D13,E13,F13,G13,B14,C14,D14,E14,F14,G14)=0,"",D4+M16+D7)</f>
        <v/>
      </c>
    </row>
    <row r="18"/>
    <row r="19" ht="15" customHeight="1" s="17">
      <c r="A19" s="45" t="inlineStr">
        <is>
          <t>La sobremedida se elige como el menor escalón que elimina el desgaste más 0,02 mm de material para el mecanizado; todos los cilindros se rectifican a la misma sobremedida.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3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drawing r:id="rIdDrw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9" min="1" max="1"/>
    <col width="18" customWidth="1" style="29" min="2" max="2"/>
    <col width="14" customWidth="1" style="29" min="3" max="4"/>
    <col width="18" customWidth="1" style="29" min="5" max="5"/>
    <col width="26" customWidth="1" style="29" min="6" max="6"/>
    <col width="30" customWidth="1" style="29" min="7" max="7"/>
    <col width="22" customWidth="1" style="29" min="8" max="8"/>
    <col width="18" customWidth="1" style="29" min="9" max="9"/>
  </cols>
  <sheetData>
    <row r="1" ht="17.35" customHeight="1" s="17">
      <c r="A1" s="30" t="inlineStr">
        <is>
          <t>Camisas húmedas: sobresaliente y selección de juntas (práctica 10 del cuaderno)</t>
        </is>
      </c>
    </row>
    <row r="2" ht="15" customHeight="1" s="17">
      <c r="A2" s="31" t="inlineStr">
        <is>
          <t>Ejemplo Renault J8S 2.2 D: sobresaliente 0,04–0,12 mm; diferencia entre camisas consecutivas ≤ 0,04 mm</t>
        </is>
      </c>
    </row>
    <row r="3" ht="15" customHeight="1" s="17">
      <c r="A3" s="32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15" customHeight="1" s="17">
      <c r="A4" s="33" t="inlineStr">
        <is>
          <t>Sobresaliente mínimo (mm)</t>
        </is>
      </c>
      <c r="E4" s="37" t="n">
        <v>0.04</v>
      </c>
    </row>
    <row r="5" ht="15" customHeight="1" s="17">
      <c r="A5" s="33" t="inlineStr">
        <is>
          <t>Sobresaliente máximo (mm)</t>
        </is>
      </c>
      <c r="E5" s="37" t="n">
        <v>0.12</v>
      </c>
    </row>
    <row r="6" ht="15" customHeight="1" s="17">
      <c r="A6" s="33" t="inlineStr">
        <is>
          <t>Diferencia máxima entre camisas consecutivas (mm)</t>
        </is>
      </c>
      <c r="E6" s="37" t="n">
        <v>0.04</v>
      </c>
    </row>
    <row r="7" ht="15" customHeight="1" s="17">
      <c r="A7" s="33" t="inlineStr">
        <is>
          <t>Sobresaliente objetivo (mm)</t>
        </is>
      </c>
      <c r="E7" s="37" t="n">
        <v>0.08</v>
      </c>
    </row>
    <row r="9" ht="31.5" customHeight="1" s="17">
      <c r="A9" s="35" t="inlineStr">
        <is>
          <t>Color</t>
        </is>
      </c>
      <c r="B9" s="35" t="inlineStr">
        <is>
          <t>Espesor de junta (mm)</t>
        </is>
      </c>
    </row>
    <row r="10" ht="15" customHeight="1" s="17">
      <c r="A10" s="46" t="inlineStr">
        <is>
          <t>Azul</t>
        </is>
      </c>
      <c r="B10" s="37" t="n">
        <v>0.08</v>
      </c>
    </row>
    <row r="11" ht="15" customHeight="1" s="17">
      <c r="A11" s="46" t="inlineStr">
        <is>
          <t>Roja</t>
        </is>
      </c>
      <c r="B11" s="37" t="n">
        <v>0.1</v>
      </c>
    </row>
    <row r="12" ht="15" customHeight="1" s="17">
      <c r="A12" s="46" t="inlineStr">
        <is>
          <t>Verde</t>
        </is>
      </c>
      <c r="B12" s="37" t="n">
        <v>0.12</v>
      </c>
    </row>
    <row r="14" ht="31.5" customHeight="1" s="17">
      <c r="A14" s="35" t="inlineStr">
        <is>
          <t>Camisa</t>
        </is>
      </c>
      <c r="B14" s="35" t="inlineStr">
        <is>
          <t>Junta montada (mm)</t>
        </is>
      </c>
      <c r="C14" s="35" t="inlineStr">
        <is>
          <t>Lectura A (mm)</t>
        </is>
      </c>
      <c r="D14" s="35" t="inlineStr">
        <is>
          <t>Lectura B (mm)</t>
        </is>
      </c>
      <c r="E14" s="35" t="inlineStr">
        <is>
          <t>Sobresaliente (mm)</t>
        </is>
      </c>
      <c r="F14" s="35" t="inlineStr">
        <is>
          <t>Diferencia con la anterior (mm)</t>
        </is>
      </c>
      <c r="G14" s="35" t="inlineStr">
        <is>
          <t>Estado</t>
        </is>
      </c>
      <c r="H14" s="35" t="inlineStr">
        <is>
          <t>Junta recomendada (mm)</t>
        </is>
      </c>
      <c r="I14" s="35" t="inlineStr">
        <is>
          <t>Color recomendado</t>
        </is>
      </c>
    </row>
    <row r="15" ht="15" customHeight="1" s="17">
      <c r="A15" s="36" t="n">
        <v>1</v>
      </c>
      <c r="B15" s="37" t="n">
        <v>0.08</v>
      </c>
      <c r="C15" s="37" t="n">
        <v>0.03</v>
      </c>
      <c r="D15" s="37" t="n">
        <v>0.03</v>
      </c>
      <c r="E15" s="42">
        <f>ROUND(AVERAGE(C15:D15),3)</f>
        <v/>
      </c>
      <c r="F15" s="42">
        <f>"—"</f>
        <v/>
      </c>
      <c r="G15" s="38">
        <f>IF(OR(E15&lt;$E$4,E15&gt;$E$5),"Sobresaliente fuera de rango",IF(AND(ISNUMBER(F15),F15&gt;$E$6),"Diferencia excesiva: reordenar","Correcto"))</f>
        <v/>
      </c>
      <c r="H15" s="39">
        <f>IF(AND(E15&gt;=$E$4,E15&lt;=$E$5),B15,IF(B15+$E$7-E15&lt;=($B$10+$B$11)/2,$B$10,IF(B15+$E$7-E15&lt;=($B$11+$B$12)/2,$B$11,$B$12)))</f>
        <v/>
      </c>
      <c r="I15" s="38">
        <f>INDEX($A$10:$A$12,MATCH(H15,$B$10:$B$12,0))</f>
        <v/>
      </c>
    </row>
    <row r="16" ht="15" customHeight="1" s="17">
      <c r="A16" s="36" t="n">
        <v>2</v>
      </c>
      <c r="B16" s="37" t="n">
        <v>0.08</v>
      </c>
      <c r="C16" s="37" t="n">
        <v>0.06</v>
      </c>
      <c r="D16" s="37" t="n">
        <v>0.07000000000000001</v>
      </c>
      <c r="E16" s="42">
        <f>ROUND(AVERAGE(C16:D16),3)</f>
        <v/>
      </c>
      <c r="F16" s="42">
        <f>ROUND(ABS(E16-E15),3)</f>
        <v/>
      </c>
      <c r="G16" s="38">
        <f>IF(OR(E16&lt;$E$4,E16&gt;$E$5),"Sobresaliente fuera de rango",IF(AND(ISNUMBER(F16),F16&gt;$E$6),"Diferencia excesiva: reordenar","Correcto"))</f>
        <v/>
      </c>
      <c r="H16" s="39">
        <f>IF(AND(E16&gt;=$E$4,E16&lt;=$E$5),B16,IF(B16+$E$7-E16&lt;=($B$10+$B$11)/2,$B$10,IF(B16+$E$7-E16&lt;=($B$11+$B$12)/2,$B$11,$B$12)))</f>
        <v/>
      </c>
      <c r="I16" s="38">
        <f>INDEX($A$10:$A$12,MATCH(H16,$B$10:$B$12,0))</f>
        <v/>
      </c>
    </row>
    <row r="17" ht="15" customHeight="1" s="17">
      <c r="A17" s="36" t="n">
        <v>3</v>
      </c>
      <c r="B17" s="37" t="n">
        <v>0.08</v>
      </c>
      <c r="C17" s="37" t="n">
        <v>0.09</v>
      </c>
      <c r="D17" s="37" t="n">
        <v>0.08</v>
      </c>
      <c r="E17" s="42">
        <f>ROUND(AVERAGE(C17:D17),3)</f>
        <v/>
      </c>
      <c r="F17" s="42">
        <f>ROUND(ABS(E17-E16),3)</f>
        <v/>
      </c>
      <c r="G17" s="38">
        <f>IF(OR(E17&lt;$E$4,E17&gt;$E$5),"Sobresaliente fuera de rango",IF(AND(ISNUMBER(F17),F17&gt;$E$6),"Diferencia excesiva: reordenar","Correcto"))</f>
        <v/>
      </c>
      <c r="H17" s="39">
        <f>IF(AND(E17&gt;=$E$4,E17&lt;=$E$5),B17,IF(B17+$E$7-E17&lt;=($B$10+$B$11)/2,$B$10,IF(B17+$E$7-E17&lt;=($B$11+$B$12)/2,$B$11,$B$12)))</f>
        <v/>
      </c>
      <c r="I17" s="38">
        <f>INDEX($A$10:$A$12,MATCH(H17,$B$10:$B$12,0))</f>
        <v/>
      </c>
    </row>
    <row r="18" ht="15" customHeight="1" s="17">
      <c r="A18" s="36" t="n">
        <v>4</v>
      </c>
      <c r="B18" s="37" t="n">
        <v>0.08</v>
      </c>
      <c r="C18" s="37" t="n">
        <v>0.13</v>
      </c>
      <c r="D18" s="37" t="n">
        <v>0.12</v>
      </c>
      <c r="E18" s="42">
        <f>ROUND(AVERAGE(C18:D18),3)</f>
        <v/>
      </c>
      <c r="F18" s="42">
        <f>ROUND(ABS(E18-E17),3)</f>
        <v/>
      </c>
      <c r="G18" s="38">
        <f>IF(OR(E18&lt;$E$4,E18&gt;$E$5),"Sobresaliente fuera de rango",IF(AND(ISNUMBER(F18),F18&gt;$E$6),"Diferencia excesiva: reordenar","Correcto"))</f>
        <v/>
      </c>
      <c r="H18" s="39">
        <f>IF(AND(E18&gt;=$E$4,E18&lt;=$E$5),B18,IF(B18+$E$7-E18&lt;=($B$10+$B$11)/2,$B$10,IF(B18+$E$7-E18&lt;=($B$11+$B$12)/2,$B$11,$B$12)))</f>
        <v/>
      </c>
      <c r="I18" s="38">
        <f>INDEX($A$10:$A$12,MATCH(H18,$B$10:$B$12,0))</f>
        <v/>
      </c>
    </row>
    <row r="20" ht="15" customHeight="1" s="17">
      <c r="A20" s="45" t="inlineStr">
        <is>
          <t>Junta recomendada: la de espesor más cercano al que llevaría el sobresaliente al valor objetivo (sobresaliente nuevo ≈ medido + diferencia de espesores). Tras cambiar la junta, vuelva a medir.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2026-09-15T22:29:52Z</dcterms:created>
  <dcterms:modified xmlns:dcterms="http://purl.org/dc/terms/" xmlns:xsi="http://www.w3.org/2001/XMLSchema-instance" xsi:type="dcterms:W3CDTF">2026-10-16T11:46:45Z</dcterms:modified>
  <cp:revision>1</cp:revision>
</cp:coreProperties>
</file>