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xr:revisionPtr revIDLastSave="0" documentId="13_ncr:1_{AFACAAB6-25FD-4863-825A-55978A06702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imulador" sheetId="1" r:id="rId1"/>
    <sheet name="Diagrama de fases" sheetId="2" r:id="rId2"/>
    <sheet name="Resumen" sheetId="3" r:id="rId3"/>
    <sheet name="Guía" sheetId="4" r:id="rId4"/>
    <sheet name="Configuraciones" sheetId="5" r:id="rId5"/>
    <sheet name="Datos gráficos" sheetId="6" r:id="rId6"/>
  </sheets>
  <calcPr calcId="181029"/>
</workbook>
</file>

<file path=xl/calcChain.xml><?xml version="1.0" encoding="utf-8"?>
<calcChain xmlns="http://schemas.openxmlformats.org/spreadsheetml/2006/main">
  <c r="M30" i="5" l="1"/>
  <c r="L30" i="5"/>
  <c r="K30" i="5"/>
  <c r="J30" i="5"/>
  <c r="I30" i="5"/>
  <c r="H30" i="5"/>
  <c r="G30" i="5"/>
  <c r="F30" i="5"/>
  <c r="E30" i="5"/>
  <c r="D30" i="5"/>
  <c r="C30" i="5"/>
  <c r="B30" i="5"/>
  <c r="BL27" i="5"/>
  <c r="BG27" i="5"/>
  <c r="BA27" i="5"/>
  <c r="AV27" i="5"/>
  <c r="AQ27" i="5"/>
  <c r="AL27" i="5"/>
  <c r="AH27" i="5"/>
  <c r="AD27" i="5"/>
  <c r="Z27" i="5"/>
  <c r="V27" i="5"/>
  <c r="R27" i="5"/>
  <c r="N27" i="5"/>
  <c r="J27" i="5"/>
  <c r="C27" i="5"/>
  <c r="B27" i="5"/>
  <c r="BI27" i="5" s="1"/>
  <c r="DR19" i="2"/>
  <c r="DQ19" i="2"/>
  <c r="DP19" i="2"/>
  <c r="DO19" i="2"/>
  <c r="DN19" i="2"/>
  <c r="DM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9" i="1"/>
  <c r="B13" i="1" s="1"/>
  <c r="A19" i="1" l="1"/>
  <c r="B14" i="1"/>
  <c r="B12" i="1"/>
  <c r="G27" i="5"/>
  <c r="K27" i="5"/>
  <c r="O27" i="5"/>
  <c r="S27" i="5"/>
  <c r="W27" i="5"/>
  <c r="AA27" i="5"/>
  <c r="AE27" i="5"/>
  <c r="AI27" i="5"/>
  <c r="AM27" i="5"/>
  <c r="AR27" i="5"/>
  <c r="AW27" i="5"/>
  <c r="BC27" i="5"/>
  <c r="BH27" i="5"/>
  <c r="BM27" i="5"/>
  <c r="H27" i="5"/>
  <c r="L27" i="5"/>
  <c r="P27" i="5"/>
  <c r="T27" i="5"/>
  <c r="X27" i="5"/>
  <c r="AB27" i="5"/>
  <c r="AF27" i="5"/>
  <c r="AJ27" i="5"/>
  <c r="AN27" i="5"/>
  <c r="AS27" i="5"/>
  <c r="AY27" i="5"/>
  <c r="BD27" i="5"/>
  <c r="BN27" i="5"/>
  <c r="BJ27" i="5"/>
  <c r="BF27" i="5"/>
  <c r="BB27" i="5"/>
  <c r="AX27" i="5"/>
  <c r="AT27" i="5"/>
  <c r="AP27" i="5"/>
  <c r="I27" i="5"/>
  <c r="M27" i="5"/>
  <c r="Q27" i="5"/>
  <c r="U27" i="5"/>
  <c r="Y27" i="5"/>
  <c r="AC27" i="5"/>
  <c r="AG27" i="5"/>
  <c r="AK27" i="5"/>
  <c r="AO27" i="5"/>
  <c r="AU27" i="5"/>
  <c r="AZ27" i="5"/>
  <c r="BE27" i="5"/>
  <c r="BK27" i="5"/>
  <c r="I7" i="1"/>
  <c r="A16" i="2" l="1"/>
  <c r="A14" i="2"/>
  <c r="A17" i="2"/>
  <c r="A12" i="2"/>
  <c r="A10" i="2"/>
  <c r="A15" i="2"/>
  <c r="A13" i="2"/>
  <c r="A9" i="2"/>
  <c r="A30" i="1"/>
  <c r="A26" i="1"/>
  <c r="A22" i="1"/>
  <c r="A29" i="1"/>
  <c r="A25" i="1"/>
  <c r="B15" i="1"/>
  <c r="A2" i="2" s="1"/>
  <c r="A11" i="2"/>
  <c r="A7" i="2"/>
  <c r="A33" i="1"/>
  <c r="A32" i="1"/>
  <c r="A28" i="1"/>
  <c r="A24" i="1"/>
  <c r="A6" i="2"/>
  <c r="A27" i="1"/>
  <c r="A8" i="2"/>
  <c r="A31" i="1"/>
  <c r="A23" i="1"/>
  <c r="C21" i="6" l="1"/>
  <c r="M9" i="6"/>
  <c r="C28" i="1"/>
  <c r="B28" i="1"/>
  <c r="D28" i="1"/>
  <c r="K3" i="6"/>
  <c r="K9" i="6" s="1"/>
  <c r="C3" i="6"/>
  <c r="M3" i="6"/>
  <c r="L3" i="6"/>
  <c r="L9" i="6" s="1"/>
  <c r="D22" i="1"/>
  <c r="C22" i="1"/>
  <c r="B22" i="1"/>
  <c r="C30" i="6"/>
  <c r="M12" i="6"/>
  <c r="D31" i="1"/>
  <c r="C31" i="1"/>
  <c r="B31" i="1"/>
  <c r="C9" i="6"/>
  <c r="M5" i="6"/>
  <c r="L5" i="6"/>
  <c r="K5" i="6"/>
  <c r="AC5" i="6" s="1"/>
  <c r="C24" i="1"/>
  <c r="B24" i="1"/>
  <c r="D24" i="1"/>
  <c r="C24" i="6"/>
  <c r="M10" i="6"/>
  <c r="B29" i="1"/>
  <c r="D29" i="1"/>
  <c r="C29" i="1"/>
  <c r="C15" i="6"/>
  <c r="M7" i="6"/>
  <c r="D26" i="1"/>
  <c r="C26" i="1"/>
  <c r="B26" i="1"/>
  <c r="C18" i="6"/>
  <c r="M8" i="6"/>
  <c r="D27" i="1"/>
  <c r="C27" i="1"/>
  <c r="B27" i="1"/>
  <c r="C33" i="6"/>
  <c r="M13" i="6"/>
  <c r="C32" i="1"/>
  <c r="B32" i="1"/>
  <c r="D32" i="1"/>
  <c r="M4" i="6"/>
  <c r="L4" i="6"/>
  <c r="K4" i="6"/>
  <c r="AC4" i="6" s="1"/>
  <c r="C6" i="6"/>
  <c r="D23" i="1"/>
  <c r="C23" i="1"/>
  <c r="B23" i="1"/>
  <c r="M14" i="6"/>
  <c r="C36" i="6"/>
  <c r="B33" i="1"/>
  <c r="D33" i="1"/>
  <c r="E33" i="1" s="1"/>
  <c r="Z58" i="6" s="1"/>
  <c r="C33" i="1"/>
  <c r="M6" i="6"/>
  <c r="L6" i="6"/>
  <c r="K6" i="6"/>
  <c r="AC6" i="6" s="1"/>
  <c r="C12" i="6"/>
  <c r="B25" i="1"/>
  <c r="D25" i="1"/>
  <c r="C25" i="1"/>
  <c r="C27" i="6"/>
  <c r="L11" i="6"/>
  <c r="M11" i="6"/>
  <c r="D30" i="1"/>
  <c r="C30" i="1"/>
  <c r="B30" i="1"/>
  <c r="T13" i="6" l="1"/>
  <c r="U13" i="6" s="1"/>
  <c r="V13" i="6" s="1"/>
  <c r="T11" i="6"/>
  <c r="T14" i="6"/>
  <c r="T12" i="6"/>
  <c r="U12" i="6" s="1"/>
  <c r="V12" i="6" s="1"/>
  <c r="E29" i="1"/>
  <c r="Z38" i="6" s="1"/>
  <c r="T10" i="6"/>
  <c r="T9" i="6"/>
  <c r="E28" i="1"/>
  <c r="Z33" i="6" s="1"/>
  <c r="E26" i="1"/>
  <c r="Z23" i="6" s="1"/>
  <c r="E23" i="1"/>
  <c r="Z8" i="6" s="1"/>
  <c r="T7" i="6"/>
  <c r="T8" i="6"/>
  <c r="E27" i="1"/>
  <c r="Z28" i="6" s="1"/>
  <c r="K13" i="6"/>
  <c r="E25" i="1"/>
  <c r="Z18" i="6" s="1"/>
  <c r="K8" i="6"/>
  <c r="X16" i="6"/>
  <c r="X14" i="6"/>
  <c r="X15" i="6"/>
  <c r="X13" i="6"/>
  <c r="X18" i="6"/>
  <c r="X19" i="6"/>
  <c r="X21" i="6"/>
  <c r="X20" i="6"/>
  <c r="F26" i="1"/>
  <c r="B8" i="2"/>
  <c r="I24" i="1"/>
  <c r="F31" i="6"/>
  <c r="E31" i="6"/>
  <c r="L12" i="6"/>
  <c r="F23" i="1"/>
  <c r="F27" i="1"/>
  <c r="L14" i="6"/>
  <c r="X10" i="6"/>
  <c r="X11" i="6"/>
  <c r="X9" i="6"/>
  <c r="X8" i="6"/>
  <c r="F34" i="6"/>
  <c r="E34" i="6"/>
  <c r="L13" i="6"/>
  <c r="L8" i="6"/>
  <c r="L7" i="6"/>
  <c r="K10" i="6"/>
  <c r="E24" i="1"/>
  <c r="B15" i="2"/>
  <c r="I31" i="1"/>
  <c r="F4" i="6"/>
  <c r="E4" i="6"/>
  <c r="AC3" i="6"/>
  <c r="F22" i="6"/>
  <c r="E22" i="6"/>
  <c r="B14" i="2"/>
  <c r="I30" i="1"/>
  <c r="F33" i="1"/>
  <c r="F29" i="1"/>
  <c r="F37" i="6"/>
  <c r="E37" i="6"/>
  <c r="F7" i="6"/>
  <c r="E7" i="6"/>
  <c r="B16" i="2"/>
  <c r="I32" i="1"/>
  <c r="E19" i="6"/>
  <c r="F19" i="6"/>
  <c r="F16" i="6"/>
  <c r="E16" i="6"/>
  <c r="F25" i="6"/>
  <c r="E25" i="6"/>
  <c r="L10" i="6"/>
  <c r="E31" i="1"/>
  <c r="Z48" i="6" s="1"/>
  <c r="K12" i="6"/>
  <c r="I22" i="1"/>
  <c r="B6" i="2"/>
  <c r="T4" i="6"/>
  <c r="T3" i="6"/>
  <c r="T6" i="6"/>
  <c r="T5" i="6"/>
  <c r="B12" i="2"/>
  <c r="I28" i="1"/>
  <c r="F13" i="6"/>
  <c r="E13" i="6"/>
  <c r="E30" i="1"/>
  <c r="Z43" i="6" s="1"/>
  <c r="I25" i="1"/>
  <c r="B9" i="2"/>
  <c r="E28" i="6"/>
  <c r="F28" i="6"/>
  <c r="K11" i="6"/>
  <c r="B17" i="2"/>
  <c r="I33" i="1"/>
  <c r="K14" i="6"/>
  <c r="B7" i="2"/>
  <c r="I23" i="1"/>
  <c r="E32" i="1"/>
  <c r="Z53" i="6" s="1"/>
  <c r="B11" i="2"/>
  <c r="I27" i="1"/>
  <c r="B10" i="2"/>
  <c r="I26" i="1"/>
  <c r="K7" i="6"/>
  <c r="B13" i="2"/>
  <c r="I29" i="1"/>
  <c r="F10" i="6"/>
  <c r="E10" i="6"/>
  <c r="E22" i="1"/>
  <c r="Y20" i="6" l="1"/>
  <c r="Y60" i="6"/>
  <c r="U9" i="6"/>
  <c r="V9" i="6" s="1"/>
  <c r="U14" i="6"/>
  <c r="V14" i="6" s="1"/>
  <c r="Y59" i="6"/>
  <c r="U11" i="6"/>
  <c r="V11" i="6" s="1"/>
  <c r="F28" i="1"/>
  <c r="Y34" i="6"/>
  <c r="Y35" i="6"/>
  <c r="Y40" i="6"/>
  <c r="U10" i="6"/>
  <c r="V10" i="6" s="1"/>
  <c r="Y39" i="6"/>
  <c r="U3" i="6"/>
  <c r="V3" i="6" s="1"/>
  <c r="W3" i="6" s="1"/>
  <c r="U7" i="6"/>
  <c r="V7" i="6" s="1"/>
  <c r="F25" i="1"/>
  <c r="A13" i="6" s="1"/>
  <c r="Y29" i="6"/>
  <c r="U8" i="6"/>
  <c r="V8" i="6" s="1"/>
  <c r="Y30" i="6"/>
  <c r="Y25" i="6"/>
  <c r="Y24" i="6"/>
  <c r="N3" i="6"/>
  <c r="U5" i="6"/>
  <c r="V5" i="6" s="1"/>
  <c r="N4" i="6"/>
  <c r="U4" i="6"/>
  <c r="V4" i="6" s="1"/>
  <c r="Y49" i="6"/>
  <c r="Y50" i="6"/>
  <c r="F31" i="1"/>
  <c r="G32" i="1"/>
  <c r="H32" i="1"/>
  <c r="H30" i="1"/>
  <c r="G30" i="1"/>
  <c r="X6" i="6"/>
  <c r="X5" i="6"/>
  <c r="X4" i="6"/>
  <c r="X3" i="6"/>
  <c r="AC12" i="6"/>
  <c r="AC8" i="6"/>
  <c r="AC13" i="6"/>
  <c r="AC14" i="6"/>
  <c r="AC9" i="6"/>
  <c r="AC11" i="6"/>
  <c r="AC10" i="6"/>
  <c r="AC7" i="6"/>
  <c r="DP15" i="2"/>
  <c r="DL15" i="2"/>
  <c r="DH15" i="2"/>
  <c r="DD15" i="2"/>
  <c r="CZ15" i="2"/>
  <c r="CV15" i="2"/>
  <c r="CR15" i="2"/>
  <c r="CN15" i="2"/>
  <c r="CJ15" i="2"/>
  <c r="CF15" i="2"/>
  <c r="CB15" i="2"/>
  <c r="BX15" i="2"/>
  <c r="BT15" i="2"/>
  <c r="BP15" i="2"/>
  <c r="BL15" i="2"/>
  <c r="BH15" i="2"/>
  <c r="BD15" i="2"/>
  <c r="AZ15" i="2"/>
  <c r="AV15" i="2"/>
  <c r="AR15" i="2"/>
  <c r="AN15" i="2"/>
  <c r="AJ15" i="2"/>
  <c r="AF15" i="2"/>
  <c r="AB15" i="2"/>
  <c r="X15" i="2"/>
  <c r="T15" i="2"/>
  <c r="P15" i="2"/>
  <c r="L15" i="2"/>
  <c r="H15" i="2"/>
  <c r="D15" i="2"/>
  <c r="DO15" i="2"/>
  <c r="DK15" i="2"/>
  <c r="DG15" i="2"/>
  <c r="DC15" i="2"/>
  <c r="CY15" i="2"/>
  <c r="CU15" i="2"/>
  <c r="CQ15" i="2"/>
  <c r="CM15" i="2"/>
  <c r="CI15" i="2"/>
  <c r="CE15" i="2"/>
  <c r="CA15" i="2"/>
  <c r="BW15" i="2"/>
  <c r="BS15" i="2"/>
  <c r="BO15" i="2"/>
  <c r="BK15" i="2"/>
  <c r="BG15" i="2"/>
  <c r="BC15" i="2"/>
  <c r="AY15" i="2"/>
  <c r="AU15" i="2"/>
  <c r="AQ15" i="2"/>
  <c r="AM15" i="2"/>
  <c r="AI15" i="2"/>
  <c r="AE15" i="2"/>
  <c r="AA15" i="2"/>
  <c r="W15" i="2"/>
  <c r="S15" i="2"/>
  <c r="O15" i="2"/>
  <c r="K15" i="2"/>
  <c r="G15" i="2"/>
  <c r="C15" i="2"/>
  <c r="DR15" i="2"/>
  <c r="DN15" i="2"/>
  <c r="DJ15" i="2"/>
  <c r="DF15" i="2"/>
  <c r="DB15" i="2"/>
  <c r="CX15" i="2"/>
  <c r="CT15" i="2"/>
  <c r="CP15" i="2"/>
  <c r="CL15" i="2"/>
  <c r="CH15" i="2"/>
  <c r="CD15" i="2"/>
  <c r="BZ15" i="2"/>
  <c r="BV15" i="2"/>
  <c r="BR15" i="2"/>
  <c r="BN15" i="2"/>
  <c r="BJ15" i="2"/>
  <c r="BF15" i="2"/>
  <c r="BB15" i="2"/>
  <c r="AX15" i="2"/>
  <c r="AT15" i="2"/>
  <c r="AP15" i="2"/>
  <c r="AL15" i="2"/>
  <c r="AH15" i="2"/>
  <c r="AD15" i="2"/>
  <c r="Z15" i="2"/>
  <c r="V15" i="2"/>
  <c r="R15" i="2"/>
  <c r="N15" i="2"/>
  <c r="J15" i="2"/>
  <c r="F15" i="2"/>
  <c r="DQ15" i="2"/>
  <c r="DA15" i="2"/>
  <c r="CK15" i="2"/>
  <c r="BU15" i="2"/>
  <c r="BE15" i="2"/>
  <c r="AO15" i="2"/>
  <c r="Y15" i="2"/>
  <c r="I15" i="2"/>
  <c r="DM15" i="2"/>
  <c r="CW15" i="2"/>
  <c r="CG15" i="2"/>
  <c r="BQ15" i="2"/>
  <c r="BA15" i="2"/>
  <c r="AK15" i="2"/>
  <c r="U15" i="2"/>
  <c r="E15" i="2"/>
  <c r="DI15" i="2"/>
  <c r="CS15" i="2"/>
  <c r="CC15" i="2"/>
  <c r="BM15" i="2"/>
  <c r="AW15" i="2"/>
  <c r="AG15" i="2"/>
  <c r="Q15" i="2"/>
  <c r="DE15" i="2"/>
  <c r="AS15" i="2"/>
  <c r="BI15" i="2"/>
  <c r="CO15" i="2"/>
  <c r="AC15" i="2"/>
  <c r="BY15" i="2"/>
  <c r="M15" i="2"/>
  <c r="A7" i="6"/>
  <c r="B7" i="6"/>
  <c r="B16" i="6"/>
  <c r="A16" i="6"/>
  <c r="B13" i="6"/>
  <c r="H26" i="1"/>
  <c r="G26" i="1"/>
  <c r="DR12" i="2"/>
  <c r="DN12" i="2"/>
  <c r="DJ12" i="2"/>
  <c r="DF12" i="2"/>
  <c r="DB12" i="2"/>
  <c r="CX12" i="2"/>
  <c r="CT12" i="2"/>
  <c r="CP12" i="2"/>
  <c r="CL12" i="2"/>
  <c r="CH12" i="2"/>
  <c r="CD12" i="2"/>
  <c r="BZ12" i="2"/>
  <c r="BV12" i="2"/>
  <c r="BR12" i="2"/>
  <c r="BN12" i="2"/>
  <c r="BJ12" i="2"/>
  <c r="BF12" i="2"/>
  <c r="BB12" i="2"/>
  <c r="AX12" i="2"/>
  <c r="AT12" i="2"/>
  <c r="AP12" i="2"/>
  <c r="AL12" i="2"/>
  <c r="AH12" i="2"/>
  <c r="AD12" i="2"/>
  <c r="Z12" i="2"/>
  <c r="V12" i="2"/>
  <c r="R12" i="2"/>
  <c r="N12" i="2"/>
  <c r="J12" i="2"/>
  <c r="F12" i="2"/>
  <c r="DP12" i="2"/>
  <c r="DL12" i="2"/>
  <c r="DH12" i="2"/>
  <c r="DD12" i="2"/>
  <c r="CZ12" i="2"/>
  <c r="CV12" i="2"/>
  <c r="CR12" i="2"/>
  <c r="CN12" i="2"/>
  <c r="CJ12" i="2"/>
  <c r="CF12" i="2"/>
  <c r="CB12" i="2"/>
  <c r="BX12" i="2"/>
  <c r="BT12" i="2"/>
  <c r="BP12" i="2"/>
  <c r="BL12" i="2"/>
  <c r="BH12" i="2"/>
  <c r="BD12" i="2"/>
  <c r="DO12" i="2"/>
  <c r="DG12" i="2"/>
  <c r="CY12" i="2"/>
  <c r="CQ12" i="2"/>
  <c r="CI12" i="2"/>
  <c r="CA12" i="2"/>
  <c r="BS12" i="2"/>
  <c r="BK12" i="2"/>
  <c r="BC12" i="2"/>
  <c r="AW12" i="2"/>
  <c r="AR12" i="2"/>
  <c r="AM12" i="2"/>
  <c r="AG12" i="2"/>
  <c r="AB12" i="2"/>
  <c r="W12" i="2"/>
  <c r="Q12" i="2"/>
  <c r="L12" i="2"/>
  <c r="G12" i="2"/>
  <c r="DM12" i="2"/>
  <c r="DE12" i="2"/>
  <c r="CW12" i="2"/>
  <c r="CO12" i="2"/>
  <c r="CG12" i="2"/>
  <c r="BY12" i="2"/>
  <c r="BQ12" i="2"/>
  <c r="BI12" i="2"/>
  <c r="BA12" i="2"/>
  <c r="AV12" i="2"/>
  <c r="AQ12" i="2"/>
  <c r="AK12" i="2"/>
  <c r="AF12" i="2"/>
  <c r="AA12" i="2"/>
  <c r="U12" i="2"/>
  <c r="P12" i="2"/>
  <c r="K12" i="2"/>
  <c r="E12" i="2"/>
  <c r="DK12" i="2"/>
  <c r="DC12" i="2"/>
  <c r="CU12" i="2"/>
  <c r="CM12" i="2"/>
  <c r="CE12" i="2"/>
  <c r="BW12" i="2"/>
  <c r="BO12" i="2"/>
  <c r="BG12" i="2"/>
  <c r="AZ12" i="2"/>
  <c r="AU12" i="2"/>
  <c r="AO12" i="2"/>
  <c r="AJ12" i="2"/>
  <c r="AE12" i="2"/>
  <c r="Y12" i="2"/>
  <c r="T12" i="2"/>
  <c r="O12" i="2"/>
  <c r="I12" i="2"/>
  <c r="D12" i="2"/>
  <c r="DQ12" i="2"/>
  <c r="CK12" i="2"/>
  <c r="BE12" i="2"/>
  <c r="AI12" i="2"/>
  <c r="M12" i="2"/>
  <c r="CS12" i="2"/>
  <c r="BM12" i="2"/>
  <c r="AN12" i="2"/>
  <c r="S12" i="2"/>
  <c r="DI12" i="2"/>
  <c r="CC12" i="2"/>
  <c r="AY12" i="2"/>
  <c r="AC12" i="2"/>
  <c r="H12" i="2"/>
  <c r="DA12" i="2"/>
  <c r="BU12" i="2"/>
  <c r="AS12" i="2"/>
  <c r="X12" i="2"/>
  <c r="C12" i="2"/>
  <c r="H27" i="1"/>
  <c r="G27" i="1"/>
  <c r="DP6" i="2"/>
  <c r="DL6" i="2"/>
  <c r="DH6" i="2"/>
  <c r="DD6" i="2"/>
  <c r="CZ6" i="2"/>
  <c r="CV6" i="2"/>
  <c r="CR6" i="2"/>
  <c r="CN6" i="2"/>
  <c r="CJ6" i="2"/>
  <c r="CF6" i="2"/>
  <c r="CB6" i="2"/>
  <c r="BX6" i="2"/>
  <c r="BT6" i="2"/>
  <c r="BP6" i="2"/>
  <c r="BL6" i="2"/>
  <c r="BH6" i="2"/>
  <c r="BD6" i="2"/>
  <c r="AZ6" i="2"/>
  <c r="AV6" i="2"/>
  <c r="AR6" i="2"/>
  <c r="AN6" i="2"/>
  <c r="AJ6" i="2"/>
  <c r="AF6" i="2"/>
  <c r="AB6" i="2"/>
  <c r="X6" i="2"/>
  <c r="T6" i="2"/>
  <c r="P6" i="2"/>
  <c r="L6" i="2"/>
  <c r="H6" i="2"/>
  <c r="D6" i="2"/>
  <c r="DO6" i="2"/>
  <c r="DK6" i="2"/>
  <c r="DG6" i="2"/>
  <c r="DC6" i="2"/>
  <c r="CY6" i="2"/>
  <c r="CU6" i="2"/>
  <c r="CQ6" i="2"/>
  <c r="CM6" i="2"/>
  <c r="CI6" i="2"/>
  <c r="CE6" i="2"/>
  <c r="CA6" i="2"/>
  <c r="BW6" i="2"/>
  <c r="BS6" i="2"/>
  <c r="BO6" i="2"/>
  <c r="BK6" i="2"/>
  <c r="BG6" i="2"/>
  <c r="BC6" i="2"/>
  <c r="AY6" i="2"/>
  <c r="AU6" i="2"/>
  <c r="AQ6" i="2"/>
  <c r="AM6" i="2"/>
  <c r="AI6" i="2"/>
  <c r="AE6" i="2"/>
  <c r="AA6" i="2"/>
  <c r="W6" i="2"/>
  <c r="S6" i="2"/>
  <c r="O6" i="2"/>
  <c r="K6" i="2"/>
  <c r="G6" i="2"/>
  <c r="C6" i="2"/>
  <c r="DR6" i="2"/>
  <c r="DN6" i="2"/>
  <c r="DJ6" i="2"/>
  <c r="DF6" i="2"/>
  <c r="DB6" i="2"/>
  <c r="CX6" i="2"/>
  <c r="CT6" i="2"/>
  <c r="CP6" i="2"/>
  <c r="CL6" i="2"/>
  <c r="CH6" i="2"/>
  <c r="CD6" i="2"/>
  <c r="BZ6" i="2"/>
  <c r="BV6" i="2"/>
  <c r="BR6" i="2"/>
  <c r="BN6" i="2"/>
  <c r="BJ6" i="2"/>
  <c r="BF6" i="2"/>
  <c r="BB6" i="2"/>
  <c r="AX6" i="2"/>
  <c r="AT6" i="2"/>
  <c r="AP6" i="2"/>
  <c r="AL6" i="2"/>
  <c r="AH6" i="2"/>
  <c r="AD6" i="2"/>
  <c r="Z6" i="2"/>
  <c r="V6" i="2"/>
  <c r="R6" i="2"/>
  <c r="N6" i="2"/>
  <c r="J6" i="2"/>
  <c r="F6" i="2"/>
  <c r="DI6" i="2"/>
  <c r="CS6" i="2"/>
  <c r="CC6" i="2"/>
  <c r="BM6" i="2"/>
  <c r="AW6" i="2"/>
  <c r="AG6" i="2"/>
  <c r="Q6" i="2"/>
  <c r="DE6" i="2"/>
  <c r="CO6" i="2"/>
  <c r="BY6" i="2"/>
  <c r="BI6" i="2"/>
  <c r="AS6" i="2"/>
  <c r="AC6" i="2"/>
  <c r="M6" i="2"/>
  <c r="DQ6" i="2"/>
  <c r="DA6" i="2"/>
  <c r="CK6" i="2"/>
  <c r="BU6" i="2"/>
  <c r="BE6" i="2"/>
  <c r="AO6" i="2"/>
  <c r="Y6" i="2"/>
  <c r="I6" i="2"/>
  <c r="DM6" i="2"/>
  <c r="CW6" i="2"/>
  <c r="CG6" i="2"/>
  <c r="BQ6" i="2"/>
  <c r="BA6" i="2"/>
  <c r="AK6" i="2"/>
  <c r="U6" i="2"/>
  <c r="E6" i="2"/>
  <c r="DR16" i="2"/>
  <c r="DN16" i="2"/>
  <c r="DJ16" i="2"/>
  <c r="DF16" i="2"/>
  <c r="DB16" i="2"/>
  <c r="CX16" i="2"/>
  <c r="CT16" i="2"/>
  <c r="CP16" i="2"/>
  <c r="CL16" i="2"/>
  <c r="CH16" i="2"/>
  <c r="CD16" i="2"/>
  <c r="BZ16" i="2"/>
  <c r="BV16" i="2"/>
  <c r="BR16" i="2"/>
  <c r="BN16" i="2"/>
  <c r="BJ16" i="2"/>
  <c r="BF16" i="2"/>
  <c r="BB16" i="2"/>
  <c r="AX16" i="2"/>
  <c r="AT16" i="2"/>
  <c r="AP16" i="2"/>
  <c r="AL16" i="2"/>
  <c r="AH16" i="2"/>
  <c r="AD16" i="2"/>
  <c r="Z16" i="2"/>
  <c r="V16" i="2"/>
  <c r="R16" i="2"/>
  <c r="N16" i="2"/>
  <c r="J16" i="2"/>
  <c r="F16" i="2"/>
  <c r="DQ16" i="2"/>
  <c r="DM16" i="2"/>
  <c r="DI16" i="2"/>
  <c r="DE16" i="2"/>
  <c r="DA16" i="2"/>
  <c r="CW16" i="2"/>
  <c r="CS16" i="2"/>
  <c r="CO16" i="2"/>
  <c r="CK16" i="2"/>
  <c r="CG16" i="2"/>
  <c r="CC16" i="2"/>
  <c r="BY16" i="2"/>
  <c r="BU16" i="2"/>
  <c r="BQ16" i="2"/>
  <c r="BM16" i="2"/>
  <c r="BI16" i="2"/>
  <c r="BE16" i="2"/>
  <c r="BA16" i="2"/>
  <c r="AW16" i="2"/>
  <c r="AS16" i="2"/>
  <c r="AO16" i="2"/>
  <c r="AK16" i="2"/>
  <c r="AG16" i="2"/>
  <c r="AC16" i="2"/>
  <c r="Y16" i="2"/>
  <c r="U16" i="2"/>
  <c r="Q16" i="2"/>
  <c r="M16" i="2"/>
  <c r="I16" i="2"/>
  <c r="E16" i="2"/>
  <c r="DP16" i="2"/>
  <c r="DL16" i="2"/>
  <c r="DH16" i="2"/>
  <c r="DD16" i="2"/>
  <c r="CZ16" i="2"/>
  <c r="CV16" i="2"/>
  <c r="CR16" i="2"/>
  <c r="CN16" i="2"/>
  <c r="CJ16" i="2"/>
  <c r="CF16" i="2"/>
  <c r="CB16" i="2"/>
  <c r="BX16" i="2"/>
  <c r="BT16" i="2"/>
  <c r="BP16" i="2"/>
  <c r="BL16" i="2"/>
  <c r="BH16" i="2"/>
  <c r="BD16" i="2"/>
  <c r="AZ16" i="2"/>
  <c r="AV16" i="2"/>
  <c r="AR16" i="2"/>
  <c r="AN16" i="2"/>
  <c r="AJ16" i="2"/>
  <c r="AF16" i="2"/>
  <c r="AB16" i="2"/>
  <c r="X16" i="2"/>
  <c r="T16" i="2"/>
  <c r="P16" i="2"/>
  <c r="L16" i="2"/>
  <c r="H16" i="2"/>
  <c r="D16" i="2"/>
  <c r="DG16" i="2"/>
  <c r="CQ16" i="2"/>
  <c r="CA16" i="2"/>
  <c r="BK16" i="2"/>
  <c r="AU16" i="2"/>
  <c r="AE16" i="2"/>
  <c r="O16" i="2"/>
  <c r="DC16" i="2"/>
  <c r="CM16" i="2"/>
  <c r="BW16" i="2"/>
  <c r="BG16" i="2"/>
  <c r="AQ16" i="2"/>
  <c r="AA16" i="2"/>
  <c r="K16" i="2"/>
  <c r="DO16" i="2"/>
  <c r="CY16" i="2"/>
  <c r="CI16" i="2"/>
  <c r="BS16" i="2"/>
  <c r="BC16" i="2"/>
  <c r="AM16" i="2"/>
  <c r="W16" i="2"/>
  <c r="G16" i="2"/>
  <c r="DK16" i="2"/>
  <c r="AY16" i="2"/>
  <c r="BO16" i="2"/>
  <c r="C16" i="2"/>
  <c r="CU16" i="2"/>
  <c r="AI16" i="2"/>
  <c r="CE16" i="2"/>
  <c r="S16" i="2"/>
  <c r="A37" i="6"/>
  <c r="B37" i="6"/>
  <c r="DR14" i="2"/>
  <c r="DN14" i="2"/>
  <c r="DJ14" i="2"/>
  <c r="DF14" i="2"/>
  <c r="DB14" i="2"/>
  <c r="CX14" i="2"/>
  <c r="CT14" i="2"/>
  <c r="CP14" i="2"/>
  <c r="CL14" i="2"/>
  <c r="CH14" i="2"/>
  <c r="CD14" i="2"/>
  <c r="BZ14" i="2"/>
  <c r="BV14" i="2"/>
  <c r="BR14" i="2"/>
  <c r="BN14" i="2"/>
  <c r="BJ14" i="2"/>
  <c r="BF14" i="2"/>
  <c r="BB14" i="2"/>
  <c r="AX14" i="2"/>
  <c r="AT14" i="2"/>
  <c r="AP14" i="2"/>
  <c r="AL14" i="2"/>
  <c r="AH14" i="2"/>
  <c r="AD14" i="2"/>
  <c r="Z14" i="2"/>
  <c r="V14" i="2"/>
  <c r="R14" i="2"/>
  <c r="N14" i="2"/>
  <c r="J14" i="2"/>
  <c r="F14" i="2"/>
  <c r="DQ14" i="2"/>
  <c r="DM14" i="2"/>
  <c r="DI14" i="2"/>
  <c r="DE14" i="2"/>
  <c r="DA14" i="2"/>
  <c r="CW14" i="2"/>
  <c r="CS14" i="2"/>
  <c r="CO14" i="2"/>
  <c r="CK14" i="2"/>
  <c r="CG14" i="2"/>
  <c r="CC14" i="2"/>
  <c r="BY14" i="2"/>
  <c r="BU14" i="2"/>
  <c r="BQ14" i="2"/>
  <c r="BM14" i="2"/>
  <c r="BI14" i="2"/>
  <c r="BE14" i="2"/>
  <c r="BA14" i="2"/>
  <c r="AW14" i="2"/>
  <c r="AS14" i="2"/>
  <c r="AO14" i="2"/>
  <c r="AK14" i="2"/>
  <c r="AG14" i="2"/>
  <c r="AC14" i="2"/>
  <c r="Y14" i="2"/>
  <c r="U14" i="2"/>
  <c r="Q14" i="2"/>
  <c r="M14" i="2"/>
  <c r="I14" i="2"/>
  <c r="E14" i="2"/>
  <c r="DP14" i="2"/>
  <c r="DL14" i="2"/>
  <c r="DH14" i="2"/>
  <c r="DD14" i="2"/>
  <c r="CZ14" i="2"/>
  <c r="CV14" i="2"/>
  <c r="CR14" i="2"/>
  <c r="CN14" i="2"/>
  <c r="CJ14" i="2"/>
  <c r="CF14" i="2"/>
  <c r="CB14" i="2"/>
  <c r="BX14" i="2"/>
  <c r="BT14" i="2"/>
  <c r="BP14" i="2"/>
  <c r="BL14" i="2"/>
  <c r="BH14" i="2"/>
  <c r="BD14" i="2"/>
  <c r="AZ14" i="2"/>
  <c r="AV14" i="2"/>
  <c r="AR14" i="2"/>
  <c r="AN14" i="2"/>
  <c r="AJ14" i="2"/>
  <c r="AF14" i="2"/>
  <c r="AB14" i="2"/>
  <c r="X14" i="2"/>
  <c r="T14" i="2"/>
  <c r="P14" i="2"/>
  <c r="L14" i="2"/>
  <c r="H14" i="2"/>
  <c r="D14" i="2"/>
  <c r="DK14" i="2"/>
  <c r="CU14" i="2"/>
  <c r="CE14" i="2"/>
  <c r="BO14" i="2"/>
  <c r="AY14" i="2"/>
  <c r="AI14" i="2"/>
  <c r="S14" i="2"/>
  <c r="C14" i="2"/>
  <c r="DG14" i="2"/>
  <c r="CQ14" i="2"/>
  <c r="CA14" i="2"/>
  <c r="BK14" i="2"/>
  <c r="AU14" i="2"/>
  <c r="AE14" i="2"/>
  <c r="O14" i="2"/>
  <c r="DC14" i="2"/>
  <c r="CM14" i="2"/>
  <c r="BW14" i="2"/>
  <c r="BG14" i="2"/>
  <c r="AQ14" i="2"/>
  <c r="AA14" i="2"/>
  <c r="K14" i="2"/>
  <c r="CY14" i="2"/>
  <c r="AM14" i="2"/>
  <c r="DO14" i="2"/>
  <c r="BC14" i="2"/>
  <c r="CI14" i="2"/>
  <c r="W14" i="2"/>
  <c r="BS14" i="2"/>
  <c r="G14" i="2"/>
  <c r="Y15" i="6"/>
  <c r="Y14" i="6"/>
  <c r="F24" i="1"/>
  <c r="Z13" i="6"/>
  <c r="B19" i="6"/>
  <c r="A19" i="6"/>
  <c r="Y10" i="6"/>
  <c r="Y55" i="6"/>
  <c r="Y54" i="6"/>
  <c r="F32" i="1"/>
  <c r="H33" i="1"/>
  <c r="G33" i="1"/>
  <c r="G28" i="1"/>
  <c r="H28" i="1"/>
  <c r="H31" i="1"/>
  <c r="G31" i="1"/>
  <c r="DQ8" i="2"/>
  <c r="DM8" i="2"/>
  <c r="DI8" i="2"/>
  <c r="DE8" i="2"/>
  <c r="DA8" i="2"/>
  <c r="CW8" i="2"/>
  <c r="CS8" i="2"/>
  <c r="CO8" i="2"/>
  <c r="CK8" i="2"/>
  <c r="CG8" i="2"/>
  <c r="CC8" i="2"/>
  <c r="BY8" i="2"/>
  <c r="BU8" i="2"/>
  <c r="BQ8" i="2"/>
  <c r="BM8" i="2"/>
  <c r="BI8" i="2"/>
  <c r="BE8" i="2"/>
  <c r="BA8" i="2"/>
  <c r="AW8" i="2"/>
  <c r="AS8" i="2"/>
  <c r="AO8" i="2"/>
  <c r="AK8" i="2"/>
  <c r="AG8" i="2"/>
  <c r="DN8" i="2"/>
  <c r="DH8" i="2"/>
  <c r="DC8" i="2"/>
  <c r="CX8" i="2"/>
  <c r="CR8" i="2"/>
  <c r="CM8" i="2"/>
  <c r="CH8" i="2"/>
  <c r="CB8" i="2"/>
  <c r="BW8" i="2"/>
  <c r="BR8" i="2"/>
  <c r="BL8" i="2"/>
  <c r="BG8" i="2"/>
  <c r="BB8" i="2"/>
  <c r="AV8" i="2"/>
  <c r="AQ8" i="2"/>
  <c r="AL8" i="2"/>
  <c r="AF8" i="2"/>
  <c r="AB8" i="2"/>
  <c r="X8" i="2"/>
  <c r="T8" i="2"/>
  <c r="P8" i="2"/>
  <c r="L8" i="2"/>
  <c r="H8" i="2"/>
  <c r="D8" i="2"/>
  <c r="DR8" i="2"/>
  <c r="DL8" i="2"/>
  <c r="DG8" i="2"/>
  <c r="DB8" i="2"/>
  <c r="CV8" i="2"/>
  <c r="CQ8" i="2"/>
  <c r="CL8" i="2"/>
  <c r="CF8" i="2"/>
  <c r="CA8" i="2"/>
  <c r="BV8" i="2"/>
  <c r="BP8" i="2"/>
  <c r="BK8" i="2"/>
  <c r="BF8" i="2"/>
  <c r="AZ8" i="2"/>
  <c r="AU8" i="2"/>
  <c r="AP8" i="2"/>
  <c r="AJ8" i="2"/>
  <c r="AE8" i="2"/>
  <c r="AA8" i="2"/>
  <c r="W8" i="2"/>
  <c r="S8" i="2"/>
  <c r="O8" i="2"/>
  <c r="K8" i="2"/>
  <c r="G8" i="2"/>
  <c r="C8" i="2"/>
  <c r="DP8" i="2"/>
  <c r="DK8" i="2"/>
  <c r="DF8" i="2"/>
  <c r="CZ8" i="2"/>
  <c r="CU8" i="2"/>
  <c r="CP8" i="2"/>
  <c r="CJ8" i="2"/>
  <c r="CE8" i="2"/>
  <c r="BZ8" i="2"/>
  <c r="BT8" i="2"/>
  <c r="BO8" i="2"/>
  <c r="BJ8" i="2"/>
  <c r="BD8" i="2"/>
  <c r="AY8" i="2"/>
  <c r="AT8" i="2"/>
  <c r="AN8" i="2"/>
  <c r="AI8" i="2"/>
  <c r="AD8" i="2"/>
  <c r="Z8" i="2"/>
  <c r="V8" i="2"/>
  <c r="R8" i="2"/>
  <c r="N8" i="2"/>
  <c r="J8" i="2"/>
  <c r="F8" i="2"/>
  <c r="DJ8" i="2"/>
  <c r="CN8" i="2"/>
  <c r="BS8" i="2"/>
  <c r="AX8" i="2"/>
  <c r="AC8" i="2"/>
  <c r="M8" i="2"/>
  <c r="DD8" i="2"/>
  <c r="CI8" i="2"/>
  <c r="BN8" i="2"/>
  <c r="AR8" i="2"/>
  <c r="Y8" i="2"/>
  <c r="I8" i="2"/>
  <c r="CY8" i="2"/>
  <c r="CD8" i="2"/>
  <c r="BH8" i="2"/>
  <c r="AM8" i="2"/>
  <c r="U8" i="2"/>
  <c r="E8" i="2"/>
  <c r="DO8" i="2"/>
  <c r="CT8" i="2"/>
  <c r="BX8" i="2"/>
  <c r="BC8" i="2"/>
  <c r="AH8" i="2"/>
  <c r="Q8" i="2"/>
  <c r="H29" i="1"/>
  <c r="G29" i="1"/>
  <c r="DR10" i="2"/>
  <c r="DN10" i="2"/>
  <c r="DJ10" i="2"/>
  <c r="DF10" i="2"/>
  <c r="DB10" i="2"/>
  <c r="CX10" i="2"/>
  <c r="CT10" i="2"/>
  <c r="CP10" i="2"/>
  <c r="CL10" i="2"/>
  <c r="CH10" i="2"/>
  <c r="CD10" i="2"/>
  <c r="BZ10" i="2"/>
  <c r="BV10" i="2"/>
  <c r="BR10" i="2"/>
  <c r="BN10" i="2"/>
  <c r="BJ10" i="2"/>
  <c r="BF10" i="2"/>
  <c r="BB10" i="2"/>
  <c r="AX10" i="2"/>
  <c r="AT10" i="2"/>
  <c r="AP10" i="2"/>
  <c r="AL10" i="2"/>
  <c r="AH10" i="2"/>
  <c r="AD10" i="2"/>
  <c r="Z10" i="2"/>
  <c r="V10" i="2"/>
  <c r="R10" i="2"/>
  <c r="N10" i="2"/>
  <c r="J10" i="2"/>
  <c r="F10" i="2"/>
  <c r="DQ10" i="2"/>
  <c r="DM10" i="2"/>
  <c r="DI10" i="2"/>
  <c r="DE10" i="2"/>
  <c r="DA10" i="2"/>
  <c r="CW10" i="2"/>
  <c r="CS10" i="2"/>
  <c r="CO10" i="2"/>
  <c r="CK10" i="2"/>
  <c r="CG10" i="2"/>
  <c r="CC10" i="2"/>
  <c r="BY10" i="2"/>
  <c r="BU10" i="2"/>
  <c r="BQ10" i="2"/>
  <c r="BM10" i="2"/>
  <c r="BI10" i="2"/>
  <c r="BE10" i="2"/>
  <c r="BA10" i="2"/>
  <c r="AW10" i="2"/>
  <c r="AS10" i="2"/>
  <c r="AO10" i="2"/>
  <c r="AK10" i="2"/>
  <c r="AG10" i="2"/>
  <c r="AC10" i="2"/>
  <c r="Y10" i="2"/>
  <c r="U10" i="2"/>
  <c r="Q10" i="2"/>
  <c r="M10" i="2"/>
  <c r="I10" i="2"/>
  <c r="E10" i="2"/>
  <c r="DP10" i="2"/>
  <c r="DL10" i="2"/>
  <c r="DH10" i="2"/>
  <c r="DD10" i="2"/>
  <c r="CZ10" i="2"/>
  <c r="CV10" i="2"/>
  <c r="CR10" i="2"/>
  <c r="CN10" i="2"/>
  <c r="CJ10" i="2"/>
  <c r="CF10" i="2"/>
  <c r="CB10" i="2"/>
  <c r="BX10" i="2"/>
  <c r="BT10" i="2"/>
  <c r="BP10" i="2"/>
  <c r="BL10" i="2"/>
  <c r="BH10" i="2"/>
  <c r="BD10" i="2"/>
  <c r="AZ10" i="2"/>
  <c r="AV10" i="2"/>
  <c r="AR10" i="2"/>
  <c r="AN10" i="2"/>
  <c r="AJ10" i="2"/>
  <c r="AF10" i="2"/>
  <c r="AB10" i="2"/>
  <c r="X10" i="2"/>
  <c r="T10" i="2"/>
  <c r="P10" i="2"/>
  <c r="L10" i="2"/>
  <c r="H10" i="2"/>
  <c r="D10" i="2"/>
  <c r="DG10" i="2"/>
  <c r="CQ10" i="2"/>
  <c r="CA10" i="2"/>
  <c r="BK10" i="2"/>
  <c r="AU10" i="2"/>
  <c r="AE10" i="2"/>
  <c r="O10" i="2"/>
  <c r="DK10" i="2"/>
  <c r="CU10" i="2"/>
  <c r="CE10" i="2"/>
  <c r="BO10" i="2"/>
  <c r="AI10" i="2"/>
  <c r="S10" i="2"/>
  <c r="DC10" i="2"/>
  <c r="CM10" i="2"/>
  <c r="BW10" i="2"/>
  <c r="BG10" i="2"/>
  <c r="AQ10" i="2"/>
  <c r="AA10" i="2"/>
  <c r="K10" i="2"/>
  <c r="DO10" i="2"/>
  <c r="CY10" i="2"/>
  <c r="CI10" i="2"/>
  <c r="BS10" i="2"/>
  <c r="BC10" i="2"/>
  <c r="AM10" i="2"/>
  <c r="W10" i="2"/>
  <c r="G10" i="2"/>
  <c r="AY10" i="2"/>
  <c r="C10" i="2"/>
  <c r="H23" i="1"/>
  <c r="G23" i="1"/>
  <c r="DO17" i="2"/>
  <c r="DK17" i="2"/>
  <c r="DG17" i="2"/>
  <c r="DC17" i="2"/>
  <c r="CY17" i="2"/>
  <c r="CU17" i="2"/>
  <c r="CQ17" i="2"/>
  <c r="CM17" i="2"/>
  <c r="CI17" i="2"/>
  <c r="CE17" i="2"/>
  <c r="CA17" i="2"/>
  <c r="BW17" i="2"/>
  <c r="BS17" i="2"/>
  <c r="BO17" i="2"/>
  <c r="BK17" i="2"/>
  <c r="BG17" i="2"/>
  <c r="BC17" i="2"/>
  <c r="AY17" i="2"/>
  <c r="AU17" i="2"/>
  <c r="AQ17" i="2"/>
  <c r="AM17" i="2"/>
  <c r="AI17" i="2"/>
  <c r="DR17" i="2"/>
  <c r="DN17" i="2"/>
  <c r="DJ17" i="2"/>
  <c r="DF17" i="2"/>
  <c r="DB17" i="2"/>
  <c r="CX17" i="2"/>
  <c r="CT17" i="2"/>
  <c r="CP17" i="2"/>
  <c r="CL17" i="2"/>
  <c r="CH17" i="2"/>
  <c r="CD17" i="2"/>
  <c r="BZ17" i="2"/>
  <c r="BV17" i="2"/>
  <c r="BR17" i="2"/>
  <c r="BN17" i="2"/>
  <c r="BJ17" i="2"/>
  <c r="BF17" i="2"/>
  <c r="BB17" i="2"/>
  <c r="AX17" i="2"/>
  <c r="AT17" i="2"/>
  <c r="AP17" i="2"/>
  <c r="AL17" i="2"/>
  <c r="DQ17" i="2"/>
  <c r="DM17" i="2"/>
  <c r="DI17" i="2"/>
  <c r="DE17" i="2"/>
  <c r="DA17" i="2"/>
  <c r="CW17" i="2"/>
  <c r="CS17" i="2"/>
  <c r="CO17" i="2"/>
  <c r="CK17" i="2"/>
  <c r="CG17" i="2"/>
  <c r="CC17" i="2"/>
  <c r="BY17" i="2"/>
  <c r="BU17" i="2"/>
  <c r="BQ17" i="2"/>
  <c r="BM17" i="2"/>
  <c r="BI17" i="2"/>
  <c r="BE17" i="2"/>
  <c r="BA17" i="2"/>
  <c r="AW17" i="2"/>
  <c r="AS17" i="2"/>
  <c r="AO17" i="2"/>
  <c r="AK17" i="2"/>
  <c r="AG17" i="2"/>
  <c r="DD17" i="2"/>
  <c r="CN17" i="2"/>
  <c r="BX17" i="2"/>
  <c r="BH17" i="2"/>
  <c r="AR17" i="2"/>
  <c r="AF17" i="2"/>
  <c r="AB17" i="2"/>
  <c r="X17" i="2"/>
  <c r="T17" i="2"/>
  <c r="P17" i="2"/>
  <c r="L17" i="2"/>
  <c r="H17" i="2"/>
  <c r="D17" i="2"/>
  <c r="DP17" i="2"/>
  <c r="CZ17" i="2"/>
  <c r="CJ17" i="2"/>
  <c r="BT17" i="2"/>
  <c r="BD17" i="2"/>
  <c r="AN17" i="2"/>
  <c r="AE17" i="2"/>
  <c r="AA17" i="2"/>
  <c r="W17" i="2"/>
  <c r="S17" i="2"/>
  <c r="O17" i="2"/>
  <c r="K17" i="2"/>
  <c r="G17" i="2"/>
  <c r="C17" i="2"/>
  <c r="DL17" i="2"/>
  <c r="CV17" i="2"/>
  <c r="CF17" i="2"/>
  <c r="BP17" i="2"/>
  <c r="AZ17" i="2"/>
  <c r="AJ17" i="2"/>
  <c r="AD17" i="2"/>
  <c r="Z17" i="2"/>
  <c r="V17" i="2"/>
  <c r="R17" i="2"/>
  <c r="N17" i="2"/>
  <c r="J17" i="2"/>
  <c r="F17" i="2"/>
  <c r="DH17" i="2"/>
  <c r="AV17" i="2"/>
  <c r="U17" i="2"/>
  <c r="E17" i="2"/>
  <c r="CR17" i="2"/>
  <c r="AH17" i="2"/>
  <c r="Q17" i="2"/>
  <c r="CB17" i="2"/>
  <c r="AC17" i="2"/>
  <c r="M17" i="2"/>
  <c r="I17" i="2"/>
  <c r="BL17" i="2"/>
  <c r="Y17" i="2"/>
  <c r="DP9" i="2"/>
  <c r="DL9" i="2"/>
  <c r="DH9" i="2"/>
  <c r="DD9" i="2"/>
  <c r="CZ9" i="2"/>
  <c r="CV9" i="2"/>
  <c r="CR9" i="2"/>
  <c r="CN9" i="2"/>
  <c r="CJ9" i="2"/>
  <c r="CF9" i="2"/>
  <c r="DO9" i="2"/>
  <c r="DK9" i="2"/>
  <c r="DG9" i="2"/>
  <c r="DC9" i="2"/>
  <c r="CY9" i="2"/>
  <c r="CU9" i="2"/>
  <c r="CQ9" i="2"/>
  <c r="CM9" i="2"/>
  <c r="CI9" i="2"/>
  <c r="CE9" i="2"/>
  <c r="CA9" i="2"/>
  <c r="BW9" i="2"/>
  <c r="BS9" i="2"/>
  <c r="BO9" i="2"/>
  <c r="BK9" i="2"/>
  <c r="BG9" i="2"/>
  <c r="BC9" i="2"/>
  <c r="AY9" i="2"/>
  <c r="AU9" i="2"/>
  <c r="AQ9" i="2"/>
  <c r="AM9" i="2"/>
  <c r="AI9" i="2"/>
  <c r="AE9" i="2"/>
  <c r="AA9" i="2"/>
  <c r="W9" i="2"/>
  <c r="S9" i="2"/>
  <c r="O9" i="2"/>
  <c r="K9" i="2"/>
  <c r="G9" i="2"/>
  <c r="C9" i="2"/>
  <c r="DR9" i="2"/>
  <c r="DN9" i="2"/>
  <c r="DJ9" i="2"/>
  <c r="DF9" i="2"/>
  <c r="DB9" i="2"/>
  <c r="DQ9" i="2"/>
  <c r="DA9" i="2"/>
  <c r="CS9" i="2"/>
  <c r="CK9" i="2"/>
  <c r="CC9" i="2"/>
  <c r="BX9" i="2"/>
  <c r="BR9" i="2"/>
  <c r="BM9" i="2"/>
  <c r="BH9" i="2"/>
  <c r="BB9" i="2"/>
  <c r="AW9" i="2"/>
  <c r="AR9" i="2"/>
  <c r="AL9" i="2"/>
  <c r="AG9" i="2"/>
  <c r="AB9" i="2"/>
  <c r="V9" i="2"/>
  <c r="Q9" i="2"/>
  <c r="L9" i="2"/>
  <c r="F9" i="2"/>
  <c r="CT9" i="2"/>
  <c r="CD9" i="2"/>
  <c r="BT9" i="2"/>
  <c r="BI9" i="2"/>
  <c r="AX9" i="2"/>
  <c r="AH9" i="2"/>
  <c r="DM9" i="2"/>
  <c r="CX9" i="2"/>
  <c r="CP9" i="2"/>
  <c r="CH9" i="2"/>
  <c r="CB9" i="2"/>
  <c r="BV9" i="2"/>
  <c r="BQ9" i="2"/>
  <c r="BL9" i="2"/>
  <c r="BF9" i="2"/>
  <c r="BA9" i="2"/>
  <c r="AV9" i="2"/>
  <c r="AP9" i="2"/>
  <c r="AK9" i="2"/>
  <c r="AF9" i="2"/>
  <c r="Z9" i="2"/>
  <c r="U9" i="2"/>
  <c r="P9" i="2"/>
  <c r="J9" i="2"/>
  <c r="E9" i="2"/>
  <c r="DI9" i="2"/>
  <c r="CW9" i="2"/>
  <c r="CO9" i="2"/>
  <c r="CG9" i="2"/>
  <c r="BZ9" i="2"/>
  <c r="BU9" i="2"/>
  <c r="BP9" i="2"/>
  <c r="BJ9" i="2"/>
  <c r="BE9" i="2"/>
  <c r="AZ9" i="2"/>
  <c r="AT9" i="2"/>
  <c r="AO9" i="2"/>
  <c r="AJ9" i="2"/>
  <c r="AD9" i="2"/>
  <c r="Y9" i="2"/>
  <c r="T9" i="2"/>
  <c r="N9" i="2"/>
  <c r="I9" i="2"/>
  <c r="D9" i="2"/>
  <c r="DE9" i="2"/>
  <c r="CL9" i="2"/>
  <c r="BN9" i="2"/>
  <c r="BD9" i="2"/>
  <c r="AS9" i="2"/>
  <c r="AN9" i="2"/>
  <c r="M9" i="2"/>
  <c r="AC9" i="2"/>
  <c r="H9" i="2"/>
  <c r="X9" i="2"/>
  <c r="BY9" i="2"/>
  <c r="R9" i="2"/>
  <c r="Y5" i="6"/>
  <c r="Y4" i="6"/>
  <c r="F22" i="1"/>
  <c r="Z3" i="6"/>
  <c r="DP13" i="2"/>
  <c r="DL13" i="2"/>
  <c r="DH13" i="2"/>
  <c r="DD13" i="2"/>
  <c r="CZ13" i="2"/>
  <c r="CV13" i="2"/>
  <c r="CR13" i="2"/>
  <c r="CN13" i="2"/>
  <c r="CJ13" i="2"/>
  <c r="CF13" i="2"/>
  <c r="CB13" i="2"/>
  <c r="BX13" i="2"/>
  <c r="BT13" i="2"/>
  <c r="BP13" i="2"/>
  <c r="BL13" i="2"/>
  <c r="BH13" i="2"/>
  <c r="BD13" i="2"/>
  <c r="AZ13" i="2"/>
  <c r="AV13" i="2"/>
  <c r="AR13" i="2"/>
  <c r="AN13" i="2"/>
  <c r="AJ13" i="2"/>
  <c r="AF13" i="2"/>
  <c r="AB13" i="2"/>
  <c r="X13" i="2"/>
  <c r="T13" i="2"/>
  <c r="P13" i="2"/>
  <c r="L13" i="2"/>
  <c r="H13" i="2"/>
  <c r="D13" i="2"/>
  <c r="DO13" i="2"/>
  <c r="DK13" i="2"/>
  <c r="DG13" i="2"/>
  <c r="DC13" i="2"/>
  <c r="CY13" i="2"/>
  <c r="CU13" i="2"/>
  <c r="CQ13" i="2"/>
  <c r="CM13" i="2"/>
  <c r="CI13" i="2"/>
  <c r="CE13" i="2"/>
  <c r="CA13" i="2"/>
  <c r="BW13" i="2"/>
  <c r="BS13" i="2"/>
  <c r="BO13" i="2"/>
  <c r="BK13" i="2"/>
  <c r="BG13" i="2"/>
  <c r="BC13" i="2"/>
  <c r="AY13" i="2"/>
  <c r="AU13" i="2"/>
  <c r="AQ13" i="2"/>
  <c r="AM13" i="2"/>
  <c r="AI13" i="2"/>
  <c r="AE13" i="2"/>
  <c r="DR13" i="2"/>
  <c r="DN13" i="2"/>
  <c r="DJ13" i="2"/>
  <c r="DF13" i="2"/>
  <c r="DB13" i="2"/>
  <c r="CX13" i="2"/>
  <c r="CT13" i="2"/>
  <c r="CP13" i="2"/>
  <c r="CL13" i="2"/>
  <c r="CH13" i="2"/>
  <c r="CD13" i="2"/>
  <c r="BZ13" i="2"/>
  <c r="BV13" i="2"/>
  <c r="BR13" i="2"/>
  <c r="BN13" i="2"/>
  <c r="BJ13" i="2"/>
  <c r="BF13" i="2"/>
  <c r="BB13" i="2"/>
  <c r="AX13" i="2"/>
  <c r="AT13" i="2"/>
  <c r="AP13" i="2"/>
  <c r="AL13" i="2"/>
  <c r="AH13" i="2"/>
  <c r="AD13" i="2"/>
  <c r="Z13" i="2"/>
  <c r="V13" i="2"/>
  <c r="R13" i="2"/>
  <c r="N13" i="2"/>
  <c r="J13" i="2"/>
  <c r="F13" i="2"/>
  <c r="DE13" i="2"/>
  <c r="CO13" i="2"/>
  <c r="BY13" i="2"/>
  <c r="BI13" i="2"/>
  <c r="AS13" i="2"/>
  <c r="AC13" i="2"/>
  <c r="U13" i="2"/>
  <c r="M13" i="2"/>
  <c r="E13" i="2"/>
  <c r="DQ13" i="2"/>
  <c r="DA13" i="2"/>
  <c r="CK13" i="2"/>
  <c r="BU13" i="2"/>
  <c r="BE13" i="2"/>
  <c r="AO13" i="2"/>
  <c r="AA13" i="2"/>
  <c r="S13" i="2"/>
  <c r="K13" i="2"/>
  <c r="C13" i="2"/>
  <c r="DM13" i="2"/>
  <c r="CW13" i="2"/>
  <c r="CG13" i="2"/>
  <c r="BQ13" i="2"/>
  <c r="BA13" i="2"/>
  <c r="AK13" i="2"/>
  <c r="Y13" i="2"/>
  <c r="Q13" i="2"/>
  <c r="I13" i="2"/>
  <c r="CS13" i="2"/>
  <c r="AG13" i="2"/>
  <c r="DI13" i="2"/>
  <c r="AW13" i="2"/>
  <c r="G13" i="2"/>
  <c r="CC13" i="2"/>
  <c r="W13" i="2"/>
  <c r="BM13" i="2"/>
  <c r="O13" i="2"/>
  <c r="DR7" i="2"/>
  <c r="DN7" i="2"/>
  <c r="DJ7" i="2"/>
  <c r="DF7" i="2"/>
  <c r="DB7" i="2"/>
  <c r="CX7" i="2"/>
  <c r="CT7" i="2"/>
  <c r="CP7" i="2"/>
  <c r="CL7" i="2"/>
  <c r="CH7" i="2"/>
  <c r="CD7" i="2"/>
  <c r="BZ7" i="2"/>
  <c r="BV7" i="2"/>
  <c r="BR7" i="2"/>
  <c r="BN7" i="2"/>
  <c r="BJ7" i="2"/>
  <c r="BF7" i="2"/>
  <c r="BB7" i="2"/>
  <c r="AX7" i="2"/>
  <c r="AT7" i="2"/>
  <c r="AP7" i="2"/>
  <c r="AL7" i="2"/>
  <c r="AH7" i="2"/>
  <c r="AD7" i="2"/>
  <c r="Z7" i="2"/>
  <c r="V7" i="2"/>
  <c r="R7" i="2"/>
  <c r="N7" i="2"/>
  <c r="J7" i="2"/>
  <c r="F7" i="2"/>
  <c r="DQ7" i="2"/>
  <c r="DM7" i="2"/>
  <c r="DI7" i="2"/>
  <c r="DE7" i="2"/>
  <c r="DA7" i="2"/>
  <c r="CW7" i="2"/>
  <c r="CS7" i="2"/>
  <c r="CO7" i="2"/>
  <c r="CK7" i="2"/>
  <c r="CG7" i="2"/>
  <c r="CC7" i="2"/>
  <c r="BY7" i="2"/>
  <c r="BU7" i="2"/>
  <c r="BQ7" i="2"/>
  <c r="BM7" i="2"/>
  <c r="BI7" i="2"/>
  <c r="BE7" i="2"/>
  <c r="BA7" i="2"/>
  <c r="AW7" i="2"/>
  <c r="AS7" i="2"/>
  <c r="AO7" i="2"/>
  <c r="AK7" i="2"/>
  <c r="AG7" i="2"/>
  <c r="AC7" i="2"/>
  <c r="Y7" i="2"/>
  <c r="U7" i="2"/>
  <c r="Q7" i="2"/>
  <c r="M7" i="2"/>
  <c r="I7" i="2"/>
  <c r="E7" i="2"/>
  <c r="DP7" i="2"/>
  <c r="DL7" i="2"/>
  <c r="DH7" i="2"/>
  <c r="DD7" i="2"/>
  <c r="CZ7" i="2"/>
  <c r="CV7" i="2"/>
  <c r="CR7" i="2"/>
  <c r="CN7" i="2"/>
  <c r="CJ7" i="2"/>
  <c r="CF7" i="2"/>
  <c r="CB7" i="2"/>
  <c r="BX7" i="2"/>
  <c r="BT7" i="2"/>
  <c r="BP7" i="2"/>
  <c r="BL7" i="2"/>
  <c r="BH7" i="2"/>
  <c r="BD7" i="2"/>
  <c r="AZ7" i="2"/>
  <c r="AV7" i="2"/>
  <c r="AR7" i="2"/>
  <c r="AN7" i="2"/>
  <c r="AJ7" i="2"/>
  <c r="AF7" i="2"/>
  <c r="AB7" i="2"/>
  <c r="X7" i="2"/>
  <c r="T7" i="2"/>
  <c r="P7" i="2"/>
  <c r="L7" i="2"/>
  <c r="H7" i="2"/>
  <c r="D7" i="2"/>
  <c r="DO7" i="2"/>
  <c r="CY7" i="2"/>
  <c r="CI7" i="2"/>
  <c r="BS7" i="2"/>
  <c r="BC7" i="2"/>
  <c r="AM7" i="2"/>
  <c r="W7" i="2"/>
  <c r="G7" i="2"/>
  <c r="DK7" i="2"/>
  <c r="CU7" i="2"/>
  <c r="CE7" i="2"/>
  <c r="BO7" i="2"/>
  <c r="AY7" i="2"/>
  <c r="AI7" i="2"/>
  <c r="S7" i="2"/>
  <c r="C7" i="2"/>
  <c r="DG7" i="2"/>
  <c r="CQ7" i="2"/>
  <c r="CA7" i="2"/>
  <c r="BK7" i="2"/>
  <c r="AU7" i="2"/>
  <c r="AE7" i="2"/>
  <c r="O7" i="2"/>
  <c r="DC7" i="2"/>
  <c r="CM7" i="2"/>
  <c r="BW7" i="2"/>
  <c r="BG7" i="2"/>
  <c r="AQ7" i="2"/>
  <c r="AA7" i="2"/>
  <c r="K7" i="2"/>
  <c r="H25" i="1"/>
  <c r="G25" i="1"/>
  <c r="B22" i="6"/>
  <c r="A22" i="6"/>
  <c r="DP11" i="2"/>
  <c r="DL11" i="2"/>
  <c r="DH11" i="2"/>
  <c r="DD11" i="2"/>
  <c r="CZ11" i="2"/>
  <c r="CV11" i="2"/>
  <c r="CR11" i="2"/>
  <c r="CN11" i="2"/>
  <c r="CJ11" i="2"/>
  <c r="CF11" i="2"/>
  <c r="CB11" i="2"/>
  <c r="BX11" i="2"/>
  <c r="BT11" i="2"/>
  <c r="BP11" i="2"/>
  <c r="BL11" i="2"/>
  <c r="BH11" i="2"/>
  <c r="BD11" i="2"/>
  <c r="AZ11" i="2"/>
  <c r="AV11" i="2"/>
  <c r="AR11" i="2"/>
  <c r="AN11" i="2"/>
  <c r="AJ11" i="2"/>
  <c r="AF11" i="2"/>
  <c r="AB11" i="2"/>
  <c r="X11" i="2"/>
  <c r="T11" i="2"/>
  <c r="P11" i="2"/>
  <c r="L11" i="2"/>
  <c r="H11" i="2"/>
  <c r="D11" i="2"/>
  <c r="DO11" i="2"/>
  <c r="DK11" i="2"/>
  <c r="DG11" i="2"/>
  <c r="DC11" i="2"/>
  <c r="CY11" i="2"/>
  <c r="CU11" i="2"/>
  <c r="CQ11" i="2"/>
  <c r="CM11" i="2"/>
  <c r="CI11" i="2"/>
  <c r="CE11" i="2"/>
  <c r="CA11" i="2"/>
  <c r="BW11" i="2"/>
  <c r="BS11" i="2"/>
  <c r="BO11" i="2"/>
  <c r="BK11" i="2"/>
  <c r="BG11" i="2"/>
  <c r="BC11" i="2"/>
  <c r="AY11" i="2"/>
  <c r="AU11" i="2"/>
  <c r="AQ11" i="2"/>
  <c r="AM11" i="2"/>
  <c r="AI11" i="2"/>
  <c r="AE11" i="2"/>
  <c r="AA11" i="2"/>
  <c r="W11" i="2"/>
  <c r="S11" i="2"/>
  <c r="O11" i="2"/>
  <c r="K11" i="2"/>
  <c r="G11" i="2"/>
  <c r="C11" i="2"/>
  <c r="DR11" i="2"/>
  <c r="DN11" i="2"/>
  <c r="DJ11" i="2"/>
  <c r="DF11" i="2"/>
  <c r="DB11" i="2"/>
  <c r="CX11" i="2"/>
  <c r="CT11" i="2"/>
  <c r="CP11" i="2"/>
  <c r="CL11" i="2"/>
  <c r="CH11" i="2"/>
  <c r="CD11" i="2"/>
  <c r="BZ11" i="2"/>
  <c r="BV11" i="2"/>
  <c r="BR11" i="2"/>
  <c r="BN11" i="2"/>
  <c r="BJ11" i="2"/>
  <c r="BF11" i="2"/>
  <c r="BB11" i="2"/>
  <c r="AX11" i="2"/>
  <c r="AT11" i="2"/>
  <c r="AP11" i="2"/>
  <c r="AL11" i="2"/>
  <c r="AH11" i="2"/>
  <c r="AD11" i="2"/>
  <c r="Z11" i="2"/>
  <c r="V11" i="2"/>
  <c r="R11" i="2"/>
  <c r="N11" i="2"/>
  <c r="J11" i="2"/>
  <c r="F11" i="2"/>
  <c r="DM11" i="2"/>
  <c r="CW11" i="2"/>
  <c r="CG11" i="2"/>
  <c r="BQ11" i="2"/>
  <c r="BA11" i="2"/>
  <c r="AK11" i="2"/>
  <c r="U11" i="2"/>
  <c r="E11" i="2"/>
  <c r="DQ11" i="2"/>
  <c r="DA11" i="2"/>
  <c r="BU11" i="2"/>
  <c r="BE11" i="2"/>
  <c r="AO11" i="2"/>
  <c r="Y11" i="2"/>
  <c r="I11" i="2"/>
  <c r="DI11" i="2"/>
  <c r="CS11" i="2"/>
  <c r="CC11" i="2"/>
  <c r="BM11" i="2"/>
  <c r="AW11" i="2"/>
  <c r="AG11" i="2"/>
  <c r="Q11" i="2"/>
  <c r="DE11" i="2"/>
  <c r="CO11" i="2"/>
  <c r="BY11" i="2"/>
  <c r="BI11" i="2"/>
  <c r="AS11" i="2"/>
  <c r="AC11" i="2"/>
  <c r="M11" i="2"/>
  <c r="CK11" i="2"/>
  <c r="Y45" i="6"/>
  <c r="Y44" i="6"/>
  <c r="F30" i="1"/>
  <c r="U6" i="6"/>
  <c r="V6" i="6" s="1"/>
  <c r="H22" i="1"/>
  <c r="G22" i="1"/>
  <c r="B18" i="1" s="1"/>
  <c r="B25" i="6"/>
  <c r="A25" i="6"/>
  <c r="Y9" i="6"/>
  <c r="G24" i="1"/>
  <c r="H24" i="1"/>
  <c r="Y19" i="6"/>
  <c r="W4" i="6" l="1"/>
  <c r="W5" i="6" s="1"/>
  <c r="W6" i="6" s="1"/>
  <c r="W7" i="6" s="1"/>
  <c r="W8" i="6" s="1"/>
  <c r="W9" i="6" s="1"/>
  <c r="W10" i="6" s="1"/>
  <c r="W11" i="6" s="1"/>
  <c r="W12" i="6" s="1"/>
  <c r="W13" i="6" s="1"/>
  <c r="W14" i="6" s="1"/>
  <c r="B16" i="1" s="1"/>
  <c r="U18" i="2"/>
  <c r="CG18" i="2"/>
  <c r="Y18" i="2"/>
  <c r="CK18" i="2"/>
  <c r="AC18" i="2"/>
  <c r="CO18" i="2"/>
  <c r="AW18" i="2"/>
  <c r="DI18" i="2"/>
  <c r="R18" i="2"/>
  <c r="AH18" i="2"/>
  <c r="AX18" i="2"/>
  <c r="BN18" i="2"/>
  <c r="CD18" i="2"/>
  <c r="CT18" i="2"/>
  <c r="DJ18" i="2"/>
  <c r="G18" i="2"/>
  <c r="W18" i="2"/>
  <c r="AM18" i="2"/>
  <c r="BC18" i="2"/>
  <c r="BS18" i="2"/>
  <c r="CI18" i="2"/>
  <c r="CY18" i="2"/>
  <c r="DO18" i="2"/>
  <c r="P18" i="2"/>
  <c r="AF18" i="2"/>
  <c r="AV18" i="2"/>
  <c r="BL18" i="2"/>
  <c r="CB18" i="2"/>
  <c r="CR18" i="2"/>
  <c r="DH18" i="2"/>
  <c r="X45" i="6"/>
  <c r="X46" i="6"/>
  <c r="X43" i="6"/>
  <c r="X44" i="6"/>
  <c r="X28" i="6"/>
  <c r="X29" i="6"/>
  <c r="X30" i="6"/>
  <c r="X31" i="6"/>
  <c r="A31" i="6"/>
  <c r="B31" i="6"/>
  <c r="B34" i="6"/>
  <c r="A34" i="6"/>
  <c r="AK18" i="2"/>
  <c r="CW18" i="2"/>
  <c r="AO18" i="2"/>
  <c r="DA18" i="2"/>
  <c r="AS18" i="2"/>
  <c r="DE18" i="2"/>
  <c r="BM18" i="2"/>
  <c r="F18" i="2"/>
  <c r="V18" i="2"/>
  <c r="AL18" i="2"/>
  <c r="BB18" i="2"/>
  <c r="BR18" i="2"/>
  <c r="CH18" i="2"/>
  <c r="CX18" i="2"/>
  <c r="DN18" i="2"/>
  <c r="K18" i="2"/>
  <c r="AA18" i="2"/>
  <c r="AQ18" i="2"/>
  <c r="BG18" i="2"/>
  <c r="BW18" i="2"/>
  <c r="CM18" i="2"/>
  <c r="DC18" i="2"/>
  <c r="D18" i="2"/>
  <c r="T18" i="2"/>
  <c r="AJ18" i="2"/>
  <c r="AZ18" i="2"/>
  <c r="BP18" i="2"/>
  <c r="CF18" i="2"/>
  <c r="CV18" i="2"/>
  <c r="DL18" i="2"/>
  <c r="X34" i="6"/>
  <c r="X36" i="6"/>
  <c r="X35" i="6"/>
  <c r="X33" i="6"/>
  <c r="X50" i="6"/>
  <c r="X51" i="6"/>
  <c r="X49" i="6"/>
  <c r="X48" i="6"/>
  <c r="B4" i="6"/>
  <c r="A4" i="6"/>
  <c r="A10" i="6"/>
  <c r="B10" i="6"/>
  <c r="BA18" i="2"/>
  <c r="DM18" i="2"/>
  <c r="BE18" i="2"/>
  <c r="DQ18" i="2"/>
  <c r="BI18" i="2"/>
  <c r="Q18" i="2"/>
  <c r="CC18" i="2"/>
  <c r="J18" i="2"/>
  <c r="Z18" i="2"/>
  <c r="AP18" i="2"/>
  <c r="BF18" i="2"/>
  <c r="BV18" i="2"/>
  <c r="CL18" i="2"/>
  <c r="DB18" i="2"/>
  <c r="DR18" i="2"/>
  <c r="O18" i="2"/>
  <c r="AE18" i="2"/>
  <c r="AU18" i="2"/>
  <c r="BK18" i="2"/>
  <c r="CA18" i="2"/>
  <c r="CQ18" i="2"/>
  <c r="DG18" i="2"/>
  <c r="H18" i="2"/>
  <c r="X18" i="2"/>
  <c r="AN18" i="2"/>
  <c r="BD18" i="2"/>
  <c r="BT18" i="2"/>
  <c r="CJ18" i="2"/>
  <c r="CZ18" i="2"/>
  <c r="DP18" i="2"/>
  <c r="X25" i="6"/>
  <c r="X26" i="6"/>
  <c r="X23" i="6"/>
  <c r="X24" i="6"/>
  <c r="X60" i="6"/>
  <c r="X61" i="6"/>
  <c r="X59" i="6"/>
  <c r="X58" i="6"/>
  <c r="AA3" i="6"/>
  <c r="B28" i="6"/>
  <c r="A28" i="6"/>
  <c r="E18" i="2"/>
  <c r="BQ18" i="2"/>
  <c r="I18" i="2"/>
  <c r="BU18" i="2"/>
  <c r="M18" i="2"/>
  <c r="BY18" i="2"/>
  <c r="AG18" i="2"/>
  <c r="CS18" i="2"/>
  <c r="N18" i="2"/>
  <c r="AD18" i="2"/>
  <c r="AT18" i="2"/>
  <c r="BJ18" i="2"/>
  <c r="BZ18" i="2"/>
  <c r="CP18" i="2"/>
  <c r="DF18" i="2"/>
  <c r="C18" i="2"/>
  <c r="S18" i="2"/>
  <c r="AI18" i="2"/>
  <c r="AY18" i="2"/>
  <c r="BO18" i="2"/>
  <c r="CE18" i="2"/>
  <c r="CU18" i="2"/>
  <c r="DK18" i="2"/>
  <c r="L18" i="2"/>
  <c r="AB18" i="2"/>
  <c r="AR18" i="2"/>
  <c r="BH18" i="2"/>
  <c r="BX18" i="2"/>
  <c r="CN18" i="2"/>
  <c r="DD18" i="2"/>
  <c r="X40" i="6"/>
  <c r="X41" i="6"/>
  <c r="X39" i="6"/>
  <c r="X38" i="6"/>
  <c r="X55" i="6"/>
  <c r="X56" i="6"/>
  <c r="X53" i="6"/>
  <c r="X54" i="6"/>
  <c r="AA4" i="6"/>
  <c r="R100" i="6" l="1"/>
  <c r="R99" i="6"/>
  <c r="R90" i="6"/>
  <c r="R89" i="6"/>
  <c r="R15" i="6"/>
  <c r="R16" i="6"/>
  <c r="R45" i="6"/>
  <c r="R46" i="6"/>
  <c r="R156" i="6"/>
  <c r="R155" i="6"/>
  <c r="R27" i="6"/>
  <c r="R28" i="6"/>
  <c r="R146" i="6"/>
  <c r="R145" i="6"/>
  <c r="R18" i="6"/>
  <c r="R17" i="6"/>
  <c r="R240" i="6"/>
  <c r="R239" i="6"/>
  <c r="R230" i="6"/>
  <c r="R229" i="6"/>
  <c r="R102" i="6"/>
  <c r="R101" i="6"/>
  <c r="R212" i="6"/>
  <c r="R211" i="6"/>
  <c r="R84" i="6"/>
  <c r="R83" i="6"/>
  <c r="R202" i="6"/>
  <c r="R201" i="6"/>
  <c r="R74" i="6"/>
  <c r="R73" i="6"/>
  <c r="R216" i="6"/>
  <c r="R215" i="6"/>
  <c r="R200" i="6"/>
  <c r="R199" i="6"/>
  <c r="R158" i="6"/>
  <c r="R157" i="6"/>
  <c r="R29" i="6"/>
  <c r="R30" i="6"/>
  <c r="R140" i="6"/>
  <c r="R139" i="6"/>
  <c r="R11" i="6"/>
  <c r="R12" i="6"/>
  <c r="R130" i="6"/>
  <c r="R129" i="6"/>
  <c r="R224" i="6"/>
  <c r="R223" i="6"/>
  <c r="R176" i="6"/>
  <c r="R175" i="6"/>
  <c r="R214" i="6"/>
  <c r="R213" i="6"/>
  <c r="R86" i="6"/>
  <c r="R85" i="6"/>
  <c r="R196" i="6"/>
  <c r="R195" i="6"/>
  <c r="R68" i="6"/>
  <c r="R67" i="6"/>
  <c r="R186" i="6"/>
  <c r="R185" i="6"/>
  <c r="R57" i="6"/>
  <c r="R58" i="6"/>
  <c r="R152" i="6"/>
  <c r="R151" i="6"/>
  <c r="R136" i="6"/>
  <c r="R135" i="6"/>
  <c r="R142" i="6"/>
  <c r="R141" i="6"/>
  <c r="R13" i="6"/>
  <c r="R14" i="6"/>
  <c r="R124" i="6"/>
  <c r="R123" i="6"/>
  <c r="R242" i="6"/>
  <c r="R241" i="6"/>
  <c r="R114" i="6"/>
  <c r="R113" i="6"/>
  <c r="R160" i="6"/>
  <c r="R159" i="6"/>
  <c r="R112" i="6"/>
  <c r="R111" i="6"/>
  <c r="R198" i="6"/>
  <c r="R197" i="6"/>
  <c r="R70" i="6"/>
  <c r="R69" i="6"/>
  <c r="R180" i="6"/>
  <c r="R179" i="6"/>
  <c r="R52" i="6"/>
  <c r="R51" i="6"/>
  <c r="R170" i="6"/>
  <c r="R169" i="6"/>
  <c r="R42" i="6"/>
  <c r="R41" i="6"/>
  <c r="R88" i="6"/>
  <c r="R87" i="6"/>
  <c r="R72" i="6"/>
  <c r="R71" i="6"/>
  <c r="R126" i="6"/>
  <c r="R125" i="6"/>
  <c r="R236" i="6"/>
  <c r="R235" i="6"/>
  <c r="R108" i="6"/>
  <c r="R107" i="6"/>
  <c r="R226" i="6"/>
  <c r="R225" i="6"/>
  <c r="R98" i="6"/>
  <c r="R97" i="6"/>
  <c r="R96" i="6"/>
  <c r="R95" i="6"/>
  <c r="R47" i="6"/>
  <c r="R48" i="6"/>
  <c r="R118" i="6"/>
  <c r="R117" i="6"/>
  <c r="R222" i="6"/>
  <c r="R221" i="6"/>
  <c r="R94" i="6"/>
  <c r="R93" i="6"/>
  <c r="R204" i="6"/>
  <c r="R203" i="6"/>
  <c r="R76" i="6"/>
  <c r="R75" i="6"/>
  <c r="R194" i="6"/>
  <c r="R193" i="6"/>
  <c r="R66" i="6"/>
  <c r="R65" i="6"/>
  <c r="R184" i="6"/>
  <c r="R183" i="6"/>
  <c r="R168" i="6"/>
  <c r="R167" i="6"/>
  <c r="R228" i="6"/>
  <c r="R227" i="6"/>
  <c r="R218" i="6"/>
  <c r="R217" i="6"/>
  <c r="R64" i="6"/>
  <c r="R63" i="6"/>
  <c r="R174" i="6"/>
  <c r="R173" i="6"/>
  <c r="R182" i="6"/>
  <c r="R181" i="6"/>
  <c r="R54" i="6"/>
  <c r="R53" i="6"/>
  <c r="R164" i="6"/>
  <c r="R163" i="6"/>
  <c r="R35" i="6"/>
  <c r="R36" i="6"/>
  <c r="R154" i="6"/>
  <c r="R153" i="6"/>
  <c r="R25" i="6"/>
  <c r="R26" i="6"/>
  <c r="R24" i="6"/>
  <c r="R23" i="6"/>
  <c r="R8" i="6"/>
  <c r="R7" i="6"/>
  <c r="R238" i="6"/>
  <c r="R237" i="6"/>
  <c r="R110" i="6"/>
  <c r="R109" i="6"/>
  <c r="R220" i="6"/>
  <c r="R219" i="6"/>
  <c r="R92" i="6"/>
  <c r="R91" i="6"/>
  <c r="R210" i="6"/>
  <c r="R209" i="6"/>
  <c r="R82" i="6"/>
  <c r="R81" i="6"/>
  <c r="R31" i="6"/>
  <c r="R32" i="6"/>
  <c r="R232" i="6"/>
  <c r="R231" i="6"/>
  <c r="R166" i="6"/>
  <c r="R165" i="6"/>
  <c r="R37" i="6"/>
  <c r="R38" i="6"/>
  <c r="R148" i="6"/>
  <c r="R147" i="6"/>
  <c r="R19" i="6"/>
  <c r="R20" i="6"/>
  <c r="R138" i="6"/>
  <c r="R137" i="6"/>
  <c r="R9" i="6"/>
  <c r="R10" i="6"/>
  <c r="R208" i="6"/>
  <c r="R207" i="6"/>
  <c r="R150" i="6"/>
  <c r="R149" i="6"/>
  <c r="R22" i="6"/>
  <c r="R21" i="6"/>
  <c r="R132" i="6"/>
  <c r="R131" i="6"/>
  <c r="R3" i="6"/>
  <c r="R4" i="6"/>
  <c r="B17" i="1"/>
  <c r="R122" i="6"/>
  <c r="R121" i="6"/>
  <c r="R192" i="6"/>
  <c r="R191" i="6"/>
  <c r="R144" i="6"/>
  <c r="R143" i="6"/>
  <c r="R206" i="6"/>
  <c r="R205" i="6"/>
  <c r="R78" i="6"/>
  <c r="R77" i="6"/>
  <c r="R188" i="6"/>
  <c r="R187" i="6"/>
  <c r="R59" i="6"/>
  <c r="R60" i="6"/>
  <c r="R178" i="6"/>
  <c r="R177" i="6"/>
  <c r="R49" i="6"/>
  <c r="R50" i="6"/>
  <c r="R120" i="6"/>
  <c r="R119" i="6"/>
  <c r="R104" i="6"/>
  <c r="R103" i="6"/>
  <c r="R134" i="6"/>
  <c r="R133" i="6"/>
  <c r="R5" i="6"/>
  <c r="R6" i="6"/>
  <c r="R116" i="6"/>
  <c r="R115" i="6"/>
  <c r="R234" i="6"/>
  <c r="R233" i="6"/>
  <c r="R106" i="6"/>
  <c r="R105" i="6"/>
  <c r="R128" i="6"/>
  <c r="R127" i="6"/>
  <c r="R80" i="6"/>
  <c r="R79" i="6"/>
  <c r="R190" i="6"/>
  <c r="R189" i="6"/>
  <c r="R62" i="6"/>
  <c r="R61" i="6"/>
  <c r="R172" i="6"/>
  <c r="R171" i="6"/>
  <c r="R44" i="6"/>
  <c r="R43" i="6"/>
  <c r="R162" i="6"/>
  <c r="R161" i="6"/>
  <c r="R33" i="6"/>
  <c r="R34" i="6"/>
  <c r="R55" i="6"/>
  <c r="R56" i="6"/>
  <c r="R39" i="6"/>
  <c r="R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Simulador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Elija de la lista: en línea, en V, bóxer, VR, radial o «Personalizado».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Solo para la opción «Personalizado» (1 a 12).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Solo para «Personalizado». Escriba los cilindros separados por guiones.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0° = cilindro 1 en el PMS al final de la compresión (salta la chispa). Pruebe 0 a 720 en pasos de 30° o del intervalo.</t>
        </r>
      </text>
    </comment>
  </commentList>
</comments>
</file>

<file path=xl/sharedStrings.xml><?xml version="1.0" encoding="utf-8"?>
<sst xmlns="http://schemas.openxmlformats.org/spreadsheetml/2006/main" count="558" uniqueCount="253">
  <si>
    <t>Simulador · Orden de encendido según el número y la disposición de los cilindros</t>
  </si>
  <si>
    <t>Sistemas del Funcionamiento del Motor (MA.02.06) · Unidad 1 · Elija la configuración y mueva el ángulo del cigüeñal; edite solo las celdas amarillas.</t>
  </si>
  <si>
    <t>Datos de entrada</t>
  </si>
  <si>
    <t>Valor</t>
  </si>
  <si>
    <t>Configuración del motor</t>
  </si>
  <si>
    <t>4 cilindros en línea (1-3-4-2)</t>
  </si>
  <si>
    <t>Personalizado: número de cilindros z</t>
  </si>
  <si>
    <t>Personalizado: orden de encendido</t>
  </si>
  <si>
    <t>1-3-4-2</t>
  </si>
  <si>
    <t>Ángulo del cigüeñal θ (°)</t>
  </si>
  <si>
    <t>Fila del catálogo</t>
  </si>
  <si>
    <t>Resultados</t>
  </si>
  <si>
    <t>Número de cilindros z</t>
  </si>
  <si>
    <t>Orden de encendido</t>
  </si>
  <si>
    <t>Disposición</t>
  </si>
  <si>
    <t>División del ciclo (intervalo teórico)</t>
  </si>
  <si>
    <t>Intervalos reales entre encendidos</t>
  </si>
  <si>
    <t>Cilindros en expansión al mismo tiempo</t>
  </si>
  <si>
    <t>Cilindro que está encendiendo o en expansión inicial</t>
  </si>
  <si>
    <t>Cilindro</t>
  </si>
  <si>
    <t>Bancada</t>
  </si>
  <si>
    <t>Eje del cilindro β (°)</t>
  </si>
  <si>
    <t>Encendido a (° de cigüeñal)</t>
  </si>
  <si>
    <t>Muñequilla a θ = 0° (°)</t>
  </si>
  <si>
    <t>Muñequilla a θ (°)</t>
  </si>
  <si>
    <t>Tiempo en θ</t>
  </si>
  <si>
    <t>Pistón</t>
  </si>
  <si>
    <t>φ (°)</t>
  </si>
  <si>
    <t>Cigüeñal visto de lado, en el plano de la muñequilla 1: la línea gris son los apoyos de bancada y cada codo es el brazo y la muñequilla de un cilindro. Entre paréntesis, el ángulo de cada muñequilla (vista frontal, θ = 0°).</t>
  </si>
  <si>
    <t>Dibujo en perspectiva oblicua: las muñequillas a 90° de la n.º 1 quedan a media altura (arriba si van adelantadas, abajo si van retrasadas). Compárelo con la vista frontal para reconocer la forma del cigüeñal (plano, cruciforme, a 120°, a 72°…).</t>
  </si>
  <si>
    <t>β = ángulo del eje del cilindro visto de frente (sentido horario desde la vertical). El pistón está en el PMS cuando su muñequilla apunta a su eje. φ = posición del cilindro dentro de su ciclo de 720°.</t>
  </si>
  <si>
    <t>El diagrama de fases completo (tipo tabla del libro) está en la hoja «Diagrama de fases».</t>
  </si>
  <si>
    <t>Diagrama de fases del orden de encendido (cada columna = 6° de cigüeñal)</t>
  </si>
  <si>
    <t>0°</t>
  </si>
  <si>
    <t>90°</t>
  </si>
  <si>
    <t>180°</t>
  </si>
  <si>
    <t>270°</t>
  </si>
  <si>
    <t>360°</t>
  </si>
  <si>
    <t>450°</t>
  </si>
  <si>
    <t>540°</t>
  </si>
  <si>
    <t>630°</t>
  </si>
  <si>
    <t>720°</t>
  </si>
  <si>
    <t>Encendido (°)</t>
  </si>
  <si>
    <t>En expansión</t>
  </si>
  <si>
    <t>Posición de θ</t>
  </si>
  <si>
    <t>EX = expansión (trabajo) · E = escape · A = admisión · C = compresión. La letra aparece al comienzo de cada tiempo; la columna «Encendido» indica el ángulo del cigüeñal en que salta la chispa en cada cilindro.</t>
  </si>
  <si>
    <t>Las celdas rosadas de la fila «En expansión» señalan tramos sin ningún cilindro produciendo trabajo.</t>
  </si>
  <si>
    <t>Resumen · intervalos de encendido por número y disposición de cilindros</t>
  </si>
  <si>
    <t>Valores calculados para todas las configuraciones del simulador.</t>
  </si>
  <si>
    <t>Configuración</t>
  </si>
  <si>
    <t>Cilindros</t>
  </si>
  <si>
    <t>División 720°/z</t>
  </si>
  <si>
    <t>Intervalos reales (°)</t>
  </si>
  <si>
    <t>Cilindros en expansión a la vez</t>
  </si>
  <si>
    <t>Observación</t>
  </si>
  <si>
    <t>1 cilindro (monocilíndrico)</t>
  </si>
  <si>
    <t>1</t>
  </si>
  <si>
    <t>En línea</t>
  </si>
  <si>
    <t>720 (regular)</t>
  </si>
  <si>
    <t>0 a 1</t>
  </si>
  <si>
    <t>Un solo encendido cada 720°: tres tiempos sin trabajo; necesita un volante grande.</t>
  </si>
  <si>
    <t>2 cilindros en línea (cigüeñal a 360°)</t>
  </si>
  <si>
    <t>1-2</t>
  </si>
  <si>
    <t>360 (regular)</t>
  </si>
  <si>
    <t>Las dos muñequillas están juntas: los pistones suben y bajan a la vez y se alternan los tiempos. Intervalo regular de 360°.</t>
  </si>
  <si>
    <t>2 cilindros en línea (cigüeñal a 180°)</t>
  </si>
  <si>
    <t>180, 540 (irregular)</t>
  </si>
  <si>
    <t>Muñequillas opuestas: mejor equilibrio de masas, pero encendidos irregulares (180° y 540°).</t>
  </si>
  <si>
    <t>2 cilindros horizontales opuestos (bóxer)</t>
  </si>
  <si>
    <t>Bóxer</t>
  </si>
  <si>
    <t>Cilindros enfrentados y muñequillas a 180°: los pistones se mueven en sentidos opuestos y las fuerzas de inercia se anulan. Intervalo de 360°.</t>
  </si>
  <si>
    <t>2 cilindros en V a 90°</t>
  </si>
  <si>
    <t>En V 90°</t>
  </si>
  <si>
    <t>270, 450 (irregular)</t>
  </si>
  <si>
    <t>Dos bielas en la misma muñequilla: encendidos a 450° y 270°, el sonido irregular típico de las motos en V.</t>
  </si>
  <si>
    <t>3 cilindros en línea (1-3-2)</t>
  </si>
  <si>
    <t>240°</t>
  </si>
  <si>
    <t>1-3-2</t>
  </si>
  <si>
    <t>240 (regular)</t>
  </si>
  <si>
    <t>Muñequillas a 120°. Intervalo de 240°: entre una expansión y la siguiente hay 60° sin trabajo.</t>
  </si>
  <si>
    <t>3 cilindros en línea (1-2-3)</t>
  </si>
  <si>
    <t>1-2-3</t>
  </si>
  <si>
    <t>Mismo intervalo de 240° con el orden inverso de las muñequillas.</t>
  </si>
  <si>
    <t>180 (regular)</t>
  </si>
  <si>
    <t>Muñequillas 1-4 arriba y 2-3 abajo. Intervalo de 180°: siempre hay un cilindro en expansión. Orden más usado.</t>
  </si>
  <si>
    <t>4 cilindros en línea (1-2-4-3)</t>
  </si>
  <si>
    <t>1-2-4-3</t>
  </si>
  <si>
    <t>Mismo cigüeñal; cambia el árbol de levas. Intervalo de 180°.</t>
  </si>
  <si>
    <t>4 cilindros bóxer (1-4-3-2, VW)</t>
  </si>
  <si>
    <t>1-4-3-2</t>
  </si>
  <si>
    <t>Cilindros 1-2 a la derecha y 3-4 a la izquierda (numeración VW). Intervalo de 180°.</t>
  </si>
  <si>
    <t>4 cilindros bóxer (1-3-2-4, Subaru)</t>
  </si>
  <si>
    <t>1-3-2-4</t>
  </si>
  <si>
    <t>Impares a la derecha y pares a la izquierda (numeración Subaru). Intervalo de 180°.</t>
  </si>
  <si>
    <t>5 cilindros en línea (1-2-4-5-3)</t>
  </si>
  <si>
    <t>144°</t>
  </si>
  <si>
    <t>1-2-4-5-3</t>
  </si>
  <si>
    <t>144 (regular)</t>
  </si>
  <si>
    <t>1 a 2</t>
  </si>
  <si>
    <t>Muñequillas a 72°. Intervalo de 144°: las expansiones se solapan 36°.</t>
  </si>
  <si>
    <t>6 cilindros en línea (1-5-3-6-2-4)</t>
  </si>
  <si>
    <t>120°</t>
  </si>
  <si>
    <t>1-5-3-6-2-4</t>
  </si>
  <si>
    <t>120 (regular)</t>
  </si>
  <si>
    <t>Muñequillas a 120° por parejas (1-6, 2-5, 3-4). Intervalo de 120°; equilibrio perfecto de fuerzas de 1.º y 2.º orden.</t>
  </si>
  <si>
    <t>6 cilindros en V a 60° (1-2-3-4-5-6)</t>
  </si>
  <si>
    <t>1-2-3-4-5-6</t>
  </si>
  <si>
    <t>En V 60°</t>
  </si>
  <si>
    <t>Impares en una bancada y pares en la otra; cada cilindro tiene su muñequilla. Intervalo de 120°.</t>
  </si>
  <si>
    <t>VR6 a 15° (1-5-3-6-2-4)</t>
  </si>
  <si>
    <t>VR 15°</t>
  </si>
  <si>
    <t>Dos filas casi paralelas en un bloque y una sola culata (VW). Intervalo de 120°.</t>
  </si>
  <si>
    <t>6 cilindros bóxer (1-6-2-4-3-5, Porsche)</t>
  </si>
  <si>
    <t>1-6-2-4-3-5</t>
  </si>
  <si>
    <t>Cilindros 1-2-3 en una bancada y 4-5-6 en la otra. Intervalo de 120°.</t>
  </si>
  <si>
    <t>8 cilindros en línea (1-6-2-5-8-3-7-4)</t>
  </si>
  <si>
    <t>1-6-2-5-8-3-7-4</t>
  </si>
  <si>
    <t>90 (regular)</t>
  </si>
  <si>
    <t>2</t>
  </si>
  <si>
    <t>Cigüeñal muy largo (motores de época y marinos). Intervalo de 90°.</t>
  </si>
  <si>
    <t>8 cilindros en V a 90° cruciforme (1-8-4-3-6-5-7-2)</t>
  </si>
  <si>
    <t>1-8-4-3-6-5-7-2</t>
  </si>
  <si>
    <t>Muñequillas a 90° en cruz, dos bielas por muñequilla (numeración GM: impares en una bancada). Intervalo de 90°.</t>
  </si>
  <si>
    <t>8 cilindros en V a 90° plano (1-5-3-7-4-8-2-6)</t>
  </si>
  <si>
    <t>1-5-3-7-4-8-2-6</t>
  </si>
  <si>
    <t>Cigüeñal plano a 180°: como dos motores de 4 en línea. Encendidos alternos entre bancadas (numeración Ferrari 1-4 y 5-8). Intervalo de 90°.</t>
  </si>
  <si>
    <t>10 cilindros en V a 90° (1-10-9-4-3-6-5-8-7-2)</t>
  </si>
  <si>
    <t>72°</t>
  </si>
  <si>
    <t>1-10-9-4-3-6-5-8-7-2</t>
  </si>
  <si>
    <t>72 (regular)</t>
  </si>
  <si>
    <t>2 a 3</t>
  </si>
  <si>
    <t>Intervalo de 72° (muñequillas desplazadas para encendido regular).</t>
  </si>
  <si>
    <t>12 cilindros en V a 60° (1-7-5-11-3-9-6-12-2-8-4-10)</t>
  </si>
  <si>
    <t>60°</t>
  </si>
  <si>
    <t>1-7-5-11-3-9-6-12-2-8-4-10</t>
  </si>
  <si>
    <t>60 (regular)</t>
  </si>
  <si>
    <t>3</t>
  </si>
  <si>
    <t>Dos motores de 6 en línea sobre un cigüeñal común; bancada 1-6 y 7-12. Intervalo de 60°: siempre hay 3 cilindros en expansión.</t>
  </si>
  <si>
    <t>Radial (estrella) de 5 cilindros (1-3-5-2-4)</t>
  </si>
  <si>
    <t>1-3-5-2-4</t>
  </si>
  <si>
    <t>Radial</t>
  </si>
  <si>
    <t>Cilindros en estrella a 72.0° alrededor de una sola muñequilla: el número impar permite encender uno sí y otro no. Intervalo de 144.0°.</t>
  </si>
  <si>
    <t>Radial (estrella) de 7 cilindros (1-3-5-7-2-4-6)</t>
  </si>
  <si>
    <t>102.9°</t>
  </si>
  <si>
    <t>1-3-5-7-2-4-6</t>
  </si>
  <si>
    <t>102.9 (regular)</t>
  </si>
  <si>
    <t>Cilindros en estrella a 51.4° alrededor de una sola muñequilla: el número impar permite encender uno sí y otro no. Intervalo de 102.9°.</t>
  </si>
  <si>
    <t>Radial (estrella) de 9 cilindros (1-3-5-7-9-2-4-6-8)</t>
  </si>
  <si>
    <t>80°</t>
  </si>
  <si>
    <t>1-3-5-7-9-2-4-6-8</t>
  </si>
  <si>
    <t>80 (regular)</t>
  </si>
  <si>
    <t>Cilindros en estrella a 40.0° alrededor de una sola muñequilla: el número impar permite encender uno sí y otro no. Intervalo de 80.0°.</t>
  </si>
  <si>
    <t>Simulador del orden de encendido</t>
  </si>
  <si>
    <t>Relaciona el número de cilindros, su disposición (en línea, en V, bóxer, VR y radial), la forma del cigüeñal y el orden de encendido, como en el tema «Formas del cigüeñal y tiempos de trabajo».</t>
  </si>
  <si>
    <t>Cómo se usa</t>
  </si>
  <si>
    <t>1. En B5 elija la configuración. La hoja muestra la división 720°/z, los intervalos reales (algunos motores, como el 2 en V o el 2 en línea a 180°, encienden de forma irregular) y cuántos cilindros trabajan a la vez.</t>
  </si>
  <si>
    <t>2. El diagrama de fases reproduce las tablas del libro (EX, E, A, C) con una columna cada 6°: cada fila es un cilindro y se ve el desfase de 720°/z entre encendidos sucesivos.</t>
  </si>
  <si>
    <t>3. Cambie θ (B8) en pasos de 30° o del intervalo: la tabla indica el tiempo y la posición de cada pistón, el gráfico de muñequillas gira y el triángulo rojo marca θ en el diagrama. Un pistón está en el PMS cuando su muñequilla coincide con el eje discontinuo de su cilindro.</t>
  </si>
  <si>
    <t>4. «Personalizado» permite escribir cualquier número de cilindros (1 a 12) y cualquier orden para un motor en línea, por ejemplo para comprobar el orden de un motor del taller.</t>
  </si>
  <si>
    <t>Actividades</t>
  </si>
  <si>
    <t>• Compare el 4 en línea 1-3-4-2 con el 1-2-4-3: el cigüeñal es el mismo y solo cambia el árbol de levas.</t>
  </si>
  <si>
    <t>• Compare los dos V8 (cruciforme y plano) y el 2 en línea a 360° y a 180°: ¿por qué uno es regular y el otro no?</t>
  </si>
  <si>
    <t>• Observe la fila «Cilindros en expansión»: con 3 cilindros hay tramos sin trabajo; con 6 o más siempre se solapan expansiones (motor más suave).</t>
  </si>
  <si>
    <t>• En los radiales, explique por qué el número de cilindros es impar.</t>
  </si>
  <si>
    <t>Notas</t>
  </si>
  <si>
    <t>Las numeraciones de cilindros siguen la convención indicada en cada configuración (GM, VW, Subaru, Porsche, Ferrari); otros fabricantes numeran distinto: consulte siempre el manual. Fuente de referencia: González Calleja, D. (2018). Motores (2.ª ed.). Paraninfo.</t>
  </si>
  <si>
    <t>Catálogo de configuraciones (no editar; la fila «Personalizado» toma los datos de la hoja Simulador)</t>
  </si>
  <si>
    <t>Cilindros z</t>
  </si>
  <si>
    <t>Ángulo entre bancadas (°)</t>
  </si>
  <si>
    <t>Descripción</t>
  </si>
  <si>
    <t>C1 bancada</t>
  </si>
  <si>
    <t>C1 eje β (°)</t>
  </si>
  <si>
    <t>C1 encendido (°)</t>
  </si>
  <si>
    <t>C1 x</t>
  </si>
  <si>
    <t>C1 y</t>
  </si>
  <si>
    <t>C2 bancada</t>
  </si>
  <si>
    <t>C2 eje β (°)</t>
  </si>
  <si>
    <t>C2 encendido (°)</t>
  </si>
  <si>
    <t>C2 x</t>
  </si>
  <si>
    <t>C2 y</t>
  </si>
  <si>
    <t>C3 bancada</t>
  </si>
  <si>
    <t>C3 eje β (°)</t>
  </si>
  <si>
    <t>C3 encendido (°)</t>
  </si>
  <si>
    <t>C3 x</t>
  </si>
  <si>
    <t>C3 y</t>
  </si>
  <si>
    <t>C4 bancada</t>
  </si>
  <si>
    <t>C4 eje β (°)</t>
  </si>
  <si>
    <t>C4 encendido (°)</t>
  </si>
  <si>
    <t>C4 x</t>
  </si>
  <si>
    <t>C4 y</t>
  </si>
  <si>
    <t>C5 bancada</t>
  </si>
  <si>
    <t>C5 eje β (°)</t>
  </si>
  <si>
    <t>C5 encendido (°)</t>
  </si>
  <si>
    <t>C5 x</t>
  </si>
  <si>
    <t>C5 y</t>
  </si>
  <si>
    <t>C6 bancada</t>
  </si>
  <si>
    <t>C6 eje β (°)</t>
  </si>
  <si>
    <t>C6 encendido (°)</t>
  </si>
  <si>
    <t>C6 x</t>
  </si>
  <si>
    <t>C6 y</t>
  </si>
  <si>
    <t>C7 bancada</t>
  </si>
  <si>
    <t>C7 eje β (°)</t>
  </si>
  <si>
    <t>C7 encendido (°)</t>
  </si>
  <si>
    <t>C7 x</t>
  </si>
  <si>
    <t>C7 y</t>
  </si>
  <si>
    <t>C8 bancada</t>
  </si>
  <si>
    <t>C8 eje β (°)</t>
  </si>
  <si>
    <t>C8 encendido (°)</t>
  </si>
  <si>
    <t>C8 x</t>
  </si>
  <si>
    <t>C8 y</t>
  </si>
  <si>
    <t>C9 bancada</t>
  </si>
  <si>
    <t>C9 eje β (°)</t>
  </si>
  <si>
    <t>C9 encendido (°)</t>
  </si>
  <si>
    <t>C9 x</t>
  </si>
  <si>
    <t>C9 y</t>
  </si>
  <si>
    <t>C10 bancada</t>
  </si>
  <si>
    <t>C10 eje β (°)</t>
  </si>
  <si>
    <t>C10 encendido (°)</t>
  </si>
  <si>
    <t>C10 x</t>
  </si>
  <si>
    <t>C10 y</t>
  </si>
  <si>
    <t>C11 bancada</t>
  </si>
  <si>
    <t>C11 eje β (°)</t>
  </si>
  <si>
    <t>C11 encendido (°)</t>
  </si>
  <si>
    <t>C11 x</t>
  </si>
  <si>
    <t>C11 y</t>
  </si>
  <si>
    <t>C12 bancada</t>
  </si>
  <si>
    <t>C12 eje β (°)</t>
  </si>
  <si>
    <t>C12 encendido (°)</t>
  </si>
  <si>
    <t>C12 x</t>
  </si>
  <si>
    <t>C12 y</t>
  </si>
  <si>
    <t>-</t>
  </si>
  <si>
    <t>B</t>
  </si>
  <si>
    <t>A</t>
  </si>
  <si>
    <t>En V</t>
  </si>
  <si>
    <t>VR</t>
  </si>
  <si>
    <t>Personalizado (en línea, escriba z y el orden)</t>
  </si>
  <si>
    <t>Motor en línea definido por el usuario: el intervalo es 720°/z y el orden se toma de la celda B7 del simulador.</t>
  </si>
  <si>
    <t>Análisis del orden personalizado: cilindro en cada posición</t>
  </si>
  <si>
    <t>Datos de los gráficos (no editar)</t>
  </si>
  <si>
    <t>Muñequilla x</t>
  </si>
  <si>
    <t>y</t>
  </si>
  <si>
    <t>Nombre</t>
  </si>
  <si>
    <t>Eje x</t>
  </si>
  <si>
    <t>Eje y</t>
  </si>
  <si>
    <t>Círculo x</t>
  </si>
  <si>
    <t>Esquema x</t>
  </si>
  <si>
    <t>Cigüeñal x</t>
  </si>
  <si>
    <t>θ (°)</t>
  </si>
  <si>
    <t>Cil. en expansión</t>
  </si>
  <si>
    <t>Encendidos ordenados</t>
  </si>
  <si>
    <t>Intervalo</t>
  </si>
  <si>
    <t>Texto</t>
  </si>
  <si>
    <t>Posición axial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</si>
</sst>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"/>
  </numFmts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b/>
      <sz val="14"/>
      <color rgb="FF1F3A5F"/>
      <name val="Arial"/>
    </font>
    <font>
      <i/>
      <sz val="9"/>
      <color rgb="FF595959"/>
      <name val="Arial"/>
    </font>
    <font>
      <sz val="11"/>
      <name val="Arial"/>
    </font>
    <font>
      <b/>
      <sz val="11"/>
      <color rgb="FF0000FF"/>
      <name val="Arial"/>
    </font>
    <font>
      <sz val="8"/>
      <color rgb="FF8C8C8C"/>
      <name val="Arial"/>
    </font>
    <font>
      <b/>
      <sz val="11"/>
      <color rgb="FF1F3A5F"/>
      <name val="Arial"/>
    </font>
    <font>
      <i/>
      <sz val="11"/>
      <color rgb="FF595959"/>
      <name val="Arial"/>
    </font>
    <font>
      <b/>
      <sz val="11"/>
      <color rgb="FFC0392B"/>
      <name val="Arial"/>
    </font>
    <font>
      <i/>
      <sz val="10"/>
      <color rgb="FF595959"/>
      <name val="Arial"/>
    </font>
    <font>
      <sz val="7"/>
      <color rgb="FF595959"/>
      <name val="Arial"/>
    </font>
    <font>
      <sz val="6"/>
      <color rgb="FFFFFFFF"/>
      <name val="Arial"/>
    </font>
    <font>
      <b/>
      <sz val="8"/>
      <name val="Arial"/>
    </font>
    <font>
      <b/>
      <sz val="9"/>
      <color rgb="FFC0392B"/>
      <name val="Arial"/>
    </font>
    <font>
      <sz val="8"/>
      <color rgb="FF595959"/>
      <name val="Arial"/>
    </font>
    <font>
      <b/>
      <sz val="6"/>
      <name val="Arial"/>
    </font>
    <font>
      <b/>
      <sz val="9"/>
      <name val="Arial"/>
    </font>
    <font>
      <sz val="6"/>
      <name val="Arial"/>
    </font>
    <font>
      <sz val="9"/>
      <color rgb="FFC0392B"/>
      <name val="Arial"/>
    </font>
    <font>
      <i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center"/>
    </xf>
    <xf numFmtId="0" fontId="10" fillId="0" borderId="0" xfId="0" applyFont="1"/>
    <xf numFmtId="0" fontId="7" fillId="0" borderId="0" xfId="0" applyFont="1"/>
    <xf numFmtId="0" fontId="2" fillId="4" borderId="1" xfId="0" applyFont="1" applyFill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12" fillId="0" borderId="0" xfId="0" applyFont="1"/>
    <xf numFmtId="0" fontId="13" fillId="0" borderId="0" xfId="0" applyFont="1"/>
    <xf numFmtId="0" fontId="2" fillId="0" borderId="0" xfId="0" applyFont="1"/>
    <xf numFmtId="164" fontId="16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15" fillId="0" borderId="0" xfId="0" applyFont="1"/>
    <xf numFmtId="0" fontId="21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8" fillId="4" borderId="1" xfId="0" applyFont="1" applyFill="1" applyBorder="1" applyAlignment="1">
      <alignment horizontal="left"/>
    </xf>
    <xf numFmtId="0" fontId="0" fillId="0" borderId="0" xfId="0"/>
    <xf numFmtId="0" fontId="9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6" fillId="3" borderId="1" xfId="0" applyFont="1" applyFill="1" applyBorder="1" applyAlignment="1">
      <alignment horizontal="left"/>
    </xf>
  </cellXfs>
  <cellStyles count="1">
    <cellStyle name="Normal" xfId="0" builtinId="0"/>
  </cellStyles>
  <dxfs count="10">
    <dxf>
      <fill>
        <patternFill patternType="solid">
          <fgColor rgb="FFFCE4D6"/>
          <bgColor rgb="FFFCE4D6"/>
        </patternFill>
      </fill>
    </dxf>
    <dxf>
      <font>
        <color rgb="FF2E9E44"/>
      </font>
      <fill>
        <patternFill patternType="solid">
          <fgColor rgb="FF2E9E44"/>
          <bgColor rgb="FF2E9E44"/>
        </patternFill>
      </fill>
    </dxf>
    <dxf>
      <font>
        <color rgb="FF1F4FD8"/>
      </font>
      <fill>
        <patternFill patternType="solid">
          <fgColor rgb="FF1F4FD8"/>
          <bgColor rgb="FF1F4FD8"/>
        </patternFill>
      </fill>
    </dxf>
    <dxf>
      <font>
        <color rgb="FF8C8C8C"/>
      </font>
      <fill>
        <patternFill patternType="solid">
          <fgColor rgb="FF8C8C8C"/>
          <bgColor rgb="FF8C8C8C"/>
        </patternFill>
      </fill>
    </dxf>
    <dxf>
      <font>
        <color rgb="FFD7301F"/>
      </font>
      <fill>
        <patternFill patternType="solid">
          <fgColor rgb="FFD7301F"/>
          <bgColor rgb="FFD7301F"/>
        </patternFill>
      </fill>
    </dxf>
    <dxf>
      <font>
        <b/>
        <color rgb="FFFFFFFF"/>
      </font>
      <fill>
        <patternFill patternType="solid">
          <fgColor rgb="FF2E9E44"/>
          <bgColor rgb="FF2E9E44"/>
        </patternFill>
      </fill>
    </dxf>
    <dxf>
      <font>
        <b/>
        <color rgb="FFFFFFFF"/>
      </font>
      <fill>
        <patternFill patternType="solid">
          <fgColor rgb="FF1F4FD8"/>
          <bgColor rgb="FF1F4FD8"/>
        </patternFill>
      </fill>
    </dxf>
    <dxf>
      <font>
        <b/>
        <color rgb="FFFFFFFF"/>
      </font>
      <fill>
        <patternFill patternType="solid">
          <fgColor rgb="FF8C8C8C"/>
          <bgColor rgb="FF8C8C8C"/>
        </patternFill>
      </fill>
    </dxf>
    <dxf>
      <font>
        <b/>
        <color rgb="FFFFFFFF"/>
      </font>
      <fill>
        <patternFill patternType="solid">
          <fgColor rgb="FFD7301F"/>
          <bgColor rgb="FFD7301F"/>
        </patternFill>
      </fill>
    </dxf>
    <dxf>
      <fill>
        <patternFill patternType="solid">
          <fgColor rgb="FFFFE699"/>
          <bgColor rgb="FFFFE6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Muñequillas del cigüeñal vistas de frente (en </a:t>
            </a:r>
            <a:r>
              <a:rPr lang="el-GR"/>
              <a:t>θ)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Ejes de los cilindros</c:v>
          </c:tx>
          <c:spPr>
            <a:ln w="15875">
              <a:solidFill>
                <a:srgbClr val="A6A6A6"/>
              </a:solidFill>
              <a:prstDash val="dash"/>
            </a:ln>
          </c:spPr>
          <c:marker>
            <c:symbol val="none"/>
          </c:marker>
          <c:xVal>
            <c:numRef>
              <c:f>'Datos gráficos'!$E$3:$E$38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'Datos gráficos'!$F$3:$F$38</c:f>
              <c:numCache>
                <c:formatCode>General</c:formatCode>
                <c:ptCount val="36"/>
                <c:pt idx="0">
                  <c:v>0</c:v>
                </c:pt>
                <c:pt idx="1">
                  <c:v>1.4</c:v>
                </c:pt>
                <c:pt idx="3">
                  <c:v>0</c:v>
                </c:pt>
                <c:pt idx="4">
                  <c:v>1.4</c:v>
                </c:pt>
                <c:pt idx="6">
                  <c:v>0</c:v>
                </c:pt>
                <c:pt idx="7">
                  <c:v>1.4</c:v>
                </c:pt>
                <c:pt idx="9">
                  <c:v>0</c:v>
                </c:pt>
                <c:pt idx="10">
                  <c:v>1.4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1-4773-B532-F410DFD84010}"/>
            </c:ext>
          </c:extLst>
        </c:ser>
        <c:ser>
          <c:idx val="1"/>
          <c:order val="1"/>
          <c:tx>
            <c:v>Giro de la muñequilla</c:v>
          </c:tx>
          <c:spPr>
            <a:ln>
              <a:solidFill>
                <a:srgbClr val="D9D9D9"/>
              </a:solidFill>
              <a:prstDash val="solid"/>
            </a:ln>
          </c:spPr>
          <c:marker>
            <c:symbol val="none"/>
          </c:marker>
          <c:xVal>
            <c:numRef>
              <c:f>'Datos gráficos'!$H$3:$H$39</c:f>
              <c:numCache>
                <c:formatCode>General</c:formatCode>
                <c:ptCount val="37"/>
                <c:pt idx="0">
                  <c:v>0</c:v>
                </c:pt>
                <c:pt idx="1">
                  <c:v>0.1736</c:v>
                </c:pt>
                <c:pt idx="2">
                  <c:v>0.34200000000000003</c:v>
                </c:pt>
                <c:pt idx="3">
                  <c:v>0.5</c:v>
                </c:pt>
                <c:pt idx="4">
                  <c:v>0.64280000000000004</c:v>
                </c:pt>
                <c:pt idx="5">
                  <c:v>0.76600000000000001</c:v>
                </c:pt>
                <c:pt idx="6">
                  <c:v>0.86599999999999999</c:v>
                </c:pt>
                <c:pt idx="7">
                  <c:v>0.93969999999999998</c:v>
                </c:pt>
                <c:pt idx="8">
                  <c:v>0.98480000000000001</c:v>
                </c:pt>
                <c:pt idx="9">
                  <c:v>1</c:v>
                </c:pt>
                <c:pt idx="10">
                  <c:v>0.98480000000000001</c:v>
                </c:pt>
                <c:pt idx="11">
                  <c:v>0.93969999999999998</c:v>
                </c:pt>
                <c:pt idx="12">
                  <c:v>0.86599999999999999</c:v>
                </c:pt>
                <c:pt idx="13">
                  <c:v>0.76600000000000001</c:v>
                </c:pt>
                <c:pt idx="14">
                  <c:v>0.64280000000000004</c:v>
                </c:pt>
                <c:pt idx="15">
                  <c:v>0.5</c:v>
                </c:pt>
                <c:pt idx="16">
                  <c:v>0.34200000000000003</c:v>
                </c:pt>
                <c:pt idx="17">
                  <c:v>0.1736</c:v>
                </c:pt>
                <c:pt idx="18">
                  <c:v>0</c:v>
                </c:pt>
                <c:pt idx="19">
                  <c:v>-0.1736</c:v>
                </c:pt>
                <c:pt idx="20">
                  <c:v>-0.34200000000000003</c:v>
                </c:pt>
                <c:pt idx="21">
                  <c:v>-0.5</c:v>
                </c:pt>
                <c:pt idx="22">
                  <c:v>-0.64280000000000004</c:v>
                </c:pt>
                <c:pt idx="23">
                  <c:v>-0.76600000000000001</c:v>
                </c:pt>
                <c:pt idx="24">
                  <c:v>-0.86599999999999999</c:v>
                </c:pt>
                <c:pt idx="25">
                  <c:v>-0.93969999999999998</c:v>
                </c:pt>
                <c:pt idx="26">
                  <c:v>-0.98480000000000001</c:v>
                </c:pt>
                <c:pt idx="27">
                  <c:v>-1</c:v>
                </c:pt>
                <c:pt idx="28">
                  <c:v>-0.98480000000000001</c:v>
                </c:pt>
                <c:pt idx="29">
                  <c:v>-0.93969999999999998</c:v>
                </c:pt>
                <c:pt idx="30">
                  <c:v>-0.86599999999999999</c:v>
                </c:pt>
                <c:pt idx="31">
                  <c:v>-0.76600000000000001</c:v>
                </c:pt>
                <c:pt idx="32">
                  <c:v>-0.64280000000000004</c:v>
                </c:pt>
                <c:pt idx="33">
                  <c:v>-0.5</c:v>
                </c:pt>
                <c:pt idx="34">
                  <c:v>-0.34200000000000003</c:v>
                </c:pt>
                <c:pt idx="35">
                  <c:v>-0.1736</c:v>
                </c:pt>
                <c:pt idx="36">
                  <c:v>0</c:v>
                </c:pt>
              </c:numCache>
            </c:numRef>
          </c:xVal>
          <c:yVal>
            <c:numRef>
              <c:f>'Datos gráficos'!$I$3:$I$39</c:f>
              <c:numCache>
                <c:formatCode>General</c:formatCode>
                <c:ptCount val="37"/>
                <c:pt idx="0">
                  <c:v>1</c:v>
                </c:pt>
                <c:pt idx="1">
                  <c:v>0.98480000000000001</c:v>
                </c:pt>
                <c:pt idx="2">
                  <c:v>0.93969999999999998</c:v>
                </c:pt>
                <c:pt idx="3">
                  <c:v>0.86599999999999999</c:v>
                </c:pt>
                <c:pt idx="4">
                  <c:v>0.76600000000000001</c:v>
                </c:pt>
                <c:pt idx="5">
                  <c:v>0.64280000000000004</c:v>
                </c:pt>
                <c:pt idx="6">
                  <c:v>0.5</c:v>
                </c:pt>
                <c:pt idx="7">
                  <c:v>0.34200000000000003</c:v>
                </c:pt>
                <c:pt idx="8">
                  <c:v>0.1736</c:v>
                </c:pt>
                <c:pt idx="9">
                  <c:v>0</c:v>
                </c:pt>
                <c:pt idx="10">
                  <c:v>-0.1736</c:v>
                </c:pt>
                <c:pt idx="11">
                  <c:v>-0.34200000000000003</c:v>
                </c:pt>
                <c:pt idx="12">
                  <c:v>-0.5</c:v>
                </c:pt>
                <c:pt idx="13">
                  <c:v>-0.64280000000000004</c:v>
                </c:pt>
                <c:pt idx="14">
                  <c:v>-0.76600000000000001</c:v>
                </c:pt>
                <c:pt idx="15">
                  <c:v>-0.86599999999999999</c:v>
                </c:pt>
                <c:pt idx="16">
                  <c:v>-0.93969999999999998</c:v>
                </c:pt>
                <c:pt idx="17">
                  <c:v>-0.98480000000000001</c:v>
                </c:pt>
                <c:pt idx="18">
                  <c:v>-1</c:v>
                </c:pt>
                <c:pt idx="19">
                  <c:v>-0.98480000000000001</c:v>
                </c:pt>
                <c:pt idx="20">
                  <c:v>-0.93969999999999998</c:v>
                </c:pt>
                <c:pt idx="21">
                  <c:v>-0.86599999999999999</c:v>
                </c:pt>
                <c:pt idx="22">
                  <c:v>-0.76600000000000001</c:v>
                </c:pt>
                <c:pt idx="23">
                  <c:v>-0.64280000000000004</c:v>
                </c:pt>
                <c:pt idx="24">
                  <c:v>-0.5</c:v>
                </c:pt>
                <c:pt idx="25">
                  <c:v>-0.34200000000000003</c:v>
                </c:pt>
                <c:pt idx="26">
                  <c:v>-0.1736</c:v>
                </c:pt>
                <c:pt idx="27">
                  <c:v>0</c:v>
                </c:pt>
                <c:pt idx="28">
                  <c:v>0.1736</c:v>
                </c:pt>
                <c:pt idx="29">
                  <c:v>0.34200000000000003</c:v>
                </c:pt>
                <c:pt idx="30">
                  <c:v>0.5</c:v>
                </c:pt>
                <c:pt idx="31">
                  <c:v>0.64280000000000004</c:v>
                </c:pt>
                <c:pt idx="32">
                  <c:v>0.76600000000000001</c:v>
                </c:pt>
                <c:pt idx="33">
                  <c:v>0.86599999999999999</c:v>
                </c:pt>
                <c:pt idx="34">
                  <c:v>0.93969999999999998</c:v>
                </c:pt>
                <c:pt idx="35">
                  <c:v>0.98480000000000001</c:v>
                </c:pt>
                <c:pt idx="3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11-4773-B532-F410DFD84010}"/>
            </c:ext>
          </c:extLst>
        </c:ser>
        <c:ser>
          <c:idx val="2"/>
          <c:order val="2"/>
          <c:tx>
            <c:strRef>
              <c:f>'Datos gráficos'!$C$3</c:f>
              <c:strCache>
                <c:ptCount val="1"/>
                <c:pt idx="0">
                  <c:v>1</c:v>
                </c:pt>
              </c:strCache>
            </c:strRef>
          </c:tx>
          <c:spPr>
            <a:ln w="44450">
              <a:solidFill>
                <a:srgbClr val="D7301F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gráficos'!$A$3:$A$4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gráficos'!$B$3:$B$4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11-4773-B532-F410DFD84010}"/>
            </c:ext>
          </c:extLst>
        </c:ser>
        <c:ser>
          <c:idx val="3"/>
          <c:order val="3"/>
          <c:tx>
            <c:strRef>
              <c:f>'Datos gráficos'!$C$6</c:f>
              <c:strCache>
                <c:ptCount val="1"/>
                <c:pt idx="0">
                  <c:v>2</c:v>
                </c:pt>
              </c:strCache>
            </c:strRef>
          </c:tx>
          <c:spPr>
            <a:ln w="44450">
              <a:solidFill>
                <a:srgbClr val="1F4FD8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gráficos'!$A$6:$A$7</c:f>
              <c:numCache>
                <c:formatCode>General</c:formatCode>
                <c:ptCount val="2"/>
                <c:pt idx="0">
                  <c:v>0</c:v>
                </c:pt>
                <c:pt idx="1">
                  <c:v>1.22514845490862E-16</c:v>
                </c:pt>
              </c:numCache>
            </c:numRef>
          </c:xVal>
          <c:yVal>
            <c:numRef>
              <c:f>'Datos gráficos'!$B$6:$B$7</c:f>
              <c:numCache>
                <c:formatCode>General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11-4773-B532-F410DFD84010}"/>
            </c:ext>
          </c:extLst>
        </c:ser>
        <c:ser>
          <c:idx val="4"/>
          <c:order val="4"/>
          <c:tx>
            <c:strRef>
              <c:f>'Datos gráficos'!$C$9</c:f>
              <c:strCache>
                <c:ptCount val="1"/>
                <c:pt idx="0">
                  <c:v>3</c:v>
                </c:pt>
              </c:strCache>
            </c:strRef>
          </c:tx>
          <c:spPr>
            <a:ln w="44450">
              <a:solidFill>
                <a:srgbClr val="2E9E44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gráficos'!$A$9:$A$10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gráficos'!$B$9:$B$10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11-4773-B532-F410DFD84010}"/>
            </c:ext>
          </c:extLst>
        </c:ser>
        <c:ser>
          <c:idx val="5"/>
          <c:order val="5"/>
          <c:tx>
            <c:strRef>
              <c:f>'Datos gráficos'!$C$12</c:f>
              <c:strCache>
                <c:ptCount val="1"/>
                <c:pt idx="0">
                  <c:v>4</c:v>
                </c:pt>
              </c:strCache>
            </c:strRef>
          </c:tx>
          <c:spPr>
            <a:ln w="44450">
              <a:solidFill>
                <a:srgbClr val="E8501E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gráficos'!$A$12:$A$13</c:f>
              <c:numCache>
                <c:formatCode>General</c:formatCode>
                <c:ptCount val="2"/>
                <c:pt idx="0">
                  <c:v>0</c:v>
                </c:pt>
                <c:pt idx="1">
                  <c:v>1.22514845490862E-16</c:v>
                </c:pt>
              </c:numCache>
            </c:numRef>
          </c:xVal>
          <c:yVal>
            <c:numRef>
              <c:f>'Datos gráficos'!$B$12:$B$13</c:f>
              <c:numCache>
                <c:formatCode>General</c:formatCode>
                <c:ptCount val="2"/>
                <c:pt idx="0">
                  <c:v>0</c:v>
                </c:pt>
                <c:pt idx="1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C11-4773-B532-F410DFD84010}"/>
            </c:ext>
          </c:extLst>
        </c:ser>
        <c:ser>
          <c:idx val="6"/>
          <c:order val="6"/>
          <c:tx>
            <c:strRef>
              <c:f>'Datos gráficos'!$C$15</c:f>
              <c:strCache>
                <c:ptCount val="1"/>
                <c:pt idx="0">
                  <c:v> </c:v>
                </c:pt>
              </c:strCache>
            </c:strRef>
          </c:tx>
          <c:spPr>
            <a:ln w="44450">
              <a:solidFill>
                <a:srgbClr val="7B2FA8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gráficos'!$A$15:$A$16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gráficos'!$B$15:$B$16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C11-4773-B532-F410DFD84010}"/>
            </c:ext>
          </c:extLst>
        </c:ser>
        <c:ser>
          <c:idx val="7"/>
          <c:order val="7"/>
          <c:tx>
            <c:strRef>
              <c:f>'Datos gráficos'!$C$18</c:f>
              <c:strCache>
                <c:ptCount val="1"/>
                <c:pt idx="0">
                  <c:v> </c:v>
                </c:pt>
              </c:strCache>
            </c:strRef>
          </c:tx>
          <c:spPr>
            <a:ln w="44450">
              <a:solidFill>
                <a:srgbClr val="B8860B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gráficos'!$A$18:$A$19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gráficos'!$B$18:$B$19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C11-4773-B532-F410DFD84010}"/>
            </c:ext>
          </c:extLst>
        </c:ser>
        <c:ser>
          <c:idx val="8"/>
          <c:order val="8"/>
          <c:tx>
            <c:strRef>
              <c:f>'Datos gráficos'!$C$21</c:f>
              <c:strCache>
                <c:ptCount val="1"/>
                <c:pt idx="0">
                  <c:v> </c:v>
                </c:pt>
              </c:strCache>
            </c:strRef>
          </c:tx>
          <c:spPr>
            <a:ln w="44450">
              <a:solidFill>
                <a:srgbClr val="17BECF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gráficos'!$A$21:$A$22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gráficos'!$B$21:$B$22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C11-4773-B532-F410DFD84010}"/>
            </c:ext>
          </c:extLst>
        </c:ser>
        <c:ser>
          <c:idx val="9"/>
          <c:order val="9"/>
          <c:tx>
            <c:strRef>
              <c:f>'Datos gráficos'!$C$24</c:f>
              <c:strCache>
                <c:ptCount val="1"/>
                <c:pt idx="0">
                  <c:v> </c:v>
                </c:pt>
              </c:strCache>
            </c:strRef>
          </c:tx>
          <c:spPr>
            <a:ln w="44450">
              <a:solidFill>
                <a:srgbClr val="8C564B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gráficos'!$A$24:$A$25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gráficos'!$B$24:$B$25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C11-4773-B532-F410DFD84010}"/>
            </c:ext>
          </c:extLst>
        </c:ser>
        <c:ser>
          <c:idx val="10"/>
          <c:order val="10"/>
          <c:tx>
            <c:strRef>
              <c:f>'Datos gráficos'!$C$27</c:f>
              <c:strCache>
                <c:ptCount val="1"/>
                <c:pt idx="0">
                  <c:v> </c:v>
                </c:pt>
              </c:strCache>
            </c:strRef>
          </c:tx>
          <c:spPr>
            <a:ln w="44450">
              <a:solidFill>
                <a:srgbClr val="E377C2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gráficos'!$A$27:$A$28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gráficos'!$B$27:$B$28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C11-4773-B532-F410DFD84010}"/>
            </c:ext>
          </c:extLst>
        </c:ser>
        <c:ser>
          <c:idx val="11"/>
          <c:order val="11"/>
          <c:tx>
            <c:strRef>
              <c:f>'Datos gráficos'!$C$30</c:f>
              <c:strCache>
                <c:ptCount val="1"/>
                <c:pt idx="0">
                  <c:v> </c:v>
                </c:pt>
              </c:strCache>
            </c:strRef>
          </c:tx>
          <c:spPr>
            <a:ln w="44450">
              <a:solidFill>
                <a:srgbClr val="555555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gráficos'!$A$30:$A$31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gráficos'!$B$30:$B$31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C11-4773-B532-F410DFD84010}"/>
            </c:ext>
          </c:extLst>
        </c:ser>
        <c:ser>
          <c:idx val="12"/>
          <c:order val="12"/>
          <c:tx>
            <c:strRef>
              <c:f>'Datos gráficos'!$C$33</c:f>
              <c:strCache>
                <c:ptCount val="1"/>
                <c:pt idx="0">
                  <c:v> </c:v>
                </c:pt>
              </c:strCache>
            </c:strRef>
          </c:tx>
          <c:spPr>
            <a:ln w="44450">
              <a:solidFill>
                <a:srgbClr val="BCBD22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gráficos'!$A$33:$A$34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gráficos'!$B$33:$B$34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C11-4773-B532-F410DFD84010}"/>
            </c:ext>
          </c:extLst>
        </c:ser>
        <c:ser>
          <c:idx val="13"/>
          <c:order val="13"/>
          <c:tx>
            <c:strRef>
              <c:f>'Datos gráficos'!$C$36</c:f>
              <c:strCache>
                <c:ptCount val="1"/>
                <c:pt idx="0">
                  <c:v> </c:v>
                </c:pt>
              </c:strCache>
            </c:strRef>
          </c:tx>
          <c:spPr>
            <a:ln w="44450">
              <a:solidFill>
                <a:srgbClr val="1F3A5F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11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C11-4773-B532-F410DFD8401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gráficos'!$A$36:$A$37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'Datos gráficos'!$B$36:$B$37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C11-4773-B532-F410DFD84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.6"/>
          <c:min val="-1.6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.6"/>
          <c:min val="-1.6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Disposición de los cilindros (esquema, vista superior)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Cigüeñal</c:v>
          </c:tx>
          <c:spPr>
            <a:ln w="5715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'Datos gráficos'!$N$3:$N$4</c:f>
              <c:numCache>
                <c:formatCode>General</c:formatCode>
                <c:ptCount val="2"/>
                <c:pt idx="0">
                  <c:v>0.5</c:v>
                </c:pt>
                <c:pt idx="1">
                  <c:v>4.5</c:v>
                </c:pt>
              </c:numCache>
            </c:numRef>
          </c:xVal>
          <c:yVal>
            <c:numRef>
              <c:f>'Datos gráficos'!$O$3:$O$4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7-4CC1-91C6-EFC260582062}"/>
            </c:ext>
          </c:extLst>
        </c:ser>
        <c:ser>
          <c:idx val="1"/>
          <c:order val="1"/>
          <c:tx>
            <c:strRef>
              <c:f>'Datos gráficos'!$M$3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D7301F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gráficos'!$K$3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gráficos'!$L$3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77-4CC1-91C6-EFC260582062}"/>
            </c:ext>
          </c:extLst>
        </c:ser>
        <c:ser>
          <c:idx val="2"/>
          <c:order val="2"/>
          <c:tx>
            <c:strRef>
              <c:f>'Datos gráficos'!$M$4</c:f>
              <c:strCache>
                <c:ptCount val="1"/>
                <c:pt idx="0">
                  <c:v>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1F4FD8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'Datos gráficos'!$L$4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77-4CC1-91C6-EFC260582062}"/>
            </c:ext>
          </c:extLst>
        </c:ser>
        <c:ser>
          <c:idx val="3"/>
          <c:order val="3"/>
          <c:tx>
            <c:strRef>
              <c:f>'Datos gráficos'!$M$5</c:f>
              <c:strCache>
                <c:ptCount val="1"/>
                <c:pt idx="0">
                  <c:v>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2E9E44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'Datos gráficos'!$L$5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B77-4CC1-91C6-EFC260582062}"/>
            </c:ext>
          </c:extLst>
        </c:ser>
        <c:ser>
          <c:idx val="4"/>
          <c:order val="4"/>
          <c:tx>
            <c:strRef>
              <c:f>'Datos gráficos'!$M$6</c:f>
              <c:strCache>
                <c:ptCount val="1"/>
                <c:pt idx="0">
                  <c:v>4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E8501E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'Datos gráficos'!$L$6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B77-4CC1-91C6-EFC260582062}"/>
            </c:ext>
          </c:extLst>
        </c:ser>
        <c:ser>
          <c:idx val="5"/>
          <c:order val="5"/>
          <c:tx>
            <c:strRef>
              <c:f>'Datos gráficos'!$M$7</c:f>
              <c:strCache>
                <c:ptCount val="1"/>
                <c:pt idx="0">
                  <c:v>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7B2FA8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gráficos'!$K$7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gráficos'!$L$7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B77-4CC1-91C6-EFC260582062}"/>
            </c:ext>
          </c:extLst>
        </c:ser>
        <c:ser>
          <c:idx val="6"/>
          <c:order val="6"/>
          <c:tx>
            <c:strRef>
              <c:f>'Datos gráficos'!$M$8</c:f>
              <c:strCache>
                <c:ptCount val="1"/>
                <c:pt idx="0">
                  <c:v>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B8860B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gráficos'!$K$8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gráficos'!$L$8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B77-4CC1-91C6-EFC260582062}"/>
            </c:ext>
          </c:extLst>
        </c:ser>
        <c:ser>
          <c:idx val="7"/>
          <c:order val="7"/>
          <c:tx>
            <c:strRef>
              <c:f>'Datos gráficos'!$M$9</c:f>
              <c:strCache>
                <c:ptCount val="1"/>
                <c:pt idx="0">
                  <c:v>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17BECF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gráficos'!$K$9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gráficos'!$L$9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B77-4CC1-91C6-EFC260582062}"/>
            </c:ext>
          </c:extLst>
        </c:ser>
        <c:ser>
          <c:idx val="8"/>
          <c:order val="8"/>
          <c:tx>
            <c:strRef>
              <c:f>'Datos gráficos'!$M$10</c:f>
              <c:strCache>
                <c:ptCount val="1"/>
                <c:pt idx="0">
                  <c:v>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8C564B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gráficos'!$K$10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gráficos'!$L$10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B77-4CC1-91C6-EFC260582062}"/>
            </c:ext>
          </c:extLst>
        </c:ser>
        <c:ser>
          <c:idx val="9"/>
          <c:order val="9"/>
          <c:tx>
            <c:strRef>
              <c:f>'Datos gráficos'!$M$11</c:f>
              <c:strCache>
                <c:ptCount val="1"/>
                <c:pt idx="0">
                  <c:v>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E377C2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gráficos'!$K$11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gráficos'!$L$11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CB77-4CC1-91C6-EFC260582062}"/>
            </c:ext>
          </c:extLst>
        </c:ser>
        <c:ser>
          <c:idx val="10"/>
          <c:order val="10"/>
          <c:tx>
            <c:strRef>
              <c:f>'Datos gráficos'!$M$12</c:f>
              <c:strCache>
                <c:ptCount val="1"/>
                <c:pt idx="0">
                  <c:v>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555555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gráficos'!$K$12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gráficos'!$L$12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B77-4CC1-91C6-EFC260582062}"/>
            </c:ext>
          </c:extLst>
        </c:ser>
        <c:ser>
          <c:idx val="11"/>
          <c:order val="11"/>
          <c:tx>
            <c:strRef>
              <c:f>'Datos gráficos'!$M$13</c:f>
              <c:strCache>
                <c:ptCount val="1"/>
                <c:pt idx="0">
                  <c:v>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BCBD22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gráficos'!$K$13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gráficos'!$L$13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B77-4CC1-91C6-EFC260582062}"/>
            </c:ext>
          </c:extLst>
        </c:ser>
        <c:ser>
          <c:idx val="12"/>
          <c:order val="12"/>
          <c:tx>
            <c:strRef>
              <c:f>'Datos gráficos'!$M$14</c:f>
              <c:strCache>
                <c:ptCount val="1"/>
                <c:pt idx="0">
                  <c:v> 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22"/>
            <c:spPr>
              <a:solidFill>
                <a:srgbClr val="1F3A5F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dLbls>
            <c:dLbl>
              <c:idx val="0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FFFFFF"/>
                      </a:solidFill>
                    </a:defRPr>
                  </a:pPr>
                  <a:endParaRPr lang="es-EC"/>
                </a:p>
              </c:txPr>
              <c:dLblPos val="ct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B77-4CC1-91C6-EFC26058206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gráficos'!$K$14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'Datos gráficos'!$L$14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B77-4CC1-91C6-EFC260582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.6"/>
          <c:min val="-1.6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Número de cilindros en expansión durante el ciclo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En expansión</c:v>
          </c:tx>
          <c:spPr>
            <a:ln w="38100">
              <a:solidFill>
                <a:srgbClr val="D7301F"/>
              </a:solidFill>
              <a:prstDash val="solid"/>
            </a:ln>
          </c:spPr>
          <c:marker>
            <c:symbol val="none"/>
          </c:marker>
          <c:xVal>
            <c:numRef>
              <c:f>'Datos gráficos'!$Q$3:$Q$242</c:f>
              <c:numCache>
                <c:formatCode>General</c:formatCode>
                <c:ptCount val="240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12</c:v>
                </c:pt>
                <c:pt idx="4">
                  <c:v>12</c:v>
                </c:pt>
                <c:pt idx="5">
                  <c:v>18</c:v>
                </c:pt>
                <c:pt idx="6">
                  <c:v>18</c:v>
                </c:pt>
                <c:pt idx="7">
                  <c:v>24</c:v>
                </c:pt>
                <c:pt idx="8">
                  <c:v>24</c:v>
                </c:pt>
                <c:pt idx="9">
                  <c:v>30</c:v>
                </c:pt>
                <c:pt idx="10">
                  <c:v>30</c:v>
                </c:pt>
                <c:pt idx="11">
                  <c:v>36</c:v>
                </c:pt>
                <c:pt idx="12">
                  <c:v>36</c:v>
                </c:pt>
                <c:pt idx="13">
                  <c:v>42</c:v>
                </c:pt>
                <c:pt idx="14">
                  <c:v>42</c:v>
                </c:pt>
                <c:pt idx="15">
                  <c:v>48</c:v>
                </c:pt>
                <c:pt idx="16">
                  <c:v>48</c:v>
                </c:pt>
                <c:pt idx="17">
                  <c:v>54</c:v>
                </c:pt>
                <c:pt idx="18">
                  <c:v>54</c:v>
                </c:pt>
                <c:pt idx="19">
                  <c:v>60</c:v>
                </c:pt>
                <c:pt idx="20">
                  <c:v>60</c:v>
                </c:pt>
                <c:pt idx="21">
                  <c:v>66</c:v>
                </c:pt>
                <c:pt idx="22">
                  <c:v>66</c:v>
                </c:pt>
                <c:pt idx="23">
                  <c:v>72</c:v>
                </c:pt>
                <c:pt idx="24">
                  <c:v>72</c:v>
                </c:pt>
                <c:pt idx="25">
                  <c:v>78</c:v>
                </c:pt>
                <c:pt idx="26">
                  <c:v>78</c:v>
                </c:pt>
                <c:pt idx="27">
                  <c:v>84</c:v>
                </c:pt>
                <c:pt idx="28">
                  <c:v>84</c:v>
                </c:pt>
                <c:pt idx="29">
                  <c:v>90</c:v>
                </c:pt>
                <c:pt idx="30">
                  <c:v>90</c:v>
                </c:pt>
                <c:pt idx="31">
                  <c:v>96</c:v>
                </c:pt>
                <c:pt idx="32">
                  <c:v>96</c:v>
                </c:pt>
                <c:pt idx="33">
                  <c:v>102</c:v>
                </c:pt>
                <c:pt idx="34">
                  <c:v>102</c:v>
                </c:pt>
                <c:pt idx="35">
                  <c:v>108</c:v>
                </c:pt>
                <c:pt idx="36">
                  <c:v>108</c:v>
                </c:pt>
                <c:pt idx="37">
                  <c:v>114</c:v>
                </c:pt>
                <c:pt idx="38">
                  <c:v>114</c:v>
                </c:pt>
                <c:pt idx="39">
                  <c:v>120</c:v>
                </c:pt>
                <c:pt idx="40">
                  <c:v>120</c:v>
                </c:pt>
                <c:pt idx="41">
                  <c:v>126</c:v>
                </c:pt>
                <c:pt idx="42">
                  <c:v>126</c:v>
                </c:pt>
                <c:pt idx="43">
                  <c:v>132</c:v>
                </c:pt>
                <c:pt idx="44">
                  <c:v>132</c:v>
                </c:pt>
                <c:pt idx="45">
                  <c:v>138</c:v>
                </c:pt>
                <c:pt idx="46">
                  <c:v>138</c:v>
                </c:pt>
                <c:pt idx="47">
                  <c:v>144</c:v>
                </c:pt>
                <c:pt idx="48">
                  <c:v>144</c:v>
                </c:pt>
                <c:pt idx="49">
                  <c:v>150</c:v>
                </c:pt>
                <c:pt idx="50">
                  <c:v>150</c:v>
                </c:pt>
                <c:pt idx="51">
                  <c:v>156</c:v>
                </c:pt>
                <c:pt idx="52">
                  <c:v>156</c:v>
                </c:pt>
                <c:pt idx="53">
                  <c:v>162</c:v>
                </c:pt>
                <c:pt idx="54">
                  <c:v>162</c:v>
                </c:pt>
                <c:pt idx="55">
                  <c:v>168</c:v>
                </c:pt>
                <c:pt idx="56">
                  <c:v>168</c:v>
                </c:pt>
                <c:pt idx="57">
                  <c:v>174</c:v>
                </c:pt>
                <c:pt idx="58">
                  <c:v>174</c:v>
                </c:pt>
                <c:pt idx="59">
                  <c:v>180</c:v>
                </c:pt>
                <c:pt idx="60">
                  <c:v>180</c:v>
                </c:pt>
                <c:pt idx="61">
                  <c:v>186</c:v>
                </c:pt>
                <c:pt idx="62">
                  <c:v>186</c:v>
                </c:pt>
                <c:pt idx="63">
                  <c:v>192</c:v>
                </c:pt>
                <c:pt idx="64">
                  <c:v>192</c:v>
                </c:pt>
                <c:pt idx="65">
                  <c:v>198</c:v>
                </c:pt>
                <c:pt idx="66">
                  <c:v>198</c:v>
                </c:pt>
                <c:pt idx="67">
                  <c:v>204</c:v>
                </c:pt>
                <c:pt idx="68">
                  <c:v>204</c:v>
                </c:pt>
                <c:pt idx="69">
                  <c:v>210</c:v>
                </c:pt>
                <c:pt idx="70">
                  <c:v>210</c:v>
                </c:pt>
                <c:pt idx="71">
                  <c:v>216</c:v>
                </c:pt>
                <c:pt idx="72">
                  <c:v>216</c:v>
                </c:pt>
                <c:pt idx="73">
                  <c:v>222</c:v>
                </c:pt>
                <c:pt idx="74">
                  <c:v>222</c:v>
                </c:pt>
                <c:pt idx="75">
                  <c:v>228</c:v>
                </c:pt>
                <c:pt idx="76">
                  <c:v>228</c:v>
                </c:pt>
                <c:pt idx="77">
                  <c:v>234</c:v>
                </c:pt>
                <c:pt idx="78">
                  <c:v>234</c:v>
                </c:pt>
                <c:pt idx="79">
                  <c:v>240</c:v>
                </c:pt>
                <c:pt idx="80">
                  <c:v>240</c:v>
                </c:pt>
                <c:pt idx="81">
                  <c:v>246</c:v>
                </c:pt>
                <c:pt idx="82">
                  <c:v>246</c:v>
                </c:pt>
                <c:pt idx="83">
                  <c:v>252</c:v>
                </c:pt>
                <c:pt idx="84">
                  <c:v>252</c:v>
                </c:pt>
                <c:pt idx="85">
                  <c:v>258</c:v>
                </c:pt>
                <c:pt idx="86">
                  <c:v>258</c:v>
                </c:pt>
                <c:pt idx="87">
                  <c:v>264</c:v>
                </c:pt>
                <c:pt idx="88">
                  <c:v>264</c:v>
                </c:pt>
                <c:pt idx="89">
                  <c:v>270</c:v>
                </c:pt>
                <c:pt idx="90">
                  <c:v>270</c:v>
                </c:pt>
                <c:pt idx="91">
                  <c:v>276</c:v>
                </c:pt>
                <c:pt idx="92">
                  <c:v>276</c:v>
                </c:pt>
                <c:pt idx="93">
                  <c:v>282</c:v>
                </c:pt>
                <c:pt idx="94">
                  <c:v>282</c:v>
                </c:pt>
                <c:pt idx="95">
                  <c:v>288</c:v>
                </c:pt>
                <c:pt idx="96">
                  <c:v>288</c:v>
                </c:pt>
                <c:pt idx="97">
                  <c:v>294</c:v>
                </c:pt>
                <c:pt idx="98">
                  <c:v>294</c:v>
                </c:pt>
                <c:pt idx="99">
                  <c:v>300</c:v>
                </c:pt>
                <c:pt idx="100">
                  <c:v>300</c:v>
                </c:pt>
                <c:pt idx="101">
                  <c:v>306</c:v>
                </c:pt>
                <c:pt idx="102">
                  <c:v>306</c:v>
                </c:pt>
                <c:pt idx="103">
                  <c:v>312</c:v>
                </c:pt>
                <c:pt idx="104">
                  <c:v>312</c:v>
                </c:pt>
                <c:pt idx="105">
                  <c:v>318</c:v>
                </c:pt>
                <c:pt idx="106">
                  <c:v>318</c:v>
                </c:pt>
                <c:pt idx="107">
                  <c:v>324</c:v>
                </c:pt>
                <c:pt idx="108">
                  <c:v>324</c:v>
                </c:pt>
                <c:pt idx="109">
                  <c:v>330</c:v>
                </c:pt>
                <c:pt idx="110">
                  <c:v>330</c:v>
                </c:pt>
                <c:pt idx="111">
                  <c:v>336</c:v>
                </c:pt>
                <c:pt idx="112">
                  <c:v>336</c:v>
                </c:pt>
                <c:pt idx="113">
                  <c:v>342</c:v>
                </c:pt>
                <c:pt idx="114">
                  <c:v>342</c:v>
                </c:pt>
                <c:pt idx="115">
                  <c:v>348</c:v>
                </c:pt>
                <c:pt idx="116">
                  <c:v>348</c:v>
                </c:pt>
                <c:pt idx="117">
                  <c:v>354</c:v>
                </c:pt>
                <c:pt idx="118">
                  <c:v>354</c:v>
                </c:pt>
                <c:pt idx="119">
                  <c:v>360</c:v>
                </c:pt>
                <c:pt idx="120">
                  <c:v>360</c:v>
                </c:pt>
                <c:pt idx="121">
                  <c:v>366</c:v>
                </c:pt>
                <c:pt idx="122">
                  <c:v>366</c:v>
                </c:pt>
                <c:pt idx="123">
                  <c:v>372</c:v>
                </c:pt>
                <c:pt idx="124">
                  <c:v>372</c:v>
                </c:pt>
                <c:pt idx="125">
                  <c:v>378</c:v>
                </c:pt>
                <c:pt idx="126">
                  <c:v>378</c:v>
                </c:pt>
                <c:pt idx="127">
                  <c:v>384</c:v>
                </c:pt>
                <c:pt idx="128">
                  <c:v>384</c:v>
                </c:pt>
                <c:pt idx="129">
                  <c:v>390</c:v>
                </c:pt>
                <c:pt idx="130">
                  <c:v>390</c:v>
                </c:pt>
                <c:pt idx="131">
                  <c:v>396</c:v>
                </c:pt>
                <c:pt idx="132">
                  <c:v>396</c:v>
                </c:pt>
                <c:pt idx="133">
                  <c:v>402</c:v>
                </c:pt>
                <c:pt idx="134">
                  <c:v>402</c:v>
                </c:pt>
                <c:pt idx="135">
                  <c:v>408</c:v>
                </c:pt>
                <c:pt idx="136">
                  <c:v>408</c:v>
                </c:pt>
                <c:pt idx="137">
                  <c:v>414</c:v>
                </c:pt>
                <c:pt idx="138">
                  <c:v>414</c:v>
                </c:pt>
                <c:pt idx="139">
                  <c:v>420</c:v>
                </c:pt>
                <c:pt idx="140">
                  <c:v>420</c:v>
                </c:pt>
                <c:pt idx="141">
                  <c:v>426</c:v>
                </c:pt>
                <c:pt idx="142">
                  <c:v>426</c:v>
                </c:pt>
                <c:pt idx="143">
                  <c:v>432</c:v>
                </c:pt>
                <c:pt idx="144">
                  <c:v>432</c:v>
                </c:pt>
                <c:pt idx="145">
                  <c:v>438</c:v>
                </c:pt>
                <c:pt idx="146">
                  <c:v>438</c:v>
                </c:pt>
                <c:pt idx="147">
                  <c:v>444</c:v>
                </c:pt>
                <c:pt idx="148">
                  <c:v>444</c:v>
                </c:pt>
                <c:pt idx="149">
                  <c:v>450</c:v>
                </c:pt>
                <c:pt idx="150">
                  <c:v>450</c:v>
                </c:pt>
                <c:pt idx="151">
                  <c:v>456</c:v>
                </c:pt>
                <c:pt idx="152">
                  <c:v>456</c:v>
                </c:pt>
                <c:pt idx="153">
                  <c:v>462</c:v>
                </c:pt>
                <c:pt idx="154">
                  <c:v>462</c:v>
                </c:pt>
                <c:pt idx="155">
                  <c:v>468</c:v>
                </c:pt>
                <c:pt idx="156">
                  <c:v>468</c:v>
                </c:pt>
                <c:pt idx="157">
                  <c:v>474</c:v>
                </c:pt>
                <c:pt idx="158">
                  <c:v>474</c:v>
                </c:pt>
                <c:pt idx="159">
                  <c:v>480</c:v>
                </c:pt>
                <c:pt idx="160">
                  <c:v>480</c:v>
                </c:pt>
                <c:pt idx="161">
                  <c:v>486</c:v>
                </c:pt>
                <c:pt idx="162">
                  <c:v>486</c:v>
                </c:pt>
                <c:pt idx="163">
                  <c:v>492</c:v>
                </c:pt>
                <c:pt idx="164">
                  <c:v>492</c:v>
                </c:pt>
                <c:pt idx="165">
                  <c:v>498</c:v>
                </c:pt>
                <c:pt idx="166">
                  <c:v>498</c:v>
                </c:pt>
                <c:pt idx="167">
                  <c:v>504</c:v>
                </c:pt>
                <c:pt idx="168">
                  <c:v>504</c:v>
                </c:pt>
                <c:pt idx="169">
                  <c:v>510</c:v>
                </c:pt>
                <c:pt idx="170">
                  <c:v>510</c:v>
                </c:pt>
                <c:pt idx="171">
                  <c:v>516</c:v>
                </c:pt>
                <c:pt idx="172">
                  <c:v>516</c:v>
                </c:pt>
                <c:pt idx="173">
                  <c:v>522</c:v>
                </c:pt>
                <c:pt idx="174">
                  <c:v>522</c:v>
                </c:pt>
                <c:pt idx="175">
                  <c:v>528</c:v>
                </c:pt>
                <c:pt idx="176">
                  <c:v>528</c:v>
                </c:pt>
                <c:pt idx="177">
                  <c:v>534</c:v>
                </c:pt>
                <c:pt idx="178">
                  <c:v>534</c:v>
                </c:pt>
                <c:pt idx="179">
                  <c:v>540</c:v>
                </c:pt>
                <c:pt idx="180">
                  <c:v>540</c:v>
                </c:pt>
                <c:pt idx="181">
                  <c:v>546</c:v>
                </c:pt>
                <c:pt idx="182">
                  <c:v>546</c:v>
                </c:pt>
                <c:pt idx="183">
                  <c:v>552</c:v>
                </c:pt>
                <c:pt idx="184">
                  <c:v>552</c:v>
                </c:pt>
                <c:pt idx="185">
                  <c:v>558</c:v>
                </c:pt>
                <c:pt idx="186">
                  <c:v>558</c:v>
                </c:pt>
                <c:pt idx="187">
                  <c:v>564</c:v>
                </c:pt>
                <c:pt idx="188">
                  <c:v>564</c:v>
                </c:pt>
                <c:pt idx="189">
                  <c:v>570</c:v>
                </c:pt>
                <c:pt idx="190">
                  <c:v>570</c:v>
                </c:pt>
                <c:pt idx="191">
                  <c:v>576</c:v>
                </c:pt>
                <c:pt idx="192">
                  <c:v>576</c:v>
                </c:pt>
                <c:pt idx="193">
                  <c:v>582</c:v>
                </c:pt>
                <c:pt idx="194">
                  <c:v>582</c:v>
                </c:pt>
                <c:pt idx="195">
                  <c:v>588</c:v>
                </c:pt>
                <c:pt idx="196">
                  <c:v>588</c:v>
                </c:pt>
                <c:pt idx="197">
                  <c:v>594</c:v>
                </c:pt>
                <c:pt idx="198">
                  <c:v>594</c:v>
                </c:pt>
                <c:pt idx="199">
                  <c:v>600</c:v>
                </c:pt>
                <c:pt idx="200">
                  <c:v>600</c:v>
                </c:pt>
                <c:pt idx="201">
                  <c:v>606</c:v>
                </c:pt>
                <c:pt idx="202">
                  <c:v>606</c:v>
                </c:pt>
                <c:pt idx="203">
                  <c:v>612</c:v>
                </c:pt>
                <c:pt idx="204">
                  <c:v>612</c:v>
                </c:pt>
                <c:pt idx="205">
                  <c:v>618</c:v>
                </c:pt>
                <c:pt idx="206">
                  <c:v>618</c:v>
                </c:pt>
                <c:pt idx="207">
                  <c:v>624</c:v>
                </c:pt>
                <c:pt idx="208">
                  <c:v>624</c:v>
                </c:pt>
                <c:pt idx="209">
                  <c:v>630</c:v>
                </c:pt>
                <c:pt idx="210">
                  <c:v>630</c:v>
                </c:pt>
                <c:pt idx="211">
                  <c:v>636</c:v>
                </c:pt>
                <c:pt idx="212">
                  <c:v>636</c:v>
                </c:pt>
                <c:pt idx="213">
                  <c:v>642</c:v>
                </c:pt>
                <c:pt idx="214">
                  <c:v>642</c:v>
                </c:pt>
                <c:pt idx="215">
                  <c:v>648</c:v>
                </c:pt>
                <c:pt idx="216">
                  <c:v>648</c:v>
                </c:pt>
                <c:pt idx="217">
                  <c:v>654</c:v>
                </c:pt>
                <c:pt idx="218">
                  <c:v>654</c:v>
                </c:pt>
                <c:pt idx="219">
                  <c:v>660</c:v>
                </c:pt>
                <c:pt idx="220">
                  <c:v>660</c:v>
                </c:pt>
                <c:pt idx="221">
                  <c:v>666</c:v>
                </c:pt>
                <c:pt idx="222">
                  <c:v>666</c:v>
                </c:pt>
                <c:pt idx="223">
                  <c:v>672</c:v>
                </c:pt>
                <c:pt idx="224">
                  <c:v>672</c:v>
                </c:pt>
                <c:pt idx="225">
                  <c:v>678</c:v>
                </c:pt>
                <c:pt idx="226">
                  <c:v>678</c:v>
                </c:pt>
                <c:pt idx="227">
                  <c:v>684</c:v>
                </c:pt>
                <c:pt idx="228">
                  <c:v>684</c:v>
                </c:pt>
                <c:pt idx="229">
                  <c:v>690</c:v>
                </c:pt>
                <c:pt idx="230">
                  <c:v>690</c:v>
                </c:pt>
                <c:pt idx="231">
                  <c:v>696</c:v>
                </c:pt>
                <c:pt idx="232">
                  <c:v>696</c:v>
                </c:pt>
                <c:pt idx="233">
                  <c:v>702</c:v>
                </c:pt>
                <c:pt idx="234">
                  <c:v>702</c:v>
                </c:pt>
                <c:pt idx="235">
                  <c:v>708</c:v>
                </c:pt>
                <c:pt idx="236">
                  <c:v>708</c:v>
                </c:pt>
                <c:pt idx="237">
                  <c:v>714</c:v>
                </c:pt>
                <c:pt idx="238">
                  <c:v>714</c:v>
                </c:pt>
                <c:pt idx="239">
                  <c:v>720</c:v>
                </c:pt>
              </c:numCache>
            </c:numRef>
          </c:xVal>
          <c:yVal>
            <c:numRef>
              <c:f>'Datos gráficos'!$R$3:$R$242</c:f>
              <c:numCache>
                <c:formatCode>General</c:formatCode>
                <c:ptCount val="2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9-4201-9481-90A318C29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20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Ángulo del cigüeñal </a:t>
                </a:r>
                <a:r>
                  <a:rPr lang="el-GR"/>
                  <a:t>θ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  <c:majorUnit val="90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Cilindros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s-EC"/>
              <a:t>Disposición de los muñones del cigüeñal (vista lateral)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Apoyos de bancada</c:v>
          </c:tx>
          <c:spPr>
            <a:ln w="76200">
              <a:solidFill>
                <a:srgbClr val="404040"/>
              </a:solidFill>
              <a:prstDash val="solid"/>
            </a:ln>
          </c:spPr>
          <c:marker>
            <c:symbol val="none"/>
          </c:marker>
          <c:xVal>
            <c:numRef>
              <c:f>'Datos gráficos'!$AA$3:$AA$4</c:f>
              <c:numCache>
                <c:formatCode>General</c:formatCode>
                <c:ptCount val="2"/>
                <c:pt idx="0">
                  <c:v>0.4</c:v>
                </c:pt>
                <c:pt idx="1">
                  <c:v>4.5999999999999996</c:v>
                </c:pt>
              </c:numCache>
            </c:numRef>
          </c:xVal>
          <c:yVal>
            <c:numRef>
              <c:f>'Datos gráficos'!$AB$3:$AB$4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78-4DE9-8580-9B39DFBCA92D}"/>
            </c:ext>
          </c:extLst>
        </c:ser>
        <c:ser>
          <c:idx val="1"/>
          <c:order val="1"/>
          <c:tx>
            <c:strRef>
              <c:f>'Datos gráficos'!$Z$3</c:f>
              <c:strCache>
                <c:ptCount val="1"/>
                <c:pt idx="0">
                  <c:v>1 (0°)</c:v>
                </c:pt>
              </c:strCache>
            </c:strRef>
          </c:tx>
          <c:spPr>
            <a:ln w="57150">
              <a:solidFill>
                <a:srgbClr val="D7301F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gráficos'!$X$3:$X$6</c:f>
              <c:numCache>
                <c:formatCode>General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1.17</c:v>
                </c:pt>
                <c:pt idx="3">
                  <c:v>1.17</c:v>
                </c:pt>
              </c:numCache>
            </c:numRef>
          </c:xVal>
          <c:yVal>
            <c:numRef>
              <c:f>'Datos gráficos'!$Y$3:$Y$6</c:f>
              <c:numCache>
                <c:formatCode>General</c:formatCode>
                <c:ptCount val="4"/>
                <c:pt idx="0">
                  <c:v>0</c:v>
                </c:pt>
                <c:pt idx="1">
                  <c:v>0.92850510677808729</c:v>
                </c:pt>
                <c:pt idx="2">
                  <c:v>0.92850510677808729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78-4DE9-8580-9B39DFBCA92D}"/>
            </c:ext>
          </c:extLst>
        </c:ser>
        <c:ser>
          <c:idx val="2"/>
          <c:order val="2"/>
          <c:tx>
            <c:strRef>
              <c:f>'Datos gráficos'!$Z$8</c:f>
              <c:strCache>
                <c:ptCount val="1"/>
                <c:pt idx="0">
                  <c:v>2 (180°)</c:v>
                </c:pt>
              </c:strCache>
            </c:strRef>
          </c:tx>
          <c:spPr>
            <a:ln w="57150">
              <a:solidFill>
                <a:srgbClr val="1F4FD8"/>
              </a:solidFill>
              <a:prstDash val="solid"/>
            </a:ln>
          </c:spPr>
          <c:marker>
            <c:symbol val="none"/>
          </c:marker>
          <c:dLbls>
            <c:dLbl>
              <c:idx val="2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gráficos'!$X$8:$X$11</c:f>
              <c:numCache>
                <c:formatCode>General</c:formatCode>
                <c:ptCount val="4"/>
                <c:pt idx="0">
                  <c:v>1.83</c:v>
                </c:pt>
                <c:pt idx="1">
                  <c:v>1.83</c:v>
                </c:pt>
                <c:pt idx="2">
                  <c:v>2.17</c:v>
                </c:pt>
                <c:pt idx="3">
                  <c:v>2.17</c:v>
                </c:pt>
              </c:numCache>
            </c:numRef>
          </c:xVal>
          <c:yVal>
            <c:numRef>
              <c:f>'Datos gráficos'!$Y$8:$Y$11</c:f>
              <c:numCache>
                <c:formatCode>General</c:formatCode>
                <c:ptCount val="4"/>
                <c:pt idx="0">
                  <c:v>0</c:v>
                </c:pt>
                <c:pt idx="1">
                  <c:v>-0.92850510677808729</c:v>
                </c:pt>
                <c:pt idx="2">
                  <c:v>-0.92850510677808729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D78-4DE9-8580-9B39DFBCA92D}"/>
            </c:ext>
          </c:extLst>
        </c:ser>
        <c:ser>
          <c:idx val="3"/>
          <c:order val="3"/>
          <c:tx>
            <c:strRef>
              <c:f>'Datos gráficos'!$Z$13</c:f>
              <c:strCache>
                <c:ptCount val="1"/>
                <c:pt idx="0">
                  <c:v>3 (0°)</c:v>
                </c:pt>
              </c:strCache>
            </c:strRef>
          </c:tx>
          <c:spPr>
            <a:ln w="57150">
              <a:solidFill>
                <a:srgbClr val="2E9E44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gráficos'!$X$13:$X$16</c:f>
              <c:numCache>
                <c:formatCode>General</c:formatCode>
                <c:ptCount val="4"/>
                <c:pt idx="0">
                  <c:v>2.83</c:v>
                </c:pt>
                <c:pt idx="1">
                  <c:v>2.83</c:v>
                </c:pt>
                <c:pt idx="2">
                  <c:v>3.17</c:v>
                </c:pt>
                <c:pt idx="3">
                  <c:v>3.17</c:v>
                </c:pt>
              </c:numCache>
            </c:numRef>
          </c:xVal>
          <c:yVal>
            <c:numRef>
              <c:f>'Datos gráficos'!$Y$13:$Y$16</c:f>
              <c:numCache>
                <c:formatCode>General</c:formatCode>
                <c:ptCount val="4"/>
                <c:pt idx="0">
                  <c:v>0</c:v>
                </c:pt>
                <c:pt idx="1">
                  <c:v>0.92850510677808729</c:v>
                </c:pt>
                <c:pt idx="2">
                  <c:v>0.92850510677808729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D78-4DE9-8580-9B39DFBCA92D}"/>
            </c:ext>
          </c:extLst>
        </c:ser>
        <c:ser>
          <c:idx val="4"/>
          <c:order val="4"/>
          <c:tx>
            <c:strRef>
              <c:f>'Datos gráficos'!$Z$18</c:f>
              <c:strCache>
                <c:ptCount val="1"/>
                <c:pt idx="0">
                  <c:v>4 (180°)</c:v>
                </c:pt>
              </c:strCache>
            </c:strRef>
          </c:tx>
          <c:spPr>
            <a:ln w="57150">
              <a:solidFill>
                <a:srgbClr val="E8501E"/>
              </a:solidFill>
              <a:prstDash val="solid"/>
            </a:ln>
          </c:spPr>
          <c:marker>
            <c:symbol val="none"/>
          </c:marker>
          <c:dLbls>
            <c:dLbl>
              <c:idx val="2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gráficos'!$X$18:$X$21</c:f>
              <c:numCache>
                <c:formatCode>General</c:formatCode>
                <c:ptCount val="4"/>
                <c:pt idx="0">
                  <c:v>3.83</c:v>
                </c:pt>
                <c:pt idx="1">
                  <c:v>3.83</c:v>
                </c:pt>
                <c:pt idx="2">
                  <c:v>4.17</c:v>
                </c:pt>
                <c:pt idx="3">
                  <c:v>4.17</c:v>
                </c:pt>
              </c:numCache>
            </c:numRef>
          </c:xVal>
          <c:yVal>
            <c:numRef>
              <c:f>'Datos gráficos'!$Y$18:$Y$21</c:f>
              <c:numCache>
                <c:formatCode>General</c:formatCode>
                <c:ptCount val="4"/>
                <c:pt idx="0">
                  <c:v>0</c:v>
                </c:pt>
                <c:pt idx="1">
                  <c:v>-0.92850510677808729</c:v>
                </c:pt>
                <c:pt idx="2">
                  <c:v>-0.92850510677808729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D78-4DE9-8580-9B39DFBCA92D}"/>
            </c:ext>
          </c:extLst>
        </c:ser>
        <c:ser>
          <c:idx val="5"/>
          <c:order val="5"/>
          <c:tx>
            <c:strRef>
              <c:f>'Datos gráficos'!$Z$23</c:f>
              <c:strCache>
                <c:ptCount val="1"/>
                <c:pt idx="0">
                  <c:v> </c:v>
                </c:pt>
              </c:strCache>
            </c:strRef>
          </c:tx>
          <c:spPr>
            <a:ln w="57150">
              <a:solidFill>
                <a:srgbClr val="7B2FA8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gráficos'!$X$23:$X$26</c:f>
              <c:numCache>
                <c:formatCode>General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1.17</c:v>
                </c:pt>
                <c:pt idx="3">
                  <c:v>1.17</c:v>
                </c:pt>
              </c:numCache>
            </c:numRef>
          </c:xVal>
          <c:yVal>
            <c:numRef>
              <c:f>'Datos gráficos'!$Y$23:$Y$26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D78-4DE9-8580-9B39DFBCA92D}"/>
            </c:ext>
          </c:extLst>
        </c:ser>
        <c:ser>
          <c:idx val="6"/>
          <c:order val="6"/>
          <c:tx>
            <c:strRef>
              <c:f>'Datos gráficos'!$Z$28</c:f>
              <c:strCache>
                <c:ptCount val="1"/>
                <c:pt idx="0">
                  <c:v> </c:v>
                </c:pt>
              </c:strCache>
            </c:strRef>
          </c:tx>
          <c:spPr>
            <a:ln w="57150">
              <a:solidFill>
                <a:srgbClr val="B8860B"/>
              </a:solidFill>
              <a:prstDash val="solid"/>
            </a:ln>
          </c:spPr>
          <c:marker>
            <c:symbol val="none"/>
          </c:marker>
          <c:dLbls>
            <c:dLbl>
              <c:idx val="2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gráficos'!$X$28:$X$31</c:f>
              <c:numCache>
                <c:formatCode>General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1.17</c:v>
                </c:pt>
                <c:pt idx="3">
                  <c:v>1.17</c:v>
                </c:pt>
              </c:numCache>
            </c:numRef>
          </c:xVal>
          <c:yVal>
            <c:numRef>
              <c:f>'Datos gráficos'!$Y$28:$Y$31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D78-4DE9-8580-9B39DFBCA92D}"/>
            </c:ext>
          </c:extLst>
        </c:ser>
        <c:ser>
          <c:idx val="7"/>
          <c:order val="7"/>
          <c:tx>
            <c:strRef>
              <c:f>'Datos gráficos'!$Z$33</c:f>
              <c:strCache>
                <c:ptCount val="1"/>
                <c:pt idx="0">
                  <c:v> </c:v>
                </c:pt>
              </c:strCache>
            </c:strRef>
          </c:tx>
          <c:spPr>
            <a:ln w="57150">
              <a:solidFill>
                <a:srgbClr val="17BECF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gráficos'!$X$33:$X$36</c:f>
              <c:numCache>
                <c:formatCode>General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1.17</c:v>
                </c:pt>
                <c:pt idx="3">
                  <c:v>1.17</c:v>
                </c:pt>
              </c:numCache>
            </c:numRef>
          </c:xVal>
          <c:yVal>
            <c:numRef>
              <c:f>'Datos gráficos'!$Y$33:$Y$36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D78-4DE9-8580-9B39DFBCA92D}"/>
            </c:ext>
          </c:extLst>
        </c:ser>
        <c:ser>
          <c:idx val="8"/>
          <c:order val="8"/>
          <c:tx>
            <c:strRef>
              <c:f>'Datos gráficos'!$Z$38</c:f>
              <c:strCache>
                <c:ptCount val="1"/>
                <c:pt idx="0">
                  <c:v> </c:v>
                </c:pt>
              </c:strCache>
            </c:strRef>
          </c:tx>
          <c:spPr>
            <a:ln w="57150">
              <a:solidFill>
                <a:srgbClr val="8C564B"/>
              </a:solidFill>
              <a:prstDash val="solid"/>
            </a:ln>
          </c:spPr>
          <c:marker>
            <c:symbol val="none"/>
          </c:marker>
          <c:dLbls>
            <c:dLbl>
              <c:idx val="2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gráficos'!$X$38:$X$41</c:f>
              <c:numCache>
                <c:formatCode>General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1.17</c:v>
                </c:pt>
                <c:pt idx="3">
                  <c:v>1.17</c:v>
                </c:pt>
              </c:numCache>
            </c:numRef>
          </c:xVal>
          <c:yVal>
            <c:numRef>
              <c:f>'Datos gráficos'!$Y$38:$Y$41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D78-4DE9-8580-9B39DFBCA92D}"/>
            </c:ext>
          </c:extLst>
        </c:ser>
        <c:ser>
          <c:idx val="9"/>
          <c:order val="9"/>
          <c:tx>
            <c:strRef>
              <c:f>'Datos gráficos'!$Z$43</c:f>
              <c:strCache>
                <c:ptCount val="1"/>
                <c:pt idx="0">
                  <c:v> </c:v>
                </c:pt>
              </c:strCache>
            </c:strRef>
          </c:tx>
          <c:spPr>
            <a:ln w="57150">
              <a:solidFill>
                <a:srgbClr val="E377C2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gráficos'!$X$43:$X$46</c:f>
              <c:numCache>
                <c:formatCode>General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1.17</c:v>
                </c:pt>
                <c:pt idx="3">
                  <c:v>1.17</c:v>
                </c:pt>
              </c:numCache>
            </c:numRef>
          </c:xVal>
          <c:yVal>
            <c:numRef>
              <c:f>'Datos gráficos'!$Y$43:$Y$46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D78-4DE9-8580-9B39DFBCA92D}"/>
            </c:ext>
          </c:extLst>
        </c:ser>
        <c:ser>
          <c:idx val="10"/>
          <c:order val="10"/>
          <c:tx>
            <c:strRef>
              <c:f>'Datos gráficos'!$Z$48</c:f>
              <c:strCache>
                <c:ptCount val="1"/>
                <c:pt idx="0">
                  <c:v> </c:v>
                </c:pt>
              </c:strCache>
            </c:strRef>
          </c:tx>
          <c:spPr>
            <a:ln w="57150">
              <a:solidFill>
                <a:srgbClr val="555555"/>
              </a:solidFill>
              <a:prstDash val="solid"/>
            </a:ln>
          </c:spPr>
          <c:marker>
            <c:symbol val="none"/>
          </c:marker>
          <c:dLbls>
            <c:dLbl>
              <c:idx val="2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gráficos'!$X$48:$X$51</c:f>
              <c:numCache>
                <c:formatCode>General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1.17</c:v>
                </c:pt>
                <c:pt idx="3">
                  <c:v>1.17</c:v>
                </c:pt>
              </c:numCache>
            </c:numRef>
          </c:xVal>
          <c:yVal>
            <c:numRef>
              <c:f>'Datos gráficos'!$Y$48:$Y$51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D78-4DE9-8580-9B39DFBCA92D}"/>
            </c:ext>
          </c:extLst>
        </c:ser>
        <c:ser>
          <c:idx val="11"/>
          <c:order val="11"/>
          <c:tx>
            <c:strRef>
              <c:f>'Datos gráficos'!$Z$53</c:f>
              <c:strCache>
                <c:ptCount val="1"/>
                <c:pt idx="0">
                  <c:v> </c:v>
                </c:pt>
              </c:strCache>
            </c:strRef>
          </c:tx>
          <c:spPr>
            <a:ln w="57150">
              <a:solidFill>
                <a:srgbClr val="BCBD22"/>
              </a:solidFill>
              <a:prstDash val="solid"/>
            </a:ln>
          </c:spPr>
          <c:marker>
            <c:symbol val="none"/>
          </c:marker>
          <c:dLbls>
            <c:dLbl>
              <c:idx val="1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t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gráficos'!$X$53:$X$56</c:f>
              <c:numCache>
                <c:formatCode>General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1.17</c:v>
                </c:pt>
                <c:pt idx="3">
                  <c:v>1.17</c:v>
                </c:pt>
              </c:numCache>
            </c:numRef>
          </c:xVal>
          <c:yVal>
            <c:numRef>
              <c:f>'Datos gráficos'!$Y$53:$Y$56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D78-4DE9-8580-9B39DFBCA92D}"/>
            </c:ext>
          </c:extLst>
        </c:ser>
        <c:ser>
          <c:idx val="12"/>
          <c:order val="12"/>
          <c:tx>
            <c:strRef>
              <c:f>'Datos gráficos'!$Z$58</c:f>
              <c:strCache>
                <c:ptCount val="1"/>
                <c:pt idx="0">
                  <c:v> </c:v>
                </c:pt>
              </c:strCache>
            </c:strRef>
          </c:tx>
          <c:spPr>
            <a:ln w="57150">
              <a:solidFill>
                <a:srgbClr val="1F3A5F"/>
              </a:solidFill>
              <a:prstDash val="solid"/>
            </a:ln>
          </c:spPr>
          <c:marker>
            <c:symbol val="none"/>
          </c:marker>
          <c:dLbls>
            <c:dLbl>
              <c:idx val="2"/>
              <c:spPr/>
              <c:txPr>
                <a:bodyPr/>
                <a:lstStyle/>
                <a:p>
                  <a:pPr>
                    <a:defRPr sz="900" b="1">
                      <a:solidFill>
                        <a:srgbClr val="000000"/>
                      </a:solidFill>
                    </a:defRPr>
                  </a:pPr>
                  <a:endParaRPr lang="es-EC"/>
                </a:p>
              </c:txPr>
              <c:dLblPos val="r"/>
              <c:showLegendKey val="0"/>
              <c:showVal val="0"/>
              <c:showCatName val="0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D78-4DE9-8580-9B39DFBCA9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'Datos gráficos'!$X$58:$X$61</c:f>
              <c:numCache>
                <c:formatCode>General</c:formatCode>
                <c:ptCount val="4"/>
                <c:pt idx="0">
                  <c:v>0.83</c:v>
                </c:pt>
                <c:pt idx="1">
                  <c:v>0.83</c:v>
                </c:pt>
                <c:pt idx="2">
                  <c:v>1.17</c:v>
                </c:pt>
                <c:pt idx="3">
                  <c:v>1.17</c:v>
                </c:pt>
              </c:numCache>
            </c:numRef>
          </c:xVal>
          <c:yVal>
            <c:numRef>
              <c:f>'Datos gráficos'!$Y$58:$Y$61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D78-4DE9-8580-9B39DFBCA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.4"/>
          <c:min val="-1.4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posición relativa a la muñequilla 1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4320000" cy="475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22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32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18</xdr:col>
      <xdr:colOff>0</xdr:colOff>
      <xdr:row>3</xdr:row>
      <xdr:rowOff>0</xdr:rowOff>
    </xdr:from>
    <xdr:ext cx="72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opLeftCell="A19" zoomScale="55" zoomScaleNormal="55" workbookViewId="0">
      <selection activeCell="D8" sqref="D8"/>
    </sheetView>
  </sheetViews>
  <sheetFormatPr baseColWidth="10" defaultColWidth="9.140625" defaultRowHeight="15" x14ac:dyDescent="0.25"/>
  <cols>
    <col min="1" max="1" width="30" customWidth="1"/>
    <col min="2" max="2" width="14" customWidth="1"/>
    <col min="3" max="3" width="11" customWidth="1"/>
    <col min="4" max="5" width="12" customWidth="1"/>
    <col min="6" max="6" width="11" customWidth="1"/>
    <col min="7" max="7" width="13" customWidth="1"/>
    <col min="8" max="8" width="9" customWidth="1"/>
    <col min="9" max="9" width="7" customWidth="1"/>
  </cols>
  <sheetData>
    <row r="1" spans="1:9" ht="18" x14ac:dyDescent="0.25">
      <c r="A1" s="1" t="s">
        <v>0</v>
      </c>
    </row>
    <row r="2" spans="1:9" x14ac:dyDescent="0.25">
      <c r="A2" s="2" t="s">
        <v>1</v>
      </c>
    </row>
    <row r="4" spans="1:9" x14ac:dyDescent="0.25">
      <c r="A4" s="3" t="s">
        <v>2</v>
      </c>
      <c r="B4" s="3" t="s">
        <v>3</v>
      </c>
    </row>
    <row r="5" spans="1:9" x14ac:dyDescent="0.25">
      <c r="A5" s="4" t="s">
        <v>4</v>
      </c>
      <c r="B5" s="36" t="s">
        <v>235</v>
      </c>
      <c r="C5" s="31"/>
      <c r="D5" s="31"/>
      <c r="E5" s="31"/>
      <c r="F5" s="31"/>
      <c r="G5" s="31"/>
      <c r="H5" s="31"/>
    </row>
    <row r="6" spans="1:9" x14ac:dyDescent="0.25">
      <c r="A6" s="4" t="s">
        <v>6</v>
      </c>
      <c r="B6" s="5">
        <v>4</v>
      </c>
    </row>
    <row r="7" spans="1:9" x14ac:dyDescent="0.25">
      <c r="A7" s="4" t="s">
        <v>7</v>
      </c>
      <c r="B7" s="5" t="s">
        <v>89</v>
      </c>
      <c r="I7" s="6" t="str">
        <f ca="1">IF($B$9&lt;&gt;25,"",IF(COUNT(Configuraciones!B30:M30)&lt;&gt;B6,"Revise el orden personalizado: faltan cilindros",IF(SUMPRODUCT((COUNTIF(Configuraciones!B30:M30,ROW(INDIRECT("1:"&amp;B6)))&lt;&gt;1)*1)&gt;0,"Revise el orden: cada cilindro debe aparecer una sola vez",IF(INDEX(Configuraciones!B30:M30,1)&lt;&gt;1,"El orden debe empezar por el cilindro 1","Orden personalizado válido"))))</f>
        <v>Orden personalizado válido</v>
      </c>
    </row>
    <row r="8" spans="1:9" x14ac:dyDescent="0.25">
      <c r="A8" s="4" t="s">
        <v>9</v>
      </c>
      <c r="B8" s="5">
        <v>0</v>
      </c>
    </row>
    <row r="9" spans="1:9" x14ac:dyDescent="0.25">
      <c r="A9" s="7" t="s">
        <v>10</v>
      </c>
      <c r="B9" s="7">
        <f>MATCH(B5,Configuraciones!$A$3:$A$27,0)</f>
        <v>25</v>
      </c>
    </row>
    <row r="11" spans="1:9" x14ac:dyDescent="0.25">
      <c r="A11" s="3" t="s">
        <v>11</v>
      </c>
      <c r="B11" s="33" t="s">
        <v>3</v>
      </c>
      <c r="C11" s="34"/>
      <c r="D11" s="34"/>
      <c r="E11" s="34"/>
      <c r="F11" s="34"/>
      <c r="G11" s="34"/>
      <c r="H11" s="35"/>
    </row>
    <row r="12" spans="1:9" x14ac:dyDescent="0.25">
      <c r="A12" s="8" t="s">
        <v>12</v>
      </c>
      <c r="B12" s="30">
        <f>INDEX(Configuraciones!$B$3:$B$27,$B$9)</f>
        <v>4</v>
      </c>
      <c r="C12" s="31"/>
      <c r="D12" s="31"/>
      <c r="E12" s="31"/>
      <c r="F12" s="31"/>
      <c r="G12" s="31"/>
      <c r="H12" s="31"/>
    </row>
    <row r="13" spans="1:9" x14ac:dyDescent="0.25">
      <c r="A13" s="8" t="s">
        <v>13</v>
      </c>
      <c r="B13" s="30" t="str">
        <f>INDEX(Configuraciones!$C$3:$C$27,$B$9)</f>
        <v>1-4-3-2</v>
      </c>
      <c r="C13" s="31"/>
      <c r="D13" s="31"/>
      <c r="E13" s="31"/>
      <c r="F13" s="31"/>
      <c r="G13" s="31"/>
      <c r="H13" s="31"/>
    </row>
    <row r="14" spans="1:9" x14ac:dyDescent="0.25">
      <c r="A14" s="8" t="s">
        <v>14</v>
      </c>
      <c r="B14" s="30" t="str">
        <f>INDEX(Configuraciones!$D$3:$D$27,$B$9)&amp;IF(INDEX(Configuraciones!$E$3:$E$27,$B$9)&gt;0,"  ·  ángulo entre bancadas "&amp;INDEX(Configuraciones!$E$3:$E$27,$B$9)&amp;"°","")</f>
        <v>En línea</v>
      </c>
      <c r="C14" s="31"/>
      <c r="D14" s="31"/>
      <c r="E14" s="31"/>
      <c r="F14" s="31"/>
      <c r="G14" s="31"/>
      <c r="H14" s="31"/>
    </row>
    <row r="15" spans="1:9" x14ac:dyDescent="0.25">
      <c r="A15" s="8" t="s">
        <v>15</v>
      </c>
      <c r="B15" s="30" t="str">
        <f>"720° / "&amp;B12&amp;" = "&amp;IF(MOD(720/B12,1)=0,TEXT(720/B12,"0"),TEXT(720/B12,"0.00"))&amp;"°"</f>
        <v>720° / 4 = 180°</v>
      </c>
      <c r="C15" s="31"/>
      <c r="D15" s="31"/>
      <c r="E15" s="31"/>
      <c r="F15" s="31"/>
      <c r="G15" s="31"/>
      <c r="H15" s="31"/>
    </row>
    <row r="16" spans="1:9" x14ac:dyDescent="0.25">
      <c r="A16" s="8" t="s">
        <v>16</v>
      </c>
      <c r="B16" s="30" t="str">
        <f>'Datos gráficos'!W14&amp;IF(MAX('Datos gráficos'!U3:U14)-MIN('Datos gráficos'!U3:U14)&lt;0.5,"  ·  encendidos regulares","  ·  encendidos IRREGULARES")</f>
        <v>180°, 180°, 180°, 180°  ·  encendidos regulares</v>
      </c>
      <c r="C16" s="31"/>
      <c r="D16" s="31"/>
      <c r="E16" s="31"/>
      <c r="F16" s="31"/>
      <c r="G16" s="31"/>
      <c r="H16" s="31"/>
    </row>
    <row r="17" spans="1:19" x14ac:dyDescent="0.25">
      <c r="A17" s="8" t="s">
        <v>17</v>
      </c>
      <c r="B17" s="30" t="str">
        <f>IF(MIN('Diagrama de fases'!C18:DR18)=MAX('Diagrama de fases'!C18:DR18),MIN('Diagrama de fases'!C18:DR18),MIN('Diagrama de fases'!C18:DR18)&amp;" a "&amp;MAX('Diagrama de fases'!C18:DR18))&amp;IF(MIN('Diagrama de fases'!C18:DR18)=0,"  ·  hay tramos sin ningún cilindro en expansión","")</f>
        <v>1</v>
      </c>
      <c r="C17" s="31"/>
      <c r="D17" s="31"/>
      <c r="E17" s="31"/>
      <c r="F17" s="31"/>
      <c r="G17" s="31"/>
      <c r="H17" s="31"/>
    </row>
    <row r="18" spans="1:19" x14ac:dyDescent="0.25">
      <c r="A18" s="8" t="s">
        <v>18</v>
      </c>
      <c r="B18" s="30">
        <f>IFERROR(INDEX(A22:A33,MATCH(1,INDEX((G22:G33="Expansión")*(I22:I33&lt;720/B12),0),0)),"—")</f>
        <v>1</v>
      </c>
      <c r="C18" s="31"/>
      <c r="D18" s="31"/>
      <c r="E18" s="31"/>
      <c r="F18" s="31"/>
      <c r="G18" s="31"/>
      <c r="H18" s="31"/>
    </row>
    <row r="19" spans="1:19" ht="18" customHeight="1" x14ac:dyDescent="0.25">
      <c r="A19" s="32" t="str">
        <f>INDEX(Configuraciones!$F$3:$F$27,$B$9)</f>
        <v>Motor en línea definido por el usuario: el intervalo es 720°/z y el orden se toma de la celda B7 del simulador.</v>
      </c>
      <c r="B19" s="31"/>
      <c r="C19" s="31"/>
      <c r="D19" s="31"/>
      <c r="E19" s="31"/>
      <c r="F19" s="31"/>
      <c r="G19" s="31"/>
      <c r="H19" s="31"/>
    </row>
    <row r="20" spans="1:19" ht="18" customHeight="1" x14ac:dyDescent="0.25">
      <c r="A20" s="31"/>
      <c r="B20" s="31"/>
      <c r="C20" s="31"/>
      <c r="D20" s="31"/>
      <c r="E20" s="31"/>
      <c r="F20" s="31"/>
      <c r="G20" s="31"/>
      <c r="H20" s="31"/>
    </row>
    <row r="21" spans="1:19" ht="42" customHeight="1" x14ac:dyDescent="0.25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26</v>
      </c>
      <c r="I21" s="3" t="s">
        <v>27</v>
      </c>
      <c r="S21" s="2" t="s">
        <v>28</v>
      </c>
    </row>
    <row r="22" spans="1:19" x14ac:dyDescent="0.25">
      <c r="A22" s="9">
        <f>IF(1&gt;$B$12,"",1)</f>
        <v>1</v>
      </c>
      <c r="B22" s="9" t="str">
        <f>IF(A22="","",INDEX(Configuraciones!$G$3:$G$27,$B$9))</f>
        <v>-</v>
      </c>
      <c r="C22" s="10">
        <f>IF(A22="","",INDEX(Configuraciones!$H$3:$H$27,$B$9))</f>
        <v>0</v>
      </c>
      <c r="D22" s="10">
        <f>IF(A22="","",INDEX(Configuraciones!$I$3:$I$27,$B$9))</f>
        <v>0</v>
      </c>
      <c r="E22" s="10">
        <f t="shared" ref="E22:E33" si="0">IF(OR(A22="",D22=""),"",MOD(ROUND(C22-D22,1),360))</f>
        <v>0</v>
      </c>
      <c r="F22" s="10">
        <f t="shared" ref="F22:F33" si="1">IF(E22="","",MOD(E22+$B$8,360))</f>
        <v>0</v>
      </c>
      <c r="G22" s="9" t="str">
        <f t="shared" ref="G22:G33" si="2">IF(I22="","",CHOOSE(INT(I22/180)+1,"Expansión","Escape","Admisión","Compresión"))</f>
        <v>Expansión</v>
      </c>
      <c r="H22" s="9" t="str">
        <f t="shared" ref="H22:H33" si="3">IF(I22="","",IF(MOD(I22,360)=0,"PMS",IF(MOD(I22,180)=0,"PMI",IF(MOD(I22,360)&lt;180,"Baja","Sube"))))</f>
        <v>PMS</v>
      </c>
      <c r="I22" s="10">
        <f t="shared" ref="I22:I33" si="4">IF(D22="","",MOD($B$8-D22,720))</f>
        <v>0</v>
      </c>
      <c r="S22" s="2" t="s">
        <v>29</v>
      </c>
    </row>
    <row r="23" spans="1:19" x14ac:dyDescent="0.25">
      <c r="A23" s="9">
        <f>IF(2&gt;$B$12,"",2)</f>
        <v>2</v>
      </c>
      <c r="B23" s="9" t="str">
        <f>IF(A23="","",INDEX(Configuraciones!$L$3:$L$27,$B$9))</f>
        <v>-</v>
      </c>
      <c r="C23" s="10">
        <f>IF(A23="","",INDEX(Configuraciones!$M$3:$M$27,$B$9))</f>
        <v>0</v>
      </c>
      <c r="D23" s="10">
        <f>IF(A23="","",INDEX(Configuraciones!$N$3:$N$27,$B$9))</f>
        <v>540</v>
      </c>
      <c r="E23" s="10">
        <f t="shared" si="0"/>
        <v>180</v>
      </c>
      <c r="F23" s="10">
        <f t="shared" si="1"/>
        <v>180</v>
      </c>
      <c r="G23" s="9" t="str">
        <f t="shared" si="2"/>
        <v>Escape</v>
      </c>
      <c r="H23" s="9" t="str">
        <f t="shared" si="3"/>
        <v>PMI</v>
      </c>
      <c r="I23" s="10">
        <f t="shared" si="4"/>
        <v>180</v>
      </c>
    </row>
    <row r="24" spans="1:19" x14ac:dyDescent="0.25">
      <c r="A24" s="9">
        <f>IF(3&gt;$B$12,"",3)</f>
        <v>3</v>
      </c>
      <c r="B24" s="9" t="str">
        <f>IF(A24="","",INDEX(Configuraciones!$Q$3:$Q$27,$B$9))</f>
        <v>-</v>
      </c>
      <c r="C24" s="10">
        <f>IF(A24="","",INDEX(Configuraciones!$R$3:$R$27,$B$9))</f>
        <v>0</v>
      </c>
      <c r="D24" s="10">
        <f>IF(A24="","",INDEX(Configuraciones!$S$3:$S$27,$B$9))</f>
        <v>360</v>
      </c>
      <c r="E24" s="10">
        <f t="shared" si="0"/>
        <v>0</v>
      </c>
      <c r="F24" s="10">
        <f t="shared" si="1"/>
        <v>0</v>
      </c>
      <c r="G24" s="9" t="str">
        <f t="shared" si="2"/>
        <v>Admisión</v>
      </c>
      <c r="H24" s="9" t="str">
        <f t="shared" si="3"/>
        <v>PMS</v>
      </c>
      <c r="I24" s="10">
        <f t="shared" si="4"/>
        <v>360</v>
      </c>
    </row>
    <row r="25" spans="1:19" x14ac:dyDescent="0.25">
      <c r="A25" s="9">
        <f>IF(4&gt;$B$12,"",4)</f>
        <v>4</v>
      </c>
      <c r="B25" s="9" t="str">
        <f>IF(A25="","",INDEX(Configuraciones!$V$3:$V$27,$B$9))</f>
        <v>-</v>
      </c>
      <c r="C25" s="10">
        <f>IF(A25="","",INDEX(Configuraciones!$W$3:$W$27,$B$9))</f>
        <v>0</v>
      </c>
      <c r="D25" s="10">
        <f>IF(A25="","",INDEX(Configuraciones!$X$3:$X$27,$B$9))</f>
        <v>180</v>
      </c>
      <c r="E25" s="10">
        <f t="shared" si="0"/>
        <v>180</v>
      </c>
      <c r="F25" s="10">
        <f t="shared" si="1"/>
        <v>180</v>
      </c>
      <c r="G25" s="9" t="str">
        <f t="shared" si="2"/>
        <v>Compresión</v>
      </c>
      <c r="H25" s="9" t="str">
        <f t="shared" si="3"/>
        <v>PMI</v>
      </c>
      <c r="I25" s="10">
        <f t="shared" si="4"/>
        <v>540</v>
      </c>
    </row>
    <row r="26" spans="1:19" x14ac:dyDescent="0.25">
      <c r="A26" s="9" t="str">
        <f>IF(5&gt;$B$12,"",5)</f>
        <v/>
      </c>
      <c r="B26" s="9" t="str">
        <f>IF(A26="","",INDEX(Configuraciones!$AA$3:$AA$27,$B$9))</f>
        <v/>
      </c>
      <c r="C26" s="10" t="str">
        <f>IF(A26="","",INDEX(Configuraciones!$AB$3:$AB$27,$B$9))</f>
        <v/>
      </c>
      <c r="D26" s="10" t="str">
        <f>IF(A26="","",INDEX(Configuraciones!$AC$3:$AC$27,$B$9))</f>
        <v/>
      </c>
      <c r="E26" s="10" t="str">
        <f t="shared" si="0"/>
        <v/>
      </c>
      <c r="F26" s="10" t="str">
        <f t="shared" si="1"/>
        <v/>
      </c>
      <c r="G26" s="9" t="str">
        <f t="shared" si="2"/>
        <v/>
      </c>
      <c r="H26" s="9" t="str">
        <f t="shared" si="3"/>
        <v/>
      </c>
      <c r="I26" s="10" t="str">
        <f t="shared" si="4"/>
        <v/>
      </c>
    </row>
    <row r="27" spans="1:19" x14ac:dyDescent="0.25">
      <c r="A27" s="9" t="str">
        <f>IF(6&gt;$B$12,"",6)</f>
        <v/>
      </c>
      <c r="B27" s="9" t="str">
        <f>IF(A27="","",INDEX(Configuraciones!$AF$3:$AF$27,$B$9))</f>
        <v/>
      </c>
      <c r="C27" s="10" t="str">
        <f>IF(A27="","",INDEX(Configuraciones!$AG$3:$AG$27,$B$9))</f>
        <v/>
      </c>
      <c r="D27" s="10" t="str">
        <f>IF(A27="","",INDEX(Configuraciones!$AH$3:$AH$27,$B$9))</f>
        <v/>
      </c>
      <c r="E27" s="10" t="str">
        <f t="shared" si="0"/>
        <v/>
      </c>
      <c r="F27" s="10" t="str">
        <f t="shared" si="1"/>
        <v/>
      </c>
      <c r="G27" s="9" t="str">
        <f t="shared" si="2"/>
        <v/>
      </c>
      <c r="H27" s="9" t="str">
        <f t="shared" si="3"/>
        <v/>
      </c>
      <c r="I27" s="10" t="str">
        <f t="shared" si="4"/>
        <v/>
      </c>
    </row>
    <row r="28" spans="1:19" x14ac:dyDescent="0.25">
      <c r="A28" s="9" t="str">
        <f>IF(7&gt;$B$12,"",7)</f>
        <v/>
      </c>
      <c r="B28" s="9" t="str">
        <f>IF(A28="","",INDEX(Configuraciones!$AK$3:$AK$27,$B$9))</f>
        <v/>
      </c>
      <c r="C28" s="10" t="str">
        <f>IF(A28="","",INDEX(Configuraciones!$AL$3:$AL$27,$B$9))</f>
        <v/>
      </c>
      <c r="D28" s="10" t="str">
        <f>IF(A28="","",INDEX(Configuraciones!$AM$3:$AM$27,$B$9))</f>
        <v/>
      </c>
      <c r="E28" s="10" t="str">
        <f t="shared" si="0"/>
        <v/>
      </c>
      <c r="F28" s="10" t="str">
        <f t="shared" si="1"/>
        <v/>
      </c>
      <c r="G28" s="9" t="str">
        <f t="shared" si="2"/>
        <v/>
      </c>
      <c r="H28" s="9" t="str">
        <f t="shared" si="3"/>
        <v/>
      </c>
      <c r="I28" s="10" t="str">
        <f t="shared" si="4"/>
        <v/>
      </c>
    </row>
    <row r="29" spans="1:19" x14ac:dyDescent="0.25">
      <c r="A29" s="9" t="str">
        <f>IF(8&gt;$B$12,"",8)</f>
        <v/>
      </c>
      <c r="B29" s="9" t="str">
        <f>IF(A29="","",INDEX(Configuraciones!$AP$3:$AP$27,$B$9))</f>
        <v/>
      </c>
      <c r="C29" s="10" t="str">
        <f>IF(A29="","",INDEX(Configuraciones!$AQ$3:$AQ$27,$B$9))</f>
        <v/>
      </c>
      <c r="D29" s="10" t="str">
        <f>IF(A29="","",INDEX(Configuraciones!$AR$3:$AR$27,$B$9))</f>
        <v/>
      </c>
      <c r="E29" s="10" t="str">
        <f t="shared" si="0"/>
        <v/>
      </c>
      <c r="F29" s="10" t="str">
        <f t="shared" si="1"/>
        <v/>
      </c>
      <c r="G29" s="9" t="str">
        <f t="shared" si="2"/>
        <v/>
      </c>
      <c r="H29" s="9" t="str">
        <f t="shared" si="3"/>
        <v/>
      </c>
      <c r="I29" s="10" t="str">
        <f t="shared" si="4"/>
        <v/>
      </c>
    </row>
    <row r="30" spans="1:19" x14ac:dyDescent="0.25">
      <c r="A30" s="9" t="str">
        <f>IF(9&gt;$B$12,"",9)</f>
        <v/>
      </c>
      <c r="B30" s="9" t="str">
        <f>IF(A30="","",INDEX(Configuraciones!$AU$3:$AU$27,$B$9))</f>
        <v/>
      </c>
      <c r="C30" s="10" t="str">
        <f>IF(A30="","",INDEX(Configuraciones!$AV$3:$AV$27,$B$9))</f>
        <v/>
      </c>
      <c r="D30" s="10" t="str">
        <f>IF(A30="","",INDEX(Configuraciones!$AW$3:$AW$27,$B$9))</f>
        <v/>
      </c>
      <c r="E30" s="10" t="str">
        <f t="shared" si="0"/>
        <v/>
      </c>
      <c r="F30" s="10" t="str">
        <f t="shared" si="1"/>
        <v/>
      </c>
      <c r="G30" s="9" t="str">
        <f t="shared" si="2"/>
        <v/>
      </c>
      <c r="H30" s="9" t="str">
        <f t="shared" si="3"/>
        <v/>
      </c>
      <c r="I30" s="10" t="str">
        <f t="shared" si="4"/>
        <v/>
      </c>
    </row>
    <row r="31" spans="1:19" x14ac:dyDescent="0.25">
      <c r="A31" s="9" t="str">
        <f>IF(10&gt;$B$12,"",10)</f>
        <v/>
      </c>
      <c r="B31" s="9" t="str">
        <f>IF(A31="","",INDEX(Configuraciones!$AZ$3:$AZ$27,$B$9))</f>
        <v/>
      </c>
      <c r="C31" s="10" t="str">
        <f>IF(A31="","",INDEX(Configuraciones!$BA$3:$BA$27,$B$9))</f>
        <v/>
      </c>
      <c r="D31" s="10" t="str">
        <f>IF(A31="","",INDEX(Configuraciones!$BB$3:$BB$27,$B$9))</f>
        <v/>
      </c>
      <c r="E31" s="10" t="str">
        <f t="shared" si="0"/>
        <v/>
      </c>
      <c r="F31" s="10" t="str">
        <f t="shared" si="1"/>
        <v/>
      </c>
      <c r="G31" s="9" t="str">
        <f t="shared" si="2"/>
        <v/>
      </c>
      <c r="H31" s="9" t="str">
        <f t="shared" si="3"/>
        <v/>
      </c>
      <c r="I31" s="10" t="str">
        <f t="shared" si="4"/>
        <v/>
      </c>
    </row>
    <row r="32" spans="1:19" x14ac:dyDescent="0.25">
      <c r="A32" s="9" t="str">
        <f>IF(11&gt;$B$12,"",11)</f>
        <v/>
      </c>
      <c r="B32" s="9" t="str">
        <f>IF(A32="","",INDEX(Configuraciones!$BE$3:$BE$27,$B$9))</f>
        <v/>
      </c>
      <c r="C32" s="10" t="str">
        <f>IF(A32="","",INDEX(Configuraciones!$BF$3:$BF$27,$B$9))</f>
        <v/>
      </c>
      <c r="D32" s="10" t="str">
        <f>IF(A32="","",INDEX(Configuraciones!$BG$3:$BG$27,$B$9))</f>
        <v/>
      </c>
      <c r="E32" s="10" t="str">
        <f t="shared" si="0"/>
        <v/>
      </c>
      <c r="F32" s="10" t="str">
        <f t="shared" si="1"/>
        <v/>
      </c>
      <c r="G32" s="9" t="str">
        <f t="shared" si="2"/>
        <v/>
      </c>
      <c r="H32" s="9" t="str">
        <f t="shared" si="3"/>
        <v/>
      </c>
      <c r="I32" s="10" t="str">
        <f t="shared" si="4"/>
        <v/>
      </c>
    </row>
    <row r="33" spans="1:9" x14ac:dyDescent="0.25">
      <c r="A33" s="9" t="str">
        <f>IF(12&gt;$B$12,"",12)</f>
        <v/>
      </c>
      <c r="B33" s="9" t="str">
        <f>IF(A33="","",INDEX(Configuraciones!$BJ$3:$BJ$27,$B$9))</f>
        <v/>
      </c>
      <c r="C33" s="10" t="str">
        <f>IF(A33="","",INDEX(Configuraciones!$BK$3:$BK$27,$B$9))</f>
        <v/>
      </c>
      <c r="D33" s="10" t="str">
        <f>IF(A33="","",INDEX(Configuraciones!$BL$3:$BL$27,$B$9))</f>
        <v/>
      </c>
      <c r="E33" s="10" t="str">
        <f t="shared" si="0"/>
        <v/>
      </c>
      <c r="F33" s="10" t="str">
        <f t="shared" si="1"/>
        <v/>
      </c>
      <c r="G33" s="9" t="str">
        <f t="shared" si="2"/>
        <v/>
      </c>
      <c r="H33" s="9" t="str">
        <f t="shared" si="3"/>
        <v/>
      </c>
      <c r="I33" s="10" t="str">
        <f t="shared" si="4"/>
        <v/>
      </c>
    </row>
    <row r="34" spans="1:9" x14ac:dyDescent="0.25">
      <c r="A34" s="2" t="s">
        <v>30</v>
      </c>
    </row>
    <row r="35" spans="1:9" x14ac:dyDescent="0.25">
      <c r="A35" s="2" t="s">
        <v>31</v>
      </c>
    </row>
  </sheetData>
  <mergeCells count="10">
    <mergeCell ref="A19:H20"/>
    <mergeCell ref="B11:H11"/>
    <mergeCell ref="B5:H5"/>
    <mergeCell ref="B14:H14"/>
    <mergeCell ref="B17:H17"/>
    <mergeCell ref="B18:H18"/>
    <mergeCell ref="B13:H13"/>
    <mergeCell ref="B12:H12"/>
    <mergeCell ref="B16:H16"/>
    <mergeCell ref="B15:H15"/>
  </mergeCells>
  <conditionalFormatting sqref="A22:I33">
    <cfRule type="expression" dxfId="9" priority="1">
      <formula>AND($G22="Expansión",$I22&lt;720/$B$12)</formula>
    </cfRule>
  </conditionalFormatting>
  <pageMargins left="0.75" right="0.75" top="1" bottom="1" header="0.5" footer="0.5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Configuraciones!$A$3:$A$27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S22"/>
  <sheetViews>
    <sheetView tabSelected="1" zoomScale="70" zoomScaleNormal="70" workbookViewId="0">
      <pane xSplit="2" ySplit="5" topLeftCell="C6" activePane="bottomRight" state="frozen"/>
      <selection pane="topRight"/>
      <selection pane="bottomLeft"/>
      <selection pane="bottomRight" activeCell="BY13" sqref="BY13"/>
    </sheetView>
  </sheetViews>
  <sheetFormatPr baseColWidth="10" defaultColWidth="9.140625" defaultRowHeight="15" x14ac:dyDescent="0.25"/>
  <cols>
    <col min="1" max="1" width="18" customWidth="1"/>
    <col min="2" max="2" width="9" customWidth="1"/>
    <col min="3" max="122" width="2.42578125" customWidth="1"/>
  </cols>
  <sheetData>
    <row r="1" spans="1:123" ht="18" x14ac:dyDescent="0.25">
      <c r="A1" s="1" t="s">
        <v>32</v>
      </c>
    </row>
    <row r="2" spans="1:123" x14ac:dyDescent="0.25">
      <c r="A2" s="11" t="str">
        <f>"Configuración: "&amp;Simulador!B5&amp;"   ·   orden "&amp;Simulador!B13&amp;"   ·   "&amp;Simulador!B15</f>
        <v>Configuración: Personalizado (en línea, escriba z y el orden)   ·   orden 1-4-3-2   ·   720° / 4 = 180°</v>
      </c>
    </row>
    <row r="4" spans="1:123" x14ac:dyDescent="0.25">
      <c r="C4" s="12" t="s">
        <v>33</v>
      </c>
      <c r="R4" s="12" t="s">
        <v>34</v>
      </c>
      <c r="AG4" s="12" t="s">
        <v>35</v>
      </c>
      <c r="AV4" s="12" t="s">
        <v>36</v>
      </c>
      <c r="BK4" s="12" t="s">
        <v>37</v>
      </c>
      <c r="BZ4" s="12" t="s">
        <v>38</v>
      </c>
      <c r="CO4" s="12" t="s">
        <v>39</v>
      </c>
      <c r="DD4" s="12" t="s">
        <v>40</v>
      </c>
      <c r="DS4" s="13" t="s">
        <v>41</v>
      </c>
    </row>
    <row r="5" spans="1:123" x14ac:dyDescent="0.25">
      <c r="B5" s="14" t="s">
        <v>42</v>
      </c>
      <c r="C5" s="15">
        <v>0</v>
      </c>
      <c r="D5" s="15">
        <v>6</v>
      </c>
      <c r="E5" s="15">
        <v>12</v>
      </c>
      <c r="F5" s="15">
        <v>18</v>
      </c>
      <c r="G5" s="15">
        <v>24</v>
      </c>
      <c r="H5" s="15">
        <v>30</v>
      </c>
      <c r="I5" s="15">
        <v>36</v>
      </c>
      <c r="J5" s="15">
        <v>42</v>
      </c>
      <c r="K5" s="15">
        <v>48</v>
      </c>
      <c r="L5" s="15">
        <v>54</v>
      </c>
      <c r="M5" s="15">
        <v>60</v>
      </c>
      <c r="N5" s="15">
        <v>66</v>
      </c>
      <c r="O5" s="15">
        <v>72</v>
      </c>
      <c r="P5" s="15">
        <v>78</v>
      </c>
      <c r="Q5" s="15">
        <v>84</v>
      </c>
      <c r="R5" s="15">
        <v>90</v>
      </c>
      <c r="S5" s="15">
        <v>96</v>
      </c>
      <c r="T5" s="15">
        <v>102</v>
      </c>
      <c r="U5" s="15">
        <v>108</v>
      </c>
      <c r="V5" s="15">
        <v>114</v>
      </c>
      <c r="W5" s="15">
        <v>120</v>
      </c>
      <c r="X5" s="15">
        <v>126</v>
      </c>
      <c r="Y5" s="15">
        <v>132</v>
      </c>
      <c r="Z5" s="15">
        <v>138</v>
      </c>
      <c r="AA5" s="15">
        <v>144</v>
      </c>
      <c r="AB5" s="15">
        <v>150</v>
      </c>
      <c r="AC5" s="15">
        <v>156</v>
      </c>
      <c r="AD5" s="15">
        <v>162</v>
      </c>
      <c r="AE5" s="15">
        <v>168</v>
      </c>
      <c r="AF5" s="15">
        <v>174</v>
      </c>
      <c r="AG5" s="15">
        <v>180</v>
      </c>
      <c r="AH5" s="15">
        <v>186</v>
      </c>
      <c r="AI5" s="15">
        <v>192</v>
      </c>
      <c r="AJ5" s="15">
        <v>198</v>
      </c>
      <c r="AK5" s="15">
        <v>204</v>
      </c>
      <c r="AL5" s="15">
        <v>210</v>
      </c>
      <c r="AM5" s="15">
        <v>216</v>
      </c>
      <c r="AN5" s="15">
        <v>222</v>
      </c>
      <c r="AO5" s="15">
        <v>228</v>
      </c>
      <c r="AP5" s="15">
        <v>234</v>
      </c>
      <c r="AQ5" s="15">
        <v>240</v>
      </c>
      <c r="AR5" s="15">
        <v>246</v>
      </c>
      <c r="AS5" s="15">
        <v>252</v>
      </c>
      <c r="AT5" s="15">
        <v>258</v>
      </c>
      <c r="AU5" s="15">
        <v>264</v>
      </c>
      <c r="AV5" s="15">
        <v>270</v>
      </c>
      <c r="AW5" s="15">
        <v>276</v>
      </c>
      <c r="AX5" s="15">
        <v>282</v>
      </c>
      <c r="AY5" s="15">
        <v>288</v>
      </c>
      <c r="AZ5" s="15">
        <v>294</v>
      </c>
      <c r="BA5" s="15">
        <v>300</v>
      </c>
      <c r="BB5" s="15">
        <v>306</v>
      </c>
      <c r="BC5" s="15">
        <v>312</v>
      </c>
      <c r="BD5" s="15">
        <v>318</v>
      </c>
      <c r="BE5" s="15">
        <v>324</v>
      </c>
      <c r="BF5" s="15">
        <v>330</v>
      </c>
      <c r="BG5" s="15">
        <v>336</v>
      </c>
      <c r="BH5" s="15">
        <v>342</v>
      </c>
      <c r="BI5" s="15">
        <v>348</v>
      </c>
      <c r="BJ5" s="15">
        <v>354</v>
      </c>
      <c r="BK5" s="15">
        <v>360</v>
      </c>
      <c r="BL5" s="15">
        <v>366</v>
      </c>
      <c r="BM5" s="15">
        <v>372</v>
      </c>
      <c r="BN5" s="15">
        <v>378</v>
      </c>
      <c r="BO5" s="15">
        <v>384</v>
      </c>
      <c r="BP5" s="15">
        <v>390</v>
      </c>
      <c r="BQ5" s="15">
        <v>396</v>
      </c>
      <c r="BR5" s="15">
        <v>402</v>
      </c>
      <c r="BS5" s="15">
        <v>408</v>
      </c>
      <c r="BT5" s="15">
        <v>414</v>
      </c>
      <c r="BU5" s="15">
        <v>420</v>
      </c>
      <c r="BV5" s="15">
        <v>426</v>
      </c>
      <c r="BW5" s="15">
        <v>432</v>
      </c>
      <c r="BX5" s="15">
        <v>438</v>
      </c>
      <c r="BY5" s="15">
        <v>444</v>
      </c>
      <c r="BZ5" s="15">
        <v>450</v>
      </c>
      <c r="CA5" s="15">
        <v>456</v>
      </c>
      <c r="CB5" s="15">
        <v>462</v>
      </c>
      <c r="CC5" s="15">
        <v>468</v>
      </c>
      <c r="CD5" s="15">
        <v>474</v>
      </c>
      <c r="CE5" s="15">
        <v>480</v>
      </c>
      <c r="CF5" s="15">
        <v>486</v>
      </c>
      <c r="CG5" s="15">
        <v>492</v>
      </c>
      <c r="CH5" s="15">
        <v>498</v>
      </c>
      <c r="CI5" s="15">
        <v>504</v>
      </c>
      <c r="CJ5" s="15">
        <v>510</v>
      </c>
      <c r="CK5" s="15">
        <v>516</v>
      </c>
      <c r="CL5" s="15">
        <v>522</v>
      </c>
      <c r="CM5" s="15">
        <v>528</v>
      </c>
      <c r="CN5" s="15">
        <v>534</v>
      </c>
      <c r="CO5" s="15">
        <v>540</v>
      </c>
      <c r="CP5" s="15">
        <v>546</v>
      </c>
      <c r="CQ5" s="15">
        <v>552</v>
      </c>
      <c r="CR5" s="15">
        <v>558</v>
      </c>
      <c r="CS5" s="15">
        <v>564</v>
      </c>
      <c r="CT5" s="15">
        <v>570</v>
      </c>
      <c r="CU5" s="15">
        <v>576</v>
      </c>
      <c r="CV5" s="15">
        <v>582</v>
      </c>
      <c r="CW5" s="15">
        <v>588</v>
      </c>
      <c r="CX5" s="15">
        <v>594</v>
      </c>
      <c r="CY5" s="15">
        <v>600</v>
      </c>
      <c r="CZ5" s="15">
        <v>606</v>
      </c>
      <c r="DA5" s="15">
        <v>612</v>
      </c>
      <c r="DB5" s="15">
        <v>618</v>
      </c>
      <c r="DC5" s="15">
        <v>624</v>
      </c>
      <c r="DD5" s="15">
        <v>630</v>
      </c>
      <c r="DE5" s="15">
        <v>636</v>
      </c>
      <c r="DF5" s="15">
        <v>642</v>
      </c>
      <c r="DG5" s="15">
        <v>648</v>
      </c>
      <c r="DH5" s="15">
        <v>654</v>
      </c>
      <c r="DI5" s="15">
        <v>660</v>
      </c>
      <c r="DJ5" s="15">
        <v>666</v>
      </c>
      <c r="DK5" s="15">
        <v>672</v>
      </c>
      <c r="DL5" s="15">
        <v>678</v>
      </c>
      <c r="DM5" s="15">
        <v>684</v>
      </c>
      <c r="DN5" s="15">
        <v>690</v>
      </c>
      <c r="DO5" s="15">
        <v>696</v>
      </c>
      <c r="DP5" s="15">
        <v>702</v>
      </c>
      <c r="DQ5" s="15">
        <v>708</v>
      </c>
      <c r="DR5" s="15">
        <v>714</v>
      </c>
    </row>
    <row r="6" spans="1:123" ht="15.95" customHeight="1" x14ac:dyDescent="0.25">
      <c r="A6" s="16" t="str">
        <f>IF(1&gt;Simulador!$B$12,"","Cilindro "&amp;1)</f>
        <v>Cilindro 1</v>
      </c>
      <c r="B6" s="17">
        <f>IF(Simulador!D22="","",Simulador!D22)</f>
        <v>0</v>
      </c>
      <c r="C6" s="18" t="str">
        <f t="shared" ref="C6:L17" si="0">IF($B6="","",CHOOSE(INT(MOD(C$5+3-$B6,720)/180)+1,"EX","E","A","C"))</f>
        <v>EX</v>
      </c>
      <c r="D6" s="18" t="str">
        <f t="shared" si="0"/>
        <v>EX</v>
      </c>
      <c r="E6" s="18" t="str">
        <f t="shared" si="0"/>
        <v>EX</v>
      </c>
      <c r="F6" s="18" t="str">
        <f t="shared" si="0"/>
        <v>EX</v>
      </c>
      <c r="G6" s="18" t="str">
        <f t="shared" si="0"/>
        <v>EX</v>
      </c>
      <c r="H6" s="18" t="str">
        <f t="shared" si="0"/>
        <v>EX</v>
      </c>
      <c r="I6" s="18" t="str">
        <f t="shared" si="0"/>
        <v>EX</v>
      </c>
      <c r="J6" s="18" t="str">
        <f t="shared" si="0"/>
        <v>EX</v>
      </c>
      <c r="K6" s="18" t="str">
        <f t="shared" si="0"/>
        <v>EX</v>
      </c>
      <c r="L6" s="18" t="str">
        <f t="shared" si="0"/>
        <v>EX</v>
      </c>
      <c r="M6" s="18" t="str">
        <f t="shared" ref="M6:V17" si="1">IF($B6="","",CHOOSE(INT(MOD(M$5+3-$B6,720)/180)+1,"EX","E","A","C"))</f>
        <v>EX</v>
      </c>
      <c r="N6" s="18" t="str">
        <f t="shared" si="1"/>
        <v>EX</v>
      </c>
      <c r="O6" s="18" t="str">
        <f t="shared" si="1"/>
        <v>EX</v>
      </c>
      <c r="P6" s="18" t="str">
        <f t="shared" si="1"/>
        <v>EX</v>
      </c>
      <c r="Q6" s="18" t="str">
        <f t="shared" si="1"/>
        <v>EX</v>
      </c>
      <c r="R6" s="18" t="str">
        <f t="shared" si="1"/>
        <v>EX</v>
      </c>
      <c r="S6" s="18" t="str">
        <f t="shared" si="1"/>
        <v>EX</v>
      </c>
      <c r="T6" s="18" t="str">
        <f t="shared" si="1"/>
        <v>EX</v>
      </c>
      <c r="U6" s="18" t="str">
        <f t="shared" si="1"/>
        <v>EX</v>
      </c>
      <c r="V6" s="18" t="str">
        <f t="shared" si="1"/>
        <v>EX</v>
      </c>
      <c r="W6" s="18" t="str">
        <f t="shared" ref="W6:AF17" si="2">IF($B6="","",CHOOSE(INT(MOD(W$5+3-$B6,720)/180)+1,"EX","E","A","C"))</f>
        <v>EX</v>
      </c>
      <c r="X6" s="18" t="str">
        <f t="shared" si="2"/>
        <v>EX</v>
      </c>
      <c r="Y6" s="18" t="str">
        <f t="shared" si="2"/>
        <v>EX</v>
      </c>
      <c r="Z6" s="18" t="str">
        <f t="shared" si="2"/>
        <v>EX</v>
      </c>
      <c r="AA6" s="18" t="str">
        <f t="shared" si="2"/>
        <v>EX</v>
      </c>
      <c r="AB6" s="18" t="str">
        <f t="shared" si="2"/>
        <v>EX</v>
      </c>
      <c r="AC6" s="18" t="str">
        <f t="shared" si="2"/>
        <v>EX</v>
      </c>
      <c r="AD6" s="18" t="str">
        <f t="shared" si="2"/>
        <v>EX</v>
      </c>
      <c r="AE6" s="18" t="str">
        <f t="shared" si="2"/>
        <v>EX</v>
      </c>
      <c r="AF6" s="18" t="str">
        <f t="shared" si="2"/>
        <v>EX</v>
      </c>
      <c r="AG6" s="18" t="str">
        <f t="shared" ref="AG6:AP17" si="3">IF($B6="","",CHOOSE(INT(MOD(AG$5+3-$B6,720)/180)+1,"EX","E","A","C"))</f>
        <v>E</v>
      </c>
      <c r="AH6" s="18" t="str">
        <f t="shared" si="3"/>
        <v>E</v>
      </c>
      <c r="AI6" s="18" t="str">
        <f t="shared" si="3"/>
        <v>E</v>
      </c>
      <c r="AJ6" s="18" t="str">
        <f t="shared" si="3"/>
        <v>E</v>
      </c>
      <c r="AK6" s="18" t="str">
        <f t="shared" si="3"/>
        <v>E</v>
      </c>
      <c r="AL6" s="18" t="str">
        <f t="shared" si="3"/>
        <v>E</v>
      </c>
      <c r="AM6" s="18" t="str">
        <f t="shared" si="3"/>
        <v>E</v>
      </c>
      <c r="AN6" s="18" t="str">
        <f t="shared" si="3"/>
        <v>E</v>
      </c>
      <c r="AO6" s="18" t="str">
        <f t="shared" si="3"/>
        <v>E</v>
      </c>
      <c r="AP6" s="18" t="str">
        <f t="shared" si="3"/>
        <v>E</v>
      </c>
      <c r="AQ6" s="18" t="str">
        <f t="shared" ref="AQ6:AZ17" si="4">IF($B6="","",CHOOSE(INT(MOD(AQ$5+3-$B6,720)/180)+1,"EX","E","A","C"))</f>
        <v>E</v>
      </c>
      <c r="AR6" s="18" t="str">
        <f t="shared" si="4"/>
        <v>E</v>
      </c>
      <c r="AS6" s="18" t="str">
        <f t="shared" si="4"/>
        <v>E</v>
      </c>
      <c r="AT6" s="18" t="str">
        <f t="shared" si="4"/>
        <v>E</v>
      </c>
      <c r="AU6" s="18" t="str">
        <f t="shared" si="4"/>
        <v>E</v>
      </c>
      <c r="AV6" s="18" t="str">
        <f t="shared" si="4"/>
        <v>E</v>
      </c>
      <c r="AW6" s="18" t="str">
        <f t="shared" si="4"/>
        <v>E</v>
      </c>
      <c r="AX6" s="18" t="str">
        <f t="shared" si="4"/>
        <v>E</v>
      </c>
      <c r="AY6" s="18" t="str">
        <f t="shared" si="4"/>
        <v>E</v>
      </c>
      <c r="AZ6" s="18" t="str">
        <f t="shared" si="4"/>
        <v>E</v>
      </c>
      <c r="BA6" s="18" t="str">
        <f t="shared" ref="BA6:BJ17" si="5">IF($B6="","",CHOOSE(INT(MOD(BA$5+3-$B6,720)/180)+1,"EX","E","A","C"))</f>
        <v>E</v>
      </c>
      <c r="BB6" s="18" t="str">
        <f t="shared" si="5"/>
        <v>E</v>
      </c>
      <c r="BC6" s="18" t="str">
        <f t="shared" si="5"/>
        <v>E</v>
      </c>
      <c r="BD6" s="18" t="str">
        <f t="shared" si="5"/>
        <v>E</v>
      </c>
      <c r="BE6" s="18" t="str">
        <f t="shared" si="5"/>
        <v>E</v>
      </c>
      <c r="BF6" s="18" t="str">
        <f t="shared" si="5"/>
        <v>E</v>
      </c>
      <c r="BG6" s="18" t="str">
        <f t="shared" si="5"/>
        <v>E</v>
      </c>
      <c r="BH6" s="18" t="str">
        <f t="shared" si="5"/>
        <v>E</v>
      </c>
      <c r="BI6" s="18" t="str">
        <f t="shared" si="5"/>
        <v>E</v>
      </c>
      <c r="BJ6" s="18" t="str">
        <f t="shared" si="5"/>
        <v>E</v>
      </c>
      <c r="BK6" s="18" t="str">
        <f t="shared" ref="BK6:BT17" si="6">IF($B6="","",CHOOSE(INT(MOD(BK$5+3-$B6,720)/180)+1,"EX","E","A","C"))</f>
        <v>A</v>
      </c>
      <c r="BL6" s="18" t="str">
        <f t="shared" si="6"/>
        <v>A</v>
      </c>
      <c r="BM6" s="18" t="str">
        <f t="shared" si="6"/>
        <v>A</v>
      </c>
      <c r="BN6" s="18" t="str">
        <f t="shared" si="6"/>
        <v>A</v>
      </c>
      <c r="BO6" s="18" t="str">
        <f t="shared" si="6"/>
        <v>A</v>
      </c>
      <c r="BP6" s="18" t="str">
        <f t="shared" si="6"/>
        <v>A</v>
      </c>
      <c r="BQ6" s="18" t="str">
        <f t="shared" si="6"/>
        <v>A</v>
      </c>
      <c r="BR6" s="18" t="str">
        <f t="shared" si="6"/>
        <v>A</v>
      </c>
      <c r="BS6" s="18" t="str">
        <f t="shared" si="6"/>
        <v>A</v>
      </c>
      <c r="BT6" s="18" t="str">
        <f t="shared" si="6"/>
        <v>A</v>
      </c>
      <c r="BU6" s="18" t="str">
        <f t="shared" ref="BU6:CD17" si="7">IF($B6="","",CHOOSE(INT(MOD(BU$5+3-$B6,720)/180)+1,"EX","E","A","C"))</f>
        <v>A</v>
      </c>
      <c r="BV6" s="18" t="str">
        <f t="shared" si="7"/>
        <v>A</v>
      </c>
      <c r="BW6" s="18" t="str">
        <f t="shared" si="7"/>
        <v>A</v>
      </c>
      <c r="BX6" s="18" t="str">
        <f t="shared" si="7"/>
        <v>A</v>
      </c>
      <c r="BY6" s="18" t="str">
        <f t="shared" si="7"/>
        <v>A</v>
      </c>
      <c r="BZ6" s="18" t="str">
        <f t="shared" si="7"/>
        <v>A</v>
      </c>
      <c r="CA6" s="18" t="str">
        <f t="shared" si="7"/>
        <v>A</v>
      </c>
      <c r="CB6" s="18" t="str">
        <f t="shared" si="7"/>
        <v>A</v>
      </c>
      <c r="CC6" s="18" t="str">
        <f t="shared" si="7"/>
        <v>A</v>
      </c>
      <c r="CD6" s="18" t="str">
        <f t="shared" si="7"/>
        <v>A</v>
      </c>
      <c r="CE6" s="18" t="str">
        <f t="shared" ref="CE6:CN17" si="8">IF($B6="","",CHOOSE(INT(MOD(CE$5+3-$B6,720)/180)+1,"EX","E","A","C"))</f>
        <v>A</v>
      </c>
      <c r="CF6" s="18" t="str">
        <f t="shared" si="8"/>
        <v>A</v>
      </c>
      <c r="CG6" s="18" t="str">
        <f t="shared" si="8"/>
        <v>A</v>
      </c>
      <c r="CH6" s="18" t="str">
        <f t="shared" si="8"/>
        <v>A</v>
      </c>
      <c r="CI6" s="18" t="str">
        <f t="shared" si="8"/>
        <v>A</v>
      </c>
      <c r="CJ6" s="18" t="str">
        <f t="shared" si="8"/>
        <v>A</v>
      </c>
      <c r="CK6" s="18" t="str">
        <f t="shared" si="8"/>
        <v>A</v>
      </c>
      <c r="CL6" s="18" t="str">
        <f t="shared" si="8"/>
        <v>A</v>
      </c>
      <c r="CM6" s="18" t="str">
        <f t="shared" si="8"/>
        <v>A</v>
      </c>
      <c r="CN6" s="18" t="str">
        <f t="shared" si="8"/>
        <v>A</v>
      </c>
      <c r="CO6" s="18" t="str">
        <f t="shared" ref="CO6:CX17" si="9">IF($B6="","",CHOOSE(INT(MOD(CO$5+3-$B6,720)/180)+1,"EX","E","A","C"))</f>
        <v>C</v>
      </c>
      <c r="CP6" s="18" t="str">
        <f t="shared" si="9"/>
        <v>C</v>
      </c>
      <c r="CQ6" s="18" t="str">
        <f t="shared" si="9"/>
        <v>C</v>
      </c>
      <c r="CR6" s="18" t="str">
        <f t="shared" si="9"/>
        <v>C</v>
      </c>
      <c r="CS6" s="18" t="str">
        <f t="shared" si="9"/>
        <v>C</v>
      </c>
      <c r="CT6" s="18" t="str">
        <f t="shared" si="9"/>
        <v>C</v>
      </c>
      <c r="CU6" s="18" t="str">
        <f t="shared" si="9"/>
        <v>C</v>
      </c>
      <c r="CV6" s="18" t="str">
        <f t="shared" si="9"/>
        <v>C</v>
      </c>
      <c r="CW6" s="18" t="str">
        <f t="shared" si="9"/>
        <v>C</v>
      </c>
      <c r="CX6" s="18" t="str">
        <f t="shared" si="9"/>
        <v>C</v>
      </c>
      <c r="CY6" s="18" t="str">
        <f t="shared" ref="CY6:DH17" si="10">IF($B6="","",CHOOSE(INT(MOD(CY$5+3-$B6,720)/180)+1,"EX","E","A","C"))</f>
        <v>C</v>
      </c>
      <c r="CZ6" s="18" t="str">
        <f t="shared" si="10"/>
        <v>C</v>
      </c>
      <c r="DA6" s="18" t="str">
        <f t="shared" si="10"/>
        <v>C</v>
      </c>
      <c r="DB6" s="18" t="str">
        <f t="shared" si="10"/>
        <v>C</v>
      </c>
      <c r="DC6" s="18" t="str">
        <f t="shared" si="10"/>
        <v>C</v>
      </c>
      <c r="DD6" s="18" t="str">
        <f t="shared" si="10"/>
        <v>C</v>
      </c>
      <c r="DE6" s="18" t="str">
        <f t="shared" si="10"/>
        <v>C</v>
      </c>
      <c r="DF6" s="18" t="str">
        <f t="shared" si="10"/>
        <v>C</v>
      </c>
      <c r="DG6" s="18" t="str">
        <f t="shared" si="10"/>
        <v>C</v>
      </c>
      <c r="DH6" s="18" t="str">
        <f t="shared" si="10"/>
        <v>C</v>
      </c>
      <c r="DI6" s="18" t="str">
        <f t="shared" ref="DI6:DR17" si="11">IF($B6="","",CHOOSE(INT(MOD(DI$5+3-$B6,720)/180)+1,"EX","E","A","C"))</f>
        <v>C</v>
      </c>
      <c r="DJ6" s="18" t="str">
        <f t="shared" si="11"/>
        <v>C</v>
      </c>
      <c r="DK6" s="18" t="str">
        <f t="shared" si="11"/>
        <v>C</v>
      </c>
      <c r="DL6" s="18" t="str">
        <f t="shared" si="11"/>
        <v>C</v>
      </c>
      <c r="DM6" s="18" t="str">
        <f t="shared" si="11"/>
        <v>C</v>
      </c>
      <c r="DN6" s="18" t="str">
        <f t="shared" si="11"/>
        <v>C</v>
      </c>
      <c r="DO6" s="18" t="str">
        <f t="shared" si="11"/>
        <v>C</v>
      </c>
      <c r="DP6" s="18" t="str">
        <f t="shared" si="11"/>
        <v>C</v>
      </c>
      <c r="DQ6" s="18" t="str">
        <f t="shared" si="11"/>
        <v>C</v>
      </c>
      <c r="DR6" s="18" t="str">
        <f t="shared" si="11"/>
        <v>C</v>
      </c>
    </row>
    <row r="7" spans="1:123" ht="15.95" customHeight="1" x14ac:dyDescent="0.25">
      <c r="A7" s="16" t="str">
        <f>IF(2&gt;Simulador!$B$12,"","Cilindro "&amp;2)</f>
        <v>Cilindro 2</v>
      </c>
      <c r="B7" s="17">
        <f>IF(Simulador!D23="","",Simulador!D23)</f>
        <v>540</v>
      </c>
      <c r="C7" s="18" t="str">
        <f t="shared" si="0"/>
        <v>E</v>
      </c>
      <c r="D7" s="18" t="str">
        <f t="shared" si="0"/>
        <v>E</v>
      </c>
      <c r="E7" s="18" t="str">
        <f t="shared" si="0"/>
        <v>E</v>
      </c>
      <c r="F7" s="18" t="str">
        <f t="shared" si="0"/>
        <v>E</v>
      </c>
      <c r="G7" s="18" t="str">
        <f t="shared" si="0"/>
        <v>E</v>
      </c>
      <c r="H7" s="18" t="str">
        <f t="shared" si="0"/>
        <v>E</v>
      </c>
      <c r="I7" s="18" t="str">
        <f t="shared" si="0"/>
        <v>E</v>
      </c>
      <c r="J7" s="18" t="str">
        <f t="shared" si="0"/>
        <v>E</v>
      </c>
      <c r="K7" s="18" t="str">
        <f t="shared" si="0"/>
        <v>E</v>
      </c>
      <c r="L7" s="18" t="str">
        <f t="shared" si="0"/>
        <v>E</v>
      </c>
      <c r="M7" s="18" t="str">
        <f t="shared" si="1"/>
        <v>E</v>
      </c>
      <c r="N7" s="18" t="str">
        <f t="shared" si="1"/>
        <v>E</v>
      </c>
      <c r="O7" s="18" t="str">
        <f t="shared" si="1"/>
        <v>E</v>
      </c>
      <c r="P7" s="18" t="str">
        <f t="shared" si="1"/>
        <v>E</v>
      </c>
      <c r="Q7" s="18" t="str">
        <f t="shared" si="1"/>
        <v>E</v>
      </c>
      <c r="R7" s="18" t="str">
        <f t="shared" si="1"/>
        <v>E</v>
      </c>
      <c r="S7" s="18" t="str">
        <f t="shared" si="1"/>
        <v>E</v>
      </c>
      <c r="T7" s="18" t="str">
        <f t="shared" si="1"/>
        <v>E</v>
      </c>
      <c r="U7" s="18" t="str">
        <f t="shared" si="1"/>
        <v>E</v>
      </c>
      <c r="V7" s="18" t="str">
        <f t="shared" si="1"/>
        <v>E</v>
      </c>
      <c r="W7" s="18" t="str">
        <f t="shared" si="2"/>
        <v>E</v>
      </c>
      <c r="X7" s="18" t="str">
        <f t="shared" si="2"/>
        <v>E</v>
      </c>
      <c r="Y7" s="18" t="str">
        <f t="shared" si="2"/>
        <v>E</v>
      </c>
      <c r="Z7" s="18" t="str">
        <f t="shared" si="2"/>
        <v>E</v>
      </c>
      <c r="AA7" s="18" t="str">
        <f t="shared" si="2"/>
        <v>E</v>
      </c>
      <c r="AB7" s="18" t="str">
        <f t="shared" si="2"/>
        <v>E</v>
      </c>
      <c r="AC7" s="18" t="str">
        <f t="shared" si="2"/>
        <v>E</v>
      </c>
      <c r="AD7" s="18" t="str">
        <f t="shared" si="2"/>
        <v>E</v>
      </c>
      <c r="AE7" s="18" t="str">
        <f t="shared" si="2"/>
        <v>E</v>
      </c>
      <c r="AF7" s="18" t="str">
        <f t="shared" si="2"/>
        <v>E</v>
      </c>
      <c r="AG7" s="18" t="str">
        <f t="shared" si="3"/>
        <v>A</v>
      </c>
      <c r="AH7" s="18" t="str">
        <f t="shared" si="3"/>
        <v>A</v>
      </c>
      <c r="AI7" s="18" t="str">
        <f t="shared" si="3"/>
        <v>A</v>
      </c>
      <c r="AJ7" s="18" t="str">
        <f t="shared" si="3"/>
        <v>A</v>
      </c>
      <c r="AK7" s="18" t="str">
        <f t="shared" si="3"/>
        <v>A</v>
      </c>
      <c r="AL7" s="18" t="str">
        <f t="shared" si="3"/>
        <v>A</v>
      </c>
      <c r="AM7" s="18" t="str">
        <f t="shared" si="3"/>
        <v>A</v>
      </c>
      <c r="AN7" s="18" t="str">
        <f t="shared" si="3"/>
        <v>A</v>
      </c>
      <c r="AO7" s="18" t="str">
        <f t="shared" si="3"/>
        <v>A</v>
      </c>
      <c r="AP7" s="18" t="str">
        <f t="shared" si="3"/>
        <v>A</v>
      </c>
      <c r="AQ7" s="18" t="str">
        <f t="shared" si="4"/>
        <v>A</v>
      </c>
      <c r="AR7" s="18" t="str">
        <f t="shared" si="4"/>
        <v>A</v>
      </c>
      <c r="AS7" s="18" t="str">
        <f t="shared" si="4"/>
        <v>A</v>
      </c>
      <c r="AT7" s="18" t="str">
        <f t="shared" si="4"/>
        <v>A</v>
      </c>
      <c r="AU7" s="18" t="str">
        <f t="shared" si="4"/>
        <v>A</v>
      </c>
      <c r="AV7" s="18" t="str">
        <f t="shared" si="4"/>
        <v>A</v>
      </c>
      <c r="AW7" s="18" t="str">
        <f t="shared" si="4"/>
        <v>A</v>
      </c>
      <c r="AX7" s="18" t="str">
        <f t="shared" si="4"/>
        <v>A</v>
      </c>
      <c r="AY7" s="18" t="str">
        <f t="shared" si="4"/>
        <v>A</v>
      </c>
      <c r="AZ7" s="18" t="str">
        <f t="shared" si="4"/>
        <v>A</v>
      </c>
      <c r="BA7" s="18" t="str">
        <f t="shared" si="5"/>
        <v>A</v>
      </c>
      <c r="BB7" s="18" t="str">
        <f t="shared" si="5"/>
        <v>A</v>
      </c>
      <c r="BC7" s="18" t="str">
        <f t="shared" si="5"/>
        <v>A</v>
      </c>
      <c r="BD7" s="18" t="str">
        <f t="shared" si="5"/>
        <v>A</v>
      </c>
      <c r="BE7" s="18" t="str">
        <f t="shared" si="5"/>
        <v>A</v>
      </c>
      <c r="BF7" s="18" t="str">
        <f t="shared" si="5"/>
        <v>A</v>
      </c>
      <c r="BG7" s="18" t="str">
        <f t="shared" si="5"/>
        <v>A</v>
      </c>
      <c r="BH7" s="18" t="str">
        <f t="shared" si="5"/>
        <v>A</v>
      </c>
      <c r="BI7" s="18" t="str">
        <f t="shared" si="5"/>
        <v>A</v>
      </c>
      <c r="BJ7" s="18" t="str">
        <f t="shared" si="5"/>
        <v>A</v>
      </c>
      <c r="BK7" s="18" t="str">
        <f t="shared" si="6"/>
        <v>C</v>
      </c>
      <c r="BL7" s="18" t="str">
        <f t="shared" si="6"/>
        <v>C</v>
      </c>
      <c r="BM7" s="18" t="str">
        <f t="shared" si="6"/>
        <v>C</v>
      </c>
      <c r="BN7" s="18" t="str">
        <f t="shared" si="6"/>
        <v>C</v>
      </c>
      <c r="BO7" s="18" t="str">
        <f t="shared" si="6"/>
        <v>C</v>
      </c>
      <c r="BP7" s="18" t="str">
        <f t="shared" si="6"/>
        <v>C</v>
      </c>
      <c r="BQ7" s="18" t="str">
        <f t="shared" si="6"/>
        <v>C</v>
      </c>
      <c r="BR7" s="18" t="str">
        <f t="shared" si="6"/>
        <v>C</v>
      </c>
      <c r="BS7" s="18" t="str">
        <f t="shared" si="6"/>
        <v>C</v>
      </c>
      <c r="BT7" s="18" t="str">
        <f t="shared" si="6"/>
        <v>C</v>
      </c>
      <c r="BU7" s="18" t="str">
        <f t="shared" si="7"/>
        <v>C</v>
      </c>
      <c r="BV7" s="18" t="str">
        <f t="shared" si="7"/>
        <v>C</v>
      </c>
      <c r="BW7" s="18" t="str">
        <f t="shared" si="7"/>
        <v>C</v>
      </c>
      <c r="BX7" s="18" t="str">
        <f t="shared" si="7"/>
        <v>C</v>
      </c>
      <c r="BY7" s="18" t="str">
        <f t="shared" si="7"/>
        <v>C</v>
      </c>
      <c r="BZ7" s="18" t="str">
        <f t="shared" si="7"/>
        <v>C</v>
      </c>
      <c r="CA7" s="18" t="str">
        <f t="shared" si="7"/>
        <v>C</v>
      </c>
      <c r="CB7" s="18" t="str">
        <f t="shared" si="7"/>
        <v>C</v>
      </c>
      <c r="CC7" s="18" t="str">
        <f t="shared" si="7"/>
        <v>C</v>
      </c>
      <c r="CD7" s="18" t="str">
        <f t="shared" si="7"/>
        <v>C</v>
      </c>
      <c r="CE7" s="18" t="str">
        <f t="shared" si="8"/>
        <v>C</v>
      </c>
      <c r="CF7" s="18" t="str">
        <f t="shared" si="8"/>
        <v>C</v>
      </c>
      <c r="CG7" s="18" t="str">
        <f t="shared" si="8"/>
        <v>C</v>
      </c>
      <c r="CH7" s="18" t="str">
        <f t="shared" si="8"/>
        <v>C</v>
      </c>
      <c r="CI7" s="18" t="str">
        <f t="shared" si="8"/>
        <v>C</v>
      </c>
      <c r="CJ7" s="18" t="str">
        <f t="shared" si="8"/>
        <v>C</v>
      </c>
      <c r="CK7" s="18" t="str">
        <f t="shared" si="8"/>
        <v>C</v>
      </c>
      <c r="CL7" s="18" t="str">
        <f t="shared" si="8"/>
        <v>C</v>
      </c>
      <c r="CM7" s="18" t="str">
        <f t="shared" si="8"/>
        <v>C</v>
      </c>
      <c r="CN7" s="18" t="str">
        <f t="shared" si="8"/>
        <v>C</v>
      </c>
      <c r="CO7" s="18" t="str">
        <f t="shared" si="9"/>
        <v>EX</v>
      </c>
      <c r="CP7" s="18" t="str">
        <f t="shared" si="9"/>
        <v>EX</v>
      </c>
      <c r="CQ7" s="18" t="str">
        <f t="shared" si="9"/>
        <v>EX</v>
      </c>
      <c r="CR7" s="18" t="str">
        <f t="shared" si="9"/>
        <v>EX</v>
      </c>
      <c r="CS7" s="18" t="str">
        <f t="shared" si="9"/>
        <v>EX</v>
      </c>
      <c r="CT7" s="18" t="str">
        <f t="shared" si="9"/>
        <v>EX</v>
      </c>
      <c r="CU7" s="18" t="str">
        <f t="shared" si="9"/>
        <v>EX</v>
      </c>
      <c r="CV7" s="18" t="str">
        <f t="shared" si="9"/>
        <v>EX</v>
      </c>
      <c r="CW7" s="18" t="str">
        <f t="shared" si="9"/>
        <v>EX</v>
      </c>
      <c r="CX7" s="18" t="str">
        <f t="shared" si="9"/>
        <v>EX</v>
      </c>
      <c r="CY7" s="18" t="str">
        <f t="shared" si="10"/>
        <v>EX</v>
      </c>
      <c r="CZ7" s="18" t="str">
        <f t="shared" si="10"/>
        <v>EX</v>
      </c>
      <c r="DA7" s="18" t="str">
        <f t="shared" si="10"/>
        <v>EX</v>
      </c>
      <c r="DB7" s="18" t="str">
        <f t="shared" si="10"/>
        <v>EX</v>
      </c>
      <c r="DC7" s="18" t="str">
        <f t="shared" si="10"/>
        <v>EX</v>
      </c>
      <c r="DD7" s="18" t="str">
        <f t="shared" si="10"/>
        <v>EX</v>
      </c>
      <c r="DE7" s="18" t="str">
        <f t="shared" si="10"/>
        <v>EX</v>
      </c>
      <c r="DF7" s="18" t="str">
        <f t="shared" si="10"/>
        <v>EX</v>
      </c>
      <c r="DG7" s="18" t="str">
        <f t="shared" si="10"/>
        <v>EX</v>
      </c>
      <c r="DH7" s="18" t="str">
        <f t="shared" si="10"/>
        <v>EX</v>
      </c>
      <c r="DI7" s="18" t="str">
        <f t="shared" si="11"/>
        <v>EX</v>
      </c>
      <c r="DJ7" s="18" t="str">
        <f t="shared" si="11"/>
        <v>EX</v>
      </c>
      <c r="DK7" s="18" t="str">
        <f t="shared" si="11"/>
        <v>EX</v>
      </c>
      <c r="DL7" s="18" t="str">
        <f t="shared" si="11"/>
        <v>EX</v>
      </c>
      <c r="DM7" s="18" t="str">
        <f t="shared" si="11"/>
        <v>EX</v>
      </c>
      <c r="DN7" s="18" t="str">
        <f t="shared" si="11"/>
        <v>EX</v>
      </c>
      <c r="DO7" s="18" t="str">
        <f t="shared" si="11"/>
        <v>EX</v>
      </c>
      <c r="DP7" s="18" t="str">
        <f t="shared" si="11"/>
        <v>EX</v>
      </c>
      <c r="DQ7" s="18" t="str">
        <f t="shared" si="11"/>
        <v>EX</v>
      </c>
      <c r="DR7" s="18" t="str">
        <f t="shared" si="11"/>
        <v>EX</v>
      </c>
    </row>
    <row r="8" spans="1:123" ht="15.95" customHeight="1" x14ac:dyDescent="0.25">
      <c r="A8" s="16" t="str">
        <f>IF(3&gt;Simulador!$B$12,"","Cilindro "&amp;3)</f>
        <v>Cilindro 3</v>
      </c>
      <c r="B8" s="17">
        <f>IF(Simulador!D24="","",Simulador!D24)</f>
        <v>360</v>
      </c>
      <c r="C8" s="18" t="str">
        <f t="shared" si="0"/>
        <v>A</v>
      </c>
      <c r="D8" s="18" t="str">
        <f t="shared" si="0"/>
        <v>A</v>
      </c>
      <c r="E8" s="18" t="str">
        <f t="shared" si="0"/>
        <v>A</v>
      </c>
      <c r="F8" s="18" t="str">
        <f t="shared" si="0"/>
        <v>A</v>
      </c>
      <c r="G8" s="18" t="str">
        <f t="shared" si="0"/>
        <v>A</v>
      </c>
      <c r="H8" s="18" t="str">
        <f t="shared" si="0"/>
        <v>A</v>
      </c>
      <c r="I8" s="18" t="str">
        <f t="shared" si="0"/>
        <v>A</v>
      </c>
      <c r="J8" s="18" t="str">
        <f t="shared" si="0"/>
        <v>A</v>
      </c>
      <c r="K8" s="18" t="str">
        <f t="shared" si="0"/>
        <v>A</v>
      </c>
      <c r="L8" s="18" t="str">
        <f t="shared" si="0"/>
        <v>A</v>
      </c>
      <c r="M8" s="18" t="str">
        <f t="shared" si="1"/>
        <v>A</v>
      </c>
      <c r="N8" s="18" t="str">
        <f t="shared" si="1"/>
        <v>A</v>
      </c>
      <c r="O8" s="18" t="str">
        <f t="shared" si="1"/>
        <v>A</v>
      </c>
      <c r="P8" s="18" t="str">
        <f t="shared" si="1"/>
        <v>A</v>
      </c>
      <c r="Q8" s="18" t="str">
        <f t="shared" si="1"/>
        <v>A</v>
      </c>
      <c r="R8" s="18" t="str">
        <f t="shared" si="1"/>
        <v>A</v>
      </c>
      <c r="S8" s="18" t="str">
        <f t="shared" si="1"/>
        <v>A</v>
      </c>
      <c r="T8" s="18" t="str">
        <f t="shared" si="1"/>
        <v>A</v>
      </c>
      <c r="U8" s="18" t="str">
        <f t="shared" si="1"/>
        <v>A</v>
      </c>
      <c r="V8" s="18" t="str">
        <f t="shared" si="1"/>
        <v>A</v>
      </c>
      <c r="W8" s="18" t="str">
        <f t="shared" si="2"/>
        <v>A</v>
      </c>
      <c r="X8" s="18" t="str">
        <f t="shared" si="2"/>
        <v>A</v>
      </c>
      <c r="Y8" s="18" t="str">
        <f t="shared" si="2"/>
        <v>A</v>
      </c>
      <c r="Z8" s="18" t="str">
        <f t="shared" si="2"/>
        <v>A</v>
      </c>
      <c r="AA8" s="18" t="str">
        <f t="shared" si="2"/>
        <v>A</v>
      </c>
      <c r="AB8" s="18" t="str">
        <f t="shared" si="2"/>
        <v>A</v>
      </c>
      <c r="AC8" s="18" t="str">
        <f t="shared" si="2"/>
        <v>A</v>
      </c>
      <c r="AD8" s="18" t="str">
        <f t="shared" si="2"/>
        <v>A</v>
      </c>
      <c r="AE8" s="18" t="str">
        <f t="shared" si="2"/>
        <v>A</v>
      </c>
      <c r="AF8" s="18" t="str">
        <f t="shared" si="2"/>
        <v>A</v>
      </c>
      <c r="AG8" s="18" t="str">
        <f t="shared" si="3"/>
        <v>C</v>
      </c>
      <c r="AH8" s="18" t="str">
        <f t="shared" si="3"/>
        <v>C</v>
      </c>
      <c r="AI8" s="18" t="str">
        <f t="shared" si="3"/>
        <v>C</v>
      </c>
      <c r="AJ8" s="18" t="str">
        <f t="shared" si="3"/>
        <v>C</v>
      </c>
      <c r="AK8" s="18" t="str">
        <f t="shared" si="3"/>
        <v>C</v>
      </c>
      <c r="AL8" s="18" t="str">
        <f t="shared" si="3"/>
        <v>C</v>
      </c>
      <c r="AM8" s="18" t="str">
        <f t="shared" si="3"/>
        <v>C</v>
      </c>
      <c r="AN8" s="18" t="str">
        <f t="shared" si="3"/>
        <v>C</v>
      </c>
      <c r="AO8" s="18" t="str">
        <f t="shared" si="3"/>
        <v>C</v>
      </c>
      <c r="AP8" s="18" t="str">
        <f t="shared" si="3"/>
        <v>C</v>
      </c>
      <c r="AQ8" s="18" t="str">
        <f t="shared" si="4"/>
        <v>C</v>
      </c>
      <c r="AR8" s="18" t="str">
        <f t="shared" si="4"/>
        <v>C</v>
      </c>
      <c r="AS8" s="18" t="str">
        <f t="shared" si="4"/>
        <v>C</v>
      </c>
      <c r="AT8" s="18" t="str">
        <f t="shared" si="4"/>
        <v>C</v>
      </c>
      <c r="AU8" s="18" t="str">
        <f t="shared" si="4"/>
        <v>C</v>
      </c>
      <c r="AV8" s="18" t="str">
        <f t="shared" si="4"/>
        <v>C</v>
      </c>
      <c r="AW8" s="18" t="str">
        <f t="shared" si="4"/>
        <v>C</v>
      </c>
      <c r="AX8" s="18" t="str">
        <f t="shared" si="4"/>
        <v>C</v>
      </c>
      <c r="AY8" s="18" t="str">
        <f t="shared" si="4"/>
        <v>C</v>
      </c>
      <c r="AZ8" s="18" t="str">
        <f t="shared" si="4"/>
        <v>C</v>
      </c>
      <c r="BA8" s="18" t="str">
        <f t="shared" si="5"/>
        <v>C</v>
      </c>
      <c r="BB8" s="18" t="str">
        <f t="shared" si="5"/>
        <v>C</v>
      </c>
      <c r="BC8" s="18" t="str">
        <f t="shared" si="5"/>
        <v>C</v>
      </c>
      <c r="BD8" s="18" t="str">
        <f t="shared" si="5"/>
        <v>C</v>
      </c>
      <c r="BE8" s="18" t="str">
        <f t="shared" si="5"/>
        <v>C</v>
      </c>
      <c r="BF8" s="18" t="str">
        <f t="shared" si="5"/>
        <v>C</v>
      </c>
      <c r="BG8" s="18" t="str">
        <f t="shared" si="5"/>
        <v>C</v>
      </c>
      <c r="BH8" s="18" t="str">
        <f t="shared" si="5"/>
        <v>C</v>
      </c>
      <c r="BI8" s="18" t="str">
        <f t="shared" si="5"/>
        <v>C</v>
      </c>
      <c r="BJ8" s="18" t="str">
        <f t="shared" si="5"/>
        <v>C</v>
      </c>
      <c r="BK8" s="18" t="str">
        <f t="shared" si="6"/>
        <v>EX</v>
      </c>
      <c r="BL8" s="18" t="str">
        <f t="shared" si="6"/>
        <v>EX</v>
      </c>
      <c r="BM8" s="18" t="str">
        <f t="shared" si="6"/>
        <v>EX</v>
      </c>
      <c r="BN8" s="18" t="str">
        <f t="shared" si="6"/>
        <v>EX</v>
      </c>
      <c r="BO8" s="18" t="str">
        <f t="shared" si="6"/>
        <v>EX</v>
      </c>
      <c r="BP8" s="18" t="str">
        <f t="shared" si="6"/>
        <v>EX</v>
      </c>
      <c r="BQ8" s="18" t="str">
        <f t="shared" si="6"/>
        <v>EX</v>
      </c>
      <c r="BR8" s="18" t="str">
        <f t="shared" si="6"/>
        <v>EX</v>
      </c>
      <c r="BS8" s="18" t="str">
        <f t="shared" si="6"/>
        <v>EX</v>
      </c>
      <c r="BT8" s="18" t="str">
        <f t="shared" si="6"/>
        <v>EX</v>
      </c>
      <c r="BU8" s="18" t="str">
        <f t="shared" si="7"/>
        <v>EX</v>
      </c>
      <c r="BV8" s="18" t="str">
        <f t="shared" si="7"/>
        <v>EX</v>
      </c>
      <c r="BW8" s="18" t="str">
        <f t="shared" si="7"/>
        <v>EX</v>
      </c>
      <c r="BX8" s="18" t="str">
        <f t="shared" si="7"/>
        <v>EX</v>
      </c>
      <c r="BY8" s="18" t="str">
        <f t="shared" si="7"/>
        <v>EX</v>
      </c>
      <c r="BZ8" s="18" t="str">
        <f t="shared" si="7"/>
        <v>EX</v>
      </c>
      <c r="CA8" s="18" t="str">
        <f t="shared" si="7"/>
        <v>EX</v>
      </c>
      <c r="CB8" s="18" t="str">
        <f t="shared" si="7"/>
        <v>EX</v>
      </c>
      <c r="CC8" s="18" t="str">
        <f t="shared" si="7"/>
        <v>EX</v>
      </c>
      <c r="CD8" s="18" t="str">
        <f t="shared" si="7"/>
        <v>EX</v>
      </c>
      <c r="CE8" s="18" t="str">
        <f t="shared" si="8"/>
        <v>EX</v>
      </c>
      <c r="CF8" s="18" t="str">
        <f t="shared" si="8"/>
        <v>EX</v>
      </c>
      <c r="CG8" s="18" t="str">
        <f t="shared" si="8"/>
        <v>EX</v>
      </c>
      <c r="CH8" s="18" t="str">
        <f t="shared" si="8"/>
        <v>EX</v>
      </c>
      <c r="CI8" s="18" t="str">
        <f t="shared" si="8"/>
        <v>EX</v>
      </c>
      <c r="CJ8" s="18" t="str">
        <f t="shared" si="8"/>
        <v>EX</v>
      </c>
      <c r="CK8" s="18" t="str">
        <f t="shared" si="8"/>
        <v>EX</v>
      </c>
      <c r="CL8" s="18" t="str">
        <f t="shared" si="8"/>
        <v>EX</v>
      </c>
      <c r="CM8" s="18" t="str">
        <f t="shared" si="8"/>
        <v>EX</v>
      </c>
      <c r="CN8" s="18" t="str">
        <f t="shared" si="8"/>
        <v>EX</v>
      </c>
      <c r="CO8" s="18" t="str">
        <f t="shared" si="9"/>
        <v>E</v>
      </c>
      <c r="CP8" s="18" t="str">
        <f t="shared" si="9"/>
        <v>E</v>
      </c>
      <c r="CQ8" s="18" t="str">
        <f t="shared" si="9"/>
        <v>E</v>
      </c>
      <c r="CR8" s="18" t="str">
        <f t="shared" si="9"/>
        <v>E</v>
      </c>
      <c r="CS8" s="18" t="str">
        <f t="shared" si="9"/>
        <v>E</v>
      </c>
      <c r="CT8" s="18" t="str">
        <f t="shared" si="9"/>
        <v>E</v>
      </c>
      <c r="CU8" s="18" t="str">
        <f t="shared" si="9"/>
        <v>E</v>
      </c>
      <c r="CV8" s="18" t="str">
        <f t="shared" si="9"/>
        <v>E</v>
      </c>
      <c r="CW8" s="18" t="str">
        <f t="shared" si="9"/>
        <v>E</v>
      </c>
      <c r="CX8" s="18" t="str">
        <f t="shared" si="9"/>
        <v>E</v>
      </c>
      <c r="CY8" s="18" t="str">
        <f t="shared" si="10"/>
        <v>E</v>
      </c>
      <c r="CZ8" s="18" t="str">
        <f t="shared" si="10"/>
        <v>E</v>
      </c>
      <c r="DA8" s="18" t="str">
        <f t="shared" si="10"/>
        <v>E</v>
      </c>
      <c r="DB8" s="18" t="str">
        <f t="shared" si="10"/>
        <v>E</v>
      </c>
      <c r="DC8" s="18" t="str">
        <f t="shared" si="10"/>
        <v>E</v>
      </c>
      <c r="DD8" s="18" t="str">
        <f t="shared" si="10"/>
        <v>E</v>
      </c>
      <c r="DE8" s="18" t="str">
        <f t="shared" si="10"/>
        <v>E</v>
      </c>
      <c r="DF8" s="18" t="str">
        <f t="shared" si="10"/>
        <v>E</v>
      </c>
      <c r="DG8" s="18" t="str">
        <f t="shared" si="10"/>
        <v>E</v>
      </c>
      <c r="DH8" s="18" t="str">
        <f t="shared" si="10"/>
        <v>E</v>
      </c>
      <c r="DI8" s="18" t="str">
        <f t="shared" si="11"/>
        <v>E</v>
      </c>
      <c r="DJ8" s="18" t="str">
        <f t="shared" si="11"/>
        <v>E</v>
      </c>
      <c r="DK8" s="18" t="str">
        <f t="shared" si="11"/>
        <v>E</v>
      </c>
      <c r="DL8" s="18" t="str">
        <f t="shared" si="11"/>
        <v>E</v>
      </c>
      <c r="DM8" s="18" t="str">
        <f t="shared" si="11"/>
        <v>E</v>
      </c>
      <c r="DN8" s="18" t="str">
        <f t="shared" si="11"/>
        <v>E</v>
      </c>
      <c r="DO8" s="18" t="str">
        <f t="shared" si="11"/>
        <v>E</v>
      </c>
      <c r="DP8" s="18" t="str">
        <f t="shared" si="11"/>
        <v>E</v>
      </c>
      <c r="DQ8" s="18" t="str">
        <f t="shared" si="11"/>
        <v>E</v>
      </c>
      <c r="DR8" s="18" t="str">
        <f t="shared" si="11"/>
        <v>E</v>
      </c>
    </row>
    <row r="9" spans="1:123" ht="15.95" customHeight="1" x14ac:dyDescent="0.25">
      <c r="A9" s="16" t="str">
        <f>IF(4&gt;Simulador!$B$12,"","Cilindro "&amp;4)</f>
        <v>Cilindro 4</v>
      </c>
      <c r="B9" s="17">
        <f>IF(Simulador!D25="","",Simulador!D25)</f>
        <v>180</v>
      </c>
      <c r="C9" s="18" t="str">
        <f t="shared" si="0"/>
        <v>C</v>
      </c>
      <c r="D9" s="18" t="str">
        <f t="shared" si="0"/>
        <v>C</v>
      </c>
      <c r="E9" s="18" t="str">
        <f t="shared" si="0"/>
        <v>C</v>
      </c>
      <c r="F9" s="18" t="str">
        <f t="shared" si="0"/>
        <v>C</v>
      </c>
      <c r="G9" s="18" t="str">
        <f t="shared" si="0"/>
        <v>C</v>
      </c>
      <c r="H9" s="18" t="str">
        <f t="shared" si="0"/>
        <v>C</v>
      </c>
      <c r="I9" s="18" t="str">
        <f t="shared" si="0"/>
        <v>C</v>
      </c>
      <c r="J9" s="18" t="str">
        <f t="shared" si="0"/>
        <v>C</v>
      </c>
      <c r="K9" s="18" t="str">
        <f t="shared" si="0"/>
        <v>C</v>
      </c>
      <c r="L9" s="18" t="str">
        <f t="shared" si="0"/>
        <v>C</v>
      </c>
      <c r="M9" s="18" t="str">
        <f t="shared" si="1"/>
        <v>C</v>
      </c>
      <c r="N9" s="18" t="str">
        <f t="shared" si="1"/>
        <v>C</v>
      </c>
      <c r="O9" s="18" t="str">
        <f t="shared" si="1"/>
        <v>C</v>
      </c>
      <c r="P9" s="18" t="str">
        <f t="shared" si="1"/>
        <v>C</v>
      </c>
      <c r="Q9" s="18" t="str">
        <f t="shared" si="1"/>
        <v>C</v>
      </c>
      <c r="R9" s="18" t="str">
        <f t="shared" si="1"/>
        <v>C</v>
      </c>
      <c r="S9" s="18" t="str">
        <f t="shared" si="1"/>
        <v>C</v>
      </c>
      <c r="T9" s="18" t="str">
        <f t="shared" si="1"/>
        <v>C</v>
      </c>
      <c r="U9" s="18" t="str">
        <f t="shared" si="1"/>
        <v>C</v>
      </c>
      <c r="V9" s="18" t="str">
        <f t="shared" si="1"/>
        <v>C</v>
      </c>
      <c r="W9" s="18" t="str">
        <f t="shared" si="2"/>
        <v>C</v>
      </c>
      <c r="X9" s="18" t="str">
        <f t="shared" si="2"/>
        <v>C</v>
      </c>
      <c r="Y9" s="18" t="str">
        <f t="shared" si="2"/>
        <v>C</v>
      </c>
      <c r="Z9" s="18" t="str">
        <f t="shared" si="2"/>
        <v>C</v>
      </c>
      <c r="AA9" s="18" t="str">
        <f t="shared" si="2"/>
        <v>C</v>
      </c>
      <c r="AB9" s="18" t="str">
        <f t="shared" si="2"/>
        <v>C</v>
      </c>
      <c r="AC9" s="18" t="str">
        <f t="shared" si="2"/>
        <v>C</v>
      </c>
      <c r="AD9" s="18" t="str">
        <f t="shared" si="2"/>
        <v>C</v>
      </c>
      <c r="AE9" s="18" t="str">
        <f t="shared" si="2"/>
        <v>C</v>
      </c>
      <c r="AF9" s="18" t="str">
        <f t="shared" si="2"/>
        <v>C</v>
      </c>
      <c r="AG9" s="18" t="str">
        <f t="shared" si="3"/>
        <v>EX</v>
      </c>
      <c r="AH9" s="18" t="str">
        <f t="shared" si="3"/>
        <v>EX</v>
      </c>
      <c r="AI9" s="18" t="str">
        <f t="shared" si="3"/>
        <v>EX</v>
      </c>
      <c r="AJ9" s="18" t="str">
        <f t="shared" si="3"/>
        <v>EX</v>
      </c>
      <c r="AK9" s="18" t="str">
        <f t="shared" si="3"/>
        <v>EX</v>
      </c>
      <c r="AL9" s="18" t="str">
        <f t="shared" si="3"/>
        <v>EX</v>
      </c>
      <c r="AM9" s="18" t="str">
        <f t="shared" si="3"/>
        <v>EX</v>
      </c>
      <c r="AN9" s="18" t="str">
        <f t="shared" si="3"/>
        <v>EX</v>
      </c>
      <c r="AO9" s="18" t="str">
        <f t="shared" si="3"/>
        <v>EX</v>
      </c>
      <c r="AP9" s="18" t="str">
        <f t="shared" si="3"/>
        <v>EX</v>
      </c>
      <c r="AQ9" s="18" t="str">
        <f t="shared" si="4"/>
        <v>EX</v>
      </c>
      <c r="AR9" s="18" t="str">
        <f t="shared" si="4"/>
        <v>EX</v>
      </c>
      <c r="AS9" s="18" t="str">
        <f t="shared" si="4"/>
        <v>EX</v>
      </c>
      <c r="AT9" s="18" t="str">
        <f t="shared" si="4"/>
        <v>EX</v>
      </c>
      <c r="AU9" s="18" t="str">
        <f t="shared" si="4"/>
        <v>EX</v>
      </c>
      <c r="AV9" s="18" t="str">
        <f t="shared" si="4"/>
        <v>EX</v>
      </c>
      <c r="AW9" s="18" t="str">
        <f t="shared" si="4"/>
        <v>EX</v>
      </c>
      <c r="AX9" s="18" t="str">
        <f t="shared" si="4"/>
        <v>EX</v>
      </c>
      <c r="AY9" s="18" t="str">
        <f t="shared" si="4"/>
        <v>EX</v>
      </c>
      <c r="AZ9" s="18" t="str">
        <f t="shared" si="4"/>
        <v>EX</v>
      </c>
      <c r="BA9" s="18" t="str">
        <f t="shared" si="5"/>
        <v>EX</v>
      </c>
      <c r="BB9" s="18" t="str">
        <f t="shared" si="5"/>
        <v>EX</v>
      </c>
      <c r="BC9" s="18" t="str">
        <f t="shared" si="5"/>
        <v>EX</v>
      </c>
      <c r="BD9" s="18" t="str">
        <f t="shared" si="5"/>
        <v>EX</v>
      </c>
      <c r="BE9" s="18" t="str">
        <f t="shared" si="5"/>
        <v>EX</v>
      </c>
      <c r="BF9" s="18" t="str">
        <f t="shared" si="5"/>
        <v>EX</v>
      </c>
      <c r="BG9" s="18" t="str">
        <f t="shared" si="5"/>
        <v>EX</v>
      </c>
      <c r="BH9" s="18" t="str">
        <f t="shared" si="5"/>
        <v>EX</v>
      </c>
      <c r="BI9" s="18" t="str">
        <f t="shared" si="5"/>
        <v>EX</v>
      </c>
      <c r="BJ9" s="18" t="str">
        <f t="shared" si="5"/>
        <v>EX</v>
      </c>
      <c r="BK9" s="18" t="str">
        <f t="shared" si="6"/>
        <v>E</v>
      </c>
      <c r="BL9" s="18" t="str">
        <f t="shared" si="6"/>
        <v>E</v>
      </c>
      <c r="BM9" s="18" t="str">
        <f t="shared" si="6"/>
        <v>E</v>
      </c>
      <c r="BN9" s="18" t="str">
        <f t="shared" si="6"/>
        <v>E</v>
      </c>
      <c r="BO9" s="18" t="str">
        <f t="shared" si="6"/>
        <v>E</v>
      </c>
      <c r="BP9" s="18" t="str">
        <f t="shared" si="6"/>
        <v>E</v>
      </c>
      <c r="BQ9" s="18" t="str">
        <f t="shared" si="6"/>
        <v>E</v>
      </c>
      <c r="BR9" s="18" t="str">
        <f t="shared" si="6"/>
        <v>E</v>
      </c>
      <c r="BS9" s="18" t="str">
        <f t="shared" si="6"/>
        <v>E</v>
      </c>
      <c r="BT9" s="18" t="str">
        <f t="shared" si="6"/>
        <v>E</v>
      </c>
      <c r="BU9" s="18" t="str">
        <f t="shared" si="7"/>
        <v>E</v>
      </c>
      <c r="BV9" s="18" t="str">
        <f t="shared" si="7"/>
        <v>E</v>
      </c>
      <c r="BW9" s="18" t="str">
        <f t="shared" si="7"/>
        <v>E</v>
      </c>
      <c r="BX9" s="18" t="str">
        <f t="shared" si="7"/>
        <v>E</v>
      </c>
      <c r="BY9" s="18" t="str">
        <f t="shared" si="7"/>
        <v>E</v>
      </c>
      <c r="BZ9" s="18" t="str">
        <f t="shared" si="7"/>
        <v>E</v>
      </c>
      <c r="CA9" s="18" t="str">
        <f t="shared" si="7"/>
        <v>E</v>
      </c>
      <c r="CB9" s="18" t="str">
        <f t="shared" si="7"/>
        <v>E</v>
      </c>
      <c r="CC9" s="18" t="str">
        <f t="shared" si="7"/>
        <v>E</v>
      </c>
      <c r="CD9" s="18" t="str">
        <f t="shared" si="7"/>
        <v>E</v>
      </c>
      <c r="CE9" s="18" t="str">
        <f t="shared" si="8"/>
        <v>E</v>
      </c>
      <c r="CF9" s="18" t="str">
        <f t="shared" si="8"/>
        <v>E</v>
      </c>
      <c r="CG9" s="18" t="str">
        <f t="shared" si="8"/>
        <v>E</v>
      </c>
      <c r="CH9" s="18" t="str">
        <f t="shared" si="8"/>
        <v>E</v>
      </c>
      <c r="CI9" s="18" t="str">
        <f t="shared" si="8"/>
        <v>E</v>
      </c>
      <c r="CJ9" s="18" t="str">
        <f t="shared" si="8"/>
        <v>E</v>
      </c>
      <c r="CK9" s="18" t="str">
        <f t="shared" si="8"/>
        <v>E</v>
      </c>
      <c r="CL9" s="18" t="str">
        <f t="shared" si="8"/>
        <v>E</v>
      </c>
      <c r="CM9" s="18" t="str">
        <f t="shared" si="8"/>
        <v>E</v>
      </c>
      <c r="CN9" s="18" t="str">
        <f t="shared" si="8"/>
        <v>E</v>
      </c>
      <c r="CO9" s="18" t="str">
        <f t="shared" si="9"/>
        <v>A</v>
      </c>
      <c r="CP9" s="18" t="str">
        <f t="shared" si="9"/>
        <v>A</v>
      </c>
      <c r="CQ9" s="18" t="str">
        <f t="shared" si="9"/>
        <v>A</v>
      </c>
      <c r="CR9" s="18" t="str">
        <f t="shared" si="9"/>
        <v>A</v>
      </c>
      <c r="CS9" s="18" t="str">
        <f t="shared" si="9"/>
        <v>A</v>
      </c>
      <c r="CT9" s="18" t="str">
        <f t="shared" si="9"/>
        <v>A</v>
      </c>
      <c r="CU9" s="18" t="str">
        <f t="shared" si="9"/>
        <v>A</v>
      </c>
      <c r="CV9" s="18" t="str">
        <f t="shared" si="9"/>
        <v>A</v>
      </c>
      <c r="CW9" s="18" t="str">
        <f t="shared" si="9"/>
        <v>A</v>
      </c>
      <c r="CX9" s="18" t="str">
        <f t="shared" si="9"/>
        <v>A</v>
      </c>
      <c r="CY9" s="18" t="str">
        <f t="shared" si="10"/>
        <v>A</v>
      </c>
      <c r="CZ9" s="18" t="str">
        <f t="shared" si="10"/>
        <v>A</v>
      </c>
      <c r="DA9" s="18" t="str">
        <f t="shared" si="10"/>
        <v>A</v>
      </c>
      <c r="DB9" s="18" t="str">
        <f t="shared" si="10"/>
        <v>A</v>
      </c>
      <c r="DC9" s="18" t="str">
        <f t="shared" si="10"/>
        <v>A</v>
      </c>
      <c r="DD9" s="18" t="str">
        <f t="shared" si="10"/>
        <v>A</v>
      </c>
      <c r="DE9" s="18" t="str">
        <f t="shared" si="10"/>
        <v>A</v>
      </c>
      <c r="DF9" s="18" t="str">
        <f t="shared" si="10"/>
        <v>A</v>
      </c>
      <c r="DG9" s="18" t="str">
        <f t="shared" si="10"/>
        <v>A</v>
      </c>
      <c r="DH9" s="18" t="str">
        <f t="shared" si="10"/>
        <v>A</v>
      </c>
      <c r="DI9" s="18" t="str">
        <f t="shared" si="11"/>
        <v>A</v>
      </c>
      <c r="DJ9" s="18" t="str">
        <f t="shared" si="11"/>
        <v>A</v>
      </c>
      <c r="DK9" s="18" t="str">
        <f t="shared" si="11"/>
        <v>A</v>
      </c>
      <c r="DL9" s="18" t="str">
        <f t="shared" si="11"/>
        <v>A</v>
      </c>
      <c r="DM9" s="18" t="str">
        <f t="shared" si="11"/>
        <v>A</v>
      </c>
      <c r="DN9" s="18" t="str">
        <f t="shared" si="11"/>
        <v>A</v>
      </c>
      <c r="DO9" s="18" t="str">
        <f t="shared" si="11"/>
        <v>A</v>
      </c>
      <c r="DP9" s="18" t="str">
        <f t="shared" si="11"/>
        <v>A</v>
      </c>
      <c r="DQ9" s="18" t="str">
        <f t="shared" si="11"/>
        <v>A</v>
      </c>
      <c r="DR9" s="18" t="str">
        <f t="shared" si="11"/>
        <v>A</v>
      </c>
    </row>
    <row r="10" spans="1:123" ht="15.95" customHeight="1" x14ac:dyDescent="0.25">
      <c r="A10" s="16" t="str">
        <f>IF(5&gt;Simulador!$B$12,"","Cilindro "&amp;5)</f>
        <v/>
      </c>
      <c r="B10" s="17" t="str">
        <f>IF(Simulador!D26="","",Simulador!D26)</f>
        <v/>
      </c>
      <c r="C10" s="18" t="str">
        <f t="shared" si="0"/>
        <v/>
      </c>
      <c r="D10" s="18" t="str">
        <f t="shared" si="0"/>
        <v/>
      </c>
      <c r="E10" s="18" t="str">
        <f t="shared" si="0"/>
        <v/>
      </c>
      <c r="F10" s="18" t="str">
        <f t="shared" si="0"/>
        <v/>
      </c>
      <c r="G10" s="18" t="str">
        <f t="shared" si="0"/>
        <v/>
      </c>
      <c r="H10" s="18" t="str">
        <f t="shared" si="0"/>
        <v/>
      </c>
      <c r="I10" s="18" t="str">
        <f t="shared" si="0"/>
        <v/>
      </c>
      <c r="J10" s="18" t="str">
        <f t="shared" si="0"/>
        <v/>
      </c>
      <c r="K10" s="18" t="str">
        <f t="shared" si="0"/>
        <v/>
      </c>
      <c r="L10" s="18" t="str">
        <f t="shared" si="0"/>
        <v/>
      </c>
      <c r="M10" s="18" t="str">
        <f t="shared" si="1"/>
        <v/>
      </c>
      <c r="N10" s="18" t="str">
        <f t="shared" si="1"/>
        <v/>
      </c>
      <c r="O10" s="18" t="str">
        <f t="shared" si="1"/>
        <v/>
      </c>
      <c r="P10" s="18" t="str">
        <f t="shared" si="1"/>
        <v/>
      </c>
      <c r="Q10" s="18" t="str">
        <f t="shared" si="1"/>
        <v/>
      </c>
      <c r="R10" s="18" t="str">
        <f t="shared" si="1"/>
        <v/>
      </c>
      <c r="S10" s="18" t="str">
        <f t="shared" si="1"/>
        <v/>
      </c>
      <c r="T10" s="18" t="str">
        <f t="shared" si="1"/>
        <v/>
      </c>
      <c r="U10" s="18" t="str">
        <f t="shared" si="1"/>
        <v/>
      </c>
      <c r="V10" s="18" t="str">
        <f t="shared" si="1"/>
        <v/>
      </c>
      <c r="W10" s="18" t="str">
        <f t="shared" si="2"/>
        <v/>
      </c>
      <c r="X10" s="18" t="str">
        <f t="shared" si="2"/>
        <v/>
      </c>
      <c r="Y10" s="18" t="str">
        <f t="shared" si="2"/>
        <v/>
      </c>
      <c r="Z10" s="18" t="str">
        <f t="shared" si="2"/>
        <v/>
      </c>
      <c r="AA10" s="18" t="str">
        <f t="shared" si="2"/>
        <v/>
      </c>
      <c r="AB10" s="18" t="str">
        <f t="shared" si="2"/>
        <v/>
      </c>
      <c r="AC10" s="18" t="str">
        <f t="shared" si="2"/>
        <v/>
      </c>
      <c r="AD10" s="18" t="str">
        <f t="shared" si="2"/>
        <v/>
      </c>
      <c r="AE10" s="18" t="str">
        <f t="shared" si="2"/>
        <v/>
      </c>
      <c r="AF10" s="18" t="str">
        <f t="shared" si="2"/>
        <v/>
      </c>
      <c r="AG10" s="18" t="str">
        <f t="shared" si="3"/>
        <v/>
      </c>
      <c r="AH10" s="18" t="str">
        <f t="shared" si="3"/>
        <v/>
      </c>
      <c r="AI10" s="18" t="str">
        <f t="shared" si="3"/>
        <v/>
      </c>
      <c r="AJ10" s="18" t="str">
        <f t="shared" si="3"/>
        <v/>
      </c>
      <c r="AK10" s="18" t="str">
        <f t="shared" si="3"/>
        <v/>
      </c>
      <c r="AL10" s="18" t="str">
        <f t="shared" si="3"/>
        <v/>
      </c>
      <c r="AM10" s="18" t="str">
        <f t="shared" si="3"/>
        <v/>
      </c>
      <c r="AN10" s="18" t="str">
        <f t="shared" si="3"/>
        <v/>
      </c>
      <c r="AO10" s="18" t="str">
        <f t="shared" si="3"/>
        <v/>
      </c>
      <c r="AP10" s="18" t="str">
        <f t="shared" si="3"/>
        <v/>
      </c>
      <c r="AQ10" s="18" t="str">
        <f t="shared" si="4"/>
        <v/>
      </c>
      <c r="AR10" s="18" t="str">
        <f t="shared" si="4"/>
        <v/>
      </c>
      <c r="AS10" s="18" t="str">
        <f t="shared" si="4"/>
        <v/>
      </c>
      <c r="AT10" s="18" t="str">
        <f t="shared" si="4"/>
        <v/>
      </c>
      <c r="AU10" s="18" t="str">
        <f t="shared" si="4"/>
        <v/>
      </c>
      <c r="AV10" s="18" t="str">
        <f t="shared" si="4"/>
        <v/>
      </c>
      <c r="AW10" s="18" t="str">
        <f t="shared" si="4"/>
        <v/>
      </c>
      <c r="AX10" s="18" t="str">
        <f t="shared" si="4"/>
        <v/>
      </c>
      <c r="AY10" s="18" t="str">
        <f t="shared" si="4"/>
        <v/>
      </c>
      <c r="AZ10" s="18" t="str">
        <f t="shared" si="4"/>
        <v/>
      </c>
      <c r="BA10" s="18" t="str">
        <f t="shared" si="5"/>
        <v/>
      </c>
      <c r="BB10" s="18" t="str">
        <f t="shared" si="5"/>
        <v/>
      </c>
      <c r="BC10" s="18" t="str">
        <f t="shared" si="5"/>
        <v/>
      </c>
      <c r="BD10" s="18" t="str">
        <f t="shared" si="5"/>
        <v/>
      </c>
      <c r="BE10" s="18" t="str">
        <f t="shared" si="5"/>
        <v/>
      </c>
      <c r="BF10" s="18" t="str">
        <f t="shared" si="5"/>
        <v/>
      </c>
      <c r="BG10" s="18" t="str">
        <f t="shared" si="5"/>
        <v/>
      </c>
      <c r="BH10" s="18" t="str">
        <f t="shared" si="5"/>
        <v/>
      </c>
      <c r="BI10" s="18" t="str">
        <f t="shared" si="5"/>
        <v/>
      </c>
      <c r="BJ10" s="18" t="str">
        <f t="shared" si="5"/>
        <v/>
      </c>
      <c r="BK10" s="18" t="str">
        <f t="shared" si="6"/>
        <v/>
      </c>
      <c r="BL10" s="18" t="str">
        <f t="shared" si="6"/>
        <v/>
      </c>
      <c r="BM10" s="18" t="str">
        <f t="shared" si="6"/>
        <v/>
      </c>
      <c r="BN10" s="18" t="str">
        <f t="shared" si="6"/>
        <v/>
      </c>
      <c r="BO10" s="18" t="str">
        <f t="shared" si="6"/>
        <v/>
      </c>
      <c r="BP10" s="18" t="str">
        <f t="shared" si="6"/>
        <v/>
      </c>
      <c r="BQ10" s="18" t="str">
        <f t="shared" si="6"/>
        <v/>
      </c>
      <c r="BR10" s="18" t="str">
        <f t="shared" si="6"/>
        <v/>
      </c>
      <c r="BS10" s="18" t="str">
        <f t="shared" si="6"/>
        <v/>
      </c>
      <c r="BT10" s="18" t="str">
        <f t="shared" si="6"/>
        <v/>
      </c>
      <c r="BU10" s="18" t="str">
        <f t="shared" si="7"/>
        <v/>
      </c>
      <c r="BV10" s="18" t="str">
        <f t="shared" si="7"/>
        <v/>
      </c>
      <c r="BW10" s="18" t="str">
        <f t="shared" si="7"/>
        <v/>
      </c>
      <c r="BX10" s="18" t="str">
        <f t="shared" si="7"/>
        <v/>
      </c>
      <c r="BY10" s="18" t="str">
        <f t="shared" si="7"/>
        <v/>
      </c>
      <c r="BZ10" s="18" t="str">
        <f t="shared" si="7"/>
        <v/>
      </c>
      <c r="CA10" s="18" t="str">
        <f t="shared" si="7"/>
        <v/>
      </c>
      <c r="CB10" s="18" t="str">
        <f t="shared" si="7"/>
        <v/>
      </c>
      <c r="CC10" s="18" t="str">
        <f t="shared" si="7"/>
        <v/>
      </c>
      <c r="CD10" s="18" t="str">
        <f t="shared" si="7"/>
        <v/>
      </c>
      <c r="CE10" s="18" t="str">
        <f t="shared" si="8"/>
        <v/>
      </c>
      <c r="CF10" s="18" t="str">
        <f t="shared" si="8"/>
        <v/>
      </c>
      <c r="CG10" s="18" t="str">
        <f t="shared" si="8"/>
        <v/>
      </c>
      <c r="CH10" s="18" t="str">
        <f t="shared" si="8"/>
        <v/>
      </c>
      <c r="CI10" s="18" t="str">
        <f t="shared" si="8"/>
        <v/>
      </c>
      <c r="CJ10" s="18" t="str">
        <f t="shared" si="8"/>
        <v/>
      </c>
      <c r="CK10" s="18" t="str">
        <f t="shared" si="8"/>
        <v/>
      </c>
      <c r="CL10" s="18" t="str">
        <f t="shared" si="8"/>
        <v/>
      </c>
      <c r="CM10" s="18" t="str">
        <f t="shared" si="8"/>
        <v/>
      </c>
      <c r="CN10" s="18" t="str">
        <f t="shared" si="8"/>
        <v/>
      </c>
      <c r="CO10" s="18" t="str">
        <f t="shared" si="9"/>
        <v/>
      </c>
      <c r="CP10" s="18" t="str">
        <f t="shared" si="9"/>
        <v/>
      </c>
      <c r="CQ10" s="18" t="str">
        <f t="shared" si="9"/>
        <v/>
      </c>
      <c r="CR10" s="18" t="str">
        <f t="shared" si="9"/>
        <v/>
      </c>
      <c r="CS10" s="18" t="str">
        <f t="shared" si="9"/>
        <v/>
      </c>
      <c r="CT10" s="18" t="str">
        <f t="shared" si="9"/>
        <v/>
      </c>
      <c r="CU10" s="18" t="str">
        <f t="shared" si="9"/>
        <v/>
      </c>
      <c r="CV10" s="18" t="str">
        <f t="shared" si="9"/>
        <v/>
      </c>
      <c r="CW10" s="18" t="str">
        <f t="shared" si="9"/>
        <v/>
      </c>
      <c r="CX10" s="18" t="str">
        <f t="shared" si="9"/>
        <v/>
      </c>
      <c r="CY10" s="18" t="str">
        <f t="shared" si="10"/>
        <v/>
      </c>
      <c r="CZ10" s="18" t="str">
        <f t="shared" si="10"/>
        <v/>
      </c>
      <c r="DA10" s="18" t="str">
        <f t="shared" si="10"/>
        <v/>
      </c>
      <c r="DB10" s="18" t="str">
        <f t="shared" si="10"/>
        <v/>
      </c>
      <c r="DC10" s="18" t="str">
        <f t="shared" si="10"/>
        <v/>
      </c>
      <c r="DD10" s="18" t="str">
        <f t="shared" si="10"/>
        <v/>
      </c>
      <c r="DE10" s="18" t="str">
        <f t="shared" si="10"/>
        <v/>
      </c>
      <c r="DF10" s="18" t="str">
        <f t="shared" si="10"/>
        <v/>
      </c>
      <c r="DG10" s="18" t="str">
        <f t="shared" si="10"/>
        <v/>
      </c>
      <c r="DH10" s="18" t="str">
        <f t="shared" si="10"/>
        <v/>
      </c>
      <c r="DI10" s="18" t="str">
        <f t="shared" si="11"/>
        <v/>
      </c>
      <c r="DJ10" s="18" t="str">
        <f t="shared" si="11"/>
        <v/>
      </c>
      <c r="DK10" s="18" t="str">
        <f t="shared" si="11"/>
        <v/>
      </c>
      <c r="DL10" s="18" t="str">
        <f t="shared" si="11"/>
        <v/>
      </c>
      <c r="DM10" s="18" t="str">
        <f t="shared" si="11"/>
        <v/>
      </c>
      <c r="DN10" s="18" t="str">
        <f t="shared" si="11"/>
        <v/>
      </c>
      <c r="DO10" s="18" t="str">
        <f t="shared" si="11"/>
        <v/>
      </c>
      <c r="DP10" s="18" t="str">
        <f t="shared" si="11"/>
        <v/>
      </c>
      <c r="DQ10" s="18" t="str">
        <f t="shared" si="11"/>
        <v/>
      </c>
      <c r="DR10" s="18" t="str">
        <f t="shared" si="11"/>
        <v/>
      </c>
    </row>
    <row r="11" spans="1:123" ht="15.95" customHeight="1" x14ac:dyDescent="0.25">
      <c r="A11" s="16" t="str">
        <f>IF(6&gt;Simulador!$B$12,"","Cilindro "&amp;6)</f>
        <v/>
      </c>
      <c r="B11" s="17" t="str">
        <f>IF(Simulador!D27="","",Simulador!D27)</f>
        <v/>
      </c>
      <c r="C11" s="18" t="str">
        <f t="shared" si="0"/>
        <v/>
      </c>
      <c r="D11" s="18" t="str">
        <f t="shared" si="0"/>
        <v/>
      </c>
      <c r="E11" s="18" t="str">
        <f t="shared" si="0"/>
        <v/>
      </c>
      <c r="F11" s="18" t="str">
        <f t="shared" si="0"/>
        <v/>
      </c>
      <c r="G11" s="18" t="str">
        <f t="shared" si="0"/>
        <v/>
      </c>
      <c r="H11" s="18" t="str">
        <f t="shared" si="0"/>
        <v/>
      </c>
      <c r="I11" s="18" t="str">
        <f t="shared" si="0"/>
        <v/>
      </c>
      <c r="J11" s="18" t="str">
        <f t="shared" si="0"/>
        <v/>
      </c>
      <c r="K11" s="18" t="str">
        <f t="shared" si="0"/>
        <v/>
      </c>
      <c r="L11" s="18" t="str">
        <f t="shared" si="0"/>
        <v/>
      </c>
      <c r="M11" s="18" t="str">
        <f t="shared" si="1"/>
        <v/>
      </c>
      <c r="N11" s="18" t="str">
        <f t="shared" si="1"/>
        <v/>
      </c>
      <c r="O11" s="18" t="str">
        <f t="shared" si="1"/>
        <v/>
      </c>
      <c r="P11" s="18" t="str">
        <f t="shared" si="1"/>
        <v/>
      </c>
      <c r="Q11" s="18" t="str">
        <f t="shared" si="1"/>
        <v/>
      </c>
      <c r="R11" s="18" t="str">
        <f t="shared" si="1"/>
        <v/>
      </c>
      <c r="S11" s="18" t="str">
        <f t="shared" si="1"/>
        <v/>
      </c>
      <c r="T11" s="18" t="str">
        <f t="shared" si="1"/>
        <v/>
      </c>
      <c r="U11" s="18" t="str">
        <f t="shared" si="1"/>
        <v/>
      </c>
      <c r="V11" s="18" t="str">
        <f t="shared" si="1"/>
        <v/>
      </c>
      <c r="W11" s="18" t="str">
        <f t="shared" si="2"/>
        <v/>
      </c>
      <c r="X11" s="18" t="str">
        <f t="shared" si="2"/>
        <v/>
      </c>
      <c r="Y11" s="18" t="str">
        <f t="shared" si="2"/>
        <v/>
      </c>
      <c r="Z11" s="18" t="str">
        <f t="shared" si="2"/>
        <v/>
      </c>
      <c r="AA11" s="18" t="str">
        <f t="shared" si="2"/>
        <v/>
      </c>
      <c r="AB11" s="18" t="str">
        <f t="shared" si="2"/>
        <v/>
      </c>
      <c r="AC11" s="18" t="str">
        <f t="shared" si="2"/>
        <v/>
      </c>
      <c r="AD11" s="18" t="str">
        <f t="shared" si="2"/>
        <v/>
      </c>
      <c r="AE11" s="18" t="str">
        <f t="shared" si="2"/>
        <v/>
      </c>
      <c r="AF11" s="18" t="str">
        <f t="shared" si="2"/>
        <v/>
      </c>
      <c r="AG11" s="18" t="str">
        <f t="shared" si="3"/>
        <v/>
      </c>
      <c r="AH11" s="18" t="str">
        <f t="shared" si="3"/>
        <v/>
      </c>
      <c r="AI11" s="18" t="str">
        <f t="shared" si="3"/>
        <v/>
      </c>
      <c r="AJ11" s="18" t="str">
        <f t="shared" si="3"/>
        <v/>
      </c>
      <c r="AK11" s="18" t="str">
        <f t="shared" si="3"/>
        <v/>
      </c>
      <c r="AL11" s="18" t="str">
        <f t="shared" si="3"/>
        <v/>
      </c>
      <c r="AM11" s="18" t="str">
        <f t="shared" si="3"/>
        <v/>
      </c>
      <c r="AN11" s="18" t="str">
        <f t="shared" si="3"/>
        <v/>
      </c>
      <c r="AO11" s="18" t="str">
        <f t="shared" si="3"/>
        <v/>
      </c>
      <c r="AP11" s="18" t="str">
        <f t="shared" si="3"/>
        <v/>
      </c>
      <c r="AQ11" s="18" t="str">
        <f t="shared" si="4"/>
        <v/>
      </c>
      <c r="AR11" s="18" t="str">
        <f t="shared" si="4"/>
        <v/>
      </c>
      <c r="AS11" s="18" t="str">
        <f t="shared" si="4"/>
        <v/>
      </c>
      <c r="AT11" s="18" t="str">
        <f t="shared" si="4"/>
        <v/>
      </c>
      <c r="AU11" s="18" t="str">
        <f t="shared" si="4"/>
        <v/>
      </c>
      <c r="AV11" s="18" t="str">
        <f t="shared" si="4"/>
        <v/>
      </c>
      <c r="AW11" s="18" t="str">
        <f t="shared" si="4"/>
        <v/>
      </c>
      <c r="AX11" s="18" t="str">
        <f t="shared" si="4"/>
        <v/>
      </c>
      <c r="AY11" s="18" t="str">
        <f t="shared" si="4"/>
        <v/>
      </c>
      <c r="AZ11" s="18" t="str">
        <f t="shared" si="4"/>
        <v/>
      </c>
      <c r="BA11" s="18" t="str">
        <f t="shared" si="5"/>
        <v/>
      </c>
      <c r="BB11" s="18" t="str">
        <f t="shared" si="5"/>
        <v/>
      </c>
      <c r="BC11" s="18" t="str">
        <f t="shared" si="5"/>
        <v/>
      </c>
      <c r="BD11" s="18" t="str">
        <f t="shared" si="5"/>
        <v/>
      </c>
      <c r="BE11" s="18" t="str">
        <f t="shared" si="5"/>
        <v/>
      </c>
      <c r="BF11" s="18" t="str">
        <f t="shared" si="5"/>
        <v/>
      </c>
      <c r="BG11" s="18" t="str">
        <f t="shared" si="5"/>
        <v/>
      </c>
      <c r="BH11" s="18" t="str">
        <f t="shared" si="5"/>
        <v/>
      </c>
      <c r="BI11" s="18" t="str">
        <f t="shared" si="5"/>
        <v/>
      </c>
      <c r="BJ11" s="18" t="str">
        <f t="shared" si="5"/>
        <v/>
      </c>
      <c r="BK11" s="18" t="str">
        <f t="shared" si="6"/>
        <v/>
      </c>
      <c r="BL11" s="18" t="str">
        <f t="shared" si="6"/>
        <v/>
      </c>
      <c r="BM11" s="18" t="str">
        <f t="shared" si="6"/>
        <v/>
      </c>
      <c r="BN11" s="18" t="str">
        <f t="shared" si="6"/>
        <v/>
      </c>
      <c r="BO11" s="18" t="str">
        <f t="shared" si="6"/>
        <v/>
      </c>
      <c r="BP11" s="18" t="str">
        <f t="shared" si="6"/>
        <v/>
      </c>
      <c r="BQ11" s="18" t="str">
        <f t="shared" si="6"/>
        <v/>
      </c>
      <c r="BR11" s="18" t="str">
        <f t="shared" si="6"/>
        <v/>
      </c>
      <c r="BS11" s="18" t="str">
        <f t="shared" si="6"/>
        <v/>
      </c>
      <c r="BT11" s="18" t="str">
        <f t="shared" si="6"/>
        <v/>
      </c>
      <c r="BU11" s="18" t="str">
        <f t="shared" si="7"/>
        <v/>
      </c>
      <c r="BV11" s="18" t="str">
        <f t="shared" si="7"/>
        <v/>
      </c>
      <c r="BW11" s="18" t="str">
        <f t="shared" si="7"/>
        <v/>
      </c>
      <c r="BX11" s="18" t="str">
        <f t="shared" si="7"/>
        <v/>
      </c>
      <c r="BY11" s="18" t="str">
        <f t="shared" si="7"/>
        <v/>
      </c>
      <c r="BZ11" s="18" t="str">
        <f t="shared" si="7"/>
        <v/>
      </c>
      <c r="CA11" s="18" t="str">
        <f t="shared" si="7"/>
        <v/>
      </c>
      <c r="CB11" s="18" t="str">
        <f t="shared" si="7"/>
        <v/>
      </c>
      <c r="CC11" s="18" t="str">
        <f t="shared" si="7"/>
        <v/>
      </c>
      <c r="CD11" s="18" t="str">
        <f t="shared" si="7"/>
        <v/>
      </c>
      <c r="CE11" s="18" t="str">
        <f t="shared" si="8"/>
        <v/>
      </c>
      <c r="CF11" s="18" t="str">
        <f t="shared" si="8"/>
        <v/>
      </c>
      <c r="CG11" s="18" t="str">
        <f t="shared" si="8"/>
        <v/>
      </c>
      <c r="CH11" s="18" t="str">
        <f t="shared" si="8"/>
        <v/>
      </c>
      <c r="CI11" s="18" t="str">
        <f t="shared" si="8"/>
        <v/>
      </c>
      <c r="CJ11" s="18" t="str">
        <f t="shared" si="8"/>
        <v/>
      </c>
      <c r="CK11" s="18" t="str">
        <f t="shared" si="8"/>
        <v/>
      </c>
      <c r="CL11" s="18" t="str">
        <f t="shared" si="8"/>
        <v/>
      </c>
      <c r="CM11" s="18" t="str">
        <f t="shared" si="8"/>
        <v/>
      </c>
      <c r="CN11" s="18" t="str">
        <f t="shared" si="8"/>
        <v/>
      </c>
      <c r="CO11" s="18" t="str">
        <f t="shared" si="9"/>
        <v/>
      </c>
      <c r="CP11" s="18" t="str">
        <f t="shared" si="9"/>
        <v/>
      </c>
      <c r="CQ11" s="18" t="str">
        <f t="shared" si="9"/>
        <v/>
      </c>
      <c r="CR11" s="18" t="str">
        <f t="shared" si="9"/>
        <v/>
      </c>
      <c r="CS11" s="18" t="str">
        <f t="shared" si="9"/>
        <v/>
      </c>
      <c r="CT11" s="18" t="str">
        <f t="shared" si="9"/>
        <v/>
      </c>
      <c r="CU11" s="18" t="str">
        <f t="shared" si="9"/>
        <v/>
      </c>
      <c r="CV11" s="18" t="str">
        <f t="shared" si="9"/>
        <v/>
      </c>
      <c r="CW11" s="18" t="str">
        <f t="shared" si="9"/>
        <v/>
      </c>
      <c r="CX11" s="18" t="str">
        <f t="shared" si="9"/>
        <v/>
      </c>
      <c r="CY11" s="18" t="str">
        <f t="shared" si="10"/>
        <v/>
      </c>
      <c r="CZ11" s="18" t="str">
        <f t="shared" si="10"/>
        <v/>
      </c>
      <c r="DA11" s="18" t="str">
        <f t="shared" si="10"/>
        <v/>
      </c>
      <c r="DB11" s="18" t="str">
        <f t="shared" si="10"/>
        <v/>
      </c>
      <c r="DC11" s="18" t="str">
        <f t="shared" si="10"/>
        <v/>
      </c>
      <c r="DD11" s="18" t="str">
        <f t="shared" si="10"/>
        <v/>
      </c>
      <c r="DE11" s="18" t="str">
        <f t="shared" si="10"/>
        <v/>
      </c>
      <c r="DF11" s="18" t="str">
        <f t="shared" si="10"/>
        <v/>
      </c>
      <c r="DG11" s="18" t="str">
        <f t="shared" si="10"/>
        <v/>
      </c>
      <c r="DH11" s="18" t="str">
        <f t="shared" si="10"/>
        <v/>
      </c>
      <c r="DI11" s="18" t="str">
        <f t="shared" si="11"/>
        <v/>
      </c>
      <c r="DJ11" s="18" t="str">
        <f t="shared" si="11"/>
        <v/>
      </c>
      <c r="DK11" s="18" t="str">
        <f t="shared" si="11"/>
        <v/>
      </c>
      <c r="DL11" s="18" t="str">
        <f t="shared" si="11"/>
        <v/>
      </c>
      <c r="DM11" s="18" t="str">
        <f t="shared" si="11"/>
        <v/>
      </c>
      <c r="DN11" s="18" t="str">
        <f t="shared" si="11"/>
        <v/>
      </c>
      <c r="DO11" s="18" t="str">
        <f t="shared" si="11"/>
        <v/>
      </c>
      <c r="DP11" s="18" t="str">
        <f t="shared" si="11"/>
        <v/>
      </c>
      <c r="DQ11" s="18" t="str">
        <f t="shared" si="11"/>
        <v/>
      </c>
      <c r="DR11" s="18" t="str">
        <f t="shared" si="11"/>
        <v/>
      </c>
    </row>
    <row r="12" spans="1:123" ht="15.95" customHeight="1" x14ac:dyDescent="0.25">
      <c r="A12" s="16" t="str">
        <f>IF(7&gt;Simulador!$B$12,"","Cilindro "&amp;7)</f>
        <v/>
      </c>
      <c r="B12" s="17" t="str">
        <f>IF(Simulador!D28="","",Simulador!D28)</f>
        <v/>
      </c>
      <c r="C12" s="18" t="str">
        <f t="shared" si="0"/>
        <v/>
      </c>
      <c r="D12" s="18" t="str">
        <f t="shared" si="0"/>
        <v/>
      </c>
      <c r="E12" s="18" t="str">
        <f t="shared" si="0"/>
        <v/>
      </c>
      <c r="F12" s="18" t="str">
        <f t="shared" si="0"/>
        <v/>
      </c>
      <c r="G12" s="18" t="str">
        <f t="shared" si="0"/>
        <v/>
      </c>
      <c r="H12" s="18" t="str">
        <f t="shared" si="0"/>
        <v/>
      </c>
      <c r="I12" s="18" t="str">
        <f t="shared" si="0"/>
        <v/>
      </c>
      <c r="J12" s="18" t="str">
        <f t="shared" si="0"/>
        <v/>
      </c>
      <c r="K12" s="18" t="str">
        <f t="shared" si="0"/>
        <v/>
      </c>
      <c r="L12" s="18" t="str">
        <f t="shared" si="0"/>
        <v/>
      </c>
      <c r="M12" s="18" t="str">
        <f t="shared" si="1"/>
        <v/>
      </c>
      <c r="N12" s="18" t="str">
        <f t="shared" si="1"/>
        <v/>
      </c>
      <c r="O12" s="18" t="str">
        <f t="shared" si="1"/>
        <v/>
      </c>
      <c r="P12" s="18" t="str">
        <f t="shared" si="1"/>
        <v/>
      </c>
      <c r="Q12" s="18" t="str">
        <f t="shared" si="1"/>
        <v/>
      </c>
      <c r="R12" s="18" t="str">
        <f t="shared" si="1"/>
        <v/>
      </c>
      <c r="S12" s="18" t="str">
        <f t="shared" si="1"/>
        <v/>
      </c>
      <c r="T12" s="18" t="str">
        <f t="shared" si="1"/>
        <v/>
      </c>
      <c r="U12" s="18" t="str">
        <f t="shared" si="1"/>
        <v/>
      </c>
      <c r="V12" s="18" t="str">
        <f t="shared" si="1"/>
        <v/>
      </c>
      <c r="W12" s="18" t="str">
        <f t="shared" si="2"/>
        <v/>
      </c>
      <c r="X12" s="18" t="str">
        <f t="shared" si="2"/>
        <v/>
      </c>
      <c r="Y12" s="18" t="str">
        <f t="shared" si="2"/>
        <v/>
      </c>
      <c r="Z12" s="18" t="str">
        <f t="shared" si="2"/>
        <v/>
      </c>
      <c r="AA12" s="18" t="str">
        <f t="shared" si="2"/>
        <v/>
      </c>
      <c r="AB12" s="18" t="str">
        <f t="shared" si="2"/>
        <v/>
      </c>
      <c r="AC12" s="18" t="str">
        <f t="shared" si="2"/>
        <v/>
      </c>
      <c r="AD12" s="18" t="str">
        <f t="shared" si="2"/>
        <v/>
      </c>
      <c r="AE12" s="18" t="str">
        <f t="shared" si="2"/>
        <v/>
      </c>
      <c r="AF12" s="18" t="str">
        <f t="shared" si="2"/>
        <v/>
      </c>
      <c r="AG12" s="18" t="str">
        <f t="shared" si="3"/>
        <v/>
      </c>
      <c r="AH12" s="18" t="str">
        <f t="shared" si="3"/>
        <v/>
      </c>
      <c r="AI12" s="18" t="str">
        <f t="shared" si="3"/>
        <v/>
      </c>
      <c r="AJ12" s="18" t="str">
        <f t="shared" si="3"/>
        <v/>
      </c>
      <c r="AK12" s="18" t="str">
        <f t="shared" si="3"/>
        <v/>
      </c>
      <c r="AL12" s="18" t="str">
        <f t="shared" si="3"/>
        <v/>
      </c>
      <c r="AM12" s="18" t="str">
        <f t="shared" si="3"/>
        <v/>
      </c>
      <c r="AN12" s="18" t="str">
        <f t="shared" si="3"/>
        <v/>
      </c>
      <c r="AO12" s="18" t="str">
        <f t="shared" si="3"/>
        <v/>
      </c>
      <c r="AP12" s="18" t="str">
        <f t="shared" si="3"/>
        <v/>
      </c>
      <c r="AQ12" s="18" t="str">
        <f t="shared" si="4"/>
        <v/>
      </c>
      <c r="AR12" s="18" t="str">
        <f t="shared" si="4"/>
        <v/>
      </c>
      <c r="AS12" s="18" t="str">
        <f t="shared" si="4"/>
        <v/>
      </c>
      <c r="AT12" s="18" t="str">
        <f t="shared" si="4"/>
        <v/>
      </c>
      <c r="AU12" s="18" t="str">
        <f t="shared" si="4"/>
        <v/>
      </c>
      <c r="AV12" s="18" t="str">
        <f t="shared" si="4"/>
        <v/>
      </c>
      <c r="AW12" s="18" t="str">
        <f t="shared" si="4"/>
        <v/>
      </c>
      <c r="AX12" s="18" t="str">
        <f t="shared" si="4"/>
        <v/>
      </c>
      <c r="AY12" s="18" t="str">
        <f t="shared" si="4"/>
        <v/>
      </c>
      <c r="AZ12" s="18" t="str">
        <f t="shared" si="4"/>
        <v/>
      </c>
      <c r="BA12" s="18" t="str">
        <f t="shared" si="5"/>
        <v/>
      </c>
      <c r="BB12" s="18" t="str">
        <f t="shared" si="5"/>
        <v/>
      </c>
      <c r="BC12" s="18" t="str">
        <f t="shared" si="5"/>
        <v/>
      </c>
      <c r="BD12" s="18" t="str">
        <f t="shared" si="5"/>
        <v/>
      </c>
      <c r="BE12" s="18" t="str">
        <f t="shared" si="5"/>
        <v/>
      </c>
      <c r="BF12" s="18" t="str">
        <f t="shared" si="5"/>
        <v/>
      </c>
      <c r="BG12" s="18" t="str">
        <f t="shared" si="5"/>
        <v/>
      </c>
      <c r="BH12" s="18" t="str">
        <f t="shared" si="5"/>
        <v/>
      </c>
      <c r="BI12" s="18" t="str">
        <f t="shared" si="5"/>
        <v/>
      </c>
      <c r="BJ12" s="18" t="str">
        <f t="shared" si="5"/>
        <v/>
      </c>
      <c r="BK12" s="18" t="str">
        <f t="shared" si="6"/>
        <v/>
      </c>
      <c r="BL12" s="18" t="str">
        <f t="shared" si="6"/>
        <v/>
      </c>
      <c r="BM12" s="18" t="str">
        <f t="shared" si="6"/>
        <v/>
      </c>
      <c r="BN12" s="18" t="str">
        <f t="shared" si="6"/>
        <v/>
      </c>
      <c r="BO12" s="18" t="str">
        <f t="shared" si="6"/>
        <v/>
      </c>
      <c r="BP12" s="18" t="str">
        <f t="shared" si="6"/>
        <v/>
      </c>
      <c r="BQ12" s="18" t="str">
        <f t="shared" si="6"/>
        <v/>
      </c>
      <c r="BR12" s="18" t="str">
        <f t="shared" si="6"/>
        <v/>
      </c>
      <c r="BS12" s="18" t="str">
        <f t="shared" si="6"/>
        <v/>
      </c>
      <c r="BT12" s="18" t="str">
        <f t="shared" si="6"/>
        <v/>
      </c>
      <c r="BU12" s="18" t="str">
        <f t="shared" si="7"/>
        <v/>
      </c>
      <c r="BV12" s="18" t="str">
        <f t="shared" si="7"/>
        <v/>
      </c>
      <c r="BW12" s="18" t="str">
        <f t="shared" si="7"/>
        <v/>
      </c>
      <c r="BX12" s="18" t="str">
        <f t="shared" si="7"/>
        <v/>
      </c>
      <c r="BY12" s="18" t="str">
        <f t="shared" si="7"/>
        <v/>
      </c>
      <c r="BZ12" s="18" t="str">
        <f t="shared" si="7"/>
        <v/>
      </c>
      <c r="CA12" s="18" t="str">
        <f t="shared" si="7"/>
        <v/>
      </c>
      <c r="CB12" s="18" t="str">
        <f t="shared" si="7"/>
        <v/>
      </c>
      <c r="CC12" s="18" t="str">
        <f t="shared" si="7"/>
        <v/>
      </c>
      <c r="CD12" s="18" t="str">
        <f t="shared" si="7"/>
        <v/>
      </c>
      <c r="CE12" s="18" t="str">
        <f t="shared" si="8"/>
        <v/>
      </c>
      <c r="CF12" s="18" t="str">
        <f t="shared" si="8"/>
        <v/>
      </c>
      <c r="CG12" s="18" t="str">
        <f t="shared" si="8"/>
        <v/>
      </c>
      <c r="CH12" s="18" t="str">
        <f t="shared" si="8"/>
        <v/>
      </c>
      <c r="CI12" s="18" t="str">
        <f t="shared" si="8"/>
        <v/>
      </c>
      <c r="CJ12" s="18" t="str">
        <f t="shared" si="8"/>
        <v/>
      </c>
      <c r="CK12" s="18" t="str">
        <f t="shared" si="8"/>
        <v/>
      </c>
      <c r="CL12" s="18" t="str">
        <f t="shared" si="8"/>
        <v/>
      </c>
      <c r="CM12" s="18" t="str">
        <f t="shared" si="8"/>
        <v/>
      </c>
      <c r="CN12" s="18" t="str">
        <f t="shared" si="8"/>
        <v/>
      </c>
      <c r="CO12" s="18" t="str">
        <f t="shared" si="9"/>
        <v/>
      </c>
      <c r="CP12" s="18" t="str">
        <f t="shared" si="9"/>
        <v/>
      </c>
      <c r="CQ12" s="18" t="str">
        <f t="shared" si="9"/>
        <v/>
      </c>
      <c r="CR12" s="18" t="str">
        <f t="shared" si="9"/>
        <v/>
      </c>
      <c r="CS12" s="18" t="str">
        <f t="shared" si="9"/>
        <v/>
      </c>
      <c r="CT12" s="18" t="str">
        <f t="shared" si="9"/>
        <v/>
      </c>
      <c r="CU12" s="18" t="str">
        <f t="shared" si="9"/>
        <v/>
      </c>
      <c r="CV12" s="18" t="str">
        <f t="shared" si="9"/>
        <v/>
      </c>
      <c r="CW12" s="18" t="str">
        <f t="shared" si="9"/>
        <v/>
      </c>
      <c r="CX12" s="18" t="str">
        <f t="shared" si="9"/>
        <v/>
      </c>
      <c r="CY12" s="18" t="str">
        <f t="shared" si="10"/>
        <v/>
      </c>
      <c r="CZ12" s="18" t="str">
        <f t="shared" si="10"/>
        <v/>
      </c>
      <c r="DA12" s="18" t="str">
        <f t="shared" si="10"/>
        <v/>
      </c>
      <c r="DB12" s="18" t="str">
        <f t="shared" si="10"/>
        <v/>
      </c>
      <c r="DC12" s="18" t="str">
        <f t="shared" si="10"/>
        <v/>
      </c>
      <c r="DD12" s="18" t="str">
        <f t="shared" si="10"/>
        <v/>
      </c>
      <c r="DE12" s="18" t="str">
        <f t="shared" si="10"/>
        <v/>
      </c>
      <c r="DF12" s="18" t="str">
        <f t="shared" si="10"/>
        <v/>
      </c>
      <c r="DG12" s="18" t="str">
        <f t="shared" si="10"/>
        <v/>
      </c>
      <c r="DH12" s="18" t="str">
        <f t="shared" si="10"/>
        <v/>
      </c>
      <c r="DI12" s="18" t="str">
        <f t="shared" si="11"/>
        <v/>
      </c>
      <c r="DJ12" s="18" t="str">
        <f t="shared" si="11"/>
        <v/>
      </c>
      <c r="DK12" s="18" t="str">
        <f t="shared" si="11"/>
        <v/>
      </c>
      <c r="DL12" s="18" t="str">
        <f t="shared" si="11"/>
        <v/>
      </c>
      <c r="DM12" s="18" t="str">
        <f t="shared" si="11"/>
        <v/>
      </c>
      <c r="DN12" s="18" t="str">
        <f t="shared" si="11"/>
        <v/>
      </c>
      <c r="DO12" s="18" t="str">
        <f t="shared" si="11"/>
        <v/>
      </c>
      <c r="DP12" s="18" t="str">
        <f t="shared" si="11"/>
        <v/>
      </c>
      <c r="DQ12" s="18" t="str">
        <f t="shared" si="11"/>
        <v/>
      </c>
      <c r="DR12" s="18" t="str">
        <f t="shared" si="11"/>
        <v/>
      </c>
    </row>
    <row r="13" spans="1:123" ht="15.95" customHeight="1" x14ac:dyDescent="0.25">
      <c r="A13" s="16" t="str">
        <f>IF(8&gt;Simulador!$B$12,"","Cilindro "&amp;8)</f>
        <v/>
      </c>
      <c r="B13" s="17" t="str">
        <f>IF(Simulador!D29="","",Simulador!D29)</f>
        <v/>
      </c>
      <c r="C13" s="18" t="str">
        <f t="shared" si="0"/>
        <v/>
      </c>
      <c r="D13" s="18" t="str">
        <f t="shared" si="0"/>
        <v/>
      </c>
      <c r="E13" s="18" t="str">
        <f t="shared" si="0"/>
        <v/>
      </c>
      <c r="F13" s="18" t="str">
        <f t="shared" si="0"/>
        <v/>
      </c>
      <c r="G13" s="18" t="str">
        <f t="shared" si="0"/>
        <v/>
      </c>
      <c r="H13" s="18" t="str">
        <f t="shared" si="0"/>
        <v/>
      </c>
      <c r="I13" s="18" t="str">
        <f t="shared" si="0"/>
        <v/>
      </c>
      <c r="J13" s="18" t="str">
        <f t="shared" si="0"/>
        <v/>
      </c>
      <c r="K13" s="18" t="str">
        <f t="shared" si="0"/>
        <v/>
      </c>
      <c r="L13" s="18" t="str">
        <f t="shared" si="0"/>
        <v/>
      </c>
      <c r="M13" s="18" t="str">
        <f t="shared" si="1"/>
        <v/>
      </c>
      <c r="N13" s="18" t="str">
        <f t="shared" si="1"/>
        <v/>
      </c>
      <c r="O13" s="18" t="str">
        <f t="shared" si="1"/>
        <v/>
      </c>
      <c r="P13" s="18" t="str">
        <f t="shared" si="1"/>
        <v/>
      </c>
      <c r="Q13" s="18" t="str">
        <f t="shared" si="1"/>
        <v/>
      </c>
      <c r="R13" s="18" t="str">
        <f t="shared" si="1"/>
        <v/>
      </c>
      <c r="S13" s="18" t="str">
        <f t="shared" si="1"/>
        <v/>
      </c>
      <c r="T13" s="18" t="str">
        <f t="shared" si="1"/>
        <v/>
      </c>
      <c r="U13" s="18" t="str">
        <f t="shared" si="1"/>
        <v/>
      </c>
      <c r="V13" s="18" t="str">
        <f t="shared" si="1"/>
        <v/>
      </c>
      <c r="W13" s="18" t="str">
        <f t="shared" si="2"/>
        <v/>
      </c>
      <c r="X13" s="18" t="str">
        <f t="shared" si="2"/>
        <v/>
      </c>
      <c r="Y13" s="18" t="str">
        <f t="shared" si="2"/>
        <v/>
      </c>
      <c r="Z13" s="18" t="str">
        <f t="shared" si="2"/>
        <v/>
      </c>
      <c r="AA13" s="18" t="str">
        <f t="shared" si="2"/>
        <v/>
      </c>
      <c r="AB13" s="18" t="str">
        <f t="shared" si="2"/>
        <v/>
      </c>
      <c r="AC13" s="18" t="str">
        <f t="shared" si="2"/>
        <v/>
      </c>
      <c r="AD13" s="18" t="str">
        <f t="shared" si="2"/>
        <v/>
      </c>
      <c r="AE13" s="18" t="str">
        <f t="shared" si="2"/>
        <v/>
      </c>
      <c r="AF13" s="18" t="str">
        <f t="shared" si="2"/>
        <v/>
      </c>
      <c r="AG13" s="18" t="str">
        <f t="shared" si="3"/>
        <v/>
      </c>
      <c r="AH13" s="18" t="str">
        <f t="shared" si="3"/>
        <v/>
      </c>
      <c r="AI13" s="18" t="str">
        <f t="shared" si="3"/>
        <v/>
      </c>
      <c r="AJ13" s="18" t="str">
        <f t="shared" si="3"/>
        <v/>
      </c>
      <c r="AK13" s="18" t="str">
        <f t="shared" si="3"/>
        <v/>
      </c>
      <c r="AL13" s="18" t="str">
        <f t="shared" si="3"/>
        <v/>
      </c>
      <c r="AM13" s="18" t="str">
        <f t="shared" si="3"/>
        <v/>
      </c>
      <c r="AN13" s="18" t="str">
        <f t="shared" si="3"/>
        <v/>
      </c>
      <c r="AO13" s="18" t="str">
        <f t="shared" si="3"/>
        <v/>
      </c>
      <c r="AP13" s="18" t="str">
        <f t="shared" si="3"/>
        <v/>
      </c>
      <c r="AQ13" s="18" t="str">
        <f t="shared" si="4"/>
        <v/>
      </c>
      <c r="AR13" s="18" t="str">
        <f t="shared" si="4"/>
        <v/>
      </c>
      <c r="AS13" s="18" t="str">
        <f t="shared" si="4"/>
        <v/>
      </c>
      <c r="AT13" s="18" t="str">
        <f t="shared" si="4"/>
        <v/>
      </c>
      <c r="AU13" s="18" t="str">
        <f t="shared" si="4"/>
        <v/>
      </c>
      <c r="AV13" s="18" t="str">
        <f t="shared" si="4"/>
        <v/>
      </c>
      <c r="AW13" s="18" t="str">
        <f t="shared" si="4"/>
        <v/>
      </c>
      <c r="AX13" s="18" t="str">
        <f t="shared" si="4"/>
        <v/>
      </c>
      <c r="AY13" s="18" t="str">
        <f t="shared" si="4"/>
        <v/>
      </c>
      <c r="AZ13" s="18" t="str">
        <f t="shared" si="4"/>
        <v/>
      </c>
      <c r="BA13" s="18" t="str">
        <f t="shared" si="5"/>
        <v/>
      </c>
      <c r="BB13" s="18" t="str">
        <f t="shared" si="5"/>
        <v/>
      </c>
      <c r="BC13" s="18" t="str">
        <f t="shared" si="5"/>
        <v/>
      </c>
      <c r="BD13" s="18" t="str">
        <f t="shared" si="5"/>
        <v/>
      </c>
      <c r="BE13" s="18" t="str">
        <f t="shared" si="5"/>
        <v/>
      </c>
      <c r="BF13" s="18" t="str">
        <f t="shared" si="5"/>
        <v/>
      </c>
      <c r="BG13" s="18" t="str">
        <f t="shared" si="5"/>
        <v/>
      </c>
      <c r="BH13" s="18" t="str">
        <f t="shared" si="5"/>
        <v/>
      </c>
      <c r="BI13" s="18" t="str">
        <f t="shared" si="5"/>
        <v/>
      </c>
      <c r="BJ13" s="18" t="str">
        <f t="shared" si="5"/>
        <v/>
      </c>
      <c r="BK13" s="18" t="str">
        <f t="shared" si="6"/>
        <v/>
      </c>
      <c r="BL13" s="18" t="str">
        <f t="shared" si="6"/>
        <v/>
      </c>
      <c r="BM13" s="18" t="str">
        <f t="shared" si="6"/>
        <v/>
      </c>
      <c r="BN13" s="18" t="str">
        <f t="shared" si="6"/>
        <v/>
      </c>
      <c r="BO13" s="18" t="str">
        <f t="shared" si="6"/>
        <v/>
      </c>
      <c r="BP13" s="18" t="str">
        <f t="shared" si="6"/>
        <v/>
      </c>
      <c r="BQ13" s="18" t="str">
        <f t="shared" si="6"/>
        <v/>
      </c>
      <c r="BR13" s="18" t="str">
        <f t="shared" si="6"/>
        <v/>
      </c>
      <c r="BS13" s="18" t="str">
        <f t="shared" si="6"/>
        <v/>
      </c>
      <c r="BT13" s="18" t="str">
        <f t="shared" si="6"/>
        <v/>
      </c>
      <c r="BU13" s="18" t="str">
        <f t="shared" si="7"/>
        <v/>
      </c>
      <c r="BV13" s="18" t="str">
        <f t="shared" si="7"/>
        <v/>
      </c>
      <c r="BW13" s="18" t="str">
        <f t="shared" si="7"/>
        <v/>
      </c>
      <c r="BX13" s="18" t="str">
        <f t="shared" si="7"/>
        <v/>
      </c>
      <c r="BY13" s="18" t="str">
        <f t="shared" si="7"/>
        <v/>
      </c>
      <c r="BZ13" s="18" t="str">
        <f t="shared" si="7"/>
        <v/>
      </c>
      <c r="CA13" s="18" t="str">
        <f t="shared" si="7"/>
        <v/>
      </c>
      <c r="CB13" s="18" t="str">
        <f t="shared" si="7"/>
        <v/>
      </c>
      <c r="CC13" s="18" t="str">
        <f t="shared" si="7"/>
        <v/>
      </c>
      <c r="CD13" s="18" t="str">
        <f t="shared" si="7"/>
        <v/>
      </c>
      <c r="CE13" s="18" t="str">
        <f t="shared" si="8"/>
        <v/>
      </c>
      <c r="CF13" s="18" t="str">
        <f t="shared" si="8"/>
        <v/>
      </c>
      <c r="CG13" s="18" t="str">
        <f t="shared" si="8"/>
        <v/>
      </c>
      <c r="CH13" s="18" t="str">
        <f t="shared" si="8"/>
        <v/>
      </c>
      <c r="CI13" s="18" t="str">
        <f t="shared" si="8"/>
        <v/>
      </c>
      <c r="CJ13" s="18" t="str">
        <f t="shared" si="8"/>
        <v/>
      </c>
      <c r="CK13" s="18" t="str">
        <f t="shared" si="8"/>
        <v/>
      </c>
      <c r="CL13" s="18" t="str">
        <f t="shared" si="8"/>
        <v/>
      </c>
      <c r="CM13" s="18" t="str">
        <f t="shared" si="8"/>
        <v/>
      </c>
      <c r="CN13" s="18" t="str">
        <f t="shared" si="8"/>
        <v/>
      </c>
      <c r="CO13" s="18" t="str">
        <f t="shared" si="9"/>
        <v/>
      </c>
      <c r="CP13" s="18" t="str">
        <f t="shared" si="9"/>
        <v/>
      </c>
      <c r="CQ13" s="18" t="str">
        <f t="shared" si="9"/>
        <v/>
      </c>
      <c r="CR13" s="18" t="str">
        <f t="shared" si="9"/>
        <v/>
      </c>
      <c r="CS13" s="18" t="str">
        <f t="shared" si="9"/>
        <v/>
      </c>
      <c r="CT13" s="18" t="str">
        <f t="shared" si="9"/>
        <v/>
      </c>
      <c r="CU13" s="18" t="str">
        <f t="shared" si="9"/>
        <v/>
      </c>
      <c r="CV13" s="18" t="str">
        <f t="shared" si="9"/>
        <v/>
      </c>
      <c r="CW13" s="18" t="str">
        <f t="shared" si="9"/>
        <v/>
      </c>
      <c r="CX13" s="18" t="str">
        <f t="shared" si="9"/>
        <v/>
      </c>
      <c r="CY13" s="18" t="str">
        <f t="shared" si="10"/>
        <v/>
      </c>
      <c r="CZ13" s="18" t="str">
        <f t="shared" si="10"/>
        <v/>
      </c>
      <c r="DA13" s="18" t="str">
        <f t="shared" si="10"/>
        <v/>
      </c>
      <c r="DB13" s="18" t="str">
        <f t="shared" si="10"/>
        <v/>
      </c>
      <c r="DC13" s="18" t="str">
        <f t="shared" si="10"/>
        <v/>
      </c>
      <c r="DD13" s="18" t="str">
        <f t="shared" si="10"/>
        <v/>
      </c>
      <c r="DE13" s="18" t="str">
        <f t="shared" si="10"/>
        <v/>
      </c>
      <c r="DF13" s="18" t="str">
        <f t="shared" si="10"/>
        <v/>
      </c>
      <c r="DG13" s="18" t="str">
        <f t="shared" si="10"/>
        <v/>
      </c>
      <c r="DH13" s="18" t="str">
        <f t="shared" si="10"/>
        <v/>
      </c>
      <c r="DI13" s="18" t="str">
        <f t="shared" si="11"/>
        <v/>
      </c>
      <c r="DJ13" s="18" t="str">
        <f t="shared" si="11"/>
        <v/>
      </c>
      <c r="DK13" s="18" t="str">
        <f t="shared" si="11"/>
        <v/>
      </c>
      <c r="DL13" s="18" t="str">
        <f t="shared" si="11"/>
        <v/>
      </c>
      <c r="DM13" s="18" t="str">
        <f t="shared" si="11"/>
        <v/>
      </c>
      <c r="DN13" s="18" t="str">
        <f t="shared" si="11"/>
        <v/>
      </c>
      <c r="DO13" s="18" t="str">
        <f t="shared" si="11"/>
        <v/>
      </c>
      <c r="DP13" s="18" t="str">
        <f t="shared" si="11"/>
        <v/>
      </c>
      <c r="DQ13" s="18" t="str">
        <f t="shared" si="11"/>
        <v/>
      </c>
      <c r="DR13" s="18" t="str">
        <f t="shared" si="11"/>
        <v/>
      </c>
    </row>
    <row r="14" spans="1:123" ht="15.95" customHeight="1" x14ac:dyDescent="0.25">
      <c r="A14" s="16" t="str">
        <f>IF(9&gt;Simulador!$B$12,"","Cilindro "&amp;9)</f>
        <v/>
      </c>
      <c r="B14" s="17" t="str">
        <f>IF(Simulador!D30="","",Simulador!D30)</f>
        <v/>
      </c>
      <c r="C14" s="18" t="str">
        <f t="shared" si="0"/>
        <v/>
      </c>
      <c r="D14" s="18" t="str">
        <f t="shared" si="0"/>
        <v/>
      </c>
      <c r="E14" s="18" t="str">
        <f t="shared" si="0"/>
        <v/>
      </c>
      <c r="F14" s="18" t="str">
        <f t="shared" si="0"/>
        <v/>
      </c>
      <c r="G14" s="18" t="str">
        <f t="shared" si="0"/>
        <v/>
      </c>
      <c r="H14" s="18" t="str">
        <f t="shared" si="0"/>
        <v/>
      </c>
      <c r="I14" s="18" t="str">
        <f t="shared" si="0"/>
        <v/>
      </c>
      <c r="J14" s="18" t="str">
        <f t="shared" si="0"/>
        <v/>
      </c>
      <c r="K14" s="18" t="str">
        <f t="shared" si="0"/>
        <v/>
      </c>
      <c r="L14" s="18" t="str">
        <f t="shared" si="0"/>
        <v/>
      </c>
      <c r="M14" s="18" t="str">
        <f t="shared" si="1"/>
        <v/>
      </c>
      <c r="N14" s="18" t="str">
        <f t="shared" si="1"/>
        <v/>
      </c>
      <c r="O14" s="18" t="str">
        <f t="shared" si="1"/>
        <v/>
      </c>
      <c r="P14" s="18" t="str">
        <f t="shared" si="1"/>
        <v/>
      </c>
      <c r="Q14" s="18" t="str">
        <f t="shared" si="1"/>
        <v/>
      </c>
      <c r="R14" s="18" t="str">
        <f t="shared" si="1"/>
        <v/>
      </c>
      <c r="S14" s="18" t="str">
        <f t="shared" si="1"/>
        <v/>
      </c>
      <c r="T14" s="18" t="str">
        <f t="shared" si="1"/>
        <v/>
      </c>
      <c r="U14" s="18" t="str">
        <f t="shared" si="1"/>
        <v/>
      </c>
      <c r="V14" s="18" t="str">
        <f t="shared" si="1"/>
        <v/>
      </c>
      <c r="W14" s="18" t="str">
        <f t="shared" si="2"/>
        <v/>
      </c>
      <c r="X14" s="18" t="str">
        <f t="shared" si="2"/>
        <v/>
      </c>
      <c r="Y14" s="18" t="str">
        <f t="shared" si="2"/>
        <v/>
      </c>
      <c r="Z14" s="18" t="str">
        <f t="shared" si="2"/>
        <v/>
      </c>
      <c r="AA14" s="18" t="str">
        <f t="shared" si="2"/>
        <v/>
      </c>
      <c r="AB14" s="18" t="str">
        <f t="shared" si="2"/>
        <v/>
      </c>
      <c r="AC14" s="18" t="str">
        <f t="shared" si="2"/>
        <v/>
      </c>
      <c r="AD14" s="18" t="str">
        <f t="shared" si="2"/>
        <v/>
      </c>
      <c r="AE14" s="18" t="str">
        <f t="shared" si="2"/>
        <v/>
      </c>
      <c r="AF14" s="18" t="str">
        <f t="shared" si="2"/>
        <v/>
      </c>
      <c r="AG14" s="18" t="str">
        <f t="shared" si="3"/>
        <v/>
      </c>
      <c r="AH14" s="18" t="str">
        <f t="shared" si="3"/>
        <v/>
      </c>
      <c r="AI14" s="18" t="str">
        <f t="shared" si="3"/>
        <v/>
      </c>
      <c r="AJ14" s="18" t="str">
        <f t="shared" si="3"/>
        <v/>
      </c>
      <c r="AK14" s="18" t="str">
        <f t="shared" si="3"/>
        <v/>
      </c>
      <c r="AL14" s="18" t="str">
        <f t="shared" si="3"/>
        <v/>
      </c>
      <c r="AM14" s="18" t="str">
        <f t="shared" si="3"/>
        <v/>
      </c>
      <c r="AN14" s="18" t="str">
        <f t="shared" si="3"/>
        <v/>
      </c>
      <c r="AO14" s="18" t="str">
        <f t="shared" si="3"/>
        <v/>
      </c>
      <c r="AP14" s="18" t="str">
        <f t="shared" si="3"/>
        <v/>
      </c>
      <c r="AQ14" s="18" t="str">
        <f t="shared" si="4"/>
        <v/>
      </c>
      <c r="AR14" s="18" t="str">
        <f t="shared" si="4"/>
        <v/>
      </c>
      <c r="AS14" s="18" t="str">
        <f t="shared" si="4"/>
        <v/>
      </c>
      <c r="AT14" s="18" t="str">
        <f t="shared" si="4"/>
        <v/>
      </c>
      <c r="AU14" s="18" t="str">
        <f t="shared" si="4"/>
        <v/>
      </c>
      <c r="AV14" s="18" t="str">
        <f t="shared" si="4"/>
        <v/>
      </c>
      <c r="AW14" s="18" t="str">
        <f t="shared" si="4"/>
        <v/>
      </c>
      <c r="AX14" s="18" t="str">
        <f t="shared" si="4"/>
        <v/>
      </c>
      <c r="AY14" s="18" t="str">
        <f t="shared" si="4"/>
        <v/>
      </c>
      <c r="AZ14" s="18" t="str">
        <f t="shared" si="4"/>
        <v/>
      </c>
      <c r="BA14" s="18" t="str">
        <f t="shared" si="5"/>
        <v/>
      </c>
      <c r="BB14" s="18" t="str">
        <f t="shared" si="5"/>
        <v/>
      </c>
      <c r="BC14" s="18" t="str">
        <f t="shared" si="5"/>
        <v/>
      </c>
      <c r="BD14" s="18" t="str">
        <f t="shared" si="5"/>
        <v/>
      </c>
      <c r="BE14" s="18" t="str">
        <f t="shared" si="5"/>
        <v/>
      </c>
      <c r="BF14" s="18" t="str">
        <f t="shared" si="5"/>
        <v/>
      </c>
      <c r="BG14" s="18" t="str">
        <f t="shared" si="5"/>
        <v/>
      </c>
      <c r="BH14" s="18" t="str">
        <f t="shared" si="5"/>
        <v/>
      </c>
      <c r="BI14" s="18" t="str">
        <f t="shared" si="5"/>
        <v/>
      </c>
      <c r="BJ14" s="18" t="str">
        <f t="shared" si="5"/>
        <v/>
      </c>
      <c r="BK14" s="18" t="str">
        <f t="shared" si="6"/>
        <v/>
      </c>
      <c r="BL14" s="18" t="str">
        <f t="shared" si="6"/>
        <v/>
      </c>
      <c r="BM14" s="18" t="str">
        <f t="shared" si="6"/>
        <v/>
      </c>
      <c r="BN14" s="18" t="str">
        <f t="shared" si="6"/>
        <v/>
      </c>
      <c r="BO14" s="18" t="str">
        <f t="shared" si="6"/>
        <v/>
      </c>
      <c r="BP14" s="18" t="str">
        <f t="shared" si="6"/>
        <v/>
      </c>
      <c r="BQ14" s="18" t="str">
        <f t="shared" si="6"/>
        <v/>
      </c>
      <c r="BR14" s="18" t="str">
        <f t="shared" si="6"/>
        <v/>
      </c>
      <c r="BS14" s="18" t="str">
        <f t="shared" si="6"/>
        <v/>
      </c>
      <c r="BT14" s="18" t="str">
        <f t="shared" si="6"/>
        <v/>
      </c>
      <c r="BU14" s="18" t="str">
        <f t="shared" si="7"/>
        <v/>
      </c>
      <c r="BV14" s="18" t="str">
        <f t="shared" si="7"/>
        <v/>
      </c>
      <c r="BW14" s="18" t="str">
        <f t="shared" si="7"/>
        <v/>
      </c>
      <c r="BX14" s="18" t="str">
        <f t="shared" si="7"/>
        <v/>
      </c>
      <c r="BY14" s="18" t="str">
        <f t="shared" si="7"/>
        <v/>
      </c>
      <c r="BZ14" s="18" t="str">
        <f t="shared" si="7"/>
        <v/>
      </c>
      <c r="CA14" s="18" t="str">
        <f t="shared" si="7"/>
        <v/>
      </c>
      <c r="CB14" s="18" t="str">
        <f t="shared" si="7"/>
        <v/>
      </c>
      <c r="CC14" s="18" t="str">
        <f t="shared" si="7"/>
        <v/>
      </c>
      <c r="CD14" s="18" t="str">
        <f t="shared" si="7"/>
        <v/>
      </c>
      <c r="CE14" s="18" t="str">
        <f t="shared" si="8"/>
        <v/>
      </c>
      <c r="CF14" s="18" t="str">
        <f t="shared" si="8"/>
        <v/>
      </c>
      <c r="CG14" s="18" t="str">
        <f t="shared" si="8"/>
        <v/>
      </c>
      <c r="CH14" s="18" t="str">
        <f t="shared" si="8"/>
        <v/>
      </c>
      <c r="CI14" s="18" t="str">
        <f t="shared" si="8"/>
        <v/>
      </c>
      <c r="CJ14" s="18" t="str">
        <f t="shared" si="8"/>
        <v/>
      </c>
      <c r="CK14" s="18" t="str">
        <f t="shared" si="8"/>
        <v/>
      </c>
      <c r="CL14" s="18" t="str">
        <f t="shared" si="8"/>
        <v/>
      </c>
      <c r="CM14" s="18" t="str">
        <f t="shared" si="8"/>
        <v/>
      </c>
      <c r="CN14" s="18" t="str">
        <f t="shared" si="8"/>
        <v/>
      </c>
      <c r="CO14" s="18" t="str">
        <f t="shared" si="9"/>
        <v/>
      </c>
      <c r="CP14" s="18" t="str">
        <f t="shared" si="9"/>
        <v/>
      </c>
      <c r="CQ14" s="18" t="str">
        <f t="shared" si="9"/>
        <v/>
      </c>
      <c r="CR14" s="18" t="str">
        <f t="shared" si="9"/>
        <v/>
      </c>
      <c r="CS14" s="18" t="str">
        <f t="shared" si="9"/>
        <v/>
      </c>
      <c r="CT14" s="18" t="str">
        <f t="shared" si="9"/>
        <v/>
      </c>
      <c r="CU14" s="18" t="str">
        <f t="shared" si="9"/>
        <v/>
      </c>
      <c r="CV14" s="18" t="str">
        <f t="shared" si="9"/>
        <v/>
      </c>
      <c r="CW14" s="18" t="str">
        <f t="shared" si="9"/>
        <v/>
      </c>
      <c r="CX14" s="18" t="str">
        <f t="shared" si="9"/>
        <v/>
      </c>
      <c r="CY14" s="18" t="str">
        <f t="shared" si="10"/>
        <v/>
      </c>
      <c r="CZ14" s="18" t="str">
        <f t="shared" si="10"/>
        <v/>
      </c>
      <c r="DA14" s="18" t="str">
        <f t="shared" si="10"/>
        <v/>
      </c>
      <c r="DB14" s="18" t="str">
        <f t="shared" si="10"/>
        <v/>
      </c>
      <c r="DC14" s="18" t="str">
        <f t="shared" si="10"/>
        <v/>
      </c>
      <c r="DD14" s="18" t="str">
        <f t="shared" si="10"/>
        <v/>
      </c>
      <c r="DE14" s="18" t="str">
        <f t="shared" si="10"/>
        <v/>
      </c>
      <c r="DF14" s="18" t="str">
        <f t="shared" si="10"/>
        <v/>
      </c>
      <c r="DG14" s="18" t="str">
        <f t="shared" si="10"/>
        <v/>
      </c>
      <c r="DH14" s="18" t="str">
        <f t="shared" si="10"/>
        <v/>
      </c>
      <c r="DI14" s="18" t="str">
        <f t="shared" si="11"/>
        <v/>
      </c>
      <c r="DJ14" s="18" t="str">
        <f t="shared" si="11"/>
        <v/>
      </c>
      <c r="DK14" s="18" t="str">
        <f t="shared" si="11"/>
        <v/>
      </c>
      <c r="DL14" s="18" t="str">
        <f t="shared" si="11"/>
        <v/>
      </c>
      <c r="DM14" s="18" t="str">
        <f t="shared" si="11"/>
        <v/>
      </c>
      <c r="DN14" s="18" t="str">
        <f t="shared" si="11"/>
        <v/>
      </c>
      <c r="DO14" s="18" t="str">
        <f t="shared" si="11"/>
        <v/>
      </c>
      <c r="DP14" s="18" t="str">
        <f t="shared" si="11"/>
        <v/>
      </c>
      <c r="DQ14" s="18" t="str">
        <f t="shared" si="11"/>
        <v/>
      </c>
      <c r="DR14" s="18" t="str">
        <f t="shared" si="11"/>
        <v/>
      </c>
    </row>
    <row r="15" spans="1:123" ht="15.95" customHeight="1" x14ac:dyDescent="0.25">
      <c r="A15" s="16" t="str">
        <f>IF(10&gt;Simulador!$B$12,"","Cilindro "&amp;10)</f>
        <v/>
      </c>
      <c r="B15" s="17" t="str">
        <f>IF(Simulador!D31="","",Simulador!D31)</f>
        <v/>
      </c>
      <c r="C15" s="18" t="str">
        <f t="shared" si="0"/>
        <v/>
      </c>
      <c r="D15" s="18" t="str">
        <f t="shared" si="0"/>
        <v/>
      </c>
      <c r="E15" s="18" t="str">
        <f t="shared" si="0"/>
        <v/>
      </c>
      <c r="F15" s="18" t="str">
        <f t="shared" si="0"/>
        <v/>
      </c>
      <c r="G15" s="18" t="str">
        <f t="shared" si="0"/>
        <v/>
      </c>
      <c r="H15" s="18" t="str">
        <f t="shared" si="0"/>
        <v/>
      </c>
      <c r="I15" s="18" t="str">
        <f t="shared" si="0"/>
        <v/>
      </c>
      <c r="J15" s="18" t="str">
        <f t="shared" si="0"/>
        <v/>
      </c>
      <c r="K15" s="18" t="str">
        <f t="shared" si="0"/>
        <v/>
      </c>
      <c r="L15" s="18" t="str">
        <f t="shared" si="0"/>
        <v/>
      </c>
      <c r="M15" s="18" t="str">
        <f t="shared" si="1"/>
        <v/>
      </c>
      <c r="N15" s="18" t="str">
        <f t="shared" si="1"/>
        <v/>
      </c>
      <c r="O15" s="18" t="str">
        <f t="shared" si="1"/>
        <v/>
      </c>
      <c r="P15" s="18" t="str">
        <f t="shared" si="1"/>
        <v/>
      </c>
      <c r="Q15" s="18" t="str">
        <f t="shared" si="1"/>
        <v/>
      </c>
      <c r="R15" s="18" t="str">
        <f t="shared" si="1"/>
        <v/>
      </c>
      <c r="S15" s="18" t="str">
        <f t="shared" si="1"/>
        <v/>
      </c>
      <c r="T15" s="18" t="str">
        <f t="shared" si="1"/>
        <v/>
      </c>
      <c r="U15" s="18" t="str">
        <f t="shared" si="1"/>
        <v/>
      </c>
      <c r="V15" s="18" t="str">
        <f t="shared" si="1"/>
        <v/>
      </c>
      <c r="W15" s="18" t="str">
        <f t="shared" si="2"/>
        <v/>
      </c>
      <c r="X15" s="18" t="str">
        <f t="shared" si="2"/>
        <v/>
      </c>
      <c r="Y15" s="18" t="str">
        <f t="shared" si="2"/>
        <v/>
      </c>
      <c r="Z15" s="18" t="str">
        <f t="shared" si="2"/>
        <v/>
      </c>
      <c r="AA15" s="18" t="str">
        <f t="shared" si="2"/>
        <v/>
      </c>
      <c r="AB15" s="18" t="str">
        <f t="shared" si="2"/>
        <v/>
      </c>
      <c r="AC15" s="18" t="str">
        <f t="shared" si="2"/>
        <v/>
      </c>
      <c r="AD15" s="18" t="str">
        <f t="shared" si="2"/>
        <v/>
      </c>
      <c r="AE15" s="18" t="str">
        <f t="shared" si="2"/>
        <v/>
      </c>
      <c r="AF15" s="18" t="str">
        <f t="shared" si="2"/>
        <v/>
      </c>
      <c r="AG15" s="18" t="str">
        <f t="shared" si="3"/>
        <v/>
      </c>
      <c r="AH15" s="18" t="str">
        <f t="shared" si="3"/>
        <v/>
      </c>
      <c r="AI15" s="18" t="str">
        <f t="shared" si="3"/>
        <v/>
      </c>
      <c r="AJ15" s="18" t="str">
        <f t="shared" si="3"/>
        <v/>
      </c>
      <c r="AK15" s="18" t="str">
        <f t="shared" si="3"/>
        <v/>
      </c>
      <c r="AL15" s="18" t="str">
        <f t="shared" si="3"/>
        <v/>
      </c>
      <c r="AM15" s="18" t="str">
        <f t="shared" si="3"/>
        <v/>
      </c>
      <c r="AN15" s="18" t="str">
        <f t="shared" si="3"/>
        <v/>
      </c>
      <c r="AO15" s="18" t="str">
        <f t="shared" si="3"/>
        <v/>
      </c>
      <c r="AP15" s="18" t="str">
        <f t="shared" si="3"/>
        <v/>
      </c>
      <c r="AQ15" s="18" t="str">
        <f t="shared" si="4"/>
        <v/>
      </c>
      <c r="AR15" s="18" t="str">
        <f t="shared" si="4"/>
        <v/>
      </c>
      <c r="AS15" s="18" t="str">
        <f t="shared" si="4"/>
        <v/>
      </c>
      <c r="AT15" s="18" t="str">
        <f t="shared" si="4"/>
        <v/>
      </c>
      <c r="AU15" s="18" t="str">
        <f t="shared" si="4"/>
        <v/>
      </c>
      <c r="AV15" s="18" t="str">
        <f t="shared" si="4"/>
        <v/>
      </c>
      <c r="AW15" s="18" t="str">
        <f t="shared" si="4"/>
        <v/>
      </c>
      <c r="AX15" s="18" t="str">
        <f t="shared" si="4"/>
        <v/>
      </c>
      <c r="AY15" s="18" t="str">
        <f t="shared" si="4"/>
        <v/>
      </c>
      <c r="AZ15" s="18" t="str">
        <f t="shared" si="4"/>
        <v/>
      </c>
      <c r="BA15" s="18" t="str">
        <f t="shared" si="5"/>
        <v/>
      </c>
      <c r="BB15" s="18" t="str">
        <f t="shared" si="5"/>
        <v/>
      </c>
      <c r="BC15" s="18" t="str">
        <f t="shared" si="5"/>
        <v/>
      </c>
      <c r="BD15" s="18" t="str">
        <f t="shared" si="5"/>
        <v/>
      </c>
      <c r="BE15" s="18" t="str">
        <f t="shared" si="5"/>
        <v/>
      </c>
      <c r="BF15" s="18" t="str">
        <f t="shared" si="5"/>
        <v/>
      </c>
      <c r="BG15" s="18" t="str">
        <f t="shared" si="5"/>
        <v/>
      </c>
      <c r="BH15" s="18" t="str">
        <f t="shared" si="5"/>
        <v/>
      </c>
      <c r="BI15" s="18" t="str">
        <f t="shared" si="5"/>
        <v/>
      </c>
      <c r="BJ15" s="18" t="str">
        <f t="shared" si="5"/>
        <v/>
      </c>
      <c r="BK15" s="18" t="str">
        <f t="shared" si="6"/>
        <v/>
      </c>
      <c r="BL15" s="18" t="str">
        <f t="shared" si="6"/>
        <v/>
      </c>
      <c r="BM15" s="18" t="str">
        <f t="shared" si="6"/>
        <v/>
      </c>
      <c r="BN15" s="18" t="str">
        <f t="shared" si="6"/>
        <v/>
      </c>
      <c r="BO15" s="18" t="str">
        <f t="shared" si="6"/>
        <v/>
      </c>
      <c r="BP15" s="18" t="str">
        <f t="shared" si="6"/>
        <v/>
      </c>
      <c r="BQ15" s="18" t="str">
        <f t="shared" si="6"/>
        <v/>
      </c>
      <c r="BR15" s="18" t="str">
        <f t="shared" si="6"/>
        <v/>
      </c>
      <c r="BS15" s="18" t="str">
        <f t="shared" si="6"/>
        <v/>
      </c>
      <c r="BT15" s="18" t="str">
        <f t="shared" si="6"/>
        <v/>
      </c>
      <c r="BU15" s="18" t="str">
        <f t="shared" si="7"/>
        <v/>
      </c>
      <c r="BV15" s="18" t="str">
        <f t="shared" si="7"/>
        <v/>
      </c>
      <c r="BW15" s="18" t="str">
        <f t="shared" si="7"/>
        <v/>
      </c>
      <c r="BX15" s="18" t="str">
        <f t="shared" si="7"/>
        <v/>
      </c>
      <c r="BY15" s="18" t="str">
        <f t="shared" si="7"/>
        <v/>
      </c>
      <c r="BZ15" s="18" t="str">
        <f t="shared" si="7"/>
        <v/>
      </c>
      <c r="CA15" s="18" t="str">
        <f t="shared" si="7"/>
        <v/>
      </c>
      <c r="CB15" s="18" t="str">
        <f t="shared" si="7"/>
        <v/>
      </c>
      <c r="CC15" s="18" t="str">
        <f t="shared" si="7"/>
        <v/>
      </c>
      <c r="CD15" s="18" t="str">
        <f t="shared" si="7"/>
        <v/>
      </c>
      <c r="CE15" s="18" t="str">
        <f t="shared" si="8"/>
        <v/>
      </c>
      <c r="CF15" s="18" t="str">
        <f t="shared" si="8"/>
        <v/>
      </c>
      <c r="CG15" s="18" t="str">
        <f t="shared" si="8"/>
        <v/>
      </c>
      <c r="CH15" s="18" t="str">
        <f t="shared" si="8"/>
        <v/>
      </c>
      <c r="CI15" s="18" t="str">
        <f t="shared" si="8"/>
        <v/>
      </c>
      <c r="CJ15" s="18" t="str">
        <f t="shared" si="8"/>
        <v/>
      </c>
      <c r="CK15" s="18" t="str">
        <f t="shared" si="8"/>
        <v/>
      </c>
      <c r="CL15" s="18" t="str">
        <f t="shared" si="8"/>
        <v/>
      </c>
      <c r="CM15" s="18" t="str">
        <f t="shared" si="8"/>
        <v/>
      </c>
      <c r="CN15" s="18" t="str">
        <f t="shared" si="8"/>
        <v/>
      </c>
      <c r="CO15" s="18" t="str">
        <f t="shared" si="9"/>
        <v/>
      </c>
      <c r="CP15" s="18" t="str">
        <f t="shared" si="9"/>
        <v/>
      </c>
      <c r="CQ15" s="18" t="str">
        <f t="shared" si="9"/>
        <v/>
      </c>
      <c r="CR15" s="18" t="str">
        <f t="shared" si="9"/>
        <v/>
      </c>
      <c r="CS15" s="18" t="str">
        <f t="shared" si="9"/>
        <v/>
      </c>
      <c r="CT15" s="18" t="str">
        <f t="shared" si="9"/>
        <v/>
      </c>
      <c r="CU15" s="18" t="str">
        <f t="shared" si="9"/>
        <v/>
      </c>
      <c r="CV15" s="18" t="str">
        <f t="shared" si="9"/>
        <v/>
      </c>
      <c r="CW15" s="18" t="str">
        <f t="shared" si="9"/>
        <v/>
      </c>
      <c r="CX15" s="18" t="str">
        <f t="shared" si="9"/>
        <v/>
      </c>
      <c r="CY15" s="18" t="str">
        <f t="shared" si="10"/>
        <v/>
      </c>
      <c r="CZ15" s="18" t="str">
        <f t="shared" si="10"/>
        <v/>
      </c>
      <c r="DA15" s="18" t="str">
        <f t="shared" si="10"/>
        <v/>
      </c>
      <c r="DB15" s="18" t="str">
        <f t="shared" si="10"/>
        <v/>
      </c>
      <c r="DC15" s="18" t="str">
        <f t="shared" si="10"/>
        <v/>
      </c>
      <c r="DD15" s="18" t="str">
        <f t="shared" si="10"/>
        <v/>
      </c>
      <c r="DE15" s="18" t="str">
        <f t="shared" si="10"/>
        <v/>
      </c>
      <c r="DF15" s="18" t="str">
        <f t="shared" si="10"/>
        <v/>
      </c>
      <c r="DG15" s="18" t="str">
        <f t="shared" si="10"/>
        <v/>
      </c>
      <c r="DH15" s="18" t="str">
        <f t="shared" si="10"/>
        <v/>
      </c>
      <c r="DI15" s="18" t="str">
        <f t="shared" si="11"/>
        <v/>
      </c>
      <c r="DJ15" s="18" t="str">
        <f t="shared" si="11"/>
        <v/>
      </c>
      <c r="DK15" s="18" t="str">
        <f t="shared" si="11"/>
        <v/>
      </c>
      <c r="DL15" s="18" t="str">
        <f t="shared" si="11"/>
        <v/>
      </c>
      <c r="DM15" s="18" t="str">
        <f t="shared" si="11"/>
        <v/>
      </c>
      <c r="DN15" s="18" t="str">
        <f t="shared" si="11"/>
        <v/>
      </c>
      <c r="DO15" s="18" t="str">
        <f t="shared" si="11"/>
        <v/>
      </c>
      <c r="DP15" s="18" t="str">
        <f t="shared" si="11"/>
        <v/>
      </c>
      <c r="DQ15" s="18" t="str">
        <f t="shared" si="11"/>
        <v/>
      </c>
      <c r="DR15" s="18" t="str">
        <f t="shared" si="11"/>
        <v/>
      </c>
    </row>
    <row r="16" spans="1:123" ht="15.95" customHeight="1" x14ac:dyDescent="0.25">
      <c r="A16" s="16" t="str">
        <f>IF(11&gt;Simulador!$B$12,"","Cilindro "&amp;11)</f>
        <v/>
      </c>
      <c r="B16" s="17" t="str">
        <f>IF(Simulador!D32="","",Simulador!D32)</f>
        <v/>
      </c>
      <c r="C16" s="18" t="str">
        <f t="shared" si="0"/>
        <v/>
      </c>
      <c r="D16" s="18" t="str">
        <f t="shared" si="0"/>
        <v/>
      </c>
      <c r="E16" s="18" t="str">
        <f t="shared" si="0"/>
        <v/>
      </c>
      <c r="F16" s="18" t="str">
        <f t="shared" si="0"/>
        <v/>
      </c>
      <c r="G16" s="18" t="str">
        <f t="shared" si="0"/>
        <v/>
      </c>
      <c r="H16" s="18" t="str">
        <f t="shared" si="0"/>
        <v/>
      </c>
      <c r="I16" s="18" t="str">
        <f t="shared" si="0"/>
        <v/>
      </c>
      <c r="J16" s="18" t="str">
        <f t="shared" si="0"/>
        <v/>
      </c>
      <c r="K16" s="18" t="str">
        <f t="shared" si="0"/>
        <v/>
      </c>
      <c r="L16" s="18" t="str">
        <f t="shared" si="0"/>
        <v/>
      </c>
      <c r="M16" s="18" t="str">
        <f t="shared" si="1"/>
        <v/>
      </c>
      <c r="N16" s="18" t="str">
        <f t="shared" si="1"/>
        <v/>
      </c>
      <c r="O16" s="18" t="str">
        <f t="shared" si="1"/>
        <v/>
      </c>
      <c r="P16" s="18" t="str">
        <f t="shared" si="1"/>
        <v/>
      </c>
      <c r="Q16" s="18" t="str">
        <f t="shared" si="1"/>
        <v/>
      </c>
      <c r="R16" s="18" t="str">
        <f t="shared" si="1"/>
        <v/>
      </c>
      <c r="S16" s="18" t="str">
        <f t="shared" si="1"/>
        <v/>
      </c>
      <c r="T16" s="18" t="str">
        <f t="shared" si="1"/>
        <v/>
      </c>
      <c r="U16" s="18" t="str">
        <f t="shared" si="1"/>
        <v/>
      </c>
      <c r="V16" s="18" t="str">
        <f t="shared" si="1"/>
        <v/>
      </c>
      <c r="W16" s="18" t="str">
        <f t="shared" si="2"/>
        <v/>
      </c>
      <c r="X16" s="18" t="str">
        <f t="shared" si="2"/>
        <v/>
      </c>
      <c r="Y16" s="18" t="str">
        <f t="shared" si="2"/>
        <v/>
      </c>
      <c r="Z16" s="18" t="str">
        <f t="shared" si="2"/>
        <v/>
      </c>
      <c r="AA16" s="18" t="str">
        <f t="shared" si="2"/>
        <v/>
      </c>
      <c r="AB16" s="18" t="str">
        <f t="shared" si="2"/>
        <v/>
      </c>
      <c r="AC16" s="18" t="str">
        <f t="shared" si="2"/>
        <v/>
      </c>
      <c r="AD16" s="18" t="str">
        <f t="shared" si="2"/>
        <v/>
      </c>
      <c r="AE16" s="18" t="str">
        <f t="shared" si="2"/>
        <v/>
      </c>
      <c r="AF16" s="18" t="str">
        <f t="shared" si="2"/>
        <v/>
      </c>
      <c r="AG16" s="18" t="str">
        <f t="shared" si="3"/>
        <v/>
      </c>
      <c r="AH16" s="18" t="str">
        <f t="shared" si="3"/>
        <v/>
      </c>
      <c r="AI16" s="18" t="str">
        <f t="shared" si="3"/>
        <v/>
      </c>
      <c r="AJ16" s="18" t="str">
        <f t="shared" si="3"/>
        <v/>
      </c>
      <c r="AK16" s="18" t="str">
        <f t="shared" si="3"/>
        <v/>
      </c>
      <c r="AL16" s="18" t="str">
        <f t="shared" si="3"/>
        <v/>
      </c>
      <c r="AM16" s="18" t="str">
        <f t="shared" si="3"/>
        <v/>
      </c>
      <c r="AN16" s="18" t="str">
        <f t="shared" si="3"/>
        <v/>
      </c>
      <c r="AO16" s="18" t="str">
        <f t="shared" si="3"/>
        <v/>
      </c>
      <c r="AP16" s="18" t="str">
        <f t="shared" si="3"/>
        <v/>
      </c>
      <c r="AQ16" s="18" t="str">
        <f t="shared" si="4"/>
        <v/>
      </c>
      <c r="AR16" s="18" t="str">
        <f t="shared" si="4"/>
        <v/>
      </c>
      <c r="AS16" s="18" t="str">
        <f t="shared" si="4"/>
        <v/>
      </c>
      <c r="AT16" s="18" t="str">
        <f t="shared" si="4"/>
        <v/>
      </c>
      <c r="AU16" s="18" t="str">
        <f t="shared" si="4"/>
        <v/>
      </c>
      <c r="AV16" s="18" t="str">
        <f t="shared" si="4"/>
        <v/>
      </c>
      <c r="AW16" s="18" t="str">
        <f t="shared" si="4"/>
        <v/>
      </c>
      <c r="AX16" s="18" t="str">
        <f t="shared" si="4"/>
        <v/>
      </c>
      <c r="AY16" s="18" t="str">
        <f t="shared" si="4"/>
        <v/>
      </c>
      <c r="AZ16" s="18" t="str">
        <f t="shared" si="4"/>
        <v/>
      </c>
      <c r="BA16" s="18" t="str">
        <f t="shared" si="5"/>
        <v/>
      </c>
      <c r="BB16" s="18" t="str">
        <f t="shared" si="5"/>
        <v/>
      </c>
      <c r="BC16" s="18" t="str">
        <f t="shared" si="5"/>
        <v/>
      </c>
      <c r="BD16" s="18" t="str">
        <f t="shared" si="5"/>
        <v/>
      </c>
      <c r="BE16" s="18" t="str">
        <f t="shared" si="5"/>
        <v/>
      </c>
      <c r="BF16" s="18" t="str">
        <f t="shared" si="5"/>
        <v/>
      </c>
      <c r="BG16" s="18" t="str">
        <f t="shared" si="5"/>
        <v/>
      </c>
      <c r="BH16" s="18" t="str">
        <f t="shared" si="5"/>
        <v/>
      </c>
      <c r="BI16" s="18" t="str">
        <f t="shared" si="5"/>
        <v/>
      </c>
      <c r="BJ16" s="18" t="str">
        <f t="shared" si="5"/>
        <v/>
      </c>
      <c r="BK16" s="18" t="str">
        <f t="shared" si="6"/>
        <v/>
      </c>
      <c r="BL16" s="18" t="str">
        <f t="shared" si="6"/>
        <v/>
      </c>
      <c r="BM16" s="18" t="str">
        <f t="shared" si="6"/>
        <v/>
      </c>
      <c r="BN16" s="18" t="str">
        <f t="shared" si="6"/>
        <v/>
      </c>
      <c r="BO16" s="18" t="str">
        <f t="shared" si="6"/>
        <v/>
      </c>
      <c r="BP16" s="18" t="str">
        <f t="shared" si="6"/>
        <v/>
      </c>
      <c r="BQ16" s="18" t="str">
        <f t="shared" si="6"/>
        <v/>
      </c>
      <c r="BR16" s="18" t="str">
        <f t="shared" si="6"/>
        <v/>
      </c>
      <c r="BS16" s="18" t="str">
        <f t="shared" si="6"/>
        <v/>
      </c>
      <c r="BT16" s="18" t="str">
        <f t="shared" si="6"/>
        <v/>
      </c>
      <c r="BU16" s="18" t="str">
        <f t="shared" si="7"/>
        <v/>
      </c>
      <c r="BV16" s="18" t="str">
        <f t="shared" si="7"/>
        <v/>
      </c>
      <c r="BW16" s="18" t="str">
        <f t="shared" si="7"/>
        <v/>
      </c>
      <c r="BX16" s="18" t="str">
        <f t="shared" si="7"/>
        <v/>
      </c>
      <c r="BY16" s="18" t="str">
        <f t="shared" si="7"/>
        <v/>
      </c>
      <c r="BZ16" s="18" t="str">
        <f t="shared" si="7"/>
        <v/>
      </c>
      <c r="CA16" s="18" t="str">
        <f t="shared" si="7"/>
        <v/>
      </c>
      <c r="CB16" s="18" t="str">
        <f t="shared" si="7"/>
        <v/>
      </c>
      <c r="CC16" s="18" t="str">
        <f t="shared" si="7"/>
        <v/>
      </c>
      <c r="CD16" s="18" t="str">
        <f t="shared" si="7"/>
        <v/>
      </c>
      <c r="CE16" s="18" t="str">
        <f t="shared" si="8"/>
        <v/>
      </c>
      <c r="CF16" s="18" t="str">
        <f t="shared" si="8"/>
        <v/>
      </c>
      <c r="CG16" s="18" t="str">
        <f t="shared" si="8"/>
        <v/>
      </c>
      <c r="CH16" s="18" t="str">
        <f t="shared" si="8"/>
        <v/>
      </c>
      <c r="CI16" s="18" t="str">
        <f t="shared" si="8"/>
        <v/>
      </c>
      <c r="CJ16" s="18" t="str">
        <f t="shared" si="8"/>
        <v/>
      </c>
      <c r="CK16" s="18" t="str">
        <f t="shared" si="8"/>
        <v/>
      </c>
      <c r="CL16" s="18" t="str">
        <f t="shared" si="8"/>
        <v/>
      </c>
      <c r="CM16" s="18" t="str">
        <f t="shared" si="8"/>
        <v/>
      </c>
      <c r="CN16" s="18" t="str">
        <f t="shared" si="8"/>
        <v/>
      </c>
      <c r="CO16" s="18" t="str">
        <f t="shared" si="9"/>
        <v/>
      </c>
      <c r="CP16" s="18" t="str">
        <f t="shared" si="9"/>
        <v/>
      </c>
      <c r="CQ16" s="18" t="str">
        <f t="shared" si="9"/>
        <v/>
      </c>
      <c r="CR16" s="18" t="str">
        <f t="shared" si="9"/>
        <v/>
      </c>
      <c r="CS16" s="18" t="str">
        <f t="shared" si="9"/>
        <v/>
      </c>
      <c r="CT16" s="18" t="str">
        <f t="shared" si="9"/>
        <v/>
      </c>
      <c r="CU16" s="18" t="str">
        <f t="shared" si="9"/>
        <v/>
      </c>
      <c r="CV16" s="18" t="str">
        <f t="shared" si="9"/>
        <v/>
      </c>
      <c r="CW16" s="18" t="str">
        <f t="shared" si="9"/>
        <v/>
      </c>
      <c r="CX16" s="18" t="str">
        <f t="shared" si="9"/>
        <v/>
      </c>
      <c r="CY16" s="18" t="str">
        <f t="shared" si="10"/>
        <v/>
      </c>
      <c r="CZ16" s="18" t="str">
        <f t="shared" si="10"/>
        <v/>
      </c>
      <c r="DA16" s="18" t="str">
        <f t="shared" si="10"/>
        <v/>
      </c>
      <c r="DB16" s="18" t="str">
        <f t="shared" si="10"/>
        <v/>
      </c>
      <c r="DC16" s="18" t="str">
        <f t="shared" si="10"/>
        <v/>
      </c>
      <c r="DD16" s="18" t="str">
        <f t="shared" si="10"/>
        <v/>
      </c>
      <c r="DE16" s="18" t="str">
        <f t="shared" si="10"/>
        <v/>
      </c>
      <c r="DF16" s="18" t="str">
        <f t="shared" si="10"/>
        <v/>
      </c>
      <c r="DG16" s="18" t="str">
        <f t="shared" si="10"/>
        <v/>
      </c>
      <c r="DH16" s="18" t="str">
        <f t="shared" si="10"/>
        <v/>
      </c>
      <c r="DI16" s="18" t="str">
        <f t="shared" si="11"/>
        <v/>
      </c>
      <c r="DJ16" s="18" t="str">
        <f t="shared" si="11"/>
        <v/>
      </c>
      <c r="DK16" s="18" t="str">
        <f t="shared" si="11"/>
        <v/>
      </c>
      <c r="DL16" s="18" t="str">
        <f t="shared" si="11"/>
        <v/>
      </c>
      <c r="DM16" s="18" t="str">
        <f t="shared" si="11"/>
        <v/>
      </c>
      <c r="DN16" s="18" t="str">
        <f t="shared" si="11"/>
        <v/>
      </c>
      <c r="DO16" s="18" t="str">
        <f t="shared" si="11"/>
        <v/>
      </c>
      <c r="DP16" s="18" t="str">
        <f t="shared" si="11"/>
        <v/>
      </c>
      <c r="DQ16" s="18" t="str">
        <f t="shared" si="11"/>
        <v/>
      </c>
      <c r="DR16" s="18" t="str">
        <f t="shared" si="11"/>
        <v/>
      </c>
    </row>
    <row r="17" spans="1:122" ht="15.95" customHeight="1" x14ac:dyDescent="0.25">
      <c r="A17" s="16" t="str">
        <f>IF(12&gt;Simulador!$B$12,"","Cilindro "&amp;12)</f>
        <v/>
      </c>
      <c r="B17" s="17" t="str">
        <f>IF(Simulador!D33="","",Simulador!D33)</f>
        <v/>
      </c>
      <c r="C17" s="18" t="str">
        <f t="shared" si="0"/>
        <v/>
      </c>
      <c r="D17" s="18" t="str">
        <f t="shared" si="0"/>
        <v/>
      </c>
      <c r="E17" s="18" t="str">
        <f t="shared" si="0"/>
        <v/>
      </c>
      <c r="F17" s="18" t="str">
        <f t="shared" si="0"/>
        <v/>
      </c>
      <c r="G17" s="18" t="str">
        <f t="shared" si="0"/>
        <v/>
      </c>
      <c r="H17" s="18" t="str">
        <f t="shared" si="0"/>
        <v/>
      </c>
      <c r="I17" s="18" t="str">
        <f t="shared" si="0"/>
        <v/>
      </c>
      <c r="J17" s="18" t="str">
        <f t="shared" si="0"/>
        <v/>
      </c>
      <c r="K17" s="18" t="str">
        <f t="shared" si="0"/>
        <v/>
      </c>
      <c r="L17" s="18" t="str">
        <f t="shared" si="0"/>
        <v/>
      </c>
      <c r="M17" s="18" t="str">
        <f t="shared" si="1"/>
        <v/>
      </c>
      <c r="N17" s="18" t="str">
        <f t="shared" si="1"/>
        <v/>
      </c>
      <c r="O17" s="18" t="str">
        <f t="shared" si="1"/>
        <v/>
      </c>
      <c r="P17" s="18" t="str">
        <f t="shared" si="1"/>
        <v/>
      </c>
      <c r="Q17" s="18" t="str">
        <f t="shared" si="1"/>
        <v/>
      </c>
      <c r="R17" s="18" t="str">
        <f t="shared" si="1"/>
        <v/>
      </c>
      <c r="S17" s="18" t="str">
        <f t="shared" si="1"/>
        <v/>
      </c>
      <c r="T17" s="18" t="str">
        <f t="shared" si="1"/>
        <v/>
      </c>
      <c r="U17" s="18" t="str">
        <f t="shared" si="1"/>
        <v/>
      </c>
      <c r="V17" s="18" t="str">
        <f t="shared" si="1"/>
        <v/>
      </c>
      <c r="W17" s="18" t="str">
        <f t="shared" si="2"/>
        <v/>
      </c>
      <c r="X17" s="18" t="str">
        <f t="shared" si="2"/>
        <v/>
      </c>
      <c r="Y17" s="18" t="str">
        <f t="shared" si="2"/>
        <v/>
      </c>
      <c r="Z17" s="18" t="str">
        <f t="shared" si="2"/>
        <v/>
      </c>
      <c r="AA17" s="18" t="str">
        <f t="shared" si="2"/>
        <v/>
      </c>
      <c r="AB17" s="18" t="str">
        <f t="shared" si="2"/>
        <v/>
      </c>
      <c r="AC17" s="18" t="str">
        <f t="shared" si="2"/>
        <v/>
      </c>
      <c r="AD17" s="18" t="str">
        <f t="shared" si="2"/>
        <v/>
      </c>
      <c r="AE17" s="18" t="str">
        <f t="shared" si="2"/>
        <v/>
      </c>
      <c r="AF17" s="18" t="str">
        <f t="shared" si="2"/>
        <v/>
      </c>
      <c r="AG17" s="18" t="str">
        <f t="shared" si="3"/>
        <v/>
      </c>
      <c r="AH17" s="18" t="str">
        <f t="shared" si="3"/>
        <v/>
      </c>
      <c r="AI17" s="18" t="str">
        <f t="shared" si="3"/>
        <v/>
      </c>
      <c r="AJ17" s="18" t="str">
        <f t="shared" si="3"/>
        <v/>
      </c>
      <c r="AK17" s="18" t="str">
        <f t="shared" si="3"/>
        <v/>
      </c>
      <c r="AL17" s="18" t="str">
        <f t="shared" si="3"/>
        <v/>
      </c>
      <c r="AM17" s="18" t="str">
        <f t="shared" si="3"/>
        <v/>
      </c>
      <c r="AN17" s="18" t="str">
        <f t="shared" si="3"/>
        <v/>
      </c>
      <c r="AO17" s="18" t="str">
        <f t="shared" si="3"/>
        <v/>
      </c>
      <c r="AP17" s="18" t="str">
        <f t="shared" si="3"/>
        <v/>
      </c>
      <c r="AQ17" s="18" t="str">
        <f t="shared" si="4"/>
        <v/>
      </c>
      <c r="AR17" s="18" t="str">
        <f t="shared" si="4"/>
        <v/>
      </c>
      <c r="AS17" s="18" t="str">
        <f t="shared" si="4"/>
        <v/>
      </c>
      <c r="AT17" s="18" t="str">
        <f t="shared" si="4"/>
        <v/>
      </c>
      <c r="AU17" s="18" t="str">
        <f t="shared" si="4"/>
        <v/>
      </c>
      <c r="AV17" s="18" t="str">
        <f t="shared" si="4"/>
        <v/>
      </c>
      <c r="AW17" s="18" t="str">
        <f t="shared" si="4"/>
        <v/>
      </c>
      <c r="AX17" s="18" t="str">
        <f t="shared" si="4"/>
        <v/>
      </c>
      <c r="AY17" s="18" t="str">
        <f t="shared" si="4"/>
        <v/>
      </c>
      <c r="AZ17" s="18" t="str">
        <f t="shared" si="4"/>
        <v/>
      </c>
      <c r="BA17" s="18" t="str">
        <f t="shared" si="5"/>
        <v/>
      </c>
      <c r="BB17" s="18" t="str">
        <f t="shared" si="5"/>
        <v/>
      </c>
      <c r="BC17" s="18" t="str">
        <f t="shared" si="5"/>
        <v/>
      </c>
      <c r="BD17" s="18" t="str">
        <f t="shared" si="5"/>
        <v/>
      </c>
      <c r="BE17" s="18" t="str">
        <f t="shared" si="5"/>
        <v/>
      </c>
      <c r="BF17" s="18" t="str">
        <f t="shared" si="5"/>
        <v/>
      </c>
      <c r="BG17" s="18" t="str">
        <f t="shared" si="5"/>
        <v/>
      </c>
      <c r="BH17" s="18" t="str">
        <f t="shared" si="5"/>
        <v/>
      </c>
      <c r="BI17" s="18" t="str">
        <f t="shared" si="5"/>
        <v/>
      </c>
      <c r="BJ17" s="18" t="str">
        <f t="shared" si="5"/>
        <v/>
      </c>
      <c r="BK17" s="18" t="str">
        <f t="shared" si="6"/>
        <v/>
      </c>
      <c r="BL17" s="18" t="str">
        <f t="shared" si="6"/>
        <v/>
      </c>
      <c r="BM17" s="18" t="str">
        <f t="shared" si="6"/>
        <v/>
      </c>
      <c r="BN17" s="18" t="str">
        <f t="shared" si="6"/>
        <v/>
      </c>
      <c r="BO17" s="18" t="str">
        <f t="shared" si="6"/>
        <v/>
      </c>
      <c r="BP17" s="18" t="str">
        <f t="shared" si="6"/>
        <v/>
      </c>
      <c r="BQ17" s="18" t="str">
        <f t="shared" si="6"/>
        <v/>
      </c>
      <c r="BR17" s="18" t="str">
        <f t="shared" si="6"/>
        <v/>
      </c>
      <c r="BS17" s="18" t="str">
        <f t="shared" si="6"/>
        <v/>
      </c>
      <c r="BT17" s="18" t="str">
        <f t="shared" si="6"/>
        <v/>
      </c>
      <c r="BU17" s="18" t="str">
        <f t="shared" si="7"/>
        <v/>
      </c>
      <c r="BV17" s="18" t="str">
        <f t="shared" si="7"/>
        <v/>
      </c>
      <c r="BW17" s="18" t="str">
        <f t="shared" si="7"/>
        <v/>
      </c>
      <c r="BX17" s="18" t="str">
        <f t="shared" si="7"/>
        <v/>
      </c>
      <c r="BY17" s="18" t="str">
        <f t="shared" si="7"/>
        <v/>
      </c>
      <c r="BZ17" s="18" t="str">
        <f t="shared" si="7"/>
        <v/>
      </c>
      <c r="CA17" s="18" t="str">
        <f t="shared" si="7"/>
        <v/>
      </c>
      <c r="CB17" s="18" t="str">
        <f t="shared" si="7"/>
        <v/>
      </c>
      <c r="CC17" s="18" t="str">
        <f t="shared" si="7"/>
        <v/>
      </c>
      <c r="CD17" s="18" t="str">
        <f t="shared" si="7"/>
        <v/>
      </c>
      <c r="CE17" s="18" t="str">
        <f t="shared" si="8"/>
        <v/>
      </c>
      <c r="CF17" s="18" t="str">
        <f t="shared" si="8"/>
        <v/>
      </c>
      <c r="CG17" s="18" t="str">
        <f t="shared" si="8"/>
        <v/>
      </c>
      <c r="CH17" s="18" t="str">
        <f t="shared" si="8"/>
        <v/>
      </c>
      <c r="CI17" s="18" t="str">
        <f t="shared" si="8"/>
        <v/>
      </c>
      <c r="CJ17" s="18" t="str">
        <f t="shared" si="8"/>
        <v/>
      </c>
      <c r="CK17" s="18" t="str">
        <f t="shared" si="8"/>
        <v/>
      </c>
      <c r="CL17" s="18" t="str">
        <f t="shared" si="8"/>
        <v/>
      </c>
      <c r="CM17" s="18" t="str">
        <f t="shared" si="8"/>
        <v/>
      </c>
      <c r="CN17" s="18" t="str">
        <f t="shared" si="8"/>
        <v/>
      </c>
      <c r="CO17" s="18" t="str">
        <f t="shared" si="9"/>
        <v/>
      </c>
      <c r="CP17" s="18" t="str">
        <f t="shared" si="9"/>
        <v/>
      </c>
      <c r="CQ17" s="18" t="str">
        <f t="shared" si="9"/>
        <v/>
      </c>
      <c r="CR17" s="18" t="str">
        <f t="shared" si="9"/>
        <v/>
      </c>
      <c r="CS17" s="18" t="str">
        <f t="shared" si="9"/>
        <v/>
      </c>
      <c r="CT17" s="18" t="str">
        <f t="shared" si="9"/>
        <v/>
      </c>
      <c r="CU17" s="18" t="str">
        <f t="shared" si="9"/>
        <v/>
      </c>
      <c r="CV17" s="18" t="str">
        <f t="shared" si="9"/>
        <v/>
      </c>
      <c r="CW17" s="18" t="str">
        <f t="shared" si="9"/>
        <v/>
      </c>
      <c r="CX17" s="18" t="str">
        <f t="shared" si="9"/>
        <v/>
      </c>
      <c r="CY17" s="18" t="str">
        <f t="shared" si="10"/>
        <v/>
      </c>
      <c r="CZ17" s="18" t="str">
        <f t="shared" si="10"/>
        <v/>
      </c>
      <c r="DA17" s="18" t="str">
        <f t="shared" si="10"/>
        <v/>
      </c>
      <c r="DB17" s="18" t="str">
        <f t="shared" si="10"/>
        <v/>
      </c>
      <c r="DC17" s="18" t="str">
        <f t="shared" si="10"/>
        <v/>
      </c>
      <c r="DD17" s="18" t="str">
        <f t="shared" si="10"/>
        <v/>
      </c>
      <c r="DE17" s="18" t="str">
        <f t="shared" si="10"/>
        <v/>
      </c>
      <c r="DF17" s="18" t="str">
        <f t="shared" si="10"/>
        <v/>
      </c>
      <c r="DG17" s="18" t="str">
        <f t="shared" si="10"/>
        <v/>
      </c>
      <c r="DH17" s="18" t="str">
        <f t="shared" si="10"/>
        <v/>
      </c>
      <c r="DI17" s="18" t="str">
        <f t="shared" si="11"/>
        <v/>
      </c>
      <c r="DJ17" s="18" t="str">
        <f t="shared" si="11"/>
        <v/>
      </c>
      <c r="DK17" s="18" t="str">
        <f t="shared" si="11"/>
        <v/>
      </c>
      <c r="DL17" s="18" t="str">
        <f t="shared" si="11"/>
        <v/>
      </c>
      <c r="DM17" s="18" t="str">
        <f t="shared" si="11"/>
        <v/>
      </c>
      <c r="DN17" s="18" t="str">
        <f t="shared" si="11"/>
        <v/>
      </c>
      <c r="DO17" s="18" t="str">
        <f t="shared" si="11"/>
        <v/>
      </c>
      <c r="DP17" s="18" t="str">
        <f t="shared" si="11"/>
        <v/>
      </c>
      <c r="DQ17" s="18" t="str">
        <f t="shared" si="11"/>
        <v/>
      </c>
      <c r="DR17" s="18" t="str">
        <f t="shared" si="11"/>
        <v/>
      </c>
    </row>
    <row r="18" spans="1:122" x14ac:dyDescent="0.25">
      <c r="A18" s="19" t="s">
        <v>43</v>
      </c>
      <c r="C18" s="20">
        <f t="shared" ref="C18:AH18" si="12">COUNTIF(C6:C17,"EX")</f>
        <v>1</v>
      </c>
      <c r="D18" s="20">
        <f t="shared" si="12"/>
        <v>1</v>
      </c>
      <c r="E18" s="20">
        <f t="shared" si="12"/>
        <v>1</v>
      </c>
      <c r="F18" s="20">
        <f t="shared" si="12"/>
        <v>1</v>
      </c>
      <c r="G18" s="20">
        <f t="shared" si="12"/>
        <v>1</v>
      </c>
      <c r="H18" s="20">
        <f t="shared" si="12"/>
        <v>1</v>
      </c>
      <c r="I18" s="20">
        <f t="shared" si="12"/>
        <v>1</v>
      </c>
      <c r="J18" s="20">
        <f t="shared" si="12"/>
        <v>1</v>
      </c>
      <c r="K18" s="20">
        <f t="shared" si="12"/>
        <v>1</v>
      </c>
      <c r="L18" s="20">
        <f t="shared" si="12"/>
        <v>1</v>
      </c>
      <c r="M18" s="20">
        <f t="shared" si="12"/>
        <v>1</v>
      </c>
      <c r="N18" s="20">
        <f t="shared" si="12"/>
        <v>1</v>
      </c>
      <c r="O18" s="20">
        <f t="shared" si="12"/>
        <v>1</v>
      </c>
      <c r="P18" s="20">
        <f t="shared" si="12"/>
        <v>1</v>
      </c>
      <c r="Q18" s="20">
        <f t="shared" si="12"/>
        <v>1</v>
      </c>
      <c r="R18" s="20">
        <f t="shared" si="12"/>
        <v>1</v>
      </c>
      <c r="S18" s="20">
        <f t="shared" si="12"/>
        <v>1</v>
      </c>
      <c r="T18" s="20">
        <f t="shared" si="12"/>
        <v>1</v>
      </c>
      <c r="U18" s="20">
        <f t="shared" si="12"/>
        <v>1</v>
      </c>
      <c r="V18" s="20">
        <f t="shared" si="12"/>
        <v>1</v>
      </c>
      <c r="W18" s="20">
        <f t="shared" si="12"/>
        <v>1</v>
      </c>
      <c r="X18" s="20">
        <f t="shared" si="12"/>
        <v>1</v>
      </c>
      <c r="Y18" s="20">
        <f t="shared" si="12"/>
        <v>1</v>
      </c>
      <c r="Z18" s="20">
        <f t="shared" si="12"/>
        <v>1</v>
      </c>
      <c r="AA18" s="20">
        <f t="shared" si="12"/>
        <v>1</v>
      </c>
      <c r="AB18" s="20">
        <f t="shared" si="12"/>
        <v>1</v>
      </c>
      <c r="AC18" s="20">
        <f t="shared" si="12"/>
        <v>1</v>
      </c>
      <c r="AD18" s="20">
        <f t="shared" si="12"/>
        <v>1</v>
      </c>
      <c r="AE18" s="20">
        <f t="shared" si="12"/>
        <v>1</v>
      </c>
      <c r="AF18" s="20">
        <f t="shared" si="12"/>
        <v>1</v>
      </c>
      <c r="AG18" s="20">
        <f t="shared" si="12"/>
        <v>1</v>
      </c>
      <c r="AH18" s="20">
        <f t="shared" si="12"/>
        <v>1</v>
      </c>
      <c r="AI18" s="20">
        <f t="shared" ref="AI18:BN18" si="13">COUNTIF(AI6:AI17,"EX")</f>
        <v>1</v>
      </c>
      <c r="AJ18" s="20">
        <f t="shared" si="13"/>
        <v>1</v>
      </c>
      <c r="AK18" s="20">
        <f t="shared" si="13"/>
        <v>1</v>
      </c>
      <c r="AL18" s="20">
        <f t="shared" si="13"/>
        <v>1</v>
      </c>
      <c r="AM18" s="20">
        <f t="shared" si="13"/>
        <v>1</v>
      </c>
      <c r="AN18" s="20">
        <f t="shared" si="13"/>
        <v>1</v>
      </c>
      <c r="AO18" s="20">
        <f t="shared" si="13"/>
        <v>1</v>
      </c>
      <c r="AP18" s="20">
        <f t="shared" si="13"/>
        <v>1</v>
      </c>
      <c r="AQ18" s="20">
        <f t="shared" si="13"/>
        <v>1</v>
      </c>
      <c r="AR18" s="20">
        <f t="shared" si="13"/>
        <v>1</v>
      </c>
      <c r="AS18" s="20">
        <f t="shared" si="13"/>
        <v>1</v>
      </c>
      <c r="AT18" s="20">
        <f t="shared" si="13"/>
        <v>1</v>
      </c>
      <c r="AU18" s="20">
        <f t="shared" si="13"/>
        <v>1</v>
      </c>
      <c r="AV18" s="20">
        <f t="shared" si="13"/>
        <v>1</v>
      </c>
      <c r="AW18" s="20">
        <f t="shared" si="13"/>
        <v>1</v>
      </c>
      <c r="AX18" s="20">
        <f t="shared" si="13"/>
        <v>1</v>
      </c>
      <c r="AY18" s="20">
        <f t="shared" si="13"/>
        <v>1</v>
      </c>
      <c r="AZ18" s="20">
        <f t="shared" si="13"/>
        <v>1</v>
      </c>
      <c r="BA18" s="20">
        <f t="shared" si="13"/>
        <v>1</v>
      </c>
      <c r="BB18" s="20">
        <f t="shared" si="13"/>
        <v>1</v>
      </c>
      <c r="BC18" s="20">
        <f t="shared" si="13"/>
        <v>1</v>
      </c>
      <c r="BD18" s="20">
        <f t="shared" si="13"/>
        <v>1</v>
      </c>
      <c r="BE18" s="20">
        <f t="shared" si="13"/>
        <v>1</v>
      </c>
      <c r="BF18" s="20">
        <f t="shared" si="13"/>
        <v>1</v>
      </c>
      <c r="BG18" s="20">
        <f t="shared" si="13"/>
        <v>1</v>
      </c>
      <c r="BH18" s="20">
        <f t="shared" si="13"/>
        <v>1</v>
      </c>
      <c r="BI18" s="20">
        <f t="shared" si="13"/>
        <v>1</v>
      </c>
      <c r="BJ18" s="20">
        <f t="shared" si="13"/>
        <v>1</v>
      </c>
      <c r="BK18" s="20">
        <f t="shared" si="13"/>
        <v>1</v>
      </c>
      <c r="BL18" s="20">
        <f t="shared" si="13"/>
        <v>1</v>
      </c>
      <c r="BM18" s="20">
        <f t="shared" si="13"/>
        <v>1</v>
      </c>
      <c r="BN18" s="20">
        <f t="shared" si="13"/>
        <v>1</v>
      </c>
      <c r="BO18" s="20">
        <f t="shared" ref="BO18:CT18" si="14">COUNTIF(BO6:BO17,"EX")</f>
        <v>1</v>
      </c>
      <c r="BP18" s="20">
        <f t="shared" si="14"/>
        <v>1</v>
      </c>
      <c r="BQ18" s="20">
        <f t="shared" si="14"/>
        <v>1</v>
      </c>
      <c r="BR18" s="20">
        <f t="shared" si="14"/>
        <v>1</v>
      </c>
      <c r="BS18" s="20">
        <f t="shared" si="14"/>
        <v>1</v>
      </c>
      <c r="BT18" s="20">
        <f t="shared" si="14"/>
        <v>1</v>
      </c>
      <c r="BU18" s="20">
        <f t="shared" si="14"/>
        <v>1</v>
      </c>
      <c r="BV18" s="20">
        <f t="shared" si="14"/>
        <v>1</v>
      </c>
      <c r="BW18" s="20">
        <f t="shared" si="14"/>
        <v>1</v>
      </c>
      <c r="BX18" s="20">
        <f t="shared" si="14"/>
        <v>1</v>
      </c>
      <c r="BY18" s="20">
        <f t="shared" si="14"/>
        <v>1</v>
      </c>
      <c r="BZ18" s="20">
        <f t="shared" si="14"/>
        <v>1</v>
      </c>
      <c r="CA18" s="20">
        <f t="shared" si="14"/>
        <v>1</v>
      </c>
      <c r="CB18" s="20">
        <f t="shared" si="14"/>
        <v>1</v>
      </c>
      <c r="CC18" s="20">
        <f t="shared" si="14"/>
        <v>1</v>
      </c>
      <c r="CD18" s="20">
        <f t="shared" si="14"/>
        <v>1</v>
      </c>
      <c r="CE18" s="20">
        <f t="shared" si="14"/>
        <v>1</v>
      </c>
      <c r="CF18" s="20">
        <f t="shared" si="14"/>
        <v>1</v>
      </c>
      <c r="CG18" s="20">
        <f t="shared" si="14"/>
        <v>1</v>
      </c>
      <c r="CH18" s="20">
        <f t="shared" si="14"/>
        <v>1</v>
      </c>
      <c r="CI18" s="20">
        <f t="shared" si="14"/>
        <v>1</v>
      </c>
      <c r="CJ18" s="20">
        <f t="shared" si="14"/>
        <v>1</v>
      </c>
      <c r="CK18" s="20">
        <f t="shared" si="14"/>
        <v>1</v>
      </c>
      <c r="CL18" s="20">
        <f t="shared" si="14"/>
        <v>1</v>
      </c>
      <c r="CM18" s="20">
        <f t="shared" si="14"/>
        <v>1</v>
      </c>
      <c r="CN18" s="20">
        <f t="shared" si="14"/>
        <v>1</v>
      </c>
      <c r="CO18" s="20">
        <f t="shared" si="14"/>
        <v>1</v>
      </c>
      <c r="CP18" s="20">
        <f t="shared" si="14"/>
        <v>1</v>
      </c>
      <c r="CQ18" s="20">
        <f t="shared" si="14"/>
        <v>1</v>
      </c>
      <c r="CR18" s="20">
        <f t="shared" si="14"/>
        <v>1</v>
      </c>
      <c r="CS18" s="20">
        <f t="shared" si="14"/>
        <v>1</v>
      </c>
      <c r="CT18" s="20">
        <f t="shared" si="14"/>
        <v>1</v>
      </c>
      <c r="CU18" s="20">
        <f t="shared" ref="CU18:DZ18" si="15">COUNTIF(CU6:CU17,"EX")</f>
        <v>1</v>
      </c>
      <c r="CV18" s="20">
        <f t="shared" si="15"/>
        <v>1</v>
      </c>
      <c r="CW18" s="20">
        <f t="shared" si="15"/>
        <v>1</v>
      </c>
      <c r="CX18" s="20">
        <f t="shared" si="15"/>
        <v>1</v>
      </c>
      <c r="CY18" s="20">
        <f t="shared" si="15"/>
        <v>1</v>
      </c>
      <c r="CZ18" s="20">
        <f t="shared" si="15"/>
        <v>1</v>
      </c>
      <c r="DA18" s="20">
        <f t="shared" si="15"/>
        <v>1</v>
      </c>
      <c r="DB18" s="20">
        <f t="shared" si="15"/>
        <v>1</v>
      </c>
      <c r="DC18" s="20">
        <f t="shared" si="15"/>
        <v>1</v>
      </c>
      <c r="DD18" s="20">
        <f t="shared" si="15"/>
        <v>1</v>
      </c>
      <c r="DE18" s="20">
        <f t="shared" si="15"/>
        <v>1</v>
      </c>
      <c r="DF18" s="20">
        <f t="shared" si="15"/>
        <v>1</v>
      </c>
      <c r="DG18" s="20">
        <f t="shared" si="15"/>
        <v>1</v>
      </c>
      <c r="DH18" s="20">
        <f t="shared" si="15"/>
        <v>1</v>
      </c>
      <c r="DI18" s="20">
        <f t="shared" si="15"/>
        <v>1</v>
      </c>
      <c r="DJ18" s="20">
        <f t="shared" si="15"/>
        <v>1</v>
      </c>
      <c r="DK18" s="20">
        <f t="shared" si="15"/>
        <v>1</v>
      </c>
      <c r="DL18" s="20">
        <f t="shared" si="15"/>
        <v>1</v>
      </c>
      <c r="DM18" s="20">
        <f t="shared" si="15"/>
        <v>1</v>
      </c>
      <c r="DN18" s="20">
        <f t="shared" si="15"/>
        <v>1</v>
      </c>
      <c r="DO18" s="20">
        <f t="shared" si="15"/>
        <v>1</v>
      </c>
      <c r="DP18" s="20">
        <f t="shared" si="15"/>
        <v>1</v>
      </c>
      <c r="DQ18" s="20">
        <f t="shared" si="15"/>
        <v>1</v>
      </c>
      <c r="DR18" s="20">
        <f t="shared" si="15"/>
        <v>1</v>
      </c>
    </row>
    <row r="19" spans="1:122" x14ac:dyDescent="0.25">
      <c r="A19" s="21" t="s">
        <v>44</v>
      </c>
      <c r="C19" s="22" t="str">
        <f>IF(AND(Simulador!$B$8&gt;=C$5,Simulador!$B$8&lt;C$5+6),"▲","")</f>
        <v>▲</v>
      </c>
      <c r="D19" s="22" t="str">
        <f>IF(AND(Simulador!$B$8&gt;=D$5,Simulador!$B$8&lt;D$5+6),"▲","")</f>
        <v/>
      </c>
      <c r="E19" s="22" t="str">
        <f>IF(AND(Simulador!$B$8&gt;=E$5,Simulador!$B$8&lt;E$5+6),"▲","")</f>
        <v/>
      </c>
      <c r="F19" s="22" t="str">
        <f>IF(AND(Simulador!$B$8&gt;=F$5,Simulador!$B$8&lt;F$5+6),"▲","")</f>
        <v/>
      </c>
      <c r="G19" s="22" t="str">
        <f>IF(AND(Simulador!$B$8&gt;=G$5,Simulador!$B$8&lt;G$5+6),"▲","")</f>
        <v/>
      </c>
      <c r="H19" s="22" t="str">
        <f>IF(AND(Simulador!$B$8&gt;=H$5,Simulador!$B$8&lt;H$5+6),"▲","")</f>
        <v/>
      </c>
      <c r="I19" s="22" t="str">
        <f>IF(AND(Simulador!$B$8&gt;=I$5,Simulador!$B$8&lt;I$5+6),"▲","")</f>
        <v/>
      </c>
      <c r="J19" s="22" t="str">
        <f>IF(AND(Simulador!$B$8&gt;=J$5,Simulador!$B$8&lt;J$5+6),"▲","")</f>
        <v/>
      </c>
      <c r="K19" s="22" t="str">
        <f>IF(AND(Simulador!$B$8&gt;=K$5,Simulador!$B$8&lt;K$5+6),"▲","")</f>
        <v/>
      </c>
      <c r="L19" s="22" t="str">
        <f>IF(AND(Simulador!$B$8&gt;=L$5,Simulador!$B$8&lt;L$5+6),"▲","")</f>
        <v/>
      </c>
      <c r="M19" s="22" t="str">
        <f>IF(AND(Simulador!$B$8&gt;=M$5,Simulador!$B$8&lt;M$5+6),"▲","")</f>
        <v/>
      </c>
      <c r="N19" s="22" t="str">
        <f>IF(AND(Simulador!$B$8&gt;=N$5,Simulador!$B$8&lt;N$5+6),"▲","")</f>
        <v/>
      </c>
      <c r="O19" s="22" t="str">
        <f>IF(AND(Simulador!$B$8&gt;=O$5,Simulador!$B$8&lt;O$5+6),"▲","")</f>
        <v/>
      </c>
      <c r="P19" s="22" t="str">
        <f>IF(AND(Simulador!$B$8&gt;=P$5,Simulador!$B$8&lt;P$5+6),"▲","")</f>
        <v/>
      </c>
      <c r="Q19" s="22" t="str">
        <f>IF(AND(Simulador!$B$8&gt;=Q$5,Simulador!$B$8&lt;Q$5+6),"▲","")</f>
        <v/>
      </c>
      <c r="R19" s="22" t="str">
        <f>IF(AND(Simulador!$B$8&gt;=R$5,Simulador!$B$8&lt;R$5+6),"▲","")</f>
        <v/>
      </c>
      <c r="S19" s="22" t="str">
        <f>IF(AND(Simulador!$B$8&gt;=S$5,Simulador!$B$8&lt;S$5+6),"▲","")</f>
        <v/>
      </c>
      <c r="T19" s="22" t="str">
        <f>IF(AND(Simulador!$B$8&gt;=T$5,Simulador!$B$8&lt;T$5+6),"▲","")</f>
        <v/>
      </c>
      <c r="U19" s="22" t="str">
        <f>IF(AND(Simulador!$B$8&gt;=U$5,Simulador!$B$8&lt;U$5+6),"▲","")</f>
        <v/>
      </c>
      <c r="V19" s="22" t="str">
        <f>IF(AND(Simulador!$B$8&gt;=V$5,Simulador!$B$8&lt;V$5+6),"▲","")</f>
        <v/>
      </c>
      <c r="W19" s="22" t="str">
        <f>IF(AND(Simulador!$B$8&gt;=W$5,Simulador!$B$8&lt;W$5+6),"▲","")</f>
        <v/>
      </c>
      <c r="X19" s="22" t="str">
        <f>IF(AND(Simulador!$B$8&gt;=X$5,Simulador!$B$8&lt;X$5+6),"▲","")</f>
        <v/>
      </c>
      <c r="Y19" s="22" t="str">
        <f>IF(AND(Simulador!$B$8&gt;=Y$5,Simulador!$B$8&lt;Y$5+6),"▲","")</f>
        <v/>
      </c>
      <c r="Z19" s="22" t="str">
        <f>IF(AND(Simulador!$B$8&gt;=Z$5,Simulador!$B$8&lt;Z$5+6),"▲","")</f>
        <v/>
      </c>
      <c r="AA19" s="22" t="str">
        <f>IF(AND(Simulador!$B$8&gt;=AA$5,Simulador!$B$8&lt;AA$5+6),"▲","")</f>
        <v/>
      </c>
      <c r="AB19" s="22" t="str">
        <f>IF(AND(Simulador!$B$8&gt;=AB$5,Simulador!$B$8&lt;AB$5+6),"▲","")</f>
        <v/>
      </c>
      <c r="AC19" s="22" t="str">
        <f>IF(AND(Simulador!$B$8&gt;=AC$5,Simulador!$B$8&lt;AC$5+6),"▲","")</f>
        <v/>
      </c>
      <c r="AD19" s="22" t="str">
        <f>IF(AND(Simulador!$B$8&gt;=AD$5,Simulador!$B$8&lt;AD$5+6),"▲","")</f>
        <v/>
      </c>
      <c r="AE19" s="22" t="str">
        <f>IF(AND(Simulador!$B$8&gt;=AE$5,Simulador!$B$8&lt;AE$5+6),"▲","")</f>
        <v/>
      </c>
      <c r="AF19" s="22" t="str">
        <f>IF(AND(Simulador!$B$8&gt;=AF$5,Simulador!$B$8&lt;AF$5+6),"▲","")</f>
        <v/>
      </c>
      <c r="AG19" s="22" t="str">
        <f>IF(AND(Simulador!$B$8&gt;=AG$5,Simulador!$B$8&lt;AG$5+6),"▲","")</f>
        <v/>
      </c>
      <c r="AH19" s="22" t="str">
        <f>IF(AND(Simulador!$B$8&gt;=AH$5,Simulador!$B$8&lt;AH$5+6),"▲","")</f>
        <v/>
      </c>
      <c r="AI19" s="22" t="str">
        <f>IF(AND(Simulador!$B$8&gt;=AI$5,Simulador!$B$8&lt;AI$5+6),"▲","")</f>
        <v/>
      </c>
      <c r="AJ19" s="22" t="str">
        <f>IF(AND(Simulador!$B$8&gt;=AJ$5,Simulador!$B$8&lt;AJ$5+6),"▲","")</f>
        <v/>
      </c>
      <c r="AK19" s="22" t="str">
        <f>IF(AND(Simulador!$B$8&gt;=AK$5,Simulador!$B$8&lt;AK$5+6),"▲","")</f>
        <v/>
      </c>
      <c r="AL19" s="22" t="str">
        <f>IF(AND(Simulador!$B$8&gt;=AL$5,Simulador!$B$8&lt;AL$5+6),"▲","")</f>
        <v/>
      </c>
      <c r="AM19" s="22" t="str">
        <f>IF(AND(Simulador!$B$8&gt;=AM$5,Simulador!$B$8&lt;AM$5+6),"▲","")</f>
        <v/>
      </c>
      <c r="AN19" s="22" t="str">
        <f>IF(AND(Simulador!$B$8&gt;=AN$5,Simulador!$B$8&lt;AN$5+6),"▲","")</f>
        <v/>
      </c>
      <c r="AO19" s="22" t="str">
        <f>IF(AND(Simulador!$B$8&gt;=AO$5,Simulador!$B$8&lt;AO$5+6),"▲","")</f>
        <v/>
      </c>
      <c r="AP19" s="22" t="str">
        <f>IF(AND(Simulador!$B$8&gt;=AP$5,Simulador!$B$8&lt;AP$5+6),"▲","")</f>
        <v/>
      </c>
      <c r="AQ19" s="22" t="str">
        <f>IF(AND(Simulador!$B$8&gt;=AQ$5,Simulador!$B$8&lt;AQ$5+6),"▲","")</f>
        <v/>
      </c>
      <c r="AR19" s="22" t="str">
        <f>IF(AND(Simulador!$B$8&gt;=AR$5,Simulador!$B$8&lt;AR$5+6),"▲","")</f>
        <v/>
      </c>
      <c r="AS19" s="22" t="str">
        <f>IF(AND(Simulador!$B$8&gt;=AS$5,Simulador!$B$8&lt;AS$5+6),"▲","")</f>
        <v/>
      </c>
      <c r="AT19" s="22" t="str">
        <f>IF(AND(Simulador!$B$8&gt;=AT$5,Simulador!$B$8&lt;AT$5+6),"▲","")</f>
        <v/>
      </c>
      <c r="AU19" s="22" t="str">
        <f>IF(AND(Simulador!$B$8&gt;=AU$5,Simulador!$B$8&lt;AU$5+6),"▲","")</f>
        <v/>
      </c>
      <c r="AV19" s="22" t="str">
        <f>IF(AND(Simulador!$B$8&gt;=AV$5,Simulador!$B$8&lt;AV$5+6),"▲","")</f>
        <v/>
      </c>
      <c r="AW19" s="22" t="str">
        <f>IF(AND(Simulador!$B$8&gt;=AW$5,Simulador!$B$8&lt;AW$5+6),"▲","")</f>
        <v/>
      </c>
      <c r="AX19" s="22" t="str">
        <f>IF(AND(Simulador!$B$8&gt;=AX$5,Simulador!$B$8&lt;AX$5+6),"▲","")</f>
        <v/>
      </c>
      <c r="AY19" s="22" t="str">
        <f>IF(AND(Simulador!$B$8&gt;=AY$5,Simulador!$B$8&lt;AY$5+6),"▲","")</f>
        <v/>
      </c>
      <c r="AZ19" s="22" t="str">
        <f>IF(AND(Simulador!$B$8&gt;=AZ$5,Simulador!$B$8&lt;AZ$5+6),"▲","")</f>
        <v/>
      </c>
      <c r="BA19" s="22" t="str">
        <f>IF(AND(Simulador!$B$8&gt;=BA$5,Simulador!$B$8&lt;BA$5+6),"▲","")</f>
        <v/>
      </c>
      <c r="BB19" s="22" t="str">
        <f>IF(AND(Simulador!$B$8&gt;=BB$5,Simulador!$B$8&lt;BB$5+6),"▲","")</f>
        <v/>
      </c>
      <c r="BC19" s="22" t="str">
        <f>IF(AND(Simulador!$B$8&gt;=BC$5,Simulador!$B$8&lt;BC$5+6),"▲","")</f>
        <v/>
      </c>
      <c r="BD19" s="22" t="str">
        <f>IF(AND(Simulador!$B$8&gt;=BD$5,Simulador!$B$8&lt;BD$5+6),"▲","")</f>
        <v/>
      </c>
      <c r="BE19" s="22" t="str">
        <f>IF(AND(Simulador!$B$8&gt;=BE$5,Simulador!$B$8&lt;BE$5+6),"▲","")</f>
        <v/>
      </c>
      <c r="BF19" s="22" t="str">
        <f>IF(AND(Simulador!$B$8&gt;=BF$5,Simulador!$B$8&lt;BF$5+6),"▲","")</f>
        <v/>
      </c>
      <c r="BG19" s="22" t="str">
        <f>IF(AND(Simulador!$B$8&gt;=BG$5,Simulador!$B$8&lt;BG$5+6),"▲","")</f>
        <v/>
      </c>
      <c r="BH19" s="22" t="str">
        <f>IF(AND(Simulador!$B$8&gt;=BH$5,Simulador!$B$8&lt;BH$5+6),"▲","")</f>
        <v/>
      </c>
      <c r="BI19" s="22" t="str">
        <f>IF(AND(Simulador!$B$8&gt;=BI$5,Simulador!$B$8&lt;BI$5+6),"▲","")</f>
        <v/>
      </c>
      <c r="BJ19" s="22" t="str">
        <f>IF(AND(Simulador!$B$8&gt;=BJ$5,Simulador!$B$8&lt;BJ$5+6),"▲","")</f>
        <v/>
      </c>
      <c r="BK19" s="22" t="str">
        <f>IF(AND(Simulador!$B$8&gt;=BK$5,Simulador!$B$8&lt;BK$5+6),"▲","")</f>
        <v/>
      </c>
      <c r="BL19" s="22" t="str">
        <f>IF(AND(Simulador!$B$8&gt;=BL$5,Simulador!$B$8&lt;BL$5+6),"▲","")</f>
        <v/>
      </c>
      <c r="BM19" s="22" t="str">
        <f>IF(AND(Simulador!$B$8&gt;=BM$5,Simulador!$B$8&lt;BM$5+6),"▲","")</f>
        <v/>
      </c>
      <c r="BN19" s="22" t="str">
        <f>IF(AND(Simulador!$B$8&gt;=BN$5,Simulador!$B$8&lt;BN$5+6),"▲","")</f>
        <v/>
      </c>
      <c r="BO19" s="22" t="str">
        <f>IF(AND(Simulador!$B$8&gt;=BO$5,Simulador!$B$8&lt;BO$5+6),"▲","")</f>
        <v/>
      </c>
      <c r="BP19" s="22" t="str">
        <f>IF(AND(Simulador!$B$8&gt;=BP$5,Simulador!$B$8&lt;BP$5+6),"▲","")</f>
        <v/>
      </c>
      <c r="BQ19" s="22" t="str">
        <f>IF(AND(Simulador!$B$8&gt;=BQ$5,Simulador!$B$8&lt;BQ$5+6),"▲","")</f>
        <v/>
      </c>
      <c r="BR19" s="22" t="str">
        <f>IF(AND(Simulador!$B$8&gt;=BR$5,Simulador!$B$8&lt;BR$5+6),"▲","")</f>
        <v/>
      </c>
      <c r="BS19" s="22" t="str">
        <f>IF(AND(Simulador!$B$8&gt;=BS$5,Simulador!$B$8&lt;BS$5+6),"▲","")</f>
        <v/>
      </c>
      <c r="BT19" s="22" t="str">
        <f>IF(AND(Simulador!$B$8&gt;=BT$5,Simulador!$B$8&lt;BT$5+6),"▲","")</f>
        <v/>
      </c>
      <c r="BU19" s="22" t="str">
        <f>IF(AND(Simulador!$B$8&gt;=BU$5,Simulador!$B$8&lt;BU$5+6),"▲","")</f>
        <v/>
      </c>
      <c r="BV19" s="22" t="str">
        <f>IF(AND(Simulador!$B$8&gt;=BV$5,Simulador!$B$8&lt;BV$5+6),"▲","")</f>
        <v/>
      </c>
      <c r="BW19" s="22" t="str">
        <f>IF(AND(Simulador!$B$8&gt;=BW$5,Simulador!$B$8&lt;BW$5+6),"▲","")</f>
        <v/>
      </c>
      <c r="BX19" s="22" t="str">
        <f>IF(AND(Simulador!$B$8&gt;=BX$5,Simulador!$B$8&lt;BX$5+6),"▲","")</f>
        <v/>
      </c>
      <c r="BY19" s="22" t="str">
        <f>IF(AND(Simulador!$B$8&gt;=BY$5,Simulador!$B$8&lt;BY$5+6),"▲","")</f>
        <v/>
      </c>
      <c r="BZ19" s="22" t="str">
        <f>IF(AND(Simulador!$B$8&gt;=BZ$5,Simulador!$B$8&lt;BZ$5+6),"▲","")</f>
        <v/>
      </c>
      <c r="CA19" s="22" t="str">
        <f>IF(AND(Simulador!$B$8&gt;=CA$5,Simulador!$B$8&lt;CA$5+6),"▲","")</f>
        <v/>
      </c>
      <c r="CB19" s="22" t="str">
        <f>IF(AND(Simulador!$B$8&gt;=CB$5,Simulador!$B$8&lt;CB$5+6),"▲","")</f>
        <v/>
      </c>
      <c r="CC19" s="22" t="str">
        <f>IF(AND(Simulador!$B$8&gt;=CC$5,Simulador!$B$8&lt;CC$5+6),"▲","")</f>
        <v/>
      </c>
      <c r="CD19" s="22" t="str">
        <f>IF(AND(Simulador!$B$8&gt;=CD$5,Simulador!$B$8&lt;CD$5+6),"▲","")</f>
        <v/>
      </c>
      <c r="CE19" s="22" t="str">
        <f>IF(AND(Simulador!$B$8&gt;=CE$5,Simulador!$B$8&lt;CE$5+6),"▲","")</f>
        <v/>
      </c>
      <c r="CF19" s="22" t="str">
        <f>IF(AND(Simulador!$B$8&gt;=CF$5,Simulador!$B$8&lt;CF$5+6),"▲","")</f>
        <v/>
      </c>
      <c r="CG19" s="22" t="str">
        <f>IF(AND(Simulador!$B$8&gt;=CG$5,Simulador!$B$8&lt;CG$5+6),"▲","")</f>
        <v/>
      </c>
      <c r="CH19" s="22" t="str">
        <f>IF(AND(Simulador!$B$8&gt;=CH$5,Simulador!$B$8&lt;CH$5+6),"▲","")</f>
        <v/>
      </c>
      <c r="CI19" s="22" t="str">
        <f>IF(AND(Simulador!$B$8&gt;=CI$5,Simulador!$B$8&lt;CI$5+6),"▲","")</f>
        <v/>
      </c>
      <c r="CJ19" s="22" t="str">
        <f>IF(AND(Simulador!$B$8&gt;=CJ$5,Simulador!$B$8&lt;CJ$5+6),"▲","")</f>
        <v/>
      </c>
      <c r="CK19" s="22" t="str">
        <f>IF(AND(Simulador!$B$8&gt;=CK$5,Simulador!$B$8&lt;CK$5+6),"▲","")</f>
        <v/>
      </c>
      <c r="CL19" s="22" t="str">
        <f>IF(AND(Simulador!$B$8&gt;=CL$5,Simulador!$B$8&lt;CL$5+6),"▲","")</f>
        <v/>
      </c>
      <c r="CM19" s="22" t="str">
        <f>IF(AND(Simulador!$B$8&gt;=CM$5,Simulador!$B$8&lt;CM$5+6),"▲","")</f>
        <v/>
      </c>
      <c r="CN19" s="22" t="str">
        <f>IF(AND(Simulador!$B$8&gt;=CN$5,Simulador!$B$8&lt;CN$5+6),"▲","")</f>
        <v/>
      </c>
      <c r="CO19" s="22" t="str">
        <f>IF(AND(Simulador!$B$8&gt;=CO$5,Simulador!$B$8&lt;CO$5+6),"▲","")</f>
        <v/>
      </c>
      <c r="CP19" s="22" t="str">
        <f>IF(AND(Simulador!$B$8&gt;=CP$5,Simulador!$B$8&lt;CP$5+6),"▲","")</f>
        <v/>
      </c>
      <c r="CQ19" s="22" t="str">
        <f>IF(AND(Simulador!$B$8&gt;=CQ$5,Simulador!$B$8&lt;CQ$5+6),"▲","")</f>
        <v/>
      </c>
      <c r="CR19" s="22" t="str">
        <f>IF(AND(Simulador!$B$8&gt;=CR$5,Simulador!$B$8&lt;CR$5+6),"▲","")</f>
        <v/>
      </c>
      <c r="CS19" s="22" t="str">
        <f>IF(AND(Simulador!$B$8&gt;=CS$5,Simulador!$B$8&lt;CS$5+6),"▲","")</f>
        <v/>
      </c>
      <c r="CT19" s="22" t="str">
        <f>IF(AND(Simulador!$B$8&gt;=CT$5,Simulador!$B$8&lt;CT$5+6),"▲","")</f>
        <v/>
      </c>
      <c r="CU19" s="22" t="str">
        <f>IF(AND(Simulador!$B$8&gt;=CU$5,Simulador!$B$8&lt;CU$5+6),"▲","")</f>
        <v/>
      </c>
      <c r="CV19" s="22" t="str">
        <f>IF(AND(Simulador!$B$8&gt;=CV$5,Simulador!$B$8&lt;CV$5+6),"▲","")</f>
        <v/>
      </c>
      <c r="CW19" s="22" t="str">
        <f>IF(AND(Simulador!$B$8&gt;=CW$5,Simulador!$B$8&lt;CW$5+6),"▲","")</f>
        <v/>
      </c>
      <c r="CX19" s="22" t="str">
        <f>IF(AND(Simulador!$B$8&gt;=CX$5,Simulador!$B$8&lt;CX$5+6),"▲","")</f>
        <v/>
      </c>
      <c r="CY19" s="22" t="str">
        <f>IF(AND(Simulador!$B$8&gt;=CY$5,Simulador!$B$8&lt;CY$5+6),"▲","")</f>
        <v/>
      </c>
      <c r="CZ19" s="22" t="str">
        <f>IF(AND(Simulador!$B$8&gt;=CZ$5,Simulador!$B$8&lt;CZ$5+6),"▲","")</f>
        <v/>
      </c>
      <c r="DA19" s="22" t="str">
        <f>IF(AND(Simulador!$B$8&gt;=DA$5,Simulador!$B$8&lt;DA$5+6),"▲","")</f>
        <v/>
      </c>
      <c r="DB19" s="22" t="str">
        <f>IF(AND(Simulador!$B$8&gt;=DB$5,Simulador!$B$8&lt;DB$5+6),"▲","")</f>
        <v/>
      </c>
      <c r="DC19" s="22" t="str">
        <f>IF(AND(Simulador!$B$8&gt;=DC$5,Simulador!$B$8&lt;DC$5+6),"▲","")</f>
        <v/>
      </c>
      <c r="DD19" s="22" t="str">
        <f>IF(AND(Simulador!$B$8&gt;=DD$5,Simulador!$B$8&lt;DD$5+6),"▲","")</f>
        <v/>
      </c>
      <c r="DE19" s="22" t="str">
        <f>IF(AND(Simulador!$B$8&gt;=DE$5,Simulador!$B$8&lt;DE$5+6),"▲","")</f>
        <v/>
      </c>
      <c r="DF19" s="22" t="str">
        <f>IF(AND(Simulador!$B$8&gt;=DF$5,Simulador!$B$8&lt;DF$5+6),"▲","")</f>
        <v/>
      </c>
      <c r="DG19" s="22" t="str">
        <f>IF(AND(Simulador!$B$8&gt;=DG$5,Simulador!$B$8&lt;DG$5+6),"▲","")</f>
        <v/>
      </c>
      <c r="DH19" s="22" t="str">
        <f>IF(AND(Simulador!$B$8&gt;=DH$5,Simulador!$B$8&lt;DH$5+6),"▲","")</f>
        <v/>
      </c>
      <c r="DI19" s="22" t="str">
        <f>IF(AND(Simulador!$B$8&gt;=DI$5,Simulador!$B$8&lt;DI$5+6),"▲","")</f>
        <v/>
      </c>
      <c r="DJ19" s="22" t="str">
        <f>IF(AND(Simulador!$B$8&gt;=DJ$5,Simulador!$B$8&lt;DJ$5+6),"▲","")</f>
        <v/>
      </c>
      <c r="DK19" s="22" t="str">
        <f>IF(AND(Simulador!$B$8&gt;=DK$5,Simulador!$B$8&lt;DK$5+6),"▲","")</f>
        <v/>
      </c>
      <c r="DL19" s="22" t="str">
        <f>IF(AND(Simulador!$B$8&gt;=DL$5,Simulador!$B$8&lt;DL$5+6),"▲","")</f>
        <v/>
      </c>
      <c r="DM19" s="22" t="str">
        <f>IF(AND(Simulador!$B$8&gt;=DM$5,Simulador!$B$8&lt;DM$5+6),"▲","")</f>
        <v/>
      </c>
      <c r="DN19" s="22" t="str">
        <f>IF(AND(Simulador!$B$8&gt;=DN$5,Simulador!$B$8&lt;DN$5+6),"▲","")</f>
        <v/>
      </c>
      <c r="DO19" s="22" t="str">
        <f>IF(AND(Simulador!$B$8&gt;=DO$5,Simulador!$B$8&lt;DO$5+6),"▲","")</f>
        <v/>
      </c>
      <c r="DP19" s="22" t="str">
        <f>IF(AND(Simulador!$B$8&gt;=DP$5,Simulador!$B$8&lt;DP$5+6),"▲","")</f>
        <v/>
      </c>
      <c r="DQ19" s="22" t="str">
        <f>IF(AND(Simulador!$B$8&gt;=DQ$5,Simulador!$B$8&lt;DQ$5+6),"▲","")</f>
        <v/>
      </c>
      <c r="DR19" s="22" t="str">
        <f>IF(AND(Simulador!$B$8&gt;=DR$5,Simulador!$B$8&lt;DR$5+6),"▲","")</f>
        <v/>
      </c>
    </row>
    <row r="21" spans="1:122" x14ac:dyDescent="0.25">
      <c r="A21" s="23" t="s">
        <v>45</v>
      </c>
    </row>
    <row r="22" spans="1:122" x14ac:dyDescent="0.25">
      <c r="A22" s="23" t="s">
        <v>46</v>
      </c>
    </row>
  </sheetData>
  <conditionalFormatting sqref="C6:DR17">
    <cfRule type="expression" dxfId="8" priority="1" stopIfTrue="1">
      <formula>AND(C6="EX",MOD(C$5-$B6,180)&lt;5.999)</formula>
    </cfRule>
    <cfRule type="expression" dxfId="7" priority="2" stopIfTrue="1">
      <formula>AND(C6="E",MOD(C$5-$B6,180)&lt;5.999)</formula>
    </cfRule>
    <cfRule type="expression" dxfId="6" priority="3" stopIfTrue="1">
      <formula>AND(C6="A",MOD(C$5-$B6,180)&lt;5.999)</formula>
    </cfRule>
    <cfRule type="expression" dxfId="5" priority="4" stopIfTrue="1">
      <formula>AND(C6="C",MOD(C$5-$B6,180)&lt;5.999)</formula>
    </cfRule>
    <cfRule type="expression" dxfId="4" priority="5" stopIfTrue="1">
      <formula>C6="EX"</formula>
    </cfRule>
    <cfRule type="expression" dxfId="3" priority="6" stopIfTrue="1">
      <formula>C6="E"</formula>
    </cfRule>
    <cfRule type="expression" dxfId="2" priority="7" stopIfTrue="1">
      <formula>C6="A"</formula>
    </cfRule>
    <cfRule type="expression" dxfId="1" priority="8" stopIfTrue="1">
      <formula>C6="C"</formula>
    </cfRule>
  </conditionalFormatting>
  <conditionalFormatting sqref="C18:DR18">
    <cfRule type="expression" dxfId="0" priority="9" stopIfTrue="1">
      <formula>C18=0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workbookViewId="0"/>
  </sheetViews>
  <sheetFormatPr baseColWidth="10" defaultColWidth="9.140625" defaultRowHeight="15" x14ac:dyDescent="0.25"/>
  <cols>
    <col min="1" max="1" width="52" customWidth="1"/>
    <col min="2" max="2" width="10" customWidth="1"/>
    <col min="3" max="3" width="14" customWidth="1"/>
    <col min="4" max="4" width="32" customWidth="1"/>
    <col min="5" max="5" width="16" customWidth="1"/>
    <col min="6" max="6" width="26" customWidth="1"/>
    <col min="7" max="7" width="18" customWidth="1"/>
    <col min="8" max="8" width="70" customWidth="1"/>
  </cols>
  <sheetData>
    <row r="1" spans="1:8" ht="18" x14ac:dyDescent="0.25">
      <c r="A1" s="1" t="s">
        <v>47</v>
      </c>
    </row>
    <row r="2" spans="1:8" x14ac:dyDescent="0.25">
      <c r="A2" s="2" t="s">
        <v>48</v>
      </c>
    </row>
    <row r="4" spans="1:8" ht="45" x14ac:dyDescent="0.25">
      <c r="A4" s="3" t="s">
        <v>49</v>
      </c>
      <c r="B4" s="3" t="s">
        <v>50</v>
      </c>
      <c r="C4" s="3" t="s">
        <v>51</v>
      </c>
      <c r="D4" s="3" t="s">
        <v>13</v>
      </c>
      <c r="E4" s="3" t="s">
        <v>14</v>
      </c>
      <c r="F4" s="3" t="s">
        <v>52</v>
      </c>
      <c r="G4" s="3" t="s">
        <v>53</v>
      </c>
      <c r="H4" s="3" t="s">
        <v>54</v>
      </c>
    </row>
    <row r="5" spans="1:8" ht="30" customHeight="1" x14ac:dyDescent="0.25">
      <c r="A5" s="24" t="s">
        <v>55</v>
      </c>
      <c r="B5" s="25">
        <v>1</v>
      </c>
      <c r="C5" s="25" t="s">
        <v>41</v>
      </c>
      <c r="D5" s="24" t="s">
        <v>56</v>
      </c>
      <c r="E5" s="25" t="s">
        <v>57</v>
      </c>
      <c r="F5" s="25" t="s">
        <v>58</v>
      </c>
      <c r="G5" s="25" t="s">
        <v>59</v>
      </c>
      <c r="H5" s="26" t="s">
        <v>60</v>
      </c>
    </row>
    <row r="6" spans="1:8" ht="30" customHeight="1" x14ac:dyDescent="0.25">
      <c r="A6" s="24" t="s">
        <v>61</v>
      </c>
      <c r="B6" s="25">
        <v>2</v>
      </c>
      <c r="C6" s="25" t="s">
        <v>37</v>
      </c>
      <c r="D6" s="24" t="s">
        <v>62</v>
      </c>
      <c r="E6" s="25" t="s">
        <v>57</v>
      </c>
      <c r="F6" s="25" t="s">
        <v>63</v>
      </c>
      <c r="G6" s="25" t="s">
        <v>59</v>
      </c>
      <c r="H6" s="26" t="s">
        <v>64</v>
      </c>
    </row>
    <row r="7" spans="1:8" ht="30" customHeight="1" x14ac:dyDescent="0.25">
      <c r="A7" s="24" t="s">
        <v>65</v>
      </c>
      <c r="B7" s="25">
        <v>2</v>
      </c>
      <c r="C7" s="25" t="s">
        <v>37</v>
      </c>
      <c r="D7" s="24" t="s">
        <v>62</v>
      </c>
      <c r="E7" s="25" t="s">
        <v>57</v>
      </c>
      <c r="F7" s="25" t="s">
        <v>66</v>
      </c>
      <c r="G7" s="25" t="s">
        <v>59</v>
      </c>
      <c r="H7" s="26" t="s">
        <v>67</v>
      </c>
    </row>
    <row r="8" spans="1:8" ht="30" customHeight="1" x14ac:dyDescent="0.25">
      <c r="A8" s="24" t="s">
        <v>68</v>
      </c>
      <c r="B8" s="25">
        <v>2</v>
      </c>
      <c r="C8" s="25" t="s">
        <v>37</v>
      </c>
      <c r="D8" s="24" t="s">
        <v>62</v>
      </c>
      <c r="E8" s="25" t="s">
        <v>69</v>
      </c>
      <c r="F8" s="25" t="s">
        <v>63</v>
      </c>
      <c r="G8" s="25" t="s">
        <v>59</v>
      </c>
      <c r="H8" s="26" t="s">
        <v>70</v>
      </c>
    </row>
    <row r="9" spans="1:8" ht="30" customHeight="1" x14ac:dyDescent="0.25">
      <c r="A9" s="24" t="s">
        <v>71</v>
      </c>
      <c r="B9" s="25">
        <v>2</v>
      </c>
      <c r="C9" s="25" t="s">
        <v>37</v>
      </c>
      <c r="D9" s="24" t="s">
        <v>62</v>
      </c>
      <c r="E9" s="25" t="s">
        <v>72</v>
      </c>
      <c r="F9" s="25" t="s">
        <v>73</v>
      </c>
      <c r="G9" s="25" t="s">
        <v>59</v>
      </c>
      <c r="H9" s="26" t="s">
        <v>74</v>
      </c>
    </row>
    <row r="10" spans="1:8" ht="30" customHeight="1" x14ac:dyDescent="0.25">
      <c r="A10" s="24" t="s">
        <v>75</v>
      </c>
      <c r="B10" s="25">
        <v>3</v>
      </c>
      <c r="C10" s="25" t="s">
        <v>76</v>
      </c>
      <c r="D10" s="24" t="s">
        <v>77</v>
      </c>
      <c r="E10" s="25" t="s">
        <v>57</v>
      </c>
      <c r="F10" s="25" t="s">
        <v>78</v>
      </c>
      <c r="G10" s="25" t="s">
        <v>59</v>
      </c>
      <c r="H10" s="26" t="s">
        <v>79</v>
      </c>
    </row>
    <row r="11" spans="1:8" ht="30" customHeight="1" x14ac:dyDescent="0.25">
      <c r="A11" s="24" t="s">
        <v>80</v>
      </c>
      <c r="B11" s="25">
        <v>3</v>
      </c>
      <c r="C11" s="25" t="s">
        <v>76</v>
      </c>
      <c r="D11" s="24" t="s">
        <v>81</v>
      </c>
      <c r="E11" s="25" t="s">
        <v>57</v>
      </c>
      <c r="F11" s="25" t="s">
        <v>78</v>
      </c>
      <c r="G11" s="25" t="s">
        <v>59</v>
      </c>
      <c r="H11" s="26" t="s">
        <v>82</v>
      </c>
    </row>
    <row r="12" spans="1:8" ht="30" customHeight="1" x14ac:dyDescent="0.25">
      <c r="A12" s="24" t="s">
        <v>5</v>
      </c>
      <c r="B12" s="25">
        <v>4</v>
      </c>
      <c r="C12" s="25" t="s">
        <v>35</v>
      </c>
      <c r="D12" s="24" t="s">
        <v>8</v>
      </c>
      <c r="E12" s="25" t="s">
        <v>57</v>
      </c>
      <c r="F12" s="25" t="s">
        <v>83</v>
      </c>
      <c r="G12" s="25" t="s">
        <v>56</v>
      </c>
      <c r="H12" s="26" t="s">
        <v>84</v>
      </c>
    </row>
    <row r="13" spans="1:8" ht="30" customHeight="1" x14ac:dyDescent="0.25">
      <c r="A13" s="24" t="s">
        <v>85</v>
      </c>
      <c r="B13" s="25">
        <v>4</v>
      </c>
      <c r="C13" s="25" t="s">
        <v>35</v>
      </c>
      <c r="D13" s="24" t="s">
        <v>86</v>
      </c>
      <c r="E13" s="25" t="s">
        <v>57</v>
      </c>
      <c r="F13" s="25" t="s">
        <v>83</v>
      </c>
      <c r="G13" s="25" t="s">
        <v>56</v>
      </c>
      <c r="H13" s="26" t="s">
        <v>87</v>
      </c>
    </row>
    <row r="14" spans="1:8" ht="30" customHeight="1" x14ac:dyDescent="0.25">
      <c r="A14" s="24" t="s">
        <v>88</v>
      </c>
      <c r="B14" s="25">
        <v>4</v>
      </c>
      <c r="C14" s="25" t="s">
        <v>35</v>
      </c>
      <c r="D14" s="24" t="s">
        <v>89</v>
      </c>
      <c r="E14" s="25" t="s">
        <v>69</v>
      </c>
      <c r="F14" s="25" t="s">
        <v>83</v>
      </c>
      <c r="G14" s="25" t="s">
        <v>56</v>
      </c>
      <c r="H14" s="26" t="s">
        <v>90</v>
      </c>
    </row>
    <row r="15" spans="1:8" ht="30" customHeight="1" x14ac:dyDescent="0.25">
      <c r="A15" s="24" t="s">
        <v>91</v>
      </c>
      <c r="B15" s="25">
        <v>4</v>
      </c>
      <c r="C15" s="25" t="s">
        <v>35</v>
      </c>
      <c r="D15" s="24" t="s">
        <v>92</v>
      </c>
      <c r="E15" s="25" t="s">
        <v>69</v>
      </c>
      <c r="F15" s="25" t="s">
        <v>83</v>
      </c>
      <c r="G15" s="25" t="s">
        <v>56</v>
      </c>
      <c r="H15" s="26" t="s">
        <v>93</v>
      </c>
    </row>
    <row r="16" spans="1:8" ht="30" customHeight="1" x14ac:dyDescent="0.25">
      <c r="A16" s="24" t="s">
        <v>94</v>
      </c>
      <c r="B16" s="25">
        <v>5</v>
      </c>
      <c r="C16" s="25" t="s">
        <v>95</v>
      </c>
      <c r="D16" s="24" t="s">
        <v>96</v>
      </c>
      <c r="E16" s="25" t="s">
        <v>57</v>
      </c>
      <c r="F16" s="25" t="s">
        <v>97</v>
      </c>
      <c r="G16" s="25" t="s">
        <v>98</v>
      </c>
      <c r="H16" s="26" t="s">
        <v>99</v>
      </c>
    </row>
    <row r="17" spans="1:8" ht="30" customHeight="1" x14ac:dyDescent="0.25">
      <c r="A17" s="24" t="s">
        <v>100</v>
      </c>
      <c r="B17" s="25">
        <v>6</v>
      </c>
      <c r="C17" s="25" t="s">
        <v>101</v>
      </c>
      <c r="D17" s="24" t="s">
        <v>102</v>
      </c>
      <c r="E17" s="25" t="s">
        <v>57</v>
      </c>
      <c r="F17" s="25" t="s">
        <v>103</v>
      </c>
      <c r="G17" s="25" t="s">
        <v>98</v>
      </c>
      <c r="H17" s="26" t="s">
        <v>104</v>
      </c>
    </row>
    <row r="18" spans="1:8" ht="30" customHeight="1" x14ac:dyDescent="0.25">
      <c r="A18" s="24" t="s">
        <v>105</v>
      </c>
      <c r="B18" s="25">
        <v>6</v>
      </c>
      <c r="C18" s="25" t="s">
        <v>101</v>
      </c>
      <c r="D18" s="24" t="s">
        <v>106</v>
      </c>
      <c r="E18" s="25" t="s">
        <v>107</v>
      </c>
      <c r="F18" s="25" t="s">
        <v>103</v>
      </c>
      <c r="G18" s="25" t="s">
        <v>98</v>
      </c>
      <c r="H18" s="26" t="s">
        <v>108</v>
      </c>
    </row>
    <row r="19" spans="1:8" ht="30" customHeight="1" x14ac:dyDescent="0.25">
      <c r="A19" s="24" t="s">
        <v>109</v>
      </c>
      <c r="B19" s="25">
        <v>6</v>
      </c>
      <c r="C19" s="25" t="s">
        <v>101</v>
      </c>
      <c r="D19" s="24" t="s">
        <v>102</v>
      </c>
      <c r="E19" s="25" t="s">
        <v>110</v>
      </c>
      <c r="F19" s="25" t="s">
        <v>103</v>
      </c>
      <c r="G19" s="25" t="s">
        <v>98</v>
      </c>
      <c r="H19" s="26" t="s">
        <v>111</v>
      </c>
    </row>
    <row r="20" spans="1:8" ht="30" customHeight="1" x14ac:dyDescent="0.25">
      <c r="A20" s="24" t="s">
        <v>112</v>
      </c>
      <c r="B20" s="25">
        <v>6</v>
      </c>
      <c r="C20" s="25" t="s">
        <v>101</v>
      </c>
      <c r="D20" s="24" t="s">
        <v>113</v>
      </c>
      <c r="E20" s="25" t="s">
        <v>69</v>
      </c>
      <c r="F20" s="25" t="s">
        <v>103</v>
      </c>
      <c r="G20" s="25" t="s">
        <v>98</v>
      </c>
      <c r="H20" s="26" t="s">
        <v>114</v>
      </c>
    </row>
    <row r="21" spans="1:8" ht="30" customHeight="1" x14ac:dyDescent="0.25">
      <c r="A21" s="24" t="s">
        <v>115</v>
      </c>
      <c r="B21" s="25">
        <v>8</v>
      </c>
      <c r="C21" s="25" t="s">
        <v>34</v>
      </c>
      <c r="D21" s="24" t="s">
        <v>116</v>
      </c>
      <c r="E21" s="25" t="s">
        <v>57</v>
      </c>
      <c r="F21" s="25" t="s">
        <v>117</v>
      </c>
      <c r="G21" s="25" t="s">
        <v>118</v>
      </c>
      <c r="H21" s="26" t="s">
        <v>119</v>
      </c>
    </row>
    <row r="22" spans="1:8" ht="30" customHeight="1" x14ac:dyDescent="0.25">
      <c r="A22" s="24" t="s">
        <v>120</v>
      </c>
      <c r="B22" s="25">
        <v>8</v>
      </c>
      <c r="C22" s="25" t="s">
        <v>34</v>
      </c>
      <c r="D22" s="24" t="s">
        <v>121</v>
      </c>
      <c r="E22" s="25" t="s">
        <v>72</v>
      </c>
      <c r="F22" s="25" t="s">
        <v>117</v>
      </c>
      <c r="G22" s="25" t="s">
        <v>118</v>
      </c>
      <c r="H22" s="26" t="s">
        <v>122</v>
      </c>
    </row>
    <row r="23" spans="1:8" ht="30" customHeight="1" x14ac:dyDescent="0.25">
      <c r="A23" s="24" t="s">
        <v>123</v>
      </c>
      <c r="B23" s="25">
        <v>8</v>
      </c>
      <c r="C23" s="25" t="s">
        <v>34</v>
      </c>
      <c r="D23" s="24" t="s">
        <v>124</v>
      </c>
      <c r="E23" s="25" t="s">
        <v>72</v>
      </c>
      <c r="F23" s="25" t="s">
        <v>117</v>
      </c>
      <c r="G23" s="25" t="s">
        <v>118</v>
      </c>
      <c r="H23" s="26" t="s">
        <v>125</v>
      </c>
    </row>
    <row r="24" spans="1:8" ht="30" customHeight="1" x14ac:dyDescent="0.25">
      <c r="A24" s="24" t="s">
        <v>126</v>
      </c>
      <c r="B24" s="25">
        <v>10</v>
      </c>
      <c r="C24" s="25" t="s">
        <v>127</v>
      </c>
      <c r="D24" s="24" t="s">
        <v>128</v>
      </c>
      <c r="E24" s="25" t="s">
        <v>72</v>
      </c>
      <c r="F24" s="25" t="s">
        <v>129</v>
      </c>
      <c r="G24" s="25" t="s">
        <v>130</v>
      </c>
      <c r="H24" s="26" t="s">
        <v>131</v>
      </c>
    </row>
    <row r="25" spans="1:8" ht="30" customHeight="1" x14ac:dyDescent="0.25">
      <c r="A25" s="24" t="s">
        <v>132</v>
      </c>
      <c r="B25" s="25">
        <v>12</v>
      </c>
      <c r="C25" s="25" t="s">
        <v>133</v>
      </c>
      <c r="D25" s="24" t="s">
        <v>134</v>
      </c>
      <c r="E25" s="25" t="s">
        <v>107</v>
      </c>
      <c r="F25" s="25" t="s">
        <v>135</v>
      </c>
      <c r="G25" s="25" t="s">
        <v>136</v>
      </c>
      <c r="H25" s="26" t="s">
        <v>137</v>
      </c>
    </row>
    <row r="26" spans="1:8" ht="30" customHeight="1" x14ac:dyDescent="0.25">
      <c r="A26" s="24" t="s">
        <v>138</v>
      </c>
      <c r="B26" s="25">
        <v>5</v>
      </c>
      <c r="C26" s="25" t="s">
        <v>95</v>
      </c>
      <c r="D26" s="24" t="s">
        <v>139</v>
      </c>
      <c r="E26" s="25" t="s">
        <v>140</v>
      </c>
      <c r="F26" s="25" t="s">
        <v>97</v>
      </c>
      <c r="G26" s="25" t="s">
        <v>98</v>
      </c>
      <c r="H26" s="26" t="s">
        <v>141</v>
      </c>
    </row>
    <row r="27" spans="1:8" ht="30" customHeight="1" x14ac:dyDescent="0.25">
      <c r="A27" s="24" t="s">
        <v>142</v>
      </c>
      <c r="B27" s="25">
        <v>7</v>
      </c>
      <c r="C27" s="25" t="s">
        <v>143</v>
      </c>
      <c r="D27" s="24" t="s">
        <v>144</v>
      </c>
      <c r="E27" s="25" t="s">
        <v>140</v>
      </c>
      <c r="F27" s="25" t="s">
        <v>145</v>
      </c>
      <c r="G27" s="25" t="s">
        <v>98</v>
      </c>
      <c r="H27" s="26" t="s">
        <v>146</v>
      </c>
    </row>
    <row r="28" spans="1:8" ht="30" customHeight="1" x14ac:dyDescent="0.25">
      <c r="A28" s="24" t="s">
        <v>147</v>
      </c>
      <c r="B28" s="25">
        <v>9</v>
      </c>
      <c r="C28" s="25" t="s">
        <v>148</v>
      </c>
      <c r="D28" s="24" t="s">
        <v>149</v>
      </c>
      <c r="E28" s="25" t="s">
        <v>140</v>
      </c>
      <c r="F28" s="25" t="s">
        <v>150</v>
      </c>
      <c r="G28" s="25" t="s">
        <v>130</v>
      </c>
      <c r="H28" s="26" t="s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15"/>
  <sheetViews>
    <sheetView workbookViewId="0"/>
  </sheetViews>
  <sheetFormatPr baseColWidth="10" defaultColWidth="9.140625" defaultRowHeight="15" x14ac:dyDescent="0.25"/>
  <cols>
    <col min="1" max="1" width="3" customWidth="1"/>
    <col min="2" max="2" width="115" customWidth="1"/>
  </cols>
  <sheetData>
    <row r="2" spans="2:2" ht="18" x14ac:dyDescent="0.25">
      <c r="B2" s="27" t="s">
        <v>152</v>
      </c>
    </row>
    <row r="3" spans="2:2" ht="30" customHeight="1" x14ac:dyDescent="0.25">
      <c r="B3" s="28" t="s">
        <v>153</v>
      </c>
    </row>
    <row r="4" spans="2:2" x14ac:dyDescent="0.25">
      <c r="B4" s="29" t="s">
        <v>154</v>
      </c>
    </row>
    <row r="5" spans="2:2" ht="30" customHeight="1" x14ac:dyDescent="0.25">
      <c r="B5" s="28" t="s">
        <v>155</v>
      </c>
    </row>
    <row r="6" spans="2:2" ht="30" customHeight="1" x14ac:dyDescent="0.25">
      <c r="B6" s="28" t="s">
        <v>156</v>
      </c>
    </row>
    <row r="7" spans="2:2" ht="45" customHeight="1" x14ac:dyDescent="0.25">
      <c r="B7" s="28" t="s">
        <v>157</v>
      </c>
    </row>
    <row r="8" spans="2:2" ht="30" customHeight="1" x14ac:dyDescent="0.25">
      <c r="B8" s="28" t="s">
        <v>158</v>
      </c>
    </row>
    <row r="9" spans="2:2" x14ac:dyDescent="0.25">
      <c r="B9" s="29" t="s">
        <v>159</v>
      </c>
    </row>
    <row r="10" spans="2:2" x14ac:dyDescent="0.25">
      <c r="B10" s="28" t="s">
        <v>160</v>
      </c>
    </row>
    <row r="11" spans="2:2" x14ac:dyDescent="0.25">
      <c r="B11" s="28" t="s">
        <v>161</v>
      </c>
    </row>
    <row r="12" spans="2:2" ht="30" customHeight="1" x14ac:dyDescent="0.25">
      <c r="B12" s="28" t="s">
        <v>162</v>
      </c>
    </row>
    <row r="13" spans="2:2" x14ac:dyDescent="0.25">
      <c r="B13" s="28" t="s">
        <v>163</v>
      </c>
    </row>
    <row r="14" spans="2:2" x14ac:dyDescent="0.25">
      <c r="B14" s="29" t="s">
        <v>164</v>
      </c>
    </row>
    <row r="15" spans="2:2" ht="45" customHeight="1" x14ac:dyDescent="0.25">
      <c r="B15" s="28" t="s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C8C8C"/>
  </sheetPr>
  <dimension ref="A1:BN30"/>
  <sheetViews>
    <sheetView workbookViewId="0"/>
  </sheetViews>
  <sheetFormatPr baseColWidth="10" defaultColWidth="9.140625" defaultRowHeight="15" x14ac:dyDescent="0.25"/>
  <cols>
    <col min="1" max="1" width="52" customWidth="1"/>
    <col min="3" max="3" width="30" customWidth="1"/>
    <col min="6" max="6" width="60" customWidth="1"/>
  </cols>
  <sheetData>
    <row r="1" spans="1:66" x14ac:dyDescent="0.25">
      <c r="A1" s="16" t="s">
        <v>166</v>
      </c>
    </row>
    <row r="2" spans="1:66" ht="60" x14ac:dyDescent="0.25">
      <c r="A2" s="3" t="s">
        <v>49</v>
      </c>
      <c r="B2" s="3" t="s">
        <v>167</v>
      </c>
      <c r="C2" s="3" t="s">
        <v>13</v>
      </c>
      <c r="D2" s="3" t="s">
        <v>14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  <c r="R2" s="3" t="s">
        <v>181</v>
      </c>
      <c r="S2" s="3" t="s">
        <v>182</v>
      </c>
      <c r="T2" s="3" t="s">
        <v>183</v>
      </c>
      <c r="U2" s="3" t="s">
        <v>184</v>
      </c>
      <c r="V2" s="3" t="s">
        <v>185</v>
      </c>
      <c r="W2" s="3" t="s">
        <v>186</v>
      </c>
      <c r="X2" s="3" t="s">
        <v>187</v>
      </c>
      <c r="Y2" s="3" t="s">
        <v>188</v>
      </c>
      <c r="Z2" s="3" t="s">
        <v>189</v>
      </c>
      <c r="AA2" s="3" t="s">
        <v>190</v>
      </c>
      <c r="AB2" s="3" t="s">
        <v>191</v>
      </c>
      <c r="AC2" s="3" t="s">
        <v>192</v>
      </c>
      <c r="AD2" s="3" t="s">
        <v>193</v>
      </c>
      <c r="AE2" s="3" t="s">
        <v>194</v>
      </c>
      <c r="AF2" s="3" t="s">
        <v>195</v>
      </c>
      <c r="AG2" s="3" t="s">
        <v>196</v>
      </c>
      <c r="AH2" s="3" t="s">
        <v>197</v>
      </c>
      <c r="AI2" s="3" t="s">
        <v>198</v>
      </c>
      <c r="AJ2" s="3" t="s">
        <v>199</v>
      </c>
      <c r="AK2" s="3" t="s">
        <v>200</v>
      </c>
      <c r="AL2" s="3" t="s">
        <v>201</v>
      </c>
      <c r="AM2" s="3" t="s">
        <v>202</v>
      </c>
      <c r="AN2" s="3" t="s">
        <v>203</v>
      </c>
      <c r="AO2" s="3" t="s">
        <v>204</v>
      </c>
      <c r="AP2" s="3" t="s">
        <v>205</v>
      </c>
      <c r="AQ2" s="3" t="s">
        <v>206</v>
      </c>
      <c r="AR2" s="3" t="s">
        <v>207</v>
      </c>
      <c r="AS2" s="3" t="s">
        <v>208</v>
      </c>
      <c r="AT2" s="3" t="s">
        <v>209</v>
      </c>
      <c r="AU2" s="3" t="s">
        <v>210</v>
      </c>
      <c r="AV2" s="3" t="s">
        <v>211</v>
      </c>
      <c r="AW2" s="3" t="s">
        <v>212</v>
      </c>
      <c r="AX2" s="3" t="s">
        <v>213</v>
      </c>
      <c r="AY2" s="3" t="s">
        <v>214</v>
      </c>
      <c r="AZ2" s="3" t="s">
        <v>215</v>
      </c>
      <c r="BA2" s="3" t="s">
        <v>216</v>
      </c>
      <c r="BB2" s="3" t="s">
        <v>217</v>
      </c>
      <c r="BC2" s="3" t="s">
        <v>218</v>
      </c>
      <c r="BD2" s="3" t="s">
        <v>219</v>
      </c>
      <c r="BE2" s="3" t="s">
        <v>220</v>
      </c>
      <c r="BF2" s="3" t="s">
        <v>221</v>
      </c>
      <c r="BG2" s="3" t="s">
        <v>222</v>
      </c>
      <c r="BH2" s="3" t="s">
        <v>223</v>
      </c>
      <c r="BI2" s="3" t="s">
        <v>224</v>
      </c>
      <c r="BJ2" s="3" t="s">
        <v>225</v>
      </c>
      <c r="BK2" s="3" t="s">
        <v>226</v>
      </c>
      <c r="BL2" s="3" t="s">
        <v>227</v>
      </c>
      <c r="BM2" s="3" t="s">
        <v>228</v>
      </c>
      <c r="BN2" s="3" t="s">
        <v>229</v>
      </c>
    </row>
    <row r="3" spans="1:66" x14ac:dyDescent="0.25">
      <c r="A3" t="s">
        <v>55</v>
      </c>
      <c r="B3">
        <v>1</v>
      </c>
      <c r="C3" t="s">
        <v>56</v>
      </c>
      <c r="D3" t="s">
        <v>57</v>
      </c>
      <c r="E3">
        <v>0</v>
      </c>
      <c r="F3" t="s">
        <v>60</v>
      </c>
      <c r="G3" t="s">
        <v>230</v>
      </c>
      <c r="H3">
        <v>0</v>
      </c>
      <c r="I3">
        <v>0</v>
      </c>
      <c r="J3">
        <v>1</v>
      </c>
      <c r="K3">
        <v>0</v>
      </c>
    </row>
    <row r="4" spans="1:66" x14ac:dyDescent="0.25">
      <c r="A4" t="s">
        <v>61</v>
      </c>
      <c r="B4">
        <v>2</v>
      </c>
      <c r="C4" t="s">
        <v>62</v>
      </c>
      <c r="D4" t="s">
        <v>57</v>
      </c>
      <c r="E4">
        <v>0</v>
      </c>
      <c r="F4" t="s">
        <v>64</v>
      </c>
      <c r="G4" t="s">
        <v>230</v>
      </c>
      <c r="H4">
        <v>0</v>
      </c>
      <c r="I4">
        <v>0</v>
      </c>
      <c r="J4">
        <v>1</v>
      </c>
      <c r="K4">
        <v>0</v>
      </c>
      <c r="L4" t="s">
        <v>230</v>
      </c>
      <c r="M4">
        <v>0</v>
      </c>
      <c r="N4">
        <v>360</v>
      </c>
      <c r="O4">
        <v>2</v>
      </c>
      <c r="P4">
        <v>0</v>
      </c>
    </row>
    <row r="5" spans="1:66" x14ac:dyDescent="0.25">
      <c r="A5" t="s">
        <v>65</v>
      </c>
      <c r="B5">
        <v>2</v>
      </c>
      <c r="C5" t="s">
        <v>62</v>
      </c>
      <c r="D5" t="s">
        <v>57</v>
      </c>
      <c r="E5">
        <v>0</v>
      </c>
      <c r="F5" t="s">
        <v>67</v>
      </c>
      <c r="G5" t="s">
        <v>230</v>
      </c>
      <c r="H5">
        <v>0</v>
      </c>
      <c r="I5">
        <v>0</v>
      </c>
      <c r="J5">
        <v>1</v>
      </c>
      <c r="K5">
        <v>0</v>
      </c>
      <c r="L5" t="s">
        <v>230</v>
      </c>
      <c r="M5">
        <v>0</v>
      </c>
      <c r="N5">
        <v>180</v>
      </c>
      <c r="O5">
        <v>2</v>
      </c>
      <c r="P5">
        <v>0</v>
      </c>
    </row>
    <row r="6" spans="1:66" x14ac:dyDescent="0.25">
      <c r="A6" t="s">
        <v>68</v>
      </c>
      <c r="B6">
        <v>2</v>
      </c>
      <c r="C6" t="s">
        <v>62</v>
      </c>
      <c r="D6" t="s">
        <v>69</v>
      </c>
      <c r="E6">
        <v>180</v>
      </c>
      <c r="F6" t="s">
        <v>70</v>
      </c>
      <c r="G6" t="s">
        <v>231</v>
      </c>
      <c r="H6">
        <v>-90</v>
      </c>
      <c r="I6">
        <v>0</v>
      </c>
      <c r="J6">
        <v>1</v>
      </c>
      <c r="K6">
        <v>-1</v>
      </c>
      <c r="L6" t="s">
        <v>232</v>
      </c>
      <c r="M6">
        <v>90</v>
      </c>
      <c r="N6">
        <v>360</v>
      </c>
      <c r="O6">
        <v>1.35</v>
      </c>
      <c r="P6">
        <v>1</v>
      </c>
    </row>
    <row r="7" spans="1:66" x14ac:dyDescent="0.25">
      <c r="A7" t="s">
        <v>71</v>
      </c>
      <c r="B7">
        <v>2</v>
      </c>
      <c r="C7" t="s">
        <v>62</v>
      </c>
      <c r="D7" t="s">
        <v>233</v>
      </c>
      <c r="E7">
        <v>90</v>
      </c>
      <c r="F7" t="s">
        <v>74</v>
      </c>
      <c r="G7" t="s">
        <v>231</v>
      </c>
      <c r="H7">
        <v>-45</v>
      </c>
      <c r="I7">
        <v>0</v>
      </c>
      <c r="J7">
        <v>1</v>
      </c>
      <c r="K7">
        <v>-1</v>
      </c>
      <c r="L7" t="s">
        <v>232</v>
      </c>
      <c r="M7">
        <v>45</v>
      </c>
      <c r="N7">
        <v>450</v>
      </c>
      <c r="O7">
        <v>1</v>
      </c>
      <c r="P7">
        <v>1</v>
      </c>
    </row>
    <row r="8" spans="1:66" x14ac:dyDescent="0.25">
      <c r="A8" t="s">
        <v>75</v>
      </c>
      <c r="B8">
        <v>3</v>
      </c>
      <c r="C8" t="s">
        <v>77</v>
      </c>
      <c r="D8" t="s">
        <v>57</v>
      </c>
      <c r="E8">
        <v>0</v>
      </c>
      <c r="F8" t="s">
        <v>79</v>
      </c>
      <c r="G8" t="s">
        <v>230</v>
      </c>
      <c r="H8">
        <v>0</v>
      </c>
      <c r="I8">
        <v>0</v>
      </c>
      <c r="J8">
        <v>1</v>
      </c>
      <c r="K8">
        <v>0</v>
      </c>
      <c r="L8" t="s">
        <v>230</v>
      </c>
      <c r="M8">
        <v>0</v>
      </c>
      <c r="N8">
        <v>480</v>
      </c>
      <c r="O8">
        <v>2</v>
      </c>
      <c r="P8">
        <v>0</v>
      </c>
      <c r="Q8" t="s">
        <v>230</v>
      </c>
      <c r="R8">
        <v>0</v>
      </c>
      <c r="S8">
        <v>240</v>
      </c>
      <c r="T8">
        <v>3</v>
      </c>
      <c r="U8">
        <v>0</v>
      </c>
    </row>
    <row r="9" spans="1:66" x14ac:dyDescent="0.25">
      <c r="A9" t="s">
        <v>80</v>
      </c>
      <c r="B9">
        <v>3</v>
      </c>
      <c r="C9" t="s">
        <v>81</v>
      </c>
      <c r="D9" t="s">
        <v>57</v>
      </c>
      <c r="E9">
        <v>0</v>
      </c>
      <c r="F9" t="s">
        <v>82</v>
      </c>
      <c r="G9" t="s">
        <v>230</v>
      </c>
      <c r="H9">
        <v>0</v>
      </c>
      <c r="I9">
        <v>0</v>
      </c>
      <c r="J9">
        <v>1</v>
      </c>
      <c r="K9">
        <v>0</v>
      </c>
      <c r="L9" t="s">
        <v>230</v>
      </c>
      <c r="M9">
        <v>0</v>
      </c>
      <c r="N9">
        <v>240</v>
      </c>
      <c r="O9">
        <v>2</v>
      </c>
      <c r="P9">
        <v>0</v>
      </c>
      <c r="Q9" t="s">
        <v>230</v>
      </c>
      <c r="R9">
        <v>0</v>
      </c>
      <c r="S9">
        <v>480</v>
      </c>
      <c r="T9">
        <v>3</v>
      </c>
      <c r="U9">
        <v>0</v>
      </c>
    </row>
    <row r="10" spans="1:66" x14ac:dyDescent="0.25">
      <c r="A10" t="s">
        <v>5</v>
      </c>
      <c r="B10">
        <v>4</v>
      </c>
      <c r="C10" t="s">
        <v>8</v>
      </c>
      <c r="D10" t="s">
        <v>57</v>
      </c>
      <c r="E10">
        <v>0</v>
      </c>
      <c r="F10" t="s">
        <v>84</v>
      </c>
      <c r="G10" t="s">
        <v>230</v>
      </c>
      <c r="H10">
        <v>0</v>
      </c>
      <c r="I10">
        <v>0</v>
      </c>
      <c r="J10">
        <v>1</v>
      </c>
      <c r="K10">
        <v>0</v>
      </c>
      <c r="L10" t="s">
        <v>230</v>
      </c>
      <c r="M10">
        <v>0</v>
      </c>
      <c r="N10">
        <v>540</v>
      </c>
      <c r="O10">
        <v>2</v>
      </c>
      <c r="P10">
        <v>0</v>
      </c>
      <c r="Q10" t="s">
        <v>230</v>
      </c>
      <c r="R10">
        <v>0</v>
      </c>
      <c r="S10">
        <v>180</v>
      </c>
      <c r="T10">
        <v>3</v>
      </c>
      <c r="U10">
        <v>0</v>
      </c>
      <c r="V10" t="s">
        <v>230</v>
      </c>
      <c r="W10">
        <v>0</v>
      </c>
      <c r="X10">
        <v>360</v>
      </c>
      <c r="Y10">
        <v>4</v>
      </c>
      <c r="Z10">
        <v>0</v>
      </c>
    </row>
    <row r="11" spans="1:66" x14ac:dyDescent="0.25">
      <c r="A11" t="s">
        <v>85</v>
      </c>
      <c r="B11">
        <v>4</v>
      </c>
      <c r="C11" t="s">
        <v>86</v>
      </c>
      <c r="D11" t="s">
        <v>57</v>
      </c>
      <c r="E11">
        <v>0</v>
      </c>
      <c r="F11" t="s">
        <v>87</v>
      </c>
      <c r="G11" t="s">
        <v>230</v>
      </c>
      <c r="H11">
        <v>0</v>
      </c>
      <c r="I11">
        <v>0</v>
      </c>
      <c r="J11">
        <v>1</v>
      </c>
      <c r="K11">
        <v>0</v>
      </c>
      <c r="L11" t="s">
        <v>230</v>
      </c>
      <c r="M11">
        <v>0</v>
      </c>
      <c r="N11">
        <v>180</v>
      </c>
      <c r="O11">
        <v>2</v>
      </c>
      <c r="P11">
        <v>0</v>
      </c>
      <c r="Q11" t="s">
        <v>230</v>
      </c>
      <c r="R11">
        <v>0</v>
      </c>
      <c r="S11">
        <v>540</v>
      </c>
      <c r="T11">
        <v>3</v>
      </c>
      <c r="U11">
        <v>0</v>
      </c>
      <c r="V11" t="s">
        <v>230</v>
      </c>
      <c r="W11">
        <v>0</v>
      </c>
      <c r="X11">
        <v>360</v>
      </c>
      <c r="Y11">
        <v>4</v>
      </c>
      <c r="Z11">
        <v>0</v>
      </c>
    </row>
    <row r="12" spans="1:66" x14ac:dyDescent="0.25">
      <c r="A12" t="s">
        <v>88</v>
      </c>
      <c r="B12">
        <v>4</v>
      </c>
      <c r="C12" t="s">
        <v>89</v>
      </c>
      <c r="D12" t="s">
        <v>69</v>
      </c>
      <c r="E12">
        <v>180</v>
      </c>
      <c r="F12" t="s">
        <v>90</v>
      </c>
      <c r="G12" t="s">
        <v>232</v>
      </c>
      <c r="H12">
        <v>90</v>
      </c>
      <c r="I12">
        <v>0</v>
      </c>
      <c r="J12">
        <v>1</v>
      </c>
      <c r="K12">
        <v>1</v>
      </c>
      <c r="L12" t="s">
        <v>232</v>
      </c>
      <c r="M12">
        <v>90</v>
      </c>
      <c r="N12">
        <v>540</v>
      </c>
      <c r="O12">
        <v>2</v>
      </c>
      <c r="P12">
        <v>1</v>
      </c>
      <c r="Q12" t="s">
        <v>231</v>
      </c>
      <c r="R12">
        <v>-90</v>
      </c>
      <c r="S12">
        <v>360</v>
      </c>
      <c r="T12">
        <v>1.35</v>
      </c>
      <c r="U12">
        <v>-1</v>
      </c>
      <c r="V12" t="s">
        <v>231</v>
      </c>
      <c r="W12">
        <v>-90</v>
      </c>
      <c r="X12">
        <v>180</v>
      </c>
      <c r="Y12">
        <v>2.35</v>
      </c>
      <c r="Z12">
        <v>-1</v>
      </c>
    </row>
    <row r="13" spans="1:66" x14ac:dyDescent="0.25">
      <c r="A13" t="s">
        <v>91</v>
      </c>
      <c r="B13">
        <v>4</v>
      </c>
      <c r="C13" t="s">
        <v>92</v>
      </c>
      <c r="D13" t="s">
        <v>69</v>
      </c>
      <c r="E13">
        <v>180</v>
      </c>
      <c r="F13" t="s">
        <v>93</v>
      </c>
      <c r="G13" t="s">
        <v>232</v>
      </c>
      <c r="H13">
        <v>90</v>
      </c>
      <c r="I13">
        <v>0</v>
      </c>
      <c r="J13">
        <v>1</v>
      </c>
      <c r="K13">
        <v>1</v>
      </c>
      <c r="L13" t="s">
        <v>231</v>
      </c>
      <c r="M13">
        <v>-90</v>
      </c>
      <c r="N13">
        <v>360</v>
      </c>
      <c r="O13">
        <v>1.35</v>
      </c>
      <c r="P13">
        <v>-1</v>
      </c>
      <c r="Q13" t="s">
        <v>232</v>
      </c>
      <c r="R13">
        <v>90</v>
      </c>
      <c r="S13">
        <v>180</v>
      </c>
      <c r="T13">
        <v>2</v>
      </c>
      <c r="U13">
        <v>1</v>
      </c>
      <c r="V13" t="s">
        <v>231</v>
      </c>
      <c r="W13">
        <v>-90</v>
      </c>
      <c r="X13">
        <v>540</v>
      </c>
      <c r="Y13">
        <v>2.35</v>
      </c>
      <c r="Z13">
        <v>-1</v>
      </c>
    </row>
    <row r="14" spans="1:66" x14ac:dyDescent="0.25">
      <c r="A14" t="s">
        <v>94</v>
      </c>
      <c r="B14">
        <v>5</v>
      </c>
      <c r="C14" t="s">
        <v>96</v>
      </c>
      <c r="D14" t="s">
        <v>57</v>
      </c>
      <c r="E14">
        <v>0</v>
      </c>
      <c r="F14" t="s">
        <v>99</v>
      </c>
      <c r="G14" t="s">
        <v>230</v>
      </c>
      <c r="H14">
        <v>0</v>
      </c>
      <c r="I14">
        <v>0</v>
      </c>
      <c r="J14">
        <v>1</v>
      </c>
      <c r="K14">
        <v>0</v>
      </c>
      <c r="L14" t="s">
        <v>230</v>
      </c>
      <c r="M14">
        <v>0</v>
      </c>
      <c r="N14">
        <v>144</v>
      </c>
      <c r="O14">
        <v>2</v>
      </c>
      <c r="P14">
        <v>0</v>
      </c>
      <c r="Q14" t="s">
        <v>230</v>
      </c>
      <c r="R14">
        <v>0</v>
      </c>
      <c r="S14">
        <v>576</v>
      </c>
      <c r="T14">
        <v>3</v>
      </c>
      <c r="U14">
        <v>0</v>
      </c>
      <c r="V14" t="s">
        <v>230</v>
      </c>
      <c r="W14">
        <v>0</v>
      </c>
      <c r="X14">
        <v>288</v>
      </c>
      <c r="Y14">
        <v>4</v>
      </c>
      <c r="Z14">
        <v>0</v>
      </c>
      <c r="AA14" t="s">
        <v>230</v>
      </c>
      <c r="AB14">
        <v>0</v>
      </c>
      <c r="AC14">
        <v>432</v>
      </c>
      <c r="AD14">
        <v>5</v>
      </c>
      <c r="AE14">
        <v>0</v>
      </c>
    </row>
    <row r="15" spans="1:66" x14ac:dyDescent="0.25">
      <c r="A15" t="s">
        <v>100</v>
      </c>
      <c r="B15">
        <v>6</v>
      </c>
      <c r="C15" t="s">
        <v>102</v>
      </c>
      <c r="D15" t="s">
        <v>57</v>
      </c>
      <c r="E15">
        <v>0</v>
      </c>
      <c r="F15" t="s">
        <v>104</v>
      </c>
      <c r="G15" t="s">
        <v>230</v>
      </c>
      <c r="H15">
        <v>0</v>
      </c>
      <c r="I15">
        <v>0</v>
      </c>
      <c r="J15">
        <v>1</v>
      </c>
      <c r="K15">
        <v>0</v>
      </c>
      <c r="L15" t="s">
        <v>230</v>
      </c>
      <c r="M15">
        <v>0</v>
      </c>
      <c r="N15">
        <v>480</v>
      </c>
      <c r="O15">
        <v>2</v>
      </c>
      <c r="P15">
        <v>0</v>
      </c>
      <c r="Q15" t="s">
        <v>230</v>
      </c>
      <c r="R15">
        <v>0</v>
      </c>
      <c r="S15">
        <v>240</v>
      </c>
      <c r="T15">
        <v>3</v>
      </c>
      <c r="U15">
        <v>0</v>
      </c>
      <c r="V15" t="s">
        <v>230</v>
      </c>
      <c r="W15">
        <v>0</v>
      </c>
      <c r="X15">
        <v>600</v>
      </c>
      <c r="Y15">
        <v>4</v>
      </c>
      <c r="Z15">
        <v>0</v>
      </c>
      <c r="AA15" t="s">
        <v>230</v>
      </c>
      <c r="AB15">
        <v>0</v>
      </c>
      <c r="AC15">
        <v>120</v>
      </c>
      <c r="AD15">
        <v>5</v>
      </c>
      <c r="AE15">
        <v>0</v>
      </c>
      <c r="AF15" t="s">
        <v>230</v>
      </c>
      <c r="AG15">
        <v>0</v>
      </c>
      <c r="AH15">
        <v>360</v>
      </c>
      <c r="AI15">
        <v>6</v>
      </c>
      <c r="AJ15">
        <v>0</v>
      </c>
    </row>
    <row r="16" spans="1:66" x14ac:dyDescent="0.25">
      <c r="A16" t="s">
        <v>105</v>
      </c>
      <c r="B16">
        <v>6</v>
      </c>
      <c r="C16" t="s">
        <v>106</v>
      </c>
      <c r="D16" t="s">
        <v>233</v>
      </c>
      <c r="E16">
        <v>60</v>
      </c>
      <c r="F16" t="s">
        <v>108</v>
      </c>
      <c r="G16" t="s">
        <v>232</v>
      </c>
      <c r="H16">
        <v>30</v>
      </c>
      <c r="I16">
        <v>0</v>
      </c>
      <c r="J16">
        <v>1</v>
      </c>
      <c r="K16">
        <v>1</v>
      </c>
      <c r="L16" t="s">
        <v>231</v>
      </c>
      <c r="M16">
        <v>-30</v>
      </c>
      <c r="N16">
        <v>120</v>
      </c>
      <c r="O16">
        <v>1.35</v>
      </c>
      <c r="P16">
        <v>-1</v>
      </c>
      <c r="Q16" t="s">
        <v>232</v>
      </c>
      <c r="R16">
        <v>30</v>
      </c>
      <c r="S16">
        <v>240</v>
      </c>
      <c r="T16">
        <v>2</v>
      </c>
      <c r="U16">
        <v>1</v>
      </c>
      <c r="V16" t="s">
        <v>231</v>
      </c>
      <c r="W16">
        <v>-30</v>
      </c>
      <c r="X16">
        <v>360</v>
      </c>
      <c r="Y16">
        <v>2.35</v>
      </c>
      <c r="Z16">
        <v>-1</v>
      </c>
      <c r="AA16" t="s">
        <v>232</v>
      </c>
      <c r="AB16">
        <v>30</v>
      </c>
      <c r="AC16">
        <v>480</v>
      </c>
      <c r="AD16">
        <v>3</v>
      </c>
      <c r="AE16">
        <v>1</v>
      </c>
      <c r="AF16" t="s">
        <v>231</v>
      </c>
      <c r="AG16">
        <v>-30</v>
      </c>
      <c r="AH16">
        <v>600</v>
      </c>
      <c r="AI16">
        <v>3.35</v>
      </c>
      <c r="AJ16">
        <v>-1</v>
      </c>
    </row>
    <row r="17" spans="1:66" x14ac:dyDescent="0.25">
      <c r="A17" t="s">
        <v>109</v>
      </c>
      <c r="B17">
        <v>6</v>
      </c>
      <c r="C17" t="s">
        <v>102</v>
      </c>
      <c r="D17" t="s">
        <v>234</v>
      </c>
      <c r="E17">
        <v>15</v>
      </c>
      <c r="F17" t="s">
        <v>111</v>
      </c>
      <c r="G17" t="s">
        <v>232</v>
      </c>
      <c r="H17">
        <v>7.5</v>
      </c>
      <c r="I17">
        <v>0</v>
      </c>
      <c r="J17">
        <v>1</v>
      </c>
      <c r="K17">
        <v>0.35</v>
      </c>
      <c r="L17" t="s">
        <v>231</v>
      </c>
      <c r="M17">
        <v>-7.5</v>
      </c>
      <c r="N17">
        <v>480</v>
      </c>
      <c r="O17">
        <v>2</v>
      </c>
      <c r="P17">
        <v>-0.35</v>
      </c>
      <c r="Q17" t="s">
        <v>232</v>
      </c>
      <c r="R17">
        <v>7.5</v>
      </c>
      <c r="S17">
        <v>240</v>
      </c>
      <c r="T17">
        <v>3</v>
      </c>
      <c r="U17">
        <v>0.35</v>
      </c>
      <c r="V17" t="s">
        <v>231</v>
      </c>
      <c r="W17">
        <v>-7.5</v>
      </c>
      <c r="X17">
        <v>600</v>
      </c>
      <c r="Y17">
        <v>4</v>
      </c>
      <c r="Z17">
        <v>-0.35</v>
      </c>
      <c r="AA17" t="s">
        <v>232</v>
      </c>
      <c r="AB17">
        <v>7.5</v>
      </c>
      <c r="AC17">
        <v>120</v>
      </c>
      <c r="AD17">
        <v>5</v>
      </c>
      <c r="AE17">
        <v>0.35</v>
      </c>
      <c r="AF17" t="s">
        <v>231</v>
      </c>
      <c r="AG17">
        <v>-7.5</v>
      </c>
      <c r="AH17">
        <v>360</v>
      </c>
      <c r="AI17">
        <v>6</v>
      </c>
      <c r="AJ17">
        <v>-0.35</v>
      </c>
    </row>
    <row r="18" spans="1:66" x14ac:dyDescent="0.25">
      <c r="A18" t="s">
        <v>112</v>
      </c>
      <c r="B18">
        <v>6</v>
      </c>
      <c r="C18" t="s">
        <v>113</v>
      </c>
      <c r="D18" t="s">
        <v>69</v>
      </c>
      <c r="E18">
        <v>180</v>
      </c>
      <c r="F18" t="s">
        <v>114</v>
      </c>
      <c r="G18" t="s">
        <v>232</v>
      </c>
      <c r="H18">
        <v>90</v>
      </c>
      <c r="I18">
        <v>0</v>
      </c>
      <c r="J18">
        <v>1</v>
      </c>
      <c r="K18">
        <v>1</v>
      </c>
      <c r="L18" t="s">
        <v>232</v>
      </c>
      <c r="M18">
        <v>90</v>
      </c>
      <c r="N18">
        <v>240</v>
      </c>
      <c r="O18">
        <v>2</v>
      </c>
      <c r="P18">
        <v>1</v>
      </c>
      <c r="Q18" t="s">
        <v>232</v>
      </c>
      <c r="R18">
        <v>90</v>
      </c>
      <c r="S18">
        <v>480</v>
      </c>
      <c r="T18">
        <v>3</v>
      </c>
      <c r="U18">
        <v>1</v>
      </c>
      <c r="V18" t="s">
        <v>231</v>
      </c>
      <c r="W18">
        <v>-90</v>
      </c>
      <c r="X18">
        <v>360</v>
      </c>
      <c r="Y18">
        <v>1.35</v>
      </c>
      <c r="Z18">
        <v>-1</v>
      </c>
      <c r="AA18" t="s">
        <v>231</v>
      </c>
      <c r="AB18">
        <v>-90</v>
      </c>
      <c r="AC18">
        <v>600</v>
      </c>
      <c r="AD18">
        <v>2.35</v>
      </c>
      <c r="AE18">
        <v>-1</v>
      </c>
      <c r="AF18" t="s">
        <v>231</v>
      </c>
      <c r="AG18">
        <v>-90</v>
      </c>
      <c r="AH18">
        <v>120</v>
      </c>
      <c r="AI18">
        <v>3.35</v>
      </c>
      <c r="AJ18">
        <v>-1</v>
      </c>
    </row>
    <row r="19" spans="1:66" x14ac:dyDescent="0.25">
      <c r="A19" t="s">
        <v>115</v>
      </c>
      <c r="B19">
        <v>8</v>
      </c>
      <c r="C19" t="s">
        <v>116</v>
      </c>
      <c r="D19" t="s">
        <v>57</v>
      </c>
      <c r="E19">
        <v>0</v>
      </c>
      <c r="F19" t="s">
        <v>119</v>
      </c>
      <c r="G19" t="s">
        <v>230</v>
      </c>
      <c r="H19">
        <v>0</v>
      </c>
      <c r="I19">
        <v>0</v>
      </c>
      <c r="J19">
        <v>1</v>
      </c>
      <c r="K19">
        <v>0</v>
      </c>
      <c r="L19" t="s">
        <v>230</v>
      </c>
      <c r="M19">
        <v>0</v>
      </c>
      <c r="N19">
        <v>180</v>
      </c>
      <c r="O19">
        <v>2</v>
      </c>
      <c r="P19">
        <v>0</v>
      </c>
      <c r="Q19" t="s">
        <v>230</v>
      </c>
      <c r="R19">
        <v>0</v>
      </c>
      <c r="S19">
        <v>450</v>
      </c>
      <c r="T19">
        <v>3</v>
      </c>
      <c r="U19">
        <v>0</v>
      </c>
      <c r="V19" t="s">
        <v>230</v>
      </c>
      <c r="W19">
        <v>0</v>
      </c>
      <c r="X19">
        <v>630</v>
      </c>
      <c r="Y19">
        <v>4</v>
      </c>
      <c r="Z19">
        <v>0</v>
      </c>
      <c r="AA19" t="s">
        <v>230</v>
      </c>
      <c r="AB19">
        <v>0</v>
      </c>
      <c r="AC19">
        <v>270</v>
      </c>
      <c r="AD19">
        <v>5</v>
      </c>
      <c r="AE19">
        <v>0</v>
      </c>
      <c r="AF19" t="s">
        <v>230</v>
      </c>
      <c r="AG19">
        <v>0</v>
      </c>
      <c r="AH19">
        <v>90</v>
      </c>
      <c r="AI19">
        <v>6</v>
      </c>
      <c r="AJ19">
        <v>0</v>
      </c>
      <c r="AK19" t="s">
        <v>230</v>
      </c>
      <c r="AL19">
        <v>0</v>
      </c>
      <c r="AM19">
        <v>540</v>
      </c>
      <c r="AN19">
        <v>7</v>
      </c>
      <c r="AO19">
        <v>0</v>
      </c>
      <c r="AP19" t="s">
        <v>230</v>
      </c>
      <c r="AQ19">
        <v>0</v>
      </c>
      <c r="AR19">
        <v>360</v>
      </c>
      <c r="AS19">
        <v>8</v>
      </c>
      <c r="AT19">
        <v>0</v>
      </c>
    </row>
    <row r="20" spans="1:66" x14ac:dyDescent="0.25">
      <c r="A20" t="s">
        <v>120</v>
      </c>
      <c r="B20">
        <v>8</v>
      </c>
      <c r="C20" t="s">
        <v>121</v>
      </c>
      <c r="D20" t="s">
        <v>233</v>
      </c>
      <c r="E20">
        <v>90</v>
      </c>
      <c r="F20" t="s">
        <v>122</v>
      </c>
      <c r="G20" t="s">
        <v>232</v>
      </c>
      <c r="H20">
        <v>45</v>
      </c>
      <c r="I20">
        <v>0</v>
      </c>
      <c r="J20">
        <v>1</v>
      </c>
      <c r="K20">
        <v>1</v>
      </c>
      <c r="L20" t="s">
        <v>231</v>
      </c>
      <c r="M20">
        <v>-45</v>
      </c>
      <c r="N20">
        <v>630</v>
      </c>
      <c r="O20">
        <v>1.35</v>
      </c>
      <c r="P20">
        <v>-1</v>
      </c>
      <c r="Q20" t="s">
        <v>232</v>
      </c>
      <c r="R20">
        <v>45</v>
      </c>
      <c r="S20">
        <v>270</v>
      </c>
      <c r="T20">
        <v>2</v>
      </c>
      <c r="U20">
        <v>1</v>
      </c>
      <c r="V20" t="s">
        <v>231</v>
      </c>
      <c r="W20">
        <v>-45</v>
      </c>
      <c r="X20">
        <v>180</v>
      </c>
      <c r="Y20">
        <v>2.35</v>
      </c>
      <c r="Z20">
        <v>-1</v>
      </c>
      <c r="AA20" t="s">
        <v>232</v>
      </c>
      <c r="AB20">
        <v>45</v>
      </c>
      <c r="AC20">
        <v>450</v>
      </c>
      <c r="AD20">
        <v>3</v>
      </c>
      <c r="AE20">
        <v>1</v>
      </c>
      <c r="AF20" t="s">
        <v>231</v>
      </c>
      <c r="AG20">
        <v>-45</v>
      </c>
      <c r="AH20">
        <v>360</v>
      </c>
      <c r="AI20">
        <v>3.35</v>
      </c>
      <c r="AJ20">
        <v>-1</v>
      </c>
      <c r="AK20" t="s">
        <v>232</v>
      </c>
      <c r="AL20">
        <v>45</v>
      </c>
      <c r="AM20">
        <v>540</v>
      </c>
      <c r="AN20">
        <v>4</v>
      </c>
      <c r="AO20">
        <v>1</v>
      </c>
      <c r="AP20" t="s">
        <v>231</v>
      </c>
      <c r="AQ20">
        <v>-45</v>
      </c>
      <c r="AR20">
        <v>90</v>
      </c>
      <c r="AS20">
        <v>4.3499999999999996</v>
      </c>
      <c r="AT20">
        <v>-1</v>
      </c>
    </row>
    <row r="21" spans="1:66" x14ac:dyDescent="0.25">
      <c r="A21" t="s">
        <v>123</v>
      </c>
      <c r="B21">
        <v>8</v>
      </c>
      <c r="C21" t="s">
        <v>124</v>
      </c>
      <c r="D21" t="s">
        <v>233</v>
      </c>
      <c r="E21">
        <v>90</v>
      </c>
      <c r="F21" t="s">
        <v>125</v>
      </c>
      <c r="G21" t="s">
        <v>231</v>
      </c>
      <c r="H21">
        <v>-45</v>
      </c>
      <c r="I21">
        <v>0</v>
      </c>
      <c r="J21">
        <v>1</v>
      </c>
      <c r="K21">
        <v>-1</v>
      </c>
      <c r="L21" t="s">
        <v>231</v>
      </c>
      <c r="M21">
        <v>-45</v>
      </c>
      <c r="N21">
        <v>540</v>
      </c>
      <c r="O21">
        <v>2</v>
      </c>
      <c r="P21">
        <v>-1</v>
      </c>
      <c r="Q21" t="s">
        <v>231</v>
      </c>
      <c r="R21">
        <v>-45</v>
      </c>
      <c r="S21">
        <v>180</v>
      </c>
      <c r="T21">
        <v>3</v>
      </c>
      <c r="U21">
        <v>-1</v>
      </c>
      <c r="V21" t="s">
        <v>231</v>
      </c>
      <c r="W21">
        <v>-45</v>
      </c>
      <c r="X21">
        <v>360</v>
      </c>
      <c r="Y21">
        <v>4</v>
      </c>
      <c r="Z21">
        <v>-1</v>
      </c>
      <c r="AA21" t="s">
        <v>232</v>
      </c>
      <c r="AB21">
        <v>45</v>
      </c>
      <c r="AC21">
        <v>90</v>
      </c>
      <c r="AD21">
        <v>1.35</v>
      </c>
      <c r="AE21">
        <v>1</v>
      </c>
      <c r="AF21" t="s">
        <v>232</v>
      </c>
      <c r="AG21">
        <v>45</v>
      </c>
      <c r="AH21">
        <v>630</v>
      </c>
      <c r="AI21">
        <v>2.35</v>
      </c>
      <c r="AJ21">
        <v>1</v>
      </c>
      <c r="AK21" t="s">
        <v>232</v>
      </c>
      <c r="AL21">
        <v>45</v>
      </c>
      <c r="AM21">
        <v>270</v>
      </c>
      <c r="AN21">
        <v>3.35</v>
      </c>
      <c r="AO21">
        <v>1</v>
      </c>
      <c r="AP21" t="s">
        <v>232</v>
      </c>
      <c r="AQ21">
        <v>45</v>
      </c>
      <c r="AR21">
        <v>450</v>
      </c>
      <c r="AS21">
        <v>4.3499999999999996</v>
      </c>
      <c r="AT21">
        <v>1</v>
      </c>
    </row>
    <row r="22" spans="1:66" x14ac:dyDescent="0.25">
      <c r="A22" t="s">
        <v>126</v>
      </c>
      <c r="B22">
        <v>10</v>
      </c>
      <c r="C22" t="s">
        <v>128</v>
      </c>
      <c r="D22" t="s">
        <v>233</v>
      </c>
      <c r="E22">
        <v>90</v>
      </c>
      <c r="F22" t="s">
        <v>131</v>
      </c>
      <c r="G22" t="s">
        <v>232</v>
      </c>
      <c r="H22">
        <v>45</v>
      </c>
      <c r="I22">
        <v>0</v>
      </c>
      <c r="J22">
        <v>1</v>
      </c>
      <c r="K22">
        <v>1</v>
      </c>
      <c r="L22" t="s">
        <v>231</v>
      </c>
      <c r="M22">
        <v>-45</v>
      </c>
      <c r="N22">
        <v>648</v>
      </c>
      <c r="O22">
        <v>1.35</v>
      </c>
      <c r="P22">
        <v>-1</v>
      </c>
      <c r="Q22" t="s">
        <v>232</v>
      </c>
      <c r="R22">
        <v>45</v>
      </c>
      <c r="S22">
        <v>288</v>
      </c>
      <c r="T22">
        <v>2</v>
      </c>
      <c r="U22">
        <v>1</v>
      </c>
      <c r="V22" t="s">
        <v>231</v>
      </c>
      <c r="W22">
        <v>-45</v>
      </c>
      <c r="X22">
        <v>216</v>
      </c>
      <c r="Y22">
        <v>2.35</v>
      </c>
      <c r="Z22">
        <v>-1</v>
      </c>
      <c r="AA22" t="s">
        <v>232</v>
      </c>
      <c r="AB22">
        <v>45</v>
      </c>
      <c r="AC22">
        <v>432</v>
      </c>
      <c r="AD22">
        <v>3</v>
      </c>
      <c r="AE22">
        <v>1</v>
      </c>
      <c r="AF22" t="s">
        <v>231</v>
      </c>
      <c r="AG22">
        <v>-45</v>
      </c>
      <c r="AH22">
        <v>360</v>
      </c>
      <c r="AI22">
        <v>3.35</v>
      </c>
      <c r="AJ22">
        <v>-1</v>
      </c>
      <c r="AK22" t="s">
        <v>232</v>
      </c>
      <c r="AL22">
        <v>45</v>
      </c>
      <c r="AM22">
        <v>576</v>
      </c>
      <c r="AN22">
        <v>4</v>
      </c>
      <c r="AO22">
        <v>1</v>
      </c>
      <c r="AP22" t="s">
        <v>231</v>
      </c>
      <c r="AQ22">
        <v>-45</v>
      </c>
      <c r="AR22">
        <v>504</v>
      </c>
      <c r="AS22">
        <v>4.3499999999999996</v>
      </c>
      <c r="AT22">
        <v>-1</v>
      </c>
      <c r="AU22" t="s">
        <v>232</v>
      </c>
      <c r="AV22">
        <v>45</v>
      </c>
      <c r="AW22">
        <v>144</v>
      </c>
      <c r="AX22">
        <v>5</v>
      </c>
      <c r="AY22">
        <v>1</v>
      </c>
      <c r="AZ22" t="s">
        <v>231</v>
      </c>
      <c r="BA22">
        <v>-45</v>
      </c>
      <c r="BB22">
        <v>72</v>
      </c>
      <c r="BC22">
        <v>5.35</v>
      </c>
      <c r="BD22">
        <v>-1</v>
      </c>
    </row>
    <row r="23" spans="1:66" x14ac:dyDescent="0.25">
      <c r="A23" t="s">
        <v>132</v>
      </c>
      <c r="B23">
        <v>12</v>
      </c>
      <c r="C23" t="s">
        <v>134</v>
      </c>
      <c r="D23" t="s">
        <v>233</v>
      </c>
      <c r="E23">
        <v>60</v>
      </c>
      <c r="F23" t="s">
        <v>137</v>
      </c>
      <c r="G23" t="s">
        <v>231</v>
      </c>
      <c r="H23">
        <v>-30</v>
      </c>
      <c r="I23">
        <v>0</v>
      </c>
      <c r="J23">
        <v>1</v>
      </c>
      <c r="K23">
        <v>-1</v>
      </c>
      <c r="L23" t="s">
        <v>231</v>
      </c>
      <c r="M23">
        <v>-30</v>
      </c>
      <c r="N23">
        <v>480</v>
      </c>
      <c r="O23">
        <v>2</v>
      </c>
      <c r="P23">
        <v>-1</v>
      </c>
      <c r="Q23" t="s">
        <v>231</v>
      </c>
      <c r="R23">
        <v>-30</v>
      </c>
      <c r="S23">
        <v>240</v>
      </c>
      <c r="T23">
        <v>3</v>
      </c>
      <c r="U23">
        <v>-1</v>
      </c>
      <c r="V23" t="s">
        <v>231</v>
      </c>
      <c r="W23">
        <v>-30</v>
      </c>
      <c r="X23">
        <v>600</v>
      </c>
      <c r="Y23">
        <v>4</v>
      </c>
      <c r="Z23">
        <v>-1</v>
      </c>
      <c r="AA23" t="s">
        <v>231</v>
      </c>
      <c r="AB23">
        <v>-30</v>
      </c>
      <c r="AC23">
        <v>120</v>
      </c>
      <c r="AD23">
        <v>5</v>
      </c>
      <c r="AE23">
        <v>-1</v>
      </c>
      <c r="AF23" t="s">
        <v>231</v>
      </c>
      <c r="AG23">
        <v>-30</v>
      </c>
      <c r="AH23">
        <v>360</v>
      </c>
      <c r="AI23">
        <v>6</v>
      </c>
      <c r="AJ23">
        <v>-1</v>
      </c>
      <c r="AK23" t="s">
        <v>232</v>
      </c>
      <c r="AL23">
        <v>30</v>
      </c>
      <c r="AM23">
        <v>60</v>
      </c>
      <c r="AN23">
        <v>1.35</v>
      </c>
      <c r="AO23">
        <v>1</v>
      </c>
      <c r="AP23" t="s">
        <v>232</v>
      </c>
      <c r="AQ23">
        <v>30</v>
      </c>
      <c r="AR23">
        <v>540</v>
      </c>
      <c r="AS23">
        <v>2.35</v>
      </c>
      <c r="AT23">
        <v>1</v>
      </c>
      <c r="AU23" t="s">
        <v>232</v>
      </c>
      <c r="AV23">
        <v>30</v>
      </c>
      <c r="AW23">
        <v>300</v>
      </c>
      <c r="AX23">
        <v>3.35</v>
      </c>
      <c r="AY23">
        <v>1</v>
      </c>
      <c r="AZ23" t="s">
        <v>232</v>
      </c>
      <c r="BA23">
        <v>30</v>
      </c>
      <c r="BB23">
        <v>660</v>
      </c>
      <c r="BC23">
        <v>4.3499999999999996</v>
      </c>
      <c r="BD23">
        <v>1</v>
      </c>
      <c r="BE23" t="s">
        <v>232</v>
      </c>
      <c r="BF23">
        <v>30</v>
      </c>
      <c r="BG23">
        <v>180</v>
      </c>
      <c r="BH23">
        <v>5.35</v>
      </c>
      <c r="BI23">
        <v>1</v>
      </c>
      <c r="BJ23" t="s">
        <v>232</v>
      </c>
      <c r="BK23">
        <v>30</v>
      </c>
      <c r="BL23">
        <v>420</v>
      </c>
      <c r="BM23">
        <v>6.35</v>
      </c>
      <c r="BN23">
        <v>1</v>
      </c>
    </row>
    <row r="24" spans="1:66" x14ac:dyDescent="0.25">
      <c r="A24" t="s">
        <v>138</v>
      </c>
      <c r="B24">
        <v>5</v>
      </c>
      <c r="C24" t="s">
        <v>139</v>
      </c>
      <c r="D24" t="s">
        <v>140</v>
      </c>
      <c r="E24">
        <v>72</v>
      </c>
      <c r="F24" t="s">
        <v>141</v>
      </c>
      <c r="G24" t="s">
        <v>230</v>
      </c>
      <c r="H24">
        <v>0</v>
      </c>
      <c r="I24">
        <v>0</v>
      </c>
      <c r="J24">
        <v>0</v>
      </c>
      <c r="K24">
        <v>1</v>
      </c>
      <c r="L24" t="s">
        <v>230</v>
      </c>
      <c r="M24">
        <v>72</v>
      </c>
      <c r="N24">
        <v>432</v>
      </c>
      <c r="O24">
        <v>0.95099999999999996</v>
      </c>
      <c r="P24">
        <v>0.309</v>
      </c>
      <c r="Q24" t="s">
        <v>230</v>
      </c>
      <c r="R24">
        <v>144</v>
      </c>
      <c r="S24">
        <v>144</v>
      </c>
      <c r="T24">
        <v>0.58799999999999997</v>
      </c>
      <c r="U24">
        <v>-0.80900000000000005</v>
      </c>
      <c r="V24" t="s">
        <v>230</v>
      </c>
      <c r="W24">
        <v>216</v>
      </c>
      <c r="X24">
        <v>576</v>
      </c>
      <c r="Y24">
        <v>-0.58799999999999997</v>
      </c>
      <c r="Z24">
        <v>-0.80900000000000005</v>
      </c>
      <c r="AA24" t="s">
        <v>230</v>
      </c>
      <c r="AB24">
        <v>288</v>
      </c>
      <c r="AC24">
        <v>288</v>
      </c>
      <c r="AD24">
        <v>-0.95099999999999996</v>
      </c>
      <c r="AE24">
        <v>0.309</v>
      </c>
    </row>
    <row r="25" spans="1:66" x14ac:dyDescent="0.25">
      <c r="A25" t="s">
        <v>142</v>
      </c>
      <c r="B25">
        <v>7</v>
      </c>
      <c r="C25" t="s">
        <v>144</v>
      </c>
      <c r="D25" t="s">
        <v>140</v>
      </c>
      <c r="E25">
        <v>51.43</v>
      </c>
      <c r="F25" t="s">
        <v>146</v>
      </c>
      <c r="G25" t="s">
        <v>230</v>
      </c>
      <c r="H25">
        <v>0</v>
      </c>
      <c r="I25">
        <v>0</v>
      </c>
      <c r="J25">
        <v>0</v>
      </c>
      <c r="K25">
        <v>1</v>
      </c>
      <c r="L25" t="s">
        <v>230</v>
      </c>
      <c r="M25">
        <v>51.43</v>
      </c>
      <c r="N25">
        <v>411.42860000000002</v>
      </c>
      <c r="O25">
        <v>0.78200000000000003</v>
      </c>
      <c r="P25">
        <v>0.623</v>
      </c>
      <c r="Q25" t="s">
        <v>230</v>
      </c>
      <c r="R25">
        <v>102.86</v>
      </c>
      <c r="S25">
        <v>102.8571</v>
      </c>
      <c r="T25">
        <v>0.97499999999999998</v>
      </c>
      <c r="U25">
        <v>-0.223</v>
      </c>
      <c r="V25" t="s">
        <v>230</v>
      </c>
      <c r="W25">
        <v>154.29</v>
      </c>
      <c r="X25">
        <v>514.28570000000002</v>
      </c>
      <c r="Y25">
        <v>0.434</v>
      </c>
      <c r="Z25">
        <v>-0.90100000000000002</v>
      </c>
      <c r="AA25" t="s">
        <v>230</v>
      </c>
      <c r="AB25">
        <v>205.71</v>
      </c>
      <c r="AC25">
        <v>205.71430000000001</v>
      </c>
      <c r="AD25">
        <v>-0.434</v>
      </c>
      <c r="AE25">
        <v>-0.90100000000000002</v>
      </c>
      <c r="AF25" t="s">
        <v>230</v>
      </c>
      <c r="AG25">
        <v>257.14</v>
      </c>
      <c r="AH25">
        <v>617.14290000000005</v>
      </c>
      <c r="AI25">
        <v>-0.97499999999999998</v>
      </c>
      <c r="AJ25">
        <v>-0.223</v>
      </c>
      <c r="AK25" t="s">
        <v>230</v>
      </c>
      <c r="AL25">
        <v>308.57</v>
      </c>
      <c r="AM25">
        <v>308.57139999999998</v>
      </c>
      <c r="AN25">
        <v>-0.78200000000000003</v>
      </c>
      <c r="AO25">
        <v>0.623</v>
      </c>
    </row>
    <row r="26" spans="1:66" x14ac:dyDescent="0.25">
      <c r="A26" t="s">
        <v>147</v>
      </c>
      <c r="B26">
        <v>9</v>
      </c>
      <c r="C26" t="s">
        <v>149</v>
      </c>
      <c r="D26" t="s">
        <v>140</v>
      </c>
      <c r="E26">
        <v>40</v>
      </c>
      <c r="F26" t="s">
        <v>151</v>
      </c>
      <c r="G26" t="s">
        <v>230</v>
      </c>
      <c r="H26">
        <v>0</v>
      </c>
      <c r="I26">
        <v>0</v>
      </c>
      <c r="J26">
        <v>0</v>
      </c>
      <c r="K26">
        <v>1</v>
      </c>
      <c r="L26" t="s">
        <v>230</v>
      </c>
      <c r="M26">
        <v>40</v>
      </c>
      <c r="N26">
        <v>400</v>
      </c>
      <c r="O26">
        <v>0.64300000000000002</v>
      </c>
      <c r="P26">
        <v>0.76600000000000001</v>
      </c>
      <c r="Q26" t="s">
        <v>230</v>
      </c>
      <c r="R26">
        <v>80</v>
      </c>
      <c r="S26">
        <v>80</v>
      </c>
      <c r="T26">
        <v>0.98499999999999999</v>
      </c>
      <c r="U26">
        <v>0.17399999999999999</v>
      </c>
      <c r="V26" t="s">
        <v>230</v>
      </c>
      <c r="W26">
        <v>120</v>
      </c>
      <c r="X26">
        <v>480</v>
      </c>
      <c r="Y26">
        <v>0.86599999999999999</v>
      </c>
      <c r="Z26">
        <v>-0.5</v>
      </c>
      <c r="AA26" t="s">
        <v>230</v>
      </c>
      <c r="AB26">
        <v>160</v>
      </c>
      <c r="AC26">
        <v>160</v>
      </c>
      <c r="AD26">
        <v>0.34200000000000003</v>
      </c>
      <c r="AE26">
        <v>-0.94</v>
      </c>
      <c r="AF26" t="s">
        <v>230</v>
      </c>
      <c r="AG26">
        <v>200</v>
      </c>
      <c r="AH26">
        <v>560</v>
      </c>
      <c r="AI26">
        <v>-0.34200000000000003</v>
      </c>
      <c r="AJ26">
        <v>-0.94</v>
      </c>
      <c r="AK26" t="s">
        <v>230</v>
      </c>
      <c r="AL26">
        <v>240</v>
      </c>
      <c r="AM26">
        <v>240</v>
      </c>
      <c r="AN26">
        <v>-0.86599999999999999</v>
      </c>
      <c r="AO26">
        <v>-0.5</v>
      </c>
      <c r="AP26" t="s">
        <v>230</v>
      </c>
      <c r="AQ26">
        <v>280</v>
      </c>
      <c r="AR26">
        <v>640</v>
      </c>
      <c r="AS26">
        <v>-0.98499999999999999</v>
      </c>
      <c r="AT26">
        <v>0.17399999999999999</v>
      </c>
      <c r="AU26" t="s">
        <v>230</v>
      </c>
      <c r="AV26">
        <v>320</v>
      </c>
      <c r="AW26">
        <v>320</v>
      </c>
      <c r="AX26">
        <v>-0.64300000000000002</v>
      </c>
      <c r="AY26">
        <v>0.76600000000000001</v>
      </c>
    </row>
    <row r="27" spans="1:66" x14ac:dyDescent="0.25">
      <c r="A27" t="s">
        <v>235</v>
      </c>
      <c r="B27">
        <f>Simulador!B6</f>
        <v>4</v>
      </c>
      <c r="C27" t="str">
        <f>Simulador!B7</f>
        <v>1-4-3-2</v>
      </c>
      <c r="D27" t="s">
        <v>57</v>
      </c>
      <c r="E27">
        <v>0</v>
      </c>
      <c r="F27" t="s">
        <v>236</v>
      </c>
      <c r="G27" t="str">
        <f>IF(1&gt;$B$27,"","-")</f>
        <v>-</v>
      </c>
      <c r="H27">
        <f>IF(1&gt;$B$27,"",0)</f>
        <v>0</v>
      </c>
      <c r="I27">
        <f>IF(1&gt;$B$27,"",IFERROR((MATCH(1,$B$30:$M$30,0)-1)*720/$B$27,""))</f>
        <v>0</v>
      </c>
      <c r="J27">
        <f>IF(1&gt;$B$27,"",1)</f>
        <v>1</v>
      </c>
      <c r="K27">
        <f>IF(1&gt;$B$27,"",0)</f>
        <v>0</v>
      </c>
      <c r="L27" t="str">
        <f>IF(2&gt;$B$27,"","-")</f>
        <v>-</v>
      </c>
      <c r="M27">
        <f>IF(2&gt;$B$27,"",0)</f>
        <v>0</v>
      </c>
      <c r="N27">
        <f>IF(2&gt;$B$27,"",IFERROR((MATCH(2,$B$30:$M$30,0)-1)*720/$B$27,""))</f>
        <v>540</v>
      </c>
      <c r="O27">
        <f>IF(2&gt;$B$27,"",2)</f>
        <v>2</v>
      </c>
      <c r="P27">
        <f>IF(2&gt;$B$27,"",0)</f>
        <v>0</v>
      </c>
      <c r="Q27" t="str">
        <f>IF(3&gt;$B$27,"","-")</f>
        <v>-</v>
      </c>
      <c r="R27">
        <f>IF(3&gt;$B$27,"",0)</f>
        <v>0</v>
      </c>
      <c r="S27">
        <f>IF(3&gt;$B$27,"",IFERROR((MATCH(3,$B$30:$M$30,0)-1)*720/$B$27,""))</f>
        <v>360</v>
      </c>
      <c r="T27">
        <f>IF(3&gt;$B$27,"",3)</f>
        <v>3</v>
      </c>
      <c r="U27">
        <f>IF(3&gt;$B$27,"",0)</f>
        <v>0</v>
      </c>
      <c r="V27" t="str">
        <f>IF(4&gt;$B$27,"","-")</f>
        <v>-</v>
      </c>
      <c r="W27">
        <f>IF(4&gt;$B$27,"",0)</f>
        <v>0</v>
      </c>
      <c r="X27">
        <f>IF(4&gt;$B$27,"",IFERROR((MATCH(4,$B$30:$M$30,0)-1)*720/$B$27,""))</f>
        <v>180</v>
      </c>
      <c r="Y27">
        <f>IF(4&gt;$B$27,"",4)</f>
        <v>4</v>
      </c>
      <c r="Z27">
        <f>IF(4&gt;$B$27,"",0)</f>
        <v>0</v>
      </c>
      <c r="AA27" t="str">
        <f>IF(5&gt;$B$27,"","-")</f>
        <v/>
      </c>
      <c r="AB27" t="str">
        <f>IF(5&gt;$B$27,"",0)</f>
        <v/>
      </c>
      <c r="AC27" t="str">
        <f>IF(5&gt;$B$27,"",IFERROR((MATCH(5,$B$30:$M$30,0)-1)*720/$B$27,""))</f>
        <v/>
      </c>
      <c r="AD27" t="str">
        <f>IF(5&gt;$B$27,"",5)</f>
        <v/>
      </c>
      <c r="AE27" t="str">
        <f>IF(5&gt;$B$27,"",0)</f>
        <v/>
      </c>
      <c r="AF27" t="str">
        <f>IF(6&gt;$B$27,"","-")</f>
        <v/>
      </c>
      <c r="AG27" t="str">
        <f>IF(6&gt;$B$27,"",0)</f>
        <v/>
      </c>
      <c r="AH27" t="str">
        <f>IF(6&gt;$B$27,"",IFERROR((MATCH(6,$B$30:$M$30,0)-1)*720/$B$27,""))</f>
        <v/>
      </c>
      <c r="AI27" t="str">
        <f>IF(6&gt;$B$27,"",6)</f>
        <v/>
      </c>
      <c r="AJ27" t="str">
        <f>IF(6&gt;$B$27,"",0)</f>
        <v/>
      </c>
      <c r="AK27" t="str">
        <f>IF(7&gt;$B$27,"","-")</f>
        <v/>
      </c>
      <c r="AL27" t="str">
        <f>IF(7&gt;$B$27,"",0)</f>
        <v/>
      </c>
      <c r="AM27" t="str">
        <f>IF(7&gt;$B$27,"",IFERROR((MATCH(7,$B$30:$M$30,0)-1)*720/$B$27,""))</f>
        <v/>
      </c>
      <c r="AN27" t="str">
        <f>IF(7&gt;$B$27,"",7)</f>
        <v/>
      </c>
      <c r="AO27" t="str">
        <f>IF(7&gt;$B$27,"",0)</f>
        <v/>
      </c>
      <c r="AP27" t="str">
        <f>IF(8&gt;$B$27,"","-")</f>
        <v/>
      </c>
      <c r="AQ27" t="str">
        <f>IF(8&gt;$B$27,"",0)</f>
        <v/>
      </c>
      <c r="AR27" t="str">
        <f>IF(8&gt;$B$27,"",IFERROR((MATCH(8,$B$30:$M$30,0)-1)*720/$B$27,""))</f>
        <v/>
      </c>
      <c r="AS27" t="str">
        <f>IF(8&gt;$B$27,"",8)</f>
        <v/>
      </c>
      <c r="AT27" t="str">
        <f>IF(8&gt;$B$27,"",0)</f>
        <v/>
      </c>
      <c r="AU27" t="str">
        <f>IF(9&gt;$B$27,"","-")</f>
        <v/>
      </c>
      <c r="AV27" t="str">
        <f>IF(9&gt;$B$27,"",0)</f>
        <v/>
      </c>
      <c r="AW27" t="str">
        <f>IF(9&gt;$B$27,"",IFERROR((MATCH(9,$B$30:$M$30,0)-1)*720/$B$27,""))</f>
        <v/>
      </c>
      <c r="AX27" t="str">
        <f>IF(9&gt;$B$27,"",9)</f>
        <v/>
      </c>
      <c r="AY27" t="str">
        <f>IF(9&gt;$B$27,"",0)</f>
        <v/>
      </c>
      <c r="AZ27" t="str">
        <f>IF(10&gt;$B$27,"","-")</f>
        <v/>
      </c>
      <c r="BA27" t="str">
        <f>IF(10&gt;$B$27,"",0)</f>
        <v/>
      </c>
      <c r="BB27" t="str">
        <f>IF(10&gt;$B$27,"",IFERROR((MATCH(10,$B$30:$M$30,0)-1)*720/$B$27,""))</f>
        <v/>
      </c>
      <c r="BC27" t="str">
        <f>IF(10&gt;$B$27,"",10)</f>
        <v/>
      </c>
      <c r="BD27" t="str">
        <f>IF(10&gt;$B$27,"",0)</f>
        <v/>
      </c>
      <c r="BE27" t="str">
        <f>IF(11&gt;$B$27,"","-")</f>
        <v/>
      </c>
      <c r="BF27" t="str">
        <f>IF(11&gt;$B$27,"",0)</f>
        <v/>
      </c>
      <c r="BG27" t="str">
        <f>IF(11&gt;$B$27,"",IFERROR((MATCH(11,$B$30:$M$30,0)-1)*720/$B$27,""))</f>
        <v/>
      </c>
      <c r="BH27" t="str">
        <f>IF(11&gt;$B$27,"",11)</f>
        <v/>
      </c>
      <c r="BI27" t="str">
        <f>IF(11&gt;$B$27,"",0)</f>
        <v/>
      </c>
      <c r="BJ27" t="str">
        <f>IF(12&gt;$B$27,"","-")</f>
        <v/>
      </c>
      <c r="BK27" t="str">
        <f>IF(12&gt;$B$27,"",0)</f>
        <v/>
      </c>
      <c r="BL27" t="str">
        <f>IF(12&gt;$B$27,"",IFERROR((MATCH(12,$B$30:$M$30,0)-1)*720/$B$27,""))</f>
        <v/>
      </c>
      <c r="BM27" t="str">
        <f>IF(12&gt;$B$27,"",12)</f>
        <v/>
      </c>
      <c r="BN27" t="str">
        <f>IF(12&gt;$B$27,"",0)</f>
        <v/>
      </c>
    </row>
    <row r="29" spans="1:66" x14ac:dyDescent="0.25">
      <c r="A29" s="16" t="s">
        <v>237</v>
      </c>
    </row>
    <row r="30" spans="1:66" x14ac:dyDescent="0.25">
      <c r="B30">
        <f>IF(1&gt;Simulador!$B$6,"",IFERROR(VALUE(TRIM(MID(SUBSTITUTE(Simulador!$B$7,"-",REPT(" ",20)),(1-1)*20+1,20))),""))</f>
        <v>1</v>
      </c>
      <c r="C30">
        <f>IF(2&gt;Simulador!$B$6,"",IFERROR(VALUE(TRIM(MID(SUBSTITUTE(Simulador!$B$7,"-",REPT(" ",20)),(2-1)*20+1,20))),""))</f>
        <v>4</v>
      </c>
      <c r="D30">
        <f>IF(3&gt;Simulador!$B$6,"",IFERROR(VALUE(TRIM(MID(SUBSTITUTE(Simulador!$B$7,"-",REPT(" ",20)),(3-1)*20+1,20))),""))</f>
        <v>3</v>
      </c>
      <c r="E30">
        <f>IF(4&gt;Simulador!$B$6,"",IFERROR(VALUE(TRIM(MID(SUBSTITUTE(Simulador!$B$7,"-",REPT(" ",20)),(4-1)*20+1,20))),""))</f>
        <v>2</v>
      </c>
      <c r="F30" t="str">
        <f>IF(5&gt;Simulador!$B$6,"",IFERROR(VALUE(TRIM(MID(SUBSTITUTE(Simulador!$B$7,"-",REPT(" ",20)),(5-1)*20+1,20))),""))</f>
        <v/>
      </c>
      <c r="G30" t="str">
        <f>IF(6&gt;Simulador!$B$6,"",IFERROR(VALUE(TRIM(MID(SUBSTITUTE(Simulador!$B$7,"-",REPT(" ",20)),(6-1)*20+1,20))),""))</f>
        <v/>
      </c>
      <c r="H30" t="str">
        <f>IF(7&gt;Simulador!$B$6,"",IFERROR(VALUE(TRIM(MID(SUBSTITUTE(Simulador!$B$7,"-",REPT(" ",20)),(7-1)*20+1,20))),""))</f>
        <v/>
      </c>
      <c r="I30" t="str">
        <f>IF(8&gt;Simulador!$B$6,"",IFERROR(VALUE(TRIM(MID(SUBSTITUTE(Simulador!$B$7,"-",REPT(" ",20)),(8-1)*20+1,20))),""))</f>
        <v/>
      </c>
      <c r="J30" t="str">
        <f>IF(9&gt;Simulador!$B$6,"",IFERROR(VALUE(TRIM(MID(SUBSTITUTE(Simulador!$B$7,"-",REPT(" ",20)),(9-1)*20+1,20))),""))</f>
        <v/>
      </c>
      <c r="K30" t="str">
        <f>IF(10&gt;Simulador!$B$6,"",IFERROR(VALUE(TRIM(MID(SUBSTITUTE(Simulador!$B$7,"-",REPT(" ",20)),(10-1)*20+1,20))),""))</f>
        <v/>
      </c>
      <c r="L30" t="str">
        <f>IF(11&gt;Simulador!$B$6,"",IFERROR(VALUE(TRIM(MID(SUBSTITUTE(Simulador!$B$7,"-",REPT(" ",20)),(11-1)*20+1,20))),""))</f>
        <v/>
      </c>
      <c r="M30" t="str">
        <f>IF(12&gt;Simulador!$B$6,"",IFERROR(VALUE(TRIM(MID(SUBSTITUTE(Simulador!$B$7,"-",REPT(" ",20)),(12-1)*20+1,20))),""))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C8C8C"/>
  </sheetPr>
  <dimension ref="A1:AC242"/>
  <sheetViews>
    <sheetView workbookViewId="0"/>
  </sheetViews>
  <sheetFormatPr baseColWidth="10" defaultColWidth="9.140625" defaultRowHeight="15" x14ac:dyDescent="0.25"/>
  <sheetData>
    <row r="1" spans="1:29" x14ac:dyDescent="0.25">
      <c r="A1" s="16" t="s">
        <v>238</v>
      </c>
    </row>
    <row r="2" spans="1:29" ht="60" x14ac:dyDescent="0.25">
      <c r="A2" s="3" t="s">
        <v>239</v>
      </c>
      <c r="B2" s="3" t="s">
        <v>240</v>
      </c>
      <c r="C2" s="3" t="s">
        <v>241</v>
      </c>
      <c r="E2" s="3" t="s">
        <v>242</v>
      </c>
      <c r="F2" s="3" t="s">
        <v>243</v>
      </c>
      <c r="H2" s="3" t="s">
        <v>244</v>
      </c>
      <c r="I2" s="3" t="s">
        <v>240</v>
      </c>
      <c r="K2" s="3" t="s">
        <v>245</v>
      </c>
      <c r="L2" s="3" t="s">
        <v>240</v>
      </c>
      <c r="M2" s="3" t="s">
        <v>241</v>
      </c>
      <c r="N2" s="3" t="s">
        <v>246</v>
      </c>
      <c r="O2" s="3" t="s">
        <v>240</v>
      </c>
      <c r="Q2" s="3" t="s">
        <v>247</v>
      </c>
      <c r="R2" s="3" t="s">
        <v>248</v>
      </c>
      <c r="T2" s="3" t="s">
        <v>249</v>
      </c>
      <c r="U2" s="3" t="s">
        <v>250</v>
      </c>
      <c r="V2" s="3" t="s">
        <v>251</v>
      </c>
      <c r="X2" s="3" t="s">
        <v>246</v>
      </c>
      <c r="Y2" s="3" t="s">
        <v>240</v>
      </c>
      <c r="Z2" s="3" t="s">
        <v>241</v>
      </c>
      <c r="AA2" s="3" t="s">
        <v>242</v>
      </c>
      <c r="AB2" s="3" t="s">
        <v>240</v>
      </c>
      <c r="AC2" s="3" t="s">
        <v>252</v>
      </c>
    </row>
    <row r="3" spans="1:29" x14ac:dyDescent="0.25">
      <c r="A3">
        <v>0</v>
      </c>
      <c r="B3">
        <v>0</v>
      </c>
      <c r="C3" t="str">
        <f>IF(Simulador!$A$22=""," ",""&amp;1)</f>
        <v>1</v>
      </c>
      <c r="E3">
        <v>0</v>
      </c>
      <c r="F3">
        <v>0</v>
      </c>
      <c r="H3">
        <v>0</v>
      </c>
      <c r="I3">
        <v>1</v>
      </c>
      <c r="K3">
        <f>IF(Simulador!$A$22="",$K$3,INDEX(Configuraciones!$J$3:$J$27,Simulador!$B$9))</f>
        <v>1</v>
      </c>
      <c r="L3">
        <f>IF(Simulador!$A$22="",$L$3,INDEX(Configuraciones!$K$3:$K$27,Simulador!$B$9))</f>
        <v>0</v>
      </c>
      <c r="M3" t="str">
        <f>IF(Simulador!$A$22=""," ",""&amp;1)</f>
        <v>1</v>
      </c>
      <c r="N3">
        <f>IF(ISNUMBER(SEARCH("Radial",INDEX(Configuraciones!$D$3:$D$27,Simulador!$B$9))),0,MIN(K3:K14)-0.5)</f>
        <v>0.5</v>
      </c>
      <c r="O3">
        <v>0</v>
      </c>
      <c r="Q3">
        <v>0</v>
      </c>
      <c r="R3">
        <f>'Diagrama de fases'!C18</f>
        <v>1</v>
      </c>
      <c r="T3">
        <f>IF(1&gt;Simulador!$B$12,"",SMALL(Simulador!$D$22:$D$33,1))</f>
        <v>0</v>
      </c>
      <c r="U3">
        <f>IF(T3="","",IF(1=Simulador!$B$12,720-T3+$T$3,T4-T3))</f>
        <v>180</v>
      </c>
      <c r="V3" t="str">
        <f t="shared" ref="V3:V14" si="0">IF(U3="","",IF(MOD(U3,1)=0,TEXT(U3,"0"),TEXT(U3,"0.0"))&amp;"°")</f>
        <v>180°</v>
      </c>
      <c r="W3" t="str">
        <f>V3</f>
        <v>180°</v>
      </c>
      <c r="X3">
        <f>$AC$3+(-0.17)</f>
        <v>0.83</v>
      </c>
      <c r="Y3">
        <v>0</v>
      </c>
      <c r="Z3" t="str">
        <f>IF(Simulador!$A$22=""," ",1&amp;" ("&amp;TEXT(Simulador!$E$22,"0")&amp;"°)")</f>
        <v>1 (0°)</v>
      </c>
      <c r="AA3">
        <f>MIN(AC3:AC14)-0.6</f>
        <v>0.4</v>
      </c>
      <c r="AB3">
        <v>0</v>
      </c>
      <c r="AC3">
        <f>IF(Simulador!$A$22="",$AC$3,IF(ISNUMBER(SEARCH("Radial",INDEX(Configuraciones!$D$3:$D$27,Simulador!$B$9))),1,K3))</f>
        <v>1</v>
      </c>
    </row>
    <row r="4" spans="1:29" x14ac:dyDescent="0.25">
      <c r="A4">
        <f>IF(Simulador!$F$22="",0,IF(Simulador!$B$22="B",0.75,1)*SIN(RADIANS(Simulador!$F$22)))</f>
        <v>0</v>
      </c>
      <c r="B4">
        <f>IF(Simulador!$F$22="",0,IF(Simulador!$B$22="B",0.75,1)*COS(RADIANS(Simulador!$F$22)))</f>
        <v>1</v>
      </c>
      <c r="E4">
        <f>IF(Simulador!$C$22="",0,1.4*SIN(RADIANS(Simulador!$C$22)))</f>
        <v>0</v>
      </c>
      <c r="F4">
        <f>IF(Simulador!$C$22="",0,1.4*COS(RADIANS(Simulador!$C$22)))</f>
        <v>1.4</v>
      </c>
      <c r="H4">
        <v>0.1736</v>
      </c>
      <c r="I4">
        <v>0.98480000000000001</v>
      </c>
      <c r="K4">
        <f>IF(Simulador!$A$23="",$K$3,INDEX(Configuraciones!$O$3:$O$27,Simulador!$B$9))</f>
        <v>2</v>
      </c>
      <c r="L4">
        <f>IF(Simulador!$A$23="",$L$3,INDEX(Configuraciones!$P$3:$P$27,Simulador!$B$9))</f>
        <v>0</v>
      </c>
      <c r="M4" t="str">
        <f>IF(Simulador!$A$23=""," ",""&amp;2)</f>
        <v>2</v>
      </c>
      <c r="N4">
        <f>IF(ISNUMBER(SEARCH("Radial",INDEX(Configuraciones!$D$3:$D$27,Simulador!$B$9))),0,MAX(K3:K14)+0.5)</f>
        <v>4.5</v>
      </c>
      <c r="O4">
        <v>0</v>
      </c>
      <c r="Q4">
        <v>6</v>
      </c>
      <c r="R4">
        <f>'Diagrama de fases'!C18</f>
        <v>1</v>
      </c>
      <c r="T4">
        <f>IF(2&gt;Simulador!$B$12,"",SMALL(Simulador!$D$22:$D$33,2))</f>
        <v>180</v>
      </c>
      <c r="U4">
        <f>IF(T4="","",IF(2=Simulador!$B$12,720-T4+$T$3,T5-T4))</f>
        <v>180</v>
      </c>
      <c r="V4" t="str">
        <f t="shared" si="0"/>
        <v>180°</v>
      </c>
      <c r="W4" t="str">
        <f t="shared" ref="W4:W14" si="1">IF(V4="",W3,W3&amp;", "&amp;V4)</f>
        <v>180°, 180°</v>
      </c>
      <c r="X4">
        <f>$AC$3+(-0.17)</f>
        <v>0.83</v>
      </c>
      <c r="Y4">
        <f>IF(Simulador!$E$22="",0,(COS(RADIANS(Simulador!$E$22-Simulador!$E$22))+0.4*SIN(RADIANS(Simulador!$E$22-Simulador!$E$22)))/1.077)</f>
        <v>0.92850510677808729</v>
      </c>
      <c r="AA4">
        <f>MAX(AC3:AC14)+0.6</f>
        <v>4.5999999999999996</v>
      </c>
      <c r="AB4">
        <v>0</v>
      </c>
      <c r="AC4">
        <f>IF(Simulador!$A$23="",$AC$3,IF(ISNUMBER(SEARCH("Radial",INDEX(Configuraciones!$D$3:$D$27,Simulador!$B$9))),1,K4))</f>
        <v>2</v>
      </c>
    </row>
    <row r="5" spans="1:29" x14ac:dyDescent="0.25">
      <c r="H5">
        <v>0.34200000000000003</v>
      </c>
      <c r="I5">
        <v>0.93969999999999998</v>
      </c>
      <c r="K5">
        <f>IF(Simulador!$A$24="",$K$3,INDEX(Configuraciones!$T$3:$T$27,Simulador!$B$9))</f>
        <v>3</v>
      </c>
      <c r="L5">
        <f>IF(Simulador!$A$24="",$L$3,INDEX(Configuraciones!$U$3:$U$27,Simulador!$B$9))</f>
        <v>0</v>
      </c>
      <c r="M5" t="str">
        <f>IF(Simulador!$A$24=""," ",""&amp;3)</f>
        <v>3</v>
      </c>
      <c r="Q5">
        <v>6</v>
      </c>
      <c r="R5">
        <f>'Diagrama de fases'!D18</f>
        <v>1</v>
      </c>
      <c r="T5">
        <f>IF(3&gt;Simulador!$B$12,"",SMALL(Simulador!$D$22:$D$33,3))</f>
        <v>360</v>
      </c>
      <c r="U5">
        <f>IF(T5="","",IF(3=Simulador!$B$12,720-T5+$T$3,T6-T5))</f>
        <v>180</v>
      </c>
      <c r="V5" t="str">
        <f t="shared" si="0"/>
        <v>180°</v>
      </c>
      <c r="W5" t="str">
        <f t="shared" si="1"/>
        <v>180°, 180°, 180°</v>
      </c>
      <c r="X5">
        <f>$AC$3+(0.17)</f>
        <v>1.17</v>
      </c>
      <c r="Y5">
        <f>IF(Simulador!$E$22="",0,(COS(RADIANS(Simulador!$E$22-Simulador!$E$22))+0.4*SIN(RADIANS(Simulador!$E$22-Simulador!$E$22)))/1.077)</f>
        <v>0.92850510677808729</v>
      </c>
      <c r="AC5">
        <f>IF(Simulador!$A$24="",$AC$3,IF(ISNUMBER(SEARCH("Radial",INDEX(Configuraciones!$D$3:$D$27,Simulador!$B$9))),1,K5))</f>
        <v>3</v>
      </c>
    </row>
    <row r="6" spans="1:29" x14ac:dyDescent="0.25">
      <c r="A6">
        <v>0</v>
      </c>
      <c r="B6">
        <v>0</v>
      </c>
      <c r="C6" t="str">
        <f>IF(Simulador!$A$23=""," ",""&amp;2)</f>
        <v>2</v>
      </c>
      <c r="E6">
        <v>0</v>
      </c>
      <c r="F6">
        <v>0</v>
      </c>
      <c r="H6">
        <v>0.5</v>
      </c>
      <c r="I6">
        <v>0.86599999999999999</v>
      </c>
      <c r="K6">
        <f>IF(Simulador!$A$25="",$K$3,INDEX(Configuraciones!$Y$3:$Y$27,Simulador!$B$9))</f>
        <v>4</v>
      </c>
      <c r="L6">
        <f>IF(Simulador!$A$25="",$L$3,INDEX(Configuraciones!$Z$3:$Z$27,Simulador!$B$9))</f>
        <v>0</v>
      </c>
      <c r="M6" t="str">
        <f>IF(Simulador!$A$25=""," ",""&amp;4)</f>
        <v>4</v>
      </c>
      <c r="Q6">
        <v>12</v>
      </c>
      <c r="R6">
        <f>'Diagrama de fases'!D18</f>
        <v>1</v>
      </c>
      <c r="T6">
        <f>IF(4&gt;Simulador!$B$12,"",SMALL(Simulador!$D$22:$D$33,4))</f>
        <v>540</v>
      </c>
      <c r="U6">
        <f>IF(T6="","",IF(4=Simulador!$B$12,720-T6+$T$3,T7-T6))</f>
        <v>180</v>
      </c>
      <c r="V6" t="str">
        <f t="shared" si="0"/>
        <v>180°</v>
      </c>
      <c r="W6" t="str">
        <f t="shared" si="1"/>
        <v>180°, 180°, 180°, 180°</v>
      </c>
      <c r="X6">
        <f>$AC$3+(0.17)</f>
        <v>1.17</v>
      </c>
      <c r="Y6">
        <v>0</v>
      </c>
      <c r="AC6">
        <f>IF(Simulador!$A$25="",$AC$3,IF(ISNUMBER(SEARCH("Radial",INDEX(Configuraciones!$D$3:$D$27,Simulador!$B$9))),1,K6))</f>
        <v>4</v>
      </c>
    </row>
    <row r="7" spans="1:29" x14ac:dyDescent="0.25">
      <c r="A7">
        <f>IF(Simulador!$F$23="",0,IF(Simulador!$B$23="B",0.75,1)*SIN(RADIANS(Simulador!$F$23)))</f>
        <v>1.22514845490862E-16</v>
      </c>
      <c r="B7">
        <f>IF(Simulador!$F$23="",0,IF(Simulador!$B$23="B",0.75,1)*COS(RADIANS(Simulador!$F$23)))</f>
        <v>-1</v>
      </c>
      <c r="E7">
        <f>IF(Simulador!$C$23="",0,1.4*SIN(RADIANS(Simulador!$C$23)))</f>
        <v>0</v>
      </c>
      <c r="F7">
        <f>IF(Simulador!$C$23="",0,1.4*COS(RADIANS(Simulador!$C$23)))</f>
        <v>1.4</v>
      </c>
      <c r="H7">
        <v>0.64280000000000004</v>
      </c>
      <c r="I7">
        <v>0.76600000000000001</v>
      </c>
      <c r="K7">
        <f>IF(Simulador!$A$26="",$K$3,INDEX(Configuraciones!$AD$3:$AD$27,Simulador!$B$9))</f>
        <v>1</v>
      </c>
      <c r="L7">
        <f>IF(Simulador!$A$26="",$L$3,INDEX(Configuraciones!$AE$3:$AE$27,Simulador!$B$9))</f>
        <v>0</v>
      </c>
      <c r="M7" t="str">
        <f>IF(Simulador!$A$26=""," ",""&amp;5)</f>
        <v xml:space="preserve"> </v>
      </c>
      <c r="Q7">
        <v>12</v>
      </c>
      <c r="R7">
        <f>'Diagrama de fases'!E18</f>
        <v>1</v>
      </c>
      <c r="T7" t="str">
        <f>IF(5&gt;Simulador!$B$12,"",SMALL(Simulador!$D$22:$D$33,5))</f>
        <v/>
      </c>
      <c r="U7" t="str">
        <f>IF(T7="","",IF(5=Simulador!$B$12,720-T7+$T$3,T8-T7))</f>
        <v/>
      </c>
      <c r="V7" t="str">
        <f t="shared" si="0"/>
        <v/>
      </c>
      <c r="W7" t="str">
        <f t="shared" si="1"/>
        <v>180°, 180°, 180°, 180°</v>
      </c>
      <c r="AC7">
        <f>IF(Simulador!$A$26="",$AC$3,IF(ISNUMBER(SEARCH("Radial",INDEX(Configuraciones!$D$3:$D$27,Simulador!$B$9))),1,K7))</f>
        <v>1</v>
      </c>
    </row>
    <row r="8" spans="1:29" x14ac:dyDescent="0.25">
      <c r="H8">
        <v>0.76600000000000001</v>
      </c>
      <c r="I8">
        <v>0.64280000000000004</v>
      </c>
      <c r="K8">
        <f>IF(Simulador!$A$27="",$K$3,INDEX(Configuraciones!$AI$3:$AI$27,Simulador!$B$9))</f>
        <v>1</v>
      </c>
      <c r="L8">
        <f>IF(Simulador!$A$27="",$L$3,INDEX(Configuraciones!$AJ$3:$AJ$27,Simulador!$B$9))</f>
        <v>0</v>
      </c>
      <c r="M8" t="str">
        <f>IF(Simulador!$A$27=""," ",""&amp;6)</f>
        <v xml:space="preserve"> </v>
      </c>
      <c r="Q8">
        <v>18</v>
      </c>
      <c r="R8">
        <f>'Diagrama de fases'!E18</f>
        <v>1</v>
      </c>
      <c r="T8" t="str">
        <f>IF(6&gt;Simulador!$B$12,"",SMALL(Simulador!$D$22:$D$33,6))</f>
        <v/>
      </c>
      <c r="U8" t="str">
        <f>IF(T8="","",IF(6=Simulador!$B$12,720-T8+$T$3,T9-T8))</f>
        <v/>
      </c>
      <c r="V8" t="str">
        <f t="shared" si="0"/>
        <v/>
      </c>
      <c r="W8" t="str">
        <f t="shared" si="1"/>
        <v>180°, 180°, 180°, 180°</v>
      </c>
      <c r="X8">
        <f>$AC$4+(-0.17)</f>
        <v>1.83</v>
      </c>
      <c r="Y8">
        <v>0</v>
      </c>
      <c r="Z8" t="str">
        <f>IF(Simulador!$A$23=""," ",2&amp;" ("&amp;TEXT(Simulador!$E$23,"0")&amp;"°)")</f>
        <v>2 (180°)</v>
      </c>
      <c r="AC8">
        <f>IF(Simulador!$A$27="",$AC$3,IF(ISNUMBER(SEARCH("Radial",INDEX(Configuraciones!$D$3:$D$27,Simulador!$B$9))),1,K8))</f>
        <v>1</v>
      </c>
    </row>
    <row r="9" spans="1:29" x14ac:dyDescent="0.25">
      <c r="A9">
        <v>0</v>
      </c>
      <c r="B9">
        <v>0</v>
      </c>
      <c r="C9" t="str">
        <f>IF(Simulador!$A$24=""," ",""&amp;3)</f>
        <v>3</v>
      </c>
      <c r="E9">
        <v>0</v>
      </c>
      <c r="F9">
        <v>0</v>
      </c>
      <c r="H9">
        <v>0.86599999999999999</v>
      </c>
      <c r="I9">
        <v>0.5</v>
      </c>
      <c r="K9">
        <f>IF(Simulador!$A$28="",$K$3,INDEX(Configuraciones!$AN$3:$AN$27,Simulador!$B$9))</f>
        <v>1</v>
      </c>
      <c r="L9">
        <f>IF(Simulador!$A$28="",$L$3,INDEX(Configuraciones!$AO$3:$AO$27,Simulador!$B$9))</f>
        <v>0</v>
      </c>
      <c r="M9" t="str">
        <f>IF(Simulador!$A$28=""," ",""&amp;7)</f>
        <v xml:space="preserve"> </v>
      </c>
      <c r="Q9">
        <v>18</v>
      </c>
      <c r="R9">
        <f>'Diagrama de fases'!F18</f>
        <v>1</v>
      </c>
      <c r="T9" t="str">
        <f>IF(7&gt;Simulador!$B$12,"",SMALL(Simulador!$D$22:$D$33,7))</f>
        <v/>
      </c>
      <c r="U9" t="str">
        <f>IF(T9="","",IF(7=Simulador!$B$12,720-T9+$T$3,T10-T9))</f>
        <v/>
      </c>
      <c r="V9" t="str">
        <f t="shared" si="0"/>
        <v/>
      </c>
      <c r="W9" t="str">
        <f t="shared" si="1"/>
        <v>180°, 180°, 180°, 180°</v>
      </c>
      <c r="X9">
        <f>$AC$4+(-0.17)</f>
        <v>1.83</v>
      </c>
      <c r="Y9">
        <f>IF(Simulador!$E$23="",0,(COS(RADIANS(Simulador!$E$23-Simulador!$E$22))+0.4*SIN(RADIANS(Simulador!$E$23-Simulador!$E$22)))/1.077)</f>
        <v>-0.92850510677808729</v>
      </c>
      <c r="AC9">
        <f>IF(Simulador!$A$28="",$AC$3,IF(ISNUMBER(SEARCH("Radial",INDEX(Configuraciones!$D$3:$D$27,Simulador!$B$9))),1,K9))</f>
        <v>1</v>
      </c>
    </row>
    <row r="10" spans="1:29" x14ac:dyDescent="0.25">
      <c r="A10">
        <f>IF(Simulador!$F$24="",0,IF(Simulador!$B$24="B",0.75,1)*SIN(RADIANS(Simulador!$F$24)))</f>
        <v>0</v>
      </c>
      <c r="B10">
        <f>IF(Simulador!$F$24="",0,IF(Simulador!$B$24="B",0.75,1)*COS(RADIANS(Simulador!$F$24)))</f>
        <v>1</v>
      </c>
      <c r="E10">
        <f>IF(Simulador!$C$24="",0,1.4*SIN(RADIANS(Simulador!$C$24)))</f>
        <v>0</v>
      </c>
      <c r="F10">
        <f>IF(Simulador!$C$24="",0,1.4*COS(RADIANS(Simulador!$C$24)))</f>
        <v>1.4</v>
      </c>
      <c r="H10">
        <v>0.93969999999999998</v>
      </c>
      <c r="I10">
        <v>0.34200000000000003</v>
      </c>
      <c r="K10">
        <f>IF(Simulador!$A$29="",$K$3,INDEX(Configuraciones!$AS$3:$AS$27,Simulador!$B$9))</f>
        <v>1</v>
      </c>
      <c r="L10">
        <f>IF(Simulador!$A$29="",$L$3,INDEX(Configuraciones!$AT$3:$AT$27,Simulador!$B$9))</f>
        <v>0</v>
      </c>
      <c r="M10" t="str">
        <f>IF(Simulador!$A$29=""," ",""&amp;8)</f>
        <v xml:space="preserve"> </v>
      </c>
      <c r="Q10">
        <v>24</v>
      </c>
      <c r="R10">
        <f>'Diagrama de fases'!F18</f>
        <v>1</v>
      </c>
      <c r="T10" t="str">
        <f>IF(8&gt;Simulador!$B$12,"",SMALL(Simulador!$D$22:$D$33,8))</f>
        <v/>
      </c>
      <c r="U10" t="str">
        <f>IF(T10="","",IF(8=Simulador!$B$12,720-T10+$T$3,T11-T10))</f>
        <v/>
      </c>
      <c r="V10" t="str">
        <f t="shared" si="0"/>
        <v/>
      </c>
      <c r="W10" t="str">
        <f t="shared" si="1"/>
        <v>180°, 180°, 180°, 180°</v>
      </c>
      <c r="X10">
        <f>$AC$4+(0.17)</f>
        <v>2.17</v>
      </c>
      <c r="Y10">
        <f>IF(Simulador!$E$23="",0,(COS(RADIANS(Simulador!$E$23-Simulador!$E$22))+0.4*SIN(RADIANS(Simulador!$E$23-Simulador!$E$22)))/1.077)</f>
        <v>-0.92850510677808729</v>
      </c>
      <c r="AC10">
        <f>IF(Simulador!$A$29="",$AC$3,IF(ISNUMBER(SEARCH("Radial",INDEX(Configuraciones!$D$3:$D$27,Simulador!$B$9))),1,K10))</f>
        <v>1</v>
      </c>
    </row>
    <row r="11" spans="1:29" x14ac:dyDescent="0.25">
      <c r="H11">
        <v>0.98480000000000001</v>
      </c>
      <c r="I11">
        <v>0.1736</v>
      </c>
      <c r="K11">
        <f>IF(Simulador!$A$30="",$K$3,INDEX(Configuraciones!$AX$3:$AX$27,Simulador!$B$9))</f>
        <v>1</v>
      </c>
      <c r="L11">
        <f>IF(Simulador!$A$30="",$L$3,INDEX(Configuraciones!$AY$3:$AY$27,Simulador!$B$9))</f>
        <v>0</v>
      </c>
      <c r="M11" t="str">
        <f>IF(Simulador!$A$30=""," ",""&amp;9)</f>
        <v xml:space="preserve"> </v>
      </c>
      <c r="Q11">
        <v>24</v>
      </c>
      <c r="R11">
        <f>'Diagrama de fases'!G18</f>
        <v>1</v>
      </c>
      <c r="T11" t="str">
        <f>IF(9&gt;Simulador!$B$12,"",SMALL(Simulador!$D$22:$D$33,9))</f>
        <v/>
      </c>
      <c r="U11" t="str">
        <f>IF(T11="","",IF(9=Simulador!$B$12,720-T11+$T$3,T12-T11))</f>
        <v/>
      </c>
      <c r="V11" t="str">
        <f t="shared" si="0"/>
        <v/>
      </c>
      <c r="W11" t="str">
        <f t="shared" si="1"/>
        <v>180°, 180°, 180°, 180°</v>
      </c>
      <c r="X11">
        <f>$AC$4+(0.17)</f>
        <v>2.17</v>
      </c>
      <c r="Y11">
        <v>0</v>
      </c>
      <c r="AC11">
        <f>IF(Simulador!$A$30="",$AC$3,IF(ISNUMBER(SEARCH("Radial",INDEX(Configuraciones!$D$3:$D$27,Simulador!$B$9))),1,K11))</f>
        <v>1</v>
      </c>
    </row>
    <row r="12" spans="1:29" x14ac:dyDescent="0.25">
      <c r="A12">
        <v>0</v>
      </c>
      <c r="B12">
        <v>0</v>
      </c>
      <c r="C12" t="str">
        <f>IF(Simulador!$A$25=""," ",""&amp;4)</f>
        <v>4</v>
      </c>
      <c r="E12">
        <v>0</v>
      </c>
      <c r="F12">
        <v>0</v>
      </c>
      <c r="H12">
        <v>1</v>
      </c>
      <c r="I12">
        <v>0</v>
      </c>
      <c r="K12">
        <f>IF(Simulador!$A$31="",$K$3,INDEX(Configuraciones!$BC$3:$BC$27,Simulador!$B$9))</f>
        <v>1</v>
      </c>
      <c r="L12">
        <f>IF(Simulador!$A$31="",$L$3,INDEX(Configuraciones!$BD$3:$BD$27,Simulador!$B$9))</f>
        <v>0</v>
      </c>
      <c r="M12" t="str">
        <f>IF(Simulador!$A$31=""," ",""&amp;10)</f>
        <v xml:space="preserve"> </v>
      </c>
      <c r="Q12">
        <v>30</v>
      </c>
      <c r="R12">
        <f>'Diagrama de fases'!G18</f>
        <v>1</v>
      </c>
      <c r="T12" t="str">
        <f>IF(10&gt;Simulador!$B$12,"",SMALL(Simulador!$D$22:$D$33,10))</f>
        <v/>
      </c>
      <c r="U12" t="str">
        <f>IF(T12="","",IF(10=Simulador!$B$12,720-T12+$T$3,T13-T12))</f>
        <v/>
      </c>
      <c r="V12" t="str">
        <f t="shared" si="0"/>
        <v/>
      </c>
      <c r="W12" t="str">
        <f t="shared" si="1"/>
        <v>180°, 180°, 180°, 180°</v>
      </c>
      <c r="AC12">
        <f>IF(Simulador!$A$31="",$AC$3,IF(ISNUMBER(SEARCH("Radial",INDEX(Configuraciones!$D$3:$D$27,Simulador!$B$9))),1,K12))</f>
        <v>1</v>
      </c>
    </row>
    <row r="13" spans="1:29" x14ac:dyDescent="0.25">
      <c r="A13">
        <f>IF(Simulador!$F$25="",0,IF(Simulador!$B$25="B",0.75,1)*SIN(RADIANS(Simulador!$F$25)))</f>
        <v>1.22514845490862E-16</v>
      </c>
      <c r="B13">
        <f>IF(Simulador!$F$25="",0,IF(Simulador!$B$25="B",0.75,1)*COS(RADIANS(Simulador!$F$25)))</f>
        <v>-1</v>
      </c>
      <c r="E13">
        <f>IF(Simulador!$C$25="",0,1.4*SIN(RADIANS(Simulador!$C$25)))</f>
        <v>0</v>
      </c>
      <c r="F13">
        <f>IF(Simulador!$C$25="",0,1.4*COS(RADIANS(Simulador!$C$25)))</f>
        <v>1.4</v>
      </c>
      <c r="H13">
        <v>0.98480000000000001</v>
      </c>
      <c r="I13">
        <v>-0.1736</v>
      </c>
      <c r="K13">
        <f>IF(Simulador!$A$32="",$K$3,INDEX(Configuraciones!$BH$3:$BH$27,Simulador!$B$9))</f>
        <v>1</v>
      </c>
      <c r="L13">
        <f>IF(Simulador!$A$32="",$L$3,INDEX(Configuraciones!$BI$3:$BI$27,Simulador!$B$9))</f>
        <v>0</v>
      </c>
      <c r="M13" t="str">
        <f>IF(Simulador!$A$32=""," ",""&amp;11)</f>
        <v xml:space="preserve"> </v>
      </c>
      <c r="Q13">
        <v>30</v>
      </c>
      <c r="R13">
        <f>'Diagrama de fases'!H18</f>
        <v>1</v>
      </c>
      <c r="T13" t="str">
        <f>IF(11&gt;Simulador!$B$12,"",SMALL(Simulador!$D$22:$D$33,11))</f>
        <v/>
      </c>
      <c r="U13" t="str">
        <f>IF(T13="","",IF(11=Simulador!$B$12,720-T13+$T$3,T14-T13))</f>
        <v/>
      </c>
      <c r="V13" t="str">
        <f t="shared" si="0"/>
        <v/>
      </c>
      <c r="W13" t="str">
        <f t="shared" si="1"/>
        <v>180°, 180°, 180°, 180°</v>
      </c>
      <c r="X13">
        <f>$AC$5+(-0.17)</f>
        <v>2.83</v>
      </c>
      <c r="Y13">
        <v>0</v>
      </c>
      <c r="Z13" t="str">
        <f>IF(Simulador!$A$24=""," ",3&amp;" ("&amp;TEXT(Simulador!$E$24,"0")&amp;"°)")</f>
        <v>3 (0°)</v>
      </c>
      <c r="AC13">
        <f>IF(Simulador!$A$32="",$AC$3,IF(ISNUMBER(SEARCH("Radial",INDEX(Configuraciones!$D$3:$D$27,Simulador!$B$9))),1,K13))</f>
        <v>1</v>
      </c>
    </row>
    <row r="14" spans="1:29" x14ac:dyDescent="0.25">
      <c r="H14">
        <v>0.93969999999999998</v>
      </c>
      <c r="I14">
        <v>-0.34200000000000003</v>
      </c>
      <c r="K14">
        <f>IF(Simulador!$A$33="",$K$3,INDEX(Configuraciones!$BM$3:$BM$27,Simulador!$B$9))</f>
        <v>1</v>
      </c>
      <c r="L14">
        <f>IF(Simulador!$A$33="",$L$3,INDEX(Configuraciones!$BN$3:$BN$27,Simulador!$B$9))</f>
        <v>0</v>
      </c>
      <c r="M14" t="str">
        <f>IF(Simulador!$A$33=""," ",""&amp;12)</f>
        <v xml:space="preserve"> </v>
      </c>
      <c r="Q14">
        <v>36</v>
      </c>
      <c r="R14">
        <f>'Diagrama de fases'!H18</f>
        <v>1</v>
      </c>
      <c r="T14" t="str">
        <f>IF(12&gt;Simulador!$B$12,"",SMALL(Simulador!$D$22:$D$33,12))</f>
        <v/>
      </c>
      <c r="U14" t="str">
        <f>IF(T14="","",IF(12=Simulador!$B$12,720-T14+$T$3,T15-T14))</f>
        <v/>
      </c>
      <c r="V14" t="str">
        <f t="shared" si="0"/>
        <v/>
      </c>
      <c r="W14" t="str">
        <f t="shared" si="1"/>
        <v>180°, 180°, 180°, 180°</v>
      </c>
      <c r="X14">
        <f>$AC$5+(-0.17)</f>
        <v>2.83</v>
      </c>
      <c r="Y14">
        <f>IF(Simulador!$E$24="",0,(COS(RADIANS(Simulador!$E$24-Simulador!$E$22))+0.4*SIN(RADIANS(Simulador!$E$24-Simulador!$E$22)))/1.077)</f>
        <v>0.92850510677808729</v>
      </c>
      <c r="AC14">
        <f>IF(Simulador!$A$33="",$AC$3,IF(ISNUMBER(SEARCH("Radial",INDEX(Configuraciones!$D$3:$D$27,Simulador!$B$9))),1,K14))</f>
        <v>1</v>
      </c>
    </row>
    <row r="15" spans="1:29" x14ac:dyDescent="0.25">
      <c r="A15">
        <v>0</v>
      </c>
      <c r="B15">
        <v>0</v>
      </c>
      <c r="C15" t="str">
        <f>IF(Simulador!$A$26=""," ",""&amp;5)</f>
        <v xml:space="preserve"> </v>
      </c>
      <c r="E15">
        <v>0</v>
      </c>
      <c r="F15">
        <v>0</v>
      </c>
      <c r="H15">
        <v>0.86599999999999999</v>
      </c>
      <c r="I15">
        <v>-0.5</v>
      </c>
      <c r="Q15">
        <v>36</v>
      </c>
      <c r="R15">
        <f>'Diagrama de fases'!I18</f>
        <v>1</v>
      </c>
      <c r="X15">
        <f>$AC$5+(0.17)</f>
        <v>3.17</v>
      </c>
      <c r="Y15">
        <f>IF(Simulador!$E$24="",0,(COS(RADIANS(Simulador!$E$24-Simulador!$E$22))+0.4*SIN(RADIANS(Simulador!$E$24-Simulador!$E$22)))/1.077)</f>
        <v>0.92850510677808729</v>
      </c>
    </row>
    <row r="16" spans="1:29" x14ac:dyDescent="0.25">
      <c r="A16">
        <f>IF(Simulador!$F$26="",0,IF(Simulador!$B$26="B",0.75,1)*SIN(RADIANS(Simulador!$F$26)))</f>
        <v>0</v>
      </c>
      <c r="B16">
        <f>IF(Simulador!$F$26="",0,IF(Simulador!$B$26="B",0.75,1)*COS(RADIANS(Simulador!$F$26)))</f>
        <v>0</v>
      </c>
      <c r="E16">
        <f>IF(Simulador!$C$26="",0,1.4*SIN(RADIANS(Simulador!$C$26)))</f>
        <v>0</v>
      </c>
      <c r="F16">
        <f>IF(Simulador!$C$26="",0,1.4*COS(RADIANS(Simulador!$C$26)))</f>
        <v>0</v>
      </c>
      <c r="H16">
        <v>0.76600000000000001</v>
      </c>
      <c r="I16">
        <v>-0.64280000000000004</v>
      </c>
      <c r="Q16">
        <v>42</v>
      </c>
      <c r="R16">
        <f>'Diagrama de fases'!I18</f>
        <v>1</v>
      </c>
      <c r="X16">
        <f>$AC$5+(0.17)</f>
        <v>3.17</v>
      </c>
      <c r="Y16">
        <v>0</v>
      </c>
    </row>
    <row r="17" spans="1:26" x14ac:dyDescent="0.25">
      <c r="H17">
        <v>0.64280000000000004</v>
      </c>
      <c r="I17">
        <v>-0.76600000000000001</v>
      </c>
      <c r="Q17">
        <v>42</v>
      </c>
      <c r="R17">
        <f>'Diagrama de fases'!J18</f>
        <v>1</v>
      </c>
    </row>
    <row r="18" spans="1:26" x14ac:dyDescent="0.25">
      <c r="A18">
        <v>0</v>
      </c>
      <c r="B18">
        <v>0</v>
      </c>
      <c r="C18" t="str">
        <f>IF(Simulador!$A$27=""," ",""&amp;6)</f>
        <v xml:space="preserve"> </v>
      </c>
      <c r="E18">
        <v>0</v>
      </c>
      <c r="F18">
        <v>0</v>
      </c>
      <c r="H18">
        <v>0.5</v>
      </c>
      <c r="I18">
        <v>-0.86599999999999999</v>
      </c>
      <c r="Q18">
        <v>48</v>
      </c>
      <c r="R18">
        <f>'Diagrama de fases'!J18</f>
        <v>1</v>
      </c>
      <c r="X18">
        <f>$AC$6+(-0.17)</f>
        <v>3.83</v>
      </c>
      <c r="Y18">
        <v>0</v>
      </c>
      <c r="Z18" t="str">
        <f>IF(Simulador!$A$25=""," ",4&amp;" ("&amp;TEXT(Simulador!$E$25,"0")&amp;"°)")</f>
        <v>4 (180°)</v>
      </c>
    </row>
    <row r="19" spans="1:26" x14ac:dyDescent="0.25">
      <c r="A19">
        <f>IF(Simulador!$F$27="",0,IF(Simulador!$B$27="B",0.75,1)*SIN(RADIANS(Simulador!$F$27)))</f>
        <v>0</v>
      </c>
      <c r="B19">
        <f>IF(Simulador!$F$27="",0,IF(Simulador!$B$27="B",0.75,1)*COS(RADIANS(Simulador!$F$27)))</f>
        <v>0</v>
      </c>
      <c r="E19">
        <f>IF(Simulador!$C$27="",0,1.4*SIN(RADIANS(Simulador!$C$27)))</f>
        <v>0</v>
      </c>
      <c r="F19">
        <f>IF(Simulador!$C$27="",0,1.4*COS(RADIANS(Simulador!$C$27)))</f>
        <v>0</v>
      </c>
      <c r="H19">
        <v>0.34200000000000003</v>
      </c>
      <c r="I19">
        <v>-0.93969999999999998</v>
      </c>
      <c r="Q19">
        <v>48</v>
      </c>
      <c r="R19">
        <f>'Diagrama de fases'!K18</f>
        <v>1</v>
      </c>
      <c r="X19">
        <f>$AC$6+(-0.17)</f>
        <v>3.83</v>
      </c>
      <c r="Y19">
        <f>IF(Simulador!$E$25="",0,(COS(RADIANS(Simulador!$E$25-Simulador!$E$22))+0.4*SIN(RADIANS(Simulador!$E$25-Simulador!$E$22)))/1.077)</f>
        <v>-0.92850510677808729</v>
      </c>
    </row>
    <row r="20" spans="1:26" x14ac:dyDescent="0.25">
      <c r="H20">
        <v>0.1736</v>
      </c>
      <c r="I20">
        <v>-0.98480000000000001</v>
      </c>
      <c r="Q20">
        <v>54</v>
      </c>
      <c r="R20">
        <f>'Diagrama de fases'!K18</f>
        <v>1</v>
      </c>
      <c r="X20">
        <f>$AC$6+(0.17)</f>
        <v>4.17</v>
      </c>
      <c r="Y20">
        <f>IF(Simulador!$E$25="",0,(COS(RADIANS(Simulador!$E$25-Simulador!$E$22))+0.4*SIN(RADIANS(Simulador!$E$25-Simulador!$E$22)))/1.077)</f>
        <v>-0.92850510677808729</v>
      </c>
    </row>
    <row r="21" spans="1:26" x14ac:dyDescent="0.25">
      <c r="A21">
        <v>0</v>
      </c>
      <c r="B21">
        <v>0</v>
      </c>
      <c r="C21" t="str">
        <f>IF(Simulador!$A$28=""," ",""&amp;7)</f>
        <v xml:space="preserve"> </v>
      </c>
      <c r="E21">
        <v>0</v>
      </c>
      <c r="F21">
        <v>0</v>
      </c>
      <c r="H21">
        <v>0</v>
      </c>
      <c r="I21">
        <v>-1</v>
      </c>
      <c r="Q21">
        <v>54</v>
      </c>
      <c r="R21">
        <f>'Diagrama de fases'!L18</f>
        <v>1</v>
      </c>
      <c r="X21">
        <f>$AC$6+(0.17)</f>
        <v>4.17</v>
      </c>
      <c r="Y21">
        <v>0</v>
      </c>
    </row>
    <row r="22" spans="1:26" x14ac:dyDescent="0.25">
      <c r="A22">
        <f>IF(Simulador!$F$28="",0,IF(Simulador!$B$28="B",0.75,1)*SIN(RADIANS(Simulador!$F$28)))</f>
        <v>0</v>
      </c>
      <c r="B22">
        <f>IF(Simulador!$F$28="",0,IF(Simulador!$B$28="B",0.75,1)*COS(RADIANS(Simulador!$F$28)))</f>
        <v>0</v>
      </c>
      <c r="E22">
        <f>IF(Simulador!$C$28="",0,1.4*SIN(RADIANS(Simulador!$C$28)))</f>
        <v>0</v>
      </c>
      <c r="F22">
        <f>IF(Simulador!$C$28="",0,1.4*COS(RADIANS(Simulador!$C$28)))</f>
        <v>0</v>
      </c>
      <c r="H22">
        <v>-0.1736</v>
      </c>
      <c r="I22">
        <v>-0.98480000000000001</v>
      </c>
      <c r="Q22">
        <v>60</v>
      </c>
      <c r="R22">
        <f>'Diagrama de fases'!L18</f>
        <v>1</v>
      </c>
    </row>
    <row r="23" spans="1:26" x14ac:dyDescent="0.25">
      <c r="H23">
        <v>-0.34200000000000003</v>
      </c>
      <c r="I23">
        <v>-0.93969999999999998</v>
      </c>
      <c r="Q23">
        <v>60</v>
      </c>
      <c r="R23">
        <f>'Diagrama de fases'!M18</f>
        <v>1</v>
      </c>
      <c r="X23">
        <f>$AC$7+(-0.17)</f>
        <v>0.83</v>
      </c>
      <c r="Y23">
        <v>0</v>
      </c>
      <c r="Z23" t="str">
        <f>IF(Simulador!$A$26=""," ",5&amp;" ("&amp;TEXT(Simulador!$E$26,"0")&amp;"°)")</f>
        <v xml:space="preserve"> </v>
      </c>
    </row>
    <row r="24" spans="1:26" x14ac:dyDescent="0.25">
      <c r="A24">
        <v>0</v>
      </c>
      <c r="B24">
        <v>0</v>
      </c>
      <c r="C24" t="str">
        <f>IF(Simulador!$A$29=""," ",""&amp;8)</f>
        <v xml:space="preserve"> </v>
      </c>
      <c r="E24">
        <v>0</v>
      </c>
      <c r="F24">
        <v>0</v>
      </c>
      <c r="H24">
        <v>-0.5</v>
      </c>
      <c r="I24">
        <v>-0.86599999999999999</v>
      </c>
      <c r="Q24">
        <v>66</v>
      </c>
      <c r="R24">
        <f>'Diagrama de fases'!M18</f>
        <v>1</v>
      </c>
      <c r="X24">
        <f>$AC$7+(-0.17)</f>
        <v>0.83</v>
      </c>
      <c r="Y24">
        <f>IF(Simulador!$E$26="",0,(COS(RADIANS(Simulador!$E$26-Simulador!$E$22))+0.4*SIN(RADIANS(Simulador!$E$26-Simulador!$E$22)))/1.077)</f>
        <v>0</v>
      </c>
    </row>
    <row r="25" spans="1:26" x14ac:dyDescent="0.25">
      <c r="A25">
        <f>IF(Simulador!$F$29="",0,IF(Simulador!$B$29="B",0.75,1)*SIN(RADIANS(Simulador!$F$29)))</f>
        <v>0</v>
      </c>
      <c r="B25">
        <f>IF(Simulador!$F$29="",0,IF(Simulador!$B$29="B",0.75,1)*COS(RADIANS(Simulador!$F$29)))</f>
        <v>0</v>
      </c>
      <c r="E25">
        <f>IF(Simulador!$C$29="",0,1.4*SIN(RADIANS(Simulador!$C$29)))</f>
        <v>0</v>
      </c>
      <c r="F25">
        <f>IF(Simulador!$C$29="",0,1.4*COS(RADIANS(Simulador!$C$29)))</f>
        <v>0</v>
      </c>
      <c r="H25">
        <v>-0.64280000000000004</v>
      </c>
      <c r="I25">
        <v>-0.76600000000000001</v>
      </c>
      <c r="Q25">
        <v>66</v>
      </c>
      <c r="R25">
        <f>'Diagrama de fases'!N18</f>
        <v>1</v>
      </c>
      <c r="X25">
        <f>$AC$7+(0.17)</f>
        <v>1.17</v>
      </c>
      <c r="Y25">
        <f>IF(Simulador!$E$26="",0,(COS(RADIANS(Simulador!$E$26-Simulador!$E$22))+0.4*SIN(RADIANS(Simulador!$E$26-Simulador!$E$22)))/1.077)</f>
        <v>0</v>
      </c>
    </row>
    <row r="26" spans="1:26" x14ac:dyDescent="0.25">
      <c r="H26">
        <v>-0.76600000000000001</v>
      </c>
      <c r="I26">
        <v>-0.64280000000000004</v>
      </c>
      <c r="Q26">
        <v>72</v>
      </c>
      <c r="R26">
        <f>'Diagrama de fases'!N18</f>
        <v>1</v>
      </c>
      <c r="X26">
        <f>$AC$7+(0.17)</f>
        <v>1.17</v>
      </c>
      <c r="Y26">
        <v>0</v>
      </c>
    </row>
    <row r="27" spans="1:26" x14ac:dyDescent="0.25">
      <c r="A27">
        <v>0</v>
      </c>
      <c r="B27">
        <v>0</v>
      </c>
      <c r="C27" t="str">
        <f>IF(Simulador!$A$30=""," ",""&amp;9)</f>
        <v xml:space="preserve"> </v>
      </c>
      <c r="E27">
        <v>0</v>
      </c>
      <c r="F27">
        <v>0</v>
      </c>
      <c r="H27">
        <v>-0.86599999999999999</v>
      </c>
      <c r="I27">
        <v>-0.5</v>
      </c>
      <c r="Q27">
        <v>72</v>
      </c>
      <c r="R27">
        <f>'Diagrama de fases'!O18</f>
        <v>1</v>
      </c>
    </row>
    <row r="28" spans="1:26" x14ac:dyDescent="0.25">
      <c r="A28">
        <f>IF(Simulador!$F$30="",0,IF(Simulador!$B$30="B",0.75,1)*SIN(RADIANS(Simulador!$F$30)))</f>
        <v>0</v>
      </c>
      <c r="B28">
        <f>IF(Simulador!$F$30="",0,IF(Simulador!$B$30="B",0.75,1)*COS(RADIANS(Simulador!$F$30)))</f>
        <v>0</v>
      </c>
      <c r="E28">
        <f>IF(Simulador!$C$30="",0,1.4*SIN(RADIANS(Simulador!$C$30)))</f>
        <v>0</v>
      </c>
      <c r="F28">
        <f>IF(Simulador!$C$30="",0,1.4*COS(RADIANS(Simulador!$C$30)))</f>
        <v>0</v>
      </c>
      <c r="H28">
        <v>-0.93969999999999998</v>
      </c>
      <c r="I28">
        <v>-0.34200000000000003</v>
      </c>
      <c r="Q28">
        <v>78</v>
      </c>
      <c r="R28">
        <f>'Diagrama de fases'!O18</f>
        <v>1</v>
      </c>
      <c r="X28">
        <f>$AC$8+(-0.17)</f>
        <v>0.83</v>
      </c>
      <c r="Y28">
        <v>0</v>
      </c>
      <c r="Z28" t="str">
        <f>IF(Simulador!$A$27=""," ",6&amp;" ("&amp;TEXT(Simulador!$E$27,"0")&amp;"°)")</f>
        <v xml:space="preserve"> </v>
      </c>
    </row>
    <row r="29" spans="1:26" x14ac:dyDescent="0.25">
      <c r="H29">
        <v>-0.98480000000000001</v>
      </c>
      <c r="I29">
        <v>-0.1736</v>
      </c>
      <c r="Q29">
        <v>78</v>
      </c>
      <c r="R29">
        <f>'Diagrama de fases'!P18</f>
        <v>1</v>
      </c>
      <c r="X29">
        <f>$AC$8+(-0.17)</f>
        <v>0.83</v>
      </c>
      <c r="Y29">
        <f>IF(Simulador!$E$27="",0,(COS(RADIANS(Simulador!$E$27-Simulador!$E$22))+0.4*SIN(RADIANS(Simulador!$E$27-Simulador!$E$22)))/1.077)</f>
        <v>0</v>
      </c>
    </row>
    <row r="30" spans="1:26" x14ac:dyDescent="0.25">
      <c r="A30">
        <v>0</v>
      </c>
      <c r="B30">
        <v>0</v>
      </c>
      <c r="C30" t="str">
        <f>IF(Simulador!$A$31=""," ",""&amp;10)</f>
        <v xml:space="preserve"> </v>
      </c>
      <c r="E30">
        <v>0</v>
      </c>
      <c r="F30">
        <v>0</v>
      </c>
      <c r="H30">
        <v>-1</v>
      </c>
      <c r="I30">
        <v>0</v>
      </c>
      <c r="Q30">
        <v>84</v>
      </c>
      <c r="R30">
        <f>'Diagrama de fases'!P18</f>
        <v>1</v>
      </c>
      <c r="X30">
        <f>$AC$8+(0.17)</f>
        <v>1.17</v>
      </c>
      <c r="Y30">
        <f>IF(Simulador!$E$27="",0,(COS(RADIANS(Simulador!$E$27-Simulador!$E$22))+0.4*SIN(RADIANS(Simulador!$E$27-Simulador!$E$22)))/1.077)</f>
        <v>0</v>
      </c>
    </row>
    <row r="31" spans="1:26" x14ac:dyDescent="0.25">
      <c r="A31">
        <f>IF(Simulador!$F$31="",0,IF(Simulador!$B$31="B",0.75,1)*SIN(RADIANS(Simulador!$F$31)))</f>
        <v>0</v>
      </c>
      <c r="B31">
        <f>IF(Simulador!$F$31="",0,IF(Simulador!$B$31="B",0.75,1)*COS(RADIANS(Simulador!$F$31)))</f>
        <v>0</v>
      </c>
      <c r="E31">
        <f>IF(Simulador!$C$31="",0,1.4*SIN(RADIANS(Simulador!$C$31)))</f>
        <v>0</v>
      </c>
      <c r="F31">
        <f>IF(Simulador!$C$31="",0,1.4*COS(RADIANS(Simulador!$C$31)))</f>
        <v>0</v>
      </c>
      <c r="H31">
        <v>-0.98480000000000001</v>
      </c>
      <c r="I31">
        <v>0.1736</v>
      </c>
      <c r="Q31">
        <v>84</v>
      </c>
      <c r="R31">
        <f>'Diagrama de fases'!Q18</f>
        <v>1</v>
      </c>
      <c r="X31">
        <f>$AC$8+(0.17)</f>
        <v>1.17</v>
      </c>
      <c r="Y31">
        <v>0</v>
      </c>
    </row>
    <row r="32" spans="1:26" x14ac:dyDescent="0.25">
      <c r="H32">
        <v>-0.93969999999999998</v>
      </c>
      <c r="I32">
        <v>0.34200000000000003</v>
      </c>
      <c r="Q32">
        <v>90</v>
      </c>
      <c r="R32">
        <f>'Diagrama de fases'!Q18</f>
        <v>1</v>
      </c>
    </row>
    <row r="33" spans="1:26" x14ac:dyDescent="0.25">
      <c r="A33">
        <v>0</v>
      </c>
      <c r="B33">
        <v>0</v>
      </c>
      <c r="C33" t="str">
        <f>IF(Simulador!$A$32=""," ",""&amp;11)</f>
        <v xml:space="preserve"> </v>
      </c>
      <c r="E33">
        <v>0</v>
      </c>
      <c r="F33">
        <v>0</v>
      </c>
      <c r="H33">
        <v>-0.86599999999999999</v>
      </c>
      <c r="I33">
        <v>0.5</v>
      </c>
      <c r="Q33">
        <v>90</v>
      </c>
      <c r="R33">
        <f>'Diagrama de fases'!R18</f>
        <v>1</v>
      </c>
      <c r="X33">
        <f>$AC$9+(-0.17)</f>
        <v>0.83</v>
      </c>
      <c r="Y33">
        <v>0</v>
      </c>
      <c r="Z33" t="str">
        <f>IF(Simulador!$A$28=""," ",7&amp;" ("&amp;TEXT(Simulador!$E$28,"0")&amp;"°)")</f>
        <v xml:space="preserve"> </v>
      </c>
    </row>
    <row r="34" spans="1:26" x14ac:dyDescent="0.25">
      <c r="A34">
        <f>IF(Simulador!$F$32="",0,IF(Simulador!$B$32="B",0.75,1)*SIN(RADIANS(Simulador!$F$32)))</f>
        <v>0</v>
      </c>
      <c r="B34">
        <f>IF(Simulador!$F$32="",0,IF(Simulador!$B$32="B",0.75,1)*COS(RADIANS(Simulador!$F$32)))</f>
        <v>0</v>
      </c>
      <c r="E34">
        <f>IF(Simulador!$C$32="",0,1.4*SIN(RADIANS(Simulador!$C$32)))</f>
        <v>0</v>
      </c>
      <c r="F34">
        <f>IF(Simulador!$C$32="",0,1.4*COS(RADIANS(Simulador!$C$32)))</f>
        <v>0</v>
      </c>
      <c r="H34">
        <v>-0.76600000000000001</v>
      </c>
      <c r="I34">
        <v>0.64280000000000004</v>
      </c>
      <c r="Q34">
        <v>96</v>
      </c>
      <c r="R34">
        <f>'Diagrama de fases'!R18</f>
        <v>1</v>
      </c>
      <c r="X34">
        <f>$AC$9+(-0.17)</f>
        <v>0.83</v>
      </c>
      <c r="Y34">
        <f>IF(Simulador!$E$28="",0,(COS(RADIANS(Simulador!$E$28-Simulador!$E$22))+0.4*SIN(RADIANS(Simulador!$E$28-Simulador!$E$22)))/1.077)</f>
        <v>0</v>
      </c>
    </row>
    <row r="35" spans="1:26" x14ac:dyDescent="0.25">
      <c r="H35">
        <v>-0.64280000000000004</v>
      </c>
      <c r="I35">
        <v>0.76600000000000001</v>
      </c>
      <c r="Q35">
        <v>96</v>
      </c>
      <c r="R35">
        <f>'Diagrama de fases'!S18</f>
        <v>1</v>
      </c>
      <c r="X35">
        <f>$AC$9+(0.17)</f>
        <v>1.17</v>
      </c>
      <c r="Y35">
        <f>IF(Simulador!$E$28="",0,(COS(RADIANS(Simulador!$E$28-Simulador!$E$22))+0.4*SIN(RADIANS(Simulador!$E$28-Simulador!$E$22)))/1.077)</f>
        <v>0</v>
      </c>
    </row>
    <row r="36" spans="1:26" x14ac:dyDescent="0.25">
      <c r="A36">
        <v>0</v>
      </c>
      <c r="B36">
        <v>0</v>
      </c>
      <c r="C36" t="str">
        <f>IF(Simulador!$A$33=""," ",""&amp;12)</f>
        <v xml:space="preserve"> </v>
      </c>
      <c r="E36">
        <v>0</v>
      </c>
      <c r="F36">
        <v>0</v>
      </c>
      <c r="H36">
        <v>-0.5</v>
      </c>
      <c r="I36">
        <v>0.86599999999999999</v>
      </c>
      <c r="Q36">
        <v>102</v>
      </c>
      <c r="R36">
        <f>'Diagrama de fases'!S18</f>
        <v>1</v>
      </c>
      <c r="X36">
        <f>$AC$9+(0.17)</f>
        <v>1.17</v>
      </c>
      <c r="Y36">
        <v>0</v>
      </c>
    </row>
    <row r="37" spans="1:26" x14ac:dyDescent="0.25">
      <c r="A37">
        <f>IF(Simulador!$F$33="",0,IF(Simulador!$B$33="B",0.75,1)*SIN(RADIANS(Simulador!$F$33)))</f>
        <v>0</v>
      </c>
      <c r="B37">
        <f>IF(Simulador!$F$33="",0,IF(Simulador!$B$33="B",0.75,1)*COS(RADIANS(Simulador!$F$33)))</f>
        <v>0</v>
      </c>
      <c r="E37">
        <f>IF(Simulador!$C$33="",0,1.4*SIN(RADIANS(Simulador!$C$33)))</f>
        <v>0</v>
      </c>
      <c r="F37">
        <f>IF(Simulador!$C$33="",0,1.4*COS(RADIANS(Simulador!$C$33)))</f>
        <v>0</v>
      </c>
      <c r="H37">
        <v>-0.34200000000000003</v>
      </c>
      <c r="I37">
        <v>0.93969999999999998</v>
      </c>
      <c r="Q37">
        <v>102</v>
      </c>
      <c r="R37">
        <f>'Diagrama de fases'!T18</f>
        <v>1</v>
      </c>
    </row>
    <row r="38" spans="1:26" x14ac:dyDescent="0.25">
      <c r="H38">
        <v>-0.1736</v>
      </c>
      <c r="I38">
        <v>0.98480000000000001</v>
      </c>
      <c r="Q38">
        <v>108</v>
      </c>
      <c r="R38">
        <f>'Diagrama de fases'!T18</f>
        <v>1</v>
      </c>
      <c r="X38">
        <f>$AC$10+(-0.17)</f>
        <v>0.83</v>
      </c>
      <c r="Y38">
        <v>0</v>
      </c>
      <c r="Z38" t="str">
        <f>IF(Simulador!$A$29=""," ",8&amp;" ("&amp;TEXT(Simulador!$E$29,"0")&amp;"°)")</f>
        <v xml:space="preserve"> </v>
      </c>
    </row>
    <row r="39" spans="1:26" x14ac:dyDescent="0.25">
      <c r="H39">
        <v>0</v>
      </c>
      <c r="I39">
        <v>1</v>
      </c>
      <c r="Q39">
        <v>108</v>
      </c>
      <c r="R39">
        <f>'Diagrama de fases'!U18</f>
        <v>1</v>
      </c>
      <c r="X39">
        <f>$AC$10+(-0.17)</f>
        <v>0.83</v>
      </c>
      <c r="Y39">
        <f>IF(Simulador!$E$29="",0,(COS(RADIANS(Simulador!$E$29-Simulador!$E$22))+0.4*SIN(RADIANS(Simulador!$E$29-Simulador!$E$22)))/1.077)</f>
        <v>0</v>
      </c>
    </row>
    <row r="40" spans="1:26" x14ac:dyDescent="0.25">
      <c r="Q40">
        <v>114</v>
      </c>
      <c r="R40">
        <f>'Diagrama de fases'!U18</f>
        <v>1</v>
      </c>
      <c r="X40">
        <f>$AC$10+(0.17)</f>
        <v>1.17</v>
      </c>
      <c r="Y40">
        <f>IF(Simulador!$E$29="",0,(COS(RADIANS(Simulador!$E$29-Simulador!$E$22))+0.4*SIN(RADIANS(Simulador!$E$29-Simulador!$E$22)))/1.077)</f>
        <v>0</v>
      </c>
    </row>
    <row r="41" spans="1:26" x14ac:dyDescent="0.25">
      <c r="Q41">
        <v>114</v>
      </c>
      <c r="R41">
        <f>'Diagrama de fases'!V18</f>
        <v>1</v>
      </c>
      <c r="X41">
        <f>$AC$10+(0.17)</f>
        <v>1.17</v>
      </c>
      <c r="Y41">
        <v>0</v>
      </c>
    </row>
    <row r="42" spans="1:26" x14ac:dyDescent="0.25">
      <c r="Q42">
        <v>120</v>
      </c>
      <c r="R42">
        <f>'Diagrama de fases'!V18</f>
        <v>1</v>
      </c>
    </row>
    <row r="43" spans="1:26" x14ac:dyDescent="0.25">
      <c r="Q43">
        <v>120</v>
      </c>
      <c r="R43">
        <f>'Diagrama de fases'!W18</f>
        <v>1</v>
      </c>
      <c r="X43">
        <f>$AC$11+(-0.17)</f>
        <v>0.83</v>
      </c>
      <c r="Y43">
        <v>0</v>
      </c>
      <c r="Z43" t="str">
        <f>IF(Simulador!$A$30=""," ",9&amp;" ("&amp;TEXT(Simulador!$E$30,"0")&amp;"°)")</f>
        <v xml:space="preserve"> </v>
      </c>
    </row>
    <row r="44" spans="1:26" x14ac:dyDescent="0.25">
      <c r="Q44">
        <v>126</v>
      </c>
      <c r="R44">
        <f>'Diagrama de fases'!W18</f>
        <v>1</v>
      </c>
      <c r="X44">
        <f>$AC$11+(-0.17)</f>
        <v>0.83</v>
      </c>
      <c r="Y44">
        <f>IF(Simulador!$E$30="",0,(COS(RADIANS(Simulador!$E$30-Simulador!$E$22))+0.4*SIN(RADIANS(Simulador!$E$30-Simulador!$E$22)))/1.077)</f>
        <v>0</v>
      </c>
    </row>
    <row r="45" spans="1:26" x14ac:dyDescent="0.25">
      <c r="Q45">
        <v>126</v>
      </c>
      <c r="R45">
        <f>'Diagrama de fases'!X18</f>
        <v>1</v>
      </c>
      <c r="X45">
        <f>$AC$11+(0.17)</f>
        <v>1.17</v>
      </c>
      <c r="Y45">
        <f>IF(Simulador!$E$30="",0,(COS(RADIANS(Simulador!$E$30-Simulador!$E$22))+0.4*SIN(RADIANS(Simulador!$E$30-Simulador!$E$22)))/1.077)</f>
        <v>0</v>
      </c>
    </row>
    <row r="46" spans="1:26" x14ac:dyDescent="0.25">
      <c r="Q46">
        <v>132</v>
      </c>
      <c r="R46">
        <f>'Diagrama de fases'!X18</f>
        <v>1</v>
      </c>
      <c r="X46">
        <f>$AC$11+(0.17)</f>
        <v>1.17</v>
      </c>
      <c r="Y46">
        <v>0</v>
      </c>
    </row>
    <row r="47" spans="1:26" x14ac:dyDescent="0.25">
      <c r="Q47">
        <v>132</v>
      </c>
      <c r="R47">
        <f>'Diagrama de fases'!Y18</f>
        <v>1</v>
      </c>
    </row>
    <row r="48" spans="1:26" x14ac:dyDescent="0.25">
      <c r="Q48">
        <v>138</v>
      </c>
      <c r="R48">
        <f>'Diagrama de fases'!Y18</f>
        <v>1</v>
      </c>
      <c r="X48">
        <f>$AC$12+(-0.17)</f>
        <v>0.83</v>
      </c>
      <c r="Y48">
        <v>0</v>
      </c>
      <c r="Z48" t="str">
        <f>IF(Simulador!$A$31=""," ",10&amp;" ("&amp;TEXT(Simulador!$E$31,"0")&amp;"°)")</f>
        <v xml:space="preserve"> </v>
      </c>
    </row>
    <row r="49" spans="17:26" x14ac:dyDescent="0.25">
      <c r="Q49">
        <v>138</v>
      </c>
      <c r="R49">
        <f>'Diagrama de fases'!Z18</f>
        <v>1</v>
      </c>
      <c r="X49">
        <f>$AC$12+(-0.17)</f>
        <v>0.83</v>
      </c>
      <c r="Y49">
        <f>IF(Simulador!$E$31="",0,(COS(RADIANS(Simulador!$E$31-Simulador!$E$22))+0.4*SIN(RADIANS(Simulador!$E$31-Simulador!$E$22)))/1.077)</f>
        <v>0</v>
      </c>
    </row>
    <row r="50" spans="17:26" x14ac:dyDescent="0.25">
      <c r="Q50">
        <v>144</v>
      </c>
      <c r="R50">
        <f>'Diagrama de fases'!Z18</f>
        <v>1</v>
      </c>
      <c r="X50">
        <f>$AC$12+(0.17)</f>
        <v>1.17</v>
      </c>
      <c r="Y50">
        <f>IF(Simulador!$E$31="",0,(COS(RADIANS(Simulador!$E$31-Simulador!$E$22))+0.4*SIN(RADIANS(Simulador!$E$31-Simulador!$E$22)))/1.077)</f>
        <v>0</v>
      </c>
    </row>
    <row r="51" spans="17:26" x14ac:dyDescent="0.25">
      <c r="Q51">
        <v>144</v>
      </c>
      <c r="R51">
        <f>'Diagrama de fases'!AA18</f>
        <v>1</v>
      </c>
      <c r="X51">
        <f>$AC$12+(0.17)</f>
        <v>1.17</v>
      </c>
      <c r="Y51">
        <v>0</v>
      </c>
    </row>
    <row r="52" spans="17:26" x14ac:dyDescent="0.25">
      <c r="Q52">
        <v>150</v>
      </c>
      <c r="R52">
        <f>'Diagrama de fases'!AA18</f>
        <v>1</v>
      </c>
    </row>
    <row r="53" spans="17:26" x14ac:dyDescent="0.25">
      <c r="Q53">
        <v>150</v>
      </c>
      <c r="R53">
        <f>'Diagrama de fases'!AB18</f>
        <v>1</v>
      </c>
      <c r="X53">
        <f>$AC$13+(-0.17)</f>
        <v>0.83</v>
      </c>
      <c r="Y53">
        <v>0</v>
      </c>
      <c r="Z53" t="str">
        <f>IF(Simulador!$A$32=""," ",11&amp;" ("&amp;TEXT(Simulador!$E$32,"0")&amp;"°)")</f>
        <v xml:space="preserve"> </v>
      </c>
    </row>
    <row r="54" spans="17:26" x14ac:dyDescent="0.25">
      <c r="Q54">
        <v>156</v>
      </c>
      <c r="R54">
        <f>'Diagrama de fases'!AB18</f>
        <v>1</v>
      </c>
      <c r="X54">
        <f>$AC$13+(-0.17)</f>
        <v>0.83</v>
      </c>
      <c r="Y54">
        <f>IF(Simulador!$E$32="",0,(COS(RADIANS(Simulador!$E$32-Simulador!$E$22))+0.4*SIN(RADIANS(Simulador!$E$32-Simulador!$E$22)))/1.077)</f>
        <v>0</v>
      </c>
    </row>
    <row r="55" spans="17:26" x14ac:dyDescent="0.25">
      <c r="Q55">
        <v>156</v>
      </c>
      <c r="R55">
        <f>'Diagrama de fases'!AC18</f>
        <v>1</v>
      </c>
      <c r="X55">
        <f>$AC$13+(0.17)</f>
        <v>1.17</v>
      </c>
      <c r="Y55">
        <f>IF(Simulador!$E$32="",0,(COS(RADIANS(Simulador!$E$32-Simulador!$E$22))+0.4*SIN(RADIANS(Simulador!$E$32-Simulador!$E$22)))/1.077)</f>
        <v>0</v>
      </c>
    </row>
    <row r="56" spans="17:26" x14ac:dyDescent="0.25">
      <c r="Q56">
        <v>162</v>
      </c>
      <c r="R56">
        <f>'Diagrama de fases'!AC18</f>
        <v>1</v>
      </c>
      <c r="X56">
        <f>$AC$13+(0.17)</f>
        <v>1.17</v>
      </c>
      <c r="Y56">
        <v>0</v>
      </c>
    </row>
    <row r="57" spans="17:26" x14ac:dyDescent="0.25">
      <c r="Q57">
        <v>162</v>
      </c>
      <c r="R57">
        <f>'Diagrama de fases'!AD18</f>
        <v>1</v>
      </c>
    </row>
    <row r="58" spans="17:26" x14ac:dyDescent="0.25">
      <c r="Q58">
        <v>168</v>
      </c>
      <c r="R58">
        <f>'Diagrama de fases'!AD18</f>
        <v>1</v>
      </c>
      <c r="X58">
        <f>$AC$14+(-0.17)</f>
        <v>0.83</v>
      </c>
      <c r="Y58">
        <v>0</v>
      </c>
      <c r="Z58" t="str">
        <f>IF(Simulador!$A$33=""," ",12&amp;" ("&amp;TEXT(Simulador!$E$33,"0")&amp;"°)")</f>
        <v xml:space="preserve"> </v>
      </c>
    </row>
    <row r="59" spans="17:26" x14ac:dyDescent="0.25">
      <c r="Q59">
        <v>168</v>
      </c>
      <c r="R59">
        <f>'Diagrama de fases'!AE18</f>
        <v>1</v>
      </c>
      <c r="X59">
        <f>$AC$14+(-0.17)</f>
        <v>0.83</v>
      </c>
      <c r="Y59">
        <f>IF(Simulador!$E$33="",0,(COS(RADIANS(Simulador!$E$33-Simulador!$E$22))+0.4*SIN(RADIANS(Simulador!$E$33-Simulador!$E$22)))/1.077)</f>
        <v>0</v>
      </c>
    </row>
    <row r="60" spans="17:26" x14ac:dyDescent="0.25">
      <c r="Q60">
        <v>174</v>
      </c>
      <c r="R60">
        <f>'Diagrama de fases'!AE18</f>
        <v>1</v>
      </c>
      <c r="X60">
        <f>$AC$14+(0.17)</f>
        <v>1.17</v>
      </c>
      <c r="Y60">
        <f>IF(Simulador!$E$33="",0,(COS(RADIANS(Simulador!$E$33-Simulador!$E$22))+0.4*SIN(RADIANS(Simulador!$E$33-Simulador!$E$22)))/1.077)</f>
        <v>0</v>
      </c>
    </row>
    <row r="61" spans="17:26" x14ac:dyDescent="0.25">
      <c r="Q61">
        <v>174</v>
      </c>
      <c r="R61">
        <f>'Diagrama de fases'!AF18</f>
        <v>1</v>
      </c>
      <c r="X61">
        <f>$AC$14+(0.17)</f>
        <v>1.17</v>
      </c>
      <c r="Y61">
        <v>0</v>
      </c>
    </row>
    <row r="62" spans="17:26" x14ac:dyDescent="0.25">
      <c r="Q62">
        <v>180</v>
      </c>
      <c r="R62">
        <f>'Diagrama de fases'!AF18</f>
        <v>1</v>
      </c>
    </row>
    <row r="63" spans="17:26" x14ac:dyDescent="0.25">
      <c r="Q63">
        <v>180</v>
      </c>
      <c r="R63">
        <f>'Diagrama de fases'!AG18</f>
        <v>1</v>
      </c>
    </row>
    <row r="64" spans="17:26" x14ac:dyDescent="0.25">
      <c r="Q64">
        <v>186</v>
      </c>
      <c r="R64">
        <f>'Diagrama de fases'!AG18</f>
        <v>1</v>
      </c>
    </row>
    <row r="65" spans="17:18" x14ac:dyDescent="0.25">
      <c r="Q65">
        <v>186</v>
      </c>
      <c r="R65">
        <f>'Diagrama de fases'!AH18</f>
        <v>1</v>
      </c>
    </row>
    <row r="66" spans="17:18" x14ac:dyDescent="0.25">
      <c r="Q66">
        <v>192</v>
      </c>
      <c r="R66">
        <f>'Diagrama de fases'!AH18</f>
        <v>1</v>
      </c>
    </row>
    <row r="67" spans="17:18" x14ac:dyDescent="0.25">
      <c r="Q67">
        <v>192</v>
      </c>
      <c r="R67">
        <f>'Diagrama de fases'!AI18</f>
        <v>1</v>
      </c>
    </row>
    <row r="68" spans="17:18" x14ac:dyDescent="0.25">
      <c r="Q68">
        <v>198</v>
      </c>
      <c r="R68">
        <f>'Diagrama de fases'!AI18</f>
        <v>1</v>
      </c>
    </row>
    <row r="69" spans="17:18" x14ac:dyDescent="0.25">
      <c r="Q69">
        <v>198</v>
      </c>
      <c r="R69">
        <f>'Diagrama de fases'!AJ18</f>
        <v>1</v>
      </c>
    </row>
    <row r="70" spans="17:18" x14ac:dyDescent="0.25">
      <c r="Q70">
        <v>204</v>
      </c>
      <c r="R70">
        <f>'Diagrama de fases'!AJ18</f>
        <v>1</v>
      </c>
    </row>
    <row r="71" spans="17:18" x14ac:dyDescent="0.25">
      <c r="Q71">
        <v>204</v>
      </c>
      <c r="R71">
        <f>'Diagrama de fases'!AK18</f>
        <v>1</v>
      </c>
    </row>
    <row r="72" spans="17:18" x14ac:dyDescent="0.25">
      <c r="Q72">
        <v>210</v>
      </c>
      <c r="R72">
        <f>'Diagrama de fases'!AK18</f>
        <v>1</v>
      </c>
    </row>
    <row r="73" spans="17:18" x14ac:dyDescent="0.25">
      <c r="Q73">
        <v>210</v>
      </c>
      <c r="R73">
        <f>'Diagrama de fases'!AL18</f>
        <v>1</v>
      </c>
    </row>
    <row r="74" spans="17:18" x14ac:dyDescent="0.25">
      <c r="Q74">
        <v>216</v>
      </c>
      <c r="R74">
        <f>'Diagrama de fases'!AL18</f>
        <v>1</v>
      </c>
    </row>
    <row r="75" spans="17:18" x14ac:dyDescent="0.25">
      <c r="Q75">
        <v>216</v>
      </c>
      <c r="R75">
        <f>'Diagrama de fases'!AM18</f>
        <v>1</v>
      </c>
    </row>
    <row r="76" spans="17:18" x14ac:dyDescent="0.25">
      <c r="Q76">
        <v>222</v>
      </c>
      <c r="R76">
        <f>'Diagrama de fases'!AM18</f>
        <v>1</v>
      </c>
    </row>
    <row r="77" spans="17:18" x14ac:dyDescent="0.25">
      <c r="Q77">
        <v>222</v>
      </c>
      <c r="R77">
        <f>'Diagrama de fases'!AN18</f>
        <v>1</v>
      </c>
    </row>
    <row r="78" spans="17:18" x14ac:dyDescent="0.25">
      <c r="Q78">
        <v>228</v>
      </c>
      <c r="R78">
        <f>'Diagrama de fases'!AN18</f>
        <v>1</v>
      </c>
    </row>
    <row r="79" spans="17:18" x14ac:dyDescent="0.25">
      <c r="Q79">
        <v>228</v>
      </c>
      <c r="R79">
        <f>'Diagrama de fases'!AO18</f>
        <v>1</v>
      </c>
    </row>
    <row r="80" spans="17:18" x14ac:dyDescent="0.25">
      <c r="Q80">
        <v>234</v>
      </c>
      <c r="R80">
        <f>'Diagrama de fases'!AO18</f>
        <v>1</v>
      </c>
    </row>
    <row r="81" spans="17:18" x14ac:dyDescent="0.25">
      <c r="Q81">
        <v>234</v>
      </c>
      <c r="R81">
        <f>'Diagrama de fases'!AP18</f>
        <v>1</v>
      </c>
    </row>
    <row r="82" spans="17:18" x14ac:dyDescent="0.25">
      <c r="Q82">
        <v>240</v>
      </c>
      <c r="R82">
        <f>'Diagrama de fases'!AP18</f>
        <v>1</v>
      </c>
    </row>
    <row r="83" spans="17:18" x14ac:dyDescent="0.25">
      <c r="Q83">
        <v>240</v>
      </c>
      <c r="R83">
        <f>'Diagrama de fases'!AQ18</f>
        <v>1</v>
      </c>
    </row>
    <row r="84" spans="17:18" x14ac:dyDescent="0.25">
      <c r="Q84">
        <v>246</v>
      </c>
      <c r="R84">
        <f>'Diagrama de fases'!AQ18</f>
        <v>1</v>
      </c>
    </row>
    <row r="85" spans="17:18" x14ac:dyDescent="0.25">
      <c r="Q85">
        <v>246</v>
      </c>
      <c r="R85">
        <f>'Diagrama de fases'!AR18</f>
        <v>1</v>
      </c>
    </row>
    <row r="86" spans="17:18" x14ac:dyDescent="0.25">
      <c r="Q86">
        <v>252</v>
      </c>
      <c r="R86">
        <f>'Diagrama de fases'!AR18</f>
        <v>1</v>
      </c>
    </row>
    <row r="87" spans="17:18" x14ac:dyDescent="0.25">
      <c r="Q87">
        <v>252</v>
      </c>
      <c r="R87">
        <f>'Diagrama de fases'!AS18</f>
        <v>1</v>
      </c>
    </row>
    <row r="88" spans="17:18" x14ac:dyDescent="0.25">
      <c r="Q88">
        <v>258</v>
      </c>
      <c r="R88">
        <f>'Diagrama de fases'!AS18</f>
        <v>1</v>
      </c>
    </row>
    <row r="89" spans="17:18" x14ac:dyDescent="0.25">
      <c r="Q89">
        <v>258</v>
      </c>
      <c r="R89">
        <f>'Diagrama de fases'!AT18</f>
        <v>1</v>
      </c>
    </row>
    <row r="90" spans="17:18" x14ac:dyDescent="0.25">
      <c r="Q90">
        <v>264</v>
      </c>
      <c r="R90">
        <f>'Diagrama de fases'!AT18</f>
        <v>1</v>
      </c>
    </row>
    <row r="91" spans="17:18" x14ac:dyDescent="0.25">
      <c r="Q91">
        <v>264</v>
      </c>
      <c r="R91">
        <f>'Diagrama de fases'!AU18</f>
        <v>1</v>
      </c>
    </row>
    <row r="92" spans="17:18" x14ac:dyDescent="0.25">
      <c r="Q92">
        <v>270</v>
      </c>
      <c r="R92">
        <f>'Diagrama de fases'!AU18</f>
        <v>1</v>
      </c>
    </row>
    <row r="93" spans="17:18" x14ac:dyDescent="0.25">
      <c r="Q93">
        <v>270</v>
      </c>
      <c r="R93">
        <f>'Diagrama de fases'!AV18</f>
        <v>1</v>
      </c>
    </row>
    <row r="94" spans="17:18" x14ac:dyDescent="0.25">
      <c r="Q94">
        <v>276</v>
      </c>
      <c r="R94">
        <f>'Diagrama de fases'!AV18</f>
        <v>1</v>
      </c>
    </row>
    <row r="95" spans="17:18" x14ac:dyDescent="0.25">
      <c r="Q95">
        <v>276</v>
      </c>
      <c r="R95">
        <f>'Diagrama de fases'!AW18</f>
        <v>1</v>
      </c>
    </row>
    <row r="96" spans="17:18" x14ac:dyDescent="0.25">
      <c r="Q96">
        <v>282</v>
      </c>
      <c r="R96">
        <f>'Diagrama de fases'!AW18</f>
        <v>1</v>
      </c>
    </row>
    <row r="97" spans="17:18" x14ac:dyDescent="0.25">
      <c r="Q97">
        <v>282</v>
      </c>
      <c r="R97">
        <f>'Diagrama de fases'!AX18</f>
        <v>1</v>
      </c>
    </row>
    <row r="98" spans="17:18" x14ac:dyDescent="0.25">
      <c r="Q98">
        <v>288</v>
      </c>
      <c r="R98">
        <f>'Diagrama de fases'!AX18</f>
        <v>1</v>
      </c>
    </row>
    <row r="99" spans="17:18" x14ac:dyDescent="0.25">
      <c r="Q99">
        <v>288</v>
      </c>
      <c r="R99">
        <f>'Diagrama de fases'!AY18</f>
        <v>1</v>
      </c>
    </row>
    <row r="100" spans="17:18" x14ac:dyDescent="0.25">
      <c r="Q100">
        <v>294</v>
      </c>
      <c r="R100">
        <f>'Diagrama de fases'!AY18</f>
        <v>1</v>
      </c>
    </row>
    <row r="101" spans="17:18" x14ac:dyDescent="0.25">
      <c r="Q101">
        <v>294</v>
      </c>
      <c r="R101">
        <f>'Diagrama de fases'!AZ18</f>
        <v>1</v>
      </c>
    </row>
    <row r="102" spans="17:18" x14ac:dyDescent="0.25">
      <c r="Q102">
        <v>300</v>
      </c>
      <c r="R102">
        <f>'Diagrama de fases'!AZ18</f>
        <v>1</v>
      </c>
    </row>
    <row r="103" spans="17:18" x14ac:dyDescent="0.25">
      <c r="Q103">
        <v>300</v>
      </c>
      <c r="R103">
        <f>'Diagrama de fases'!BA18</f>
        <v>1</v>
      </c>
    </row>
    <row r="104" spans="17:18" x14ac:dyDescent="0.25">
      <c r="Q104">
        <v>306</v>
      </c>
      <c r="R104">
        <f>'Diagrama de fases'!BA18</f>
        <v>1</v>
      </c>
    </row>
    <row r="105" spans="17:18" x14ac:dyDescent="0.25">
      <c r="Q105">
        <v>306</v>
      </c>
      <c r="R105">
        <f>'Diagrama de fases'!BB18</f>
        <v>1</v>
      </c>
    </row>
    <row r="106" spans="17:18" x14ac:dyDescent="0.25">
      <c r="Q106">
        <v>312</v>
      </c>
      <c r="R106">
        <f>'Diagrama de fases'!BB18</f>
        <v>1</v>
      </c>
    </row>
    <row r="107" spans="17:18" x14ac:dyDescent="0.25">
      <c r="Q107">
        <v>312</v>
      </c>
      <c r="R107">
        <f>'Diagrama de fases'!BC18</f>
        <v>1</v>
      </c>
    </row>
    <row r="108" spans="17:18" x14ac:dyDescent="0.25">
      <c r="Q108">
        <v>318</v>
      </c>
      <c r="R108">
        <f>'Diagrama de fases'!BC18</f>
        <v>1</v>
      </c>
    </row>
    <row r="109" spans="17:18" x14ac:dyDescent="0.25">
      <c r="Q109">
        <v>318</v>
      </c>
      <c r="R109">
        <f>'Diagrama de fases'!BD18</f>
        <v>1</v>
      </c>
    </row>
    <row r="110" spans="17:18" x14ac:dyDescent="0.25">
      <c r="Q110">
        <v>324</v>
      </c>
      <c r="R110">
        <f>'Diagrama de fases'!BD18</f>
        <v>1</v>
      </c>
    </row>
    <row r="111" spans="17:18" x14ac:dyDescent="0.25">
      <c r="Q111">
        <v>324</v>
      </c>
      <c r="R111">
        <f>'Diagrama de fases'!BE18</f>
        <v>1</v>
      </c>
    </row>
    <row r="112" spans="17:18" x14ac:dyDescent="0.25">
      <c r="Q112">
        <v>330</v>
      </c>
      <c r="R112">
        <f>'Diagrama de fases'!BE18</f>
        <v>1</v>
      </c>
    </row>
    <row r="113" spans="17:18" x14ac:dyDescent="0.25">
      <c r="Q113">
        <v>330</v>
      </c>
      <c r="R113">
        <f>'Diagrama de fases'!BF18</f>
        <v>1</v>
      </c>
    </row>
    <row r="114" spans="17:18" x14ac:dyDescent="0.25">
      <c r="Q114">
        <v>336</v>
      </c>
      <c r="R114">
        <f>'Diagrama de fases'!BF18</f>
        <v>1</v>
      </c>
    </row>
    <row r="115" spans="17:18" x14ac:dyDescent="0.25">
      <c r="Q115">
        <v>336</v>
      </c>
      <c r="R115">
        <f>'Diagrama de fases'!BG18</f>
        <v>1</v>
      </c>
    </row>
    <row r="116" spans="17:18" x14ac:dyDescent="0.25">
      <c r="Q116">
        <v>342</v>
      </c>
      <c r="R116">
        <f>'Diagrama de fases'!BG18</f>
        <v>1</v>
      </c>
    </row>
    <row r="117" spans="17:18" x14ac:dyDescent="0.25">
      <c r="Q117">
        <v>342</v>
      </c>
      <c r="R117">
        <f>'Diagrama de fases'!BH18</f>
        <v>1</v>
      </c>
    </row>
    <row r="118" spans="17:18" x14ac:dyDescent="0.25">
      <c r="Q118">
        <v>348</v>
      </c>
      <c r="R118">
        <f>'Diagrama de fases'!BH18</f>
        <v>1</v>
      </c>
    </row>
    <row r="119" spans="17:18" x14ac:dyDescent="0.25">
      <c r="Q119">
        <v>348</v>
      </c>
      <c r="R119">
        <f>'Diagrama de fases'!BI18</f>
        <v>1</v>
      </c>
    </row>
    <row r="120" spans="17:18" x14ac:dyDescent="0.25">
      <c r="Q120">
        <v>354</v>
      </c>
      <c r="R120">
        <f>'Diagrama de fases'!BI18</f>
        <v>1</v>
      </c>
    </row>
    <row r="121" spans="17:18" x14ac:dyDescent="0.25">
      <c r="Q121">
        <v>354</v>
      </c>
      <c r="R121">
        <f>'Diagrama de fases'!BJ18</f>
        <v>1</v>
      </c>
    </row>
    <row r="122" spans="17:18" x14ac:dyDescent="0.25">
      <c r="Q122">
        <v>360</v>
      </c>
      <c r="R122">
        <f>'Diagrama de fases'!BJ18</f>
        <v>1</v>
      </c>
    </row>
    <row r="123" spans="17:18" x14ac:dyDescent="0.25">
      <c r="Q123">
        <v>360</v>
      </c>
      <c r="R123">
        <f>'Diagrama de fases'!BK18</f>
        <v>1</v>
      </c>
    </row>
    <row r="124" spans="17:18" x14ac:dyDescent="0.25">
      <c r="Q124">
        <v>366</v>
      </c>
      <c r="R124">
        <f>'Diagrama de fases'!BK18</f>
        <v>1</v>
      </c>
    </row>
    <row r="125" spans="17:18" x14ac:dyDescent="0.25">
      <c r="Q125">
        <v>366</v>
      </c>
      <c r="R125">
        <f>'Diagrama de fases'!BL18</f>
        <v>1</v>
      </c>
    </row>
    <row r="126" spans="17:18" x14ac:dyDescent="0.25">
      <c r="Q126">
        <v>372</v>
      </c>
      <c r="R126">
        <f>'Diagrama de fases'!BL18</f>
        <v>1</v>
      </c>
    </row>
    <row r="127" spans="17:18" x14ac:dyDescent="0.25">
      <c r="Q127">
        <v>372</v>
      </c>
      <c r="R127">
        <f>'Diagrama de fases'!BM18</f>
        <v>1</v>
      </c>
    </row>
    <row r="128" spans="17:18" x14ac:dyDescent="0.25">
      <c r="Q128">
        <v>378</v>
      </c>
      <c r="R128">
        <f>'Diagrama de fases'!BM18</f>
        <v>1</v>
      </c>
    </row>
    <row r="129" spans="17:18" x14ac:dyDescent="0.25">
      <c r="Q129">
        <v>378</v>
      </c>
      <c r="R129">
        <f>'Diagrama de fases'!BN18</f>
        <v>1</v>
      </c>
    </row>
    <row r="130" spans="17:18" x14ac:dyDescent="0.25">
      <c r="Q130">
        <v>384</v>
      </c>
      <c r="R130">
        <f>'Diagrama de fases'!BN18</f>
        <v>1</v>
      </c>
    </row>
    <row r="131" spans="17:18" x14ac:dyDescent="0.25">
      <c r="Q131">
        <v>384</v>
      </c>
      <c r="R131">
        <f>'Diagrama de fases'!BO18</f>
        <v>1</v>
      </c>
    </row>
    <row r="132" spans="17:18" x14ac:dyDescent="0.25">
      <c r="Q132">
        <v>390</v>
      </c>
      <c r="R132">
        <f>'Diagrama de fases'!BO18</f>
        <v>1</v>
      </c>
    </row>
    <row r="133" spans="17:18" x14ac:dyDescent="0.25">
      <c r="Q133">
        <v>390</v>
      </c>
      <c r="R133">
        <f>'Diagrama de fases'!BP18</f>
        <v>1</v>
      </c>
    </row>
    <row r="134" spans="17:18" x14ac:dyDescent="0.25">
      <c r="Q134">
        <v>396</v>
      </c>
      <c r="R134">
        <f>'Diagrama de fases'!BP18</f>
        <v>1</v>
      </c>
    </row>
    <row r="135" spans="17:18" x14ac:dyDescent="0.25">
      <c r="Q135">
        <v>396</v>
      </c>
      <c r="R135">
        <f>'Diagrama de fases'!BQ18</f>
        <v>1</v>
      </c>
    </row>
    <row r="136" spans="17:18" x14ac:dyDescent="0.25">
      <c r="Q136">
        <v>402</v>
      </c>
      <c r="R136">
        <f>'Diagrama de fases'!BQ18</f>
        <v>1</v>
      </c>
    </row>
    <row r="137" spans="17:18" x14ac:dyDescent="0.25">
      <c r="Q137">
        <v>402</v>
      </c>
      <c r="R137">
        <f>'Diagrama de fases'!BR18</f>
        <v>1</v>
      </c>
    </row>
    <row r="138" spans="17:18" x14ac:dyDescent="0.25">
      <c r="Q138">
        <v>408</v>
      </c>
      <c r="R138">
        <f>'Diagrama de fases'!BR18</f>
        <v>1</v>
      </c>
    </row>
    <row r="139" spans="17:18" x14ac:dyDescent="0.25">
      <c r="Q139">
        <v>408</v>
      </c>
      <c r="R139">
        <f>'Diagrama de fases'!BS18</f>
        <v>1</v>
      </c>
    </row>
    <row r="140" spans="17:18" x14ac:dyDescent="0.25">
      <c r="Q140">
        <v>414</v>
      </c>
      <c r="R140">
        <f>'Diagrama de fases'!BS18</f>
        <v>1</v>
      </c>
    </row>
    <row r="141" spans="17:18" x14ac:dyDescent="0.25">
      <c r="Q141">
        <v>414</v>
      </c>
      <c r="R141">
        <f>'Diagrama de fases'!BT18</f>
        <v>1</v>
      </c>
    </row>
    <row r="142" spans="17:18" x14ac:dyDescent="0.25">
      <c r="Q142">
        <v>420</v>
      </c>
      <c r="R142">
        <f>'Diagrama de fases'!BT18</f>
        <v>1</v>
      </c>
    </row>
    <row r="143" spans="17:18" x14ac:dyDescent="0.25">
      <c r="Q143">
        <v>420</v>
      </c>
      <c r="R143">
        <f>'Diagrama de fases'!BU18</f>
        <v>1</v>
      </c>
    </row>
    <row r="144" spans="17:18" x14ac:dyDescent="0.25">
      <c r="Q144">
        <v>426</v>
      </c>
      <c r="R144">
        <f>'Diagrama de fases'!BU18</f>
        <v>1</v>
      </c>
    </row>
    <row r="145" spans="17:18" x14ac:dyDescent="0.25">
      <c r="Q145">
        <v>426</v>
      </c>
      <c r="R145">
        <f>'Diagrama de fases'!BV18</f>
        <v>1</v>
      </c>
    </row>
    <row r="146" spans="17:18" x14ac:dyDescent="0.25">
      <c r="Q146">
        <v>432</v>
      </c>
      <c r="R146">
        <f>'Diagrama de fases'!BV18</f>
        <v>1</v>
      </c>
    </row>
    <row r="147" spans="17:18" x14ac:dyDescent="0.25">
      <c r="Q147">
        <v>432</v>
      </c>
      <c r="R147">
        <f>'Diagrama de fases'!BW18</f>
        <v>1</v>
      </c>
    </row>
    <row r="148" spans="17:18" x14ac:dyDescent="0.25">
      <c r="Q148">
        <v>438</v>
      </c>
      <c r="R148">
        <f>'Diagrama de fases'!BW18</f>
        <v>1</v>
      </c>
    </row>
    <row r="149" spans="17:18" x14ac:dyDescent="0.25">
      <c r="Q149">
        <v>438</v>
      </c>
      <c r="R149">
        <f>'Diagrama de fases'!BX18</f>
        <v>1</v>
      </c>
    </row>
    <row r="150" spans="17:18" x14ac:dyDescent="0.25">
      <c r="Q150">
        <v>444</v>
      </c>
      <c r="R150">
        <f>'Diagrama de fases'!BX18</f>
        <v>1</v>
      </c>
    </row>
    <row r="151" spans="17:18" x14ac:dyDescent="0.25">
      <c r="Q151">
        <v>444</v>
      </c>
      <c r="R151">
        <f>'Diagrama de fases'!BY18</f>
        <v>1</v>
      </c>
    </row>
    <row r="152" spans="17:18" x14ac:dyDescent="0.25">
      <c r="Q152">
        <v>450</v>
      </c>
      <c r="R152">
        <f>'Diagrama de fases'!BY18</f>
        <v>1</v>
      </c>
    </row>
    <row r="153" spans="17:18" x14ac:dyDescent="0.25">
      <c r="Q153">
        <v>450</v>
      </c>
      <c r="R153">
        <f>'Diagrama de fases'!BZ18</f>
        <v>1</v>
      </c>
    </row>
    <row r="154" spans="17:18" x14ac:dyDescent="0.25">
      <c r="Q154">
        <v>456</v>
      </c>
      <c r="R154">
        <f>'Diagrama de fases'!BZ18</f>
        <v>1</v>
      </c>
    </row>
    <row r="155" spans="17:18" x14ac:dyDescent="0.25">
      <c r="Q155">
        <v>456</v>
      </c>
      <c r="R155">
        <f>'Diagrama de fases'!CA18</f>
        <v>1</v>
      </c>
    </row>
    <row r="156" spans="17:18" x14ac:dyDescent="0.25">
      <c r="Q156">
        <v>462</v>
      </c>
      <c r="R156">
        <f>'Diagrama de fases'!CA18</f>
        <v>1</v>
      </c>
    </row>
    <row r="157" spans="17:18" x14ac:dyDescent="0.25">
      <c r="Q157">
        <v>462</v>
      </c>
      <c r="R157">
        <f>'Diagrama de fases'!CB18</f>
        <v>1</v>
      </c>
    </row>
    <row r="158" spans="17:18" x14ac:dyDescent="0.25">
      <c r="Q158">
        <v>468</v>
      </c>
      <c r="R158">
        <f>'Diagrama de fases'!CB18</f>
        <v>1</v>
      </c>
    </row>
    <row r="159" spans="17:18" x14ac:dyDescent="0.25">
      <c r="Q159">
        <v>468</v>
      </c>
      <c r="R159">
        <f>'Diagrama de fases'!CC18</f>
        <v>1</v>
      </c>
    </row>
    <row r="160" spans="17:18" x14ac:dyDescent="0.25">
      <c r="Q160">
        <v>474</v>
      </c>
      <c r="R160">
        <f>'Diagrama de fases'!CC18</f>
        <v>1</v>
      </c>
    </row>
    <row r="161" spans="17:18" x14ac:dyDescent="0.25">
      <c r="Q161">
        <v>474</v>
      </c>
      <c r="R161">
        <f>'Diagrama de fases'!CD18</f>
        <v>1</v>
      </c>
    </row>
    <row r="162" spans="17:18" x14ac:dyDescent="0.25">
      <c r="Q162">
        <v>480</v>
      </c>
      <c r="R162">
        <f>'Diagrama de fases'!CD18</f>
        <v>1</v>
      </c>
    </row>
    <row r="163" spans="17:18" x14ac:dyDescent="0.25">
      <c r="Q163">
        <v>480</v>
      </c>
      <c r="R163">
        <f>'Diagrama de fases'!CE18</f>
        <v>1</v>
      </c>
    </row>
    <row r="164" spans="17:18" x14ac:dyDescent="0.25">
      <c r="Q164">
        <v>486</v>
      </c>
      <c r="R164">
        <f>'Diagrama de fases'!CE18</f>
        <v>1</v>
      </c>
    </row>
    <row r="165" spans="17:18" x14ac:dyDescent="0.25">
      <c r="Q165">
        <v>486</v>
      </c>
      <c r="R165">
        <f>'Diagrama de fases'!CF18</f>
        <v>1</v>
      </c>
    </row>
    <row r="166" spans="17:18" x14ac:dyDescent="0.25">
      <c r="Q166">
        <v>492</v>
      </c>
      <c r="R166">
        <f>'Diagrama de fases'!CF18</f>
        <v>1</v>
      </c>
    </row>
    <row r="167" spans="17:18" x14ac:dyDescent="0.25">
      <c r="Q167">
        <v>492</v>
      </c>
      <c r="R167">
        <f>'Diagrama de fases'!CG18</f>
        <v>1</v>
      </c>
    </row>
    <row r="168" spans="17:18" x14ac:dyDescent="0.25">
      <c r="Q168">
        <v>498</v>
      </c>
      <c r="R168">
        <f>'Diagrama de fases'!CG18</f>
        <v>1</v>
      </c>
    </row>
    <row r="169" spans="17:18" x14ac:dyDescent="0.25">
      <c r="Q169">
        <v>498</v>
      </c>
      <c r="R169">
        <f>'Diagrama de fases'!CH18</f>
        <v>1</v>
      </c>
    </row>
    <row r="170" spans="17:18" x14ac:dyDescent="0.25">
      <c r="Q170">
        <v>504</v>
      </c>
      <c r="R170">
        <f>'Diagrama de fases'!CH18</f>
        <v>1</v>
      </c>
    </row>
    <row r="171" spans="17:18" x14ac:dyDescent="0.25">
      <c r="Q171">
        <v>504</v>
      </c>
      <c r="R171">
        <f>'Diagrama de fases'!CI18</f>
        <v>1</v>
      </c>
    </row>
    <row r="172" spans="17:18" x14ac:dyDescent="0.25">
      <c r="Q172">
        <v>510</v>
      </c>
      <c r="R172">
        <f>'Diagrama de fases'!CI18</f>
        <v>1</v>
      </c>
    </row>
    <row r="173" spans="17:18" x14ac:dyDescent="0.25">
      <c r="Q173">
        <v>510</v>
      </c>
      <c r="R173">
        <f>'Diagrama de fases'!CJ18</f>
        <v>1</v>
      </c>
    </row>
    <row r="174" spans="17:18" x14ac:dyDescent="0.25">
      <c r="Q174">
        <v>516</v>
      </c>
      <c r="R174">
        <f>'Diagrama de fases'!CJ18</f>
        <v>1</v>
      </c>
    </row>
    <row r="175" spans="17:18" x14ac:dyDescent="0.25">
      <c r="Q175">
        <v>516</v>
      </c>
      <c r="R175">
        <f>'Diagrama de fases'!CK18</f>
        <v>1</v>
      </c>
    </row>
    <row r="176" spans="17:18" x14ac:dyDescent="0.25">
      <c r="Q176">
        <v>522</v>
      </c>
      <c r="R176">
        <f>'Diagrama de fases'!CK18</f>
        <v>1</v>
      </c>
    </row>
    <row r="177" spans="17:18" x14ac:dyDescent="0.25">
      <c r="Q177">
        <v>522</v>
      </c>
      <c r="R177">
        <f>'Diagrama de fases'!CL18</f>
        <v>1</v>
      </c>
    </row>
    <row r="178" spans="17:18" x14ac:dyDescent="0.25">
      <c r="Q178">
        <v>528</v>
      </c>
      <c r="R178">
        <f>'Diagrama de fases'!CL18</f>
        <v>1</v>
      </c>
    </row>
    <row r="179" spans="17:18" x14ac:dyDescent="0.25">
      <c r="Q179">
        <v>528</v>
      </c>
      <c r="R179">
        <f>'Diagrama de fases'!CM18</f>
        <v>1</v>
      </c>
    </row>
    <row r="180" spans="17:18" x14ac:dyDescent="0.25">
      <c r="Q180">
        <v>534</v>
      </c>
      <c r="R180">
        <f>'Diagrama de fases'!CM18</f>
        <v>1</v>
      </c>
    </row>
    <row r="181" spans="17:18" x14ac:dyDescent="0.25">
      <c r="Q181">
        <v>534</v>
      </c>
      <c r="R181">
        <f>'Diagrama de fases'!CN18</f>
        <v>1</v>
      </c>
    </row>
    <row r="182" spans="17:18" x14ac:dyDescent="0.25">
      <c r="Q182">
        <v>540</v>
      </c>
      <c r="R182">
        <f>'Diagrama de fases'!CN18</f>
        <v>1</v>
      </c>
    </row>
    <row r="183" spans="17:18" x14ac:dyDescent="0.25">
      <c r="Q183">
        <v>540</v>
      </c>
      <c r="R183">
        <f>'Diagrama de fases'!CO18</f>
        <v>1</v>
      </c>
    </row>
    <row r="184" spans="17:18" x14ac:dyDescent="0.25">
      <c r="Q184">
        <v>546</v>
      </c>
      <c r="R184">
        <f>'Diagrama de fases'!CO18</f>
        <v>1</v>
      </c>
    </row>
    <row r="185" spans="17:18" x14ac:dyDescent="0.25">
      <c r="Q185">
        <v>546</v>
      </c>
      <c r="R185">
        <f>'Diagrama de fases'!CP18</f>
        <v>1</v>
      </c>
    </row>
    <row r="186" spans="17:18" x14ac:dyDescent="0.25">
      <c r="Q186">
        <v>552</v>
      </c>
      <c r="R186">
        <f>'Diagrama de fases'!CP18</f>
        <v>1</v>
      </c>
    </row>
    <row r="187" spans="17:18" x14ac:dyDescent="0.25">
      <c r="Q187">
        <v>552</v>
      </c>
      <c r="R187">
        <f>'Diagrama de fases'!CQ18</f>
        <v>1</v>
      </c>
    </row>
    <row r="188" spans="17:18" x14ac:dyDescent="0.25">
      <c r="Q188">
        <v>558</v>
      </c>
      <c r="R188">
        <f>'Diagrama de fases'!CQ18</f>
        <v>1</v>
      </c>
    </row>
    <row r="189" spans="17:18" x14ac:dyDescent="0.25">
      <c r="Q189">
        <v>558</v>
      </c>
      <c r="R189">
        <f>'Diagrama de fases'!CR18</f>
        <v>1</v>
      </c>
    </row>
    <row r="190" spans="17:18" x14ac:dyDescent="0.25">
      <c r="Q190">
        <v>564</v>
      </c>
      <c r="R190">
        <f>'Diagrama de fases'!CR18</f>
        <v>1</v>
      </c>
    </row>
    <row r="191" spans="17:18" x14ac:dyDescent="0.25">
      <c r="Q191">
        <v>564</v>
      </c>
      <c r="R191">
        <f>'Diagrama de fases'!CS18</f>
        <v>1</v>
      </c>
    </row>
    <row r="192" spans="17:18" x14ac:dyDescent="0.25">
      <c r="Q192">
        <v>570</v>
      </c>
      <c r="R192">
        <f>'Diagrama de fases'!CS18</f>
        <v>1</v>
      </c>
    </row>
    <row r="193" spans="17:18" x14ac:dyDescent="0.25">
      <c r="Q193">
        <v>570</v>
      </c>
      <c r="R193">
        <f>'Diagrama de fases'!CT18</f>
        <v>1</v>
      </c>
    </row>
    <row r="194" spans="17:18" x14ac:dyDescent="0.25">
      <c r="Q194">
        <v>576</v>
      </c>
      <c r="R194">
        <f>'Diagrama de fases'!CT18</f>
        <v>1</v>
      </c>
    </row>
    <row r="195" spans="17:18" x14ac:dyDescent="0.25">
      <c r="Q195">
        <v>576</v>
      </c>
      <c r="R195">
        <f>'Diagrama de fases'!CU18</f>
        <v>1</v>
      </c>
    </row>
    <row r="196" spans="17:18" x14ac:dyDescent="0.25">
      <c r="Q196">
        <v>582</v>
      </c>
      <c r="R196">
        <f>'Diagrama de fases'!CU18</f>
        <v>1</v>
      </c>
    </row>
    <row r="197" spans="17:18" x14ac:dyDescent="0.25">
      <c r="Q197">
        <v>582</v>
      </c>
      <c r="R197">
        <f>'Diagrama de fases'!CV18</f>
        <v>1</v>
      </c>
    </row>
    <row r="198" spans="17:18" x14ac:dyDescent="0.25">
      <c r="Q198">
        <v>588</v>
      </c>
      <c r="R198">
        <f>'Diagrama de fases'!CV18</f>
        <v>1</v>
      </c>
    </row>
    <row r="199" spans="17:18" x14ac:dyDescent="0.25">
      <c r="Q199">
        <v>588</v>
      </c>
      <c r="R199">
        <f>'Diagrama de fases'!CW18</f>
        <v>1</v>
      </c>
    </row>
    <row r="200" spans="17:18" x14ac:dyDescent="0.25">
      <c r="Q200">
        <v>594</v>
      </c>
      <c r="R200">
        <f>'Diagrama de fases'!CW18</f>
        <v>1</v>
      </c>
    </row>
    <row r="201" spans="17:18" x14ac:dyDescent="0.25">
      <c r="Q201">
        <v>594</v>
      </c>
      <c r="R201">
        <f>'Diagrama de fases'!CX18</f>
        <v>1</v>
      </c>
    </row>
    <row r="202" spans="17:18" x14ac:dyDescent="0.25">
      <c r="Q202">
        <v>600</v>
      </c>
      <c r="R202">
        <f>'Diagrama de fases'!CX18</f>
        <v>1</v>
      </c>
    </row>
    <row r="203" spans="17:18" x14ac:dyDescent="0.25">
      <c r="Q203">
        <v>600</v>
      </c>
      <c r="R203">
        <f>'Diagrama de fases'!CY18</f>
        <v>1</v>
      </c>
    </row>
    <row r="204" spans="17:18" x14ac:dyDescent="0.25">
      <c r="Q204">
        <v>606</v>
      </c>
      <c r="R204">
        <f>'Diagrama de fases'!CY18</f>
        <v>1</v>
      </c>
    </row>
    <row r="205" spans="17:18" x14ac:dyDescent="0.25">
      <c r="Q205">
        <v>606</v>
      </c>
      <c r="R205">
        <f>'Diagrama de fases'!CZ18</f>
        <v>1</v>
      </c>
    </row>
    <row r="206" spans="17:18" x14ac:dyDescent="0.25">
      <c r="Q206">
        <v>612</v>
      </c>
      <c r="R206">
        <f>'Diagrama de fases'!CZ18</f>
        <v>1</v>
      </c>
    </row>
    <row r="207" spans="17:18" x14ac:dyDescent="0.25">
      <c r="Q207">
        <v>612</v>
      </c>
      <c r="R207">
        <f>'Diagrama de fases'!DA18</f>
        <v>1</v>
      </c>
    </row>
    <row r="208" spans="17:18" x14ac:dyDescent="0.25">
      <c r="Q208">
        <v>618</v>
      </c>
      <c r="R208">
        <f>'Diagrama de fases'!DA18</f>
        <v>1</v>
      </c>
    </row>
    <row r="209" spans="17:18" x14ac:dyDescent="0.25">
      <c r="Q209">
        <v>618</v>
      </c>
      <c r="R209">
        <f>'Diagrama de fases'!DB18</f>
        <v>1</v>
      </c>
    </row>
    <row r="210" spans="17:18" x14ac:dyDescent="0.25">
      <c r="Q210">
        <v>624</v>
      </c>
      <c r="R210">
        <f>'Diagrama de fases'!DB18</f>
        <v>1</v>
      </c>
    </row>
    <row r="211" spans="17:18" x14ac:dyDescent="0.25">
      <c r="Q211">
        <v>624</v>
      </c>
      <c r="R211">
        <f>'Diagrama de fases'!DC18</f>
        <v>1</v>
      </c>
    </row>
    <row r="212" spans="17:18" x14ac:dyDescent="0.25">
      <c r="Q212">
        <v>630</v>
      </c>
      <c r="R212">
        <f>'Diagrama de fases'!DC18</f>
        <v>1</v>
      </c>
    </row>
    <row r="213" spans="17:18" x14ac:dyDescent="0.25">
      <c r="Q213">
        <v>630</v>
      </c>
      <c r="R213">
        <f>'Diagrama de fases'!DD18</f>
        <v>1</v>
      </c>
    </row>
    <row r="214" spans="17:18" x14ac:dyDescent="0.25">
      <c r="Q214">
        <v>636</v>
      </c>
      <c r="R214">
        <f>'Diagrama de fases'!DD18</f>
        <v>1</v>
      </c>
    </row>
    <row r="215" spans="17:18" x14ac:dyDescent="0.25">
      <c r="Q215">
        <v>636</v>
      </c>
      <c r="R215">
        <f>'Diagrama de fases'!DE18</f>
        <v>1</v>
      </c>
    </row>
    <row r="216" spans="17:18" x14ac:dyDescent="0.25">
      <c r="Q216">
        <v>642</v>
      </c>
      <c r="R216">
        <f>'Diagrama de fases'!DE18</f>
        <v>1</v>
      </c>
    </row>
    <row r="217" spans="17:18" x14ac:dyDescent="0.25">
      <c r="Q217">
        <v>642</v>
      </c>
      <c r="R217">
        <f>'Diagrama de fases'!DF18</f>
        <v>1</v>
      </c>
    </row>
    <row r="218" spans="17:18" x14ac:dyDescent="0.25">
      <c r="Q218">
        <v>648</v>
      </c>
      <c r="R218">
        <f>'Diagrama de fases'!DF18</f>
        <v>1</v>
      </c>
    </row>
    <row r="219" spans="17:18" x14ac:dyDescent="0.25">
      <c r="Q219">
        <v>648</v>
      </c>
      <c r="R219">
        <f>'Diagrama de fases'!DG18</f>
        <v>1</v>
      </c>
    </row>
    <row r="220" spans="17:18" x14ac:dyDescent="0.25">
      <c r="Q220">
        <v>654</v>
      </c>
      <c r="R220">
        <f>'Diagrama de fases'!DG18</f>
        <v>1</v>
      </c>
    </row>
    <row r="221" spans="17:18" x14ac:dyDescent="0.25">
      <c r="Q221">
        <v>654</v>
      </c>
      <c r="R221">
        <f>'Diagrama de fases'!DH18</f>
        <v>1</v>
      </c>
    </row>
    <row r="222" spans="17:18" x14ac:dyDescent="0.25">
      <c r="Q222">
        <v>660</v>
      </c>
      <c r="R222">
        <f>'Diagrama de fases'!DH18</f>
        <v>1</v>
      </c>
    </row>
    <row r="223" spans="17:18" x14ac:dyDescent="0.25">
      <c r="Q223">
        <v>660</v>
      </c>
      <c r="R223">
        <f>'Diagrama de fases'!DI18</f>
        <v>1</v>
      </c>
    </row>
    <row r="224" spans="17:18" x14ac:dyDescent="0.25">
      <c r="Q224">
        <v>666</v>
      </c>
      <c r="R224">
        <f>'Diagrama de fases'!DI18</f>
        <v>1</v>
      </c>
    </row>
    <row r="225" spans="17:18" x14ac:dyDescent="0.25">
      <c r="Q225">
        <v>666</v>
      </c>
      <c r="R225">
        <f>'Diagrama de fases'!DJ18</f>
        <v>1</v>
      </c>
    </row>
    <row r="226" spans="17:18" x14ac:dyDescent="0.25">
      <c r="Q226">
        <v>672</v>
      </c>
      <c r="R226">
        <f>'Diagrama de fases'!DJ18</f>
        <v>1</v>
      </c>
    </row>
    <row r="227" spans="17:18" x14ac:dyDescent="0.25">
      <c r="Q227">
        <v>672</v>
      </c>
      <c r="R227">
        <f>'Diagrama de fases'!DK18</f>
        <v>1</v>
      </c>
    </row>
    <row r="228" spans="17:18" x14ac:dyDescent="0.25">
      <c r="Q228">
        <v>678</v>
      </c>
      <c r="R228">
        <f>'Diagrama de fases'!DK18</f>
        <v>1</v>
      </c>
    </row>
    <row r="229" spans="17:18" x14ac:dyDescent="0.25">
      <c r="Q229">
        <v>678</v>
      </c>
      <c r="R229">
        <f>'Diagrama de fases'!DL18</f>
        <v>1</v>
      </c>
    </row>
    <row r="230" spans="17:18" x14ac:dyDescent="0.25">
      <c r="Q230">
        <v>684</v>
      </c>
      <c r="R230">
        <f>'Diagrama de fases'!DL18</f>
        <v>1</v>
      </c>
    </row>
    <row r="231" spans="17:18" x14ac:dyDescent="0.25">
      <c r="Q231">
        <v>684</v>
      </c>
      <c r="R231">
        <f>'Diagrama de fases'!DM18</f>
        <v>1</v>
      </c>
    </row>
    <row r="232" spans="17:18" x14ac:dyDescent="0.25">
      <c r="Q232">
        <v>690</v>
      </c>
      <c r="R232">
        <f>'Diagrama de fases'!DM18</f>
        <v>1</v>
      </c>
    </row>
    <row r="233" spans="17:18" x14ac:dyDescent="0.25">
      <c r="Q233">
        <v>690</v>
      </c>
      <c r="R233">
        <f>'Diagrama de fases'!DN18</f>
        <v>1</v>
      </c>
    </row>
    <row r="234" spans="17:18" x14ac:dyDescent="0.25">
      <c r="Q234">
        <v>696</v>
      </c>
      <c r="R234">
        <f>'Diagrama de fases'!DN18</f>
        <v>1</v>
      </c>
    </row>
    <row r="235" spans="17:18" x14ac:dyDescent="0.25">
      <c r="Q235">
        <v>696</v>
      </c>
      <c r="R235">
        <f>'Diagrama de fases'!DO18</f>
        <v>1</v>
      </c>
    </row>
    <row r="236" spans="17:18" x14ac:dyDescent="0.25">
      <c r="Q236">
        <v>702</v>
      </c>
      <c r="R236">
        <f>'Diagrama de fases'!DO18</f>
        <v>1</v>
      </c>
    </row>
    <row r="237" spans="17:18" x14ac:dyDescent="0.25">
      <c r="Q237">
        <v>702</v>
      </c>
      <c r="R237">
        <f>'Diagrama de fases'!DP18</f>
        <v>1</v>
      </c>
    </row>
    <row r="238" spans="17:18" x14ac:dyDescent="0.25">
      <c r="Q238">
        <v>708</v>
      </c>
      <c r="R238">
        <f>'Diagrama de fases'!DP18</f>
        <v>1</v>
      </c>
    </row>
    <row r="239" spans="17:18" x14ac:dyDescent="0.25">
      <c r="Q239">
        <v>708</v>
      </c>
      <c r="R239">
        <f>'Diagrama de fases'!DQ18</f>
        <v>1</v>
      </c>
    </row>
    <row r="240" spans="17:18" x14ac:dyDescent="0.25">
      <c r="Q240">
        <v>714</v>
      </c>
      <c r="R240">
        <f>'Diagrama de fases'!DQ18</f>
        <v>1</v>
      </c>
    </row>
    <row r="241" spans="17:18" x14ac:dyDescent="0.25">
      <c r="Q241">
        <v>714</v>
      </c>
      <c r="R241">
        <f>'Diagrama de fases'!DR18</f>
        <v>1</v>
      </c>
    </row>
    <row r="242" spans="17:18" x14ac:dyDescent="0.25">
      <c r="Q242">
        <v>720</v>
      </c>
      <c r="R242">
        <f>'Diagrama de fases'!DR18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Simulador</vt:lpstr>
      <vt:lpstr>Diagrama de fases</vt:lpstr>
      <vt:lpstr>Resumen</vt:lpstr>
      <vt:lpstr>Guía</vt:lpstr>
      <vt:lpstr>Configuraciones</vt:lpstr>
      <vt:lpstr>Datos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Ing. Miguel Angel  Minga Gonzalez</cp:lastModifiedBy>
  <dcterms:created xsi:type="dcterms:W3CDTF">2026-10-16T04:50:32Z</dcterms:created>
  <dcterms:modified xsi:type="dcterms:W3CDTF">2026-10-16T04:59:42Z</dcterms:modified>
</cp:coreProperties>
</file>