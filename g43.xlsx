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Modificacion" sheetId="2" state="visible" r:id="rId2"/>
    <sheet xmlns:r="http://schemas.openxmlformats.org/officeDocument/2006/relationships" name="Grafica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1" fontId="9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general" vertical="bottom"/>
    </xf>
    <xf numFmtId="2" fontId="18" fillId="6" borderId="1" applyAlignment="1" pivotButton="0" quotePrefix="0" xfId="0">
      <alignment horizontal="general" vertical="bottom"/>
    </xf>
    <xf numFmtId="1" fontId="18" fillId="6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Relación de compresión por condición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Modificacion!H13</f>
              <strCache>
                <ptCount val="1"/>
                <pt idx="0">
                  <v>R_c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Modificacion!$A$14:$A$21</f>
              <strCache>
                <ptCount val="8"/>
                <pt idx="0">
                  <v>Original</v>
                </pt>
                <pt idx="1">
                  <v>Rectificado +0,25 mm</v>
                </pt>
                <pt idx="2">
                  <v>Rectificado +0,50 mm</v>
                </pt>
                <pt idx="3">
                  <v>Rectificado +0,75 mm</v>
                </pt>
                <pt idx="4">
                  <v>Cepillado 0,10 mm</v>
                </pt>
                <pt idx="5">
                  <v>Cepillado 0,20 mm</v>
                </pt>
                <pt idx="6">
                  <v>Cepillado 0,30 mm</v>
                </pt>
                <pt idx="7">
                  <v>Rect. +0,50 y cepillado 0,20</v>
                </pt>
              </strCache>
            </strRef>
          </cat>
          <val>
            <numRef>
              <f>Modificacion!$H$14:$H$21</f>
              <numCache>
                <formatCode>0.00</formatCode>
                <ptCount val="8"/>
                <pt idx="0">
                  <v>9.5</v>
                </pt>
                <pt idx="1">
                  <v>9.55457449868508</v>
                </pt>
                <pt idx="2">
                  <v>9.609323635765939</v>
                </pt>
                <pt idx="3">
                  <v>9.6642474112426</v>
                </pt>
                <pt idx="4">
                  <v>9.608402100525129</v>
                </pt>
                <pt idx="5">
                  <v>9.719604863221891</v>
                </pt>
                <pt idx="6">
                  <v>9.8337182448037</v>
                </pt>
                <pt idx="7">
                  <v>9.831752969820689</v>
                </pt>
              </numCache>
            </numRef>
          </val>
        </ser>
        <ser>
          <idx val="1"/>
          <order val="1"/>
          <tx>
            <strRef>
              <f>Modificacion!L13</f>
              <strCache>
                <ptCount val="1"/>
                <pt idx="0">
                  <v>R_cj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Modificacion!$A$14:$A$21</f>
              <strCache>
                <ptCount val="8"/>
                <pt idx="0">
                  <v>Original</v>
                </pt>
                <pt idx="1">
                  <v>Rectificado +0,25 mm</v>
                </pt>
                <pt idx="2">
                  <v>Rectificado +0,50 mm</v>
                </pt>
                <pt idx="3">
                  <v>Rectificado +0,75 mm</v>
                </pt>
                <pt idx="4">
                  <v>Cepillado 0,10 mm</v>
                </pt>
                <pt idx="5">
                  <v>Cepillado 0,20 mm</v>
                </pt>
                <pt idx="6">
                  <v>Cepillado 0,30 mm</v>
                </pt>
                <pt idx="7">
                  <v>Rect. +0,50 y cepillado 0,20</v>
                </pt>
              </strCache>
            </strRef>
          </cat>
          <val>
            <numRef>
              <f>Modificacion!$L$14:$L$21</f>
              <numCache>
                <formatCode>0.00</formatCode>
                <ptCount val="8"/>
                <pt idx="0">
                  <v>8.271863117870719</v>
                </pt>
                <pt idx="1">
                  <v>8.31248274480752</v>
                </pt>
                <pt idx="2">
                  <v>8.35316471195646</v>
                </pt>
                <pt idx="3">
                  <v>8.39390854061803</v>
                </pt>
                <pt idx="4">
                  <v>8.352480514413781</v>
                </pt>
                <pt idx="5">
                  <v>8.4349054321784</v>
                </pt>
                <pt idx="6">
                  <v>8.51919934997423</v>
                </pt>
                <pt idx="7">
                  <v>8.5177500932715</v>
                </pt>
              </numCache>
            </numRef>
          </val>
        </ser>
        <gapWidth val="150"/>
        <overlap val="0"/>
        <axId val="3244583"/>
        <axId val="65548682"/>
      </barChart>
      <catAx>
        <axId val="32445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5548682"/>
        <crosses val="autoZero"/>
        <auto val="1"/>
        <lblAlgn val="ctr"/>
        <lblOffset val="100"/>
        <noMultiLvlLbl val="0"/>
      </catAx>
      <valAx>
        <axId val="6554868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R_c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24458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Relación de compresión por condición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Modificacion!H13</c:f>
              <c:strCache>
                <c:ptCount val="1"/>
                <c:pt idx="0">
                  <c:v>R_c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Modificacion!$A$14:$A$21</c:f>
              <c:strCache>
                <c:ptCount val="8"/>
                <c:pt idx="0">
                  <c:v>Original</c:v>
                </c:pt>
                <c:pt idx="1">
                  <c:v>Rectificado +0,25 mm</c:v>
                </c:pt>
                <c:pt idx="2">
                  <c:v>Rectificado +0,50 mm</c:v>
                </c:pt>
                <c:pt idx="3">
                  <c:v>Rectificado +0,75 mm</c:v>
                </c:pt>
                <c:pt idx="4">
                  <c:v>Cepillado 0,10 mm</c:v>
                </c:pt>
                <c:pt idx="5">
                  <c:v>Cepillado 0,20 mm</c:v>
                </c:pt>
                <c:pt idx="6">
                  <c:v>Cepillado 0,30 mm</c:v>
                </c:pt>
                <c:pt idx="7">
                  <c:v>Rect. +0,50 y cepillado 0,20</c:v>
                </c:pt>
              </c:strCache>
            </c:strRef>
          </c:cat>
          <c:val>
            <c:numRef>
              <c:f>Modificacion!$H$14:$H$21</c:f>
              <c:numCache>
                <c:formatCode>0.00</c:formatCode>
                <c:ptCount val="8"/>
                <c:pt idx="0">
                  <c:v>9.5</c:v>
                </c:pt>
                <c:pt idx="1">
                  <c:v>9.55457449868508</c:v>
                </c:pt>
                <c:pt idx="2">
                  <c:v>9.60932363576594</c:v>
                </c:pt>
                <c:pt idx="3">
                  <c:v>9.6642474112426</c:v>
                </c:pt>
                <c:pt idx="4">
                  <c:v>9.60840210052513</c:v>
                </c:pt>
                <c:pt idx="5">
                  <c:v>9.71960486322189</c:v>
                </c:pt>
                <c:pt idx="6">
                  <c:v>9.8337182448037</c:v>
                </c:pt>
                <c:pt idx="7">
                  <c:v>9.83175296982069</c:v>
                </c:pt>
              </c:numCache>
            </c:numRef>
          </c:val>
        </c:ser>
        <c:ser>
          <c:idx val="1"/>
          <c:order val="1"/>
          <c:tx>
            <c:strRef>
              <c:f>Modificacion!L13</c:f>
              <c:strCache>
                <c:ptCount val="1"/>
                <c:pt idx="0">
                  <c:v>R_cj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Modificacion!$A$14:$A$21</c:f>
              <c:strCache>
                <c:ptCount val="8"/>
                <c:pt idx="0">
                  <c:v>Original</c:v>
                </c:pt>
                <c:pt idx="1">
                  <c:v>Rectificado +0,25 mm</c:v>
                </c:pt>
                <c:pt idx="2">
                  <c:v>Rectificado +0,50 mm</c:v>
                </c:pt>
                <c:pt idx="3">
                  <c:v>Rectificado +0,75 mm</c:v>
                </c:pt>
                <c:pt idx="4">
                  <c:v>Cepillado 0,10 mm</c:v>
                </c:pt>
                <c:pt idx="5">
                  <c:v>Cepillado 0,20 mm</c:v>
                </c:pt>
                <c:pt idx="6">
                  <c:v>Cepillado 0,30 mm</c:v>
                </c:pt>
                <c:pt idx="7">
                  <c:v>Rect. +0,50 y cepillado 0,20</c:v>
                </c:pt>
              </c:strCache>
            </c:strRef>
          </c:cat>
          <c:val>
            <c:numRef>
              <c:f>Modificacion!$L$14:$L$21</c:f>
              <c:numCache>
                <c:formatCode>0.00</c:formatCode>
                <c:ptCount val="8"/>
                <c:pt idx="0">
                  <c:v>8.27186311787072</c:v>
                </c:pt>
                <c:pt idx="1">
                  <c:v>8.31248274480752</c:v>
                </c:pt>
                <c:pt idx="2">
                  <c:v>8.35316471195646</c:v>
                </c:pt>
                <c:pt idx="3">
                  <c:v>8.39390854061803</c:v>
                </c:pt>
                <c:pt idx="4">
                  <c:v>8.35248051441378</c:v>
                </c:pt>
                <c:pt idx="5">
                  <c:v>8.4349054321784</c:v>
                </c:pt>
                <c:pt idx="6">
                  <c:v>8.51919934997423</c:v>
                </c:pt>
                <c:pt idx="7">
                  <c:v>8.5177500932715</c:v>
                </c:pt>
              </c:numCache>
            </c:numRef>
          </c:val>
        </c:ser>
        <c:gapWidth val="150"/>
        <c:overlap val="0"/>
        <c:axId val="3244583"/>
        <c:axId val="65548682"/>
      </c:barChart>
      <c:catAx>
        <c:axId val="3244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48682"/>
        <c:crosses val="autoZero"/>
        <c:auto val="1"/>
        <c:lblAlgn val="ctr"/>
        <c:lblOffset val="100"/>
        <c:noMultiLvlLbl val="0"/>
      </c:catAx>
      <c:valAx>
        <c:axId val="655486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R_c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45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11</col>
      <colOff>473040</colOff>
      <row>17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11</xdr:col>
      <xdr:colOff>473040</xdr:colOff>
      <xdr:row>17</xdr:row>
      <xdr:rowOff>1080</xdr:rowOff>
    </xdr:to>
    <xdr:graphicFrame>
      <xdr:nvGraphicFramePr>
        <xdr:cNvPr id="0" name="Chart 1"/>
        <xdr:cNvGraphicFramePr/>
      </xdr:nvGraphicFramePr>
      <xdr:xfrm>
        <a:off x="0" y="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3" min="1" max="1"/>
    <col width="8" customWidth="1" style="13" min="2" max="2"/>
    <col width="13" customWidth="1" style="13" min="3" max="3"/>
    <col width="13" customWidth="1" style="13" min="4" max="4"/>
    <col width="13" customWidth="1" style="13" min="5" max="5"/>
    <col width="15" customWidth="1" style="13" min="6" max="6"/>
    <col width="13" customWidth="1" style="13" min="7" max="7"/>
    <col width="13" customWidth="1" style="13" min="8" max="8"/>
    <col width="24" customWidth="1" style="13" min="9" max="9"/>
    <col width="60" customWidth="1" style="13" min="10" max="10"/>
  </cols>
  <sheetData>
    <row r="1">
      <c r="A1" s="14" t="inlineStr">
        <is>
          <t>ESPECIFICACIONES DEL FABRICANTE – MOTOR ASIGNADO</t>
        </is>
      </c>
    </row>
    <row r="3">
      <c r="A3" s="15" t="inlineStr">
        <is>
          <t>Motor asignado (elija de la lista):</t>
        </is>
      </c>
      <c r="C3" s="16" t="inlineStr">
        <is>
          <t>Daihatsu CB-20</t>
        </is>
      </c>
      <c r="D3" s="17" t="n"/>
      <c r="E3" s="18" t="n"/>
    </row>
    <row r="4" ht="45" customHeight="1" s="13">
      <c r="A4" s="19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3">
      <c r="A6" s="20" t="inlineStr">
        <is>
          <t>Comprobación</t>
        </is>
      </c>
      <c r="B6" s="20" t="inlineStr">
        <is>
          <t>Unidad</t>
        </is>
      </c>
      <c r="C6" s="20" t="inlineStr">
        <is>
          <t>Daihatsu CB-20</t>
        </is>
      </c>
      <c r="D6" s="20" t="inlineStr">
        <is>
          <t>Nissan A14</t>
        </is>
      </c>
      <c r="E6" s="20" t="inlineStr">
        <is>
          <t>Hyundai G4EC</t>
        </is>
      </c>
      <c r="F6" s="20" t="inlineStr">
        <is>
          <t>Chevrolet Monza 2.0</t>
        </is>
      </c>
      <c r="G6" s="20" t="inlineStr">
        <is>
          <t>Valor orientativo</t>
        </is>
      </c>
      <c r="H6" s="20" t="inlineStr">
        <is>
          <t>Valor aplicado</t>
        </is>
      </c>
      <c r="I6" s="20" t="inlineStr">
        <is>
          <t>Origen</t>
        </is>
      </c>
      <c r="J6" s="20" t="inlineStr">
        <is>
          <t>Fuente en el manual</t>
        </is>
      </c>
    </row>
    <row r="7">
      <c r="A7" s="21" t="inlineStr">
        <is>
          <t>Diámetro del cilindro</t>
        </is>
      </c>
      <c r="B7" s="22" t="inlineStr">
        <is>
          <t>cm</t>
        </is>
      </c>
      <c r="C7" s="23" t="n">
        <v>7.6</v>
      </c>
      <c r="D7" s="23" t="n">
        <v>7.6</v>
      </c>
      <c r="E7" s="23" t="n">
        <v>7.55</v>
      </c>
      <c r="F7" s="23" t="n">
        <v>8.6</v>
      </c>
      <c r="G7" s="23" t="n">
        <v>7.8</v>
      </c>
      <c r="H7" s="24">
        <f>IF(ISNUMBER(INDEX($C7:$F7,MATCH($C$3,$C$6:$F$6,0))),INDEX($C7:$F7,MATCH($C$3,$C$6:$F$6,0)),IF(INDEX($C7:$F7,MATCH($C$3,$C$6:$F$6,0))&lt;&gt;"","",IF($G7="","",$G7)))</f>
        <v/>
      </c>
      <c r="I7" s="21">
        <f>IF(ISNUMBER(INDEX($C7:$F7,MATCH($C$3,$C$6:$F$6,0))),"Manual",IF(INDEX($C7:$F7,MATCH($C$3,$C$6:$F$6,0))&lt;&gt;"","No aplica a este motor",IF($G7="","Sin dato","Orientativo: el manual no lo especifica")))</f>
        <v/>
      </c>
      <c r="J7" s="21" t="inlineStr">
        <is>
          <t>CB-20: G10 p. 13; Haynes p. 18; G4EC; Monza p. 6Z-01</t>
        </is>
      </c>
    </row>
    <row r="8">
      <c r="A8" s="21" t="inlineStr">
        <is>
          <t>Carrera</t>
        </is>
      </c>
      <c r="B8" s="22" t="inlineStr">
        <is>
          <t>cm</t>
        </is>
      </c>
      <c r="C8" s="23" t="n">
        <v>7.3</v>
      </c>
      <c r="D8" s="23" t="n">
        <v>7.7</v>
      </c>
      <c r="E8" s="23" t="n">
        <v>8.35</v>
      </c>
      <c r="F8" s="23" t="n">
        <v>8.6</v>
      </c>
      <c r="G8" s="23" t="n">
        <v>6.75</v>
      </c>
      <c r="H8" s="24">
        <f>IF(ISNUMBER(INDEX($C8:$F8,MATCH($C$3,$C$6:$F$6,0))),INDEX($C8:$F8,MATCH($C$3,$C$6:$F$6,0)),IF(INDEX($C8:$F8,MATCH($C$3,$C$6:$F$6,0))&lt;&gt;"","",IF($G8="","",$G8)))</f>
        <v/>
      </c>
      <c r="I8" s="21">
        <f>IF(ISNUMBER(INDEX($C8:$F8,MATCH($C$3,$C$6:$F$6,0))),"Manual",IF(INDEX($C8:$F8,MATCH($C$3,$C$6:$F$6,0))&lt;&gt;"","No aplica a este motor",IF($G8="","Sin dato","Orientativo: el manual no lo especifica")))</f>
        <v/>
      </c>
      <c r="J8" s="21" t="inlineStr">
        <is>
          <t>CB-20: G10 p. 13; Haynes p. 18; G4EC; Monza p. 6Z-01</t>
        </is>
      </c>
    </row>
    <row r="9">
      <c r="A9" s="21" t="inlineStr">
        <is>
          <t>Número de cilindros</t>
        </is>
      </c>
      <c r="B9" s="22" t="inlineStr">
        <is>
          <t>—</t>
        </is>
      </c>
      <c r="C9" s="23" t="n">
        <v>3</v>
      </c>
      <c r="D9" s="23" t="n">
        <v>4</v>
      </c>
      <c r="E9" s="23" t="n">
        <v>4</v>
      </c>
      <c r="F9" s="23" t="n">
        <v>4</v>
      </c>
      <c r="G9" s="23" t="n">
        <v>4</v>
      </c>
      <c r="H9" s="24">
        <f>IF(ISNUMBER(INDEX($C9:$F9,MATCH($C$3,$C$6:$F$6,0))),INDEX($C9:$F9,MATCH($C$3,$C$6:$F$6,0)),IF(INDEX($C9:$F9,MATCH($C$3,$C$6:$F$6,0))&lt;&gt;"","",IF($G9="","",$G9)))</f>
        <v/>
      </c>
      <c r="I9" s="21">
        <f>IF(ISNUMBER(INDEX($C9:$F9,MATCH($C$3,$C$6:$F$6,0))),"Manual",IF(INDEX($C9:$F9,MATCH($C$3,$C$6:$F$6,0))&lt;&gt;"","No aplica a este motor",IF($G9="","Sin dato","Orientativo: el manual no lo especifica")))</f>
        <v/>
      </c>
      <c r="J9" s="21" t="inlineStr">
        <is>
          <t>Ficha técnica de cada motor</t>
        </is>
      </c>
    </row>
    <row r="10">
      <c r="A10" s="21" t="inlineStr">
        <is>
          <t>Relación de compresión</t>
        </is>
      </c>
      <c r="B10" s="22" t="inlineStr">
        <is>
          <t>—</t>
        </is>
      </c>
      <c r="C10" s="23" t="n">
        <v>9</v>
      </c>
      <c r="D10" s="23" t="n">
        <v>9</v>
      </c>
      <c r="E10" s="23" t="n">
        <v>10</v>
      </c>
      <c r="F10" s="23" t="n">
        <v>8.800000000000001</v>
      </c>
      <c r="G10" s="23" t="n">
        <v>9.5</v>
      </c>
      <c r="H10" s="24">
        <f>IF(ISNUMBER(INDEX($C10:$F10,MATCH($C$3,$C$6:$F$6,0))),INDEX($C10:$F10,MATCH($C$3,$C$6:$F$6,0)),IF(INDEX($C10:$F10,MATCH($C$3,$C$6:$F$6,0))&lt;&gt;"","",IF($G10="","",$G10)))</f>
        <v/>
      </c>
      <c r="I10" s="21">
        <f>IF(ISNUMBER(INDEX($C10:$F10,MATCH($C$3,$C$6:$F$6,0))),"Manual",IF(INDEX($C10:$F10,MATCH($C$3,$C$6:$F$6,0))&lt;&gt;"","No aplica a este motor",IF($G10="","Sin dato","Orientativo: el manual no lo especifica")))</f>
        <v/>
      </c>
      <c r="J10" s="21" t="inlineStr">
        <is>
          <t>CB-20: 9,0 (G10 p. 13); el CB-23 tiene 9,5 (Type CB p. 1-9); Haynes p. 18; Hyundai; Monza (gasolina)</t>
        </is>
      </c>
    </row>
    <row r="12" ht="48" customHeight="1" s="13">
      <c r="A12" s="19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A12:J12"/>
    <mergeCell ref="C3:E3"/>
    <mergeCell ref="A4:J4"/>
  </mergeCells>
  <conditionalFormatting sqref="C7:F10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16" customWidth="1" style="25" min="2" max="2"/>
    <col width="14" customWidth="1" style="25" min="3" max="3"/>
    <col width="9" customWidth="1" style="25" min="4" max="4"/>
    <col width="12" customWidth="1" style="25" min="5" max="5"/>
    <col width="10" customWidth="1" style="25" min="6" max="6"/>
    <col width="11" customWidth="1" style="25" min="7" max="7"/>
    <col width="8" customWidth="1" style="25" min="8" max="8"/>
    <col width="10" customWidth="1" style="25" min="9" max="11"/>
    <col width="8" customWidth="1" style="25" min="12" max="12"/>
    <col width="11" customWidth="1" style="25" min="13" max="13"/>
  </cols>
  <sheetData>
    <row r="1" ht="17.35" customHeight="1" s="13">
      <c r="A1" s="26" t="inlineStr">
        <is>
          <t>SFM GUÍA 4 – CÁLCULOS DEL MOTOR Y MODIFICACIÓN DE PARÁMETROS</t>
        </is>
      </c>
    </row>
    <row r="2" ht="15" customHeight="1" s="13">
      <c r="A2" s="27" t="inlineStr">
        <is>
          <t>Ecuaciones de la guía original + ΔV_CC ≈ A_P·Δh</t>
        </is>
      </c>
    </row>
    <row r="3" ht="15" customHeight="1" s="13">
      <c r="A3" s="28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3">
      <c r="A5" s="29" t="inlineStr">
        <is>
          <t>Parámetro</t>
        </is>
      </c>
      <c r="B5" s="29" t="inlineStr">
        <is>
          <t>Símbolo</t>
        </is>
      </c>
      <c r="C5" s="29" t="inlineStr">
        <is>
          <t>Valor</t>
        </is>
      </c>
      <c r="D5" s="29" t="inlineStr">
        <is>
          <t>Unidad</t>
        </is>
      </c>
      <c r="E5" s="29" t="inlineStr">
        <is>
          <t>Fuente / observación</t>
        </is>
      </c>
    </row>
    <row r="6" ht="15" customHeight="1" s="13">
      <c r="A6" s="30" t="inlineStr">
        <is>
          <t>Diámetro original</t>
        </is>
      </c>
      <c r="B6" s="30" t="inlineStr">
        <is>
          <t>D</t>
        </is>
      </c>
      <c r="C6" s="31">
        <f>Motor!$H$7</f>
        <v/>
      </c>
      <c r="D6" s="30" t="inlineStr">
        <is>
          <t>cm</t>
        </is>
      </c>
      <c r="E6" s="30" t="inlineStr">
        <is>
          <t>Manual del motor (hoja «Motor»)</t>
        </is>
      </c>
    </row>
    <row r="7" ht="15" customHeight="1" s="13">
      <c r="A7" s="30" t="inlineStr">
        <is>
          <t>Carrera</t>
        </is>
      </c>
      <c r="B7" s="30" t="inlineStr">
        <is>
          <t>S</t>
        </is>
      </c>
      <c r="C7" s="32">
        <f>Motor!$H$8</f>
        <v/>
      </c>
      <c r="D7" s="30" t="inlineStr">
        <is>
          <t>cm</t>
        </is>
      </c>
      <c r="E7" s="30" t="inlineStr">
        <is>
          <t>Manual del motor (hoja «Motor»)</t>
        </is>
      </c>
    </row>
    <row r="8" ht="15" customHeight="1" s="13">
      <c r="A8" s="30" t="inlineStr">
        <is>
          <t>Número de cilindros</t>
        </is>
      </c>
      <c r="B8" s="30" t="inlineStr">
        <is>
          <t>Z</t>
        </is>
      </c>
      <c r="C8" s="33">
        <f>Motor!$H$9</f>
        <v/>
      </c>
      <c r="D8" s="30" t="inlineStr">
        <is>
          <t>—</t>
        </is>
      </c>
      <c r="E8" s="30" t="inlineStr">
        <is>
          <t>Manual del motor (hoja «Motor»)</t>
        </is>
      </c>
    </row>
    <row r="9" ht="15" customHeight="1" s="13">
      <c r="A9" s="30" t="inlineStr">
        <is>
          <t>Relación de compresión del fabricante</t>
        </is>
      </c>
      <c r="B9" s="30" t="inlineStr">
        <is>
          <t>R_c</t>
        </is>
      </c>
      <c r="C9" s="32">
        <f>Motor!$H$10</f>
        <v/>
      </c>
      <c r="D9" s="30" t="inlineStr">
        <is>
          <t>—</t>
        </is>
      </c>
      <c r="E9" s="30" t="inlineStr">
        <is>
          <t>Manual del motor (hoja «Motor»)</t>
        </is>
      </c>
    </row>
    <row r="10" ht="15" customHeight="1" s="13">
      <c r="A10" s="30" t="inlineStr">
        <is>
          <t>Espesor del empaque</t>
        </is>
      </c>
      <c r="B10" s="30" t="inlineStr">
        <is>
          <t>E_j</t>
        </is>
      </c>
      <c r="C10" s="34" t="n">
        <v>1.2</v>
      </c>
      <c r="D10" s="30" t="inlineStr">
        <is>
          <t>mm</t>
        </is>
      </c>
      <c r="E10" s="30" t="inlineStr">
        <is>
          <t>Medición</t>
        </is>
      </c>
    </row>
    <row r="11" ht="15" customHeight="1" s="13">
      <c r="A11" s="30" t="inlineStr">
        <is>
          <t>Relación de calores específicos</t>
        </is>
      </c>
      <c r="B11" s="30" t="inlineStr">
        <is>
          <t>γ</t>
        </is>
      </c>
      <c r="C11" s="34" t="n">
        <v>1.4</v>
      </c>
      <c r="D11" s="30" t="inlineStr">
        <is>
          <t>—</t>
        </is>
      </c>
      <c r="E11" s="30" t="inlineStr">
        <is>
          <t>Aire</t>
        </is>
      </c>
    </row>
    <row r="12"/>
    <row r="13" ht="31.5" customHeight="1" s="13">
      <c r="A13" s="29" t="inlineStr">
        <is>
          <t>Condición</t>
        </is>
      </c>
      <c r="B13" s="29" t="inlineStr">
        <is>
          <t>Sobremedida (mm)</t>
        </is>
      </c>
      <c r="C13" s="29" t="inlineStr">
        <is>
          <t>Cepillado (mm)</t>
        </is>
      </c>
      <c r="D13" s="29" t="inlineStr">
        <is>
          <t>D (cm)</t>
        </is>
      </c>
      <c r="E13" s="29" t="inlineStr">
        <is>
          <t>A_P (cm²)</t>
        </is>
      </c>
      <c r="F13" s="29" t="inlineStr">
        <is>
          <t>V_C (cm³)</t>
        </is>
      </c>
      <c r="G13" s="29" t="inlineStr">
        <is>
          <t>V_CC (cm³)</t>
        </is>
      </c>
      <c r="H13" s="29" t="inlineStr">
        <is>
          <t>R_c</t>
        </is>
      </c>
      <c r="I13" s="29" t="inlineStr">
        <is>
          <t>V_u (cm³)</t>
        </is>
      </c>
      <c r="J13" s="29" t="inlineStr">
        <is>
          <t>V_T (cm³)</t>
        </is>
      </c>
      <c r="K13" s="29" t="inlineStr">
        <is>
          <t>V_j (cm³)</t>
        </is>
      </c>
      <c r="L13" s="29" t="inlineStr">
        <is>
          <t>R_cj</t>
        </is>
      </c>
      <c r="M13" s="29" t="inlineStr">
        <is>
          <t>η Otto (%)</t>
        </is>
      </c>
    </row>
    <row r="14" ht="15" customHeight="1" s="13">
      <c r="A14" s="35" t="inlineStr">
        <is>
          <t>Original</t>
        </is>
      </c>
      <c r="B14" s="34" t="n">
        <v>0</v>
      </c>
      <c r="C14" s="34" t="n">
        <v>0</v>
      </c>
      <c r="D14" s="36">
        <f>$C$6+B14/10</f>
        <v/>
      </c>
      <c r="E14" s="37">
        <f>PI()*D14^2/4</f>
        <v/>
      </c>
      <c r="F14" s="37">
        <f>E14*$C$7</f>
        <v/>
      </c>
      <c r="G14" s="37">
        <f>$F$14/($C$9-1)-PI()*$C$6^2/4*C14/10</f>
        <v/>
      </c>
      <c r="H14" s="37">
        <f>(F14+G14)/G14</f>
        <v/>
      </c>
      <c r="I14" s="37">
        <f>F14+G14</f>
        <v/>
      </c>
      <c r="J14" s="37">
        <f>I14*$C$8</f>
        <v/>
      </c>
      <c r="K14" s="37">
        <f>I14/$C$7*$C$10/10</f>
        <v/>
      </c>
      <c r="L14" s="37">
        <f>(F14+G14+K14)/(G14+K14)</f>
        <v/>
      </c>
      <c r="M14" s="37">
        <f>(1-1/L14^($C$11-1))*100</f>
        <v/>
      </c>
    </row>
    <row r="15" ht="15" customHeight="1" s="13">
      <c r="A15" s="35" t="inlineStr">
        <is>
          <t>Rectificado +0,25 mm</t>
        </is>
      </c>
      <c r="B15" s="34" t="n">
        <v>0.25</v>
      </c>
      <c r="C15" s="34" t="n">
        <v>0</v>
      </c>
      <c r="D15" s="36">
        <f>$C$6+B15/10</f>
        <v/>
      </c>
      <c r="E15" s="37">
        <f>PI()*D15^2/4</f>
        <v/>
      </c>
      <c r="F15" s="37">
        <f>E15*$C$7</f>
        <v/>
      </c>
      <c r="G15" s="37">
        <f>$F$14/($C$9-1)-PI()*$C$6^2/4*C15/10</f>
        <v/>
      </c>
      <c r="H15" s="37">
        <f>(F15+G15)/G15</f>
        <v/>
      </c>
      <c r="I15" s="37">
        <f>F15+G15</f>
        <v/>
      </c>
      <c r="J15" s="37">
        <f>I15*$C$8</f>
        <v/>
      </c>
      <c r="K15" s="37">
        <f>I15/$C$7*$C$10/10</f>
        <v/>
      </c>
      <c r="L15" s="37">
        <f>(F15+G15+K15)/(G15+K15)</f>
        <v/>
      </c>
      <c r="M15" s="37">
        <f>(1-1/L15^($C$11-1))*100</f>
        <v/>
      </c>
    </row>
    <row r="16" ht="15" customHeight="1" s="13">
      <c r="A16" s="35" t="inlineStr">
        <is>
          <t>Rectificado +0,50 mm</t>
        </is>
      </c>
      <c r="B16" s="34" t="n">
        <v>0.5</v>
      </c>
      <c r="C16" s="34" t="n">
        <v>0</v>
      </c>
      <c r="D16" s="36">
        <f>$C$6+B16/10</f>
        <v/>
      </c>
      <c r="E16" s="37">
        <f>PI()*D16^2/4</f>
        <v/>
      </c>
      <c r="F16" s="37">
        <f>E16*$C$7</f>
        <v/>
      </c>
      <c r="G16" s="37">
        <f>$F$14/($C$9-1)-PI()*$C$6^2/4*C16/10</f>
        <v/>
      </c>
      <c r="H16" s="37">
        <f>(F16+G16)/G16</f>
        <v/>
      </c>
      <c r="I16" s="37">
        <f>F16+G16</f>
        <v/>
      </c>
      <c r="J16" s="37">
        <f>I16*$C$8</f>
        <v/>
      </c>
      <c r="K16" s="37">
        <f>I16/$C$7*$C$10/10</f>
        <v/>
      </c>
      <c r="L16" s="37">
        <f>(F16+G16+K16)/(G16+K16)</f>
        <v/>
      </c>
      <c r="M16" s="37">
        <f>(1-1/L16^($C$11-1))*100</f>
        <v/>
      </c>
    </row>
    <row r="17" ht="15" customHeight="1" s="13">
      <c r="A17" s="35" t="inlineStr">
        <is>
          <t>Rectificado +0,75 mm</t>
        </is>
      </c>
      <c r="B17" s="34" t="n">
        <v>0.75</v>
      </c>
      <c r="C17" s="34" t="n">
        <v>0</v>
      </c>
      <c r="D17" s="36">
        <f>$C$6+B17/10</f>
        <v/>
      </c>
      <c r="E17" s="37">
        <f>PI()*D17^2/4</f>
        <v/>
      </c>
      <c r="F17" s="37">
        <f>E17*$C$7</f>
        <v/>
      </c>
      <c r="G17" s="37">
        <f>$F$14/($C$9-1)-PI()*$C$6^2/4*C17/10</f>
        <v/>
      </c>
      <c r="H17" s="37">
        <f>(F17+G17)/G17</f>
        <v/>
      </c>
      <c r="I17" s="37">
        <f>F17+G17</f>
        <v/>
      </c>
      <c r="J17" s="37">
        <f>I17*$C$8</f>
        <v/>
      </c>
      <c r="K17" s="37">
        <f>I17/$C$7*$C$10/10</f>
        <v/>
      </c>
      <c r="L17" s="37">
        <f>(F17+G17+K17)/(G17+K17)</f>
        <v/>
      </c>
      <c r="M17" s="37">
        <f>(1-1/L17^($C$11-1))*100</f>
        <v/>
      </c>
    </row>
    <row r="18" ht="15" customHeight="1" s="13">
      <c r="A18" s="35" t="inlineStr">
        <is>
          <t>Cepillado 0,10 mm</t>
        </is>
      </c>
      <c r="B18" s="34" t="n">
        <v>0</v>
      </c>
      <c r="C18" s="34" t="n">
        <v>0.1</v>
      </c>
      <c r="D18" s="36">
        <f>$C$6+B18/10</f>
        <v/>
      </c>
      <c r="E18" s="37">
        <f>PI()*D18^2/4</f>
        <v/>
      </c>
      <c r="F18" s="37">
        <f>E18*$C$7</f>
        <v/>
      </c>
      <c r="G18" s="37">
        <f>$F$14/($C$9-1)-PI()*$C$6^2/4*C18/10</f>
        <v/>
      </c>
      <c r="H18" s="37">
        <f>(F18+G18)/G18</f>
        <v/>
      </c>
      <c r="I18" s="37">
        <f>F18+G18</f>
        <v/>
      </c>
      <c r="J18" s="37">
        <f>I18*$C$8</f>
        <v/>
      </c>
      <c r="K18" s="37">
        <f>I18/$C$7*$C$10/10</f>
        <v/>
      </c>
      <c r="L18" s="37">
        <f>(F18+G18+K18)/(G18+K18)</f>
        <v/>
      </c>
      <c r="M18" s="37">
        <f>(1-1/L18^($C$11-1))*100</f>
        <v/>
      </c>
    </row>
    <row r="19" ht="15" customHeight="1" s="13">
      <c r="A19" s="35" t="inlineStr">
        <is>
          <t>Cepillado 0,20 mm</t>
        </is>
      </c>
      <c r="B19" s="34" t="n">
        <v>0</v>
      </c>
      <c r="C19" s="34" t="n">
        <v>0.2</v>
      </c>
      <c r="D19" s="36">
        <f>$C$6+B19/10</f>
        <v/>
      </c>
      <c r="E19" s="37">
        <f>PI()*D19^2/4</f>
        <v/>
      </c>
      <c r="F19" s="37">
        <f>E19*$C$7</f>
        <v/>
      </c>
      <c r="G19" s="37">
        <f>$F$14/($C$9-1)-PI()*$C$6^2/4*C19/10</f>
        <v/>
      </c>
      <c r="H19" s="37">
        <f>(F19+G19)/G19</f>
        <v/>
      </c>
      <c r="I19" s="37">
        <f>F19+G19</f>
        <v/>
      </c>
      <c r="J19" s="37">
        <f>I19*$C$8</f>
        <v/>
      </c>
      <c r="K19" s="37">
        <f>I19/$C$7*$C$10/10</f>
        <v/>
      </c>
      <c r="L19" s="37">
        <f>(F19+G19+K19)/(G19+K19)</f>
        <v/>
      </c>
      <c r="M19" s="37">
        <f>(1-1/L19^($C$11-1))*100</f>
        <v/>
      </c>
    </row>
    <row r="20" ht="15" customHeight="1" s="13">
      <c r="A20" s="35" t="inlineStr">
        <is>
          <t>Cepillado 0,30 mm</t>
        </is>
      </c>
      <c r="B20" s="34" t="n">
        <v>0</v>
      </c>
      <c r="C20" s="34" t="n">
        <v>0.3</v>
      </c>
      <c r="D20" s="36">
        <f>$C$6+B20/10</f>
        <v/>
      </c>
      <c r="E20" s="37">
        <f>PI()*D20^2/4</f>
        <v/>
      </c>
      <c r="F20" s="37">
        <f>E20*$C$7</f>
        <v/>
      </c>
      <c r="G20" s="37">
        <f>$F$14/($C$9-1)-PI()*$C$6^2/4*C20/10</f>
        <v/>
      </c>
      <c r="H20" s="37">
        <f>(F20+G20)/G20</f>
        <v/>
      </c>
      <c r="I20" s="37">
        <f>F20+G20</f>
        <v/>
      </c>
      <c r="J20" s="37">
        <f>I20*$C$8</f>
        <v/>
      </c>
      <c r="K20" s="37">
        <f>I20/$C$7*$C$10/10</f>
        <v/>
      </c>
      <c r="L20" s="37">
        <f>(F20+G20+K20)/(G20+K20)</f>
        <v/>
      </c>
      <c r="M20" s="37">
        <f>(1-1/L20^($C$11-1))*100</f>
        <v/>
      </c>
    </row>
    <row r="21" ht="15" customHeight="1" s="13">
      <c r="A21" s="35" t="inlineStr">
        <is>
          <t>Rect. +0,50 y cepillado 0,20</t>
        </is>
      </c>
      <c r="B21" s="34" t="n">
        <v>0.5</v>
      </c>
      <c r="C21" s="34" t="n">
        <v>0.2</v>
      </c>
      <c r="D21" s="36">
        <f>$C$6+B21/10</f>
        <v/>
      </c>
      <c r="E21" s="37">
        <f>PI()*D21^2/4</f>
        <v/>
      </c>
      <c r="F21" s="37">
        <f>E21*$C$7</f>
        <v/>
      </c>
      <c r="G21" s="37">
        <f>$F$14/($C$9-1)-PI()*$C$6^2/4*C21/10</f>
        <v/>
      </c>
      <c r="H21" s="37">
        <f>(F21+G21)/G21</f>
        <v/>
      </c>
      <c r="I21" s="37">
        <f>F21+G21</f>
        <v/>
      </c>
      <c r="J21" s="37">
        <f>I21*$C$8</f>
        <v/>
      </c>
      <c r="K21" s="37">
        <f>I21/$C$7*$C$10/10</f>
        <v/>
      </c>
      <c r="L21" s="37">
        <f>(F21+G21+K21)/(G21+K21)</f>
        <v/>
      </c>
      <c r="M21" s="37">
        <f>(1-1/L21^($C$11-1))*100</f>
        <v/>
      </c>
    </row>
    <row r="22"/>
    <row r="23" ht="15" customHeight="1" s="13">
      <c r="A23" s="38" t="inlineStr">
        <is>
          <t>V_CC original = V_C/(R_c − 1); al cepillar se resta A_P·Δh (Δh en cm). En el rectificado V_CC se mantiene constante.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2026-09-15T21:30:21Z</dcterms:created>
  <dcterms:modified xmlns:dcterms="http://purl.org/dc/terms/" xmlns:xsi="http://www.w3.org/2001/XMLSchema-instance" xsi:type="dcterms:W3CDTF">2026-10-16T11:52:02Z</dcterms:modified>
  <cp:revision>1</cp:revision>
</cp:coreProperties>
</file>