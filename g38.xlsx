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as" sheetId="1" state="visible" r:id="rId3"/>
    <sheet name="Alzada" sheetId="2" state="visible" r:id="rId4"/>
    <sheet name="Grafic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<sst xmlns="http://schemas.openxmlformats.org/spreadsheetml/2006/main" count="44" uniqueCount="44">
  <si>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GUÍA 8 – COTAS DE DISTRIBUCIÓN Y CRUCE DE VÁLVULAS</t>
  </si>
  <si>
    <t xml:space="preserve">Cruce = AAA + RCE;  Admisión = AAA + 180° + RCA;  Escape = AAE + 180° + RCE</t>
  </si>
  <si>
    <t xml:space="preserve">Leyenda: celdas amarillas con texto azul = datos de entrada (editar). Texto negro = fórmulas (no editar).</t>
  </si>
  <si>
    <t xml:space="preserve">Cota</t>
  </si>
  <si>
    <t xml:space="preserve">Referencia</t>
  </si>
  <si>
    <t xml:space="preserve">Valor medido (°)</t>
  </si>
  <si>
    <t xml:space="preserve">Valor del manual (°)</t>
  </si>
  <si>
    <t xml:space="preserve">Diferencia (°)</t>
  </si>
  <si>
    <t xml:space="preserve">AAA</t>
  </si>
  <si>
    <t xml:space="preserve">antes del PMS</t>
  </si>
  <si>
    <t xml:space="preserve">RCA</t>
  </si>
  <si>
    <t xml:space="preserve">después del PMI</t>
  </si>
  <si>
    <t xml:space="preserve">AAE</t>
  </si>
  <si>
    <t xml:space="preserve">antes del PMI</t>
  </si>
  <si>
    <t xml:space="preserve">RCE</t>
  </si>
  <si>
    <t xml:space="preserve">después del PMS</t>
  </si>
  <si>
    <t xml:space="preserve">Resultados</t>
  </si>
  <si>
    <t xml:space="preserve">Magnitud</t>
  </si>
  <si>
    <t xml:space="preserve">Ecuación</t>
  </si>
  <si>
    <t xml:space="preserve">Medido (°)</t>
  </si>
  <si>
    <t xml:space="preserve">Manual (°)</t>
  </si>
  <si>
    <t xml:space="preserve">Cruce de válvulas</t>
  </si>
  <si>
    <t xml:space="preserve">AAA + RCE</t>
  </si>
  <si>
    <t xml:space="preserve">Duración de la admisión</t>
  </si>
  <si>
    <t xml:space="preserve">AAA + 180 + RCA</t>
  </si>
  <si>
    <t xml:space="preserve">Duración del escape</t>
  </si>
  <si>
    <t xml:space="preserve">AAE + 180 + RCE</t>
  </si>
  <si>
    <t xml:space="preserve">Apertura de admisión (° de cigüeñal desde PMS de explosión)</t>
  </si>
  <si>
    <t xml:space="preserve">360 − AAA</t>
  </si>
  <si>
    <t xml:space="preserve">Cierre de admisión</t>
  </si>
  <si>
    <t xml:space="preserve">540 + RCA</t>
  </si>
  <si>
    <t xml:space="preserve">Apertura de escape</t>
  </si>
  <si>
    <t xml:space="preserve">180 − AAE</t>
  </si>
  <si>
    <t xml:space="preserve">Cierre de escape</t>
  </si>
  <si>
    <t xml:space="preserve">360 + RCE</t>
  </si>
  <si>
    <t xml:space="preserve">Duración de admisión en el árbol de levas</t>
  </si>
  <si>
    <t xml:space="preserve">Admisión/2</t>
  </si>
  <si>
    <t xml:space="preserve">Ángulos referidos a 0° = PMS al inicio de la carrera de expansión (ciclo de 720°).</t>
  </si>
  <si>
    <t xml:space="preserve">Periodos de apertura de válvulas en el ciclo de 720°</t>
  </si>
  <si>
    <t xml:space="preserve">Aproximación senoidal de la alzada para visualizar el cruce</t>
  </si>
  <si>
    <t xml:space="preserve">Alzada máxima (mm)</t>
  </si>
  <si>
    <t xml:space="preserve">θ (°)</t>
  </si>
  <si>
    <t xml:space="preserve">Alzada admisión (mm)</t>
  </si>
  <si>
    <t xml:space="preserve">Alzada escape (mm)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</si>
</sst>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de alzada: admisión y escape (720°)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"Admisión"</c:f>
              <c:strCache>
                <c:ptCount val="1"/>
                <c:pt idx="0">
                  <c:v>Admisión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Alzada!$A$6:$A$150</c:f>
              <c:numCache>
                <c:formatCode>0</c:formatCode>
                <c:ptCount val="14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</c:numCache>
            </c:numRef>
          </c:xVal>
          <c:yVal>
            <c:numRef>
              <c:f>Alzada!$B$6:$B$150</c:f>
              <c:numCache>
                <c:formatCode>0.00</c:formatCode>
                <c:ptCount val="1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0.239584692939973</c:v>
                </c:pt>
                <c:pt idx="71">
                  <c:v>0.837432357867131</c:v>
                </c:pt>
                <c:pt idx="72">
                  <c:v>1.43157146417165</c:v>
                </c:pt>
                <c:pt idx="73">
                  <c:v>2.01937087432339</c:v>
                </c:pt>
                <c:pt idx="74">
                  <c:v>2.59822752605659</c:v>
                </c:pt>
                <c:pt idx="75">
                  <c:v>3.1655779599982</c:v>
                </c:pt>
                <c:pt idx="76">
                  <c:v>3.7189096719154</c:v>
                </c:pt>
                <c:pt idx="77">
                  <c:v>4.25577223930883</c:v>
                </c:pt>
                <c:pt idx="78">
                  <c:v>4.77378817307768</c:v>
                </c:pt>
                <c:pt idx="79">
                  <c:v>5.27066344620021</c:v>
                </c:pt>
                <c:pt idx="80">
                  <c:v>5.74419765280338</c:v>
                </c:pt>
                <c:pt idx="81">
                  <c:v>6.19229375263252</c:v>
                </c:pt>
                <c:pt idx="82">
                  <c:v>6.61296735776761</c:v>
                </c:pt>
                <c:pt idx="83">
                  <c:v>7.00435552046009</c:v>
                </c:pt>
                <c:pt idx="84">
                  <c:v>7.36472498317352</c:v>
                </c:pt>
                <c:pt idx="85">
                  <c:v>7.69247985429261</c:v>
                </c:pt>
                <c:pt idx="86">
                  <c:v>7.98616867550914</c:v>
                </c:pt>
                <c:pt idx="87">
                  <c:v>8.24449084958674</c:v>
                </c:pt>
                <c:pt idx="88">
                  <c:v>8.4663024000393</c:v>
                </c:pt>
                <c:pt idx="89">
                  <c:v>8.65062103721644</c:v>
                </c:pt>
                <c:pt idx="90">
                  <c:v>8.7966305083608</c:v>
                </c:pt>
                <c:pt idx="91">
                  <c:v>8.90368421237306</c:v>
                </c:pt>
                <c:pt idx="92">
                  <c:v>8.97130806327675</c:v>
                </c:pt>
                <c:pt idx="93">
                  <c:v>8.99920258970204</c:v>
                </c:pt>
                <c:pt idx="94">
                  <c:v>8.98724426109086</c:v>
                </c:pt>
                <c:pt idx="95">
                  <c:v>8.93548603475047</c:v>
                </c:pt>
                <c:pt idx="96">
                  <c:v>8.84415712133269</c:v>
                </c:pt>
                <c:pt idx="97">
                  <c:v>8.71366196977737</c:v>
                </c:pt>
                <c:pt idx="98">
                  <c:v>8.54457847621543</c:v>
                </c:pt>
                <c:pt idx="99">
                  <c:v>8.33765542476311</c:v>
                </c:pt>
                <c:pt idx="100">
                  <c:v>8.09380917154097</c:v>
                </c:pt>
                <c:pt idx="101">
                  <c:v>7.81411958660238</c:v>
                </c:pt>
                <c:pt idx="102">
                  <c:v>7.49982527174264</c:v>
                </c:pt>
                <c:pt idx="103">
                  <c:v>7.15231807536652</c:v>
                </c:pt>
                <c:pt idx="104">
                  <c:v>6.77313692870525</c:v>
                </c:pt>
                <c:pt idx="105">
                  <c:v>6.36396103067893</c:v>
                </c:pt>
                <c:pt idx="106">
                  <c:v>5.92660241158535</c:v>
                </c:pt>
                <c:pt idx="107">
                  <c:v>5.46299790854668</c:v>
                </c:pt>
                <c:pt idx="108">
                  <c:v>4.97520058825074</c:v>
                </c:pt>
                <c:pt idx="109">
                  <c:v>4.4653706549711</c:v>
                </c:pt>
                <c:pt idx="110">
                  <c:v>3.9357658841297</c:v>
                </c:pt>
                <c:pt idx="111">
                  <c:v>3.38873162376696</c:v>
                </c:pt>
                <c:pt idx="112">
                  <c:v>2.82669040819754</c:v>
                </c:pt>
                <c:pt idx="113">
                  <c:v>2.25213122984776</c:v>
                </c:pt>
                <c:pt idx="114">
                  <c:v>1.66759851678403</c:v>
                </c:pt>
                <c:pt idx="115">
                  <c:v>1.07568086474532</c:v>
                </c:pt>
                <c:pt idx="116">
                  <c:v>0.478999573579609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"Escape"</c:f>
              <c:strCache>
                <c:ptCount val="1"/>
                <c:pt idx="0">
                  <c:v>Escape</c:v>
                </c:pt>
              </c:strCache>
            </c:strRef>
          </c:tx>
          <c:spPr>
            <a:solidFill>
              <a:srgbClr val="c55a11"/>
            </a:solidFill>
            <a:ln w="2484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Alzada!$A$6:$A$150</c:f>
              <c:numCache>
                <c:formatCode>0</c:formatCode>
                <c:ptCount val="14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</c:numCache>
            </c:numRef>
          </c:xVal>
          <c:yVal>
            <c:numRef>
              <c:f>Alzada!$C$6:$C$150</c:f>
              <c:numCache>
                <c:formatCode>0.00</c:formatCode>
                <c:ptCount val="1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0.359323969774657</c:v>
                </c:pt>
                <c:pt idx="28">
                  <c:v>0.956641370826289</c:v>
                </c:pt>
                <c:pt idx="29">
                  <c:v>1.54972229764663</c:v>
                </c:pt>
                <c:pt idx="30">
                  <c:v>2.13594029884003</c:v>
                </c:pt>
                <c:pt idx="31">
                  <c:v>2.71269931539033</c:v>
                </c:pt>
                <c:pt idx="32">
                  <c:v>3.2774451772754</c:v>
                </c:pt>
                <c:pt idx="33">
                  <c:v>3.82767691457688</c:v>
                </c:pt>
                <c:pt idx="34">
                  <c:v>4.36095783299385</c:v>
                </c:pt>
                <c:pt idx="35">
                  <c:v>4.87492630471279</c:v>
                </c:pt>
                <c:pt idx="36">
                  <c:v>5.36730622684651</c:v>
                </c:pt>
                <c:pt idx="37">
                  <c:v>5.83591710112709</c:v>
                </c:pt>
                <c:pt idx="38">
                  <c:v>6.27868369021486</c:v>
                </c:pt>
                <c:pt idx="39">
                  <c:v>6.69364520786083</c:v>
                </c:pt>
                <c:pt idx="40">
                  <c:v>7.07896400222378</c:v>
                </c:pt>
                <c:pt idx="41">
                  <c:v>7.43293369388825</c:v>
                </c:pt>
                <c:pt idx="42">
                  <c:v>7.75398673254426</c:v>
                </c:pt>
                <c:pt idx="43">
                  <c:v>8.040701338864</c:v>
                </c:pt>
                <c:pt idx="44">
                  <c:v>8.29180780083372</c:v>
                </c:pt>
                <c:pt idx="45">
                  <c:v>8.50619409665727</c:v>
                </c:pt>
                <c:pt idx="46">
                  <c:v>8.68291081933064</c:v>
                </c:pt>
                <c:pt idx="47">
                  <c:v>8.82117538107886</c:v>
                </c:pt>
                <c:pt idx="48">
                  <c:v>8.92037547903606</c:v>
                </c:pt>
                <c:pt idx="49">
                  <c:v>8.98007180682105</c:v>
                </c:pt>
                <c:pt idx="50">
                  <c:v>9</c:v>
                </c:pt>
                <c:pt idx="51">
                  <c:v>8.98007180682105</c:v>
                </c:pt>
                <c:pt idx="52">
                  <c:v>8.92037547903606</c:v>
                </c:pt>
                <c:pt idx="53">
                  <c:v>8.82117538107886</c:v>
                </c:pt>
                <c:pt idx="54">
                  <c:v>8.68291081933064</c:v>
                </c:pt>
                <c:pt idx="55">
                  <c:v>8.50619409665727</c:v>
                </c:pt>
                <c:pt idx="56">
                  <c:v>8.29180780083372</c:v>
                </c:pt>
                <c:pt idx="57">
                  <c:v>8.040701338864</c:v>
                </c:pt>
                <c:pt idx="58">
                  <c:v>7.75398673254426</c:v>
                </c:pt>
                <c:pt idx="59">
                  <c:v>7.43293369388826</c:v>
                </c:pt>
                <c:pt idx="60">
                  <c:v>7.07896400222378</c:v>
                </c:pt>
                <c:pt idx="61">
                  <c:v>6.69364520786083</c:v>
                </c:pt>
                <c:pt idx="62">
                  <c:v>6.27868369021486</c:v>
                </c:pt>
                <c:pt idx="63">
                  <c:v>5.83591710112709</c:v>
                </c:pt>
                <c:pt idx="64">
                  <c:v>5.36730622684651</c:v>
                </c:pt>
                <c:pt idx="65">
                  <c:v>4.87492630471279</c:v>
                </c:pt>
                <c:pt idx="66">
                  <c:v>4.36095783299385</c:v>
                </c:pt>
                <c:pt idx="67">
                  <c:v>3.82767691457688</c:v>
                </c:pt>
                <c:pt idx="68">
                  <c:v>3.2774451772754</c:v>
                </c:pt>
                <c:pt idx="69">
                  <c:v>2.71269931539033</c:v>
                </c:pt>
                <c:pt idx="70">
                  <c:v>2.13594029884004</c:v>
                </c:pt>
                <c:pt idx="71">
                  <c:v>1.54972229764663</c:v>
                </c:pt>
                <c:pt idx="72">
                  <c:v>0.956641370826293</c:v>
                </c:pt>
                <c:pt idx="73">
                  <c:v>0.359323969774657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</c:numCache>
            </c:numRef>
          </c:yVal>
          <c:smooth val="1"/>
        </c:ser>
        <c:axId val="29087089"/>
        <c:axId val="96997239"/>
      </c:scatterChart>
      <c:valAx>
        <c:axId val="290870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Ángulo del cigüeñal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97239"/>
        <c:crosses val="autoZero"/>
        <c:crossBetween val="midCat"/>
      </c:valAx>
      <c:valAx>
        <c:axId val="969972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Alzada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8708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7" t="n">
        <v>12</v>
      </c>
      <c r="D6" s="7" t="n">
        <v>10</v>
      </c>
      <c r="E6" s="8" t="n">
        <f aca="false">C6-D6</f>
        <v>2</v>
      </c>
    </row>
    <row r="7" customFormat="false" ht="15" hidden="false" customHeight="false" outlineLevel="0" collapsed="false">
      <c r="A7" s="5" t="s">
        <v>10</v>
      </c>
      <c r="B7" s="6" t="s">
        <v>11</v>
      </c>
      <c r="C7" s="7" t="n">
        <v>44</v>
      </c>
      <c r="D7" s="7" t="n">
        <v>46</v>
      </c>
      <c r="E7" s="8" t="n">
        <f aca="false">C7-D7</f>
        <v>-2</v>
      </c>
    </row>
    <row r="8" customFormat="false" ht="15" hidden="false" customHeight="false" outlineLevel="0" collapsed="false">
      <c r="A8" s="5" t="s">
        <v>12</v>
      </c>
      <c r="B8" s="6" t="s">
        <v>13</v>
      </c>
      <c r="C8" s="7" t="n">
        <v>48</v>
      </c>
      <c r="D8" s="7" t="n">
        <v>46</v>
      </c>
      <c r="E8" s="8" t="n">
        <f aca="false">C8-D8</f>
        <v>2</v>
      </c>
    </row>
    <row r="9" customFormat="false" ht="15" hidden="false" customHeight="false" outlineLevel="0" collapsed="false">
      <c r="A9" s="5" t="s">
        <v>14</v>
      </c>
      <c r="B9" s="6" t="s">
        <v>15</v>
      </c>
      <c r="C9" s="7" t="n">
        <v>8</v>
      </c>
      <c r="D9" s="7" t="n">
        <v>10</v>
      </c>
      <c r="E9" s="8" t="n">
        <f aca="false">C9-D9</f>
        <v>-2</v>
      </c>
    </row>
    <row r="11" customFormat="false" ht="15" hidden="false" customHeight="false" outlineLevel="0" collapsed="false">
      <c r="A11" s="9" t="s">
        <v>16</v>
      </c>
    </row>
    <row r="12" customFormat="false" ht="31.5" hidden="false" customHeight="true" outlineLevel="0" collapsed="false">
      <c r="A12" s="4" t="s">
        <v>17</v>
      </c>
      <c r="B12" s="4" t="s">
        <v>18</v>
      </c>
      <c r="C12" s="4" t="s">
        <v>19</v>
      </c>
      <c r="D12" s="4" t="s">
        <v>20</v>
      </c>
    </row>
    <row r="13" customFormat="false" ht="15" hidden="false" customHeight="false" outlineLevel="0" collapsed="false">
      <c r="A13" s="5" t="s">
        <v>21</v>
      </c>
      <c r="B13" s="6" t="s">
        <v>22</v>
      </c>
      <c r="C13" s="8" t="n">
        <f aca="false">C6+C9</f>
        <v>20</v>
      </c>
      <c r="D13" s="8" t="n">
        <f aca="false">D6+D9</f>
        <v>20</v>
      </c>
    </row>
    <row r="14" customFormat="false" ht="15" hidden="false" customHeight="false" outlineLevel="0" collapsed="false">
      <c r="A14" s="5" t="s">
        <v>23</v>
      </c>
      <c r="B14" s="6" t="s">
        <v>24</v>
      </c>
      <c r="C14" s="8" t="n">
        <f aca="false">C6+180+C7</f>
        <v>236</v>
      </c>
      <c r="D14" s="8" t="n">
        <f aca="false">D6+180+D7</f>
        <v>236</v>
      </c>
    </row>
    <row r="15" customFormat="false" ht="15" hidden="false" customHeight="false" outlineLevel="0" collapsed="false">
      <c r="A15" s="5" t="s">
        <v>25</v>
      </c>
      <c r="B15" s="6" t="s">
        <v>26</v>
      </c>
      <c r="C15" s="8" t="n">
        <f aca="false">C8+180+C9</f>
        <v>236</v>
      </c>
      <c r="D15" s="8" t="n">
        <f aca="false">D8+180+D9</f>
        <v>236</v>
      </c>
    </row>
    <row r="16" customFormat="false" ht="15" hidden="false" customHeight="false" outlineLevel="0" collapsed="false">
      <c r="A16" s="5" t="s">
        <v>27</v>
      </c>
      <c r="B16" s="6" t="s">
        <v>28</v>
      </c>
      <c r="C16" s="8" t="n">
        <f aca="false">360-C6</f>
        <v>348</v>
      </c>
      <c r="D16" s="8" t="n">
        <f aca="false">360-D6</f>
        <v>350</v>
      </c>
    </row>
    <row r="17" customFormat="false" ht="15" hidden="false" customHeight="false" outlineLevel="0" collapsed="false">
      <c r="A17" s="5" t="s">
        <v>29</v>
      </c>
      <c r="B17" s="6" t="s">
        <v>30</v>
      </c>
      <c r="C17" s="8" t="n">
        <f aca="false">540+C7</f>
        <v>584</v>
      </c>
      <c r="D17" s="8" t="n">
        <f aca="false">540+D7</f>
        <v>586</v>
      </c>
    </row>
    <row r="18" customFormat="false" ht="15" hidden="false" customHeight="false" outlineLevel="0" collapsed="false">
      <c r="A18" s="5" t="s">
        <v>31</v>
      </c>
      <c r="B18" s="6" t="s">
        <v>32</v>
      </c>
      <c r="C18" s="8" t="n">
        <f aca="false">180-C8</f>
        <v>132</v>
      </c>
      <c r="D18" s="8" t="n">
        <f aca="false">180-D8</f>
        <v>134</v>
      </c>
    </row>
    <row r="19" customFormat="false" ht="15" hidden="false" customHeight="false" outlineLevel="0" collapsed="false">
      <c r="A19" s="5" t="s">
        <v>33</v>
      </c>
      <c r="B19" s="6" t="s">
        <v>34</v>
      </c>
      <c r="C19" s="8" t="n">
        <f aca="false">360+C9</f>
        <v>368</v>
      </c>
      <c r="D19" s="8" t="n">
        <f aca="false">360+D9</f>
        <v>370</v>
      </c>
    </row>
    <row r="20" customFormat="false" ht="15" hidden="false" customHeight="false" outlineLevel="0" collapsed="false">
      <c r="A20" s="5" t="s">
        <v>35</v>
      </c>
      <c r="B20" s="6" t="s">
        <v>36</v>
      </c>
      <c r="C20" s="8" t="n">
        <f aca="false">C14/2</f>
        <v>118</v>
      </c>
      <c r="D20" s="8" t="n">
        <f aca="false">D14/2</f>
        <v>118</v>
      </c>
    </row>
    <row r="22" customFormat="false" ht="15" hidden="false" customHeight="false" outlineLevel="0" collapsed="false">
      <c r="A22" s="1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11" t="s">
        <v>40</v>
      </c>
      <c r="C3" s="7" t="n">
        <v>9</v>
      </c>
    </row>
    <row r="5" customFormat="false" ht="31.5" hidden="false" customHeight="true" outlineLevel="0" collapsed="false">
      <c r="A5" s="4" t="s">
        <v>41</v>
      </c>
      <c r="B5" s="4" t="s">
        <v>42</v>
      </c>
      <c r="C5" s="4" t="s">
        <v>43</v>
      </c>
    </row>
    <row r="6" customFormat="false" ht="15" hidden="false" customHeight="false" outlineLevel="0" collapsed="false">
      <c r="A6" s="12" t="n">
        <v>0</v>
      </c>
      <c r="B6" s="13" t="n">
        <f aca="false">IF(AND(IF(A6&lt;180,A6+720,A6)&gt;=Cotas!$C$16,IF(A6&lt;180,A6+720,A6)&lt;=Cotas!$C$17),$C$3*SIN(PI()*(IF(A6&lt;180,A6+720,A6)-Cotas!$C$16)/(Cotas!$C$17-Cotas!$C$16)),0)</f>
        <v>0</v>
      </c>
      <c r="C6" s="13" t="n">
        <f aca="false">IF(AND(A6&gt;=Cotas!$C$18,A6&lt;=Cotas!$C$19),$C$3*SIN(PI()*(A6-Cotas!$C$18)/(Cotas!$C$19-Cotas!$C$18)),0)</f>
        <v>0</v>
      </c>
    </row>
    <row r="7" customFormat="false" ht="15" hidden="false" customHeight="false" outlineLevel="0" collapsed="false">
      <c r="A7" s="12" t="n">
        <v>5</v>
      </c>
      <c r="B7" s="13" t="n">
        <f aca="false">IF(AND(IF(A7&lt;180,A7+720,A7)&gt;=Cotas!$C$16,IF(A7&lt;180,A7+720,A7)&lt;=Cotas!$C$17),$C$3*SIN(PI()*(IF(A7&lt;180,A7+720,A7)-Cotas!$C$16)/(Cotas!$C$17-Cotas!$C$16)),0)</f>
        <v>0</v>
      </c>
      <c r="C7" s="13" t="n">
        <f aca="false">IF(AND(A7&gt;=Cotas!$C$18,A7&lt;=Cotas!$C$19),$C$3*SIN(PI()*(A7-Cotas!$C$18)/(Cotas!$C$19-Cotas!$C$18)),0)</f>
        <v>0</v>
      </c>
    </row>
    <row r="8" customFormat="false" ht="15" hidden="false" customHeight="false" outlineLevel="0" collapsed="false">
      <c r="A8" s="12" t="n">
        <v>10</v>
      </c>
      <c r="B8" s="13" t="n">
        <f aca="false">IF(AND(IF(A8&lt;180,A8+720,A8)&gt;=Cotas!$C$16,IF(A8&lt;180,A8+720,A8)&lt;=Cotas!$C$17),$C$3*SIN(PI()*(IF(A8&lt;180,A8+720,A8)-Cotas!$C$16)/(Cotas!$C$17-Cotas!$C$16)),0)</f>
        <v>0</v>
      </c>
      <c r="C8" s="13" t="n">
        <f aca="false">IF(AND(A8&gt;=Cotas!$C$18,A8&lt;=Cotas!$C$19),$C$3*SIN(PI()*(A8-Cotas!$C$18)/(Cotas!$C$19-Cotas!$C$18)),0)</f>
        <v>0</v>
      </c>
    </row>
    <row r="9" customFormat="false" ht="15" hidden="false" customHeight="false" outlineLevel="0" collapsed="false">
      <c r="A9" s="12" t="n">
        <v>15</v>
      </c>
      <c r="B9" s="13" t="n">
        <f aca="false">IF(AND(IF(A9&lt;180,A9+720,A9)&gt;=Cotas!$C$16,IF(A9&lt;180,A9+720,A9)&lt;=Cotas!$C$17),$C$3*SIN(PI()*(IF(A9&lt;180,A9+720,A9)-Cotas!$C$16)/(Cotas!$C$17-Cotas!$C$16)),0)</f>
        <v>0</v>
      </c>
      <c r="C9" s="13" t="n">
        <f aca="false">IF(AND(A9&gt;=Cotas!$C$18,A9&lt;=Cotas!$C$19),$C$3*SIN(PI()*(A9-Cotas!$C$18)/(Cotas!$C$19-Cotas!$C$18)),0)</f>
        <v>0</v>
      </c>
    </row>
    <row r="10" customFormat="false" ht="15" hidden="false" customHeight="false" outlineLevel="0" collapsed="false">
      <c r="A10" s="12" t="n">
        <v>20</v>
      </c>
      <c r="B10" s="13" t="n">
        <f aca="false">IF(AND(IF(A10&lt;180,A10+720,A10)&gt;=Cotas!$C$16,IF(A10&lt;180,A10+720,A10)&lt;=Cotas!$C$17),$C$3*SIN(PI()*(IF(A10&lt;180,A10+720,A10)-Cotas!$C$16)/(Cotas!$C$17-Cotas!$C$16)),0)</f>
        <v>0</v>
      </c>
      <c r="C10" s="13" t="n">
        <f aca="false">IF(AND(A10&gt;=Cotas!$C$18,A10&lt;=Cotas!$C$19),$C$3*SIN(PI()*(A10-Cotas!$C$18)/(Cotas!$C$19-Cotas!$C$18)),0)</f>
        <v>0</v>
      </c>
    </row>
    <row r="11" customFormat="false" ht="15" hidden="false" customHeight="false" outlineLevel="0" collapsed="false">
      <c r="A11" s="12" t="n">
        <v>25</v>
      </c>
      <c r="B11" s="13" t="n">
        <f aca="false">IF(AND(IF(A11&lt;180,A11+720,A11)&gt;=Cotas!$C$16,IF(A11&lt;180,A11+720,A11)&lt;=Cotas!$C$17),$C$3*SIN(PI()*(IF(A11&lt;180,A11+720,A11)-Cotas!$C$16)/(Cotas!$C$17-Cotas!$C$16)),0)</f>
        <v>0</v>
      </c>
      <c r="C11" s="13" t="n">
        <f aca="false">IF(AND(A11&gt;=Cotas!$C$18,A11&lt;=Cotas!$C$19),$C$3*SIN(PI()*(A11-Cotas!$C$18)/(Cotas!$C$19-Cotas!$C$18)),0)</f>
        <v>0</v>
      </c>
    </row>
    <row r="12" customFormat="false" ht="15" hidden="false" customHeight="false" outlineLevel="0" collapsed="false">
      <c r="A12" s="12" t="n">
        <v>30</v>
      </c>
      <c r="B12" s="13" t="n">
        <f aca="false">IF(AND(IF(A12&lt;180,A12+720,A12)&gt;=Cotas!$C$16,IF(A12&lt;180,A12+720,A12)&lt;=Cotas!$C$17),$C$3*SIN(PI()*(IF(A12&lt;180,A12+720,A12)-Cotas!$C$16)/(Cotas!$C$17-Cotas!$C$16)),0)</f>
        <v>0</v>
      </c>
      <c r="C12" s="13" t="n">
        <f aca="false">IF(AND(A12&gt;=Cotas!$C$18,A12&lt;=Cotas!$C$19),$C$3*SIN(PI()*(A12-Cotas!$C$18)/(Cotas!$C$19-Cotas!$C$18)),0)</f>
        <v>0</v>
      </c>
    </row>
    <row r="13" customFormat="false" ht="15" hidden="false" customHeight="false" outlineLevel="0" collapsed="false">
      <c r="A13" s="12" t="n">
        <v>35</v>
      </c>
      <c r="B13" s="13" t="n">
        <f aca="false">IF(AND(IF(A13&lt;180,A13+720,A13)&gt;=Cotas!$C$16,IF(A13&lt;180,A13+720,A13)&lt;=Cotas!$C$17),$C$3*SIN(PI()*(IF(A13&lt;180,A13+720,A13)-Cotas!$C$16)/(Cotas!$C$17-Cotas!$C$16)),0)</f>
        <v>0</v>
      </c>
      <c r="C13" s="13" t="n">
        <f aca="false">IF(AND(A13&gt;=Cotas!$C$18,A13&lt;=Cotas!$C$19),$C$3*SIN(PI()*(A13-Cotas!$C$18)/(Cotas!$C$19-Cotas!$C$18)),0)</f>
        <v>0</v>
      </c>
    </row>
    <row r="14" customFormat="false" ht="15" hidden="false" customHeight="false" outlineLevel="0" collapsed="false">
      <c r="A14" s="12" t="n">
        <v>40</v>
      </c>
      <c r="B14" s="13" t="n">
        <f aca="false">IF(AND(IF(A14&lt;180,A14+720,A14)&gt;=Cotas!$C$16,IF(A14&lt;180,A14+720,A14)&lt;=Cotas!$C$17),$C$3*SIN(PI()*(IF(A14&lt;180,A14+720,A14)-Cotas!$C$16)/(Cotas!$C$17-Cotas!$C$16)),0)</f>
        <v>0</v>
      </c>
      <c r="C14" s="13" t="n">
        <f aca="false">IF(AND(A14&gt;=Cotas!$C$18,A14&lt;=Cotas!$C$19),$C$3*SIN(PI()*(A14-Cotas!$C$18)/(Cotas!$C$19-Cotas!$C$18)),0)</f>
        <v>0</v>
      </c>
    </row>
    <row r="15" customFormat="false" ht="15" hidden="false" customHeight="false" outlineLevel="0" collapsed="false">
      <c r="A15" s="12" t="n">
        <v>45</v>
      </c>
      <c r="B15" s="13" t="n">
        <f aca="false">IF(AND(IF(A15&lt;180,A15+720,A15)&gt;=Cotas!$C$16,IF(A15&lt;180,A15+720,A15)&lt;=Cotas!$C$17),$C$3*SIN(PI()*(IF(A15&lt;180,A15+720,A15)-Cotas!$C$16)/(Cotas!$C$17-Cotas!$C$16)),0)</f>
        <v>0</v>
      </c>
      <c r="C15" s="13" t="n">
        <f aca="false">IF(AND(A15&gt;=Cotas!$C$18,A15&lt;=Cotas!$C$19),$C$3*SIN(PI()*(A15-Cotas!$C$18)/(Cotas!$C$19-Cotas!$C$18)),0)</f>
        <v>0</v>
      </c>
    </row>
    <row r="16" customFormat="false" ht="15" hidden="false" customHeight="false" outlineLevel="0" collapsed="false">
      <c r="A16" s="12" t="n">
        <v>50</v>
      </c>
      <c r="B16" s="13" t="n">
        <f aca="false">IF(AND(IF(A16&lt;180,A16+720,A16)&gt;=Cotas!$C$16,IF(A16&lt;180,A16+720,A16)&lt;=Cotas!$C$17),$C$3*SIN(PI()*(IF(A16&lt;180,A16+720,A16)-Cotas!$C$16)/(Cotas!$C$17-Cotas!$C$16)),0)</f>
        <v>0</v>
      </c>
      <c r="C16" s="13" t="n">
        <f aca="false">IF(AND(A16&gt;=Cotas!$C$18,A16&lt;=Cotas!$C$19),$C$3*SIN(PI()*(A16-Cotas!$C$18)/(Cotas!$C$19-Cotas!$C$18)),0)</f>
        <v>0</v>
      </c>
    </row>
    <row r="17" customFormat="false" ht="15" hidden="false" customHeight="false" outlineLevel="0" collapsed="false">
      <c r="A17" s="12" t="n">
        <v>55</v>
      </c>
      <c r="B17" s="13" t="n">
        <f aca="false">IF(AND(IF(A17&lt;180,A17+720,A17)&gt;=Cotas!$C$16,IF(A17&lt;180,A17+720,A17)&lt;=Cotas!$C$17),$C$3*SIN(PI()*(IF(A17&lt;180,A17+720,A17)-Cotas!$C$16)/(Cotas!$C$17-Cotas!$C$16)),0)</f>
        <v>0</v>
      </c>
      <c r="C17" s="13" t="n">
        <f aca="false">IF(AND(A17&gt;=Cotas!$C$18,A17&lt;=Cotas!$C$19),$C$3*SIN(PI()*(A17-Cotas!$C$18)/(Cotas!$C$19-Cotas!$C$18)),0)</f>
        <v>0</v>
      </c>
    </row>
    <row r="18" customFormat="false" ht="15" hidden="false" customHeight="false" outlineLevel="0" collapsed="false">
      <c r="A18" s="12" t="n">
        <v>60</v>
      </c>
      <c r="B18" s="13" t="n">
        <f aca="false">IF(AND(IF(A18&lt;180,A18+720,A18)&gt;=Cotas!$C$16,IF(A18&lt;180,A18+720,A18)&lt;=Cotas!$C$17),$C$3*SIN(PI()*(IF(A18&lt;180,A18+720,A18)-Cotas!$C$16)/(Cotas!$C$17-Cotas!$C$16)),0)</f>
        <v>0</v>
      </c>
      <c r="C18" s="13" t="n">
        <f aca="false">IF(AND(A18&gt;=Cotas!$C$18,A18&lt;=Cotas!$C$19),$C$3*SIN(PI()*(A18-Cotas!$C$18)/(Cotas!$C$19-Cotas!$C$18)),0)</f>
        <v>0</v>
      </c>
    </row>
    <row r="19" customFormat="false" ht="15" hidden="false" customHeight="false" outlineLevel="0" collapsed="false">
      <c r="A19" s="12" t="n">
        <v>65</v>
      </c>
      <c r="B19" s="13" t="n">
        <f aca="false">IF(AND(IF(A19&lt;180,A19+720,A19)&gt;=Cotas!$C$16,IF(A19&lt;180,A19+720,A19)&lt;=Cotas!$C$17),$C$3*SIN(PI()*(IF(A19&lt;180,A19+720,A19)-Cotas!$C$16)/(Cotas!$C$17-Cotas!$C$16)),0)</f>
        <v>0</v>
      </c>
      <c r="C19" s="13" t="n">
        <f aca="false">IF(AND(A19&gt;=Cotas!$C$18,A19&lt;=Cotas!$C$19),$C$3*SIN(PI()*(A19-Cotas!$C$18)/(Cotas!$C$19-Cotas!$C$18)),0)</f>
        <v>0</v>
      </c>
    </row>
    <row r="20" customFormat="false" ht="15" hidden="false" customHeight="false" outlineLevel="0" collapsed="false">
      <c r="A20" s="12" t="n">
        <v>70</v>
      </c>
      <c r="B20" s="13" t="n">
        <f aca="false">IF(AND(IF(A20&lt;180,A20+720,A20)&gt;=Cotas!$C$16,IF(A20&lt;180,A20+720,A20)&lt;=Cotas!$C$17),$C$3*SIN(PI()*(IF(A20&lt;180,A20+720,A20)-Cotas!$C$16)/(Cotas!$C$17-Cotas!$C$16)),0)</f>
        <v>0</v>
      </c>
      <c r="C20" s="13" t="n">
        <f aca="false">IF(AND(A20&gt;=Cotas!$C$18,A20&lt;=Cotas!$C$19),$C$3*SIN(PI()*(A20-Cotas!$C$18)/(Cotas!$C$19-Cotas!$C$18)),0)</f>
        <v>0</v>
      </c>
    </row>
    <row r="21" customFormat="false" ht="15" hidden="false" customHeight="false" outlineLevel="0" collapsed="false">
      <c r="A21" s="12" t="n">
        <v>75</v>
      </c>
      <c r="B21" s="13" t="n">
        <f aca="false">IF(AND(IF(A21&lt;180,A21+720,A21)&gt;=Cotas!$C$16,IF(A21&lt;180,A21+720,A21)&lt;=Cotas!$C$17),$C$3*SIN(PI()*(IF(A21&lt;180,A21+720,A21)-Cotas!$C$16)/(Cotas!$C$17-Cotas!$C$16)),0)</f>
        <v>0</v>
      </c>
      <c r="C21" s="13" t="n">
        <f aca="false">IF(AND(A21&gt;=Cotas!$C$18,A21&lt;=Cotas!$C$19),$C$3*SIN(PI()*(A21-Cotas!$C$18)/(Cotas!$C$19-Cotas!$C$18)),0)</f>
        <v>0</v>
      </c>
    </row>
    <row r="22" customFormat="false" ht="15" hidden="false" customHeight="false" outlineLevel="0" collapsed="false">
      <c r="A22" s="12" t="n">
        <v>80</v>
      </c>
      <c r="B22" s="13" t="n">
        <f aca="false">IF(AND(IF(A22&lt;180,A22+720,A22)&gt;=Cotas!$C$16,IF(A22&lt;180,A22+720,A22)&lt;=Cotas!$C$17),$C$3*SIN(PI()*(IF(A22&lt;180,A22+720,A22)-Cotas!$C$16)/(Cotas!$C$17-Cotas!$C$16)),0)</f>
        <v>0</v>
      </c>
      <c r="C22" s="13" t="n">
        <f aca="false">IF(AND(A22&gt;=Cotas!$C$18,A22&lt;=Cotas!$C$19),$C$3*SIN(PI()*(A22-Cotas!$C$18)/(Cotas!$C$19-Cotas!$C$18)),0)</f>
        <v>0</v>
      </c>
    </row>
    <row r="23" customFormat="false" ht="15" hidden="false" customHeight="false" outlineLevel="0" collapsed="false">
      <c r="A23" s="12" t="n">
        <v>85</v>
      </c>
      <c r="B23" s="13" t="n">
        <f aca="false">IF(AND(IF(A23&lt;180,A23+720,A23)&gt;=Cotas!$C$16,IF(A23&lt;180,A23+720,A23)&lt;=Cotas!$C$17),$C$3*SIN(PI()*(IF(A23&lt;180,A23+720,A23)-Cotas!$C$16)/(Cotas!$C$17-Cotas!$C$16)),0)</f>
        <v>0</v>
      </c>
      <c r="C23" s="13" t="n">
        <f aca="false">IF(AND(A23&gt;=Cotas!$C$18,A23&lt;=Cotas!$C$19),$C$3*SIN(PI()*(A23-Cotas!$C$18)/(Cotas!$C$19-Cotas!$C$18)),0)</f>
        <v>0</v>
      </c>
    </row>
    <row r="24" customFormat="false" ht="15" hidden="false" customHeight="false" outlineLevel="0" collapsed="false">
      <c r="A24" s="12" t="n">
        <v>90</v>
      </c>
      <c r="B24" s="13" t="n">
        <f aca="false">IF(AND(IF(A24&lt;180,A24+720,A24)&gt;=Cotas!$C$16,IF(A24&lt;180,A24+720,A24)&lt;=Cotas!$C$17),$C$3*SIN(PI()*(IF(A24&lt;180,A24+720,A24)-Cotas!$C$16)/(Cotas!$C$17-Cotas!$C$16)),0)</f>
        <v>0</v>
      </c>
      <c r="C24" s="13" t="n">
        <f aca="false">IF(AND(A24&gt;=Cotas!$C$18,A24&lt;=Cotas!$C$19),$C$3*SIN(PI()*(A24-Cotas!$C$18)/(Cotas!$C$19-Cotas!$C$18)),0)</f>
        <v>0</v>
      </c>
    </row>
    <row r="25" customFormat="false" ht="15" hidden="false" customHeight="false" outlineLevel="0" collapsed="false">
      <c r="A25" s="12" t="n">
        <v>95</v>
      </c>
      <c r="B25" s="13" t="n">
        <f aca="false">IF(AND(IF(A25&lt;180,A25+720,A25)&gt;=Cotas!$C$16,IF(A25&lt;180,A25+720,A25)&lt;=Cotas!$C$17),$C$3*SIN(PI()*(IF(A25&lt;180,A25+720,A25)-Cotas!$C$16)/(Cotas!$C$17-Cotas!$C$16)),0)</f>
        <v>0</v>
      </c>
      <c r="C25" s="13" t="n">
        <f aca="false">IF(AND(A25&gt;=Cotas!$C$18,A25&lt;=Cotas!$C$19),$C$3*SIN(PI()*(A25-Cotas!$C$18)/(Cotas!$C$19-Cotas!$C$18)),0)</f>
        <v>0</v>
      </c>
    </row>
    <row r="26" customFormat="false" ht="15" hidden="false" customHeight="false" outlineLevel="0" collapsed="false">
      <c r="A26" s="12" t="n">
        <v>100</v>
      </c>
      <c r="B26" s="13" t="n">
        <f aca="false">IF(AND(IF(A26&lt;180,A26+720,A26)&gt;=Cotas!$C$16,IF(A26&lt;180,A26+720,A26)&lt;=Cotas!$C$17),$C$3*SIN(PI()*(IF(A26&lt;180,A26+720,A26)-Cotas!$C$16)/(Cotas!$C$17-Cotas!$C$16)),0)</f>
        <v>0</v>
      </c>
      <c r="C26" s="13" t="n">
        <f aca="false">IF(AND(A26&gt;=Cotas!$C$18,A26&lt;=Cotas!$C$19),$C$3*SIN(PI()*(A26-Cotas!$C$18)/(Cotas!$C$19-Cotas!$C$18)),0)</f>
        <v>0</v>
      </c>
    </row>
    <row r="27" customFormat="false" ht="15" hidden="false" customHeight="false" outlineLevel="0" collapsed="false">
      <c r="A27" s="12" t="n">
        <v>105</v>
      </c>
      <c r="B27" s="13" t="n">
        <f aca="false">IF(AND(IF(A27&lt;180,A27+720,A27)&gt;=Cotas!$C$16,IF(A27&lt;180,A27+720,A27)&lt;=Cotas!$C$17),$C$3*SIN(PI()*(IF(A27&lt;180,A27+720,A27)-Cotas!$C$16)/(Cotas!$C$17-Cotas!$C$16)),0)</f>
        <v>0</v>
      </c>
      <c r="C27" s="13" t="n">
        <f aca="false">IF(AND(A27&gt;=Cotas!$C$18,A27&lt;=Cotas!$C$19),$C$3*SIN(PI()*(A27-Cotas!$C$18)/(Cotas!$C$19-Cotas!$C$18)),0)</f>
        <v>0</v>
      </c>
    </row>
    <row r="28" customFormat="false" ht="15" hidden="false" customHeight="false" outlineLevel="0" collapsed="false">
      <c r="A28" s="12" t="n">
        <v>110</v>
      </c>
      <c r="B28" s="13" t="n">
        <f aca="false">IF(AND(IF(A28&lt;180,A28+720,A28)&gt;=Cotas!$C$16,IF(A28&lt;180,A28+720,A28)&lt;=Cotas!$C$17),$C$3*SIN(PI()*(IF(A28&lt;180,A28+720,A28)-Cotas!$C$16)/(Cotas!$C$17-Cotas!$C$16)),0)</f>
        <v>0</v>
      </c>
      <c r="C28" s="13" t="n">
        <f aca="false">IF(AND(A28&gt;=Cotas!$C$18,A28&lt;=Cotas!$C$19),$C$3*SIN(PI()*(A28-Cotas!$C$18)/(Cotas!$C$19-Cotas!$C$18)),0)</f>
        <v>0</v>
      </c>
    </row>
    <row r="29" customFormat="false" ht="15" hidden="false" customHeight="false" outlineLevel="0" collapsed="false">
      <c r="A29" s="12" t="n">
        <v>115</v>
      </c>
      <c r="B29" s="13" t="n">
        <f aca="false">IF(AND(IF(A29&lt;180,A29+720,A29)&gt;=Cotas!$C$16,IF(A29&lt;180,A29+720,A29)&lt;=Cotas!$C$17),$C$3*SIN(PI()*(IF(A29&lt;180,A29+720,A29)-Cotas!$C$16)/(Cotas!$C$17-Cotas!$C$16)),0)</f>
        <v>0</v>
      </c>
      <c r="C29" s="13" t="n">
        <f aca="false">IF(AND(A29&gt;=Cotas!$C$18,A29&lt;=Cotas!$C$19),$C$3*SIN(PI()*(A29-Cotas!$C$18)/(Cotas!$C$19-Cotas!$C$18)),0)</f>
        <v>0</v>
      </c>
    </row>
    <row r="30" customFormat="false" ht="15" hidden="false" customHeight="false" outlineLevel="0" collapsed="false">
      <c r="A30" s="12" t="n">
        <v>120</v>
      </c>
      <c r="B30" s="13" t="n">
        <f aca="false">IF(AND(IF(A30&lt;180,A30+720,A30)&gt;=Cotas!$C$16,IF(A30&lt;180,A30+720,A30)&lt;=Cotas!$C$17),$C$3*SIN(PI()*(IF(A30&lt;180,A30+720,A30)-Cotas!$C$16)/(Cotas!$C$17-Cotas!$C$16)),0)</f>
        <v>0</v>
      </c>
      <c r="C30" s="13" t="n">
        <f aca="false">IF(AND(A30&gt;=Cotas!$C$18,A30&lt;=Cotas!$C$19),$C$3*SIN(PI()*(A30-Cotas!$C$18)/(Cotas!$C$19-Cotas!$C$18)),0)</f>
        <v>0</v>
      </c>
    </row>
    <row r="31" customFormat="false" ht="15" hidden="false" customHeight="false" outlineLevel="0" collapsed="false">
      <c r="A31" s="12" t="n">
        <v>125</v>
      </c>
      <c r="B31" s="13" t="n">
        <f aca="false">IF(AND(IF(A31&lt;180,A31+720,A31)&gt;=Cotas!$C$16,IF(A31&lt;180,A31+720,A31)&lt;=Cotas!$C$17),$C$3*SIN(PI()*(IF(A31&lt;180,A31+720,A31)-Cotas!$C$16)/(Cotas!$C$17-Cotas!$C$16)),0)</f>
        <v>0</v>
      </c>
      <c r="C31" s="13" t="n">
        <f aca="false">IF(AND(A31&gt;=Cotas!$C$18,A31&lt;=Cotas!$C$19),$C$3*SIN(PI()*(A31-Cotas!$C$18)/(Cotas!$C$19-Cotas!$C$18)),0)</f>
        <v>0</v>
      </c>
    </row>
    <row r="32" customFormat="false" ht="15" hidden="false" customHeight="false" outlineLevel="0" collapsed="false">
      <c r="A32" s="12" t="n">
        <v>130</v>
      </c>
      <c r="B32" s="13" t="n">
        <f aca="false">IF(AND(IF(A32&lt;180,A32+720,A32)&gt;=Cotas!$C$16,IF(A32&lt;180,A32+720,A32)&lt;=Cotas!$C$17),$C$3*SIN(PI()*(IF(A32&lt;180,A32+720,A32)-Cotas!$C$16)/(Cotas!$C$17-Cotas!$C$16)),0)</f>
        <v>0</v>
      </c>
      <c r="C32" s="13" t="n">
        <f aca="false">IF(AND(A32&gt;=Cotas!$C$18,A32&lt;=Cotas!$C$19),$C$3*SIN(PI()*(A32-Cotas!$C$18)/(Cotas!$C$19-Cotas!$C$18)),0)</f>
        <v>0</v>
      </c>
    </row>
    <row r="33" customFormat="false" ht="15" hidden="false" customHeight="false" outlineLevel="0" collapsed="false">
      <c r="A33" s="12" t="n">
        <v>135</v>
      </c>
      <c r="B33" s="13" t="n">
        <f aca="false">IF(AND(IF(A33&lt;180,A33+720,A33)&gt;=Cotas!$C$16,IF(A33&lt;180,A33+720,A33)&lt;=Cotas!$C$17),$C$3*SIN(PI()*(IF(A33&lt;180,A33+720,A33)-Cotas!$C$16)/(Cotas!$C$17-Cotas!$C$16)),0)</f>
        <v>0</v>
      </c>
      <c r="C33" s="13" t="n">
        <f aca="false">IF(AND(A33&gt;=Cotas!$C$18,A33&lt;=Cotas!$C$19),$C$3*SIN(PI()*(A33-Cotas!$C$18)/(Cotas!$C$19-Cotas!$C$18)),0)</f>
        <v>0.359323969774657</v>
      </c>
    </row>
    <row r="34" customFormat="false" ht="15" hidden="false" customHeight="false" outlineLevel="0" collapsed="false">
      <c r="A34" s="12" t="n">
        <v>140</v>
      </c>
      <c r="B34" s="13" t="n">
        <f aca="false">IF(AND(IF(A34&lt;180,A34+720,A34)&gt;=Cotas!$C$16,IF(A34&lt;180,A34+720,A34)&lt;=Cotas!$C$17),$C$3*SIN(PI()*(IF(A34&lt;180,A34+720,A34)-Cotas!$C$16)/(Cotas!$C$17-Cotas!$C$16)),0)</f>
        <v>0</v>
      </c>
      <c r="C34" s="13" t="n">
        <f aca="false">IF(AND(A34&gt;=Cotas!$C$18,A34&lt;=Cotas!$C$19),$C$3*SIN(PI()*(A34-Cotas!$C$18)/(Cotas!$C$19-Cotas!$C$18)),0)</f>
        <v>0.956641370826289</v>
      </c>
    </row>
    <row r="35" customFormat="false" ht="15" hidden="false" customHeight="false" outlineLevel="0" collapsed="false">
      <c r="A35" s="12" t="n">
        <v>145</v>
      </c>
      <c r="B35" s="13" t="n">
        <f aca="false">IF(AND(IF(A35&lt;180,A35+720,A35)&gt;=Cotas!$C$16,IF(A35&lt;180,A35+720,A35)&lt;=Cotas!$C$17),$C$3*SIN(PI()*(IF(A35&lt;180,A35+720,A35)-Cotas!$C$16)/(Cotas!$C$17-Cotas!$C$16)),0)</f>
        <v>0</v>
      </c>
      <c r="C35" s="13" t="n">
        <f aca="false">IF(AND(A35&gt;=Cotas!$C$18,A35&lt;=Cotas!$C$19),$C$3*SIN(PI()*(A35-Cotas!$C$18)/(Cotas!$C$19-Cotas!$C$18)),0)</f>
        <v>1.54972229764663</v>
      </c>
    </row>
    <row r="36" customFormat="false" ht="15" hidden="false" customHeight="false" outlineLevel="0" collapsed="false">
      <c r="A36" s="12" t="n">
        <v>150</v>
      </c>
      <c r="B36" s="13" t="n">
        <f aca="false">IF(AND(IF(A36&lt;180,A36+720,A36)&gt;=Cotas!$C$16,IF(A36&lt;180,A36+720,A36)&lt;=Cotas!$C$17),$C$3*SIN(PI()*(IF(A36&lt;180,A36+720,A36)-Cotas!$C$16)/(Cotas!$C$17-Cotas!$C$16)),0)</f>
        <v>0</v>
      </c>
      <c r="C36" s="13" t="n">
        <f aca="false">IF(AND(A36&gt;=Cotas!$C$18,A36&lt;=Cotas!$C$19),$C$3*SIN(PI()*(A36-Cotas!$C$18)/(Cotas!$C$19-Cotas!$C$18)),0)</f>
        <v>2.13594029884003</v>
      </c>
    </row>
    <row r="37" customFormat="false" ht="15" hidden="false" customHeight="false" outlineLevel="0" collapsed="false">
      <c r="A37" s="12" t="n">
        <v>155</v>
      </c>
      <c r="B37" s="13" t="n">
        <f aca="false">IF(AND(IF(A37&lt;180,A37+720,A37)&gt;=Cotas!$C$16,IF(A37&lt;180,A37+720,A37)&lt;=Cotas!$C$17),$C$3*SIN(PI()*(IF(A37&lt;180,A37+720,A37)-Cotas!$C$16)/(Cotas!$C$17-Cotas!$C$16)),0)</f>
        <v>0</v>
      </c>
      <c r="C37" s="13" t="n">
        <f aca="false">IF(AND(A37&gt;=Cotas!$C$18,A37&lt;=Cotas!$C$19),$C$3*SIN(PI()*(A37-Cotas!$C$18)/(Cotas!$C$19-Cotas!$C$18)),0)</f>
        <v>2.71269931539033</v>
      </c>
    </row>
    <row r="38" customFormat="false" ht="15" hidden="false" customHeight="false" outlineLevel="0" collapsed="false">
      <c r="A38" s="12" t="n">
        <v>160</v>
      </c>
      <c r="B38" s="13" t="n">
        <f aca="false">IF(AND(IF(A38&lt;180,A38+720,A38)&gt;=Cotas!$C$16,IF(A38&lt;180,A38+720,A38)&lt;=Cotas!$C$17),$C$3*SIN(PI()*(IF(A38&lt;180,A38+720,A38)-Cotas!$C$16)/(Cotas!$C$17-Cotas!$C$16)),0)</f>
        <v>0</v>
      </c>
      <c r="C38" s="13" t="n">
        <f aca="false">IF(AND(A38&gt;=Cotas!$C$18,A38&lt;=Cotas!$C$19),$C$3*SIN(PI()*(A38-Cotas!$C$18)/(Cotas!$C$19-Cotas!$C$18)),0)</f>
        <v>3.2774451772754</v>
      </c>
    </row>
    <row r="39" customFormat="false" ht="15" hidden="false" customHeight="false" outlineLevel="0" collapsed="false">
      <c r="A39" s="12" t="n">
        <v>165</v>
      </c>
      <c r="B39" s="13" t="n">
        <f aca="false">IF(AND(IF(A39&lt;180,A39+720,A39)&gt;=Cotas!$C$16,IF(A39&lt;180,A39+720,A39)&lt;=Cotas!$C$17),$C$3*SIN(PI()*(IF(A39&lt;180,A39+720,A39)-Cotas!$C$16)/(Cotas!$C$17-Cotas!$C$16)),0)</f>
        <v>0</v>
      </c>
      <c r="C39" s="13" t="n">
        <f aca="false">IF(AND(A39&gt;=Cotas!$C$18,A39&lt;=Cotas!$C$19),$C$3*SIN(PI()*(A39-Cotas!$C$18)/(Cotas!$C$19-Cotas!$C$18)),0)</f>
        <v>3.82767691457688</v>
      </c>
    </row>
    <row r="40" customFormat="false" ht="15" hidden="false" customHeight="false" outlineLevel="0" collapsed="false">
      <c r="A40" s="12" t="n">
        <v>170</v>
      </c>
      <c r="B40" s="13" t="n">
        <f aca="false">IF(AND(IF(A40&lt;180,A40+720,A40)&gt;=Cotas!$C$16,IF(A40&lt;180,A40+720,A40)&lt;=Cotas!$C$17),$C$3*SIN(PI()*(IF(A40&lt;180,A40+720,A40)-Cotas!$C$16)/(Cotas!$C$17-Cotas!$C$16)),0)</f>
        <v>0</v>
      </c>
      <c r="C40" s="13" t="n">
        <f aca="false">IF(AND(A40&gt;=Cotas!$C$18,A40&lt;=Cotas!$C$19),$C$3*SIN(PI()*(A40-Cotas!$C$18)/(Cotas!$C$19-Cotas!$C$18)),0)</f>
        <v>4.36095783299385</v>
      </c>
    </row>
    <row r="41" customFormat="false" ht="15" hidden="false" customHeight="false" outlineLevel="0" collapsed="false">
      <c r="A41" s="12" t="n">
        <v>175</v>
      </c>
      <c r="B41" s="13" t="n">
        <f aca="false">IF(AND(IF(A41&lt;180,A41+720,A41)&gt;=Cotas!$C$16,IF(A41&lt;180,A41+720,A41)&lt;=Cotas!$C$17),$C$3*SIN(PI()*(IF(A41&lt;180,A41+720,A41)-Cotas!$C$16)/(Cotas!$C$17-Cotas!$C$16)),0)</f>
        <v>0</v>
      </c>
      <c r="C41" s="13" t="n">
        <f aca="false">IF(AND(A41&gt;=Cotas!$C$18,A41&lt;=Cotas!$C$19),$C$3*SIN(PI()*(A41-Cotas!$C$18)/(Cotas!$C$19-Cotas!$C$18)),0)</f>
        <v>4.87492630471279</v>
      </c>
    </row>
    <row r="42" customFormat="false" ht="15" hidden="false" customHeight="false" outlineLevel="0" collapsed="false">
      <c r="A42" s="12" t="n">
        <v>180</v>
      </c>
      <c r="B42" s="13" t="n">
        <f aca="false">IF(AND(IF(A42&lt;180,A42+720,A42)&gt;=Cotas!$C$16,IF(A42&lt;180,A42+720,A42)&lt;=Cotas!$C$17),$C$3*SIN(PI()*(IF(A42&lt;180,A42+720,A42)-Cotas!$C$16)/(Cotas!$C$17-Cotas!$C$16)),0)</f>
        <v>0</v>
      </c>
      <c r="C42" s="13" t="n">
        <f aca="false">IF(AND(A42&gt;=Cotas!$C$18,A42&lt;=Cotas!$C$19),$C$3*SIN(PI()*(A42-Cotas!$C$18)/(Cotas!$C$19-Cotas!$C$18)),0)</f>
        <v>5.36730622684651</v>
      </c>
    </row>
    <row r="43" customFormat="false" ht="15" hidden="false" customHeight="false" outlineLevel="0" collapsed="false">
      <c r="A43" s="12" t="n">
        <v>185</v>
      </c>
      <c r="B43" s="13" t="n">
        <f aca="false">IF(AND(IF(A43&lt;180,A43+720,A43)&gt;=Cotas!$C$16,IF(A43&lt;180,A43+720,A43)&lt;=Cotas!$C$17),$C$3*SIN(PI()*(IF(A43&lt;180,A43+720,A43)-Cotas!$C$16)/(Cotas!$C$17-Cotas!$C$16)),0)</f>
        <v>0</v>
      </c>
      <c r="C43" s="13" t="n">
        <f aca="false">IF(AND(A43&gt;=Cotas!$C$18,A43&lt;=Cotas!$C$19),$C$3*SIN(PI()*(A43-Cotas!$C$18)/(Cotas!$C$19-Cotas!$C$18)),0)</f>
        <v>5.83591710112709</v>
      </c>
    </row>
    <row r="44" customFormat="false" ht="15" hidden="false" customHeight="false" outlineLevel="0" collapsed="false">
      <c r="A44" s="12" t="n">
        <v>190</v>
      </c>
      <c r="B44" s="13" t="n">
        <f aca="false">IF(AND(IF(A44&lt;180,A44+720,A44)&gt;=Cotas!$C$16,IF(A44&lt;180,A44+720,A44)&lt;=Cotas!$C$17),$C$3*SIN(PI()*(IF(A44&lt;180,A44+720,A44)-Cotas!$C$16)/(Cotas!$C$17-Cotas!$C$16)),0)</f>
        <v>0</v>
      </c>
      <c r="C44" s="13" t="n">
        <f aca="false">IF(AND(A44&gt;=Cotas!$C$18,A44&lt;=Cotas!$C$19),$C$3*SIN(PI()*(A44-Cotas!$C$18)/(Cotas!$C$19-Cotas!$C$18)),0)</f>
        <v>6.27868369021486</v>
      </c>
    </row>
    <row r="45" customFormat="false" ht="15" hidden="false" customHeight="false" outlineLevel="0" collapsed="false">
      <c r="A45" s="12" t="n">
        <v>195</v>
      </c>
      <c r="B45" s="13" t="n">
        <f aca="false">IF(AND(IF(A45&lt;180,A45+720,A45)&gt;=Cotas!$C$16,IF(A45&lt;180,A45+720,A45)&lt;=Cotas!$C$17),$C$3*SIN(PI()*(IF(A45&lt;180,A45+720,A45)-Cotas!$C$16)/(Cotas!$C$17-Cotas!$C$16)),0)</f>
        <v>0</v>
      </c>
      <c r="C45" s="13" t="n">
        <f aca="false">IF(AND(A45&gt;=Cotas!$C$18,A45&lt;=Cotas!$C$19),$C$3*SIN(PI()*(A45-Cotas!$C$18)/(Cotas!$C$19-Cotas!$C$18)),0)</f>
        <v>6.69364520786083</v>
      </c>
    </row>
    <row r="46" customFormat="false" ht="15" hidden="false" customHeight="false" outlineLevel="0" collapsed="false">
      <c r="A46" s="12" t="n">
        <v>200</v>
      </c>
      <c r="B46" s="13" t="n">
        <f aca="false">IF(AND(IF(A46&lt;180,A46+720,A46)&gt;=Cotas!$C$16,IF(A46&lt;180,A46+720,A46)&lt;=Cotas!$C$17),$C$3*SIN(PI()*(IF(A46&lt;180,A46+720,A46)-Cotas!$C$16)/(Cotas!$C$17-Cotas!$C$16)),0)</f>
        <v>0</v>
      </c>
      <c r="C46" s="13" t="n">
        <f aca="false">IF(AND(A46&gt;=Cotas!$C$18,A46&lt;=Cotas!$C$19),$C$3*SIN(PI()*(A46-Cotas!$C$18)/(Cotas!$C$19-Cotas!$C$18)),0)</f>
        <v>7.07896400222378</v>
      </c>
    </row>
    <row r="47" customFormat="false" ht="15" hidden="false" customHeight="false" outlineLevel="0" collapsed="false">
      <c r="A47" s="12" t="n">
        <v>205</v>
      </c>
      <c r="B47" s="13" t="n">
        <f aca="false">IF(AND(IF(A47&lt;180,A47+720,A47)&gt;=Cotas!$C$16,IF(A47&lt;180,A47+720,A47)&lt;=Cotas!$C$17),$C$3*SIN(PI()*(IF(A47&lt;180,A47+720,A47)-Cotas!$C$16)/(Cotas!$C$17-Cotas!$C$16)),0)</f>
        <v>0</v>
      </c>
      <c r="C47" s="13" t="n">
        <f aca="false">IF(AND(A47&gt;=Cotas!$C$18,A47&lt;=Cotas!$C$19),$C$3*SIN(PI()*(A47-Cotas!$C$18)/(Cotas!$C$19-Cotas!$C$18)),0)</f>
        <v>7.43293369388825</v>
      </c>
    </row>
    <row r="48" customFormat="false" ht="15" hidden="false" customHeight="false" outlineLevel="0" collapsed="false">
      <c r="A48" s="12" t="n">
        <v>210</v>
      </c>
      <c r="B48" s="13" t="n">
        <f aca="false">IF(AND(IF(A48&lt;180,A48+720,A48)&gt;=Cotas!$C$16,IF(A48&lt;180,A48+720,A48)&lt;=Cotas!$C$17),$C$3*SIN(PI()*(IF(A48&lt;180,A48+720,A48)-Cotas!$C$16)/(Cotas!$C$17-Cotas!$C$16)),0)</f>
        <v>0</v>
      </c>
      <c r="C48" s="13" t="n">
        <f aca="false">IF(AND(A48&gt;=Cotas!$C$18,A48&lt;=Cotas!$C$19),$C$3*SIN(PI()*(A48-Cotas!$C$18)/(Cotas!$C$19-Cotas!$C$18)),0)</f>
        <v>7.75398673254426</v>
      </c>
    </row>
    <row r="49" customFormat="false" ht="15" hidden="false" customHeight="false" outlineLevel="0" collapsed="false">
      <c r="A49" s="12" t="n">
        <v>215</v>
      </c>
      <c r="B49" s="13" t="n">
        <f aca="false">IF(AND(IF(A49&lt;180,A49+720,A49)&gt;=Cotas!$C$16,IF(A49&lt;180,A49+720,A49)&lt;=Cotas!$C$17),$C$3*SIN(PI()*(IF(A49&lt;180,A49+720,A49)-Cotas!$C$16)/(Cotas!$C$17-Cotas!$C$16)),0)</f>
        <v>0</v>
      </c>
      <c r="C49" s="13" t="n">
        <f aca="false">IF(AND(A49&gt;=Cotas!$C$18,A49&lt;=Cotas!$C$19),$C$3*SIN(PI()*(A49-Cotas!$C$18)/(Cotas!$C$19-Cotas!$C$18)),0)</f>
        <v>8.040701338864</v>
      </c>
    </row>
    <row r="50" customFormat="false" ht="15" hidden="false" customHeight="false" outlineLevel="0" collapsed="false">
      <c r="A50" s="12" t="n">
        <v>220</v>
      </c>
      <c r="B50" s="13" t="n">
        <f aca="false">IF(AND(IF(A50&lt;180,A50+720,A50)&gt;=Cotas!$C$16,IF(A50&lt;180,A50+720,A50)&lt;=Cotas!$C$17),$C$3*SIN(PI()*(IF(A50&lt;180,A50+720,A50)-Cotas!$C$16)/(Cotas!$C$17-Cotas!$C$16)),0)</f>
        <v>0</v>
      </c>
      <c r="C50" s="13" t="n">
        <f aca="false">IF(AND(A50&gt;=Cotas!$C$18,A50&lt;=Cotas!$C$19),$C$3*SIN(PI()*(A50-Cotas!$C$18)/(Cotas!$C$19-Cotas!$C$18)),0)</f>
        <v>8.29180780083372</v>
      </c>
    </row>
    <row r="51" customFormat="false" ht="15" hidden="false" customHeight="false" outlineLevel="0" collapsed="false">
      <c r="A51" s="12" t="n">
        <v>225</v>
      </c>
      <c r="B51" s="13" t="n">
        <f aca="false">IF(AND(IF(A51&lt;180,A51+720,A51)&gt;=Cotas!$C$16,IF(A51&lt;180,A51+720,A51)&lt;=Cotas!$C$17),$C$3*SIN(PI()*(IF(A51&lt;180,A51+720,A51)-Cotas!$C$16)/(Cotas!$C$17-Cotas!$C$16)),0)</f>
        <v>0</v>
      </c>
      <c r="C51" s="13" t="n">
        <f aca="false">IF(AND(A51&gt;=Cotas!$C$18,A51&lt;=Cotas!$C$19),$C$3*SIN(PI()*(A51-Cotas!$C$18)/(Cotas!$C$19-Cotas!$C$18)),0)</f>
        <v>8.50619409665727</v>
      </c>
    </row>
    <row r="52" customFormat="false" ht="15" hidden="false" customHeight="false" outlineLevel="0" collapsed="false">
      <c r="A52" s="12" t="n">
        <v>230</v>
      </c>
      <c r="B52" s="13" t="n">
        <f aca="false">IF(AND(IF(A52&lt;180,A52+720,A52)&gt;=Cotas!$C$16,IF(A52&lt;180,A52+720,A52)&lt;=Cotas!$C$17),$C$3*SIN(PI()*(IF(A52&lt;180,A52+720,A52)-Cotas!$C$16)/(Cotas!$C$17-Cotas!$C$16)),0)</f>
        <v>0</v>
      </c>
      <c r="C52" s="13" t="n">
        <f aca="false">IF(AND(A52&gt;=Cotas!$C$18,A52&lt;=Cotas!$C$19),$C$3*SIN(PI()*(A52-Cotas!$C$18)/(Cotas!$C$19-Cotas!$C$18)),0)</f>
        <v>8.68291081933064</v>
      </c>
    </row>
    <row r="53" customFormat="false" ht="15" hidden="false" customHeight="false" outlineLevel="0" collapsed="false">
      <c r="A53" s="12" t="n">
        <v>235</v>
      </c>
      <c r="B53" s="13" t="n">
        <f aca="false">IF(AND(IF(A53&lt;180,A53+720,A53)&gt;=Cotas!$C$16,IF(A53&lt;180,A53+720,A53)&lt;=Cotas!$C$17),$C$3*SIN(PI()*(IF(A53&lt;180,A53+720,A53)-Cotas!$C$16)/(Cotas!$C$17-Cotas!$C$16)),0)</f>
        <v>0</v>
      </c>
      <c r="C53" s="13" t="n">
        <f aca="false">IF(AND(A53&gt;=Cotas!$C$18,A53&lt;=Cotas!$C$19),$C$3*SIN(PI()*(A53-Cotas!$C$18)/(Cotas!$C$19-Cotas!$C$18)),0)</f>
        <v>8.82117538107886</v>
      </c>
    </row>
    <row r="54" customFormat="false" ht="15" hidden="false" customHeight="false" outlineLevel="0" collapsed="false">
      <c r="A54" s="12" t="n">
        <v>240</v>
      </c>
      <c r="B54" s="13" t="n">
        <f aca="false">IF(AND(IF(A54&lt;180,A54+720,A54)&gt;=Cotas!$C$16,IF(A54&lt;180,A54+720,A54)&lt;=Cotas!$C$17),$C$3*SIN(PI()*(IF(A54&lt;180,A54+720,A54)-Cotas!$C$16)/(Cotas!$C$17-Cotas!$C$16)),0)</f>
        <v>0</v>
      </c>
      <c r="C54" s="13" t="n">
        <f aca="false">IF(AND(A54&gt;=Cotas!$C$18,A54&lt;=Cotas!$C$19),$C$3*SIN(PI()*(A54-Cotas!$C$18)/(Cotas!$C$19-Cotas!$C$18)),0)</f>
        <v>8.92037547903606</v>
      </c>
    </row>
    <row r="55" customFormat="false" ht="15" hidden="false" customHeight="false" outlineLevel="0" collapsed="false">
      <c r="A55" s="12" t="n">
        <v>245</v>
      </c>
      <c r="B55" s="13" t="n">
        <f aca="false">IF(AND(IF(A55&lt;180,A55+720,A55)&gt;=Cotas!$C$16,IF(A55&lt;180,A55+720,A55)&lt;=Cotas!$C$17),$C$3*SIN(PI()*(IF(A55&lt;180,A55+720,A55)-Cotas!$C$16)/(Cotas!$C$17-Cotas!$C$16)),0)</f>
        <v>0</v>
      </c>
      <c r="C55" s="13" t="n">
        <f aca="false">IF(AND(A55&gt;=Cotas!$C$18,A55&lt;=Cotas!$C$19),$C$3*SIN(PI()*(A55-Cotas!$C$18)/(Cotas!$C$19-Cotas!$C$18)),0)</f>
        <v>8.98007180682105</v>
      </c>
    </row>
    <row r="56" customFormat="false" ht="15" hidden="false" customHeight="false" outlineLevel="0" collapsed="false">
      <c r="A56" s="12" t="n">
        <v>250</v>
      </c>
      <c r="B56" s="13" t="n">
        <f aca="false">IF(AND(IF(A56&lt;180,A56+720,A56)&gt;=Cotas!$C$16,IF(A56&lt;180,A56+720,A56)&lt;=Cotas!$C$17),$C$3*SIN(PI()*(IF(A56&lt;180,A56+720,A56)-Cotas!$C$16)/(Cotas!$C$17-Cotas!$C$16)),0)</f>
        <v>0</v>
      </c>
      <c r="C56" s="13" t="n">
        <f aca="false">IF(AND(A56&gt;=Cotas!$C$18,A56&lt;=Cotas!$C$19),$C$3*SIN(PI()*(A56-Cotas!$C$18)/(Cotas!$C$19-Cotas!$C$18)),0)</f>
        <v>9</v>
      </c>
    </row>
    <row r="57" customFormat="false" ht="15" hidden="false" customHeight="false" outlineLevel="0" collapsed="false">
      <c r="A57" s="12" t="n">
        <v>255</v>
      </c>
      <c r="B57" s="13" t="n">
        <f aca="false">IF(AND(IF(A57&lt;180,A57+720,A57)&gt;=Cotas!$C$16,IF(A57&lt;180,A57+720,A57)&lt;=Cotas!$C$17),$C$3*SIN(PI()*(IF(A57&lt;180,A57+720,A57)-Cotas!$C$16)/(Cotas!$C$17-Cotas!$C$16)),0)</f>
        <v>0</v>
      </c>
      <c r="C57" s="13" t="n">
        <f aca="false">IF(AND(A57&gt;=Cotas!$C$18,A57&lt;=Cotas!$C$19),$C$3*SIN(PI()*(A57-Cotas!$C$18)/(Cotas!$C$19-Cotas!$C$18)),0)</f>
        <v>8.98007180682105</v>
      </c>
    </row>
    <row r="58" customFormat="false" ht="15" hidden="false" customHeight="false" outlineLevel="0" collapsed="false">
      <c r="A58" s="12" t="n">
        <v>260</v>
      </c>
      <c r="B58" s="13" t="n">
        <f aca="false">IF(AND(IF(A58&lt;180,A58+720,A58)&gt;=Cotas!$C$16,IF(A58&lt;180,A58+720,A58)&lt;=Cotas!$C$17),$C$3*SIN(PI()*(IF(A58&lt;180,A58+720,A58)-Cotas!$C$16)/(Cotas!$C$17-Cotas!$C$16)),0)</f>
        <v>0</v>
      </c>
      <c r="C58" s="13" t="n">
        <f aca="false">IF(AND(A58&gt;=Cotas!$C$18,A58&lt;=Cotas!$C$19),$C$3*SIN(PI()*(A58-Cotas!$C$18)/(Cotas!$C$19-Cotas!$C$18)),0)</f>
        <v>8.92037547903606</v>
      </c>
    </row>
    <row r="59" customFormat="false" ht="15" hidden="false" customHeight="false" outlineLevel="0" collapsed="false">
      <c r="A59" s="12" t="n">
        <v>265</v>
      </c>
      <c r="B59" s="13" t="n">
        <f aca="false">IF(AND(IF(A59&lt;180,A59+720,A59)&gt;=Cotas!$C$16,IF(A59&lt;180,A59+720,A59)&lt;=Cotas!$C$17),$C$3*SIN(PI()*(IF(A59&lt;180,A59+720,A59)-Cotas!$C$16)/(Cotas!$C$17-Cotas!$C$16)),0)</f>
        <v>0</v>
      </c>
      <c r="C59" s="13" t="n">
        <f aca="false">IF(AND(A59&gt;=Cotas!$C$18,A59&lt;=Cotas!$C$19),$C$3*SIN(PI()*(A59-Cotas!$C$18)/(Cotas!$C$19-Cotas!$C$18)),0)</f>
        <v>8.82117538107886</v>
      </c>
    </row>
    <row r="60" customFormat="false" ht="15" hidden="false" customHeight="false" outlineLevel="0" collapsed="false">
      <c r="A60" s="12" t="n">
        <v>270</v>
      </c>
      <c r="B60" s="13" t="n">
        <f aca="false">IF(AND(IF(A60&lt;180,A60+720,A60)&gt;=Cotas!$C$16,IF(A60&lt;180,A60+720,A60)&lt;=Cotas!$C$17),$C$3*SIN(PI()*(IF(A60&lt;180,A60+720,A60)-Cotas!$C$16)/(Cotas!$C$17-Cotas!$C$16)),0)</f>
        <v>0</v>
      </c>
      <c r="C60" s="13" t="n">
        <f aca="false">IF(AND(A60&gt;=Cotas!$C$18,A60&lt;=Cotas!$C$19),$C$3*SIN(PI()*(A60-Cotas!$C$18)/(Cotas!$C$19-Cotas!$C$18)),0)</f>
        <v>8.68291081933064</v>
      </c>
    </row>
    <row r="61" customFormat="false" ht="15" hidden="false" customHeight="false" outlineLevel="0" collapsed="false">
      <c r="A61" s="12" t="n">
        <v>275</v>
      </c>
      <c r="B61" s="13" t="n">
        <f aca="false">IF(AND(IF(A61&lt;180,A61+720,A61)&gt;=Cotas!$C$16,IF(A61&lt;180,A61+720,A61)&lt;=Cotas!$C$17),$C$3*SIN(PI()*(IF(A61&lt;180,A61+720,A61)-Cotas!$C$16)/(Cotas!$C$17-Cotas!$C$16)),0)</f>
        <v>0</v>
      </c>
      <c r="C61" s="13" t="n">
        <f aca="false">IF(AND(A61&gt;=Cotas!$C$18,A61&lt;=Cotas!$C$19),$C$3*SIN(PI()*(A61-Cotas!$C$18)/(Cotas!$C$19-Cotas!$C$18)),0)</f>
        <v>8.50619409665727</v>
      </c>
    </row>
    <row r="62" customFormat="false" ht="15" hidden="false" customHeight="false" outlineLevel="0" collapsed="false">
      <c r="A62" s="12" t="n">
        <v>280</v>
      </c>
      <c r="B62" s="13" t="n">
        <f aca="false">IF(AND(IF(A62&lt;180,A62+720,A62)&gt;=Cotas!$C$16,IF(A62&lt;180,A62+720,A62)&lt;=Cotas!$C$17),$C$3*SIN(PI()*(IF(A62&lt;180,A62+720,A62)-Cotas!$C$16)/(Cotas!$C$17-Cotas!$C$16)),0)</f>
        <v>0</v>
      </c>
      <c r="C62" s="13" t="n">
        <f aca="false">IF(AND(A62&gt;=Cotas!$C$18,A62&lt;=Cotas!$C$19),$C$3*SIN(PI()*(A62-Cotas!$C$18)/(Cotas!$C$19-Cotas!$C$18)),0)</f>
        <v>8.29180780083372</v>
      </c>
    </row>
    <row r="63" customFormat="false" ht="15" hidden="false" customHeight="false" outlineLevel="0" collapsed="false">
      <c r="A63" s="12" t="n">
        <v>285</v>
      </c>
      <c r="B63" s="13" t="n">
        <f aca="false">IF(AND(IF(A63&lt;180,A63+720,A63)&gt;=Cotas!$C$16,IF(A63&lt;180,A63+720,A63)&lt;=Cotas!$C$17),$C$3*SIN(PI()*(IF(A63&lt;180,A63+720,A63)-Cotas!$C$16)/(Cotas!$C$17-Cotas!$C$16)),0)</f>
        <v>0</v>
      </c>
      <c r="C63" s="13" t="n">
        <f aca="false">IF(AND(A63&gt;=Cotas!$C$18,A63&lt;=Cotas!$C$19),$C$3*SIN(PI()*(A63-Cotas!$C$18)/(Cotas!$C$19-Cotas!$C$18)),0)</f>
        <v>8.040701338864</v>
      </c>
    </row>
    <row r="64" customFormat="false" ht="15" hidden="false" customHeight="false" outlineLevel="0" collapsed="false">
      <c r="A64" s="12" t="n">
        <v>290</v>
      </c>
      <c r="B64" s="13" t="n">
        <f aca="false">IF(AND(IF(A64&lt;180,A64+720,A64)&gt;=Cotas!$C$16,IF(A64&lt;180,A64+720,A64)&lt;=Cotas!$C$17),$C$3*SIN(PI()*(IF(A64&lt;180,A64+720,A64)-Cotas!$C$16)/(Cotas!$C$17-Cotas!$C$16)),0)</f>
        <v>0</v>
      </c>
      <c r="C64" s="13" t="n">
        <f aca="false">IF(AND(A64&gt;=Cotas!$C$18,A64&lt;=Cotas!$C$19),$C$3*SIN(PI()*(A64-Cotas!$C$18)/(Cotas!$C$19-Cotas!$C$18)),0)</f>
        <v>7.75398673254426</v>
      </c>
    </row>
    <row r="65" customFormat="false" ht="15" hidden="false" customHeight="false" outlineLevel="0" collapsed="false">
      <c r="A65" s="12" t="n">
        <v>295</v>
      </c>
      <c r="B65" s="13" t="n">
        <f aca="false">IF(AND(IF(A65&lt;180,A65+720,A65)&gt;=Cotas!$C$16,IF(A65&lt;180,A65+720,A65)&lt;=Cotas!$C$17),$C$3*SIN(PI()*(IF(A65&lt;180,A65+720,A65)-Cotas!$C$16)/(Cotas!$C$17-Cotas!$C$16)),0)</f>
        <v>0</v>
      </c>
      <c r="C65" s="13" t="n">
        <f aca="false">IF(AND(A65&gt;=Cotas!$C$18,A65&lt;=Cotas!$C$19),$C$3*SIN(PI()*(A65-Cotas!$C$18)/(Cotas!$C$19-Cotas!$C$18)),0)</f>
        <v>7.43293369388826</v>
      </c>
    </row>
    <row r="66" customFormat="false" ht="15" hidden="false" customHeight="false" outlineLevel="0" collapsed="false">
      <c r="A66" s="12" t="n">
        <v>300</v>
      </c>
      <c r="B66" s="13" t="n">
        <f aca="false">IF(AND(IF(A66&lt;180,A66+720,A66)&gt;=Cotas!$C$16,IF(A66&lt;180,A66+720,A66)&lt;=Cotas!$C$17),$C$3*SIN(PI()*(IF(A66&lt;180,A66+720,A66)-Cotas!$C$16)/(Cotas!$C$17-Cotas!$C$16)),0)</f>
        <v>0</v>
      </c>
      <c r="C66" s="13" t="n">
        <f aca="false">IF(AND(A66&gt;=Cotas!$C$18,A66&lt;=Cotas!$C$19),$C$3*SIN(PI()*(A66-Cotas!$C$18)/(Cotas!$C$19-Cotas!$C$18)),0)</f>
        <v>7.07896400222378</v>
      </c>
    </row>
    <row r="67" customFormat="false" ht="15" hidden="false" customHeight="false" outlineLevel="0" collapsed="false">
      <c r="A67" s="12" t="n">
        <v>305</v>
      </c>
      <c r="B67" s="13" t="n">
        <f aca="false">IF(AND(IF(A67&lt;180,A67+720,A67)&gt;=Cotas!$C$16,IF(A67&lt;180,A67+720,A67)&lt;=Cotas!$C$17),$C$3*SIN(PI()*(IF(A67&lt;180,A67+720,A67)-Cotas!$C$16)/(Cotas!$C$17-Cotas!$C$16)),0)</f>
        <v>0</v>
      </c>
      <c r="C67" s="13" t="n">
        <f aca="false">IF(AND(A67&gt;=Cotas!$C$18,A67&lt;=Cotas!$C$19),$C$3*SIN(PI()*(A67-Cotas!$C$18)/(Cotas!$C$19-Cotas!$C$18)),0)</f>
        <v>6.69364520786083</v>
      </c>
    </row>
    <row r="68" customFormat="false" ht="15" hidden="false" customHeight="false" outlineLevel="0" collapsed="false">
      <c r="A68" s="12" t="n">
        <v>310</v>
      </c>
      <c r="B68" s="13" t="n">
        <f aca="false">IF(AND(IF(A68&lt;180,A68+720,A68)&gt;=Cotas!$C$16,IF(A68&lt;180,A68+720,A68)&lt;=Cotas!$C$17),$C$3*SIN(PI()*(IF(A68&lt;180,A68+720,A68)-Cotas!$C$16)/(Cotas!$C$17-Cotas!$C$16)),0)</f>
        <v>0</v>
      </c>
      <c r="C68" s="13" t="n">
        <f aca="false">IF(AND(A68&gt;=Cotas!$C$18,A68&lt;=Cotas!$C$19),$C$3*SIN(PI()*(A68-Cotas!$C$18)/(Cotas!$C$19-Cotas!$C$18)),0)</f>
        <v>6.27868369021486</v>
      </c>
    </row>
    <row r="69" customFormat="false" ht="15" hidden="false" customHeight="false" outlineLevel="0" collapsed="false">
      <c r="A69" s="12" t="n">
        <v>315</v>
      </c>
      <c r="B69" s="13" t="n">
        <f aca="false">IF(AND(IF(A69&lt;180,A69+720,A69)&gt;=Cotas!$C$16,IF(A69&lt;180,A69+720,A69)&lt;=Cotas!$C$17),$C$3*SIN(PI()*(IF(A69&lt;180,A69+720,A69)-Cotas!$C$16)/(Cotas!$C$17-Cotas!$C$16)),0)</f>
        <v>0</v>
      </c>
      <c r="C69" s="13" t="n">
        <f aca="false">IF(AND(A69&gt;=Cotas!$C$18,A69&lt;=Cotas!$C$19),$C$3*SIN(PI()*(A69-Cotas!$C$18)/(Cotas!$C$19-Cotas!$C$18)),0)</f>
        <v>5.83591710112709</v>
      </c>
    </row>
    <row r="70" customFormat="false" ht="15" hidden="false" customHeight="false" outlineLevel="0" collapsed="false">
      <c r="A70" s="12" t="n">
        <v>320</v>
      </c>
      <c r="B70" s="13" t="n">
        <f aca="false">IF(AND(IF(A70&lt;180,A70+720,A70)&gt;=Cotas!$C$16,IF(A70&lt;180,A70+720,A70)&lt;=Cotas!$C$17),$C$3*SIN(PI()*(IF(A70&lt;180,A70+720,A70)-Cotas!$C$16)/(Cotas!$C$17-Cotas!$C$16)),0)</f>
        <v>0</v>
      </c>
      <c r="C70" s="13" t="n">
        <f aca="false">IF(AND(A70&gt;=Cotas!$C$18,A70&lt;=Cotas!$C$19),$C$3*SIN(PI()*(A70-Cotas!$C$18)/(Cotas!$C$19-Cotas!$C$18)),0)</f>
        <v>5.36730622684651</v>
      </c>
    </row>
    <row r="71" customFormat="false" ht="15" hidden="false" customHeight="false" outlineLevel="0" collapsed="false">
      <c r="A71" s="12" t="n">
        <v>325</v>
      </c>
      <c r="B71" s="13" t="n">
        <f aca="false">IF(AND(IF(A71&lt;180,A71+720,A71)&gt;=Cotas!$C$16,IF(A71&lt;180,A71+720,A71)&lt;=Cotas!$C$17),$C$3*SIN(PI()*(IF(A71&lt;180,A71+720,A71)-Cotas!$C$16)/(Cotas!$C$17-Cotas!$C$16)),0)</f>
        <v>0</v>
      </c>
      <c r="C71" s="13" t="n">
        <f aca="false">IF(AND(A71&gt;=Cotas!$C$18,A71&lt;=Cotas!$C$19),$C$3*SIN(PI()*(A71-Cotas!$C$18)/(Cotas!$C$19-Cotas!$C$18)),0)</f>
        <v>4.87492630471279</v>
      </c>
    </row>
    <row r="72" customFormat="false" ht="15" hidden="false" customHeight="false" outlineLevel="0" collapsed="false">
      <c r="A72" s="12" t="n">
        <v>330</v>
      </c>
      <c r="B72" s="13" t="n">
        <f aca="false">IF(AND(IF(A72&lt;180,A72+720,A72)&gt;=Cotas!$C$16,IF(A72&lt;180,A72+720,A72)&lt;=Cotas!$C$17),$C$3*SIN(PI()*(IF(A72&lt;180,A72+720,A72)-Cotas!$C$16)/(Cotas!$C$17-Cotas!$C$16)),0)</f>
        <v>0</v>
      </c>
      <c r="C72" s="13" t="n">
        <f aca="false">IF(AND(A72&gt;=Cotas!$C$18,A72&lt;=Cotas!$C$19),$C$3*SIN(PI()*(A72-Cotas!$C$18)/(Cotas!$C$19-Cotas!$C$18)),0)</f>
        <v>4.36095783299385</v>
      </c>
    </row>
    <row r="73" customFormat="false" ht="15" hidden="false" customHeight="false" outlineLevel="0" collapsed="false">
      <c r="A73" s="12" t="n">
        <v>335</v>
      </c>
      <c r="B73" s="13" t="n">
        <f aca="false">IF(AND(IF(A73&lt;180,A73+720,A73)&gt;=Cotas!$C$16,IF(A73&lt;180,A73+720,A73)&lt;=Cotas!$C$17),$C$3*SIN(PI()*(IF(A73&lt;180,A73+720,A73)-Cotas!$C$16)/(Cotas!$C$17-Cotas!$C$16)),0)</f>
        <v>0</v>
      </c>
      <c r="C73" s="13" t="n">
        <f aca="false">IF(AND(A73&gt;=Cotas!$C$18,A73&lt;=Cotas!$C$19),$C$3*SIN(PI()*(A73-Cotas!$C$18)/(Cotas!$C$19-Cotas!$C$18)),0)</f>
        <v>3.82767691457688</v>
      </c>
    </row>
    <row r="74" customFormat="false" ht="15" hidden="false" customHeight="false" outlineLevel="0" collapsed="false">
      <c r="A74" s="12" t="n">
        <v>340</v>
      </c>
      <c r="B74" s="13" t="n">
        <f aca="false">IF(AND(IF(A74&lt;180,A74+720,A74)&gt;=Cotas!$C$16,IF(A74&lt;180,A74+720,A74)&lt;=Cotas!$C$17),$C$3*SIN(PI()*(IF(A74&lt;180,A74+720,A74)-Cotas!$C$16)/(Cotas!$C$17-Cotas!$C$16)),0)</f>
        <v>0</v>
      </c>
      <c r="C74" s="13" t="n">
        <f aca="false">IF(AND(A74&gt;=Cotas!$C$18,A74&lt;=Cotas!$C$19),$C$3*SIN(PI()*(A74-Cotas!$C$18)/(Cotas!$C$19-Cotas!$C$18)),0)</f>
        <v>3.2774451772754</v>
      </c>
    </row>
    <row r="75" customFormat="false" ht="15" hidden="false" customHeight="false" outlineLevel="0" collapsed="false">
      <c r="A75" s="12" t="n">
        <v>345</v>
      </c>
      <c r="B75" s="13" t="n">
        <f aca="false">IF(AND(IF(A75&lt;180,A75+720,A75)&gt;=Cotas!$C$16,IF(A75&lt;180,A75+720,A75)&lt;=Cotas!$C$17),$C$3*SIN(PI()*(IF(A75&lt;180,A75+720,A75)-Cotas!$C$16)/(Cotas!$C$17-Cotas!$C$16)),0)</f>
        <v>0</v>
      </c>
      <c r="C75" s="13" t="n">
        <f aca="false">IF(AND(A75&gt;=Cotas!$C$18,A75&lt;=Cotas!$C$19),$C$3*SIN(PI()*(A75-Cotas!$C$18)/(Cotas!$C$19-Cotas!$C$18)),0)</f>
        <v>2.71269931539033</v>
      </c>
    </row>
    <row r="76" customFormat="false" ht="15" hidden="false" customHeight="false" outlineLevel="0" collapsed="false">
      <c r="A76" s="12" t="n">
        <v>350</v>
      </c>
      <c r="B76" s="13" t="n">
        <f aca="false">IF(AND(IF(A76&lt;180,A76+720,A76)&gt;=Cotas!$C$16,IF(A76&lt;180,A76+720,A76)&lt;=Cotas!$C$17),$C$3*SIN(PI()*(IF(A76&lt;180,A76+720,A76)-Cotas!$C$16)/(Cotas!$C$17-Cotas!$C$16)),0)</f>
        <v>0.239584692939973</v>
      </c>
      <c r="C76" s="13" t="n">
        <f aca="false">IF(AND(A76&gt;=Cotas!$C$18,A76&lt;=Cotas!$C$19),$C$3*SIN(PI()*(A76-Cotas!$C$18)/(Cotas!$C$19-Cotas!$C$18)),0)</f>
        <v>2.13594029884004</v>
      </c>
    </row>
    <row r="77" customFormat="false" ht="15" hidden="false" customHeight="false" outlineLevel="0" collapsed="false">
      <c r="A77" s="12" t="n">
        <v>355</v>
      </c>
      <c r="B77" s="13" t="n">
        <f aca="false">IF(AND(IF(A77&lt;180,A77+720,A77)&gt;=Cotas!$C$16,IF(A77&lt;180,A77+720,A77)&lt;=Cotas!$C$17),$C$3*SIN(PI()*(IF(A77&lt;180,A77+720,A77)-Cotas!$C$16)/(Cotas!$C$17-Cotas!$C$16)),0)</f>
        <v>0.837432357867131</v>
      </c>
      <c r="C77" s="13" t="n">
        <f aca="false">IF(AND(A77&gt;=Cotas!$C$18,A77&lt;=Cotas!$C$19),$C$3*SIN(PI()*(A77-Cotas!$C$18)/(Cotas!$C$19-Cotas!$C$18)),0)</f>
        <v>1.54972229764663</v>
      </c>
    </row>
    <row r="78" customFormat="false" ht="15" hidden="false" customHeight="false" outlineLevel="0" collapsed="false">
      <c r="A78" s="12" t="n">
        <v>360</v>
      </c>
      <c r="B78" s="13" t="n">
        <f aca="false">IF(AND(IF(A78&lt;180,A78+720,A78)&gt;=Cotas!$C$16,IF(A78&lt;180,A78+720,A78)&lt;=Cotas!$C$17),$C$3*SIN(PI()*(IF(A78&lt;180,A78+720,A78)-Cotas!$C$16)/(Cotas!$C$17-Cotas!$C$16)),0)</f>
        <v>1.43157146417165</v>
      </c>
      <c r="C78" s="13" t="n">
        <f aca="false">IF(AND(A78&gt;=Cotas!$C$18,A78&lt;=Cotas!$C$19),$C$3*SIN(PI()*(A78-Cotas!$C$18)/(Cotas!$C$19-Cotas!$C$18)),0)</f>
        <v>0.956641370826293</v>
      </c>
    </row>
    <row r="79" customFormat="false" ht="15" hidden="false" customHeight="false" outlineLevel="0" collapsed="false">
      <c r="A79" s="12" t="n">
        <v>365</v>
      </c>
      <c r="B79" s="13" t="n">
        <f aca="false">IF(AND(IF(A79&lt;180,A79+720,A79)&gt;=Cotas!$C$16,IF(A79&lt;180,A79+720,A79)&lt;=Cotas!$C$17),$C$3*SIN(PI()*(IF(A79&lt;180,A79+720,A79)-Cotas!$C$16)/(Cotas!$C$17-Cotas!$C$16)),0)</f>
        <v>2.01937087432339</v>
      </c>
      <c r="C79" s="13" t="n">
        <f aca="false">IF(AND(A79&gt;=Cotas!$C$18,A79&lt;=Cotas!$C$19),$C$3*SIN(PI()*(A79-Cotas!$C$18)/(Cotas!$C$19-Cotas!$C$18)),0)</f>
        <v>0.359323969774657</v>
      </c>
    </row>
    <row r="80" customFormat="false" ht="15" hidden="false" customHeight="false" outlineLevel="0" collapsed="false">
      <c r="A80" s="12" t="n">
        <v>370</v>
      </c>
      <c r="B80" s="13" t="n">
        <f aca="false">IF(AND(IF(A80&lt;180,A80+720,A80)&gt;=Cotas!$C$16,IF(A80&lt;180,A80+720,A80)&lt;=Cotas!$C$17),$C$3*SIN(PI()*(IF(A80&lt;180,A80+720,A80)-Cotas!$C$16)/(Cotas!$C$17-Cotas!$C$16)),0)</f>
        <v>2.59822752605659</v>
      </c>
      <c r="C80" s="13" t="n">
        <f aca="false">IF(AND(A80&gt;=Cotas!$C$18,A80&lt;=Cotas!$C$19),$C$3*SIN(PI()*(A80-Cotas!$C$18)/(Cotas!$C$19-Cotas!$C$18)),0)</f>
        <v>0</v>
      </c>
    </row>
    <row r="81" customFormat="false" ht="15" hidden="false" customHeight="false" outlineLevel="0" collapsed="false">
      <c r="A81" s="12" t="n">
        <v>375</v>
      </c>
      <c r="B81" s="13" t="n">
        <f aca="false">IF(AND(IF(A81&lt;180,A81+720,A81)&gt;=Cotas!$C$16,IF(A81&lt;180,A81+720,A81)&lt;=Cotas!$C$17),$C$3*SIN(PI()*(IF(A81&lt;180,A81+720,A81)-Cotas!$C$16)/(Cotas!$C$17-Cotas!$C$16)),0)</f>
        <v>3.1655779599982</v>
      </c>
      <c r="C81" s="13" t="n">
        <f aca="false">IF(AND(A81&gt;=Cotas!$C$18,A81&lt;=Cotas!$C$19),$C$3*SIN(PI()*(A81-Cotas!$C$18)/(Cotas!$C$19-Cotas!$C$18)),0)</f>
        <v>0</v>
      </c>
    </row>
    <row r="82" customFormat="false" ht="15" hidden="false" customHeight="false" outlineLevel="0" collapsed="false">
      <c r="A82" s="12" t="n">
        <v>380</v>
      </c>
      <c r="B82" s="13" t="n">
        <f aca="false">IF(AND(IF(A82&lt;180,A82+720,A82)&gt;=Cotas!$C$16,IF(A82&lt;180,A82+720,A82)&lt;=Cotas!$C$17),$C$3*SIN(PI()*(IF(A82&lt;180,A82+720,A82)-Cotas!$C$16)/(Cotas!$C$17-Cotas!$C$16)),0)</f>
        <v>3.7189096719154</v>
      </c>
      <c r="C82" s="13" t="n">
        <f aca="false">IF(AND(A82&gt;=Cotas!$C$18,A82&lt;=Cotas!$C$19),$C$3*SIN(PI()*(A82-Cotas!$C$18)/(Cotas!$C$19-Cotas!$C$18)),0)</f>
        <v>0</v>
      </c>
    </row>
    <row r="83" customFormat="false" ht="15" hidden="false" customHeight="false" outlineLevel="0" collapsed="false">
      <c r="A83" s="12" t="n">
        <v>385</v>
      </c>
      <c r="B83" s="13" t="n">
        <f aca="false">IF(AND(IF(A83&lt;180,A83+720,A83)&gt;=Cotas!$C$16,IF(A83&lt;180,A83+720,A83)&lt;=Cotas!$C$17),$C$3*SIN(PI()*(IF(A83&lt;180,A83+720,A83)-Cotas!$C$16)/(Cotas!$C$17-Cotas!$C$16)),0)</f>
        <v>4.25577223930883</v>
      </c>
      <c r="C83" s="13" t="n">
        <f aca="false">IF(AND(A83&gt;=Cotas!$C$18,A83&lt;=Cotas!$C$19),$C$3*SIN(PI()*(A83-Cotas!$C$18)/(Cotas!$C$19-Cotas!$C$18)),0)</f>
        <v>0</v>
      </c>
    </row>
    <row r="84" customFormat="false" ht="15" hidden="false" customHeight="false" outlineLevel="0" collapsed="false">
      <c r="A84" s="12" t="n">
        <v>390</v>
      </c>
      <c r="B84" s="13" t="n">
        <f aca="false">IF(AND(IF(A84&lt;180,A84+720,A84)&gt;=Cotas!$C$16,IF(A84&lt;180,A84+720,A84)&lt;=Cotas!$C$17),$C$3*SIN(PI()*(IF(A84&lt;180,A84+720,A84)-Cotas!$C$16)/(Cotas!$C$17-Cotas!$C$16)),0)</f>
        <v>4.77378817307768</v>
      </c>
      <c r="C84" s="13" t="n">
        <f aca="false">IF(AND(A84&gt;=Cotas!$C$18,A84&lt;=Cotas!$C$19),$C$3*SIN(PI()*(A84-Cotas!$C$18)/(Cotas!$C$19-Cotas!$C$18)),0)</f>
        <v>0</v>
      </c>
    </row>
    <row r="85" customFormat="false" ht="15" hidden="false" customHeight="false" outlineLevel="0" collapsed="false">
      <c r="A85" s="12" t="n">
        <v>395</v>
      </c>
      <c r="B85" s="13" t="n">
        <f aca="false">IF(AND(IF(A85&lt;180,A85+720,A85)&gt;=Cotas!$C$16,IF(A85&lt;180,A85+720,A85)&lt;=Cotas!$C$17),$C$3*SIN(PI()*(IF(A85&lt;180,A85+720,A85)-Cotas!$C$16)/(Cotas!$C$17-Cotas!$C$16)),0)</f>
        <v>5.27066344620021</v>
      </c>
      <c r="C85" s="13" t="n">
        <f aca="false">IF(AND(A85&gt;=Cotas!$C$18,A85&lt;=Cotas!$C$19),$C$3*SIN(PI()*(A85-Cotas!$C$18)/(Cotas!$C$19-Cotas!$C$18)),0)</f>
        <v>0</v>
      </c>
    </row>
    <row r="86" customFormat="false" ht="15" hidden="false" customHeight="false" outlineLevel="0" collapsed="false">
      <c r="A86" s="12" t="n">
        <v>400</v>
      </c>
      <c r="B86" s="13" t="n">
        <f aca="false">IF(AND(IF(A86&lt;180,A86+720,A86)&gt;=Cotas!$C$16,IF(A86&lt;180,A86+720,A86)&lt;=Cotas!$C$17),$C$3*SIN(PI()*(IF(A86&lt;180,A86+720,A86)-Cotas!$C$16)/(Cotas!$C$17-Cotas!$C$16)),0)</f>
        <v>5.74419765280338</v>
      </c>
      <c r="C86" s="13" t="n">
        <f aca="false">IF(AND(A86&gt;=Cotas!$C$18,A86&lt;=Cotas!$C$19),$C$3*SIN(PI()*(A86-Cotas!$C$18)/(Cotas!$C$19-Cotas!$C$18)),0)</f>
        <v>0</v>
      </c>
    </row>
    <row r="87" customFormat="false" ht="15" hidden="false" customHeight="false" outlineLevel="0" collapsed="false">
      <c r="A87" s="12" t="n">
        <v>405</v>
      </c>
      <c r="B87" s="13" t="n">
        <f aca="false">IF(AND(IF(A87&lt;180,A87+720,A87)&gt;=Cotas!$C$16,IF(A87&lt;180,A87+720,A87)&lt;=Cotas!$C$17),$C$3*SIN(PI()*(IF(A87&lt;180,A87+720,A87)-Cotas!$C$16)/(Cotas!$C$17-Cotas!$C$16)),0)</f>
        <v>6.19229375263252</v>
      </c>
      <c r="C87" s="13" t="n">
        <f aca="false">IF(AND(A87&gt;=Cotas!$C$18,A87&lt;=Cotas!$C$19),$C$3*SIN(PI()*(A87-Cotas!$C$18)/(Cotas!$C$19-Cotas!$C$18)),0)</f>
        <v>0</v>
      </c>
    </row>
    <row r="88" customFormat="false" ht="15" hidden="false" customHeight="false" outlineLevel="0" collapsed="false">
      <c r="A88" s="12" t="n">
        <v>410</v>
      </c>
      <c r="B88" s="13" t="n">
        <f aca="false">IF(AND(IF(A88&lt;180,A88+720,A88)&gt;=Cotas!$C$16,IF(A88&lt;180,A88+720,A88)&lt;=Cotas!$C$17),$C$3*SIN(PI()*(IF(A88&lt;180,A88+720,A88)-Cotas!$C$16)/(Cotas!$C$17-Cotas!$C$16)),0)</f>
        <v>6.61296735776761</v>
      </c>
      <c r="C88" s="13" t="n">
        <f aca="false">IF(AND(A88&gt;=Cotas!$C$18,A88&lt;=Cotas!$C$19),$C$3*SIN(PI()*(A88-Cotas!$C$18)/(Cotas!$C$19-Cotas!$C$18)),0)</f>
        <v>0</v>
      </c>
    </row>
    <row r="89" customFormat="false" ht="15" hidden="false" customHeight="false" outlineLevel="0" collapsed="false">
      <c r="A89" s="12" t="n">
        <v>415</v>
      </c>
      <c r="B89" s="13" t="n">
        <f aca="false">IF(AND(IF(A89&lt;180,A89+720,A89)&gt;=Cotas!$C$16,IF(A89&lt;180,A89+720,A89)&lt;=Cotas!$C$17),$C$3*SIN(PI()*(IF(A89&lt;180,A89+720,A89)-Cotas!$C$16)/(Cotas!$C$17-Cotas!$C$16)),0)</f>
        <v>7.00435552046009</v>
      </c>
      <c r="C89" s="13" t="n">
        <f aca="false">IF(AND(A89&gt;=Cotas!$C$18,A89&lt;=Cotas!$C$19),$C$3*SIN(PI()*(A89-Cotas!$C$18)/(Cotas!$C$19-Cotas!$C$18)),0)</f>
        <v>0</v>
      </c>
    </row>
    <row r="90" customFormat="false" ht="15" hidden="false" customHeight="false" outlineLevel="0" collapsed="false">
      <c r="A90" s="12" t="n">
        <v>420</v>
      </c>
      <c r="B90" s="13" t="n">
        <f aca="false">IF(AND(IF(A90&lt;180,A90+720,A90)&gt;=Cotas!$C$16,IF(A90&lt;180,A90+720,A90)&lt;=Cotas!$C$17),$C$3*SIN(PI()*(IF(A90&lt;180,A90+720,A90)-Cotas!$C$16)/(Cotas!$C$17-Cotas!$C$16)),0)</f>
        <v>7.36472498317352</v>
      </c>
      <c r="C90" s="13" t="n">
        <f aca="false">IF(AND(A90&gt;=Cotas!$C$18,A90&lt;=Cotas!$C$19),$C$3*SIN(PI()*(A90-Cotas!$C$18)/(Cotas!$C$19-Cotas!$C$18)),0)</f>
        <v>0</v>
      </c>
    </row>
    <row r="91" customFormat="false" ht="15" hidden="false" customHeight="false" outlineLevel="0" collapsed="false">
      <c r="A91" s="12" t="n">
        <v>425</v>
      </c>
      <c r="B91" s="13" t="n">
        <f aca="false">IF(AND(IF(A91&lt;180,A91+720,A91)&gt;=Cotas!$C$16,IF(A91&lt;180,A91+720,A91)&lt;=Cotas!$C$17),$C$3*SIN(PI()*(IF(A91&lt;180,A91+720,A91)-Cotas!$C$16)/(Cotas!$C$17-Cotas!$C$16)),0)</f>
        <v>7.69247985429261</v>
      </c>
      <c r="C91" s="13" t="n">
        <f aca="false">IF(AND(A91&gt;=Cotas!$C$18,A91&lt;=Cotas!$C$19),$C$3*SIN(PI()*(A91-Cotas!$C$18)/(Cotas!$C$19-Cotas!$C$18)),0)</f>
        <v>0</v>
      </c>
    </row>
    <row r="92" customFormat="false" ht="15" hidden="false" customHeight="false" outlineLevel="0" collapsed="false">
      <c r="A92" s="12" t="n">
        <v>430</v>
      </c>
      <c r="B92" s="13" t="n">
        <f aca="false">IF(AND(IF(A92&lt;180,A92+720,A92)&gt;=Cotas!$C$16,IF(A92&lt;180,A92+720,A92)&lt;=Cotas!$C$17),$C$3*SIN(PI()*(IF(A92&lt;180,A92+720,A92)-Cotas!$C$16)/(Cotas!$C$17-Cotas!$C$16)),0)</f>
        <v>7.98616867550914</v>
      </c>
      <c r="C92" s="13" t="n">
        <f aca="false">IF(AND(A92&gt;=Cotas!$C$18,A92&lt;=Cotas!$C$19),$C$3*SIN(PI()*(A92-Cotas!$C$18)/(Cotas!$C$19-Cotas!$C$18)),0)</f>
        <v>0</v>
      </c>
    </row>
    <row r="93" customFormat="false" ht="15" hidden="false" customHeight="false" outlineLevel="0" collapsed="false">
      <c r="A93" s="12" t="n">
        <v>435</v>
      </c>
      <c r="B93" s="13" t="n">
        <f aca="false">IF(AND(IF(A93&lt;180,A93+720,A93)&gt;=Cotas!$C$16,IF(A93&lt;180,A93+720,A93)&lt;=Cotas!$C$17),$C$3*SIN(PI()*(IF(A93&lt;180,A93+720,A93)-Cotas!$C$16)/(Cotas!$C$17-Cotas!$C$16)),0)</f>
        <v>8.24449084958674</v>
      </c>
      <c r="C93" s="13" t="n">
        <f aca="false">IF(AND(A93&gt;=Cotas!$C$18,A93&lt;=Cotas!$C$19),$C$3*SIN(PI()*(A93-Cotas!$C$18)/(Cotas!$C$19-Cotas!$C$18)),0)</f>
        <v>0</v>
      </c>
    </row>
    <row r="94" customFormat="false" ht="15" hidden="false" customHeight="false" outlineLevel="0" collapsed="false">
      <c r="A94" s="12" t="n">
        <v>440</v>
      </c>
      <c r="B94" s="13" t="n">
        <f aca="false">IF(AND(IF(A94&lt;180,A94+720,A94)&gt;=Cotas!$C$16,IF(A94&lt;180,A94+720,A94)&lt;=Cotas!$C$17),$C$3*SIN(PI()*(IF(A94&lt;180,A94+720,A94)-Cotas!$C$16)/(Cotas!$C$17-Cotas!$C$16)),0)</f>
        <v>8.4663024000393</v>
      </c>
      <c r="C94" s="13" t="n">
        <f aca="false">IF(AND(A94&gt;=Cotas!$C$18,A94&lt;=Cotas!$C$19),$C$3*SIN(PI()*(A94-Cotas!$C$18)/(Cotas!$C$19-Cotas!$C$18)),0)</f>
        <v>0</v>
      </c>
    </row>
    <row r="95" customFormat="false" ht="15" hidden="false" customHeight="false" outlineLevel="0" collapsed="false">
      <c r="A95" s="12" t="n">
        <v>445</v>
      </c>
      <c r="B95" s="13" t="n">
        <f aca="false">IF(AND(IF(A95&lt;180,A95+720,A95)&gt;=Cotas!$C$16,IF(A95&lt;180,A95+720,A95)&lt;=Cotas!$C$17),$C$3*SIN(PI()*(IF(A95&lt;180,A95+720,A95)-Cotas!$C$16)/(Cotas!$C$17-Cotas!$C$16)),0)</f>
        <v>8.65062103721644</v>
      </c>
      <c r="C95" s="13" t="n">
        <f aca="false">IF(AND(A95&gt;=Cotas!$C$18,A95&lt;=Cotas!$C$19),$C$3*SIN(PI()*(A95-Cotas!$C$18)/(Cotas!$C$19-Cotas!$C$18)),0)</f>
        <v>0</v>
      </c>
    </row>
    <row r="96" customFormat="false" ht="15" hidden="false" customHeight="false" outlineLevel="0" collapsed="false">
      <c r="A96" s="12" t="n">
        <v>450</v>
      </c>
      <c r="B96" s="13" t="n">
        <f aca="false">IF(AND(IF(A96&lt;180,A96+720,A96)&gt;=Cotas!$C$16,IF(A96&lt;180,A96+720,A96)&lt;=Cotas!$C$17),$C$3*SIN(PI()*(IF(A96&lt;180,A96+720,A96)-Cotas!$C$16)/(Cotas!$C$17-Cotas!$C$16)),0)</f>
        <v>8.7966305083608</v>
      </c>
      <c r="C96" s="13" t="n">
        <f aca="false">IF(AND(A96&gt;=Cotas!$C$18,A96&lt;=Cotas!$C$19),$C$3*SIN(PI()*(A96-Cotas!$C$18)/(Cotas!$C$19-Cotas!$C$18)),0)</f>
        <v>0</v>
      </c>
    </row>
    <row r="97" customFormat="false" ht="15" hidden="false" customHeight="false" outlineLevel="0" collapsed="false">
      <c r="A97" s="12" t="n">
        <v>455</v>
      </c>
      <c r="B97" s="13" t="n">
        <f aca="false">IF(AND(IF(A97&lt;180,A97+720,A97)&gt;=Cotas!$C$16,IF(A97&lt;180,A97+720,A97)&lt;=Cotas!$C$17),$C$3*SIN(PI()*(IF(A97&lt;180,A97+720,A97)-Cotas!$C$16)/(Cotas!$C$17-Cotas!$C$16)),0)</f>
        <v>8.90368421237306</v>
      </c>
      <c r="C97" s="13" t="n">
        <f aca="false">IF(AND(A97&gt;=Cotas!$C$18,A97&lt;=Cotas!$C$19),$C$3*SIN(PI()*(A97-Cotas!$C$18)/(Cotas!$C$19-Cotas!$C$18)),0)</f>
        <v>0</v>
      </c>
    </row>
    <row r="98" customFormat="false" ht="15" hidden="false" customHeight="false" outlineLevel="0" collapsed="false">
      <c r="A98" s="12" t="n">
        <v>460</v>
      </c>
      <c r="B98" s="13" t="n">
        <f aca="false">IF(AND(IF(A98&lt;180,A98+720,A98)&gt;=Cotas!$C$16,IF(A98&lt;180,A98+720,A98)&lt;=Cotas!$C$17),$C$3*SIN(PI()*(IF(A98&lt;180,A98+720,A98)-Cotas!$C$16)/(Cotas!$C$17-Cotas!$C$16)),0)</f>
        <v>8.97130806327675</v>
      </c>
      <c r="C98" s="13" t="n">
        <f aca="false">IF(AND(A98&gt;=Cotas!$C$18,A98&lt;=Cotas!$C$19),$C$3*SIN(PI()*(A98-Cotas!$C$18)/(Cotas!$C$19-Cotas!$C$18)),0)</f>
        <v>0</v>
      </c>
    </row>
    <row r="99" customFormat="false" ht="15" hidden="false" customHeight="false" outlineLevel="0" collapsed="false">
      <c r="A99" s="12" t="n">
        <v>465</v>
      </c>
      <c r="B99" s="13" t="n">
        <f aca="false">IF(AND(IF(A99&lt;180,A99+720,A99)&gt;=Cotas!$C$16,IF(A99&lt;180,A99+720,A99)&lt;=Cotas!$C$17),$C$3*SIN(PI()*(IF(A99&lt;180,A99+720,A99)-Cotas!$C$16)/(Cotas!$C$17-Cotas!$C$16)),0)</f>
        <v>8.99920258970204</v>
      </c>
      <c r="C99" s="13" t="n">
        <f aca="false">IF(AND(A99&gt;=Cotas!$C$18,A99&lt;=Cotas!$C$19),$C$3*SIN(PI()*(A99-Cotas!$C$18)/(Cotas!$C$19-Cotas!$C$18)),0)</f>
        <v>0</v>
      </c>
    </row>
    <row r="100" customFormat="false" ht="15" hidden="false" customHeight="false" outlineLevel="0" collapsed="false">
      <c r="A100" s="12" t="n">
        <v>470</v>
      </c>
      <c r="B100" s="13" t="n">
        <f aca="false">IF(AND(IF(A100&lt;180,A100+720,A100)&gt;=Cotas!$C$16,IF(A100&lt;180,A100+720,A100)&lt;=Cotas!$C$17),$C$3*SIN(PI()*(IF(A100&lt;180,A100+720,A100)-Cotas!$C$16)/(Cotas!$C$17-Cotas!$C$16)),0)</f>
        <v>8.98724426109086</v>
      </c>
      <c r="C100" s="13" t="n">
        <f aca="false">IF(AND(A100&gt;=Cotas!$C$18,A100&lt;=Cotas!$C$19),$C$3*SIN(PI()*(A100-Cotas!$C$18)/(Cotas!$C$19-Cotas!$C$18)),0)</f>
        <v>0</v>
      </c>
    </row>
    <row r="101" customFormat="false" ht="15" hidden="false" customHeight="false" outlineLevel="0" collapsed="false">
      <c r="A101" s="12" t="n">
        <v>475</v>
      </c>
      <c r="B101" s="13" t="n">
        <f aca="false">IF(AND(IF(A101&lt;180,A101+720,A101)&gt;=Cotas!$C$16,IF(A101&lt;180,A101+720,A101)&lt;=Cotas!$C$17),$C$3*SIN(PI()*(IF(A101&lt;180,A101+720,A101)-Cotas!$C$16)/(Cotas!$C$17-Cotas!$C$16)),0)</f>
        <v>8.93548603475047</v>
      </c>
      <c r="C101" s="13" t="n">
        <f aca="false">IF(AND(A101&gt;=Cotas!$C$18,A101&lt;=Cotas!$C$19),$C$3*SIN(PI()*(A101-Cotas!$C$18)/(Cotas!$C$19-Cotas!$C$18)),0)</f>
        <v>0</v>
      </c>
    </row>
    <row r="102" customFormat="false" ht="15" hidden="false" customHeight="false" outlineLevel="0" collapsed="false">
      <c r="A102" s="12" t="n">
        <v>480</v>
      </c>
      <c r="B102" s="13" t="n">
        <f aca="false">IF(AND(IF(A102&lt;180,A102+720,A102)&gt;=Cotas!$C$16,IF(A102&lt;180,A102+720,A102)&lt;=Cotas!$C$17),$C$3*SIN(PI()*(IF(A102&lt;180,A102+720,A102)-Cotas!$C$16)/(Cotas!$C$17-Cotas!$C$16)),0)</f>
        <v>8.84415712133269</v>
      </c>
      <c r="C102" s="13" t="n">
        <f aca="false">IF(AND(A102&gt;=Cotas!$C$18,A102&lt;=Cotas!$C$19),$C$3*SIN(PI()*(A102-Cotas!$C$18)/(Cotas!$C$19-Cotas!$C$18)),0)</f>
        <v>0</v>
      </c>
    </row>
    <row r="103" customFormat="false" ht="15" hidden="false" customHeight="false" outlineLevel="0" collapsed="false">
      <c r="A103" s="12" t="n">
        <v>485</v>
      </c>
      <c r="B103" s="13" t="n">
        <f aca="false">IF(AND(IF(A103&lt;180,A103+720,A103)&gt;=Cotas!$C$16,IF(A103&lt;180,A103+720,A103)&lt;=Cotas!$C$17),$C$3*SIN(PI()*(IF(A103&lt;180,A103+720,A103)-Cotas!$C$16)/(Cotas!$C$17-Cotas!$C$16)),0)</f>
        <v>8.71366196977737</v>
      </c>
      <c r="C103" s="13" t="n">
        <f aca="false">IF(AND(A103&gt;=Cotas!$C$18,A103&lt;=Cotas!$C$19),$C$3*SIN(PI()*(A103-Cotas!$C$18)/(Cotas!$C$19-Cotas!$C$18)),0)</f>
        <v>0</v>
      </c>
    </row>
    <row r="104" customFormat="false" ht="15" hidden="false" customHeight="false" outlineLevel="0" collapsed="false">
      <c r="A104" s="12" t="n">
        <v>490</v>
      </c>
      <c r="B104" s="13" t="n">
        <f aca="false">IF(AND(IF(A104&lt;180,A104+720,A104)&gt;=Cotas!$C$16,IF(A104&lt;180,A104+720,A104)&lt;=Cotas!$C$17),$C$3*SIN(PI()*(IF(A104&lt;180,A104+720,A104)-Cotas!$C$16)/(Cotas!$C$17-Cotas!$C$16)),0)</f>
        <v>8.54457847621543</v>
      </c>
      <c r="C104" s="13" t="n">
        <f aca="false">IF(AND(A104&gt;=Cotas!$C$18,A104&lt;=Cotas!$C$19),$C$3*SIN(PI()*(A104-Cotas!$C$18)/(Cotas!$C$19-Cotas!$C$18)),0)</f>
        <v>0</v>
      </c>
    </row>
    <row r="105" customFormat="false" ht="15" hidden="false" customHeight="false" outlineLevel="0" collapsed="false">
      <c r="A105" s="12" t="n">
        <v>495</v>
      </c>
      <c r="B105" s="13" t="n">
        <f aca="false">IF(AND(IF(A105&lt;180,A105+720,A105)&gt;=Cotas!$C$16,IF(A105&lt;180,A105+720,A105)&lt;=Cotas!$C$17),$C$3*SIN(PI()*(IF(A105&lt;180,A105+720,A105)-Cotas!$C$16)/(Cotas!$C$17-Cotas!$C$16)),0)</f>
        <v>8.33765542476311</v>
      </c>
      <c r="C105" s="13" t="n">
        <f aca="false">IF(AND(A105&gt;=Cotas!$C$18,A105&lt;=Cotas!$C$19),$C$3*SIN(PI()*(A105-Cotas!$C$18)/(Cotas!$C$19-Cotas!$C$18)),0)</f>
        <v>0</v>
      </c>
    </row>
    <row r="106" customFormat="false" ht="15" hidden="false" customHeight="false" outlineLevel="0" collapsed="false">
      <c r="A106" s="12" t="n">
        <v>500</v>
      </c>
      <c r="B106" s="13" t="n">
        <f aca="false">IF(AND(IF(A106&lt;180,A106+720,A106)&gt;=Cotas!$C$16,IF(A106&lt;180,A106+720,A106)&lt;=Cotas!$C$17),$C$3*SIN(PI()*(IF(A106&lt;180,A106+720,A106)-Cotas!$C$16)/(Cotas!$C$17-Cotas!$C$16)),0)</f>
        <v>8.09380917154097</v>
      </c>
      <c r="C106" s="13" t="n">
        <f aca="false">IF(AND(A106&gt;=Cotas!$C$18,A106&lt;=Cotas!$C$19),$C$3*SIN(PI()*(A106-Cotas!$C$18)/(Cotas!$C$19-Cotas!$C$18)),0)</f>
        <v>0</v>
      </c>
    </row>
    <row r="107" customFormat="false" ht="15" hidden="false" customHeight="false" outlineLevel="0" collapsed="false">
      <c r="A107" s="12" t="n">
        <v>505</v>
      </c>
      <c r="B107" s="13" t="n">
        <f aca="false">IF(AND(IF(A107&lt;180,A107+720,A107)&gt;=Cotas!$C$16,IF(A107&lt;180,A107+720,A107)&lt;=Cotas!$C$17),$C$3*SIN(PI()*(IF(A107&lt;180,A107+720,A107)-Cotas!$C$16)/(Cotas!$C$17-Cotas!$C$16)),0)</f>
        <v>7.81411958660238</v>
      </c>
      <c r="C107" s="13" t="n">
        <f aca="false">IF(AND(A107&gt;=Cotas!$C$18,A107&lt;=Cotas!$C$19),$C$3*SIN(PI()*(A107-Cotas!$C$18)/(Cotas!$C$19-Cotas!$C$18)),0)</f>
        <v>0</v>
      </c>
    </row>
    <row r="108" customFormat="false" ht="15" hidden="false" customHeight="false" outlineLevel="0" collapsed="false">
      <c r="A108" s="12" t="n">
        <v>510</v>
      </c>
      <c r="B108" s="13" t="n">
        <f aca="false">IF(AND(IF(A108&lt;180,A108+720,A108)&gt;=Cotas!$C$16,IF(A108&lt;180,A108+720,A108)&lt;=Cotas!$C$17),$C$3*SIN(PI()*(IF(A108&lt;180,A108+720,A108)-Cotas!$C$16)/(Cotas!$C$17-Cotas!$C$16)),0)</f>
        <v>7.49982527174264</v>
      </c>
      <c r="C108" s="13" t="n">
        <f aca="false">IF(AND(A108&gt;=Cotas!$C$18,A108&lt;=Cotas!$C$19),$C$3*SIN(PI()*(A108-Cotas!$C$18)/(Cotas!$C$19-Cotas!$C$18)),0)</f>
        <v>0</v>
      </c>
    </row>
    <row r="109" customFormat="false" ht="15" hidden="false" customHeight="false" outlineLevel="0" collapsed="false">
      <c r="A109" s="12" t="n">
        <v>515</v>
      </c>
      <c r="B109" s="13" t="n">
        <f aca="false">IF(AND(IF(A109&lt;180,A109+720,A109)&gt;=Cotas!$C$16,IF(A109&lt;180,A109+720,A109)&lt;=Cotas!$C$17),$C$3*SIN(PI()*(IF(A109&lt;180,A109+720,A109)-Cotas!$C$16)/(Cotas!$C$17-Cotas!$C$16)),0)</f>
        <v>7.15231807536652</v>
      </c>
      <c r="C109" s="13" t="n">
        <f aca="false">IF(AND(A109&gt;=Cotas!$C$18,A109&lt;=Cotas!$C$19),$C$3*SIN(PI()*(A109-Cotas!$C$18)/(Cotas!$C$19-Cotas!$C$18)),0)</f>
        <v>0</v>
      </c>
    </row>
    <row r="110" customFormat="false" ht="15" hidden="false" customHeight="false" outlineLevel="0" collapsed="false">
      <c r="A110" s="12" t="n">
        <v>520</v>
      </c>
      <c r="B110" s="13" t="n">
        <f aca="false">IF(AND(IF(A110&lt;180,A110+720,A110)&gt;=Cotas!$C$16,IF(A110&lt;180,A110+720,A110)&lt;=Cotas!$C$17),$C$3*SIN(PI()*(IF(A110&lt;180,A110+720,A110)-Cotas!$C$16)/(Cotas!$C$17-Cotas!$C$16)),0)</f>
        <v>6.77313692870525</v>
      </c>
      <c r="C110" s="13" t="n">
        <f aca="false">IF(AND(A110&gt;=Cotas!$C$18,A110&lt;=Cotas!$C$19),$C$3*SIN(PI()*(A110-Cotas!$C$18)/(Cotas!$C$19-Cotas!$C$18)),0)</f>
        <v>0</v>
      </c>
    </row>
    <row r="111" customFormat="false" ht="15" hidden="false" customHeight="false" outlineLevel="0" collapsed="false">
      <c r="A111" s="12" t="n">
        <v>525</v>
      </c>
      <c r="B111" s="13" t="n">
        <f aca="false">IF(AND(IF(A111&lt;180,A111+720,A111)&gt;=Cotas!$C$16,IF(A111&lt;180,A111+720,A111)&lt;=Cotas!$C$17),$C$3*SIN(PI()*(IF(A111&lt;180,A111+720,A111)-Cotas!$C$16)/(Cotas!$C$17-Cotas!$C$16)),0)</f>
        <v>6.36396103067893</v>
      </c>
      <c r="C111" s="13" t="n">
        <f aca="false">IF(AND(A111&gt;=Cotas!$C$18,A111&lt;=Cotas!$C$19),$C$3*SIN(PI()*(A111-Cotas!$C$18)/(Cotas!$C$19-Cotas!$C$18)),0)</f>
        <v>0</v>
      </c>
    </row>
    <row r="112" customFormat="false" ht="15" hidden="false" customHeight="false" outlineLevel="0" collapsed="false">
      <c r="A112" s="12" t="n">
        <v>530</v>
      </c>
      <c r="B112" s="13" t="n">
        <f aca="false">IF(AND(IF(A112&lt;180,A112+720,A112)&gt;=Cotas!$C$16,IF(A112&lt;180,A112+720,A112)&lt;=Cotas!$C$17),$C$3*SIN(PI()*(IF(A112&lt;180,A112+720,A112)-Cotas!$C$16)/(Cotas!$C$17-Cotas!$C$16)),0)</f>
        <v>5.92660241158535</v>
      </c>
      <c r="C112" s="13" t="n">
        <f aca="false">IF(AND(A112&gt;=Cotas!$C$18,A112&lt;=Cotas!$C$19),$C$3*SIN(PI()*(A112-Cotas!$C$18)/(Cotas!$C$19-Cotas!$C$18)),0)</f>
        <v>0</v>
      </c>
    </row>
    <row r="113" customFormat="false" ht="15" hidden="false" customHeight="false" outlineLevel="0" collapsed="false">
      <c r="A113" s="12" t="n">
        <v>535</v>
      </c>
      <c r="B113" s="13" t="n">
        <f aca="false">IF(AND(IF(A113&lt;180,A113+720,A113)&gt;=Cotas!$C$16,IF(A113&lt;180,A113+720,A113)&lt;=Cotas!$C$17),$C$3*SIN(PI()*(IF(A113&lt;180,A113+720,A113)-Cotas!$C$16)/(Cotas!$C$17-Cotas!$C$16)),0)</f>
        <v>5.46299790854668</v>
      </c>
      <c r="C113" s="13" t="n">
        <f aca="false">IF(AND(A113&gt;=Cotas!$C$18,A113&lt;=Cotas!$C$19),$C$3*SIN(PI()*(A113-Cotas!$C$18)/(Cotas!$C$19-Cotas!$C$18)),0)</f>
        <v>0</v>
      </c>
    </row>
    <row r="114" customFormat="false" ht="15" hidden="false" customHeight="false" outlineLevel="0" collapsed="false">
      <c r="A114" s="12" t="n">
        <v>540</v>
      </c>
      <c r="B114" s="13" t="n">
        <f aca="false">IF(AND(IF(A114&lt;180,A114+720,A114)&gt;=Cotas!$C$16,IF(A114&lt;180,A114+720,A114)&lt;=Cotas!$C$17),$C$3*SIN(PI()*(IF(A114&lt;180,A114+720,A114)-Cotas!$C$16)/(Cotas!$C$17-Cotas!$C$16)),0)</f>
        <v>4.97520058825074</v>
      </c>
      <c r="C114" s="13" t="n">
        <f aca="false">IF(AND(A114&gt;=Cotas!$C$18,A114&lt;=Cotas!$C$19),$C$3*SIN(PI()*(A114-Cotas!$C$18)/(Cotas!$C$19-Cotas!$C$18)),0)</f>
        <v>0</v>
      </c>
    </row>
    <row r="115" customFormat="false" ht="15" hidden="false" customHeight="false" outlineLevel="0" collapsed="false">
      <c r="A115" s="12" t="n">
        <v>545</v>
      </c>
      <c r="B115" s="13" t="n">
        <f aca="false">IF(AND(IF(A115&lt;180,A115+720,A115)&gt;=Cotas!$C$16,IF(A115&lt;180,A115+720,A115)&lt;=Cotas!$C$17),$C$3*SIN(PI()*(IF(A115&lt;180,A115+720,A115)-Cotas!$C$16)/(Cotas!$C$17-Cotas!$C$16)),0)</f>
        <v>4.4653706549711</v>
      </c>
      <c r="C115" s="13" t="n">
        <f aca="false">IF(AND(A115&gt;=Cotas!$C$18,A115&lt;=Cotas!$C$19),$C$3*SIN(PI()*(A115-Cotas!$C$18)/(Cotas!$C$19-Cotas!$C$18)),0)</f>
        <v>0</v>
      </c>
    </row>
    <row r="116" customFormat="false" ht="15" hidden="false" customHeight="false" outlineLevel="0" collapsed="false">
      <c r="A116" s="12" t="n">
        <v>550</v>
      </c>
      <c r="B116" s="13" t="n">
        <f aca="false">IF(AND(IF(A116&lt;180,A116+720,A116)&gt;=Cotas!$C$16,IF(A116&lt;180,A116+720,A116)&lt;=Cotas!$C$17),$C$3*SIN(PI()*(IF(A116&lt;180,A116+720,A116)-Cotas!$C$16)/(Cotas!$C$17-Cotas!$C$16)),0)</f>
        <v>3.9357658841297</v>
      </c>
      <c r="C116" s="13" t="n">
        <f aca="false">IF(AND(A116&gt;=Cotas!$C$18,A116&lt;=Cotas!$C$19),$C$3*SIN(PI()*(A116-Cotas!$C$18)/(Cotas!$C$19-Cotas!$C$18)),0)</f>
        <v>0</v>
      </c>
    </row>
    <row r="117" customFormat="false" ht="15" hidden="false" customHeight="false" outlineLevel="0" collapsed="false">
      <c r="A117" s="12" t="n">
        <v>555</v>
      </c>
      <c r="B117" s="13" t="n">
        <f aca="false">IF(AND(IF(A117&lt;180,A117+720,A117)&gt;=Cotas!$C$16,IF(A117&lt;180,A117+720,A117)&lt;=Cotas!$C$17),$C$3*SIN(PI()*(IF(A117&lt;180,A117+720,A117)-Cotas!$C$16)/(Cotas!$C$17-Cotas!$C$16)),0)</f>
        <v>3.38873162376696</v>
      </c>
      <c r="C117" s="13" t="n">
        <f aca="false">IF(AND(A117&gt;=Cotas!$C$18,A117&lt;=Cotas!$C$19),$C$3*SIN(PI()*(A117-Cotas!$C$18)/(Cotas!$C$19-Cotas!$C$18)),0)</f>
        <v>0</v>
      </c>
    </row>
    <row r="118" customFormat="false" ht="15" hidden="false" customHeight="false" outlineLevel="0" collapsed="false">
      <c r="A118" s="12" t="n">
        <v>560</v>
      </c>
      <c r="B118" s="13" t="n">
        <f aca="false">IF(AND(IF(A118&lt;180,A118+720,A118)&gt;=Cotas!$C$16,IF(A118&lt;180,A118+720,A118)&lt;=Cotas!$C$17),$C$3*SIN(PI()*(IF(A118&lt;180,A118+720,A118)-Cotas!$C$16)/(Cotas!$C$17-Cotas!$C$16)),0)</f>
        <v>2.82669040819754</v>
      </c>
      <c r="C118" s="13" t="n">
        <f aca="false">IF(AND(A118&gt;=Cotas!$C$18,A118&lt;=Cotas!$C$19),$C$3*SIN(PI()*(A118-Cotas!$C$18)/(Cotas!$C$19-Cotas!$C$18)),0)</f>
        <v>0</v>
      </c>
    </row>
    <row r="119" customFormat="false" ht="15" hidden="false" customHeight="false" outlineLevel="0" collapsed="false">
      <c r="A119" s="12" t="n">
        <v>565</v>
      </c>
      <c r="B119" s="13" t="n">
        <f aca="false">IF(AND(IF(A119&lt;180,A119+720,A119)&gt;=Cotas!$C$16,IF(A119&lt;180,A119+720,A119)&lt;=Cotas!$C$17),$C$3*SIN(PI()*(IF(A119&lt;180,A119+720,A119)-Cotas!$C$16)/(Cotas!$C$17-Cotas!$C$16)),0)</f>
        <v>2.25213122984776</v>
      </c>
      <c r="C119" s="13" t="n">
        <f aca="false">IF(AND(A119&gt;=Cotas!$C$18,A119&lt;=Cotas!$C$19),$C$3*SIN(PI()*(A119-Cotas!$C$18)/(Cotas!$C$19-Cotas!$C$18)),0)</f>
        <v>0</v>
      </c>
    </row>
    <row r="120" customFormat="false" ht="15" hidden="false" customHeight="false" outlineLevel="0" collapsed="false">
      <c r="A120" s="12" t="n">
        <v>570</v>
      </c>
      <c r="B120" s="13" t="n">
        <f aca="false">IF(AND(IF(A120&lt;180,A120+720,A120)&gt;=Cotas!$C$16,IF(A120&lt;180,A120+720,A120)&lt;=Cotas!$C$17),$C$3*SIN(PI()*(IF(A120&lt;180,A120+720,A120)-Cotas!$C$16)/(Cotas!$C$17-Cotas!$C$16)),0)</f>
        <v>1.66759851678403</v>
      </c>
      <c r="C120" s="13" t="n">
        <f aca="false">IF(AND(A120&gt;=Cotas!$C$18,A120&lt;=Cotas!$C$19),$C$3*SIN(PI()*(A120-Cotas!$C$18)/(Cotas!$C$19-Cotas!$C$18)),0)</f>
        <v>0</v>
      </c>
    </row>
    <row r="121" customFormat="false" ht="15" hidden="false" customHeight="false" outlineLevel="0" collapsed="false">
      <c r="A121" s="12" t="n">
        <v>575</v>
      </c>
      <c r="B121" s="13" t="n">
        <f aca="false">IF(AND(IF(A121&lt;180,A121+720,A121)&gt;=Cotas!$C$16,IF(A121&lt;180,A121+720,A121)&lt;=Cotas!$C$17),$C$3*SIN(PI()*(IF(A121&lt;180,A121+720,A121)-Cotas!$C$16)/(Cotas!$C$17-Cotas!$C$16)),0)</f>
        <v>1.07568086474532</v>
      </c>
      <c r="C121" s="13" t="n">
        <f aca="false">IF(AND(A121&gt;=Cotas!$C$18,A121&lt;=Cotas!$C$19),$C$3*SIN(PI()*(A121-Cotas!$C$18)/(Cotas!$C$19-Cotas!$C$18)),0)</f>
        <v>0</v>
      </c>
    </row>
    <row r="122" customFormat="false" ht="15" hidden="false" customHeight="false" outlineLevel="0" collapsed="false">
      <c r="A122" s="12" t="n">
        <v>580</v>
      </c>
      <c r="B122" s="13" t="n">
        <f aca="false">IF(AND(IF(A122&lt;180,A122+720,A122)&gt;=Cotas!$C$16,IF(A122&lt;180,A122+720,A122)&lt;=Cotas!$C$17),$C$3*SIN(PI()*(IF(A122&lt;180,A122+720,A122)-Cotas!$C$16)/(Cotas!$C$17-Cotas!$C$16)),0)</f>
        <v>0.478999573579609</v>
      </c>
      <c r="C122" s="13" t="n">
        <f aca="false">IF(AND(A122&gt;=Cotas!$C$18,A122&lt;=Cotas!$C$19),$C$3*SIN(PI()*(A122-Cotas!$C$18)/(Cotas!$C$19-Cotas!$C$18)),0)</f>
        <v>0</v>
      </c>
    </row>
    <row r="123" customFormat="false" ht="15" hidden="false" customHeight="false" outlineLevel="0" collapsed="false">
      <c r="A123" s="12" t="n">
        <v>585</v>
      </c>
      <c r="B123" s="13" t="n">
        <f aca="false">IF(AND(IF(A123&lt;180,A123+720,A123)&gt;=Cotas!$C$16,IF(A123&lt;180,A123+720,A123)&lt;=Cotas!$C$17),$C$3*SIN(PI()*(IF(A123&lt;180,A123+720,A123)-Cotas!$C$16)/(Cotas!$C$17-Cotas!$C$16)),0)</f>
        <v>0</v>
      </c>
      <c r="C123" s="13" t="n">
        <f aca="false">IF(AND(A123&gt;=Cotas!$C$18,A123&lt;=Cotas!$C$19),$C$3*SIN(PI()*(A123-Cotas!$C$18)/(Cotas!$C$19-Cotas!$C$18)),0)</f>
        <v>0</v>
      </c>
    </row>
    <row r="124" customFormat="false" ht="15" hidden="false" customHeight="false" outlineLevel="0" collapsed="false">
      <c r="A124" s="12" t="n">
        <v>590</v>
      </c>
      <c r="B124" s="13" t="n">
        <f aca="false">IF(AND(IF(A124&lt;180,A124+720,A124)&gt;=Cotas!$C$16,IF(A124&lt;180,A124+720,A124)&lt;=Cotas!$C$17),$C$3*SIN(PI()*(IF(A124&lt;180,A124+720,A124)-Cotas!$C$16)/(Cotas!$C$17-Cotas!$C$16)),0)</f>
        <v>0</v>
      </c>
      <c r="C124" s="13" t="n">
        <f aca="false">IF(AND(A124&gt;=Cotas!$C$18,A124&lt;=Cotas!$C$19),$C$3*SIN(PI()*(A124-Cotas!$C$18)/(Cotas!$C$19-Cotas!$C$18)),0)</f>
        <v>0</v>
      </c>
    </row>
    <row r="125" customFormat="false" ht="15" hidden="false" customHeight="false" outlineLevel="0" collapsed="false">
      <c r="A125" s="12" t="n">
        <v>595</v>
      </c>
      <c r="B125" s="13" t="n">
        <f aca="false">IF(AND(IF(A125&lt;180,A125+720,A125)&gt;=Cotas!$C$16,IF(A125&lt;180,A125+720,A125)&lt;=Cotas!$C$17),$C$3*SIN(PI()*(IF(A125&lt;180,A125+720,A125)-Cotas!$C$16)/(Cotas!$C$17-Cotas!$C$16)),0)</f>
        <v>0</v>
      </c>
      <c r="C125" s="13" t="n">
        <f aca="false">IF(AND(A125&gt;=Cotas!$C$18,A125&lt;=Cotas!$C$19),$C$3*SIN(PI()*(A125-Cotas!$C$18)/(Cotas!$C$19-Cotas!$C$18)),0)</f>
        <v>0</v>
      </c>
    </row>
    <row r="126" customFormat="false" ht="15" hidden="false" customHeight="false" outlineLevel="0" collapsed="false">
      <c r="A126" s="12" t="n">
        <v>600</v>
      </c>
      <c r="B126" s="13" t="n">
        <f aca="false">IF(AND(IF(A126&lt;180,A126+720,A126)&gt;=Cotas!$C$16,IF(A126&lt;180,A126+720,A126)&lt;=Cotas!$C$17),$C$3*SIN(PI()*(IF(A126&lt;180,A126+720,A126)-Cotas!$C$16)/(Cotas!$C$17-Cotas!$C$16)),0)</f>
        <v>0</v>
      </c>
      <c r="C126" s="13" t="n">
        <f aca="false">IF(AND(A126&gt;=Cotas!$C$18,A126&lt;=Cotas!$C$19),$C$3*SIN(PI()*(A126-Cotas!$C$18)/(Cotas!$C$19-Cotas!$C$18)),0)</f>
        <v>0</v>
      </c>
    </row>
    <row r="127" customFormat="false" ht="15" hidden="false" customHeight="false" outlineLevel="0" collapsed="false">
      <c r="A127" s="12" t="n">
        <v>605</v>
      </c>
      <c r="B127" s="13" t="n">
        <f aca="false">IF(AND(IF(A127&lt;180,A127+720,A127)&gt;=Cotas!$C$16,IF(A127&lt;180,A127+720,A127)&lt;=Cotas!$C$17),$C$3*SIN(PI()*(IF(A127&lt;180,A127+720,A127)-Cotas!$C$16)/(Cotas!$C$17-Cotas!$C$16)),0)</f>
        <v>0</v>
      </c>
      <c r="C127" s="13" t="n">
        <f aca="false">IF(AND(A127&gt;=Cotas!$C$18,A127&lt;=Cotas!$C$19),$C$3*SIN(PI()*(A127-Cotas!$C$18)/(Cotas!$C$19-Cotas!$C$18)),0)</f>
        <v>0</v>
      </c>
    </row>
    <row r="128" customFormat="false" ht="15" hidden="false" customHeight="false" outlineLevel="0" collapsed="false">
      <c r="A128" s="12" t="n">
        <v>610</v>
      </c>
      <c r="B128" s="13" t="n">
        <f aca="false">IF(AND(IF(A128&lt;180,A128+720,A128)&gt;=Cotas!$C$16,IF(A128&lt;180,A128+720,A128)&lt;=Cotas!$C$17),$C$3*SIN(PI()*(IF(A128&lt;180,A128+720,A128)-Cotas!$C$16)/(Cotas!$C$17-Cotas!$C$16)),0)</f>
        <v>0</v>
      </c>
      <c r="C128" s="13" t="n">
        <f aca="false">IF(AND(A128&gt;=Cotas!$C$18,A128&lt;=Cotas!$C$19),$C$3*SIN(PI()*(A128-Cotas!$C$18)/(Cotas!$C$19-Cotas!$C$18)),0)</f>
        <v>0</v>
      </c>
    </row>
    <row r="129" customFormat="false" ht="15" hidden="false" customHeight="false" outlineLevel="0" collapsed="false">
      <c r="A129" s="12" t="n">
        <v>615</v>
      </c>
      <c r="B129" s="13" t="n">
        <f aca="false">IF(AND(IF(A129&lt;180,A129+720,A129)&gt;=Cotas!$C$16,IF(A129&lt;180,A129+720,A129)&lt;=Cotas!$C$17),$C$3*SIN(PI()*(IF(A129&lt;180,A129+720,A129)-Cotas!$C$16)/(Cotas!$C$17-Cotas!$C$16)),0)</f>
        <v>0</v>
      </c>
      <c r="C129" s="13" t="n">
        <f aca="false">IF(AND(A129&gt;=Cotas!$C$18,A129&lt;=Cotas!$C$19),$C$3*SIN(PI()*(A129-Cotas!$C$18)/(Cotas!$C$19-Cotas!$C$18)),0)</f>
        <v>0</v>
      </c>
    </row>
    <row r="130" customFormat="false" ht="15" hidden="false" customHeight="false" outlineLevel="0" collapsed="false">
      <c r="A130" s="12" t="n">
        <v>620</v>
      </c>
      <c r="B130" s="13" t="n">
        <f aca="false">IF(AND(IF(A130&lt;180,A130+720,A130)&gt;=Cotas!$C$16,IF(A130&lt;180,A130+720,A130)&lt;=Cotas!$C$17),$C$3*SIN(PI()*(IF(A130&lt;180,A130+720,A130)-Cotas!$C$16)/(Cotas!$C$17-Cotas!$C$16)),0)</f>
        <v>0</v>
      </c>
      <c r="C130" s="13" t="n">
        <f aca="false">IF(AND(A130&gt;=Cotas!$C$18,A130&lt;=Cotas!$C$19),$C$3*SIN(PI()*(A130-Cotas!$C$18)/(Cotas!$C$19-Cotas!$C$18)),0)</f>
        <v>0</v>
      </c>
    </row>
    <row r="131" customFormat="false" ht="15" hidden="false" customHeight="false" outlineLevel="0" collapsed="false">
      <c r="A131" s="12" t="n">
        <v>625</v>
      </c>
      <c r="B131" s="13" t="n">
        <f aca="false">IF(AND(IF(A131&lt;180,A131+720,A131)&gt;=Cotas!$C$16,IF(A131&lt;180,A131+720,A131)&lt;=Cotas!$C$17),$C$3*SIN(PI()*(IF(A131&lt;180,A131+720,A131)-Cotas!$C$16)/(Cotas!$C$17-Cotas!$C$16)),0)</f>
        <v>0</v>
      </c>
      <c r="C131" s="13" t="n">
        <f aca="false">IF(AND(A131&gt;=Cotas!$C$18,A131&lt;=Cotas!$C$19),$C$3*SIN(PI()*(A131-Cotas!$C$18)/(Cotas!$C$19-Cotas!$C$18)),0)</f>
        <v>0</v>
      </c>
    </row>
    <row r="132" customFormat="false" ht="15" hidden="false" customHeight="false" outlineLevel="0" collapsed="false">
      <c r="A132" s="12" t="n">
        <v>630</v>
      </c>
      <c r="B132" s="13" t="n">
        <f aca="false">IF(AND(IF(A132&lt;180,A132+720,A132)&gt;=Cotas!$C$16,IF(A132&lt;180,A132+720,A132)&lt;=Cotas!$C$17),$C$3*SIN(PI()*(IF(A132&lt;180,A132+720,A132)-Cotas!$C$16)/(Cotas!$C$17-Cotas!$C$16)),0)</f>
        <v>0</v>
      </c>
      <c r="C132" s="13" t="n">
        <f aca="false">IF(AND(A132&gt;=Cotas!$C$18,A132&lt;=Cotas!$C$19),$C$3*SIN(PI()*(A132-Cotas!$C$18)/(Cotas!$C$19-Cotas!$C$18)),0)</f>
        <v>0</v>
      </c>
    </row>
    <row r="133" customFormat="false" ht="15" hidden="false" customHeight="false" outlineLevel="0" collapsed="false">
      <c r="A133" s="12" t="n">
        <v>635</v>
      </c>
      <c r="B133" s="13" t="n">
        <f aca="false">IF(AND(IF(A133&lt;180,A133+720,A133)&gt;=Cotas!$C$16,IF(A133&lt;180,A133+720,A133)&lt;=Cotas!$C$17),$C$3*SIN(PI()*(IF(A133&lt;180,A133+720,A133)-Cotas!$C$16)/(Cotas!$C$17-Cotas!$C$16)),0)</f>
        <v>0</v>
      </c>
      <c r="C133" s="13" t="n">
        <f aca="false">IF(AND(A133&gt;=Cotas!$C$18,A133&lt;=Cotas!$C$19),$C$3*SIN(PI()*(A133-Cotas!$C$18)/(Cotas!$C$19-Cotas!$C$18)),0)</f>
        <v>0</v>
      </c>
    </row>
    <row r="134" customFormat="false" ht="15" hidden="false" customHeight="false" outlineLevel="0" collapsed="false">
      <c r="A134" s="12" t="n">
        <v>640</v>
      </c>
      <c r="B134" s="13" t="n">
        <f aca="false">IF(AND(IF(A134&lt;180,A134+720,A134)&gt;=Cotas!$C$16,IF(A134&lt;180,A134+720,A134)&lt;=Cotas!$C$17),$C$3*SIN(PI()*(IF(A134&lt;180,A134+720,A134)-Cotas!$C$16)/(Cotas!$C$17-Cotas!$C$16)),0)</f>
        <v>0</v>
      </c>
      <c r="C134" s="13" t="n">
        <f aca="false">IF(AND(A134&gt;=Cotas!$C$18,A134&lt;=Cotas!$C$19),$C$3*SIN(PI()*(A134-Cotas!$C$18)/(Cotas!$C$19-Cotas!$C$18)),0)</f>
        <v>0</v>
      </c>
    </row>
    <row r="135" customFormat="false" ht="15" hidden="false" customHeight="false" outlineLevel="0" collapsed="false">
      <c r="A135" s="12" t="n">
        <v>645</v>
      </c>
      <c r="B135" s="13" t="n">
        <f aca="false">IF(AND(IF(A135&lt;180,A135+720,A135)&gt;=Cotas!$C$16,IF(A135&lt;180,A135+720,A135)&lt;=Cotas!$C$17),$C$3*SIN(PI()*(IF(A135&lt;180,A135+720,A135)-Cotas!$C$16)/(Cotas!$C$17-Cotas!$C$16)),0)</f>
        <v>0</v>
      </c>
      <c r="C135" s="13" t="n">
        <f aca="false">IF(AND(A135&gt;=Cotas!$C$18,A135&lt;=Cotas!$C$19),$C$3*SIN(PI()*(A135-Cotas!$C$18)/(Cotas!$C$19-Cotas!$C$18)),0)</f>
        <v>0</v>
      </c>
    </row>
    <row r="136" customFormat="false" ht="15" hidden="false" customHeight="false" outlineLevel="0" collapsed="false">
      <c r="A136" s="12" t="n">
        <v>650</v>
      </c>
      <c r="B136" s="13" t="n">
        <f aca="false">IF(AND(IF(A136&lt;180,A136+720,A136)&gt;=Cotas!$C$16,IF(A136&lt;180,A136+720,A136)&lt;=Cotas!$C$17),$C$3*SIN(PI()*(IF(A136&lt;180,A136+720,A136)-Cotas!$C$16)/(Cotas!$C$17-Cotas!$C$16)),0)</f>
        <v>0</v>
      </c>
      <c r="C136" s="13" t="n">
        <f aca="false">IF(AND(A136&gt;=Cotas!$C$18,A136&lt;=Cotas!$C$19),$C$3*SIN(PI()*(A136-Cotas!$C$18)/(Cotas!$C$19-Cotas!$C$18)),0)</f>
        <v>0</v>
      </c>
    </row>
    <row r="137" customFormat="false" ht="15" hidden="false" customHeight="false" outlineLevel="0" collapsed="false">
      <c r="A137" s="12" t="n">
        <v>655</v>
      </c>
      <c r="B137" s="13" t="n">
        <f aca="false">IF(AND(IF(A137&lt;180,A137+720,A137)&gt;=Cotas!$C$16,IF(A137&lt;180,A137+720,A137)&lt;=Cotas!$C$17),$C$3*SIN(PI()*(IF(A137&lt;180,A137+720,A137)-Cotas!$C$16)/(Cotas!$C$17-Cotas!$C$16)),0)</f>
        <v>0</v>
      </c>
      <c r="C137" s="13" t="n">
        <f aca="false">IF(AND(A137&gt;=Cotas!$C$18,A137&lt;=Cotas!$C$19),$C$3*SIN(PI()*(A137-Cotas!$C$18)/(Cotas!$C$19-Cotas!$C$18)),0)</f>
        <v>0</v>
      </c>
    </row>
    <row r="138" customFormat="false" ht="15" hidden="false" customHeight="false" outlineLevel="0" collapsed="false">
      <c r="A138" s="12" t="n">
        <v>660</v>
      </c>
      <c r="B138" s="13" t="n">
        <f aca="false">IF(AND(IF(A138&lt;180,A138+720,A138)&gt;=Cotas!$C$16,IF(A138&lt;180,A138+720,A138)&lt;=Cotas!$C$17),$C$3*SIN(PI()*(IF(A138&lt;180,A138+720,A138)-Cotas!$C$16)/(Cotas!$C$17-Cotas!$C$16)),0)</f>
        <v>0</v>
      </c>
      <c r="C138" s="13" t="n">
        <f aca="false">IF(AND(A138&gt;=Cotas!$C$18,A138&lt;=Cotas!$C$19),$C$3*SIN(PI()*(A138-Cotas!$C$18)/(Cotas!$C$19-Cotas!$C$18)),0)</f>
        <v>0</v>
      </c>
    </row>
    <row r="139" customFormat="false" ht="15" hidden="false" customHeight="false" outlineLevel="0" collapsed="false">
      <c r="A139" s="12" t="n">
        <v>665</v>
      </c>
      <c r="B139" s="13" t="n">
        <f aca="false">IF(AND(IF(A139&lt;180,A139+720,A139)&gt;=Cotas!$C$16,IF(A139&lt;180,A139+720,A139)&lt;=Cotas!$C$17),$C$3*SIN(PI()*(IF(A139&lt;180,A139+720,A139)-Cotas!$C$16)/(Cotas!$C$17-Cotas!$C$16)),0)</f>
        <v>0</v>
      </c>
      <c r="C139" s="13" t="n">
        <f aca="false">IF(AND(A139&gt;=Cotas!$C$18,A139&lt;=Cotas!$C$19),$C$3*SIN(PI()*(A139-Cotas!$C$18)/(Cotas!$C$19-Cotas!$C$18)),0)</f>
        <v>0</v>
      </c>
    </row>
    <row r="140" customFormat="false" ht="15" hidden="false" customHeight="false" outlineLevel="0" collapsed="false">
      <c r="A140" s="12" t="n">
        <v>670</v>
      </c>
      <c r="B140" s="13" t="n">
        <f aca="false">IF(AND(IF(A140&lt;180,A140+720,A140)&gt;=Cotas!$C$16,IF(A140&lt;180,A140+720,A140)&lt;=Cotas!$C$17),$C$3*SIN(PI()*(IF(A140&lt;180,A140+720,A140)-Cotas!$C$16)/(Cotas!$C$17-Cotas!$C$16)),0)</f>
        <v>0</v>
      </c>
      <c r="C140" s="13" t="n">
        <f aca="false">IF(AND(A140&gt;=Cotas!$C$18,A140&lt;=Cotas!$C$19),$C$3*SIN(PI()*(A140-Cotas!$C$18)/(Cotas!$C$19-Cotas!$C$18)),0)</f>
        <v>0</v>
      </c>
    </row>
    <row r="141" customFormat="false" ht="15" hidden="false" customHeight="false" outlineLevel="0" collapsed="false">
      <c r="A141" s="12" t="n">
        <v>675</v>
      </c>
      <c r="B141" s="13" t="n">
        <f aca="false">IF(AND(IF(A141&lt;180,A141+720,A141)&gt;=Cotas!$C$16,IF(A141&lt;180,A141+720,A141)&lt;=Cotas!$C$17),$C$3*SIN(PI()*(IF(A141&lt;180,A141+720,A141)-Cotas!$C$16)/(Cotas!$C$17-Cotas!$C$16)),0)</f>
        <v>0</v>
      </c>
      <c r="C141" s="13" t="n">
        <f aca="false">IF(AND(A141&gt;=Cotas!$C$18,A141&lt;=Cotas!$C$19),$C$3*SIN(PI()*(A141-Cotas!$C$18)/(Cotas!$C$19-Cotas!$C$18)),0)</f>
        <v>0</v>
      </c>
    </row>
    <row r="142" customFormat="false" ht="15" hidden="false" customHeight="false" outlineLevel="0" collapsed="false">
      <c r="A142" s="12" t="n">
        <v>680</v>
      </c>
      <c r="B142" s="13" t="n">
        <f aca="false">IF(AND(IF(A142&lt;180,A142+720,A142)&gt;=Cotas!$C$16,IF(A142&lt;180,A142+720,A142)&lt;=Cotas!$C$17),$C$3*SIN(PI()*(IF(A142&lt;180,A142+720,A142)-Cotas!$C$16)/(Cotas!$C$17-Cotas!$C$16)),0)</f>
        <v>0</v>
      </c>
      <c r="C142" s="13" t="n">
        <f aca="false">IF(AND(A142&gt;=Cotas!$C$18,A142&lt;=Cotas!$C$19),$C$3*SIN(PI()*(A142-Cotas!$C$18)/(Cotas!$C$19-Cotas!$C$18)),0)</f>
        <v>0</v>
      </c>
    </row>
    <row r="143" customFormat="false" ht="15" hidden="false" customHeight="false" outlineLevel="0" collapsed="false">
      <c r="A143" s="12" t="n">
        <v>685</v>
      </c>
      <c r="B143" s="13" t="n">
        <f aca="false">IF(AND(IF(A143&lt;180,A143+720,A143)&gt;=Cotas!$C$16,IF(A143&lt;180,A143+720,A143)&lt;=Cotas!$C$17),$C$3*SIN(PI()*(IF(A143&lt;180,A143+720,A143)-Cotas!$C$16)/(Cotas!$C$17-Cotas!$C$16)),0)</f>
        <v>0</v>
      </c>
      <c r="C143" s="13" t="n">
        <f aca="false">IF(AND(A143&gt;=Cotas!$C$18,A143&lt;=Cotas!$C$19),$C$3*SIN(PI()*(A143-Cotas!$C$18)/(Cotas!$C$19-Cotas!$C$18)),0)</f>
        <v>0</v>
      </c>
    </row>
    <row r="144" customFormat="false" ht="15" hidden="false" customHeight="false" outlineLevel="0" collapsed="false">
      <c r="A144" s="12" t="n">
        <v>690</v>
      </c>
      <c r="B144" s="13" t="n">
        <f aca="false">IF(AND(IF(A144&lt;180,A144+720,A144)&gt;=Cotas!$C$16,IF(A144&lt;180,A144+720,A144)&lt;=Cotas!$C$17),$C$3*SIN(PI()*(IF(A144&lt;180,A144+720,A144)-Cotas!$C$16)/(Cotas!$C$17-Cotas!$C$16)),0)</f>
        <v>0</v>
      </c>
      <c r="C144" s="13" t="n">
        <f aca="false">IF(AND(A144&gt;=Cotas!$C$18,A144&lt;=Cotas!$C$19),$C$3*SIN(PI()*(A144-Cotas!$C$18)/(Cotas!$C$19-Cotas!$C$18)),0)</f>
        <v>0</v>
      </c>
    </row>
    <row r="145" customFormat="false" ht="15" hidden="false" customHeight="false" outlineLevel="0" collapsed="false">
      <c r="A145" s="12" t="n">
        <v>695</v>
      </c>
      <c r="B145" s="13" t="n">
        <f aca="false">IF(AND(IF(A145&lt;180,A145+720,A145)&gt;=Cotas!$C$16,IF(A145&lt;180,A145+720,A145)&lt;=Cotas!$C$17),$C$3*SIN(PI()*(IF(A145&lt;180,A145+720,A145)-Cotas!$C$16)/(Cotas!$C$17-Cotas!$C$16)),0)</f>
        <v>0</v>
      </c>
      <c r="C145" s="13" t="n">
        <f aca="false">IF(AND(A145&gt;=Cotas!$C$18,A145&lt;=Cotas!$C$19),$C$3*SIN(PI()*(A145-Cotas!$C$18)/(Cotas!$C$19-Cotas!$C$18)),0)</f>
        <v>0</v>
      </c>
    </row>
    <row r="146" customFormat="false" ht="15" hidden="false" customHeight="false" outlineLevel="0" collapsed="false">
      <c r="A146" s="12" t="n">
        <v>700</v>
      </c>
      <c r="B146" s="13" t="n">
        <f aca="false">IF(AND(IF(A146&lt;180,A146+720,A146)&gt;=Cotas!$C$16,IF(A146&lt;180,A146+720,A146)&lt;=Cotas!$C$17),$C$3*SIN(PI()*(IF(A146&lt;180,A146+720,A146)-Cotas!$C$16)/(Cotas!$C$17-Cotas!$C$16)),0)</f>
        <v>0</v>
      </c>
      <c r="C146" s="13" t="n">
        <f aca="false">IF(AND(A146&gt;=Cotas!$C$18,A146&lt;=Cotas!$C$19),$C$3*SIN(PI()*(A146-Cotas!$C$18)/(Cotas!$C$19-Cotas!$C$18)),0)</f>
        <v>0</v>
      </c>
    </row>
    <row r="147" customFormat="false" ht="15" hidden="false" customHeight="false" outlineLevel="0" collapsed="false">
      <c r="A147" s="12" t="n">
        <v>705</v>
      </c>
      <c r="B147" s="13" t="n">
        <f aca="false">IF(AND(IF(A147&lt;180,A147+720,A147)&gt;=Cotas!$C$16,IF(A147&lt;180,A147+720,A147)&lt;=Cotas!$C$17),$C$3*SIN(PI()*(IF(A147&lt;180,A147+720,A147)-Cotas!$C$16)/(Cotas!$C$17-Cotas!$C$16)),0)</f>
        <v>0</v>
      </c>
      <c r="C147" s="13" t="n">
        <f aca="false">IF(AND(A147&gt;=Cotas!$C$18,A147&lt;=Cotas!$C$19),$C$3*SIN(PI()*(A147-Cotas!$C$18)/(Cotas!$C$19-Cotas!$C$18)),0)</f>
        <v>0</v>
      </c>
    </row>
    <row r="148" customFormat="false" ht="15" hidden="false" customHeight="false" outlineLevel="0" collapsed="false">
      <c r="A148" s="12" t="n">
        <v>710</v>
      </c>
      <c r="B148" s="13" t="n">
        <f aca="false">IF(AND(IF(A148&lt;180,A148+720,A148)&gt;=Cotas!$C$16,IF(A148&lt;180,A148+720,A148)&lt;=Cotas!$C$17),$C$3*SIN(PI()*(IF(A148&lt;180,A148+720,A148)-Cotas!$C$16)/(Cotas!$C$17-Cotas!$C$16)),0)</f>
        <v>0</v>
      </c>
      <c r="C148" s="13" t="n">
        <f aca="false">IF(AND(A148&gt;=Cotas!$C$18,A148&lt;=Cotas!$C$19),$C$3*SIN(PI()*(A148-Cotas!$C$18)/(Cotas!$C$19-Cotas!$C$18)),0)</f>
        <v>0</v>
      </c>
    </row>
    <row r="149" customFormat="false" ht="15" hidden="false" customHeight="false" outlineLevel="0" collapsed="false">
      <c r="A149" s="12" t="n">
        <v>715</v>
      </c>
      <c r="B149" s="13" t="n">
        <f aca="false">IF(AND(IF(A149&lt;180,A149+720,A149)&gt;=Cotas!$C$16,IF(A149&lt;180,A149+720,A149)&lt;=Cotas!$C$17),$C$3*SIN(PI()*(IF(A149&lt;180,A149+720,A149)-Cotas!$C$16)/(Cotas!$C$17-Cotas!$C$16)),0)</f>
        <v>0</v>
      </c>
      <c r="C149" s="13" t="n">
        <f aca="false">IF(AND(A149&gt;=Cotas!$C$18,A149&lt;=Cotas!$C$19),$C$3*SIN(PI()*(A149-Cotas!$C$18)/(Cotas!$C$19-Cotas!$C$18)),0)</f>
        <v>0</v>
      </c>
    </row>
    <row r="150" customFormat="false" ht="15" hidden="false" customHeight="false" outlineLevel="0" collapsed="false">
      <c r="A150" s="12" t="n">
        <v>720</v>
      </c>
      <c r="B150" s="13" t="n">
        <f aca="false">IF(AND(IF(A150&lt;180,A150+720,A150)&gt;=Cotas!$C$16,IF(A150&lt;180,A150+720,A150)&lt;=Cotas!$C$17),$C$3*SIN(PI()*(IF(A150&lt;180,A150+720,A150)-Cotas!$C$16)/(Cotas!$C$17-Cotas!$C$16)),0)</f>
        <v>0</v>
      </c>
      <c r="C150" s="13" t="n">
        <f aca="false">IF(AND(A150&gt;=Cotas!$C$18,A150&lt;=Cotas!$C$19),$C$3*SIN(PI()*(A150-Cotas!$C$18)/(Cotas!$C$19-Cotas!$C$18)),0)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2026-09-15T21:30:21Z</dcterms:created>
  <dc:creator>openpyxl</dc:creator>
  <dc:description/>
  <dc:language>en-US</dc:language>
  <cp:lastModifiedBy/>
  <dcterms:modified xsi:type="dcterms:W3CDTF">2026-09-15T21:30:22Z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