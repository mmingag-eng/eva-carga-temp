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Grupo_reductor" sheetId="3" state="visible" r:id="rId5"/>
    <sheet name="3_Diferencial_curva" sheetId="4" state="visible" r:id="rId6"/>
    <sheet name="4_Par_y_traccion" sheetId="5" state="visible" r:id="rId7"/>
    <sheet name="5_Transferencia" sheetId="6" state="visible" r:id="rId8"/>
  </sheets>
  <definedNames>
    <definedName function="false" hidden="false" name="eta" vbProcedure="false">1_Datos!$C$15</definedName>
    <definedName function="false" hidden="false" name="Fab" vbProcedure="false">4_Par_y_traccion!$C$5</definedName>
    <definedName function="false" hidden="false" name="Fbl" vbProcedure="false">4_Par_y_traccion!$C$7</definedName>
    <definedName function="false" hidden="false" name="fd" vbProcedure="false">5_Transferencia!$C$4</definedName>
    <definedName function="false" hidden="false" name="FH" vbProcedure="false">5_Transferencia!$C$6</definedName>
    <definedName function="false" hidden="false" name="FL" vbProcedure="false">5_Transferencia!$C$7</definedName>
    <definedName function="false" hidden="false" name="ft" vbProcedure="false">5_Transferencia!$C$5</definedName>
    <definedName function="false" hidden="false" name="Ftor" vbProcedure="false">4_Par_y_traccion!$C$6</definedName>
    <definedName function="false" hidden="false" name="ic1" vbProcedure="false">1_Datos!$C$13</definedName>
    <definedName function="false" hidden="false" name="idg" vbProcedure="false">2_Grupo_reductor!$C$4</definedName>
    <definedName function="false" hidden="false" name="iL" vbProcedure="false">1_Datos!$C$14</definedName>
    <definedName function="false" hidden="false" name="Mb" vbProcedure="false">4_Par_y_traccion!$C$4</definedName>
    <definedName function="false" hidden="false" name="Mmax" vbProcedure="false">1_Datos!$C$12</definedName>
    <definedName function="false" hidden="false" name="mua" vbProcedure="false">1_Datos!$C$19</definedName>
    <definedName function="false" hidden="false" name="mub" vbProcedure="false">1_Datos!$C$18</definedName>
    <definedName function="false" hidden="false" name="nc" vbProcedure="false">2_Grupo_reductor!$C$5</definedName>
    <definedName function="false" hidden="false" name="ncomp" vbProcedure="false">3_Diferencial_curva!$C$8</definedName>
    <definedName function="false" hidden="false" name="ne" vbProcedure="false">3_Diferencial_curva!$C$6</definedName>
    <definedName function="false" hidden="false" name="ni" vbProcedure="false">3_Diferencial_curva!$C$7</definedName>
    <definedName function="false" hidden="false" name="nmot" vbProcedure="false">1_Datos!$C$22</definedName>
    <definedName function="false" hidden="false" name="npin" vbProcedure="false">2_Grupo_reductor!$C$6</definedName>
    <definedName function="false" hidden="false" name="nsat" vbProcedure="false">3_Diferencial_curva!$C$9</definedName>
    <definedName function="false" hidden="false" name="Nw" vbProcedure="false">1_Datos!$C$20</definedName>
    <definedName function="false" hidden="false" name="rc" vbProcedure="false">1_Datos!$C$11</definedName>
    <definedName function="false" hidden="false" name="Rg" vbProcedure="false">1_Datos!$C$9</definedName>
    <definedName function="false" hidden="false" name="TBR" vbProcedure="false">1_Datos!$C$21</definedName>
    <definedName function="false" hidden="false" name="tv" vbProcedure="false">1_Datos!$C$10</definedName>
    <definedName function="false" hidden="false" name="Ve" vbProcedure="false">3_Diferencial_curva!$C$4</definedName>
    <definedName function="false" hidden="false" name="VH" vbProcedure="false">5_Transferencia!$C$8</definedName>
    <definedName function="false" hidden="false" name="Vi" vbProcedure="false">3_Diferencial_curva!$C$5</definedName>
    <definedName function="false" hidden="false" name="VL" vbProcedure="false">5_Transferencia!$C$9</definedName>
    <definedName function="false" hidden="false" name="Vv" vbProcedure="false">1_Datos!$C$8</definedName>
    <definedName function="false" hidden="false" name="Zc" vbProcedure="false">1_Datos!$C$4</definedName>
    <definedName function="false" hidden="false" name="Zp" vbProcedure="false">1_Datos!$C$5</definedName>
    <definedName function="false" hidden="false" name="Zpl" vbProcedure="false">1_Datos!$C$6</definedName>
    <definedName function="false" hidden="false" name="Zr" vbProcedure="false">1_Datos!$C$17</definedName>
    <definedName function="false" hidden="false" name="Zs" vbProcedure="false">1_Datos!$C$16</definedName>
    <definedName function="false" hidden="false" name="Zsat" vbProcedure="false">1_Datos!$C$7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<sst xmlns="http://schemas.openxmlformats.org/spreadsheetml/2006/main" count="173" uniqueCount="127">
  <si>
    <t xml:space="preserve">PRÁCTICA 5 – DIAGNÓSTICO DEL CONJUNTO DIFERENCIAL Y CAJA DE TRANSFERENCIA: RELACIONES Y VELOCIDADES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</si>
  <si>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</si>
  <si>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</si>
  <si>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</si>
  <si>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</si>
  <si>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</si>
  <si>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</si>
  <si>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dientes de corona y piñón, dientes de planetarios y satélites, vía, radio de giro, velocidad y datos de adherencia y de la caja de transferencia.</t>
  </si>
  <si>
    <t xml:space="preserve">2_Grupo_reductor: relación del grupo y regímenes del piñón y de la caja de satélites. Ecuaciones (1) y (2).</t>
  </si>
  <si>
    <t xml:space="preserve">3_Diferencial_curva: velocidad y régimen de cada rueda en curva, giro de los satélites y tabla para distintos radios de giro. Ecuaciones (3) a (6).</t>
  </si>
  <si>
    <t xml:space="preserve">4_Par_y_traccion: reparto de par del diferencial abierto, autoblocante y bloqueado según la adherencia. Ecuaciones (7) y (8).</t>
  </si>
  <si>
    <t xml:space="preserve">5_Transferencia: reparto del diferencial central epicicloidal y efecto de la reductora 4L. Ecuaciones (9) a (11).</t>
  </si>
  <si>
    <t xml:space="preserve">Interpretación:</t>
  </si>
  <si>
    <t xml:space="preserve">• La suma de regímenes de las dos ruedas es siempre el doble del régimen de la caja: si una rueda se detiene la otra gira al doble. • El diferencial abierto limita la tracción a la de la rueda con menos adherencia. • La reductora multiplica la fuerza de tracción y divide la velocidad por la misma relación.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</si>
  <si>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</si>
  <si>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</si>
  <si>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</si>
  <si>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</si>
  <si>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</si>
  <si>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</si>
  <si>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Dientes de la corona</t>
  </si>
  <si>
    <t xml:space="preserve">Zc</t>
  </si>
  <si>
    <t xml:space="preserve">—</t>
  </si>
  <si>
    <t xml:space="preserve">Contar en el laboratorio</t>
  </si>
  <si>
    <t xml:space="preserve">Dientes del piñón de ataque</t>
  </si>
  <si>
    <t xml:space="preserve">Zp</t>
  </si>
  <si>
    <t xml:space="preserve">Dientes del planetario</t>
  </si>
  <si>
    <t xml:space="preserve">Zpl</t>
  </si>
  <si>
    <t xml:space="preserve">Dientes del satélite</t>
  </si>
  <si>
    <t xml:space="preserve">Zsat</t>
  </si>
  <si>
    <t xml:space="preserve">Velocidad del vehículo</t>
  </si>
  <si>
    <t xml:space="preserve">V</t>
  </si>
  <si>
    <t xml:space="preserve">km/h</t>
  </si>
  <si>
    <t xml:space="preserve">Radio de giro (eje longitudinal del vehículo)</t>
  </si>
  <si>
    <t xml:space="preserve">Rg</t>
  </si>
  <si>
    <t xml:space="preserve">m</t>
  </si>
  <si>
    <t xml:space="preserve">Vía (ancho entre ruedas)</t>
  </si>
  <si>
    <t xml:space="preserve">t</t>
  </si>
  <si>
    <t xml:space="preserve">Radio bajo carga</t>
  </si>
  <si>
    <t xml:space="preserve">rc</t>
  </si>
  <si>
    <t xml:space="preserve">Par máximo del motor</t>
  </si>
  <si>
    <t xml:space="preserve">Mmax</t>
  </si>
  <si>
    <t xml:space="preserve">N·m</t>
  </si>
  <si>
    <t xml:space="preserve">Relación de 1.ª de caja</t>
  </si>
  <si>
    <t xml:space="preserve">ic1</t>
  </si>
  <si>
    <t xml:space="preserve">Relación de la reductora (4L)</t>
  </si>
  <si>
    <t xml:space="preserve">iL</t>
  </si>
  <si>
    <t xml:space="preserve">Rendimiento total</t>
  </si>
  <si>
    <t xml:space="preserve">η</t>
  </si>
  <si>
    <t xml:space="preserve">Dientes del planetario del diferencial central</t>
  </si>
  <si>
    <t xml:space="preserve">Zs</t>
  </si>
  <si>
    <t xml:space="preserve">Salida delantera</t>
  </si>
  <si>
    <t xml:space="preserve">Dientes de la corona del diferencial central</t>
  </si>
  <si>
    <t xml:space="preserve">Zr</t>
  </si>
  <si>
    <t xml:space="preserve">Salida trasera</t>
  </si>
  <si>
    <t xml:space="preserve">Adherencia de la rueda en barro</t>
  </si>
  <si>
    <t xml:space="preserve">μb</t>
  </si>
  <si>
    <t xml:space="preserve">Adherencia de la rueda en suelo firme</t>
  </si>
  <si>
    <t xml:space="preserve">μa</t>
  </si>
  <si>
    <t xml:space="preserve">Carga normal por rueda</t>
  </si>
  <si>
    <t xml:space="preserve">N</t>
  </si>
  <si>
    <t xml:space="preserve">Relación de reparto de par del Torsen</t>
  </si>
  <si>
    <t xml:space="preserve">TBR</t>
  </si>
  <si>
    <t xml:space="preserve">Régimen del motor para comparar 4H y 4L</t>
  </si>
  <si>
    <t xml:space="preserve">n</t>
  </si>
  <si>
    <t xml:space="preserve">min⁻¹</t>
  </si>
  <si>
    <t xml:space="preserve">Relación del grupo reductor</t>
  </si>
  <si>
    <t xml:space="preserve">RESULTADOS</t>
  </si>
  <si>
    <t xml:space="preserve">Relación del grupo</t>
  </si>
  <si>
    <t xml:space="preserve">id</t>
  </si>
  <si>
    <t xml:space="preserve">Ec. (1)</t>
  </si>
  <si>
    <t xml:space="preserve">Régimen de la caja de satélites en recta</t>
  </si>
  <si>
    <t xml:space="preserve">nc</t>
  </si>
  <si>
    <t xml:space="preserve">Ec. (5)</t>
  </si>
  <si>
    <t xml:space="preserve">Régimen del piñón de ataque</t>
  </si>
  <si>
    <t xml:space="preserve">np</t>
  </si>
  <si>
    <t xml:space="preserve">Ec. (2)</t>
  </si>
  <si>
    <t xml:space="preserve">Velocidades del diferencial en curva</t>
  </si>
  <si>
    <t xml:space="preserve">Velocidad de la rueda exterior</t>
  </si>
  <si>
    <t xml:space="preserve">Ve</t>
  </si>
  <si>
    <t xml:space="preserve">Ec. (4)</t>
  </si>
  <si>
    <t xml:space="preserve">Velocidad de la rueda interior</t>
  </si>
  <si>
    <t xml:space="preserve">Vi</t>
  </si>
  <si>
    <t xml:space="preserve">Régimen rueda exterior</t>
  </si>
  <si>
    <t xml:space="preserve">ne</t>
  </si>
  <si>
    <t xml:space="preserve">Régimen rueda interior</t>
  </si>
  <si>
    <t xml:space="preserve">ni</t>
  </si>
  <si>
    <t xml:space="preserve">Comprobación (ne + ni)/2</t>
  </si>
  <si>
    <t xml:space="preserve">Ec. (3): debe igualar a la caja</t>
  </si>
  <si>
    <t xml:space="preserve">Giro de los satélites sobre su eje</t>
  </si>
  <si>
    <t xml:space="preserve">nsat</t>
  </si>
  <si>
    <t xml:space="preserve">Ec. (6)</t>
  </si>
  <si>
    <t xml:space="preserve">Rueda levantada: régimen si la otra está frenada</t>
  </si>
  <si>
    <t xml:space="preserve">Ec. (3) con ni = 0</t>
  </si>
  <si>
    <t xml:space="preserve">Rg (m)</t>
  </si>
  <si>
    <t xml:space="preserve">n ext</t>
  </si>
  <si>
    <t xml:space="preserve">n int</t>
  </si>
  <si>
    <t xml:space="preserve">n caja</t>
  </si>
  <si>
    <t xml:space="preserve">n satélite</t>
  </si>
  <si>
    <t xml:space="preserve">Reparto de par y tracción</t>
  </si>
  <si>
    <t xml:space="preserve">Par máximo en la rueda con poca adherencia</t>
  </si>
  <si>
    <t xml:space="preserve">Mb</t>
  </si>
  <si>
    <t xml:space="preserve">Límite de adherencia</t>
  </si>
  <si>
    <t xml:space="preserve">Tracción del eje con diferencial abierto</t>
  </si>
  <si>
    <t xml:space="preserve">Fab</t>
  </si>
  <si>
    <t xml:space="preserve">Ec. (8)</t>
  </si>
  <si>
    <t xml:space="preserve">Tracción con Torsen</t>
  </si>
  <si>
    <t xml:space="preserve">Ftor</t>
  </si>
  <si>
    <t xml:space="preserve">Ec. (7)</t>
  </si>
  <si>
    <t xml:space="preserve">Tracción con diferencial bloqueado</t>
  </si>
  <si>
    <t xml:space="preserve">Fbl</t>
  </si>
  <si>
    <t xml:space="preserve">Diferencial central y reductora</t>
  </si>
  <si>
    <t xml:space="preserve">Fracción de par al eje delantero</t>
  </si>
  <si>
    <t xml:space="preserve">fd</t>
  </si>
  <si>
    <t xml:space="preserve">Ec. (9)</t>
  </si>
  <si>
    <t xml:space="preserve">Fracción de par al eje trasero</t>
  </si>
  <si>
    <t xml:space="preserve">ft</t>
  </si>
  <si>
    <t xml:space="preserve">Fuerza de tracción total en 4H (1.ª)</t>
  </si>
  <si>
    <t xml:space="preserve">FH</t>
  </si>
  <si>
    <t xml:space="preserve">Ec. (10)</t>
  </si>
  <si>
    <t xml:space="preserve">Fuerza de tracción total en 4L (1.ª)</t>
  </si>
  <si>
    <t xml:space="preserve">FL</t>
  </si>
  <si>
    <t xml:space="preserve">Velocidad en 4H a n</t>
  </si>
  <si>
    <t xml:space="preserve">VH</t>
  </si>
  <si>
    <t xml:space="preserve">Ec. (11)</t>
  </si>
  <si>
    <t xml:space="preserve">Velocidad en 4L a n</t>
  </si>
  <si>
    <t xml:space="preserve">VL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</si>
</sst>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Régimen de las ruedas en curva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"Rueda exterior"</c:f>
              <c:strCache>
                <c:ptCount val="1"/>
                <c:pt idx="0">
                  <c:v>Rueda exterior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3_Diferencial_curva!$A$13:$A$21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3_Diferencial_curva!$B$13:$B$21</c:f>
              <c:numCache>
                <c:formatCode>General</c:formatCode>
                <c:ptCount val="9"/>
                <c:pt idx="0">
                  <c:v>329.354553492485</c:v>
                </c:pt>
                <c:pt idx="1">
                  <c:v>313.328912466844</c:v>
                </c:pt>
                <c:pt idx="2">
                  <c:v>303.713527851459</c:v>
                </c:pt>
                <c:pt idx="3">
                  <c:v>297.303271441202</c:v>
                </c:pt>
                <c:pt idx="4">
                  <c:v>289.290450928382</c:v>
                </c:pt>
                <c:pt idx="5">
                  <c:v>284.48275862069</c:v>
                </c:pt>
                <c:pt idx="6">
                  <c:v>278.072502210433</c:v>
                </c:pt>
                <c:pt idx="7">
                  <c:v>274.867374005305</c:v>
                </c:pt>
                <c:pt idx="8">
                  <c:v>271.662245800177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"Rueda interior"</c:f>
              <c:strCache>
                <c:ptCount val="1"/>
                <c:pt idx="0">
                  <c:v>Rueda interior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3_Diferencial_curva!$A$13:$A$21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3_Diferencial_curva!$C$13:$C$21</c:f>
              <c:numCache>
                <c:formatCode>General</c:formatCode>
                <c:ptCount val="9"/>
                <c:pt idx="0">
                  <c:v>201.149425287356</c:v>
                </c:pt>
                <c:pt idx="1">
                  <c:v>217.175066312997</c:v>
                </c:pt>
                <c:pt idx="2">
                  <c:v>226.790450928382</c:v>
                </c:pt>
                <c:pt idx="3">
                  <c:v>233.200707338638</c:v>
                </c:pt>
                <c:pt idx="4">
                  <c:v>241.213527851459</c:v>
                </c:pt>
                <c:pt idx="5">
                  <c:v>246.021220159151</c:v>
                </c:pt>
                <c:pt idx="6">
                  <c:v>252.431476569408</c:v>
                </c:pt>
                <c:pt idx="7">
                  <c:v>255.636604774536</c:v>
                </c:pt>
                <c:pt idx="8">
                  <c:v>258.841732979664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"Caja"</c:f>
              <c:strCache>
                <c:ptCount val="1"/>
                <c:pt idx="0">
                  <c:v>Caja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3_Diferencial_curva!$A$13:$A$21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3_Diferencial_curva!$D$13:$D$21</c:f>
              <c:numCache>
                <c:formatCode>General</c:formatCode>
                <c:ptCount val="9"/>
                <c:pt idx="0">
                  <c:v>265.251989389921</c:v>
                </c:pt>
                <c:pt idx="1">
                  <c:v>265.25198938992</c:v>
                </c:pt>
                <c:pt idx="2">
                  <c:v>265.251989389921</c:v>
                </c:pt>
                <c:pt idx="3">
                  <c:v>265.25198938992</c:v>
                </c:pt>
                <c:pt idx="4">
                  <c:v>265.25198938992</c:v>
                </c:pt>
                <c:pt idx="5">
                  <c:v>265.25198938992</c:v>
                </c:pt>
                <c:pt idx="6">
                  <c:v>265.25198938992</c:v>
                </c:pt>
                <c:pt idx="7">
                  <c:v>265.251989389921</c:v>
                </c:pt>
                <c:pt idx="8">
                  <c:v>265.251989389921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"Satélite"</c:f>
              <c:strCache>
                <c:ptCount val="1"/>
                <c:pt idx="0">
                  <c:v>Satélite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3_Diferencial_curva!$A$13:$A$21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3_Diferencial_curva!$E$13:$E$21</c:f>
              <c:numCache>
                <c:formatCode>General</c:formatCode>
                <c:ptCount val="9"/>
                <c:pt idx="0">
                  <c:v>102.564102564103</c:v>
                </c:pt>
                <c:pt idx="1">
                  <c:v>76.9230769230769</c:v>
                </c:pt>
                <c:pt idx="2">
                  <c:v>61.5384615384616</c:v>
                </c:pt>
                <c:pt idx="3">
                  <c:v>51.2820512820513</c:v>
                </c:pt>
                <c:pt idx="4">
                  <c:v>38.4615384615385</c:v>
                </c:pt>
                <c:pt idx="5">
                  <c:v>30.7692307692308</c:v>
                </c:pt>
                <c:pt idx="6">
                  <c:v>20.5128205128205</c:v>
                </c:pt>
                <c:pt idx="7">
                  <c:v>15.3846153846154</c:v>
                </c:pt>
                <c:pt idx="8">
                  <c:v>10.2564102564103</c:v>
                </c:pt>
              </c:numCache>
            </c:numRef>
          </c:yVal>
          <c:smooth val="1"/>
        </c:ser>
        <c:axId val="87414841"/>
        <c:axId val="5091346"/>
      </c:scatterChart>
      <c:valAx>
        <c:axId val="874148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Radio de giro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1346"/>
        <c:crosses val="autoZero"/>
        <c:crossBetween val="midCat"/>
      </c:valAx>
      <c:valAx>
        <c:axId val="50913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min⁻¹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148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23</xdr:row>
      <xdr:rowOff>149400</xdr:rowOff>
    </xdr:to>
    <xdr:graphicFrame>
      <xdr:nvGraphicFramePr>
        <xdr:cNvPr id="0" name="Chart 1"/>
        <xdr:cNvGraphicFramePr/>
      </xdr:nvGraphicFramePr>
      <xdr:xfrm>
        <a:off x="36691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8.3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6" t="n">
        <v>41</v>
      </c>
      <c r="D4" s="7" t="s">
        <v>22</v>
      </c>
      <c r="E4" s="7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6" t="n">
        <v>10</v>
      </c>
      <c r="D5" s="7" t="s">
        <v>22</v>
      </c>
    </row>
    <row r="6" customFormat="false" ht="15" hidden="false" customHeight="false" outlineLevel="0" collapsed="false">
      <c r="A6" s="0" t="s">
        <v>26</v>
      </c>
      <c r="B6" s="0" t="s">
        <v>27</v>
      </c>
      <c r="C6" s="6" t="n">
        <v>16</v>
      </c>
      <c r="D6" s="7" t="s">
        <v>22</v>
      </c>
    </row>
    <row r="7" customFormat="false" ht="15" hidden="false" customHeight="false" outlineLevel="0" collapsed="false">
      <c r="A7" s="0" t="s">
        <v>28</v>
      </c>
      <c r="B7" s="0" t="s">
        <v>29</v>
      </c>
      <c r="C7" s="6" t="n">
        <v>10</v>
      </c>
      <c r="D7" s="7" t="s">
        <v>22</v>
      </c>
    </row>
    <row r="8" customFormat="false" ht="15" hidden="false" customHeight="false" outlineLevel="0" collapsed="false">
      <c r="A8" s="0" t="s">
        <v>30</v>
      </c>
      <c r="B8" s="0" t="s">
        <v>31</v>
      </c>
      <c r="C8" s="6" t="n">
        <v>30</v>
      </c>
      <c r="D8" s="7" t="s">
        <v>32</v>
      </c>
    </row>
    <row r="9" customFormat="false" ht="15" hidden="false" customHeight="false" outlineLevel="0" collapsed="false">
      <c r="A9" s="0" t="s">
        <v>33</v>
      </c>
      <c r="B9" s="0" t="s">
        <v>34</v>
      </c>
      <c r="C9" s="6" t="n">
        <v>6</v>
      </c>
      <c r="D9" s="7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6" t="n">
        <v>1.45</v>
      </c>
      <c r="D10" s="7" t="s">
        <v>35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6" t="n">
        <v>0.3</v>
      </c>
      <c r="D11" s="7" t="s">
        <v>35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6" t="n">
        <v>120</v>
      </c>
      <c r="D12" s="7" t="s">
        <v>42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6" t="n">
        <v>1.857</v>
      </c>
      <c r="D13" s="7" t="s">
        <v>22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6" t="n">
        <v>2.566</v>
      </c>
      <c r="D14" s="7" t="s">
        <v>22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6" t="n">
        <v>0.9</v>
      </c>
      <c r="D15" s="7" t="s">
        <v>22</v>
      </c>
    </row>
    <row r="16" customFormat="false" ht="15" hidden="false" customHeight="false" outlineLevel="0" collapsed="false">
      <c r="A16" s="0" t="s">
        <v>49</v>
      </c>
      <c r="B16" s="0" t="s">
        <v>50</v>
      </c>
      <c r="C16" s="6" t="n">
        <v>33</v>
      </c>
      <c r="D16" s="7" t="s">
        <v>22</v>
      </c>
      <c r="E16" s="7" t="s">
        <v>51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6" t="n">
        <v>75</v>
      </c>
      <c r="D17" s="7" t="s">
        <v>22</v>
      </c>
      <c r="E17" s="7" t="s">
        <v>54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6" t="n">
        <v>0.2</v>
      </c>
      <c r="D18" s="7" t="s">
        <v>22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6" t="n">
        <v>0.8</v>
      </c>
      <c r="D19" s="7" t="s">
        <v>22</v>
      </c>
    </row>
    <row r="20" customFormat="false" ht="15" hidden="false" customHeight="false" outlineLevel="0" collapsed="false">
      <c r="A20" s="0" t="s">
        <v>59</v>
      </c>
      <c r="B20" s="0" t="s">
        <v>60</v>
      </c>
      <c r="C20" s="6" t="n">
        <v>4000</v>
      </c>
      <c r="D20" s="7" t="s">
        <v>60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6" t="n">
        <v>3</v>
      </c>
      <c r="D21" s="7" t="s">
        <v>22</v>
      </c>
    </row>
    <row r="22" customFormat="false" ht="15" hidden="false" customHeight="false" outlineLevel="0" collapsed="false">
      <c r="A22" s="0" t="s">
        <v>63</v>
      </c>
      <c r="B22" s="0" t="s">
        <v>64</v>
      </c>
      <c r="C22" s="6" t="n">
        <v>2000</v>
      </c>
      <c r="D22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66</v>
      </c>
    </row>
    <row r="3" customFormat="false" ht="15" hidden="false" customHeight="false" outlineLevel="0" collapsed="false">
      <c r="A3" s="8" t="s">
        <v>67</v>
      </c>
    </row>
    <row r="4" customFormat="false" ht="15" hidden="false" customHeight="false" outlineLevel="0" collapsed="false">
      <c r="A4" s="0" t="s">
        <v>68</v>
      </c>
      <c r="B4" s="0" t="s">
        <v>69</v>
      </c>
      <c r="C4" s="9" t="n">
        <f aca="false">Zc/Zp</f>
        <v>4.1</v>
      </c>
      <c r="D4" s="7" t="s">
        <v>22</v>
      </c>
      <c r="E4" s="7" t="s">
        <v>70</v>
      </c>
    </row>
    <row r="5" customFormat="false" ht="15" hidden="false" customHeight="false" outlineLevel="0" collapsed="false">
      <c r="A5" s="0" t="s">
        <v>71</v>
      </c>
      <c r="B5" s="0" t="s">
        <v>72</v>
      </c>
      <c r="C5" s="9" t="n">
        <f aca="false">Vv/(0.377*rc)</f>
        <v>265.25198938992</v>
      </c>
      <c r="D5" s="7" t="s">
        <v>65</v>
      </c>
      <c r="E5" s="7" t="s">
        <v>73</v>
      </c>
    </row>
    <row r="6" customFormat="false" ht="15" hidden="false" customHeight="false" outlineLevel="0" collapsed="false">
      <c r="A6" s="0" t="s">
        <v>74</v>
      </c>
      <c r="B6" s="0" t="s">
        <v>75</v>
      </c>
      <c r="C6" s="9" t="n">
        <f aca="false">nc*idg</f>
        <v>1087.53315649867</v>
      </c>
      <c r="D6" s="7" t="s">
        <v>65</v>
      </c>
      <c r="E6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77</v>
      </c>
    </row>
    <row r="3" customFormat="false" ht="15" hidden="false" customHeight="false" outlineLevel="0" collapsed="false">
      <c r="A3" s="8" t="s">
        <v>67</v>
      </c>
    </row>
    <row r="4" customFormat="false" ht="15" hidden="false" customHeight="false" outlineLevel="0" collapsed="false">
      <c r="A4" s="0" t="s">
        <v>78</v>
      </c>
      <c r="B4" s="0" t="s">
        <v>79</v>
      </c>
      <c r="C4" s="9" t="n">
        <f aca="false">Vv*(Rg+tv/2)/Rg</f>
        <v>33.625</v>
      </c>
      <c r="D4" s="7" t="s">
        <v>32</v>
      </c>
      <c r="E4" s="7" t="s">
        <v>80</v>
      </c>
    </row>
    <row r="5" customFormat="false" ht="15" hidden="false" customHeight="false" outlineLevel="0" collapsed="false">
      <c r="A5" s="0" t="s">
        <v>81</v>
      </c>
      <c r="B5" s="0" t="s">
        <v>82</v>
      </c>
      <c r="C5" s="9" t="n">
        <f aca="false">Vv*(Rg-tv/2)/Rg</f>
        <v>26.375</v>
      </c>
      <c r="D5" s="7" t="s">
        <v>32</v>
      </c>
      <c r="E5" s="7" t="s">
        <v>80</v>
      </c>
    </row>
    <row r="6" customFormat="false" ht="15" hidden="false" customHeight="false" outlineLevel="0" collapsed="false">
      <c r="A6" s="0" t="s">
        <v>83</v>
      </c>
      <c r="B6" s="0" t="s">
        <v>84</v>
      </c>
      <c r="C6" s="9" t="n">
        <f aca="false">Ve/(0.377*rc)</f>
        <v>297.303271441202</v>
      </c>
      <c r="D6" s="7" t="s">
        <v>65</v>
      </c>
      <c r="E6" s="7" t="s">
        <v>73</v>
      </c>
    </row>
    <row r="7" customFormat="false" ht="15" hidden="false" customHeight="false" outlineLevel="0" collapsed="false">
      <c r="A7" s="0" t="s">
        <v>85</v>
      </c>
      <c r="B7" s="0" t="s">
        <v>86</v>
      </c>
      <c r="C7" s="9" t="n">
        <f aca="false">Vi/(0.377*rc)</f>
        <v>233.200707338638</v>
      </c>
      <c r="D7" s="7" t="s">
        <v>65</v>
      </c>
      <c r="E7" s="7" t="s">
        <v>73</v>
      </c>
    </row>
    <row r="8" customFormat="false" ht="15" hidden="false" customHeight="false" outlineLevel="0" collapsed="false">
      <c r="A8" s="0" t="s">
        <v>87</v>
      </c>
      <c r="B8" s="0" t="s">
        <v>72</v>
      </c>
      <c r="C8" s="9" t="n">
        <f aca="false">(ne+ni)/2</f>
        <v>265.25198938992</v>
      </c>
      <c r="D8" s="7" t="s">
        <v>65</v>
      </c>
      <c r="E8" s="7" t="s">
        <v>88</v>
      </c>
    </row>
    <row r="9" customFormat="false" ht="15" hidden="false" customHeight="false" outlineLevel="0" collapsed="false">
      <c r="A9" s="0" t="s">
        <v>89</v>
      </c>
      <c r="B9" s="0" t="s">
        <v>90</v>
      </c>
      <c r="C9" s="9" t="n">
        <f aca="false">(ne-ni)/2*Zpl/Zsat</f>
        <v>51.2820512820513</v>
      </c>
      <c r="D9" s="7" t="s">
        <v>65</v>
      </c>
      <c r="E9" s="7" t="s">
        <v>91</v>
      </c>
    </row>
    <row r="10" customFormat="false" ht="15" hidden="false" customHeight="false" outlineLevel="0" collapsed="false">
      <c r="A10" s="0" t="s">
        <v>92</v>
      </c>
      <c r="B10" s="0" t="s">
        <v>64</v>
      </c>
      <c r="C10" s="9" t="n">
        <f aca="false">2*nc</f>
        <v>530.503978779841</v>
      </c>
      <c r="D10" s="7" t="s">
        <v>65</v>
      </c>
      <c r="E10" s="7" t="s">
        <v>93</v>
      </c>
    </row>
    <row r="12" customFormat="false" ht="28.35" hidden="false" customHeight="false" outlineLevel="0" collapsed="false">
      <c r="A12" s="5" t="s">
        <v>94</v>
      </c>
      <c r="B12" s="5" t="s">
        <v>95</v>
      </c>
      <c r="C12" s="5" t="s">
        <v>96</v>
      </c>
      <c r="D12" s="5" t="s">
        <v>97</v>
      </c>
      <c r="E12" s="5" t="s">
        <v>98</v>
      </c>
    </row>
    <row r="13" customFormat="false" ht="15" hidden="false" customHeight="false" outlineLevel="0" collapsed="false">
      <c r="A13" s="0" t="n">
        <v>3</v>
      </c>
      <c r="B13" s="10" t="n">
        <f aca="false">Vv*(A13+tv/2)/A13/(0.377*rc)</f>
        <v>329.354553492485</v>
      </c>
      <c r="C13" s="10" t="n">
        <f aca="false">Vv*(A13-tv/2)/A13/(0.377*rc)</f>
        <v>201.149425287356</v>
      </c>
      <c r="D13" s="10" t="n">
        <f aca="false">(B13+C13)/2</f>
        <v>265.251989389921</v>
      </c>
      <c r="E13" s="10" t="n">
        <f aca="false">(B13-C13)/2*Zpl/Zsat</f>
        <v>102.564102564103</v>
      </c>
    </row>
    <row r="14" customFormat="false" ht="15" hidden="false" customHeight="false" outlineLevel="0" collapsed="false">
      <c r="A14" s="0" t="n">
        <v>4</v>
      </c>
      <c r="B14" s="10" t="n">
        <f aca="false">Vv*(A14+tv/2)/A14/(0.377*rc)</f>
        <v>313.328912466844</v>
      </c>
      <c r="C14" s="10" t="n">
        <f aca="false">Vv*(A14-tv/2)/A14/(0.377*rc)</f>
        <v>217.175066312997</v>
      </c>
      <c r="D14" s="10" t="n">
        <f aca="false">(B14+C14)/2</f>
        <v>265.25198938992</v>
      </c>
      <c r="E14" s="10" t="n">
        <f aca="false">(B14-C14)/2*Zpl/Zsat</f>
        <v>76.9230769230769</v>
      </c>
    </row>
    <row r="15" customFormat="false" ht="15" hidden="false" customHeight="false" outlineLevel="0" collapsed="false">
      <c r="A15" s="0" t="n">
        <v>5</v>
      </c>
      <c r="B15" s="10" t="n">
        <f aca="false">Vv*(A15+tv/2)/A15/(0.377*rc)</f>
        <v>303.713527851459</v>
      </c>
      <c r="C15" s="10" t="n">
        <f aca="false">Vv*(A15-tv/2)/A15/(0.377*rc)</f>
        <v>226.790450928382</v>
      </c>
      <c r="D15" s="10" t="n">
        <f aca="false">(B15+C15)/2</f>
        <v>265.251989389921</v>
      </c>
      <c r="E15" s="10" t="n">
        <f aca="false">(B15-C15)/2*Zpl/Zsat</f>
        <v>61.5384615384616</v>
      </c>
    </row>
    <row r="16" customFormat="false" ht="15" hidden="false" customHeight="false" outlineLevel="0" collapsed="false">
      <c r="A16" s="0" t="n">
        <v>6</v>
      </c>
      <c r="B16" s="10" t="n">
        <f aca="false">Vv*(A16+tv/2)/A16/(0.377*rc)</f>
        <v>297.303271441202</v>
      </c>
      <c r="C16" s="10" t="n">
        <f aca="false">Vv*(A16-tv/2)/A16/(0.377*rc)</f>
        <v>233.200707338638</v>
      </c>
      <c r="D16" s="10" t="n">
        <f aca="false">(B16+C16)/2</f>
        <v>265.25198938992</v>
      </c>
      <c r="E16" s="10" t="n">
        <f aca="false">(B16-C16)/2*Zpl/Zsat</f>
        <v>51.2820512820513</v>
      </c>
    </row>
    <row r="17" customFormat="false" ht="15" hidden="false" customHeight="false" outlineLevel="0" collapsed="false">
      <c r="A17" s="0" t="n">
        <v>8</v>
      </c>
      <c r="B17" s="10" t="n">
        <f aca="false">Vv*(A17+tv/2)/A17/(0.377*rc)</f>
        <v>289.290450928382</v>
      </c>
      <c r="C17" s="10" t="n">
        <f aca="false">Vv*(A17-tv/2)/A17/(0.377*rc)</f>
        <v>241.213527851459</v>
      </c>
      <c r="D17" s="10" t="n">
        <f aca="false">(B17+C17)/2</f>
        <v>265.25198938992</v>
      </c>
      <c r="E17" s="10" t="n">
        <f aca="false">(B17-C17)/2*Zpl/Zsat</f>
        <v>38.4615384615385</v>
      </c>
    </row>
    <row r="18" customFormat="false" ht="15" hidden="false" customHeight="false" outlineLevel="0" collapsed="false">
      <c r="A18" s="0" t="n">
        <v>10</v>
      </c>
      <c r="B18" s="10" t="n">
        <f aca="false">Vv*(A18+tv/2)/A18/(0.377*rc)</f>
        <v>284.48275862069</v>
      </c>
      <c r="C18" s="10" t="n">
        <f aca="false">Vv*(A18-tv/2)/A18/(0.377*rc)</f>
        <v>246.021220159151</v>
      </c>
      <c r="D18" s="10" t="n">
        <f aca="false">(B18+C18)/2</f>
        <v>265.25198938992</v>
      </c>
      <c r="E18" s="10" t="n">
        <f aca="false">(B18-C18)/2*Zpl/Zsat</f>
        <v>30.7692307692308</v>
      </c>
    </row>
    <row r="19" customFormat="false" ht="15" hidden="false" customHeight="false" outlineLevel="0" collapsed="false">
      <c r="A19" s="0" t="n">
        <v>15</v>
      </c>
      <c r="B19" s="10" t="n">
        <f aca="false">Vv*(A19+tv/2)/A19/(0.377*rc)</f>
        <v>278.072502210433</v>
      </c>
      <c r="C19" s="10" t="n">
        <f aca="false">Vv*(A19-tv/2)/A19/(0.377*rc)</f>
        <v>252.431476569408</v>
      </c>
      <c r="D19" s="10" t="n">
        <f aca="false">(B19+C19)/2</f>
        <v>265.25198938992</v>
      </c>
      <c r="E19" s="10" t="n">
        <f aca="false">(B19-C19)/2*Zpl/Zsat</f>
        <v>20.5128205128205</v>
      </c>
    </row>
    <row r="20" customFormat="false" ht="15" hidden="false" customHeight="false" outlineLevel="0" collapsed="false">
      <c r="A20" s="0" t="n">
        <v>20</v>
      </c>
      <c r="B20" s="10" t="n">
        <f aca="false">Vv*(A20+tv/2)/A20/(0.377*rc)</f>
        <v>274.867374005305</v>
      </c>
      <c r="C20" s="10" t="n">
        <f aca="false">Vv*(A20-tv/2)/A20/(0.377*rc)</f>
        <v>255.636604774536</v>
      </c>
      <c r="D20" s="10" t="n">
        <f aca="false">(B20+C20)/2</f>
        <v>265.251989389921</v>
      </c>
      <c r="E20" s="10" t="n">
        <f aca="false">(B20-C20)/2*Zpl/Zsat</f>
        <v>15.3846153846154</v>
      </c>
    </row>
    <row r="21" customFormat="false" ht="15" hidden="false" customHeight="false" outlineLevel="0" collapsed="false">
      <c r="A21" s="0" t="n">
        <v>30</v>
      </c>
      <c r="B21" s="10" t="n">
        <f aca="false">Vv*(A21+tv/2)/A21/(0.377*rc)</f>
        <v>271.662245800177</v>
      </c>
      <c r="C21" s="10" t="n">
        <f aca="false">Vv*(A21-tv/2)/A21/(0.377*rc)</f>
        <v>258.841732979664</v>
      </c>
      <c r="D21" s="10" t="n">
        <f aca="false">(B21+C21)/2</f>
        <v>265.251989389921</v>
      </c>
      <c r="E21" s="10" t="n">
        <f aca="false">(B21-C21)/2*Zpl/Zsat</f>
        <v>10.2564102564103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99</v>
      </c>
    </row>
    <row r="3" customFormat="false" ht="15" hidden="false" customHeight="false" outlineLevel="0" collapsed="false">
      <c r="A3" s="8" t="s">
        <v>67</v>
      </c>
    </row>
    <row r="4" customFormat="false" ht="15" hidden="false" customHeight="false" outlineLevel="0" collapsed="false">
      <c r="A4" s="0" t="s">
        <v>100</v>
      </c>
      <c r="B4" s="0" t="s">
        <v>101</v>
      </c>
      <c r="C4" s="9" t="n">
        <f aca="false">mub*Nw*rc</f>
        <v>240</v>
      </c>
      <c r="D4" s="7" t="s">
        <v>42</v>
      </c>
      <c r="E4" s="7" t="s">
        <v>102</v>
      </c>
    </row>
    <row r="5" customFormat="false" ht="15" hidden="false" customHeight="false" outlineLevel="0" collapsed="false">
      <c r="A5" s="0" t="s">
        <v>103</v>
      </c>
      <c r="B5" s="0" t="s">
        <v>104</v>
      </c>
      <c r="C5" s="9" t="n">
        <f aca="false">2*mub*Nw</f>
        <v>1600</v>
      </c>
      <c r="D5" s="7" t="s">
        <v>60</v>
      </c>
      <c r="E5" s="7" t="s">
        <v>105</v>
      </c>
    </row>
    <row r="6" customFormat="false" ht="15" hidden="false" customHeight="false" outlineLevel="0" collapsed="false">
      <c r="A6" s="0" t="s">
        <v>106</v>
      </c>
      <c r="B6" s="0" t="s">
        <v>107</v>
      </c>
      <c r="C6" s="9" t="n">
        <f aca="false">Mb*(1+TBR)/rc</f>
        <v>3200</v>
      </c>
      <c r="D6" s="7" t="s">
        <v>60</v>
      </c>
      <c r="E6" s="7" t="s">
        <v>108</v>
      </c>
    </row>
    <row r="7" customFormat="false" ht="15" hidden="false" customHeight="false" outlineLevel="0" collapsed="false">
      <c r="A7" s="0" t="s">
        <v>109</v>
      </c>
      <c r="B7" s="0" t="s">
        <v>110</v>
      </c>
      <c r="C7" s="9" t="n">
        <f aca="false">(mub+mua)*Nw</f>
        <v>4000</v>
      </c>
      <c r="D7" s="7" t="s">
        <v>60</v>
      </c>
      <c r="E7" s="7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111</v>
      </c>
    </row>
    <row r="3" customFormat="false" ht="15" hidden="false" customHeight="false" outlineLevel="0" collapsed="false">
      <c r="A3" s="8" t="s">
        <v>67</v>
      </c>
    </row>
    <row r="4" customFormat="false" ht="15" hidden="false" customHeight="false" outlineLevel="0" collapsed="false">
      <c r="A4" s="0" t="s">
        <v>112</v>
      </c>
      <c r="B4" s="0" t="s">
        <v>113</v>
      </c>
      <c r="C4" s="9" t="n">
        <f aca="false">Zs/(Zs+Zr)</f>
        <v>0.305555555555556</v>
      </c>
      <c r="D4" s="7" t="s">
        <v>22</v>
      </c>
      <c r="E4" s="7" t="s">
        <v>114</v>
      </c>
    </row>
    <row r="5" customFormat="false" ht="15" hidden="false" customHeight="false" outlineLevel="0" collapsed="false">
      <c r="A5" s="0" t="s">
        <v>115</v>
      </c>
      <c r="B5" s="0" t="s">
        <v>116</v>
      </c>
      <c r="C5" s="9" t="n">
        <f aca="false">Zr/(Zs+Zr)</f>
        <v>0.694444444444444</v>
      </c>
      <c r="D5" s="7" t="s">
        <v>22</v>
      </c>
      <c r="E5" s="7" t="s">
        <v>114</v>
      </c>
    </row>
    <row r="6" customFormat="false" ht="15" hidden="false" customHeight="false" outlineLevel="0" collapsed="false">
      <c r="A6" s="0" t="s">
        <v>117</v>
      </c>
      <c r="B6" s="0" t="s">
        <v>118</v>
      </c>
      <c r="C6" s="9" t="n">
        <f aca="false">Mmax*ic1*idg*eta/rc</f>
        <v>2740.932</v>
      </c>
      <c r="D6" s="7" t="s">
        <v>60</v>
      </c>
      <c r="E6" s="7" t="s">
        <v>119</v>
      </c>
    </row>
    <row r="7" customFormat="false" ht="15" hidden="false" customHeight="false" outlineLevel="0" collapsed="false">
      <c r="A7" s="0" t="s">
        <v>120</v>
      </c>
      <c r="B7" s="0" t="s">
        <v>121</v>
      </c>
      <c r="C7" s="9" t="n">
        <f aca="false">FH*iL</f>
        <v>7033.231512</v>
      </c>
      <c r="D7" s="7" t="s">
        <v>60</v>
      </c>
      <c r="E7" s="7" t="s">
        <v>119</v>
      </c>
    </row>
    <row r="8" customFormat="false" ht="15" hidden="false" customHeight="false" outlineLevel="0" collapsed="false">
      <c r="A8" s="0" t="s">
        <v>122</v>
      </c>
      <c r="B8" s="0" t="s">
        <v>123</v>
      </c>
      <c r="C8" s="9" t="n">
        <f aca="false">0.377*rc*nmot/(ic1*idg)</f>
        <v>29.7096024272036</v>
      </c>
      <c r="D8" s="7" t="s">
        <v>32</v>
      </c>
      <c r="E8" s="7" t="s">
        <v>124</v>
      </c>
    </row>
    <row r="9" customFormat="false" ht="15" hidden="false" customHeight="false" outlineLevel="0" collapsed="false">
      <c r="A9" s="0" t="s">
        <v>125</v>
      </c>
      <c r="B9" s="0" t="s">
        <v>126</v>
      </c>
      <c r="C9" s="9" t="n">
        <f aca="false">VH/iL</f>
        <v>11.5781770955587</v>
      </c>
      <c r="D9" s="7" t="s">
        <v>32</v>
      </c>
      <c r="E9" s="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2026-09-16T11:15:48Z</dcterms:created>
  <dc:creator>openpyxl</dc:creator>
  <dc:description/>
  <dc:language>en-US</dc:language>
  <cp:lastModifiedBy/>
  <dcterms:modified xsi:type="dcterms:W3CDTF">2026-09-16T11:15:49Z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