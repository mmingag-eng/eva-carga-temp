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alculos" sheetId="3" state="visible" r:id="rId5"/>
    <sheet name="Carga_bobina" sheetId="4" state="visible" r:id="rId6"/>
    <sheet name="Cierre_regimen" sheetId="5" state="visible" r:id="rId7"/>
    <sheet name="Secundario" sheetId="6" state="visible" r:id="rId8"/>
    <sheet name="Regist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<sst xmlns="http://schemas.openxmlformats.org/spreadsheetml/2006/main" count="265" uniqueCount="219">
  <si>
    <t xml:space="preserve">Práctica 8 — Parte 1: encendido transistorizado por generador inductivo (TSZ-i)</t>
  </si>
  <si>
    <t xml:space="preserve">Libro de cálculo de apoyo a la guía de clase práctica — Electricidad Automotriz, ISTS</t>
  </si>
  <si>
    <t xml:space="preserve">Uso:</t>
  </si>
  <si>
    <t xml:space="preserve">1. Escriba sus medidas SOLO en las celdas de fondo amarillo y texto azul de la hoja "Datos". Los valores que traen son un ejemplo realista y deben reemplazarse.</t>
  </si>
  <si>
    <t xml:space="preserve">2. La hoja "Calculos" aplica las ecuaciones (1) a (16) de la guía, con el mismo número de ecuación.</t>
  </si>
  <si>
    <t xml:space="preserve">3. "Carga_bobina", "Cierre_regimen" y "Secundario" generan tablas y gráficas de doble eje que se actualizan solas.</t>
  </si>
  <si>
    <t xml:space="preserve">4. "Registro" reproduce la tabla de registro de ángulo de cierre y frecuencia de la guía, lista para copiar.</t>
  </si>
  <si>
    <t xml:space="preserve">Convención de colores: azul con fondo amarillo = dato de entrada; negro = fórmula.</t>
  </si>
  <si>
    <t xml:space="preserve">Fuentes: Bosch (2008), Bosch (s. f.), Minga González (s. f.), Alonso Pérez (1998), Crouse (1996). Véase la bibliografía de la guía.</t>
  </si>
  <si>
    <t xml:space="preserve">La inductancia del primario es una estimación didáctica (τ ≈ tiempo de formación / 5); si dispone de medidor LCR, escriba el valor medido.</t>
  </si>
  <si>
    <t xml:space="preserve">Dato</t>
  </si>
  <si>
    <t xml:space="preserve">Símbolo</t>
  </si>
  <si>
    <t xml:space="preserve">Valor</t>
  </si>
  <si>
    <t xml:space="preserve">Unidad</t>
  </si>
  <si>
    <t xml:space="preserve">Origen / comentario</t>
  </si>
  <si>
    <t xml:space="preserve">Tensión de batería</t>
  </si>
  <si>
    <t xml:space="preserve">U_B</t>
  </si>
  <si>
    <t xml:space="preserve">V</t>
  </si>
  <si>
    <t xml:space="preserve">Medida con el multímetro</t>
  </si>
  <si>
    <t xml:space="preserve">Resistencia del primario de la bobina</t>
  </si>
  <si>
    <t xml:space="preserve">R1</t>
  </si>
  <si>
    <t xml:space="preserve">Ω</t>
  </si>
  <si>
    <t xml:space="preserve">Medida entre bornes 15 y 1 (KW ≈ 1,2–1,6 Ω)</t>
  </si>
  <si>
    <t xml:space="preserve">Resistencia del prerresistor (0 si no existe)</t>
  </si>
  <si>
    <t xml:space="preserve">RV</t>
  </si>
  <si>
    <t xml:space="preserve">Medida entre sus terminales</t>
  </si>
  <si>
    <t xml:space="preserve">Inductancia del primario</t>
  </si>
  <si>
    <t xml:space="preserve">L1</t>
  </si>
  <si>
    <t xml:space="preserve">mH</t>
  </si>
  <si>
    <t xml:space="preserve">Estimación: τ = 8 ms/5 con 3 Ω (Bosch, s. f.); sustituir por medida LCR</t>
  </si>
  <si>
    <t xml:space="preserve">Número de cilindros</t>
  </si>
  <si>
    <t xml:space="preserve">z</t>
  </si>
  <si>
    <t xml:space="preserve">—</t>
  </si>
  <si>
    <t xml:space="preserve">Motor del laboratorio</t>
  </si>
  <si>
    <t xml:space="preserve">Porcentaje de cierre fijo del ruptor (comparación)</t>
  </si>
  <si>
    <t xml:space="preserve">DC_r</t>
  </si>
  <si>
    <t xml:space="preserve">%</t>
  </si>
  <si>
    <t xml:space="preserve">Valor típico de un encendido por platinos</t>
  </si>
  <si>
    <t xml:space="preserve">Régimen 1 (ralentí)</t>
  </si>
  <si>
    <t xml:space="preserve">n1</t>
  </si>
  <si>
    <t xml:space="preserve">r. p. m.</t>
  </si>
  <si>
    <t xml:space="preserve">Tacómetro</t>
  </si>
  <si>
    <t xml:space="preserve">Ángulo de cierre medido a n1</t>
  </si>
  <si>
    <t xml:space="preserve">αc1</t>
  </si>
  <si>
    <t xml:space="preserve">° distribuidor</t>
  </si>
  <si>
    <t xml:space="preserve">Medidor de dwell (ejemplo)</t>
  </si>
  <si>
    <t xml:space="preserve">Régimen 2</t>
  </si>
  <si>
    <t xml:space="preserve">n2</t>
  </si>
  <si>
    <t xml:space="preserve">Ángulo de cierre medido a n2</t>
  </si>
  <si>
    <t xml:space="preserve">αc2</t>
  </si>
  <si>
    <t xml:space="preserve">Bosch: 29–37° (4 cil.)</t>
  </si>
  <si>
    <t xml:space="preserve">Régimen 3</t>
  </si>
  <si>
    <t xml:space="preserve">n3</t>
  </si>
  <si>
    <t xml:space="preserve">Ángulo de cierre medido a n3</t>
  </si>
  <si>
    <t xml:space="preserve">αc3</t>
  </si>
  <si>
    <t xml:space="preserve">Régimen 4</t>
  </si>
  <si>
    <t xml:space="preserve">n4</t>
  </si>
  <si>
    <t xml:space="preserve">Ángulo de cierre medido a n4</t>
  </si>
  <si>
    <t xml:space="preserve">αc4</t>
  </si>
  <si>
    <t xml:space="preserve">Bosch: 45–58° (4 cil.)</t>
  </si>
  <si>
    <t xml:space="preserve">Tensión exigida con bujías nuevas</t>
  </si>
  <si>
    <t xml:space="preserve">U0</t>
  </si>
  <si>
    <t xml:space="preserve">kV</t>
  </si>
  <si>
    <t xml:space="preserve">Bosch (2008): ≈ 10 kV</t>
  </si>
  <si>
    <t xml:space="preserve">Separación de electrodos nueva</t>
  </si>
  <si>
    <t xml:space="preserve">s0</t>
  </si>
  <si>
    <t xml:space="preserve">mm</t>
  </si>
  <si>
    <t xml:space="preserve">Manual del vehículo</t>
  </si>
  <si>
    <t xml:space="preserve">Separación de electrodos medida</t>
  </si>
  <si>
    <t xml:space="preserve">s</t>
  </si>
  <si>
    <t xml:space="preserve">Galga de bujías</t>
  </si>
  <si>
    <t xml:space="preserve">Aumento de tensión por mm de desgaste</t>
  </si>
  <si>
    <t xml:space="preserve">k</t>
  </si>
  <si>
    <t xml:space="preserve">kV/mm</t>
  </si>
  <si>
    <t xml:space="preserve">Bosch (2008): 1 kV por cada 0,1 mm</t>
  </si>
  <si>
    <t xml:space="preserve">Tensión máxima de la bobina</t>
  </si>
  <si>
    <t xml:space="preserve">Umax</t>
  </si>
  <si>
    <t xml:space="preserve">E 24 · K 26 · KW 28–34 kV</t>
  </si>
  <si>
    <t xml:space="preserve">Espiras del primario</t>
  </si>
  <si>
    <t xml:space="preserve">N1</t>
  </si>
  <si>
    <t xml:space="preserve">Bosch (2008)</t>
  </si>
  <si>
    <t xml:space="preserve">Espiras del secundario</t>
  </si>
  <si>
    <t xml:space="preserve">N2</t>
  </si>
  <si>
    <t xml:space="preserve">Pico de autoinducción del primario</t>
  </si>
  <si>
    <t xml:space="preserve">U1</t>
  </si>
  <si>
    <t xml:space="preserve">Osciloscopio, canal del borne 1</t>
  </si>
  <si>
    <t xml:space="preserve">Cables de alta tensión</t>
  </si>
  <si>
    <t xml:space="preserve">Cable</t>
  </si>
  <si>
    <t xml:space="preserve">Longitud ℓ (m)</t>
  </si>
  <si>
    <t xml:space="preserve">Resistencia R (kΩ)</t>
  </si>
  <si>
    <t xml:space="preserve">Tipo (CS/TS)</t>
  </si>
  <si>
    <t xml:space="preserve">Comentario</t>
  </si>
  <si>
    <t xml:space="preserve">Bobina</t>
  </si>
  <si>
    <t xml:space="preserve">CS</t>
  </si>
  <si>
    <t xml:space="preserve">Ejemplo: reemplazar por la medida</t>
  </si>
  <si>
    <t xml:space="preserve">Cilindro 1</t>
  </si>
  <si>
    <t xml:space="preserve">Cilindro 2</t>
  </si>
  <si>
    <t xml:space="preserve">Cilindro 3</t>
  </si>
  <si>
    <t xml:space="preserve">Cilindro 4</t>
  </si>
  <si>
    <t xml:space="preserve">Ec.</t>
  </si>
  <si>
    <t xml:space="preserve">Magnitud</t>
  </si>
  <si>
    <t xml:space="preserve">Fórmula</t>
  </si>
  <si>
    <t xml:space="preserve">Resultado</t>
  </si>
  <si>
    <t xml:space="preserve">Referencia / interpretación</t>
  </si>
  <si>
    <t xml:space="preserve">(1)</t>
  </si>
  <si>
    <t xml:space="preserve">Corriente del primario con los datos medidos</t>
  </si>
  <si>
    <t xml:space="preserve">I1 = U_B/(R1+RV)</t>
  </si>
  <si>
    <t xml:space="preserve">A</t>
  </si>
  <si>
    <t xml:space="preserve">E y K: ≈ 4 A · KW con prerresistor: ≈ 4 A</t>
  </si>
  <si>
    <t xml:space="preserve">Corriente del primario sin prerresistor</t>
  </si>
  <si>
    <t xml:space="preserve">I1 = U_B/R1</t>
  </si>
  <si>
    <t xml:space="preserve">KW sin prerresistor: ≈ 8 A</t>
  </si>
  <si>
    <t xml:space="preserve">(2)</t>
  </si>
  <si>
    <t xml:space="preserve">Potencia en el prerresistor mientras conduce</t>
  </si>
  <si>
    <t xml:space="preserve">P_V = I1²·RV</t>
  </si>
  <si>
    <t xml:space="preserve">W</t>
  </si>
  <si>
    <t xml:space="preserve">4 A y 1,5 Ω → 24 W</t>
  </si>
  <si>
    <t xml:space="preserve">Potencia en el primario mientras conduce</t>
  </si>
  <si>
    <t xml:space="preserve">P_1 = I1²·R1</t>
  </si>
  <si>
    <t xml:space="preserve">(3)</t>
  </si>
  <si>
    <t xml:space="preserve">Potencia media en el prerresistor a n2</t>
  </si>
  <si>
    <t xml:space="preserve">P̄_V = P_V·αc/αz</t>
  </si>
  <si>
    <t xml:space="preserve">Con 50 % de cierre ≈ 12 W</t>
  </si>
  <si>
    <t xml:space="preserve">(4)</t>
  </si>
  <si>
    <t xml:space="preserve">Constante de tiempo con los datos medidos</t>
  </si>
  <si>
    <t xml:space="preserve">τ = L1/(R1+RV)</t>
  </si>
  <si>
    <t xml:space="preserve">ms</t>
  </si>
  <si>
    <t xml:space="preserve">Bobina E de 3 Ω: ≈ 1,6 ms</t>
  </si>
  <si>
    <t xml:space="preserve">(5)</t>
  </si>
  <si>
    <t xml:space="preserve">Corriente al final del cierre a n2</t>
  </si>
  <si>
    <t xml:space="preserve">i = I1(1−e^(−tc/τ))</t>
  </si>
  <si>
    <t xml:space="preserve">(6)</t>
  </si>
  <si>
    <t xml:space="preserve">Energía almacenada a n2</t>
  </si>
  <si>
    <t xml:space="preserve">W = ½·L1·i²</t>
  </si>
  <si>
    <t xml:space="preserve">mJ</t>
  </si>
  <si>
    <t xml:space="preserve">mH·A² = mJ</t>
  </si>
  <si>
    <t xml:space="preserve">Energía máxima posible</t>
  </si>
  <si>
    <t xml:space="preserve">W = ½·L1·I1²</t>
  </si>
  <si>
    <t xml:space="preserve">(7)</t>
  </si>
  <si>
    <t xml:space="preserve">Intervalo entre chispas a n2</t>
  </si>
  <si>
    <t xml:space="preserve">Tz = 120/(n·z)</t>
  </si>
  <si>
    <t xml:space="preserve">4 cil. a 1 000 r. p. m.: 30 ms</t>
  </si>
  <si>
    <t xml:space="preserve">(8)</t>
  </si>
  <si>
    <t xml:space="preserve">Ángulo por chispa</t>
  </si>
  <si>
    <t xml:space="preserve">αz = 360/z</t>
  </si>
  <si>
    <t xml:space="preserve">°</t>
  </si>
  <si>
    <t xml:space="preserve">4 cil.: 90°</t>
  </si>
  <si>
    <t xml:space="preserve">(9)</t>
  </si>
  <si>
    <t xml:space="preserve">Tiempo de carga a n2</t>
  </si>
  <si>
    <t xml:space="preserve">tc = (αc/αz)·Tz</t>
  </si>
  <si>
    <t xml:space="preserve">29–37° → 9,7–12,3 ms</t>
  </si>
  <si>
    <t xml:space="preserve">(10)</t>
  </si>
  <si>
    <t xml:space="preserve">Porcentaje de cierre a n2</t>
  </si>
  <si>
    <t xml:space="preserve">DC = αc/αz·100</t>
  </si>
  <si>
    <t xml:space="preserve">32–41 % a 1 000 r. p. m.</t>
  </si>
  <si>
    <t xml:space="preserve">(11)</t>
  </si>
  <si>
    <t xml:space="preserve">Chispas por minuto a n4</t>
  </si>
  <si>
    <t xml:space="preserve">Nch = n·z/2</t>
  </si>
  <si>
    <t xml:space="preserve">chispas/min</t>
  </si>
  <si>
    <t xml:space="preserve">E 13 000 · K 16 000 · KW 18 000</t>
  </si>
  <si>
    <t xml:space="preserve">(12)</t>
  </si>
  <si>
    <t xml:space="preserve">Frecuencia del generador a n1</t>
  </si>
  <si>
    <t xml:space="preserve">fg = n·z/120</t>
  </si>
  <si>
    <t xml:space="preserve">Hz</t>
  </si>
  <si>
    <t xml:space="preserve">800 r. p. m., 4 cil.: 26,7 Hz</t>
  </si>
  <si>
    <t xml:space="preserve">Periodo de la señal del generador a n1</t>
  </si>
  <si>
    <t xml:space="preserve">Tg = 1/fg</t>
  </si>
  <si>
    <t xml:space="preserve">Base de tiempos ≈ Tg·2,5/10 por división</t>
  </si>
  <si>
    <t xml:space="preserve">Base de tiempos sugerida (2,5 periodos en 10 div.)</t>
  </si>
  <si>
    <t xml:space="preserve">ms/div</t>
  </si>
  <si>
    <t xml:space="preserve">(13)</t>
  </si>
  <si>
    <t xml:space="preserve">Tensión exigida con la separación medida</t>
  </si>
  <si>
    <t xml:space="preserve">Ud = U0 + k(s − s0)</t>
  </si>
  <si>
    <t xml:space="preserve">0,7 → 0,9 mm: ≈ 12 kV</t>
  </si>
  <si>
    <t xml:space="preserve">(14)</t>
  </si>
  <si>
    <t xml:space="preserve">Reserva de tensión de la bobina</t>
  </si>
  <si>
    <t xml:space="preserve">ΔU = Umax − Ud</t>
  </si>
  <si>
    <t xml:space="preserve">Si ΔU ≤ 0 aparecen fallos de encendido</t>
  </si>
  <si>
    <t xml:space="preserve">(16)</t>
  </si>
  <si>
    <t xml:space="preserve">Relación de transformación</t>
  </si>
  <si>
    <t xml:space="preserve">m = N2/N1</t>
  </si>
  <si>
    <t xml:space="preserve">≈ 57</t>
  </si>
  <si>
    <t xml:space="preserve">Tensión secundaria estimada en vacío</t>
  </si>
  <si>
    <t xml:space="preserve">U2 ≈ m·U1</t>
  </si>
  <si>
    <t xml:space="preserve">350 V → ≈ 20 kV</t>
  </si>
  <si>
    <t xml:space="preserve">Resistencia por metro de los cables (ecuación 15)</t>
  </si>
  <si>
    <t xml:space="preserve">ℓ (m)</t>
  </si>
  <si>
    <t xml:space="preserve">R (kΩ)</t>
  </si>
  <si>
    <t xml:space="preserve">r (kΩ/m)</t>
  </si>
  <si>
    <t xml:space="preserve">Tipo</t>
  </si>
  <si>
    <t xml:space="preserve">Conclusión (NBR 6880: 9–23 kΩ/m en cables CS)</t>
  </si>
  <si>
    <t xml:space="preserve">t (ms)</t>
  </si>
  <si>
    <t xml:space="preserve">i con datos (A)</t>
  </si>
  <si>
    <t xml:space="preserve">W con datos (mJ)</t>
  </si>
  <si>
    <t xml:space="preserve">i sin prerresistor (A)</t>
  </si>
  <si>
    <t xml:space="preserve">W sin prerresistor (mJ)</t>
  </si>
  <si>
    <t xml:space="preserve">τ con datos (ms)</t>
  </si>
  <si>
    <t xml:space="preserve">τ sin prerresistor (ms)</t>
  </si>
  <si>
    <t xml:space="preserve">I final con datos (A)</t>
  </si>
  <si>
    <t xml:space="preserve">I final sin prerresistor (A)</t>
  </si>
  <si>
    <t xml:space="preserve">n (r. p. m.)</t>
  </si>
  <si>
    <t xml:space="preserve">Tz (ms)</t>
  </si>
  <si>
    <t xml:space="preserve">αc electrónico (°)</t>
  </si>
  <si>
    <t xml:space="preserve">tc electrónico (ms)</t>
  </si>
  <si>
    <t xml:space="preserve">tc ruptor (ms)</t>
  </si>
  <si>
    <t xml:space="preserve">Energía electrónico (%)</t>
  </si>
  <si>
    <t xml:space="preserve">Energía ruptor (%)</t>
  </si>
  <si>
    <t xml:space="preserve">Modelo αc(n): recta que pasa por las medidas a n2 y n4, limitada al 80 % de αz (ilustrativo).</t>
  </si>
  <si>
    <t xml:space="preserve">Pendiente (°/r. p. m.)</t>
  </si>
  <si>
    <t xml:space="preserve">αz (°)</t>
  </si>
  <si>
    <t xml:space="preserve">Separación s (mm)</t>
  </si>
  <si>
    <t xml:space="preserve">Tensión exigida Ud (kV)</t>
  </si>
  <si>
    <t xml:space="preserve">Reserva ΔU (kV)</t>
  </si>
  <si>
    <t xml:space="preserve">Régimen (r. p. m.)</t>
  </si>
  <si>
    <t xml:space="preserve">αc medido (°)</t>
  </si>
  <si>
    <t xml:space="preserve">tc (ms)</t>
  </si>
  <si>
    <t xml:space="preserve">Cierre (%)</t>
  </si>
  <si>
    <t xml:space="preserve">Chispas por minuto</t>
  </si>
  <si>
    <t xml:space="preserve">fg (Hz)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</si>
</sst>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C7D6B1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A9C37E"/>
      <rgbColor rgb="FF3366FF"/>
      <rgbColor rgb="FF33CCCC"/>
      <rgbColor rgb="FF8EAD4F"/>
      <rgbColor rgb="FFFFCC00"/>
      <rgbColor rgb="FFFF9900"/>
      <rgbColor rgb="FFFF6600"/>
      <rgbColor rgb="FF666699"/>
      <rgbColor rgb="FF999999"/>
      <rgbColor rgb="FF003366"/>
      <rgbColor rgb="FF87A44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de la bobina: corriente (eje izq.) y energía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con datos"</c:f>
              <c:strCache>
                <c:ptCount val="1"/>
                <c:pt idx="0">
                  <c:v>i con datos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Carga_bobina!$A$2:$A$62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Carga_bobina!$B$2:$B$62</c:f>
              <c:numCache>
                <c:formatCode>0.00</c:formatCode>
                <c:ptCount val="61"/>
                <c:pt idx="0">
                  <c:v>0</c:v>
                </c:pt>
                <c:pt idx="1">
                  <c:v>0.57861869077031</c:v>
                </c:pt>
                <c:pt idx="2">
                  <c:v>1.07353748421343</c:v>
                </c:pt>
                <c:pt idx="3">
                  <c:v>1.49686396158164</c:v>
                </c:pt>
                <c:pt idx="4">
                  <c:v>1.85895428592404</c:v>
                </c:pt>
                <c:pt idx="5">
                  <c:v>2.16866655291354</c:v>
                </c:pt>
                <c:pt idx="6">
                  <c:v>2.4335774932928</c:v>
                </c:pt>
                <c:pt idx="7">
                  <c:v>2.66016782829882</c:v>
                </c:pt>
                <c:pt idx="8">
                  <c:v>2.85398081255924</c:v>
                </c:pt>
                <c:pt idx="9">
                  <c:v>3.0197578430179</c:v>
                </c:pt>
                <c:pt idx="10">
                  <c:v>3.16155445139561</c:v>
                </c:pt>
                <c:pt idx="11">
                  <c:v>3.28283951779953</c:v>
                </c:pt>
                <c:pt idx="12">
                  <c:v>3.38658013262029</c:v>
                </c:pt>
                <c:pt idx="13">
                  <c:v>3.47531418275922</c:v>
                </c:pt>
                <c:pt idx="14">
                  <c:v>3.55121243791863</c:v>
                </c:pt>
                <c:pt idx="15">
                  <c:v>3.61613165582001</c:v>
                </c:pt>
                <c:pt idx="16">
                  <c:v>3.6716600055044</c:v>
                </c:pt>
                <c:pt idx="17">
                  <c:v>3.71915591994005</c:v>
                </c:pt>
                <c:pt idx="18">
                  <c:v>3.75978132841877</c:v>
                </c:pt>
                <c:pt idx="19">
                  <c:v>3.794530081731</c:v>
                </c:pt>
                <c:pt idx="20">
                  <c:v>3.82425226550637</c:v>
                </c:pt>
                <c:pt idx="21">
                  <c:v>3.84967499651601</c:v>
                </c:pt>
                <c:pt idx="22">
                  <c:v>3.8714202106925</c:v>
                </c:pt>
                <c:pt idx="23">
                  <c:v>3.89001987802965</c:v>
                </c:pt>
                <c:pt idx="24">
                  <c:v>3.90592901657596</c:v>
                </c:pt>
                <c:pt idx="25">
                  <c:v>3.91953682389304</c:v>
                </c:pt>
                <c:pt idx="26">
                  <c:v>3.93117619829659</c:v>
                </c:pt>
                <c:pt idx="27">
                  <c:v>3.94113188280546</c:v>
                </c:pt>
                <c:pt idx="28">
                  <c:v>3.94964743103026</c:v>
                </c:pt>
                <c:pt idx="29">
                  <c:v>3.95693116541381</c:v>
                </c:pt>
                <c:pt idx="30">
                  <c:v>3.96316127358413</c:v>
                </c:pt>
                <c:pt idx="31">
                  <c:v>3.96849016749623</c:v>
                </c:pt>
                <c:pt idx="32">
                  <c:v>3.97304821200366</c:v>
                </c:pt>
                <c:pt idx="33">
                  <c:v>3.97694691407475</c:v>
                </c:pt>
                <c:pt idx="34">
                  <c:v>3.98028165067382</c:v>
                </c:pt>
                <c:pt idx="35">
                  <c:v>3.98313400204164</c:v>
                </c:pt>
                <c:pt idx="36">
                  <c:v>3.98557374745594</c:v>
                </c:pt>
                <c:pt idx="37">
                  <c:v>3.98766057229588</c:v>
                </c:pt>
                <c:pt idx="38">
                  <c:v>3.98944552817163</c:v>
                </c:pt>
                <c:pt idx="39">
                  <c:v>3.99097228183941</c:v>
                </c:pt>
                <c:pt idx="40">
                  <c:v>3.99227818345509</c:v>
                </c:pt>
                <c:pt idx="41">
                  <c:v>3.99339518029999</c:v>
                </c:pt>
                <c:pt idx="42">
                  <c:v>3.99435059833188</c:v>
                </c:pt>
                <c:pt idx="43">
                  <c:v>3.99516781068109</c:v>
                </c:pt>
                <c:pt idx="44">
                  <c:v>3.99586680944541</c:v>
                </c:pt>
                <c:pt idx="45">
                  <c:v>3.99646469477226</c:v>
                </c:pt>
                <c:pt idx="46">
                  <c:v>3.99697609319285</c:v>
                </c:pt>
                <c:pt idx="47">
                  <c:v>3.99741351544229</c:v>
                </c:pt>
                <c:pt idx="48">
                  <c:v>3.99778766251941</c:v>
                </c:pt>
                <c:pt idx="49">
                  <c:v>3.99810768747355</c:v>
                </c:pt>
                <c:pt idx="50">
                  <c:v>3.9983814193227</c:v>
                </c:pt>
                <c:pt idx="51">
                  <c:v>3.9986155545808</c:v>
                </c:pt>
                <c:pt idx="52">
                  <c:v>3.99881582107977</c:v>
                </c:pt>
                <c:pt idx="53">
                  <c:v>3.99898711809389</c:v>
                </c:pt>
                <c:pt idx="54">
                  <c:v>3.99913363619449</c:v>
                </c:pt>
                <c:pt idx="55">
                  <c:v>3.99925895976721</c:v>
                </c:pt>
                <c:pt idx="56">
                  <c:v>3.99936615469954</c:v>
                </c:pt>
                <c:pt idx="57">
                  <c:v>3.99945784338401</c:v>
                </c:pt>
                <c:pt idx="58">
                  <c:v>3.99953626887185</c:v>
                </c:pt>
                <c:pt idx="59">
                  <c:v>3.99960334974641</c:v>
                </c:pt>
                <c:pt idx="60">
                  <c:v>3.99966072705901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"i sin prerresistor"</c:f>
              <c:strCache>
                <c:ptCount val="1"/>
                <c:pt idx="0">
                  <c:v>i sin prerresistor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Carga_bobina!$A$2:$A$62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Carga_bobina!$D$2:$D$62</c:f>
              <c:numCache>
                <c:formatCode>0.00</c:formatCode>
                <c:ptCount val="61"/>
                <c:pt idx="0">
                  <c:v>0</c:v>
                </c:pt>
                <c:pt idx="1">
                  <c:v>0.601209494270361</c:v>
                </c:pt>
                <c:pt idx="2">
                  <c:v>1.15723738154062</c:v>
                </c:pt>
                <c:pt idx="3">
                  <c:v>1.67147911319763</c:v>
                </c:pt>
                <c:pt idx="4">
                  <c:v>2.14707496842687</c:v>
                </c:pt>
                <c:pt idx="5">
                  <c:v>2.58692923070617</c:v>
                </c:pt>
                <c:pt idx="6">
                  <c:v>2.99372792316327</c:v>
                </c:pt>
                <c:pt idx="7">
                  <c:v>3.36995521110013</c:v>
                </c:pt>
                <c:pt idx="8">
                  <c:v>3.71790857184808</c:v>
                </c:pt>
                <c:pt idx="9">
                  <c:v>4.03971282459041</c:v>
                </c:pt>
                <c:pt idx="10">
                  <c:v>4.33733310582709</c:v>
                </c:pt>
                <c:pt idx="11">
                  <c:v>4.6125868697179</c:v>
                </c:pt>
                <c:pt idx="12">
                  <c:v>4.86715498658561</c:v>
                </c:pt>
                <c:pt idx="13">
                  <c:v>5.10259200735339</c:v>
                </c:pt>
                <c:pt idx="14">
                  <c:v>5.32033565659764</c:v>
                </c:pt>
                <c:pt idx="15">
                  <c:v>5.52171561218655</c:v>
                </c:pt>
                <c:pt idx="16">
                  <c:v>5.70796162511848</c:v>
                </c:pt>
                <c:pt idx="17">
                  <c:v>5.88021102914483</c:v>
                </c:pt>
                <c:pt idx="18">
                  <c:v>6.03951568603579</c:v>
                </c:pt>
                <c:pt idx="19">
                  <c:v>6.18684840890122</c:v>
                </c:pt>
                <c:pt idx="20">
                  <c:v>6.32310890279122</c:v>
                </c:pt>
                <c:pt idx="21">
                  <c:v>6.44912925885364</c:v>
                </c:pt>
                <c:pt idx="22">
                  <c:v>6.56567903559905</c:v>
                </c:pt>
                <c:pt idx="23">
                  <c:v>6.67346995830266</c:v>
                </c:pt>
                <c:pt idx="24">
                  <c:v>6.77316026524057</c:v>
                </c:pt>
                <c:pt idx="25">
                  <c:v>6.86535872730126</c:v>
                </c:pt>
                <c:pt idx="26">
                  <c:v>6.95062836551845</c:v>
                </c:pt>
                <c:pt idx="27">
                  <c:v>7.02948988922699</c:v>
                </c:pt>
                <c:pt idx="28">
                  <c:v>7.10242487583725</c:v>
                </c:pt>
                <c:pt idx="29">
                  <c:v>7.16987871164569</c:v>
                </c:pt>
                <c:pt idx="30">
                  <c:v>7.23226331164001</c:v>
                </c:pt>
                <c:pt idx="31">
                  <c:v>7.28995963490773</c:v>
                </c:pt>
                <c:pt idx="32">
                  <c:v>7.34332001100881</c:v>
                </c:pt>
                <c:pt idx="33">
                  <c:v>7.39267029151867</c:v>
                </c:pt>
                <c:pt idx="34">
                  <c:v>7.4383118398801</c:v>
                </c:pt>
                <c:pt idx="35">
                  <c:v>7.48052337171551</c:v>
                </c:pt>
                <c:pt idx="36">
                  <c:v>7.51956265683754</c:v>
                </c:pt>
                <c:pt idx="37">
                  <c:v>7.55566809335145</c:v>
                </c:pt>
                <c:pt idx="38">
                  <c:v>7.58906016346199</c:v>
                </c:pt>
                <c:pt idx="39">
                  <c:v>7.61994277987456</c:v>
                </c:pt>
                <c:pt idx="40">
                  <c:v>7.64850453101274</c:v>
                </c:pt>
                <c:pt idx="41">
                  <c:v>7.67491983265626</c:v>
                </c:pt>
                <c:pt idx="42">
                  <c:v>7.69934999303202</c:v>
                </c:pt>
                <c:pt idx="43">
                  <c:v>7.72194419786222</c:v>
                </c:pt>
                <c:pt idx="44">
                  <c:v>7.74284042138499</c:v>
                </c:pt>
                <c:pt idx="45">
                  <c:v>7.76216626891073</c:v>
                </c:pt>
                <c:pt idx="46">
                  <c:v>7.78003975605931</c:v>
                </c:pt>
                <c:pt idx="47">
                  <c:v>7.7965700294367</c:v>
                </c:pt>
                <c:pt idx="48">
                  <c:v>7.81185803315193</c:v>
                </c:pt>
                <c:pt idx="49">
                  <c:v>7.8259971252444</c:v>
                </c:pt>
                <c:pt idx="50">
                  <c:v>7.83907364778607</c:v>
                </c:pt>
                <c:pt idx="51">
                  <c:v>7.85116745413974</c:v>
                </c:pt>
                <c:pt idx="52">
                  <c:v>7.86235239659319</c:v>
                </c:pt>
                <c:pt idx="53">
                  <c:v>7.87269677734716</c:v>
                </c:pt>
                <c:pt idx="54">
                  <c:v>7.88226376561092</c:v>
                </c:pt>
                <c:pt idx="55">
                  <c:v>7.89111178335271</c:v>
                </c:pt>
                <c:pt idx="56">
                  <c:v>7.89929486206053</c:v>
                </c:pt>
                <c:pt idx="57">
                  <c:v>7.90686297269191</c:v>
                </c:pt>
                <c:pt idx="58">
                  <c:v>7.91386233082762</c:v>
                </c:pt>
                <c:pt idx="59">
                  <c:v>7.92033567889272</c:v>
                </c:pt>
                <c:pt idx="60">
                  <c:v>7.92632254716826</c:v>
                </c:pt>
              </c:numCache>
            </c:numRef>
          </c:yVal>
          <c:smooth val="1"/>
        </c:ser>
        <c:axId val="70751504"/>
        <c:axId val="33105263"/>
      </c:scatterChart>
      <c:scatterChart>
        <c:scatterStyle val="line"/>
        <c:varyColors val="0"/>
        <c:ser>
          <c:idx val="2"/>
          <c:order val="2"/>
          <c:tx>
            <c:strRef>
              <c:f>"W con datos"</c:f>
              <c:strCache>
                <c:ptCount val="1"/>
                <c:pt idx="0">
                  <c:v>W con datos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Carga_bobina!$A$2:$A$62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Carga_bobina!$C$2:$C$62</c:f>
              <c:numCache>
                <c:formatCode>0.0</c:formatCode>
                <c:ptCount val="61"/>
                <c:pt idx="0">
                  <c:v>0</c:v>
                </c:pt>
                <c:pt idx="1">
                  <c:v>0.803519014340994</c:v>
                </c:pt>
                <c:pt idx="2">
                  <c:v>2.76595855202714</c:v>
                </c:pt>
                <c:pt idx="3">
                  <c:v>5.37744412675648</c:v>
                </c:pt>
                <c:pt idx="4">
                  <c:v>8.29370648917285</c:v>
                </c:pt>
                <c:pt idx="5">
                  <c:v>11.2874750825422</c:v>
                </c:pt>
                <c:pt idx="6">
                  <c:v>14.2135185980671</c:v>
                </c:pt>
                <c:pt idx="7">
                  <c:v>16.9835828993185</c:v>
                </c:pt>
                <c:pt idx="8">
                  <c:v>19.5484955482951</c:v>
                </c:pt>
                <c:pt idx="9">
                  <c:v>21.8854498331234</c:v>
                </c:pt>
                <c:pt idx="10">
                  <c:v>23.9890237179345</c:v>
                </c:pt>
                <c:pt idx="11">
                  <c:v>25.8648847191029</c:v>
                </c:pt>
                <c:pt idx="12">
                  <c:v>27.5254199871802</c:v>
                </c:pt>
                <c:pt idx="13">
                  <c:v>28.9867408053298</c:v>
                </c:pt>
                <c:pt idx="14">
                  <c:v>30.2666634701471</c:v>
                </c:pt>
                <c:pt idx="15">
                  <c:v>31.3833795653365</c:v>
                </c:pt>
                <c:pt idx="16">
                  <c:v>32.3546092704495</c:v>
                </c:pt>
                <c:pt idx="17">
                  <c:v>33.1970898163803</c:v>
                </c:pt>
                <c:pt idx="18">
                  <c:v>33.9262935300634</c:v>
                </c:pt>
                <c:pt idx="19">
                  <c:v>34.5563004987875</c:v>
                </c:pt>
                <c:pt idx="20">
                  <c:v>35.0997729365535</c:v>
                </c:pt>
                <c:pt idx="21">
                  <c:v>35.5679941891213</c:v>
                </c:pt>
                <c:pt idx="22">
                  <c:v>35.97094667462</c:v>
                </c:pt>
                <c:pt idx="23">
                  <c:v>36.317411163518</c:v>
                </c:pt>
                <c:pt idx="24">
                  <c:v>36.6150755580722</c:v>
                </c:pt>
                <c:pt idx="25">
                  <c:v>36.8706453932484</c:v>
                </c:pt>
                <c:pt idx="26">
                  <c:v>37.0899511249288</c:v>
                </c:pt>
                <c:pt idx="27">
                  <c:v>37.2780492423977</c:v>
                </c:pt>
                <c:pt idx="28">
                  <c:v>37.4393155906655</c:v>
                </c:pt>
                <c:pt idx="29">
                  <c:v>37.5775301947755</c:v>
                </c:pt>
                <c:pt idx="30">
                  <c:v>37.6959534730487</c:v>
                </c:pt>
                <c:pt idx="31">
                  <c:v>37.7973941028342</c:v>
                </c:pt>
                <c:pt idx="32">
                  <c:v>37.8842690277731</c:v>
                </c:pt>
                <c:pt idx="33">
                  <c:v>37.9586562176848</c:v>
                </c:pt>
                <c:pt idx="34">
                  <c:v>38.0223408448577</c:v>
                </c:pt>
                <c:pt idx="35">
                  <c:v>38.0768555477285</c:v>
                </c:pt>
                <c:pt idx="36">
                  <c:v>38.1235154313839</c:v>
                </c:pt>
                <c:pt idx="37">
                  <c:v>38.1634484156234</c:v>
                </c:pt>
                <c:pt idx="38">
                  <c:v>38.1976214933967</c:v>
                </c:pt>
                <c:pt idx="39">
                  <c:v>38.2268634105851</c:v>
                </c:pt>
                <c:pt idx="40">
                  <c:v>38.2518842258195</c:v>
                </c:pt>
                <c:pt idx="41">
                  <c:v>38.2732921585036</c:v>
                </c:pt>
                <c:pt idx="42">
                  <c:v>38.2916080857463</c:v>
                </c:pt>
                <c:pt idx="43">
                  <c:v>38.3072780052057</c:v>
                </c:pt>
                <c:pt idx="44">
                  <c:v>38.3206837411858</c:v>
                </c:pt>
                <c:pt idx="45">
                  <c:v>38.3321521357467</c:v>
                </c:pt>
                <c:pt idx="46">
                  <c:v>38.3419629349324</c:v>
                </c:pt>
                <c:pt idx="47">
                  <c:v>38.3503555522576</c:v>
                </c:pt>
                <c:pt idx="48">
                  <c:v>38.3575348670218</c:v>
                </c:pt>
                <c:pt idx="49">
                  <c:v>38.3636761935242</c:v>
                </c:pt>
                <c:pt idx="50">
                  <c:v>38.3689295385239</c:v>
                </c:pt>
                <c:pt idx="51">
                  <c:v>38.3734232480052</c:v>
                </c:pt>
                <c:pt idx="52">
                  <c:v>38.3772671302029</c:v>
                </c:pt>
                <c:pt idx="53">
                  <c:v>38.3805551296341</c:v>
                </c:pt>
                <c:pt idx="54">
                  <c:v>38.3833676163412</c:v>
                </c:pt>
                <c:pt idx="55">
                  <c:v>38.3857733454679</c:v>
                </c:pt>
                <c:pt idx="56">
                  <c:v>38.3878311344548</c:v>
                </c:pt>
                <c:pt idx="57">
                  <c:v>38.3895912984142</c:v>
                </c:pt>
                <c:pt idx="58">
                  <c:v>38.3910968784512</c:v>
                </c:pt>
                <c:pt idx="59">
                  <c:v>38.3923846927264</c:v>
                </c:pt>
                <c:pt idx="60">
                  <c:v>38.3934862357878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"W sin prerresistor"</c:f>
              <c:strCache>
                <c:ptCount val="1"/>
                <c:pt idx="0">
                  <c:v>W sin prerresistor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Carga_bobina!$A$2:$A$62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Carga_bobina!$E$2:$E$62</c:f>
              <c:numCache>
                <c:formatCode>0.0</c:formatCode>
                <c:ptCount val="61"/>
                <c:pt idx="0">
                  <c:v>0</c:v>
                </c:pt>
                <c:pt idx="1">
                  <c:v>0.867486854401977</c:v>
                </c:pt>
                <c:pt idx="2">
                  <c:v>3.21407605736398</c:v>
                </c:pt>
                <c:pt idx="3">
                  <c:v>6.70522182205426</c:v>
                </c:pt>
                <c:pt idx="4">
                  <c:v>11.0638342081085</c:v>
                </c:pt>
                <c:pt idx="5">
                  <c:v>16.0612868272368</c:v>
                </c:pt>
                <c:pt idx="6">
                  <c:v>21.5097765070259</c:v>
                </c:pt>
                <c:pt idx="7">
                  <c:v>27.2558354995701</c:v>
                </c:pt>
                <c:pt idx="8">
                  <c:v>33.1748259566914</c:v>
                </c:pt>
                <c:pt idx="9">
                  <c:v>39.1662712923846</c:v>
                </c:pt>
                <c:pt idx="10">
                  <c:v>45.1499003301687</c:v>
                </c:pt>
                <c:pt idx="11">
                  <c:v>51.0622983136655</c:v>
                </c:pt>
                <c:pt idx="12">
                  <c:v>56.8540743922684</c:v>
                </c:pt>
                <c:pt idx="13">
                  <c:v>62.4874684644162</c:v>
                </c:pt>
                <c:pt idx="14">
                  <c:v>67.9343315972742</c:v>
                </c:pt>
                <c:pt idx="15">
                  <c:v>73.1744239244752</c:v>
                </c:pt>
                <c:pt idx="16">
                  <c:v>78.1939821931805</c:v>
                </c:pt>
                <c:pt idx="17">
                  <c:v>82.9845161934635</c:v>
                </c:pt>
                <c:pt idx="18">
                  <c:v>87.5417993324938</c:v>
                </c:pt>
                <c:pt idx="19">
                  <c:v>91.8650237633365</c:v>
                </c:pt>
                <c:pt idx="20">
                  <c:v>95.9560948717381</c:v>
                </c:pt>
                <c:pt idx="21">
                  <c:v>99.819043673765</c:v>
                </c:pt>
                <c:pt idx="22">
                  <c:v>103.459538876412</c:v>
                </c:pt>
                <c:pt idx="23">
                  <c:v>106.884483082483</c:v>
                </c:pt>
                <c:pt idx="24">
                  <c:v>110.101679948721</c:v>
                </c:pt>
                <c:pt idx="25">
                  <c:v>113.119561090876</c:v>
                </c:pt>
                <c:pt idx="26">
                  <c:v>115.946963221319</c:v>
                </c:pt>
                <c:pt idx="27">
                  <c:v>118.592947446587</c:v>
                </c:pt>
                <c:pt idx="28">
                  <c:v>121.066653880588</c:v>
                </c:pt>
                <c:pt idx="29">
                  <c:v>123.377185775304</c:v>
                </c:pt>
                <c:pt idx="30">
                  <c:v>125.533518261346</c:v>
                </c:pt>
                <c:pt idx="31">
                  <c:v>127.544427548602</c:v>
                </c:pt>
                <c:pt idx="32">
                  <c:v>129.418437081798</c:v>
                </c:pt>
                <c:pt idx="33">
                  <c:v>131.163777693846</c:v>
                </c:pt>
                <c:pt idx="34">
                  <c:v>132.788359265521</c:v>
                </c:pt>
                <c:pt idx="35">
                  <c:v>134.299751795477</c:v>
                </c:pt>
                <c:pt idx="36">
                  <c:v>135.705174120253</c:v>
                </c:pt>
                <c:pt idx="37">
                  <c:v>137.011488808534</c:v>
                </c:pt>
                <c:pt idx="38">
                  <c:v>138.22520199515</c:v>
                </c:pt>
                <c:pt idx="39">
                  <c:v>139.35246712455</c:v>
                </c:pt>
                <c:pt idx="40">
                  <c:v>140.399091746214</c:v>
                </c:pt>
                <c:pt idx="41">
                  <c:v>141.370546650481</c:v>
                </c:pt>
                <c:pt idx="42">
                  <c:v>142.271976756485</c:v>
                </c:pt>
                <c:pt idx="43">
                  <c:v>143.108213267755</c:v>
                </c:pt>
                <c:pt idx="44">
                  <c:v>143.88378669848</c:v>
                </c:pt>
                <c:pt idx="45">
                  <c:v>144.602940446917</c:v>
                </c:pt>
                <c:pt idx="46">
                  <c:v>145.269644654072</c:v>
                </c:pt>
                <c:pt idx="47">
                  <c:v>145.887610137386</c:v>
                </c:pt>
                <c:pt idx="48">
                  <c:v>146.460302232289</c:v>
                </c:pt>
                <c:pt idx="49">
                  <c:v>146.990954410401</c:v>
                </c:pt>
                <c:pt idx="50">
                  <c:v>147.482581572994</c:v>
                </c:pt>
                <c:pt idx="51">
                  <c:v>147.937992943063</c:v>
                </c:pt>
                <c:pt idx="52">
                  <c:v>148.359804499715</c:v>
                </c:pt>
                <c:pt idx="53">
                  <c:v>148.750450915326</c:v>
                </c:pt>
                <c:pt idx="54">
                  <c:v>149.112196969591</c:v>
                </c:pt>
                <c:pt idx="55">
                  <c:v>149.447148425683</c:v>
                </c:pt>
                <c:pt idx="56">
                  <c:v>149.757262362662</c:v>
                </c:pt>
                <c:pt idx="57">
                  <c:v>150.044356965423</c:v>
                </c:pt>
                <c:pt idx="58">
                  <c:v>150.310120779102</c:v>
                </c:pt>
                <c:pt idx="59">
                  <c:v>150.556121439218</c:v>
                </c:pt>
                <c:pt idx="60">
                  <c:v>150.783813892195</c:v>
                </c:pt>
              </c:numCache>
            </c:numRef>
          </c:yVal>
          <c:smooth val="1"/>
        </c:ser>
        <c:axId val="82507270"/>
        <c:axId val="87791235"/>
      </c:scatterChart>
      <c:valAx>
        <c:axId val="70751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5263"/>
        <c:crosses val="autoZero"/>
        <c:crossBetween val="midCat"/>
      </c:valAx>
      <c:valAx>
        <c:axId val="33105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del primario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51504"/>
        <c:crosses val="autoZero"/>
        <c:crossBetween val="midCat"/>
      </c:valAx>
      <c:valAx>
        <c:axId val="82507270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91235"/>
        <c:crosses val="autoZero"/>
        <c:crossBetween val="midCat"/>
      </c:valAx>
      <c:valAx>
        <c:axId val="8779123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Energía almacenada (mJ)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07270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de carga (eje izq.) y energía disponible (eje der.) frente al régimen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"tc electrónico"</c:f>
              <c:strCache>
                <c:ptCount val="1"/>
                <c:pt idx="0">
                  <c:v>tc electrónico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Cierre_regimen!$D$2:$D$24</c:f>
              <c:numCache>
                <c:formatCode>0.00</c:formatCode>
                <c:ptCount val="23"/>
                <c:pt idx="0">
                  <c:v>19</c:v>
                </c:pt>
                <c:pt idx="1">
                  <c:v>13.6666666666667</c:v>
                </c:pt>
                <c:pt idx="2">
                  <c:v>11</c:v>
                </c:pt>
                <c:pt idx="3">
                  <c:v>9.4</c:v>
                </c:pt>
                <c:pt idx="4">
                  <c:v>8.33333333333333</c:v>
                </c:pt>
                <c:pt idx="5">
                  <c:v>7.57142857142857</c:v>
                </c:pt>
                <c:pt idx="6">
                  <c:v>7</c:v>
                </c:pt>
                <c:pt idx="7">
                  <c:v>6.55555555555556</c:v>
                </c:pt>
                <c:pt idx="8">
                  <c:v>6.2</c:v>
                </c:pt>
                <c:pt idx="9">
                  <c:v>5.90909090909091</c:v>
                </c:pt>
                <c:pt idx="10">
                  <c:v>5.66666666666667</c:v>
                </c:pt>
                <c:pt idx="11">
                  <c:v>5.46153846153846</c:v>
                </c:pt>
                <c:pt idx="12">
                  <c:v>5.28571428571429</c:v>
                </c:pt>
                <c:pt idx="13">
                  <c:v>5.13333333333333</c:v>
                </c:pt>
                <c:pt idx="14">
                  <c:v>5</c:v>
                </c:pt>
                <c:pt idx="15">
                  <c:v>4.88235294117647</c:v>
                </c:pt>
                <c:pt idx="16">
                  <c:v>4.77777777777778</c:v>
                </c:pt>
                <c:pt idx="17">
                  <c:v>4.68421052631579</c:v>
                </c:pt>
                <c:pt idx="18">
                  <c:v>4.6</c:v>
                </c:pt>
                <c:pt idx="19">
                  <c:v>4.52380952380952</c:v>
                </c:pt>
                <c:pt idx="20">
                  <c:v>4.36363636363636</c:v>
                </c:pt>
                <c:pt idx="21">
                  <c:v>4.17391304347826</c:v>
                </c:pt>
                <c:pt idx="22">
                  <c:v>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"tc ruptor"</c:f>
              <c:strCache>
                <c:ptCount val="1"/>
                <c:pt idx="0">
                  <c:v>tc ruptor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Cierre_regimen!$E$2:$E$24</c:f>
              <c:numCache>
                <c:formatCode>0.00</c:formatCode>
                <c:ptCount val="23"/>
                <c:pt idx="0">
                  <c:v>36</c:v>
                </c:pt>
                <c:pt idx="1">
                  <c:v>24</c:v>
                </c:pt>
                <c:pt idx="2">
                  <c:v>18</c:v>
                </c:pt>
                <c:pt idx="3">
                  <c:v>14.4</c:v>
                </c:pt>
                <c:pt idx="4">
                  <c:v>12</c:v>
                </c:pt>
                <c:pt idx="5">
                  <c:v>10.2857142857143</c:v>
                </c:pt>
                <c:pt idx="6">
                  <c:v>9</c:v>
                </c:pt>
                <c:pt idx="7">
                  <c:v>8</c:v>
                </c:pt>
                <c:pt idx="8">
                  <c:v>7.2</c:v>
                </c:pt>
                <c:pt idx="9">
                  <c:v>6.54545454545455</c:v>
                </c:pt>
                <c:pt idx="10">
                  <c:v>6</c:v>
                </c:pt>
                <c:pt idx="11">
                  <c:v>5.53846153846154</c:v>
                </c:pt>
                <c:pt idx="12">
                  <c:v>5.14285714285714</c:v>
                </c:pt>
                <c:pt idx="13">
                  <c:v>4.8</c:v>
                </c:pt>
                <c:pt idx="14">
                  <c:v>4.5</c:v>
                </c:pt>
                <c:pt idx="15">
                  <c:v>4.23529411764706</c:v>
                </c:pt>
                <c:pt idx="16">
                  <c:v>4</c:v>
                </c:pt>
                <c:pt idx="17">
                  <c:v>3.78947368421053</c:v>
                </c:pt>
                <c:pt idx="18">
                  <c:v>3.6</c:v>
                </c:pt>
                <c:pt idx="19">
                  <c:v>3.42857142857143</c:v>
                </c:pt>
                <c:pt idx="20">
                  <c:v>3.27272727272727</c:v>
                </c:pt>
                <c:pt idx="21">
                  <c:v>3.1304347826087</c:v>
                </c:pt>
                <c:pt idx="22">
                  <c:v>3</c:v>
                </c:pt>
              </c:numCache>
            </c:numRef>
          </c:yVal>
          <c:smooth val="1"/>
        </c:ser>
        <c:axId val="70426587"/>
        <c:axId val="13500347"/>
      </c:scatterChart>
      <c:scatterChart>
        <c:scatterStyle val="line"/>
        <c:varyColors val="0"/>
        <c:ser>
          <c:idx val="2"/>
          <c:order val="2"/>
          <c:tx>
            <c:strRef>
              <c:f>"Energía electrónico"</c:f>
              <c:strCache>
                <c:ptCount val="1"/>
                <c:pt idx="0">
                  <c:v>Energía electrónico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Cierre_regimen!$F$2:$F$24</c:f>
              <c:numCache>
                <c:formatCode>0.0</c:formatCode>
                <c:ptCount val="23"/>
                <c:pt idx="0">
                  <c:v>99.9986075439027</c:v>
                </c:pt>
                <c:pt idx="1">
                  <c:v>99.9609708660445</c:v>
                </c:pt>
                <c:pt idx="2">
                  <c:v>99.7934472426715</c:v>
                </c:pt>
                <c:pt idx="3">
                  <c:v>99.4390300935776</c:v>
                </c:pt>
                <c:pt idx="4">
                  <c:v>98.908836134432</c:v>
                </c:pt>
                <c:pt idx="5">
                  <c:v>98.2462418572867</c:v>
                </c:pt>
                <c:pt idx="6">
                  <c:v>97.4982176840248</c:v>
                </c:pt>
                <c:pt idx="7">
                  <c:v>96.7038634452991</c:v>
                </c:pt>
                <c:pt idx="8">
                  <c:v>95.8922066793176</c:v>
                </c:pt>
                <c:pt idx="9">
                  <c:v>95.0834301224532</c:v>
                </c:pt>
                <c:pt idx="10">
                  <c:v>94.2908948287269</c:v>
                </c:pt>
                <c:pt idx="11">
                  <c:v>93.5230139525235</c:v>
                </c:pt>
                <c:pt idx="12">
                  <c:v>92.7847332248018</c:v>
                </c:pt>
                <c:pt idx="13">
                  <c:v>92.0786233394746</c:v>
                </c:pt>
                <c:pt idx="14">
                  <c:v>91.4056586889413</c:v>
                </c:pt>
                <c:pt idx="15">
                  <c:v>90.7657620543382</c:v>
                </c:pt>
                <c:pt idx="16">
                  <c:v>90.1581812167322</c:v>
                </c:pt>
                <c:pt idx="17">
                  <c:v>89.5817472220105</c:v>
                </c:pt>
                <c:pt idx="18">
                  <c:v>89.0350501788955</c:v>
                </c:pt>
                <c:pt idx="19">
                  <c:v>88.5165579079252</c:v>
                </c:pt>
                <c:pt idx="20">
                  <c:v>87.3482013889489</c:v>
                </c:pt>
                <c:pt idx="21">
                  <c:v>85.8160411686508</c:v>
                </c:pt>
                <c:pt idx="22">
                  <c:v>84.2567949751288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"Energía ruptor"</c:f>
              <c:strCache>
                <c:ptCount val="1"/>
                <c:pt idx="0">
                  <c:v>Energía ruptor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Cierre_regimen!$G$2:$G$24</c:f>
              <c:numCache>
                <c:formatCode>0.0</c:formatCode>
                <c:ptCount val="23"/>
                <c:pt idx="0">
                  <c:v>99.9999999661621</c:v>
                </c:pt>
                <c:pt idx="1">
                  <c:v>99.9999388195453</c:v>
                </c:pt>
                <c:pt idx="2">
                  <c:v>99.9973985573882</c:v>
                </c:pt>
                <c:pt idx="3">
                  <c:v>99.9753195621806</c:v>
                </c:pt>
                <c:pt idx="4">
                  <c:v>99.8894137162025</c:v>
                </c:pt>
                <c:pt idx="5">
                  <c:v>99.677309547324</c:v>
                </c:pt>
                <c:pt idx="6">
                  <c:v>99.2799881025623</c:v>
                </c:pt>
                <c:pt idx="7">
                  <c:v>98.6569505931592</c:v>
                </c:pt>
                <c:pt idx="8">
                  <c:v>97.7905416727602</c:v>
                </c:pt>
                <c:pt idx="9">
                  <c:v>96.6831646967978</c:v>
                </c:pt>
                <c:pt idx="10">
                  <c:v>95.351759265813</c:v>
                </c:pt>
                <c:pt idx="11">
                  <c:v>93.8221903706603</c:v>
                </c:pt>
                <c:pt idx="12">
                  <c:v>92.1246703079673</c:v>
                </c:pt>
                <c:pt idx="13">
                  <c:v>90.2904615440938</c:v>
                </c:pt>
                <c:pt idx="14">
                  <c:v>88.34972273454</c:v>
                </c:pt>
                <c:pt idx="15">
                  <c:v>86.3302409492255</c:v>
                </c:pt>
                <c:pt idx="16">
                  <c:v>84.2567949751288</c:v>
                </c:pt>
                <c:pt idx="17">
                  <c:v>82.1509397501591</c:v>
                </c:pt>
                <c:pt idx="18">
                  <c:v>80.0310547414514</c:v>
                </c:pt>
                <c:pt idx="19">
                  <c:v>77.9125454544549</c:v>
                </c:pt>
                <c:pt idx="20">
                  <c:v>75.8081234660859</c:v>
                </c:pt>
                <c:pt idx="21">
                  <c:v>73.7281168319296</c:v>
                </c:pt>
                <c:pt idx="22">
                  <c:v>71.6807812166152</c:v>
                </c:pt>
              </c:numCache>
            </c:numRef>
          </c:yVal>
          <c:smooth val="1"/>
        </c:ser>
        <c:axId val="23673395"/>
        <c:axId val="4856791"/>
      </c:scatterChart>
      <c:valAx>
        <c:axId val="704265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00347"/>
        <c:crosses val="autoZero"/>
        <c:crossBetween val="midCat"/>
      </c:valAx>
      <c:valAx>
        <c:axId val="13500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carga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26587"/>
        <c:crosses val="autoZero"/>
        <c:crossBetween val="midCat"/>
      </c:valAx>
      <c:valAx>
        <c:axId val="2367339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6791"/>
        <c:crosses val="autoZero"/>
        <c:crossBetween val="midCat"/>
      </c:valAx>
      <c:valAx>
        <c:axId val="485679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Energía respecto al máximo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73395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Tensión exigida (eje izq.) y reserva de la bobina (eje der.) según la separación de electrodos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"Ud"</c:f>
              <c:strCache>
                <c:ptCount val="1"/>
                <c:pt idx="0">
                  <c:v>Ud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Secundario!$A$2:$A$18</c:f>
              <c:numCache>
                <c:formatCode>General</c:formatCode>
                <c:ptCount val="17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  <c:pt idx="15">
                  <c:v>1.35</c:v>
                </c:pt>
                <c:pt idx="16">
                  <c:v>1.4</c:v>
                </c:pt>
              </c:numCache>
            </c:numRef>
          </c:xVal>
          <c:yVal>
            <c:numRef>
              <c:f>Secundario!$B$2:$B$18</c:f>
              <c:numCache>
                <c:formatCode>0.0</c:formatCode>
                <c:ptCount val="17"/>
                <c:pt idx="0">
                  <c:v>9</c:v>
                </c:pt>
                <c:pt idx="1">
                  <c:v>9.5</c:v>
                </c:pt>
                <c:pt idx="2">
                  <c:v>10</c:v>
                </c:pt>
                <c:pt idx="3">
                  <c:v>10.5</c:v>
                </c:pt>
                <c:pt idx="4">
                  <c:v>11</c:v>
                </c:pt>
                <c:pt idx="5">
                  <c:v>11.5</c:v>
                </c:pt>
                <c:pt idx="6">
                  <c:v>12</c:v>
                </c:pt>
                <c:pt idx="7">
                  <c:v>12.5</c:v>
                </c:pt>
                <c:pt idx="8">
                  <c:v>13</c:v>
                </c:pt>
                <c:pt idx="9">
                  <c:v>13.5</c:v>
                </c:pt>
                <c:pt idx="10">
                  <c:v>14</c:v>
                </c:pt>
                <c:pt idx="11">
                  <c:v>14.5</c:v>
                </c:pt>
                <c:pt idx="12">
                  <c:v>15</c:v>
                </c:pt>
                <c:pt idx="13">
                  <c:v>15.5</c:v>
                </c:pt>
                <c:pt idx="14">
                  <c:v>16</c:v>
                </c:pt>
                <c:pt idx="15">
                  <c:v>16.5</c:v>
                </c:pt>
                <c:pt idx="16">
                  <c:v>17</c:v>
                </c:pt>
              </c:numCache>
            </c:numRef>
          </c:yVal>
          <c:smooth val="1"/>
        </c:ser>
        <c:axId val="48027982"/>
        <c:axId val="66427566"/>
      </c:scatterChart>
      <c:scatterChart>
        <c:scatterStyle val="line"/>
        <c:varyColors val="0"/>
        <c:ser>
          <c:idx val="1"/>
          <c:order val="1"/>
          <c:tx>
            <c:strRef>
              <c:f>"ΔU"</c:f>
              <c:strCache>
                <c:ptCount val="1"/>
                <c:pt idx="0">
                  <c:v>ΔU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Secundario!$A$2:$A$18</c:f>
              <c:numCache>
                <c:formatCode>General</c:formatCode>
                <c:ptCount val="17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  <c:pt idx="15">
                  <c:v>1.35</c:v>
                </c:pt>
                <c:pt idx="16">
                  <c:v>1.4</c:v>
                </c:pt>
              </c:numCache>
            </c:numRef>
          </c:xVal>
          <c:yVal>
            <c:numRef>
              <c:f>Secundario!$C$2:$C$18</c:f>
              <c:numCache>
                <c:formatCode>0.0</c:formatCode>
                <c:ptCount val="17"/>
                <c:pt idx="0">
                  <c:v>19</c:v>
                </c:pt>
                <c:pt idx="1">
                  <c:v>18.5</c:v>
                </c:pt>
                <c:pt idx="2">
                  <c:v>18</c:v>
                </c:pt>
                <c:pt idx="3">
                  <c:v>17.5</c:v>
                </c:pt>
                <c:pt idx="4">
                  <c:v>17</c:v>
                </c:pt>
                <c:pt idx="5">
                  <c:v>16.5</c:v>
                </c:pt>
                <c:pt idx="6">
                  <c:v>16</c:v>
                </c:pt>
                <c:pt idx="7">
                  <c:v>15.5</c:v>
                </c:pt>
                <c:pt idx="8">
                  <c:v>15</c:v>
                </c:pt>
                <c:pt idx="9">
                  <c:v>14.5</c:v>
                </c:pt>
                <c:pt idx="10">
                  <c:v>14</c:v>
                </c:pt>
                <c:pt idx="11">
                  <c:v>13.5</c:v>
                </c:pt>
                <c:pt idx="12">
                  <c:v>13</c:v>
                </c:pt>
                <c:pt idx="13">
                  <c:v>12.5</c:v>
                </c:pt>
                <c:pt idx="14">
                  <c:v>12</c:v>
                </c:pt>
                <c:pt idx="15">
                  <c:v>11.5</c:v>
                </c:pt>
                <c:pt idx="16">
                  <c:v>11</c:v>
                </c:pt>
              </c:numCache>
            </c:numRef>
          </c:yVal>
          <c:smooth val="1"/>
        </c:ser>
        <c:axId val="7537514"/>
        <c:axId val="73239596"/>
      </c:scatterChart>
      <c:valAx>
        <c:axId val="480279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Separación de electrodos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27566"/>
        <c:crosses val="autoZero"/>
        <c:crossBetween val="midCat"/>
      </c:valAx>
      <c:valAx>
        <c:axId val="66427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Tensión exigida (kV)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27982"/>
        <c:crosses val="autoZero"/>
        <c:crossBetween val="midCat"/>
      </c:valAx>
      <c:valAx>
        <c:axId val="753751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Separación de electrodos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39596"/>
        <c:crosses val="autoZero"/>
        <c:crossBetween val="midCat"/>
      </c:valAx>
      <c:valAx>
        <c:axId val="7323959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Reserva (kV)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7514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39960</xdr:rowOff>
    </xdr:from>
    <xdr:to>
      <xdr:col>17</xdr:col>
      <xdr:colOff>598680</xdr:colOff>
      <xdr:row>27</xdr:row>
      <xdr:rowOff>168480</xdr:rowOff>
    </xdr:to>
    <xdr:graphicFrame>
      <xdr:nvGraphicFramePr>
        <xdr:cNvPr id="0" name="Chart 1"/>
        <xdr:cNvGraphicFramePr/>
      </xdr:nvGraphicFramePr>
      <xdr:xfrm>
        <a:off x="6061680" y="1143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39960</xdr:rowOff>
    </xdr:from>
    <xdr:to>
      <xdr:col>20</xdr:col>
      <xdr:colOff>221400</xdr:colOff>
      <xdr:row>27</xdr:row>
      <xdr:rowOff>168480</xdr:rowOff>
    </xdr:to>
    <xdr:graphicFrame>
      <xdr:nvGraphicFramePr>
        <xdr:cNvPr id="1" name="Chart 1"/>
        <xdr:cNvGraphicFramePr/>
      </xdr:nvGraphicFramePr>
      <xdr:xfrm>
        <a:off x="8223840" y="1143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18</xdr:col>
      <xdr:colOff>78840</xdr:colOff>
      <xdr:row>22</xdr:row>
      <xdr:rowOff>168480</xdr:rowOff>
    </xdr:to>
    <xdr:graphicFrame>
      <xdr:nvGraphicFramePr>
        <xdr:cNvPr id="2" name="Chart 1"/>
        <xdr:cNvGraphicFramePr/>
      </xdr:nvGraphicFramePr>
      <xdr:xfrm>
        <a:off x="469980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customFormat="false" ht="15" hidden="false" customHeight="false" outlineLevel="0" collapsed="false">
      <c r="A2" s="5" t="s">
        <v>15</v>
      </c>
      <c r="B2" s="5" t="s">
        <v>16</v>
      </c>
      <c r="C2" s="6" t="n">
        <v>12</v>
      </c>
      <c r="D2" s="5" t="s">
        <v>17</v>
      </c>
      <c r="E2" s="5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6" t="n">
        <v>1.5</v>
      </c>
      <c r="D3" s="5" t="s">
        <v>21</v>
      </c>
      <c r="E3" s="5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6" t="n">
        <v>1.5</v>
      </c>
      <c r="D4" s="5" t="s">
        <v>21</v>
      </c>
      <c r="E4" s="5" t="s">
        <v>25</v>
      </c>
    </row>
    <row r="5" customFormat="false" ht="15" hidden="false" customHeight="false" outlineLevel="0" collapsed="false">
      <c r="A5" s="5" t="s">
        <v>26</v>
      </c>
      <c r="B5" s="5" t="s">
        <v>27</v>
      </c>
      <c r="C5" s="6" t="n">
        <v>4.8</v>
      </c>
      <c r="D5" s="5" t="s">
        <v>28</v>
      </c>
      <c r="E5" s="5" t="s">
        <v>29</v>
      </c>
    </row>
    <row r="6" customFormat="false" ht="15" hidden="false" customHeight="false" outlineLevel="0" collapsed="false">
      <c r="A6" s="5" t="s">
        <v>30</v>
      </c>
      <c r="B6" s="5" t="s">
        <v>31</v>
      </c>
      <c r="C6" s="6" t="n">
        <v>4</v>
      </c>
      <c r="D6" s="5" t="s">
        <v>32</v>
      </c>
      <c r="E6" s="5" t="s">
        <v>33</v>
      </c>
    </row>
    <row r="7" customFormat="false" ht="15" hidden="false" customHeight="false" outlineLevel="0" collapsed="false">
      <c r="A7" s="5" t="s">
        <v>34</v>
      </c>
      <c r="B7" s="5" t="s">
        <v>35</v>
      </c>
      <c r="C7" s="6" t="n">
        <v>60</v>
      </c>
      <c r="D7" s="5" t="s">
        <v>36</v>
      </c>
      <c r="E7" s="5" t="s">
        <v>37</v>
      </c>
    </row>
    <row r="8" customFormat="false" ht="15" hidden="false" customHeight="false" outlineLevel="0" collapsed="false">
      <c r="A8" s="5" t="s">
        <v>38</v>
      </c>
      <c r="B8" s="5" t="s">
        <v>39</v>
      </c>
      <c r="C8" s="6" t="n">
        <v>800</v>
      </c>
      <c r="D8" s="5" t="s">
        <v>40</v>
      </c>
      <c r="E8" s="5" t="s">
        <v>41</v>
      </c>
    </row>
    <row r="9" customFormat="false" ht="15" hidden="false" customHeight="false" outlineLevel="0" collapsed="false">
      <c r="A9" s="5" t="s">
        <v>42</v>
      </c>
      <c r="B9" s="5" t="s">
        <v>43</v>
      </c>
      <c r="C9" s="6" t="n">
        <v>30</v>
      </c>
      <c r="D9" s="5" t="s">
        <v>44</v>
      </c>
      <c r="E9" s="5" t="s">
        <v>45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6" t="n">
        <v>1000</v>
      </c>
      <c r="D10" s="5" t="s">
        <v>40</v>
      </c>
      <c r="E10" s="5"/>
    </row>
    <row r="11" customFormat="false" ht="15" hidden="false" customHeight="false" outlineLevel="0" collapsed="false">
      <c r="A11" s="5" t="s">
        <v>48</v>
      </c>
      <c r="B11" s="5" t="s">
        <v>49</v>
      </c>
      <c r="C11" s="6" t="n">
        <v>33</v>
      </c>
      <c r="D11" s="5" t="s">
        <v>44</v>
      </c>
      <c r="E11" s="5" t="s">
        <v>50</v>
      </c>
    </row>
    <row r="12" customFormat="false" ht="15" hidden="false" customHeight="false" outlineLevel="0" collapsed="false">
      <c r="A12" s="5" t="s">
        <v>51</v>
      </c>
      <c r="B12" s="5" t="s">
        <v>52</v>
      </c>
      <c r="C12" s="6" t="n">
        <v>2000</v>
      </c>
      <c r="D12" s="5" t="s">
        <v>40</v>
      </c>
      <c r="E12" s="5"/>
    </row>
    <row r="13" customFormat="false" ht="15" hidden="false" customHeight="false" outlineLevel="0" collapsed="false">
      <c r="A13" s="5" t="s">
        <v>53</v>
      </c>
      <c r="B13" s="5" t="s">
        <v>54</v>
      </c>
      <c r="C13" s="6" t="n">
        <v>42</v>
      </c>
      <c r="D13" s="5" t="s">
        <v>44</v>
      </c>
      <c r="E13" s="5"/>
    </row>
    <row r="14" customFormat="false" ht="15" hidden="false" customHeight="false" outlineLevel="0" collapsed="false">
      <c r="A14" s="5" t="s">
        <v>55</v>
      </c>
      <c r="B14" s="5" t="s">
        <v>56</v>
      </c>
      <c r="C14" s="6" t="n">
        <v>3000</v>
      </c>
      <c r="D14" s="5" t="s">
        <v>40</v>
      </c>
      <c r="E14" s="5"/>
    </row>
    <row r="15" customFormat="false" ht="15" hidden="false" customHeight="false" outlineLevel="0" collapsed="false">
      <c r="A15" s="5" t="s">
        <v>57</v>
      </c>
      <c r="B15" s="5" t="s">
        <v>58</v>
      </c>
      <c r="C15" s="6" t="n">
        <v>51</v>
      </c>
      <c r="D15" s="5" t="s">
        <v>44</v>
      </c>
      <c r="E15" s="5" t="s">
        <v>59</v>
      </c>
    </row>
    <row r="16" customFormat="false" ht="15" hidden="false" customHeight="false" outlineLevel="0" collapsed="false">
      <c r="A16" s="5" t="s">
        <v>60</v>
      </c>
      <c r="B16" s="5" t="s">
        <v>61</v>
      </c>
      <c r="C16" s="6" t="n">
        <v>10</v>
      </c>
      <c r="D16" s="5" t="s">
        <v>62</v>
      </c>
      <c r="E16" s="5" t="s">
        <v>63</v>
      </c>
    </row>
    <row r="17" customFormat="false" ht="15" hidden="false" customHeight="false" outlineLevel="0" collapsed="false">
      <c r="A17" s="5" t="s">
        <v>64</v>
      </c>
      <c r="B17" s="5" t="s">
        <v>65</v>
      </c>
      <c r="C17" s="6" t="n">
        <v>0.7</v>
      </c>
      <c r="D17" s="5" t="s">
        <v>66</v>
      </c>
      <c r="E17" s="5" t="s">
        <v>67</v>
      </c>
    </row>
    <row r="18" customFormat="false" ht="15" hidden="false" customHeight="false" outlineLevel="0" collapsed="false">
      <c r="A18" s="5" t="s">
        <v>68</v>
      </c>
      <c r="B18" s="5" t="s">
        <v>69</v>
      </c>
      <c r="C18" s="6" t="n">
        <v>0.9</v>
      </c>
      <c r="D18" s="5" t="s">
        <v>66</v>
      </c>
      <c r="E18" s="5" t="s">
        <v>70</v>
      </c>
    </row>
    <row r="19" customFormat="false" ht="15" hidden="false" customHeight="false" outlineLevel="0" collapsed="false">
      <c r="A19" s="5" t="s">
        <v>71</v>
      </c>
      <c r="B19" s="5" t="s">
        <v>72</v>
      </c>
      <c r="C19" s="6" t="n">
        <v>10</v>
      </c>
      <c r="D19" s="5" t="s">
        <v>73</v>
      </c>
      <c r="E19" s="5" t="s">
        <v>74</v>
      </c>
    </row>
    <row r="20" customFormat="false" ht="15" hidden="false" customHeight="false" outlineLevel="0" collapsed="false">
      <c r="A20" s="5" t="s">
        <v>75</v>
      </c>
      <c r="B20" s="5" t="s">
        <v>76</v>
      </c>
      <c r="C20" s="6" t="n">
        <v>28</v>
      </c>
      <c r="D20" s="5" t="s">
        <v>62</v>
      </c>
      <c r="E20" s="5" t="s">
        <v>77</v>
      </c>
    </row>
    <row r="21" customFormat="false" ht="15" hidden="false" customHeight="false" outlineLevel="0" collapsed="false">
      <c r="A21" s="5" t="s">
        <v>78</v>
      </c>
      <c r="B21" s="5" t="s">
        <v>79</v>
      </c>
      <c r="C21" s="6" t="n">
        <v>350</v>
      </c>
      <c r="D21" s="5" t="s">
        <v>32</v>
      </c>
      <c r="E21" s="5" t="s">
        <v>80</v>
      </c>
    </row>
    <row r="22" customFormat="false" ht="15" hidden="false" customHeight="false" outlineLevel="0" collapsed="false">
      <c r="A22" s="5" t="s">
        <v>81</v>
      </c>
      <c r="B22" s="5" t="s">
        <v>82</v>
      </c>
      <c r="C22" s="6" t="n">
        <v>20000</v>
      </c>
      <c r="D22" s="5" t="s">
        <v>32</v>
      </c>
      <c r="E22" s="5" t="s">
        <v>80</v>
      </c>
    </row>
    <row r="23" customFormat="false" ht="15" hidden="false" customHeight="false" outlineLevel="0" collapsed="false">
      <c r="A23" s="5" t="s">
        <v>83</v>
      </c>
      <c r="B23" s="5" t="s">
        <v>84</v>
      </c>
      <c r="C23" s="6" t="n">
        <v>350</v>
      </c>
      <c r="D23" s="5" t="s">
        <v>17</v>
      </c>
      <c r="E23" s="5" t="s">
        <v>85</v>
      </c>
    </row>
    <row r="24" customFormat="false" ht="15" hidden="false" customHeight="false" outlineLevel="0" collapsed="false">
      <c r="A24" s="7"/>
      <c r="B24" s="7"/>
      <c r="C24" s="7"/>
      <c r="D24" s="7"/>
      <c r="E24" s="7"/>
    </row>
    <row r="25" customFormat="false" ht="15" hidden="false" customHeight="false" outlineLevel="0" collapsed="false">
      <c r="A25" s="2" t="s">
        <v>86</v>
      </c>
      <c r="B25" s="7"/>
      <c r="C25" s="7"/>
      <c r="D25" s="7"/>
      <c r="E25" s="7"/>
    </row>
    <row r="26" customFormat="false" ht="26.85" hidden="false" customHeight="false" outlineLevel="0" collapsed="false">
      <c r="A26" s="4" t="s">
        <v>87</v>
      </c>
      <c r="B26" s="4" t="s">
        <v>88</v>
      </c>
      <c r="C26" s="4" t="s">
        <v>89</v>
      </c>
      <c r="D26" s="4" t="s">
        <v>90</v>
      </c>
      <c r="E26" s="4" t="s">
        <v>91</v>
      </c>
    </row>
    <row r="27" customFormat="false" ht="15" hidden="false" customHeight="false" outlineLevel="0" collapsed="false">
      <c r="A27" s="5" t="s">
        <v>92</v>
      </c>
      <c r="B27" s="8" t="n">
        <v>0.45</v>
      </c>
      <c r="C27" s="8" t="n">
        <v>6.3</v>
      </c>
      <c r="D27" s="6" t="s">
        <v>93</v>
      </c>
      <c r="E27" s="5" t="s">
        <v>94</v>
      </c>
    </row>
    <row r="28" customFormat="false" ht="15" hidden="false" customHeight="false" outlineLevel="0" collapsed="false">
      <c r="A28" s="5" t="s">
        <v>95</v>
      </c>
      <c r="B28" s="8" t="n">
        <v>0.4</v>
      </c>
      <c r="C28" s="8" t="n">
        <v>5.8</v>
      </c>
      <c r="D28" s="6" t="s">
        <v>93</v>
      </c>
      <c r="E28" s="5" t="s">
        <v>94</v>
      </c>
    </row>
    <row r="29" customFormat="false" ht="15" hidden="false" customHeight="false" outlineLevel="0" collapsed="false">
      <c r="A29" s="5" t="s">
        <v>96</v>
      </c>
      <c r="B29" s="8" t="n">
        <v>0.48</v>
      </c>
      <c r="C29" s="8" t="n">
        <v>7.1</v>
      </c>
      <c r="D29" s="6" t="s">
        <v>93</v>
      </c>
      <c r="E29" s="5" t="s">
        <v>94</v>
      </c>
    </row>
    <row r="30" customFormat="false" ht="15" hidden="false" customHeight="false" outlineLevel="0" collapsed="false">
      <c r="A30" s="5" t="s">
        <v>97</v>
      </c>
      <c r="B30" s="8" t="n">
        <v>0.55</v>
      </c>
      <c r="C30" s="8" t="n">
        <v>8</v>
      </c>
      <c r="D30" s="6" t="s">
        <v>93</v>
      </c>
      <c r="E30" s="5" t="s">
        <v>94</v>
      </c>
    </row>
    <row r="31" customFormat="false" ht="15" hidden="false" customHeight="false" outlineLevel="0" collapsed="false">
      <c r="A31" s="5" t="s">
        <v>98</v>
      </c>
      <c r="B31" s="8" t="n">
        <v>0.62</v>
      </c>
      <c r="C31" s="8" t="n">
        <v>16.5</v>
      </c>
      <c r="D31" s="6" t="s">
        <v>93</v>
      </c>
      <c r="E31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4" t="s">
        <v>99</v>
      </c>
      <c r="B1" s="4" t="s">
        <v>100</v>
      </c>
      <c r="C1" s="4" t="s">
        <v>101</v>
      </c>
      <c r="D1" s="4" t="s">
        <v>102</v>
      </c>
      <c r="E1" s="4" t="s">
        <v>13</v>
      </c>
      <c r="F1" s="4" t="s">
        <v>103</v>
      </c>
    </row>
    <row r="2" customFormat="false" ht="15" hidden="false" customHeight="false" outlineLevel="0" collapsed="false">
      <c r="A2" s="5" t="s">
        <v>104</v>
      </c>
      <c r="B2" s="5" t="s">
        <v>105</v>
      </c>
      <c r="C2" s="5" t="s">
        <v>106</v>
      </c>
      <c r="D2" s="9" t="n">
        <f aca="false">Datos!$C$2/(Datos!$C$3+Datos!$C$4)</f>
        <v>4</v>
      </c>
      <c r="E2" s="5" t="s">
        <v>107</v>
      </c>
      <c r="F2" s="5" t="s">
        <v>108</v>
      </c>
    </row>
    <row r="3" customFormat="false" ht="15" hidden="false" customHeight="false" outlineLevel="0" collapsed="false">
      <c r="A3" s="5" t="s">
        <v>104</v>
      </c>
      <c r="B3" s="5" t="s">
        <v>109</v>
      </c>
      <c r="C3" s="5" t="s">
        <v>110</v>
      </c>
      <c r="D3" s="9" t="n">
        <f aca="false">Datos!$C$2/Datos!$C$3</f>
        <v>8</v>
      </c>
      <c r="E3" s="5" t="s">
        <v>107</v>
      </c>
      <c r="F3" s="5" t="s">
        <v>111</v>
      </c>
    </row>
    <row r="4" customFormat="false" ht="15" hidden="false" customHeight="false" outlineLevel="0" collapsed="false">
      <c r="A4" s="5" t="s">
        <v>112</v>
      </c>
      <c r="B4" s="5" t="s">
        <v>113</v>
      </c>
      <c r="C4" s="5" t="s">
        <v>114</v>
      </c>
      <c r="D4" s="9" t="n">
        <f aca="false">D2^2*Datos!$C$4</f>
        <v>24</v>
      </c>
      <c r="E4" s="5" t="s">
        <v>115</v>
      </c>
      <c r="F4" s="5" t="s">
        <v>116</v>
      </c>
    </row>
    <row r="5" customFormat="false" ht="15" hidden="false" customHeight="false" outlineLevel="0" collapsed="false">
      <c r="A5" s="5" t="s">
        <v>112</v>
      </c>
      <c r="B5" s="5" t="s">
        <v>117</v>
      </c>
      <c r="C5" s="5" t="s">
        <v>118</v>
      </c>
      <c r="D5" s="9" t="n">
        <f aca="false">D2^2*Datos!$C$3</f>
        <v>24</v>
      </c>
      <c r="E5" s="5" t="s">
        <v>115</v>
      </c>
      <c r="F5" s="5"/>
    </row>
    <row r="6" customFormat="false" ht="15" hidden="false" customHeight="false" outlineLevel="0" collapsed="false">
      <c r="A6" s="5" t="s">
        <v>119</v>
      </c>
      <c r="B6" s="5" t="s">
        <v>120</v>
      </c>
      <c r="C6" s="5" t="s">
        <v>121</v>
      </c>
      <c r="D6" s="9" t="n">
        <f aca="false">D4*Datos!$C$11/D12</f>
        <v>8.8</v>
      </c>
      <c r="E6" s="5" t="s">
        <v>115</v>
      </c>
      <c r="F6" s="5" t="s">
        <v>122</v>
      </c>
    </row>
    <row r="7" customFormat="false" ht="15" hidden="false" customHeight="false" outlineLevel="0" collapsed="false">
      <c r="A7" s="5" t="s">
        <v>123</v>
      </c>
      <c r="B7" s="5" t="s">
        <v>124</v>
      </c>
      <c r="C7" s="5" t="s">
        <v>125</v>
      </c>
      <c r="D7" s="9" t="n">
        <f aca="false">Datos!$C$5/(Datos!$C$3+Datos!$C$4)</f>
        <v>1.6</v>
      </c>
      <c r="E7" s="5" t="s">
        <v>126</v>
      </c>
      <c r="F7" s="5" t="s">
        <v>127</v>
      </c>
    </row>
    <row r="8" customFormat="false" ht="15" hidden="false" customHeight="false" outlineLevel="0" collapsed="false">
      <c r="A8" s="5" t="s">
        <v>128</v>
      </c>
      <c r="B8" s="5" t="s">
        <v>129</v>
      </c>
      <c r="C8" s="5" t="s">
        <v>130</v>
      </c>
      <c r="D8" s="9" t="n">
        <f aca="false">D2*(1-EXP(-D13/D7))</f>
        <v>3.99586680944541</v>
      </c>
      <c r="E8" s="5" t="s">
        <v>107</v>
      </c>
      <c r="F8" s="5"/>
    </row>
    <row r="9" customFormat="false" ht="15" hidden="false" customHeight="false" outlineLevel="0" collapsed="false">
      <c r="A9" s="5" t="s">
        <v>131</v>
      </c>
      <c r="B9" s="5" t="s">
        <v>132</v>
      </c>
      <c r="C9" s="5" t="s">
        <v>133</v>
      </c>
      <c r="D9" s="9" t="n">
        <f aca="false">0.5*Datos!$C$5*D8^2</f>
        <v>38.3206837411858</v>
      </c>
      <c r="E9" s="5" t="s">
        <v>134</v>
      </c>
      <c r="F9" s="5" t="s">
        <v>135</v>
      </c>
    </row>
    <row r="10" customFormat="false" ht="15" hidden="false" customHeight="false" outlineLevel="0" collapsed="false">
      <c r="A10" s="5" t="s">
        <v>131</v>
      </c>
      <c r="B10" s="5" t="s">
        <v>136</v>
      </c>
      <c r="C10" s="5" t="s">
        <v>137</v>
      </c>
      <c r="D10" s="9" t="n">
        <f aca="false">0.5*Datos!$C$5*D2^2</f>
        <v>38.4</v>
      </c>
      <c r="E10" s="5" t="s">
        <v>134</v>
      </c>
      <c r="F10" s="5"/>
    </row>
    <row r="11" customFormat="false" ht="15" hidden="false" customHeight="false" outlineLevel="0" collapsed="false">
      <c r="A11" s="5" t="s">
        <v>138</v>
      </c>
      <c r="B11" s="5" t="s">
        <v>139</v>
      </c>
      <c r="C11" s="5" t="s">
        <v>140</v>
      </c>
      <c r="D11" s="9" t="n">
        <f aca="false">120000/(Datos!$C$10*Datos!$C$6)</f>
        <v>30</v>
      </c>
      <c r="E11" s="5" t="s">
        <v>126</v>
      </c>
      <c r="F11" s="5" t="s">
        <v>141</v>
      </c>
    </row>
    <row r="12" customFormat="false" ht="15" hidden="false" customHeight="false" outlineLevel="0" collapsed="false">
      <c r="A12" s="5" t="s">
        <v>142</v>
      </c>
      <c r="B12" s="5" t="s">
        <v>143</v>
      </c>
      <c r="C12" s="5" t="s">
        <v>144</v>
      </c>
      <c r="D12" s="9" t="n">
        <f aca="false">360/Datos!$C$6</f>
        <v>90</v>
      </c>
      <c r="E12" s="5" t="s">
        <v>145</v>
      </c>
      <c r="F12" s="5" t="s">
        <v>146</v>
      </c>
    </row>
    <row r="13" customFormat="false" ht="15" hidden="false" customHeight="false" outlineLevel="0" collapsed="false">
      <c r="A13" s="5" t="s">
        <v>147</v>
      </c>
      <c r="B13" s="5" t="s">
        <v>148</v>
      </c>
      <c r="C13" s="5" t="s">
        <v>149</v>
      </c>
      <c r="D13" s="9" t="n">
        <f aca="false">Datos!$C$11/D12*D11</f>
        <v>11</v>
      </c>
      <c r="E13" s="5" t="s">
        <v>126</v>
      </c>
      <c r="F13" s="5" t="s">
        <v>150</v>
      </c>
    </row>
    <row r="14" customFormat="false" ht="15" hidden="false" customHeight="false" outlineLevel="0" collapsed="false">
      <c r="A14" s="5" t="s">
        <v>151</v>
      </c>
      <c r="B14" s="5" t="s">
        <v>152</v>
      </c>
      <c r="C14" s="5" t="s">
        <v>153</v>
      </c>
      <c r="D14" s="9" t="n">
        <f aca="false">Datos!$C$11/D12*100</f>
        <v>36.6666666666667</v>
      </c>
      <c r="E14" s="5" t="s">
        <v>36</v>
      </c>
      <c r="F14" s="5" t="s">
        <v>154</v>
      </c>
    </row>
    <row r="15" customFormat="false" ht="15" hidden="false" customHeight="false" outlineLevel="0" collapsed="false">
      <c r="A15" s="5" t="s">
        <v>155</v>
      </c>
      <c r="B15" s="5" t="s">
        <v>156</v>
      </c>
      <c r="C15" s="5" t="s">
        <v>157</v>
      </c>
      <c r="D15" s="10" t="n">
        <f aca="false">Datos!$C$14*Datos!$C$6/2</f>
        <v>6000</v>
      </c>
      <c r="E15" s="5" t="s">
        <v>158</v>
      </c>
      <c r="F15" s="5" t="s">
        <v>159</v>
      </c>
    </row>
    <row r="16" customFormat="false" ht="15" hidden="false" customHeight="false" outlineLevel="0" collapsed="false">
      <c r="A16" s="5" t="s">
        <v>160</v>
      </c>
      <c r="B16" s="5" t="s">
        <v>161</v>
      </c>
      <c r="C16" s="5" t="s">
        <v>162</v>
      </c>
      <c r="D16" s="9" t="n">
        <f aca="false">Datos!$C$8*Datos!$C$6/120</f>
        <v>26.6666666666667</v>
      </c>
      <c r="E16" s="5" t="s">
        <v>163</v>
      </c>
      <c r="F16" s="5" t="s">
        <v>164</v>
      </c>
    </row>
    <row r="17" customFormat="false" ht="15" hidden="false" customHeight="false" outlineLevel="0" collapsed="false">
      <c r="A17" s="5" t="s">
        <v>160</v>
      </c>
      <c r="B17" s="5" t="s">
        <v>165</v>
      </c>
      <c r="C17" s="5" t="s">
        <v>166</v>
      </c>
      <c r="D17" s="9" t="n">
        <f aca="false">1000/D16</f>
        <v>37.5</v>
      </c>
      <c r="E17" s="5" t="s">
        <v>126</v>
      </c>
      <c r="F17" s="5" t="s">
        <v>167</v>
      </c>
    </row>
    <row r="18" customFormat="false" ht="15" hidden="false" customHeight="false" outlineLevel="0" collapsed="false">
      <c r="A18" s="5" t="s">
        <v>160</v>
      </c>
      <c r="B18" s="5" t="s">
        <v>168</v>
      </c>
      <c r="C18" s="5" t="s">
        <v>32</v>
      </c>
      <c r="D18" s="9" t="n">
        <f aca="false">D17*2.5/10</f>
        <v>9.375</v>
      </c>
      <c r="E18" s="5" t="s">
        <v>169</v>
      </c>
      <c r="F18" s="5"/>
    </row>
    <row r="19" customFormat="false" ht="15" hidden="false" customHeight="false" outlineLevel="0" collapsed="false">
      <c r="A19" s="5" t="s">
        <v>170</v>
      </c>
      <c r="B19" s="5" t="s">
        <v>171</v>
      </c>
      <c r="C19" s="5" t="s">
        <v>172</v>
      </c>
      <c r="D19" s="9" t="n">
        <f aca="false">Datos!$C$16+Datos!$C$19*(Datos!$C$18-Datos!$C$17)</f>
        <v>12</v>
      </c>
      <c r="E19" s="5" t="s">
        <v>62</v>
      </c>
      <c r="F19" s="5" t="s">
        <v>173</v>
      </c>
    </row>
    <row r="20" customFormat="false" ht="15" hidden="false" customHeight="false" outlineLevel="0" collapsed="false">
      <c r="A20" s="5" t="s">
        <v>174</v>
      </c>
      <c r="B20" s="5" t="s">
        <v>175</v>
      </c>
      <c r="C20" s="5" t="s">
        <v>176</v>
      </c>
      <c r="D20" s="9" t="n">
        <f aca="false">Datos!$C$20-D19</f>
        <v>16</v>
      </c>
      <c r="E20" s="5" t="s">
        <v>62</v>
      </c>
      <c r="F20" s="5" t="s">
        <v>177</v>
      </c>
    </row>
    <row r="21" customFormat="false" ht="15" hidden="false" customHeight="false" outlineLevel="0" collapsed="false">
      <c r="A21" s="5" t="s">
        <v>178</v>
      </c>
      <c r="B21" s="5" t="s">
        <v>179</v>
      </c>
      <c r="C21" s="5" t="s">
        <v>180</v>
      </c>
      <c r="D21" s="9" t="n">
        <f aca="false">Datos!$C$22/Datos!$C$21</f>
        <v>57.1428571428571</v>
      </c>
      <c r="E21" s="5" t="s">
        <v>32</v>
      </c>
      <c r="F21" s="5" t="s">
        <v>181</v>
      </c>
    </row>
    <row r="22" customFormat="false" ht="15" hidden="false" customHeight="false" outlineLevel="0" collapsed="false">
      <c r="A22" s="5" t="s">
        <v>178</v>
      </c>
      <c r="B22" s="5" t="s">
        <v>182</v>
      </c>
      <c r="C22" s="5" t="s">
        <v>183</v>
      </c>
      <c r="D22" s="9" t="n">
        <f aca="false">D21*Datos!$C$23/1000</f>
        <v>20</v>
      </c>
      <c r="E22" s="5" t="s">
        <v>62</v>
      </c>
      <c r="F22" s="5" t="s">
        <v>184</v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</row>
    <row r="25" customFormat="false" ht="15" hidden="false" customHeight="false" outlineLevel="0" collapsed="false">
      <c r="A25" s="2" t="s">
        <v>185</v>
      </c>
      <c r="B25" s="7"/>
      <c r="C25" s="7"/>
      <c r="D25" s="7"/>
      <c r="E25" s="7"/>
      <c r="F25" s="7"/>
    </row>
    <row r="26" customFormat="false" ht="26.85" hidden="false" customHeight="false" outlineLevel="0" collapsed="false">
      <c r="A26" s="4" t="s">
        <v>87</v>
      </c>
      <c r="B26" s="4" t="s">
        <v>186</v>
      </c>
      <c r="C26" s="4" t="s">
        <v>187</v>
      </c>
      <c r="D26" s="4" t="s">
        <v>188</v>
      </c>
      <c r="E26" s="4" t="s">
        <v>189</v>
      </c>
      <c r="F26" s="4" t="s">
        <v>190</v>
      </c>
    </row>
    <row r="27" customFormat="false" ht="15" hidden="false" customHeight="false" outlineLevel="0" collapsed="false">
      <c r="A27" s="5" t="str">
        <f aca="false">Datos!A27</f>
        <v>Bobina</v>
      </c>
      <c r="B27" s="9" t="n">
        <f aca="false">Datos!B27</f>
        <v>0.45</v>
      </c>
      <c r="C27" s="9" t="n">
        <f aca="false">Datos!C27</f>
        <v>6.3</v>
      </c>
      <c r="D27" s="11" t="n">
        <f aca="false">C27/B27</f>
        <v>14</v>
      </c>
      <c r="E27" s="5" t="str">
        <f aca="false">Datos!D27</f>
        <v>CS</v>
      </c>
      <c r="F27" s="5" t="str">
        <f aca="false">IF(E27="TS","Comparar con el valor grabado en los terminales",IF(AND(D27&gt;=9,D27&lt;=23),"Dentro de norma","Fuera de norma: sustituir"))</f>
        <v>Dentro de norma</v>
      </c>
    </row>
    <row r="28" customFormat="false" ht="15" hidden="false" customHeight="false" outlineLevel="0" collapsed="false">
      <c r="A28" s="5" t="str">
        <f aca="false">Datos!A28</f>
        <v>Cilindro 1</v>
      </c>
      <c r="B28" s="9" t="n">
        <f aca="false">Datos!B28</f>
        <v>0.4</v>
      </c>
      <c r="C28" s="9" t="n">
        <f aca="false">Datos!C28</f>
        <v>5.8</v>
      </c>
      <c r="D28" s="11" t="n">
        <f aca="false">C28/B28</f>
        <v>14.5</v>
      </c>
      <c r="E28" s="5" t="str">
        <f aca="false">Datos!D28</f>
        <v>CS</v>
      </c>
      <c r="F28" s="5" t="str">
        <f aca="false">IF(E28="TS","Comparar con el valor grabado en los terminales",IF(AND(D28&gt;=9,D28&lt;=23),"Dentro de norma","Fuera de norma: sustituir"))</f>
        <v>Dentro de norma</v>
      </c>
    </row>
    <row r="29" customFormat="false" ht="15" hidden="false" customHeight="false" outlineLevel="0" collapsed="false">
      <c r="A29" s="5" t="str">
        <f aca="false">Datos!A29</f>
        <v>Cilindro 2</v>
      </c>
      <c r="B29" s="9" t="n">
        <f aca="false">Datos!B29</f>
        <v>0.48</v>
      </c>
      <c r="C29" s="9" t="n">
        <f aca="false">Datos!C29</f>
        <v>7.1</v>
      </c>
      <c r="D29" s="11" t="n">
        <f aca="false">C29/B29</f>
        <v>14.7916666666667</v>
      </c>
      <c r="E29" s="5" t="str">
        <f aca="false">Datos!D29</f>
        <v>CS</v>
      </c>
      <c r="F29" s="5" t="str">
        <f aca="false">IF(E29="TS","Comparar con el valor grabado en los terminales",IF(AND(D29&gt;=9,D29&lt;=23),"Dentro de norma","Fuera de norma: sustituir"))</f>
        <v>Dentro de norma</v>
      </c>
    </row>
    <row r="30" customFormat="false" ht="15" hidden="false" customHeight="false" outlineLevel="0" collapsed="false">
      <c r="A30" s="5" t="str">
        <f aca="false">Datos!A30</f>
        <v>Cilindro 3</v>
      </c>
      <c r="B30" s="9" t="n">
        <f aca="false">Datos!B30</f>
        <v>0.55</v>
      </c>
      <c r="C30" s="9" t="n">
        <f aca="false">Datos!C30</f>
        <v>8</v>
      </c>
      <c r="D30" s="11" t="n">
        <f aca="false">C30/B30</f>
        <v>14.5454545454545</v>
      </c>
      <c r="E30" s="5" t="str">
        <f aca="false">Datos!D30</f>
        <v>CS</v>
      </c>
      <c r="F30" s="5" t="str">
        <f aca="false">IF(E30="TS","Comparar con el valor grabado en los terminales",IF(AND(D30&gt;=9,D30&lt;=23),"Dentro de norma","Fuera de norma: sustituir"))</f>
        <v>Dentro de norma</v>
      </c>
    </row>
    <row r="31" customFormat="false" ht="15" hidden="false" customHeight="false" outlineLevel="0" collapsed="false">
      <c r="A31" s="5" t="str">
        <f aca="false">Datos!A31</f>
        <v>Cilindro 4</v>
      </c>
      <c r="B31" s="9" t="n">
        <f aca="false">Datos!B31</f>
        <v>0.62</v>
      </c>
      <c r="C31" s="9" t="n">
        <f aca="false">Datos!C31</f>
        <v>16.5</v>
      </c>
      <c r="D31" s="11" t="n">
        <f aca="false">C31/B31</f>
        <v>26.6129032258065</v>
      </c>
      <c r="E31" s="5" t="str">
        <f aca="false">Datos!D31</f>
        <v>CS</v>
      </c>
      <c r="F31" s="5" t="str">
        <f aca="false">IF(E31="TS","Comparar con el valor grabado en los terminales",IF(AND(D31&gt;=9,D31&lt;=23),"Dentro de norma","Fuera de norma: sustituir"))</f>
        <v>Fuera de norma: sustituir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7"/>
      <c r="G1" s="2" t="s">
        <v>196</v>
      </c>
      <c r="H1" s="12" t="n">
        <f aca="false">Datos!$C$5/(Datos!$C$3+Datos!$C$4)</f>
        <v>1.6</v>
      </c>
    </row>
    <row r="2" customFormat="false" ht="15" hidden="false" customHeight="false" outlineLevel="0" collapsed="false">
      <c r="A2" s="7" t="n">
        <v>0</v>
      </c>
      <c r="B2" s="12" t="n">
        <f aca="false">$H$3*(1-EXP(-A2/$H$1))</f>
        <v>0</v>
      </c>
      <c r="C2" s="13" t="n">
        <f aca="false">0.5*Datos!$C$5*B2^2</f>
        <v>0</v>
      </c>
      <c r="D2" s="12" t="n">
        <f aca="false">$H$4*(1-EXP(-A2/$H$2))</f>
        <v>0</v>
      </c>
      <c r="E2" s="13" t="n">
        <f aca="false">0.5*Datos!$C$5*D2^2</f>
        <v>0</v>
      </c>
      <c r="F2" s="7"/>
      <c r="G2" s="2" t="s">
        <v>197</v>
      </c>
      <c r="H2" s="12" t="n">
        <f aca="false">Datos!$C$5/Datos!$C$3</f>
        <v>3.2</v>
      </c>
    </row>
    <row r="3" customFormat="false" ht="15" hidden="false" customHeight="false" outlineLevel="0" collapsed="false">
      <c r="A3" s="7" t="n">
        <v>0.25</v>
      </c>
      <c r="B3" s="12" t="n">
        <f aca="false">$H$3*(1-EXP(-A3/$H$1))</f>
        <v>0.57861869077031</v>
      </c>
      <c r="C3" s="13" t="n">
        <f aca="false">0.5*Datos!$C$5*B3^2</f>
        <v>0.803519014340994</v>
      </c>
      <c r="D3" s="12" t="n">
        <f aca="false">$H$4*(1-EXP(-A3/$H$2))</f>
        <v>0.601209494270361</v>
      </c>
      <c r="E3" s="13" t="n">
        <f aca="false">0.5*Datos!$C$5*D3^2</f>
        <v>0.867486854401977</v>
      </c>
      <c r="F3" s="7"/>
      <c r="G3" s="2" t="s">
        <v>198</v>
      </c>
      <c r="H3" s="12" t="n">
        <f aca="false">Datos!$C$2/(Datos!$C$3+Datos!$C$4)</f>
        <v>4</v>
      </c>
    </row>
    <row r="4" customFormat="false" ht="15" hidden="false" customHeight="false" outlineLevel="0" collapsed="false">
      <c r="A4" s="7" t="n">
        <v>0.5</v>
      </c>
      <c r="B4" s="12" t="n">
        <f aca="false">$H$3*(1-EXP(-A4/$H$1))</f>
        <v>1.07353748421343</v>
      </c>
      <c r="C4" s="13" t="n">
        <f aca="false">0.5*Datos!$C$5*B4^2</f>
        <v>2.76595855202714</v>
      </c>
      <c r="D4" s="12" t="n">
        <f aca="false">$H$4*(1-EXP(-A4/$H$2))</f>
        <v>1.15723738154062</v>
      </c>
      <c r="E4" s="13" t="n">
        <f aca="false">0.5*Datos!$C$5*D4^2</f>
        <v>3.21407605736398</v>
      </c>
      <c r="F4" s="7"/>
      <c r="G4" s="2" t="s">
        <v>199</v>
      </c>
      <c r="H4" s="12" t="n">
        <f aca="false">Datos!$C$2/Datos!$C$3</f>
        <v>8</v>
      </c>
    </row>
    <row r="5" customFormat="false" ht="15" hidden="false" customHeight="false" outlineLevel="0" collapsed="false">
      <c r="A5" s="7" t="n">
        <v>0.75</v>
      </c>
      <c r="B5" s="12" t="n">
        <f aca="false">$H$3*(1-EXP(-A5/$H$1))</f>
        <v>1.49686396158164</v>
      </c>
      <c r="C5" s="13" t="n">
        <f aca="false">0.5*Datos!$C$5*B5^2</f>
        <v>5.37744412675648</v>
      </c>
      <c r="D5" s="12" t="n">
        <f aca="false">$H$4*(1-EXP(-A5/$H$2))</f>
        <v>1.67147911319763</v>
      </c>
      <c r="E5" s="13" t="n">
        <f aca="false">0.5*Datos!$C$5*D5^2</f>
        <v>6.70522182205426</v>
      </c>
      <c r="F5" s="7"/>
      <c r="G5" s="7"/>
      <c r="H5" s="7"/>
    </row>
    <row r="6" customFormat="false" ht="15" hidden="false" customHeight="false" outlineLevel="0" collapsed="false">
      <c r="A6" s="7" t="n">
        <v>1</v>
      </c>
      <c r="B6" s="12" t="n">
        <f aca="false">$H$3*(1-EXP(-A6/$H$1))</f>
        <v>1.85895428592404</v>
      </c>
      <c r="C6" s="13" t="n">
        <f aca="false">0.5*Datos!$C$5*B6^2</f>
        <v>8.29370648917285</v>
      </c>
      <c r="D6" s="12" t="n">
        <f aca="false">$H$4*(1-EXP(-A6/$H$2))</f>
        <v>2.14707496842687</v>
      </c>
      <c r="E6" s="13" t="n">
        <f aca="false">0.5*Datos!$C$5*D6^2</f>
        <v>11.0638342081085</v>
      </c>
      <c r="F6" s="7"/>
      <c r="G6" s="7"/>
      <c r="H6" s="7"/>
    </row>
    <row r="7" customFormat="false" ht="15" hidden="false" customHeight="false" outlineLevel="0" collapsed="false">
      <c r="A7" s="7" t="n">
        <v>1.25</v>
      </c>
      <c r="B7" s="12" t="n">
        <f aca="false">$H$3*(1-EXP(-A7/$H$1))</f>
        <v>2.16866655291354</v>
      </c>
      <c r="C7" s="13" t="n">
        <f aca="false">0.5*Datos!$C$5*B7^2</f>
        <v>11.2874750825422</v>
      </c>
      <c r="D7" s="12" t="n">
        <f aca="false">$H$4*(1-EXP(-A7/$H$2))</f>
        <v>2.58692923070617</v>
      </c>
      <c r="E7" s="13" t="n">
        <f aca="false">0.5*Datos!$C$5*D7^2</f>
        <v>16.0612868272368</v>
      </c>
      <c r="F7" s="7"/>
      <c r="G7" s="7"/>
      <c r="H7" s="7"/>
    </row>
    <row r="8" customFormat="false" ht="15" hidden="false" customHeight="false" outlineLevel="0" collapsed="false">
      <c r="A8" s="7" t="n">
        <v>1.5</v>
      </c>
      <c r="B8" s="12" t="n">
        <f aca="false">$H$3*(1-EXP(-A8/$H$1))</f>
        <v>2.4335774932928</v>
      </c>
      <c r="C8" s="13" t="n">
        <f aca="false">0.5*Datos!$C$5*B8^2</f>
        <v>14.2135185980671</v>
      </c>
      <c r="D8" s="12" t="n">
        <f aca="false">$H$4*(1-EXP(-A8/$H$2))</f>
        <v>2.99372792316327</v>
      </c>
      <c r="E8" s="13" t="n">
        <f aca="false">0.5*Datos!$C$5*D8^2</f>
        <v>21.5097765070259</v>
      </c>
      <c r="F8" s="7"/>
      <c r="G8" s="7"/>
      <c r="H8" s="7"/>
    </row>
    <row r="9" customFormat="false" ht="15" hidden="false" customHeight="false" outlineLevel="0" collapsed="false">
      <c r="A9" s="7" t="n">
        <v>1.75</v>
      </c>
      <c r="B9" s="12" t="n">
        <f aca="false">$H$3*(1-EXP(-A9/$H$1))</f>
        <v>2.66016782829882</v>
      </c>
      <c r="C9" s="13" t="n">
        <f aca="false">0.5*Datos!$C$5*B9^2</f>
        <v>16.9835828993185</v>
      </c>
      <c r="D9" s="12" t="n">
        <f aca="false">$H$4*(1-EXP(-A9/$H$2))</f>
        <v>3.36995521110013</v>
      </c>
      <c r="E9" s="13" t="n">
        <f aca="false">0.5*Datos!$C$5*D9^2</f>
        <v>27.2558354995701</v>
      </c>
      <c r="F9" s="7"/>
      <c r="G9" s="7"/>
      <c r="H9" s="7"/>
    </row>
    <row r="10" customFormat="false" ht="15" hidden="false" customHeight="false" outlineLevel="0" collapsed="false">
      <c r="A10" s="7" t="n">
        <v>2</v>
      </c>
      <c r="B10" s="12" t="n">
        <f aca="false">$H$3*(1-EXP(-A10/$H$1))</f>
        <v>2.85398081255924</v>
      </c>
      <c r="C10" s="13" t="n">
        <f aca="false">0.5*Datos!$C$5*B10^2</f>
        <v>19.5484955482951</v>
      </c>
      <c r="D10" s="12" t="n">
        <f aca="false">$H$4*(1-EXP(-A10/$H$2))</f>
        <v>3.71790857184808</v>
      </c>
      <c r="E10" s="13" t="n">
        <f aca="false">0.5*Datos!$C$5*D10^2</f>
        <v>33.1748259566914</v>
      </c>
      <c r="F10" s="7"/>
      <c r="G10" s="7"/>
      <c r="H10" s="7"/>
    </row>
    <row r="11" customFormat="false" ht="15" hidden="false" customHeight="false" outlineLevel="0" collapsed="false">
      <c r="A11" s="7" t="n">
        <v>2.25</v>
      </c>
      <c r="B11" s="12" t="n">
        <f aca="false">$H$3*(1-EXP(-A11/$H$1))</f>
        <v>3.0197578430179</v>
      </c>
      <c r="C11" s="13" t="n">
        <f aca="false">0.5*Datos!$C$5*B11^2</f>
        <v>21.8854498331234</v>
      </c>
      <c r="D11" s="12" t="n">
        <f aca="false">$H$4*(1-EXP(-A11/$H$2))</f>
        <v>4.03971282459041</v>
      </c>
      <c r="E11" s="13" t="n">
        <f aca="false">0.5*Datos!$C$5*D11^2</f>
        <v>39.1662712923846</v>
      </c>
      <c r="F11" s="7"/>
      <c r="G11" s="7"/>
      <c r="H11" s="7"/>
    </row>
    <row r="12" customFormat="false" ht="15" hidden="false" customHeight="false" outlineLevel="0" collapsed="false">
      <c r="A12" s="7" t="n">
        <v>2.5</v>
      </c>
      <c r="B12" s="12" t="n">
        <f aca="false">$H$3*(1-EXP(-A12/$H$1))</f>
        <v>3.16155445139561</v>
      </c>
      <c r="C12" s="13" t="n">
        <f aca="false">0.5*Datos!$C$5*B12^2</f>
        <v>23.9890237179345</v>
      </c>
      <c r="D12" s="12" t="n">
        <f aca="false">$H$4*(1-EXP(-A12/$H$2))</f>
        <v>4.33733310582709</v>
      </c>
      <c r="E12" s="13" t="n">
        <f aca="false">0.5*Datos!$C$5*D12^2</f>
        <v>45.1499003301687</v>
      </c>
      <c r="F12" s="7"/>
      <c r="G12" s="7"/>
      <c r="H12" s="7"/>
    </row>
    <row r="13" customFormat="false" ht="15" hidden="false" customHeight="false" outlineLevel="0" collapsed="false">
      <c r="A13" s="7" t="n">
        <v>2.75</v>
      </c>
      <c r="B13" s="12" t="n">
        <f aca="false">$H$3*(1-EXP(-A13/$H$1))</f>
        <v>3.28283951779953</v>
      </c>
      <c r="C13" s="13" t="n">
        <f aca="false">0.5*Datos!$C$5*B13^2</f>
        <v>25.8648847191029</v>
      </c>
      <c r="D13" s="12" t="n">
        <f aca="false">$H$4*(1-EXP(-A13/$H$2))</f>
        <v>4.6125868697179</v>
      </c>
      <c r="E13" s="13" t="n">
        <f aca="false">0.5*Datos!$C$5*D13^2</f>
        <v>51.0622983136655</v>
      </c>
      <c r="F13" s="7"/>
      <c r="G13" s="7"/>
      <c r="H13" s="7"/>
    </row>
    <row r="14" customFormat="false" ht="15" hidden="false" customHeight="false" outlineLevel="0" collapsed="false">
      <c r="A14" s="7" t="n">
        <v>3</v>
      </c>
      <c r="B14" s="12" t="n">
        <f aca="false">$H$3*(1-EXP(-A14/$H$1))</f>
        <v>3.38658013262029</v>
      </c>
      <c r="C14" s="13" t="n">
        <f aca="false">0.5*Datos!$C$5*B14^2</f>
        <v>27.5254199871802</v>
      </c>
      <c r="D14" s="12" t="n">
        <f aca="false">$H$4*(1-EXP(-A14/$H$2))</f>
        <v>4.86715498658561</v>
      </c>
      <c r="E14" s="13" t="n">
        <f aca="false">0.5*Datos!$C$5*D14^2</f>
        <v>56.8540743922684</v>
      </c>
      <c r="F14" s="7"/>
      <c r="G14" s="7"/>
      <c r="H14" s="7"/>
    </row>
    <row r="15" customFormat="false" ht="15" hidden="false" customHeight="false" outlineLevel="0" collapsed="false">
      <c r="A15" s="7" t="n">
        <v>3.25</v>
      </c>
      <c r="B15" s="12" t="n">
        <f aca="false">$H$3*(1-EXP(-A15/$H$1))</f>
        <v>3.47531418275922</v>
      </c>
      <c r="C15" s="13" t="n">
        <f aca="false">0.5*Datos!$C$5*B15^2</f>
        <v>28.9867408053298</v>
      </c>
      <c r="D15" s="12" t="n">
        <f aca="false">$H$4*(1-EXP(-A15/$H$2))</f>
        <v>5.10259200735339</v>
      </c>
      <c r="E15" s="13" t="n">
        <f aca="false">0.5*Datos!$C$5*D15^2</f>
        <v>62.4874684644162</v>
      </c>
      <c r="F15" s="7"/>
      <c r="G15" s="7"/>
      <c r="H15" s="7"/>
    </row>
    <row r="16" customFormat="false" ht="15" hidden="false" customHeight="false" outlineLevel="0" collapsed="false">
      <c r="A16" s="7" t="n">
        <v>3.5</v>
      </c>
      <c r="B16" s="12" t="n">
        <f aca="false">$H$3*(1-EXP(-A16/$H$1))</f>
        <v>3.55121243791863</v>
      </c>
      <c r="C16" s="13" t="n">
        <f aca="false">0.5*Datos!$C$5*B16^2</f>
        <v>30.2666634701471</v>
      </c>
      <c r="D16" s="12" t="n">
        <f aca="false">$H$4*(1-EXP(-A16/$H$2))</f>
        <v>5.32033565659764</v>
      </c>
      <c r="E16" s="13" t="n">
        <f aca="false">0.5*Datos!$C$5*D16^2</f>
        <v>67.9343315972742</v>
      </c>
      <c r="F16" s="7"/>
      <c r="G16" s="7"/>
      <c r="H16" s="7"/>
    </row>
    <row r="17" customFormat="false" ht="15" hidden="false" customHeight="false" outlineLevel="0" collapsed="false">
      <c r="A17" s="7" t="n">
        <v>3.75</v>
      </c>
      <c r="B17" s="12" t="n">
        <f aca="false">$H$3*(1-EXP(-A17/$H$1))</f>
        <v>3.61613165582001</v>
      </c>
      <c r="C17" s="13" t="n">
        <f aca="false">0.5*Datos!$C$5*B17^2</f>
        <v>31.3833795653365</v>
      </c>
      <c r="D17" s="12" t="n">
        <f aca="false">$H$4*(1-EXP(-A17/$H$2))</f>
        <v>5.52171561218655</v>
      </c>
      <c r="E17" s="13" t="n">
        <f aca="false">0.5*Datos!$C$5*D17^2</f>
        <v>73.1744239244752</v>
      </c>
      <c r="F17" s="7"/>
      <c r="G17" s="7"/>
      <c r="H17" s="7"/>
    </row>
    <row r="18" customFormat="false" ht="15" hidden="false" customHeight="false" outlineLevel="0" collapsed="false">
      <c r="A18" s="7" t="n">
        <v>4</v>
      </c>
      <c r="B18" s="12" t="n">
        <f aca="false">$H$3*(1-EXP(-A18/$H$1))</f>
        <v>3.6716600055044</v>
      </c>
      <c r="C18" s="13" t="n">
        <f aca="false">0.5*Datos!$C$5*B18^2</f>
        <v>32.3546092704495</v>
      </c>
      <c r="D18" s="12" t="n">
        <f aca="false">$H$4*(1-EXP(-A18/$H$2))</f>
        <v>5.70796162511848</v>
      </c>
      <c r="E18" s="13" t="n">
        <f aca="false">0.5*Datos!$C$5*D18^2</f>
        <v>78.1939821931805</v>
      </c>
      <c r="F18" s="7"/>
      <c r="G18" s="7"/>
      <c r="H18" s="7"/>
    </row>
    <row r="19" customFormat="false" ht="15" hidden="false" customHeight="false" outlineLevel="0" collapsed="false">
      <c r="A19" s="7" t="n">
        <v>4.25</v>
      </c>
      <c r="B19" s="12" t="n">
        <f aca="false">$H$3*(1-EXP(-A19/$H$1))</f>
        <v>3.71915591994005</v>
      </c>
      <c r="C19" s="13" t="n">
        <f aca="false">0.5*Datos!$C$5*B19^2</f>
        <v>33.1970898163803</v>
      </c>
      <c r="D19" s="12" t="n">
        <f aca="false">$H$4*(1-EXP(-A19/$H$2))</f>
        <v>5.88021102914483</v>
      </c>
      <c r="E19" s="13" t="n">
        <f aca="false">0.5*Datos!$C$5*D19^2</f>
        <v>82.9845161934635</v>
      </c>
      <c r="F19" s="7"/>
      <c r="G19" s="7"/>
      <c r="H19" s="7"/>
    </row>
    <row r="20" customFormat="false" ht="15" hidden="false" customHeight="false" outlineLevel="0" collapsed="false">
      <c r="A20" s="7" t="n">
        <v>4.5</v>
      </c>
      <c r="B20" s="12" t="n">
        <f aca="false">$H$3*(1-EXP(-A20/$H$1))</f>
        <v>3.75978132841877</v>
      </c>
      <c r="C20" s="13" t="n">
        <f aca="false">0.5*Datos!$C$5*B20^2</f>
        <v>33.9262935300634</v>
      </c>
      <c r="D20" s="12" t="n">
        <f aca="false">$H$4*(1-EXP(-A20/$H$2))</f>
        <v>6.03951568603579</v>
      </c>
      <c r="E20" s="13" t="n">
        <f aca="false">0.5*Datos!$C$5*D20^2</f>
        <v>87.5417993324938</v>
      </c>
      <c r="F20" s="7"/>
      <c r="G20" s="7"/>
      <c r="H20" s="7"/>
    </row>
    <row r="21" customFormat="false" ht="15" hidden="false" customHeight="false" outlineLevel="0" collapsed="false">
      <c r="A21" s="7" t="n">
        <v>4.75</v>
      </c>
      <c r="B21" s="12" t="n">
        <f aca="false">$H$3*(1-EXP(-A21/$H$1))</f>
        <v>3.794530081731</v>
      </c>
      <c r="C21" s="13" t="n">
        <f aca="false">0.5*Datos!$C$5*B21^2</f>
        <v>34.5563004987875</v>
      </c>
      <c r="D21" s="12" t="n">
        <f aca="false">$H$4*(1-EXP(-A21/$H$2))</f>
        <v>6.18684840890122</v>
      </c>
      <c r="E21" s="13" t="n">
        <f aca="false">0.5*Datos!$C$5*D21^2</f>
        <v>91.8650237633365</v>
      </c>
      <c r="F21" s="7"/>
      <c r="G21" s="7"/>
      <c r="H21" s="7"/>
    </row>
    <row r="22" customFormat="false" ht="15" hidden="false" customHeight="false" outlineLevel="0" collapsed="false">
      <c r="A22" s="7" t="n">
        <v>5</v>
      </c>
      <c r="B22" s="12" t="n">
        <f aca="false">$H$3*(1-EXP(-A22/$H$1))</f>
        <v>3.82425226550637</v>
      </c>
      <c r="C22" s="13" t="n">
        <f aca="false">0.5*Datos!$C$5*B22^2</f>
        <v>35.0997729365535</v>
      </c>
      <c r="D22" s="12" t="n">
        <f aca="false">$H$4*(1-EXP(-A22/$H$2))</f>
        <v>6.32310890279122</v>
      </c>
      <c r="E22" s="13" t="n">
        <f aca="false">0.5*Datos!$C$5*D22^2</f>
        <v>95.9560948717381</v>
      </c>
      <c r="F22" s="7"/>
      <c r="G22" s="7"/>
      <c r="H22" s="7"/>
    </row>
    <row r="23" customFormat="false" ht="15" hidden="false" customHeight="false" outlineLevel="0" collapsed="false">
      <c r="A23" s="7" t="n">
        <v>5.25</v>
      </c>
      <c r="B23" s="12" t="n">
        <f aca="false">$H$3*(1-EXP(-A23/$H$1))</f>
        <v>3.84967499651601</v>
      </c>
      <c r="C23" s="13" t="n">
        <f aca="false">0.5*Datos!$C$5*B23^2</f>
        <v>35.5679941891213</v>
      </c>
      <c r="D23" s="12" t="n">
        <f aca="false">$H$4*(1-EXP(-A23/$H$2))</f>
        <v>6.44912925885364</v>
      </c>
      <c r="E23" s="13" t="n">
        <f aca="false">0.5*Datos!$C$5*D23^2</f>
        <v>99.819043673765</v>
      </c>
      <c r="F23" s="7"/>
      <c r="G23" s="7"/>
      <c r="H23" s="7"/>
    </row>
    <row r="24" customFormat="false" ht="15" hidden="false" customHeight="false" outlineLevel="0" collapsed="false">
      <c r="A24" s="7" t="n">
        <v>5.5</v>
      </c>
      <c r="B24" s="12" t="n">
        <f aca="false">$H$3*(1-EXP(-A24/$H$1))</f>
        <v>3.8714202106925</v>
      </c>
      <c r="C24" s="13" t="n">
        <f aca="false">0.5*Datos!$C$5*B24^2</f>
        <v>35.97094667462</v>
      </c>
      <c r="D24" s="12" t="n">
        <f aca="false">$H$4*(1-EXP(-A24/$H$2))</f>
        <v>6.56567903559905</v>
      </c>
      <c r="E24" s="13" t="n">
        <f aca="false">0.5*Datos!$C$5*D24^2</f>
        <v>103.459538876412</v>
      </c>
      <c r="F24" s="7"/>
      <c r="G24" s="7"/>
      <c r="H24" s="7"/>
    </row>
    <row r="25" customFormat="false" ht="15" hidden="false" customHeight="false" outlineLevel="0" collapsed="false">
      <c r="A25" s="7" t="n">
        <v>5.75</v>
      </c>
      <c r="B25" s="12" t="n">
        <f aca="false">$H$3*(1-EXP(-A25/$H$1))</f>
        <v>3.89001987802965</v>
      </c>
      <c r="C25" s="13" t="n">
        <f aca="false">0.5*Datos!$C$5*B25^2</f>
        <v>36.317411163518</v>
      </c>
      <c r="D25" s="12" t="n">
        <f aca="false">$H$4*(1-EXP(-A25/$H$2))</f>
        <v>6.67346995830266</v>
      </c>
      <c r="E25" s="13" t="n">
        <f aca="false">0.5*Datos!$C$5*D25^2</f>
        <v>106.884483082483</v>
      </c>
      <c r="F25" s="7"/>
      <c r="G25" s="7"/>
      <c r="H25" s="7"/>
    </row>
    <row r="26" customFormat="false" ht="15" hidden="false" customHeight="false" outlineLevel="0" collapsed="false">
      <c r="A26" s="7" t="n">
        <v>6</v>
      </c>
      <c r="B26" s="12" t="n">
        <f aca="false">$H$3*(1-EXP(-A26/$H$1))</f>
        <v>3.90592901657596</v>
      </c>
      <c r="C26" s="13" t="n">
        <f aca="false">0.5*Datos!$C$5*B26^2</f>
        <v>36.6150755580722</v>
      </c>
      <c r="D26" s="12" t="n">
        <f aca="false">$H$4*(1-EXP(-A26/$H$2))</f>
        <v>6.77316026524057</v>
      </c>
      <c r="E26" s="13" t="n">
        <f aca="false">0.5*Datos!$C$5*D26^2</f>
        <v>110.101679948721</v>
      </c>
      <c r="F26" s="7"/>
      <c r="G26" s="7"/>
      <c r="H26" s="7"/>
    </row>
    <row r="27" customFormat="false" ht="15" hidden="false" customHeight="false" outlineLevel="0" collapsed="false">
      <c r="A27" s="7" t="n">
        <v>6.25</v>
      </c>
      <c r="B27" s="12" t="n">
        <f aca="false">$H$3*(1-EXP(-A27/$H$1))</f>
        <v>3.91953682389304</v>
      </c>
      <c r="C27" s="13" t="n">
        <f aca="false">0.5*Datos!$C$5*B27^2</f>
        <v>36.8706453932484</v>
      </c>
      <c r="D27" s="12" t="n">
        <f aca="false">$H$4*(1-EXP(-A27/$H$2))</f>
        <v>6.86535872730126</v>
      </c>
      <c r="E27" s="13" t="n">
        <f aca="false">0.5*Datos!$C$5*D27^2</f>
        <v>113.119561090876</v>
      </c>
      <c r="F27" s="7"/>
      <c r="G27" s="7"/>
      <c r="H27" s="7"/>
    </row>
    <row r="28" customFormat="false" ht="15" hidden="false" customHeight="false" outlineLevel="0" collapsed="false">
      <c r="A28" s="7" t="n">
        <v>6.5</v>
      </c>
      <c r="B28" s="12" t="n">
        <f aca="false">$H$3*(1-EXP(-A28/$H$1))</f>
        <v>3.93117619829659</v>
      </c>
      <c r="C28" s="13" t="n">
        <f aca="false">0.5*Datos!$C$5*B28^2</f>
        <v>37.0899511249288</v>
      </c>
      <c r="D28" s="12" t="n">
        <f aca="false">$H$4*(1-EXP(-A28/$H$2))</f>
        <v>6.95062836551845</v>
      </c>
      <c r="E28" s="13" t="n">
        <f aca="false">0.5*Datos!$C$5*D28^2</f>
        <v>115.946963221319</v>
      </c>
      <c r="F28" s="7"/>
      <c r="G28" s="7"/>
      <c r="H28" s="7"/>
    </row>
    <row r="29" customFormat="false" ht="15" hidden="false" customHeight="false" outlineLevel="0" collapsed="false">
      <c r="A29" s="7" t="n">
        <v>6.75</v>
      </c>
      <c r="B29" s="12" t="n">
        <f aca="false">$H$3*(1-EXP(-A29/$H$1))</f>
        <v>3.94113188280546</v>
      </c>
      <c r="C29" s="13" t="n">
        <f aca="false">0.5*Datos!$C$5*B29^2</f>
        <v>37.2780492423977</v>
      </c>
      <c r="D29" s="12" t="n">
        <f aca="false">$H$4*(1-EXP(-A29/$H$2))</f>
        <v>7.02948988922699</v>
      </c>
      <c r="E29" s="13" t="n">
        <f aca="false">0.5*Datos!$C$5*D29^2</f>
        <v>118.592947446587</v>
      </c>
      <c r="F29" s="7"/>
      <c r="G29" s="7"/>
      <c r="H29" s="7"/>
    </row>
    <row r="30" customFormat="false" ht="15" hidden="false" customHeight="false" outlineLevel="0" collapsed="false">
      <c r="A30" s="7" t="n">
        <v>7</v>
      </c>
      <c r="B30" s="12" t="n">
        <f aca="false">$H$3*(1-EXP(-A30/$H$1))</f>
        <v>3.94964743103026</v>
      </c>
      <c r="C30" s="13" t="n">
        <f aca="false">0.5*Datos!$C$5*B30^2</f>
        <v>37.4393155906655</v>
      </c>
      <c r="D30" s="12" t="n">
        <f aca="false">$H$4*(1-EXP(-A30/$H$2))</f>
        <v>7.10242487583725</v>
      </c>
      <c r="E30" s="13" t="n">
        <f aca="false">0.5*Datos!$C$5*D30^2</f>
        <v>121.066653880588</v>
      </c>
      <c r="F30" s="7"/>
      <c r="G30" s="7"/>
      <c r="H30" s="7"/>
    </row>
    <row r="31" customFormat="false" ht="15" hidden="false" customHeight="false" outlineLevel="0" collapsed="false">
      <c r="A31" s="7" t="n">
        <v>7.25</v>
      </c>
      <c r="B31" s="12" t="n">
        <f aca="false">$H$3*(1-EXP(-A31/$H$1))</f>
        <v>3.95693116541381</v>
      </c>
      <c r="C31" s="13" t="n">
        <f aca="false">0.5*Datos!$C$5*B31^2</f>
        <v>37.5775301947755</v>
      </c>
      <c r="D31" s="12" t="n">
        <f aca="false">$H$4*(1-EXP(-A31/$H$2))</f>
        <v>7.16987871164569</v>
      </c>
      <c r="E31" s="13" t="n">
        <f aca="false">0.5*Datos!$C$5*D31^2</f>
        <v>123.377185775304</v>
      </c>
      <c r="F31" s="7"/>
      <c r="G31" s="7"/>
      <c r="H31" s="7"/>
    </row>
    <row r="32" customFormat="false" ht="15" hidden="false" customHeight="false" outlineLevel="0" collapsed="false">
      <c r="A32" s="7" t="n">
        <v>7.5</v>
      </c>
      <c r="B32" s="12" t="n">
        <f aca="false">$H$3*(1-EXP(-A32/$H$1))</f>
        <v>3.96316127358413</v>
      </c>
      <c r="C32" s="13" t="n">
        <f aca="false">0.5*Datos!$C$5*B32^2</f>
        <v>37.6959534730487</v>
      </c>
      <c r="D32" s="12" t="n">
        <f aca="false">$H$4*(1-EXP(-A32/$H$2))</f>
        <v>7.23226331164001</v>
      </c>
      <c r="E32" s="13" t="n">
        <f aca="false">0.5*Datos!$C$5*D32^2</f>
        <v>125.533518261346</v>
      </c>
      <c r="F32" s="7"/>
      <c r="G32" s="7"/>
      <c r="H32" s="7"/>
    </row>
    <row r="33" customFormat="false" ht="15" hidden="false" customHeight="false" outlineLevel="0" collapsed="false">
      <c r="A33" s="7" t="n">
        <v>7.75</v>
      </c>
      <c r="B33" s="12" t="n">
        <f aca="false">$H$3*(1-EXP(-A33/$H$1))</f>
        <v>3.96849016749623</v>
      </c>
      <c r="C33" s="13" t="n">
        <f aca="false">0.5*Datos!$C$5*B33^2</f>
        <v>37.7973941028342</v>
      </c>
      <c r="D33" s="12" t="n">
        <f aca="false">$H$4*(1-EXP(-A33/$H$2))</f>
        <v>7.28995963490773</v>
      </c>
      <c r="E33" s="13" t="n">
        <f aca="false">0.5*Datos!$C$5*D33^2</f>
        <v>127.544427548602</v>
      </c>
      <c r="F33" s="7"/>
      <c r="G33" s="7"/>
      <c r="H33" s="7"/>
    </row>
    <row r="34" customFormat="false" ht="15" hidden="false" customHeight="false" outlineLevel="0" collapsed="false">
      <c r="A34" s="7" t="n">
        <v>8</v>
      </c>
      <c r="B34" s="12" t="n">
        <f aca="false">$H$3*(1-EXP(-A34/$H$1))</f>
        <v>3.97304821200366</v>
      </c>
      <c r="C34" s="13" t="n">
        <f aca="false">0.5*Datos!$C$5*B34^2</f>
        <v>37.8842690277731</v>
      </c>
      <c r="D34" s="12" t="n">
        <f aca="false">$H$4*(1-EXP(-A34/$H$2))</f>
        <v>7.34332001100881</v>
      </c>
      <c r="E34" s="13" t="n">
        <f aca="false">0.5*Datos!$C$5*D34^2</f>
        <v>129.418437081798</v>
      </c>
      <c r="F34" s="7"/>
      <c r="G34" s="7"/>
      <c r="H34" s="7"/>
    </row>
    <row r="35" customFormat="false" ht="15" hidden="false" customHeight="false" outlineLevel="0" collapsed="false">
      <c r="A35" s="7" t="n">
        <v>8.25</v>
      </c>
      <c r="B35" s="12" t="n">
        <f aca="false">$H$3*(1-EXP(-A35/$H$1))</f>
        <v>3.97694691407475</v>
      </c>
      <c r="C35" s="13" t="n">
        <f aca="false">0.5*Datos!$C$5*B35^2</f>
        <v>37.9586562176848</v>
      </c>
      <c r="D35" s="12" t="n">
        <f aca="false">$H$4*(1-EXP(-A35/$H$2))</f>
        <v>7.39267029151867</v>
      </c>
      <c r="E35" s="13" t="n">
        <f aca="false">0.5*Datos!$C$5*D35^2</f>
        <v>131.163777693846</v>
      </c>
      <c r="F35" s="7"/>
      <c r="G35" s="7"/>
      <c r="H35" s="7"/>
    </row>
    <row r="36" customFormat="false" ht="15" hidden="false" customHeight="false" outlineLevel="0" collapsed="false">
      <c r="A36" s="7" t="n">
        <v>8.5</v>
      </c>
      <c r="B36" s="12" t="n">
        <f aca="false">$H$3*(1-EXP(-A36/$H$1))</f>
        <v>3.98028165067382</v>
      </c>
      <c r="C36" s="13" t="n">
        <f aca="false">0.5*Datos!$C$5*B36^2</f>
        <v>38.0223408448577</v>
      </c>
      <c r="D36" s="12" t="n">
        <f aca="false">$H$4*(1-EXP(-A36/$H$2))</f>
        <v>7.4383118398801</v>
      </c>
      <c r="E36" s="13" t="n">
        <f aca="false">0.5*Datos!$C$5*D36^2</f>
        <v>132.788359265521</v>
      </c>
      <c r="F36" s="7"/>
      <c r="G36" s="7"/>
      <c r="H36" s="7"/>
    </row>
    <row r="37" customFormat="false" ht="15" hidden="false" customHeight="false" outlineLevel="0" collapsed="false">
      <c r="A37" s="7" t="n">
        <v>8.75</v>
      </c>
      <c r="B37" s="12" t="n">
        <f aca="false">$H$3*(1-EXP(-A37/$H$1))</f>
        <v>3.98313400204164</v>
      </c>
      <c r="C37" s="13" t="n">
        <f aca="false">0.5*Datos!$C$5*B37^2</f>
        <v>38.0768555477285</v>
      </c>
      <c r="D37" s="12" t="n">
        <f aca="false">$H$4*(1-EXP(-A37/$H$2))</f>
        <v>7.48052337171551</v>
      </c>
      <c r="E37" s="13" t="n">
        <f aca="false">0.5*Datos!$C$5*D37^2</f>
        <v>134.299751795477</v>
      </c>
      <c r="F37" s="7"/>
      <c r="G37" s="7"/>
      <c r="H37" s="7"/>
    </row>
    <row r="38" customFormat="false" ht="15" hidden="false" customHeight="false" outlineLevel="0" collapsed="false">
      <c r="A38" s="7" t="n">
        <v>9</v>
      </c>
      <c r="B38" s="12" t="n">
        <f aca="false">$H$3*(1-EXP(-A38/$H$1))</f>
        <v>3.98557374745594</v>
      </c>
      <c r="C38" s="13" t="n">
        <f aca="false">0.5*Datos!$C$5*B38^2</f>
        <v>38.1235154313839</v>
      </c>
      <c r="D38" s="12" t="n">
        <f aca="false">$H$4*(1-EXP(-A38/$H$2))</f>
        <v>7.51956265683754</v>
      </c>
      <c r="E38" s="13" t="n">
        <f aca="false">0.5*Datos!$C$5*D38^2</f>
        <v>135.705174120253</v>
      </c>
      <c r="F38" s="7"/>
      <c r="G38" s="7"/>
      <c r="H38" s="7"/>
    </row>
    <row r="39" customFormat="false" ht="15" hidden="false" customHeight="false" outlineLevel="0" collapsed="false">
      <c r="A39" s="7" t="n">
        <v>9.25</v>
      </c>
      <c r="B39" s="12" t="n">
        <f aca="false">$H$3*(1-EXP(-A39/$H$1))</f>
        <v>3.98766057229588</v>
      </c>
      <c r="C39" s="13" t="n">
        <f aca="false">0.5*Datos!$C$5*B39^2</f>
        <v>38.1634484156234</v>
      </c>
      <c r="D39" s="12" t="n">
        <f aca="false">$H$4*(1-EXP(-A39/$H$2))</f>
        <v>7.55566809335145</v>
      </c>
      <c r="E39" s="13" t="n">
        <f aca="false">0.5*Datos!$C$5*D39^2</f>
        <v>137.011488808534</v>
      </c>
      <c r="F39" s="7"/>
      <c r="G39" s="7"/>
      <c r="H39" s="7"/>
    </row>
    <row r="40" customFormat="false" ht="15" hidden="false" customHeight="false" outlineLevel="0" collapsed="false">
      <c r="A40" s="7" t="n">
        <v>9.5</v>
      </c>
      <c r="B40" s="12" t="n">
        <f aca="false">$H$3*(1-EXP(-A40/$H$1))</f>
        <v>3.98944552817163</v>
      </c>
      <c r="C40" s="13" t="n">
        <f aca="false">0.5*Datos!$C$5*B40^2</f>
        <v>38.1976214933967</v>
      </c>
      <c r="D40" s="12" t="n">
        <f aca="false">$H$4*(1-EXP(-A40/$H$2))</f>
        <v>7.58906016346199</v>
      </c>
      <c r="E40" s="13" t="n">
        <f aca="false">0.5*Datos!$C$5*D40^2</f>
        <v>138.22520199515</v>
      </c>
      <c r="F40" s="7"/>
      <c r="G40" s="7"/>
      <c r="H40" s="7"/>
    </row>
    <row r="41" customFormat="false" ht="15" hidden="false" customHeight="false" outlineLevel="0" collapsed="false">
      <c r="A41" s="7" t="n">
        <v>9.75</v>
      </c>
      <c r="B41" s="12" t="n">
        <f aca="false">$H$3*(1-EXP(-A41/$H$1))</f>
        <v>3.99097228183941</v>
      </c>
      <c r="C41" s="13" t="n">
        <f aca="false">0.5*Datos!$C$5*B41^2</f>
        <v>38.2268634105851</v>
      </c>
      <c r="D41" s="12" t="n">
        <f aca="false">$H$4*(1-EXP(-A41/$H$2))</f>
        <v>7.61994277987456</v>
      </c>
      <c r="E41" s="13" t="n">
        <f aca="false">0.5*Datos!$C$5*D41^2</f>
        <v>139.35246712455</v>
      </c>
      <c r="F41" s="7"/>
      <c r="G41" s="7"/>
      <c r="H41" s="7"/>
    </row>
    <row r="42" customFormat="false" ht="15" hidden="false" customHeight="false" outlineLevel="0" collapsed="false">
      <c r="A42" s="7" t="n">
        <v>10</v>
      </c>
      <c r="B42" s="12" t="n">
        <f aca="false">$H$3*(1-EXP(-A42/$H$1))</f>
        <v>3.99227818345509</v>
      </c>
      <c r="C42" s="13" t="n">
        <f aca="false">0.5*Datos!$C$5*B42^2</f>
        <v>38.2518842258195</v>
      </c>
      <c r="D42" s="12" t="n">
        <f aca="false">$H$4*(1-EXP(-A42/$H$2))</f>
        <v>7.64850453101274</v>
      </c>
      <c r="E42" s="13" t="n">
        <f aca="false">0.5*Datos!$C$5*D42^2</f>
        <v>140.399091746214</v>
      </c>
      <c r="F42" s="7"/>
      <c r="G42" s="7"/>
      <c r="H42" s="7"/>
    </row>
    <row r="43" customFormat="false" ht="15" hidden="false" customHeight="false" outlineLevel="0" collapsed="false">
      <c r="A43" s="7" t="n">
        <v>10.25</v>
      </c>
      <c r="B43" s="12" t="n">
        <f aca="false">$H$3*(1-EXP(-A43/$H$1))</f>
        <v>3.99339518029999</v>
      </c>
      <c r="C43" s="13" t="n">
        <f aca="false">0.5*Datos!$C$5*B43^2</f>
        <v>38.2732921585036</v>
      </c>
      <c r="D43" s="12" t="n">
        <f aca="false">$H$4*(1-EXP(-A43/$H$2))</f>
        <v>7.67491983265626</v>
      </c>
      <c r="E43" s="13" t="n">
        <f aca="false">0.5*Datos!$C$5*D43^2</f>
        <v>141.370546650481</v>
      </c>
      <c r="F43" s="7"/>
      <c r="G43" s="7"/>
      <c r="H43" s="7"/>
    </row>
    <row r="44" customFormat="false" ht="15" hidden="false" customHeight="false" outlineLevel="0" collapsed="false">
      <c r="A44" s="7" t="n">
        <v>10.5</v>
      </c>
      <c r="B44" s="12" t="n">
        <f aca="false">$H$3*(1-EXP(-A44/$H$1))</f>
        <v>3.99435059833188</v>
      </c>
      <c r="C44" s="13" t="n">
        <f aca="false">0.5*Datos!$C$5*B44^2</f>
        <v>38.2916080857463</v>
      </c>
      <c r="D44" s="12" t="n">
        <f aca="false">$H$4*(1-EXP(-A44/$H$2))</f>
        <v>7.69934999303202</v>
      </c>
      <c r="E44" s="13" t="n">
        <f aca="false">0.5*Datos!$C$5*D44^2</f>
        <v>142.271976756485</v>
      </c>
      <c r="F44" s="7"/>
      <c r="G44" s="7"/>
      <c r="H44" s="7"/>
    </row>
    <row r="45" customFormat="false" ht="15" hidden="false" customHeight="false" outlineLevel="0" collapsed="false">
      <c r="A45" s="7" t="n">
        <v>10.75</v>
      </c>
      <c r="B45" s="12" t="n">
        <f aca="false">$H$3*(1-EXP(-A45/$H$1))</f>
        <v>3.99516781068109</v>
      </c>
      <c r="C45" s="13" t="n">
        <f aca="false">0.5*Datos!$C$5*B45^2</f>
        <v>38.3072780052057</v>
      </c>
      <c r="D45" s="12" t="n">
        <f aca="false">$H$4*(1-EXP(-A45/$H$2))</f>
        <v>7.72194419786222</v>
      </c>
      <c r="E45" s="13" t="n">
        <f aca="false">0.5*Datos!$C$5*D45^2</f>
        <v>143.108213267755</v>
      </c>
      <c r="F45" s="7"/>
      <c r="G45" s="7"/>
      <c r="H45" s="7"/>
    </row>
    <row r="46" customFormat="false" ht="15" hidden="false" customHeight="false" outlineLevel="0" collapsed="false">
      <c r="A46" s="7" t="n">
        <v>11</v>
      </c>
      <c r="B46" s="12" t="n">
        <f aca="false">$H$3*(1-EXP(-A46/$H$1))</f>
        <v>3.99586680944541</v>
      </c>
      <c r="C46" s="13" t="n">
        <f aca="false">0.5*Datos!$C$5*B46^2</f>
        <v>38.3206837411858</v>
      </c>
      <c r="D46" s="12" t="n">
        <f aca="false">$H$4*(1-EXP(-A46/$H$2))</f>
        <v>7.74284042138499</v>
      </c>
      <c r="E46" s="13" t="n">
        <f aca="false">0.5*Datos!$C$5*D46^2</f>
        <v>143.88378669848</v>
      </c>
      <c r="F46" s="7"/>
      <c r="G46" s="7"/>
      <c r="H46" s="7"/>
    </row>
    <row r="47" customFormat="false" ht="15" hidden="false" customHeight="false" outlineLevel="0" collapsed="false">
      <c r="A47" s="7" t="n">
        <v>11.25</v>
      </c>
      <c r="B47" s="12" t="n">
        <f aca="false">$H$3*(1-EXP(-A47/$H$1))</f>
        <v>3.99646469477226</v>
      </c>
      <c r="C47" s="13" t="n">
        <f aca="false">0.5*Datos!$C$5*B47^2</f>
        <v>38.3321521357467</v>
      </c>
      <c r="D47" s="12" t="n">
        <f aca="false">$H$4*(1-EXP(-A47/$H$2))</f>
        <v>7.76216626891073</v>
      </c>
      <c r="E47" s="13" t="n">
        <f aca="false">0.5*Datos!$C$5*D47^2</f>
        <v>144.602940446917</v>
      </c>
      <c r="F47" s="7"/>
      <c r="G47" s="7"/>
      <c r="H47" s="7"/>
    </row>
    <row r="48" customFormat="false" ht="15" hidden="false" customHeight="false" outlineLevel="0" collapsed="false">
      <c r="A48" s="7" t="n">
        <v>11.5</v>
      </c>
      <c r="B48" s="12" t="n">
        <f aca="false">$H$3*(1-EXP(-A48/$H$1))</f>
        <v>3.99697609319285</v>
      </c>
      <c r="C48" s="13" t="n">
        <f aca="false">0.5*Datos!$C$5*B48^2</f>
        <v>38.3419629349324</v>
      </c>
      <c r="D48" s="12" t="n">
        <f aca="false">$H$4*(1-EXP(-A48/$H$2))</f>
        <v>7.78003975605931</v>
      </c>
      <c r="E48" s="13" t="n">
        <f aca="false">0.5*Datos!$C$5*D48^2</f>
        <v>145.269644654072</v>
      </c>
      <c r="F48" s="7"/>
      <c r="G48" s="7"/>
      <c r="H48" s="7"/>
    </row>
    <row r="49" customFormat="false" ht="15" hidden="false" customHeight="false" outlineLevel="0" collapsed="false">
      <c r="A49" s="7" t="n">
        <v>11.75</v>
      </c>
      <c r="B49" s="12" t="n">
        <f aca="false">$H$3*(1-EXP(-A49/$H$1))</f>
        <v>3.99741351544229</v>
      </c>
      <c r="C49" s="13" t="n">
        <f aca="false">0.5*Datos!$C$5*B49^2</f>
        <v>38.3503555522576</v>
      </c>
      <c r="D49" s="12" t="n">
        <f aca="false">$H$4*(1-EXP(-A49/$H$2))</f>
        <v>7.7965700294367</v>
      </c>
      <c r="E49" s="13" t="n">
        <f aca="false">0.5*Datos!$C$5*D49^2</f>
        <v>145.887610137386</v>
      </c>
      <c r="F49" s="7"/>
      <c r="G49" s="7"/>
      <c r="H49" s="7"/>
    </row>
    <row r="50" customFormat="false" ht="15" hidden="false" customHeight="false" outlineLevel="0" collapsed="false">
      <c r="A50" s="7" t="n">
        <v>12</v>
      </c>
      <c r="B50" s="12" t="n">
        <f aca="false">$H$3*(1-EXP(-A50/$H$1))</f>
        <v>3.99778766251941</v>
      </c>
      <c r="C50" s="13" t="n">
        <f aca="false">0.5*Datos!$C$5*B50^2</f>
        <v>38.3575348670218</v>
      </c>
      <c r="D50" s="12" t="n">
        <f aca="false">$H$4*(1-EXP(-A50/$H$2))</f>
        <v>7.81185803315193</v>
      </c>
      <c r="E50" s="13" t="n">
        <f aca="false">0.5*Datos!$C$5*D50^2</f>
        <v>146.460302232289</v>
      </c>
      <c r="F50" s="7"/>
      <c r="G50" s="7"/>
      <c r="H50" s="7"/>
    </row>
    <row r="51" customFormat="false" ht="15" hidden="false" customHeight="false" outlineLevel="0" collapsed="false">
      <c r="A51" s="7" t="n">
        <v>12.25</v>
      </c>
      <c r="B51" s="12" t="n">
        <f aca="false">$H$3*(1-EXP(-A51/$H$1))</f>
        <v>3.99810768747355</v>
      </c>
      <c r="C51" s="13" t="n">
        <f aca="false">0.5*Datos!$C$5*B51^2</f>
        <v>38.3636761935242</v>
      </c>
      <c r="D51" s="12" t="n">
        <f aca="false">$H$4*(1-EXP(-A51/$H$2))</f>
        <v>7.8259971252444</v>
      </c>
      <c r="E51" s="13" t="n">
        <f aca="false">0.5*Datos!$C$5*D51^2</f>
        <v>146.990954410401</v>
      </c>
      <c r="F51" s="7"/>
      <c r="G51" s="7"/>
      <c r="H51" s="7"/>
    </row>
    <row r="52" customFormat="false" ht="15" hidden="false" customHeight="false" outlineLevel="0" collapsed="false">
      <c r="A52" s="7" t="n">
        <v>12.5</v>
      </c>
      <c r="B52" s="12" t="n">
        <f aca="false">$H$3*(1-EXP(-A52/$H$1))</f>
        <v>3.9983814193227</v>
      </c>
      <c r="C52" s="13" t="n">
        <f aca="false">0.5*Datos!$C$5*B52^2</f>
        <v>38.3689295385239</v>
      </c>
      <c r="D52" s="12" t="n">
        <f aca="false">$H$4*(1-EXP(-A52/$H$2))</f>
        <v>7.83907364778607</v>
      </c>
      <c r="E52" s="13" t="n">
        <f aca="false">0.5*Datos!$C$5*D52^2</f>
        <v>147.482581572994</v>
      </c>
      <c r="F52" s="7"/>
      <c r="G52" s="7"/>
      <c r="H52" s="7"/>
    </row>
    <row r="53" customFormat="false" ht="15" hidden="false" customHeight="false" outlineLevel="0" collapsed="false">
      <c r="A53" s="7" t="n">
        <v>12.75</v>
      </c>
      <c r="B53" s="12" t="n">
        <f aca="false">$H$3*(1-EXP(-A53/$H$1))</f>
        <v>3.9986155545808</v>
      </c>
      <c r="C53" s="13" t="n">
        <f aca="false">0.5*Datos!$C$5*B53^2</f>
        <v>38.3734232480052</v>
      </c>
      <c r="D53" s="12" t="n">
        <f aca="false">$H$4*(1-EXP(-A53/$H$2))</f>
        <v>7.85116745413974</v>
      </c>
      <c r="E53" s="13" t="n">
        <f aca="false">0.5*Datos!$C$5*D53^2</f>
        <v>147.937992943063</v>
      </c>
      <c r="F53" s="7"/>
      <c r="G53" s="7"/>
      <c r="H53" s="7"/>
    </row>
    <row r="54" customFormat="false" ht="15" hidden="false" customHeight="false" outlineLevel="0" collapsed="false">
      <c r="A54" s="7" t="n">
        <v>13</v>
      </c>
      <c r="B54" s="12" t="n">
        <f aca="false">$H$3*(1-EXP(-A54/$H$1))</f>
        <v>3.99881582107977</v>
      </c>
      <c r="C54" s="13" t="n">
        <f aca="false">0.5*Datos!$C$5*B54^2</f>
        <v>38.3772671302029</v>
      </c>
      <c r="D54" s="12" t="n">
        <f aca="false">$H$4*(1-EXP(-A54/$H$2))</f>
        <v>7.86235239659319</v>
      </c>
      <c r="E54" s="13" t="n">
        <f aca="false">0.5*Datos!$C$5*D54^2</f>
        <v>148.359804499715</v>
      </c>
      <c r="F54" s="7"/>
      <c r="G54" s="7"/>
      <c r="H54" s="7"/>
    </row>
    <row r="55" customFormat="false" ht="15" hidden="false" customHeight="false" outlineLevel="0" collapsed="false">
      <c r="A55" s="7" t="n">
        <v>13.25</v>
      </c>
      <c r="B55" s="12" t="n">
        <f aca="false">$H$3*(1-EXP(-A55/$H$1))</f>
        <v>3.99898711809389</v>
      </c>
      <c r="C55" s="13" t="n">
        <f aca="false">0.5*Datos!$C$5*B55^2</f>
        <v>38.3805551296341</v>
      </c>
      <c r="D55" s="12" t="n">
        <f aca="false">$H$4*(1-EXP(-A55/$H$2))</f>
        <v>7.87269677734716</v>
      </c>
      <c r="E55" s="13" t="n">
        <f aca="false">0.5*Datos!$C$5*D55^2</f>
        <v>148.750450915326</v>
      </c>
      <c r="F55" s="7"/>
      <c r="G55" s="7"/>
      <c r="H55" s="7"/>
    </row>
    <row r="56" customFormat="false" ht="15" hidden="false" customHeight="false" outlineLevel="0" collapsed="false">
      <c r="A56" s="7" t="n">
        <v>13.5</v>
      </c>
      <c r="B56" s="12" t="n">
        <f aca="false">$H$3*(1-EXP(-A56/$H$1))</f>
        <v>3.99913363619449</v>
      </c>
      <c r="C56" s="13" t="n">
        <f aca="false">0.5*Datos!$C$5*B56^2</f>
        <v>38.3833676163412</v>
      </c>
      <c r="D56" s="12" t="n">
        <f aca="false">$H$4*(1-EXP(-A56/$H$2))</f>
        <v>7.88226376561092</v>
      </c>
      <c r="E56" s="13" t="n">
        <f aca="false">0.5*Datos!$C$5*D56^2</f>
        <v>149.112196969591</v>
      </c>
      <c r="F56" s="7"/>
      <c r="G56" s="7"/>
      <c r="H56" s="7"/>
    </row>
    <row r="57" customFormat="false" ht="15" hidden="false" customHeight="false" outlineLevel="0" collapsed="false">
      <c r="A57" s="7" t="n">
        <v>13.75</v>
      </c>
      <c r="B57" s="12" t="n">
        <f aca="false">$H$3*(1-EXP(-A57/$H$1))</f>
        <v>3.99925895976721</v>
      </c>
      <c r="C57" s="13" t="n">
        <f aca="false">0.5*Datos!$C$5*B57^2</f>
        <v>38.3857733454679</v>
      </c>
      <c r="D57" s="12" t="n">
        <f aca="false">$H$4*(1-EXP(-A57/$H$2))</f>
        <v>7.89111178335271</v>
      </c>
      <c r="E57" s="13" t="n">
        <f aca="false">0.5*Datos!$C$5*D57^2</f>
        <v>149.447148425683</v>
      </c>
      <c r="F57" s="7"/>
      <c r="G57" s="7"/>
      <c r="H57" s="7"/>
    </row>
    <row r="58" customFormat="false" ht="15" hidden="false" customHeight="false" outlineLevel="0" collapsed="false">
      <c r="A58" s="7" t="n">
        <v>14</v>
      </c>
      <c r="B58" s="12" t="n">
        <f aca="false">$H$3*(1-EXP(-A58/$H$1))</f>
        <v>3.99936615469954</v>
      </c>
      <c r="C58" s="13" t="n">
        <f aca="false">0.5*Datos!$C$5*B58^2</f>
        <v>38.3878311344548</v>
      </c>
      <c r="D58" s="12" t="n">
        <f aca="false">$H$4*(1-EXP(-A58/$H$2))</f>
        <v>7.89929486206053</v>
      </c>
      <c r="E58" s="13" t="n">
        <f aca="false">0.5*Datos!$C$5*D58^2</f>
        <v>149.757262362662</v>
      </c>
      <c r="F58" s="7"/>
      <c r="G58" s="7"/>
      <c r="H58" s="7"/>
    </row>
    <row r="59" customFormat="false" ht="15" hidden="false" customHeight="false" outlineLevel="0" collapsed="false">
      <c r="A59" s="7" t="n">
        <v>14.25</v>
      </c>
      <c r="B59" s="12" t="n">
        <f aca="false">$H$3*(1-EXP(-A59/$H$1))</f>
        <v>3.99945784338401</v>
      </c>
      <c r="C59" s="13" t="n">
        <f aca="false">0.5*Datos!$C$5*B59^2</f>
        <v>38.3895912984142</v>
      </c>
      <c r="D59" s="12" t="n">
        <f aca="false">$H$4*(1-EXP(-A59/$H$2))</f>
        <v>7.90686297269191</v>
      </c>
      <c r="E59" s="13" t="n">
        <f aca="false">0.5*Datos!$C$5*D59^2</f>
        <v>150.044356965423</v>
      </c>
      <c r="F59" s="7"/>
      <c r="G59" s="7"/>
      <c r="H59" s="7"/>
    </row>
    <row r="60" customFormat="false" ht="15" hidden="false" customHeight="false" outlineLevel="0" collapsed="false">
      <c r="A60" s="7" t="n">
        <v>14.5</v>
      </c>
      <c r="B60" s="12" t="n">
        <f aca="false">$H$3*(1-EXP(-A60/$H$1))</f>
        <v>3.99953626887185</v>
      </c>
      <c r="C60" s="13" t="n">
        <f aca="false">0.5*Datos!$C$5*B60^2</f>
        <v>38.3910968784512</v>
      </c>
      <c r="D60" s="12" t="n">
        <f aca="false">$H$4*(1-EXP(-A60/$H$2))</f>
        <v>7.91386233082762</v>
      </c>
      <c r="E60" s="13" t="n">
        <f aca="false">0.5*Datos!$C$5*D60^2</f>
        <v>150.310120779102</v>
      </c>
      <c r="F60" s="7"/>
      <c r="G60" s="7"/>
      <c r="H60" s="7"/>
    </row>
    <row r="61" customFormat="false" ht="15" hidden="false" customHeight="false" outlineLevel="0" collapsed="false">
      <c r="A61" s="7" t="n">
        <v>14.75</v>
      </c>
      <c r="B61" s="12" t="n">
        <f aca="false">$H$3*(1-EXP(-A61/$H$1))</f>
        <v>3.99960334974641</v>
      </c>
      <c r="C61" s="13" t="n">
        <f aca="false">0.5*Datos!$C$5*B61^2</f>
        <v>38.3923846927264</v>
      </c>
      <c r="D61" s="12" t="n">
        <f aca="false">$H$4*(1-EXP(-A61/$H$2))</f>
        <v>7.92033567889272</v>
      </c>
      <c r="E61" s="13" t="n">
        <f aca="false">0.5*Datos!$C$5*D61^2</f>
        <v>150.556121439218</v>
      </c>
      <c r="F61" s="7"/>
      <c r="G61" s="7"/>
      <c r="H61" s="7"/>
    </row>
    <row r="62" customFormat="false" ht="15" hidden="false" customHeight="false" outlineLevel="0" collapsed="false">
      <c r="A62" s="7" t="n">
        <v>15</v>
      </c>
      <c r="B62" s="12" t="n">
        <f aca="false">$H$3*(1-EXP(-A62/$H$1))</f>
        <v>3.99966072705901</v>
      </c>
      <c r="C62" s="13" t="n">
        <f aca="false">0.5*Datos!$C$5*B62^2</f>
        <v>38.3934862357878</v>
      </c>
      <c r="D62" s="12" t="n">
        <f aca="false">$H$4*(1-EXP(-A62/$H$2))</f>
        <v>7.92632254716826</v>
      </c>
      <c r="E62" s="13" t="n">
        <f aca="false">0.5*Datos!$C$5*D62^2</f>
        <v>150.783813892195</v>
      </c>
      <c r="F62" s="7"/>
      <c r="G62" s="7"/>
      <c r="H6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9" min="9" style="0" width="24"/>
  </cols>
  <sheetData>
    <row r="1" customFormat="false" ht="26.85" hidden="false" customHeight="false" outlineLevel="0" collapsed="false">
      <c r="A1" s="4" t="s">
        <v>200</v>
      </c>
      <c r="B1" s="4" t="s">
        <v>201</v>
      </c>
      <c r="C1" s="4" t="s">
        <v>202</v>
      </c>
      <c r="D1" s="4" t="s">
        <v>203</v>
      </c>
      <c r="E1" s="4" t="s">
        <v>204</v>
      </c>
      <c r="F1" s="4" t="s">
        <v>205</v>
      </c>
      <c r="G1" s="4" t="s">
        <v>206</v>
      </c>
      <c r="H1" s="7"/>
      <c r="I1" s="2" t="s">
        <v>207</v>
      </c>
      <c r="J1" s="7"/>
    </row>
    <row r="2" customFormat="false" ht="15" hidden="false" customHeight="false" outlineLevel="0" collapsed="false">
      <c r="A2" s="7" t="n">
        <v>500</v>
      </c>
      <c r="B2" s="12" t="n">
        <f aca="false">120000/(A2*Datos!$C$6)</f>
        <v>60</v>
      </c>
      <c r="C2" s="13" t="n">
        <f aca="false">MIN(0.8*$J$3,MAX(0,Datos!$C$11+$J$2*(A2-Datos!$C$10)))</f>
        <v>28.5</v>
      </c>
      <c r="D2" s="12" t="n">
        <f aca="false">C2/$J$3*B2</f>
        <v>19</v>
      </c>
      <c r="E2" s="12" t="n">
        <f aca="false">Datos!$C$7/100*B2</f>
        <v>36</v>
      </c>
      <c r="F2" s="13" t="n">
        <f aca="false">100*(1-EXP(-D2/$J$4))^2</f>
        <v>99.9986075439027</v>
      </c>
      <c r="G2" s="13" t="n">
        <f aca="false">100*(1-EXP(-E2/$J$4))^2</f>
        <v>99.9999999661621</v>
      </c>
      <c r="H2" s="7"/>
      <c r="I2" s="7" t="s">
        <v>208</v>
      </c>
      <c r="J2" s="7" t="n">
        <f aca="false">(Datos!$C$15-Datos!$C$11)/(Datos!$C$14-Datos!$C$10)</f>
        <v>0.009</v>
      </c>
    </row>
    <row r="3" customFormat="false" ht="15" hidden="false" customHeight="false" outlineLevel="0" collapsed="false">
      <c r="A3" s="7" t="n">
        <v>750</v>
      </c>
      <c r="B3" s="12" t="n">
        <f aca="false">120000/(A3*Datos!$C$6)</f>
        <v>40</v>
      </c>
      <c r="C3" s="13" t="n">
        <f aca="false">MIN(0.8*$J$3,MAX(0,Datos!$C$11+$J$2*(A3-Datos!$C$10)))</f>
        <v>30.75</v>
      </c>
      <c r="D3" s="12" t="n">
        <f aca="false">C3/$J$3*B3</f>
        <v>13.6666666666667</v>
      </c>
      <c r="E3" s="12" t="n">
        <f aca="false">Datos!$C$7/100*B3</f>
        <v>24</v>
      </c>
      <c r="F3" s="13" t="n">
        <f aca="false">100*(1-EXP(-D3/$J$4))^2</f>
        <v>99.9609708660445</v>
      </c>
      <c r="G3" s="13" t="n">
        <f aca="false">100*(1-EXP(-E3/$J$4))^2</f>
        <v>99.9999388195453</v>
      </c>
      <c r="H3" s="7"/>
      <c r="I3" s="7" t="s">
        <v>209</v>
      </c>
      <c r="J3" s="7" t="n">
        <f aca="false">360/Datos!$C$6</f>
        <v>90</v>
      </c>
    </row>
    <row r="4" customFormat="false" ht="15" hidden="false" customHeight="false" outlineLevel="0" collapsed="false">
      <c r="A4" s="7" t="n">
        <v>1000</v>
      </c>
      <c r="B4" s="12" t="n">
        <f aca="false">120000/(A4*Datos!$C$6)</f>
        <v>30</v>
      </c>
      <c r="C4" s="13" t="n">
        <f aca="false">MIN(0.8*$J$3,MAX(0,Datos!$C$11+$J$2*(A4-Datos!$C$10)))</f>
        <v>33</v>
      </c>
      <c r="D4" s="12" t="n">
        <f aca="false">C4/$J$3*B4</f>
        <v>11</v>
      </c>
      <c r="E4" s="12" t="n">
        <f aca="false">Datos!$C$7/100*B4</f>
        <v>18</v>
      </c>
      <c r="F4" s="13" t="n">
        <f aca="false">100*(1-EXP(-D4/$J$4))^2</f>
        <v>99.7934472426715</v>
      </c>
      <c r="G4" s="13" t="n">
        <f aca="false">100*(1-EXP(-E4/$J$4))^2</f>
        <v>99.9973985573882</v>
      </c>
      <c r="H4" s="7"/>
      <c r="I4" s="7" t="s">
        <v>196</v>
      </c>
      <c r="J4" s="12" t="n">
        <f aca="false">Carga_bobina!$H$1</f>
        <v>1.6</v>
      </c>
    </row>
    <row r="5" customFormat="false" ht="15" hidden="false" customHeight="false" outlineLevel="0" collapsed="false">
      <c r="A5" s="7" t="n">
        <v>1250</v>
      </c>
      <c r="B5" s="12" t="n">
        <f aca="false">120000/(A5*Datos!$C$6)</f>
        <v>24</v>
      </c>
      <c r="C5" s="13" t="n">
        <f aca="false">MIN(0.8*$J$3,MAX(0,Datos!$C$11+$J$2*(A5-Datos!$C$10)))</f>
        <v>35.25</v>
      </c>
      <c r="D5" s="12" t="n">
        <f aca="false">C5/$J$3*B5</f>
        <v>9.4</v>
      </c>
      <c r="E5" s="12" t="n">
        <f aca="false">Datos!$C$7/100*B5</f>
        <v>14.4</v>
      </c>
      <c r="F5" s="13" t="n">
        <f aca="false">100*(1-EXP(-D5/$J$4))^2</f>
        <v>99.4390300935776</v>
      </c>
      <c r="G5" s="13" t="n">
        <f aca="false">100*(1-EXP(-E5/$J$4))^2</f>
        <v>99.9753195621806</v>
      </c>
      <c r="H5" s="7"/>
      <c r="I5" s="7"/>
      <c r="J5" s="7"/>
    </row>
    <row r="6" customFormat="false" ht="15" hidden="false" customHeight="false" outlineLevel="0" collapsed="false">
      <c r="A6" s="7" t="n">
        <v>1500</v>
      </c>
      <c r="B6" s="12" t="n">
        <f aca="false">120000/(A6*Datos!$C$6)</f>
        <v>20</v>
      </c>
      <c r="C6" s="13" t="n">
        <f aca="false">MIN(0.8*$J$3,MAX(0,Datos!$C$11+$J$2*(A6-Datos!$C$10)))</f>
        <v>37.5</v>
      </c>
      <c r="D6" s="12" t="n">
        <f aca="false">C6/$J$3*B6</f>
        <v>8.33333333333333</v>
      </c>
      <c r="E6" s="12" t="n">
        <f aca="false">Datos!$C$7/100*B6</f>
        <v>12</v>
      </c>
      <c r="F6" s="13" t="n">
        <f aca="false">100*(1-EXP(-D6/$J$4))^2</f>
        <v>98.908836134432</v>
      </c>
      <c r="G6" s="13" t="n">
        <f aca="false">100*(1-EXP(-E6/$J$4))^2</f>
        <v>99.8894137162025</v>
      </c>
      <c r="H6" s="7"/>
      <c r="I6" s="7"/>
      <c r="J6" s="7"/>
    </row>
    <row r="7" customFormat="false" ht="15" hidden="false" customHeight="false" outlineLevel="0" collapsed="false">
      <c r="A7" s="7" t="n">
        <v>1750</v>
      </c>
      <c r="B7" s="12" t="n">
        <f aca="false">120000/(A7*Datos!$C$6)</f>
        <v>17.1428571428571</v>
      </c>
      <c r="C7" s="13" t="n">
        <f aca="false">MIN(0.8*$J$3,MAX(0,Datos!$C$11+$J$2*(A7-Datos!$C$10)))</f>
        <v>39.75</v>
      </c>
      <c r="D7" s="12" t="n">
        <f aca="false">C7/$J$3*B7</f>
        <v>7.57142857142857</v>
      </c>
      <c r="E7" s="12" t="n">
        <f aca="false">Datos!$C$7/100*B7</f>
        <v>10.2857142857143</v>
      </c>
      <c r="F7" s="13" t="n">
        <f aca="false">100*(1-EXP(-D7/$J$4))^2</f>
        <v>98.2462418572867</v>
      </c>
      <c r="G7" s="13" t="n">
        <f aca="false">100*(1-EXP(-E7/$J$4))^2</f>
        <v>99.677309547324</v>
      </c>
      <c r="H7" s="7"/>
      <c r="I7" s="7"/>
      <c r="J7" s="7"/>
    </row>
    <row r="8" customFormat="false" ht="15" hidden="false" customHeight="false" outlineLevel="0" collapsed="false">
      <c r="A8" s="7" t="n">
        <v>2000</v>
      </c>
      <c r="B8" s="12" t="n">
        <f aca="false">120000/(A8*Datos!$C$6)</f>
        <v>15</v>
      </c>
      <c r="C8" s="13" t="n">
        <f aca="false">MIN(0.8*$J$3,MAX(0,Datos!$C$11+$J$2*(A8-Datos!$C$10)))</f>
        <v>42</v>
      </c>
      <c r="D8" s="12" t="n">
        <f aca="false">C8/$J$3*B8</f>
        <v>7</v>
      </c>
      <c r="E8" s="12" t="n">
        <f aca="false">Datos!$C$7/100*B8</f>
        <v>9</v>
      </c>
      <c r="F8" s="13" t="n">
        <f aca="false">100*(1-EXP(-D8/$J$4))^2</f>
        <v>97.4982176840248</v>
      </c>
      <c r="G8" s="13" t="n">
        <f aca="false">100*(1-EXP(-E8/$J$4))^2</f>
        <v>99.2799881025623</v>
      </c>
      <c r="H8" s="7"/>
      <c r="I8" s="7"/>
      <c r="J8" s="7"/>
    </row>
    <row r="9" customFormat="false" ht="15" hidden="false" customHeight="false" outlineLevel="0" collapsed="false">
      <c r="A9" s="7" t="n">
        <v>2250</v>
      </c>
      <c r="B9" s="12" t="n">
        <f aca="false">120000/(A9*Datos!$C$6)</f>
        <v>13.3333333333333</v>
      </c>
      <c r="C9" s="13" t="n">
        <f aca="false">MIN(0.8*$J$3,MAX(0,Datos!$C$11+$J$2*(A9-Datos!$C$10)))</f>
        <v>44.25</v>
      </c>
      <c r="D9" s="12" t="n">
        <f aca="false">C9/$J$3*B9</f>
        <v>6.55555555555556</v>
      </c>
      <c r="E9" s="12" t="n">
        <f aca="false">Datos!$C$7/100*B9</f>
        <v>8</v>
      </c>
      <c r="F9" s="13" t="n">
        <f aca="false">100*(1-EXP(-D9/$J$4))^2</f>
        <v>96.7038634452991</v>
      </c>
      <c r="G9" s="13" t="n">
        <f aca="false">100*(1-EXP(-E9/$J$4))^2</f>
        <v>98.6569505931592</v>
      </c>
      <c r="H9" s="7"/>
      <c r="I9" s="7"/>
      <c r="J9" s="7"/>
    </row>
    <row r="10" customFormat="false" ht="15" hidden="false" customHeight="false" outlineLevel="0" collapsed="false">
      <c r="A10" s="7" t="n">
        <v>2500</v>
      </c>
      <c r="B10" s="12" t="n">
        <f aca="false">120000/(A10*Datos!$C$6)</f>
        <v>12</v>
      </c>
      <c r="C10" s="13" t="n">
        <f aca="false">MIN(0.8*$J$3,MAX(0,Datos!$C$11+$J$2*(A10-Datos!$C$10)))</f>
        <v>46.5</v>
      </c>
      <c r="D10" s="12" t="n">
        <f aca="false">C10/$J$3*B10</f>
        <v>6.2</v>
      </c>
      <c r="E10" s="12" t="n">
        <f aca="false">Datos!$C$7/100*B10</f>
        <v>7.2</v>
      </c>
      <c r="F10" s="13" t="n">
        <f aca="false">100*(1-EXP(-D10/$J$4))^2</f>
        <v>95.8922066793176</v>
      </c>
      <c r="G10" s="13" t="n">
        <f aca="false">100*(1-EXP(-E10/$J$4))^2</f>
        <v>97.7905416727602</v>
      </c>
      <c r="H10" s="7"/>
      <c r="I10" s="7"/>
      <c r="J10" s="7"/>
    </row>
    <row r="11" customFormat="false" ht="15" hidden="false" customHeight="false" outlineLevel="0" collapsed="false">
      <c r="A11" s="7" t="n">
        <v>2750</v>
      </c>
      <c r="B11" s="12" t="n">
        <f aca="false">120000/(A11*Datos!$C$6)</f>
        <v>10.9090909090909</v>
      </c>
      <c r="C11" s="13" t="n">
        <f aca="false">MIN(0.8*$J$3,MAX(0,Datos!$C$11+$J$2*(A11-Datos!$C$10)))</f>
        <v>48.75</v>
      </c>
      <c r="D11" s="12" t="n">
        <f aca="false">C11/$J$3*B11</f>
        <v>5.90909090909091</v>
      </c>
      <c r="E11" s="12" t="n">
        <f aca="false">Datos!$C$7/100*B11</f>
        <v>6.54545454545455</v>
      </c>
      <c r="F11" s="13" t="n">
        <f aca="false">100*(1-EXP(-D11/$J$4))^2</f>
        <v>95.0834301224532</v>
      </c>
      <c r="G11" s="13" t="n">
        <f aca="false">100*(1-EXP(-E11/$J$4))^2</f>
        <v>96.6831646967978</v>
      </c>
      <c r="H11" s="7"/>
      <c r="I11" s="7"/>
      <c r="J11" s="7"/>
    </row>
    <row r="12" customFormat="false" ht="15" hidden="false" customHeight="false" outlineLevel="0" collapsed="false">
      <c r="A12" s="7" t="n">
        <v>3000</v>
      </c>
      <c r="B12" s="12" t="n">
        <f aca="false">120000/(A12*Datos!$C$6)</f>
        <v>10</v>
      </c>
      <c r="C12" s="13" t="n">
        <f aca="false">MIN(0.8*$J$3,MAX(0,Datos!$C$11+$J$2*(A12-Datos!$C$10)))</f>
        <v>51</v>
      </c>
      <c r="D12" s="12" t="n">
        <f aca="false">C12/$J$3*B12</f>
        <v>5.66666666666667</v>
      </c>
      <c r="E12" s="12" t="n">
        <f aca="false">Datos!$C$7/100*B12</f>
        <v>6</v>
      </c>
      <c r="F12" s="13" t="n">
        <f aca="false">100*(1-EXP(-D12/$J$4))^2</f>
        <v>94.2908948287269</v>
      </c>
      <c r="G12" s="13" t="n">
        <f aca="false">100*(1-EXP(-E12/$J$4))^2</f>
        <v>95.351759265813</v>
      </c>
      <c r="H12" s="7"/>
      <c r="I12" s="7"/>
      <c r="J12" s="7"/>
    </row>
    <row r="13" customFormat="false" ht="15" hidden="false" customHeight="false" outlineLevel="0" collapsed="false">
      <c r="A13" s="7" t="n">
        <v>3250</v>
      </c>
      <c r="B13" s="12" t="n">
        <f aca="false">120000/(A13*Datos!$C$6)</f>
        <v>9.23076923076923</v>
      </c>
      <c r="C13" s="13" t="n">
        <f aca="false">MIN(0.8*$J$3,MAX(0,Datos!$C$11+$J$2*(A13-Datos!$C$10)))</f>
        <v>53.25</v>
      </c>
      <c r="D13" s="12" t="n">
        <f aca="false">C13/$J$3*B13</f>
        <v>5.46153846153846</v>
      </c>
      <c r="E13" s="12" t="n">
        <f aca="false">Datos!$C$7/100*B13</f>
        <v>5.53846153846154</v>
      </c>
      <c r="F13" s="13" t="n">
        <f aca="false">100*(1-EXP(-D13/$J$4))^2</f>
        <v>93.5230139525235</v>
      </c>
      <c r="G13" s="13" t="n">
        <f aca="false">100*(1-EXP(-E13/$J$4))^2</f>
        <v>93.8221903706603</v>
      </c>
      <c r="H13" s="7"/>
      <c r="I13" s="7"/>
      <c r="J13" s="7"/>
    </row>
    <row r="14" customFormat="false" ht="15" hidden="false" customHeight="false" outlineLevel="0" collapsed="false">
      <c r="A14" s="7" t="n">
        <v>3500</v>
      </c>
      <c r="B14" s="12" t="n">
        <f aca="false">120000/(A14*Datos!$C$6)</f>
        <v>8.57142857142857</v>
      </c>
      <c r="C14" s="13" t="n">
        <f aca="false">MIN(0.8*$J$3,MAX(0,Datos!$C$11+$J$2*(A14-Datos!$C$10)))</f>
        <v>55.5</v>
      </c>
      <c r="D14" s="12" t="n">
        <f aca="false">C14/$J$3*B14</f>
        <v>5.28571428571429</v>
      </c>
      <c r="E14" s="12" t="n">
        <f aca="false">Datos!$C$7/100*B14</f>
        <v>5.14285714285714</v>
      </c>
      <c r="F14" s="13" t="n">
        <f aca="false">100*(1-EXP(-D14/$J$4))^2</f>
        <v>92.7847332248018</v>
      </c>
      <c r="G14" s="13" t="n">
        <f aca="false">100*(1-EXP(-E14/$J$4))^2</f>
        <v>92.1246703079673</v>
      </c>
      <c r="H14" s="7"/>
      <c r="I14" s="7"/>
      <c r="J14" s="7"/>
    </row>
    <row r="15" customFormat="false" ht="15" hidden="false" customHeight="false" outlineLevel="0" collapsed="false">
      <c r="A15" s="7" t="n">
        <v>3750</v>
      </c>
      <c r="B15" s="12" t="n">
        <f aca="false">120000/(A15*Datos!$C$6)</f>
        <v>8</v>
      </c>
      <c r="C15" s="13" t="n">
        <f aca="false">MIN(0.8*$J$3,MAX(0,Datos!$C$11+$J$2*(A15-Datos!$C$10)))</f>
        <v>57.75</v>
      </c>
      <c r="D15" s="12" t="n">
        <f aca="false">C15/$J$3*B15</f>
        <v>5.13333333333333</v>
      </c>
      <c r="E15" s="12" t="n">
        <f aca="false">Datos!$C$7/100*B15</f>
        <v>4.8</v>
      </c>
      <c r="F15" s="13" t="n">
        <f aca="false">100*(1-EXP(-D15/$J$4))^2</f>
        <v>92.0786233394746</v>
      </c>
      <c r="G15" s="13" t="n">
        <f aca="false">100*(1-EXP(-E15/$J$4))^2</f>
        <v>90.2904615440938</v>
      </c>
      <c r="H15" s="7"/>
      <c r="I15" s="7"/>
      <c r="J15" s="7"/>
    </row>
    <row r="16" customFormat="false" ht="15" hidden="false" customHeight="false" outlineLevel="0" collapsed="false">
      <c r="A16" s="7" t="n">
        <v>4000</v>
      </c>
      <c r="B16" s="12" t="n">
        <f aca="false">120000/(A16*Datos!$C$6)</f>
        <v>7.5</v>
      </c>
      <c r="C16" s="13" t="n">
        <f aca="false">MIN(0.8*$J$3,MAX(0,Datos!$C$11+$J$2*(A16-Datos!$C$10)))</f>
        <v>60</v>
      </c>
      <c r="D16" s="12" t="n">
        <f aca="false">C16/$J$3*B16</f>
        <v>5</v>
      </c>
      <c r="E16" s="12" t="n">
        <f aca="false">Datos!$C$7/100*B16</f>
        <v>4.5</v>
      </c>
      <c r="F16" s="13" t="n">
        <f aca="false">100*(1-EXP(-D16/$J$4))^2</f>
        <v>91.4056586889413</v>
      </c>
      <c r="G16" s="13" t="n">
        <f aca="false">100*(1-EXP(-E16/$J$4))^2</f>
        <v>88.34972273454</v>
      </c>
      <c r="H16" s="7"/>
      <c r="I16" s="7"/>
      <c r="J16" s="7"/>
    </row>
    <row r="17" customFormat="false" ht="15" hidden="false" customHeight="false" outlineLevel="0" collapsed="false">
      <c r="A17" s="7" t="n">
        <v>4250</v>
      </c>
      <c r="B17" s="12" t="n">
        <f aca="false">120000/(A17*Datos!$C$6)</f>
        <v>7.05882352941176</v>
      </c>
      <c r="C17" s="13" t="n">
        <f aca="false">MIN(0.8*$J$3,MAX(0,Datos!$C$11+$J$2*(A17-Datos!$C$10)))</f>
        <v>62.25</v>
      </c>
      <c r="D17" s="12" t="n">
        <f aca="false">C17/$J$3*B17</f>
        <v>4.88235294117647</v>
      </c>
      <c r="E17" s="12" t="n">
        <f aca="false">Datos!$C$7/100*B17</f>
        <v>4.23529411764706</v>
      </c>
      <c r="F17" s="13" t="n">
        <f aca="false">100*(1-EXP(-D17/$J$4))^2</f>
        <v>90.7657620543382</v>
      </c>
      <c r="G17" s="13" t="n">
        <f aca="false">100*(1-EXP(-E17/$J$4))^2</f>
        <v>86.3302409492255</v>
      </c>
      <c r="H17" s="7"/>
      <c r="I17" s="7"/>
      <c r="J17" s="7"/>
    </row>
    <row r="18" customFormat="false" ht="15" hidden="false" customHeight="false" outlineLevel="0" collapsed="false">
      <c r="A18" s="7" t="n">
        <v>4500</v>
      </c>
      <c r="B18" s="12" t="n">
        <f aca="false">120000/(A18*Datos!$C$6)</f>
        <v>6.66666666666667</v>
      </c>
      <c r="C18" s="13" t="n">
        <f aca="false">MIN(0.8*$J$3,MAX(0,Datos!$C$11+$J$2*(A18-Datos!$C$10)))</f>
        <v>64.5</v>
      </c>
      <c r="D18" s="12" t="n">
        <f aca="false">C18/$J$3*B18</f>
        <v>4.77777777777778</v>
      </c>
      <c r="E18" s="12" t="n">
        <f aca="false">Datos!$C$7/100*B18</f>
        <v>4</v>
      </c>
      <c r="F18" s="13" t="n">
        <f aca="false">100*(1-EXP(-D18/$J$4))^2</f>
        <v>90.1581812167322</v>
      </c>
      <c r="G18" s="13" t="n">
        <f aca="false">100*(1-EXP(-E18/$J$4))^2</f>
        <v>84.2567949751288</v>
      </c>
      <c r="H18" s="7"/>
      <c r="I18" s="7"/>
      <c r="J18" s="7"/>
    </row>
    <row r="19" customFormat="false" ht="15" hidden="false" customHeight="false" outlineLevel="0" collapsed="false">
      <c r="A19" s="7" t="n">
        <v>4750</v>
      </c>
      <c r="B19" s="12" t="n">
        <f aca="false">120000/(A19*Datos!$C$6)</f>
        <v>6.31578947368421</v>
      </c>
      <c r="C19" s="13" t="n">
        <f aca="false">MIN(0.8*$J$3,MAX(0,Datos!$C$11+$J$2*(A19-Datos!$C$10)))</f>
        <v>66.75</v>
      </c>
      <c r="D19" s="12" t="n">
        <f aca="false">C19/$J$3*B19</f>
        <v>4.68421052631579</v>
      </c>
      <c r="E19" s="12" t="n">
        <f aca="false">Datos!$C$7/100*B19</f>
        <v>3.78947368421053</v>
      </c>
      <c r="F19" s="13" t="n">
        <f aca="false">100*(1-EXP(-D19/$J$4))^2</f>
        <v>89.5817472220105</v>
      </c>
      <c r="G19" s="13" t="n">
        <f aca="false">100*(1-EXP(-E19/$J$4))^2</f>
        <v>82.1509397501591</v>
      </c>
      <c r="H19" s="7"/>
      <c r="I19" s="7"/>
      <c r="J19" s="7"/>
    </row>
    <row r="20" customFormat="false" ht="15" hidden="false" customHeight="false" outlineLevel="0" collapsed="false">
      <c r="A20" s="7" t="n">
        <v>5000</v>
      </c>
      <c r="B20" s="12" t="n">
        <f aca="false">120000/(A20*Datos!$C$6)</f>
        <v>6</v>
      </c>
      <c r="C20" s="13" t="n">
        <f aca="false">MIN(0.8*$J$3,MAX(0,Datos!$C$11+$J$2*(A20-Datos!$C$10)))</f>
        <v>69</v>
      </c>
      <c r="D20" s="12" t="n">
        <f aca="false">C20/$J$3*B20</f>
        <v>4.6</v>
      </c>
      <c r="E20" s="12" t="n">
        <f aca="false">Datos!$C$7/100*B20</f>
        <v>3.6</v>
      </c>
      <c r="F20" s="13" t="n">
        <f aca="false">100*(1-EXP(-D20/$J$4))^2</f>
        <v>89.0350501788955</v>
      </c>
      <c r="G20" s="13" t="n">
        <f aca="false">100*(1-EXP(-E20/$J$4))^2</f>
        <v>80.0310547414514</v>
      </c>
      <c r="H20" s="7"/>
      <c r="I20" s="7"/>
      <c r="J20" s="7"/>
    </row>
    <row r="21" customFormat="false" ht="15" hidden="false" customHeight="false" outlineLevel="0" collapsed="false">
      <c r="A21" s="7" t="n">
        <v>5250</v>
      </c>
      <c r="B21" s="12" t="n">
        <f aca="false">120000/(A21*Datos!$C$6)</f>
        <v>5.71428571428571</v>
      </c>
      <c r="C21" s="13" t="n">
        <f aca="false">MIN(0.8*$J$3,MAX(0,Datos!$C$11+$J$2*(A21-Datos!$C$10)))</f>
        <v>71.25</v>
      </c>
      <c r="D21" s="12" t="n">
        <f aca="false">C21/$J$3*B21</f>
        <v>4.52380952380952</v>
      </c>
      <c r="E21" s="12" t="n">
        <f aca="false">Datos!$C$7/100*B21</f>
        <v>3.42857142857143</v>
      </c>
      <c r="F21" s="13" t="n">
        <f aca="false">100*(1-EXP(-D21/$J$4))^2</f>
        <v>88.5165579079252</v>
      </c>
      <c r="G21" s="13" t="n">
        <f aca="false">100*(1-EXP(-E21/$J$4))^2</f>
        <v>77.9125454544549</v>
      </c>
      <c r="H21" s="7"/>
      <c r="I21" s="7"/>
      <c r="J21" s="7"/>
    </row>
    <row r="22" customFormat="false" ht="15" hidden="false" customHeight="false" outlineLevel="0" collapsed="false">
      <c r="A22" s="7" t="n">
        <v>5500</v>
      </c>
      <c r="B22" s="12" t="n">
        <f aca="false">120000/(A22*Datos!$C$6)</f>
        <v>5.45454545454545</v>
      </c>
      <c r="C22" s="13" t="n">
        <f aca="false">MIN(0.8*$J$3,MAX(0,Datos!$C$11+$J$2*(A22-Datos!$C$10)))</f>
        <v>72</v>
      </c>
      <c r="D22" s="12" t="n">
        <f aca="false">C22/$J$3*B22</f>
        <v>4.36363636363636</v>
      </c>
      <c r="E22" s="12" t="n">
        <f aca="false">Datos!$C$7/100*B22</f>
        <v>3.27272727272727</v>
      </c>
      <c r="F22" s="13" t="n">
        <f aca="false">100*(1-EXP(-D22/$J$4))^2</f>
        <v>87.3482013889489</v>
      </c>
      <c r="G22" s="13" t="n">
        <f aca="false">100*(1-EXP(-E22/$J$4))^2</f>
        <v>75.8081234660859</v>
      </c>
      <c r="H22" s="7"/>
      <c r="I22" s="7"/>
      <c r="J22" s="7"/>
    </row>
    <row r="23" customFormat="false" ht="15" hidden="false" customHeight="false" outlineLevel="0" collapsed="false">
      <c r="A23" s="7" t="n">
        <v>5750</v>
      </c>
      <c r="B23" s="12" t="n">
        <f aca="false">120000/(A23*Datos!$C$6)</f>
        <v>5.21739130434783</v>
      </c>
      <c r="C23" s="13" t="n">
        <f aca="false">MIN(0.8*$J$3,MAX(0,Datos!$C$11+$J$2*(A23-Datos!$C$10)))</f>
        <v>72</v>
      </c>
      <c r="D23" s="12" t="n">
        <f aca="false">C23/$J$3*B23</f>
        <v>4.17391304347826</v>
      </c>
      <c r="E23" s="12" t="n">
        <f aca="false">Datos!$C$7/100*B23</f>
        <v>3.1304347826087</v>
      </c>
      <c r="F23" s="13" t="n">
        <f aca="false">100*(1-EXP(-D23/$J$4))^2</f>
        <v>85.8160411686508</v>
      </c>
      <c r="G23" s="13" t="n">
        <f aca="false">100*(1-EXP(-E23/$J$4))^2</f>
        <v>73.7281168319296</v>
      </c>
      <c r="H23" s="7"/>
      <c r="I23" s="7"/>
      <c r="J23" s="7"/>
    </row>
    <row r="24" customFormat="false" ht="15" hidden="false" customHeight="false" outlineLevel="0" collapsed="false">
      <c r="A24" s="7" t="n">
        <v>6000</v>
      </c>
      <c r="B24" s="12" t="n">
        <f aca="false">120000/(A24*Datos!$C$6)</f>
        <v>5</v>
      </c>
      <c r="C24" s="13" t="n">
        <f aca="false">MIN(0.8*$J$3,MAX(0,Datos!$C$11+$J$2*(A24-Datos!$C$10)))</f>
        <v>72</v>
      </c>
      <c r="D24" s="12" t="n">
        <f aca="false">C24/$J$3*B24</f>
        <v>4</v>
      </c>
      <c r="E24" s="12" t="n">
        <f aca="false">Datos!$C$7/100*B24</f>
        <v>3</v>
      </c>
      <c r="F24" s="13" t="n">
        <f aca="false">100*(1-EXP(-D24/$J$4))^2</f>
        <v>84.2567949751288</v>
      </c>
      <c r="G24" s="13" t="n">
        <f aca="false">100*(1-EXP(-E24/$J$4))^2</f>
        <v>71.6807812166152</v>
      </c>
      <c r="H24" s="7"/>
      <c r="I24" s="7"/>
      <c r="J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26.85" hidden="false" customHeight="false" outlineLevel="0" collapsed="false">
      <c r="A1" s="4" t="s">
        <v>210</v>
      </c>
      <c r="B1" s="4" t="s">
        <v>211</v>
      </c>
      <c r="C1" s="4" t="s">
        <v>212</v>
      </c>
    </row>
    <row r="2" customFormat="false" ht="15" hidden="false" customHeight="false" outlineLevel="0" collapsed="false">
      <c r="A2" s="7" t="n">
        <v>0.6</v>
      </c>
      <c r="B2" s="13" t="n">
        <f aca="false">Datos!$C$16+Datos!$C$19*(A2-Datos!$C$17)</f>
        <v>9</v>
      </c>
      <c r="C2" s="13" t="n">
        <f aca="false">Datos!$C$20-B2</f>
        <v>19</v>
      </c>
    </row>
    <row r="3" customFormat="false" ht="15" hidden="false" customHeight="false" outlineLevel="0" collapsed="false">
      <c r="A3" s="7" t="n">
        <v>0.65</v>
      </c>
      <c r="B3" s="13" t="n">
        <f aca="false">Datos!$C$16+Datos!$C$19*(A3-Datos!$C$17)</f>
        <v>9.5</v>
      </c>
      <c r="C3" s="13" t="n">
        <f aca="false">Datos!$C$20-B3</f>
        <v>18.5</v>
      </c>
    </row>
    <row r="4" customFormat="false" ht="15" hidden="false" customHeight="false" outlineLevel="0" collapsed="false">
      <c r="A4" s="7" t="n">
        <v>0.7</v>
      </c>
      <c r="B4" s="13" t="n">
        <f aca="false">Datos!$C$16+Datos!$C$19*(A4-Datos!$C$17)</f>
        <v>10</v>
      </c>
      <c r="C4" s="13" t="n">
        <f aca="false">Datos!$C$20-B4</f>
        <v>18</v>
      </c>
    </row>
    <row r="5" customFormat="false" ht="15" hidden="false" customHeight="false" outlineLevel="0" collapsed="false">
      <c r="A5" s="7" t="n">
        <v>0.75</v>
      </c>
      <c r="B5" s="13" t="n">
        <f aca="false">Datos!$C$16+Datos!$C$19*(A5-Datos!$C$17)</f>
        <v>10.5</v>
      </c>
      <c r="C5" s="13" t="n">
        <f aca="false">Datos!$C$20-B5</f>
        <v>17.5</v>
      </c>
    </row>
    <row r="6" customFormat="false" ht="15" hidden="false" customHeight="false" outlineLevel="0" collapsed="false">
      <c r="A6" s="7" t="n">
        <v>0.8</v>
      </c>
      <c r="B6" s="13" t="n">
        <f aca="false">Datos!$C$16+Datos!$C$19*(A6-Datos!$C$17)</f>
        <v>11</v>
      </c>
      <c r="C6" s="13" t="n">
        <f aca="false">Datos!$C$20-B6</f>
        <v>17</v>
      </c>
    </row>
    <row r="7" customFormat="false" ht="15" hidden="false" customHeight="false" outlineLevel="0" collapsed="false">
      <c r="A7" s="7" t="n">
        <v>0.85</v>
      </c>
      <c r="B7" s="13" t="n">
        <f aca="false">Datos!$C$16+Datos!$C$19*(A7-Datos!$C$17)</f>
        <v>11.5</v>
      </c>
      <c r="C7" s="13" t="n">
        <f aca="false">Datos!$C$20-B7</f>
        <v>16.5</v>
      </c>
    </row>
    <row r="8" customFormat="false" ht="15" hidden="false" customHeight="false" outlineLevel="0" collapsed="false">
      <c r="A8" s="7" t="n">
        <v>0.9</v>
      </c>
      <c r="B8" s="13" t="n">
        <f aca="false">Datos!$C$16+Datos!$C$19*(A8-Datos!$C$17)</f>
        <v>12</v>
      </c>
      <c r="C8" s="13" t="n">
        <f aca="false">Datos!$C$20-B8</f>
        <v>16</v>
      </c>
    </row>
    <row r="9" customFormat="false" ht="15" hidden="false" customHeight="false" outlineLevel="0" collapsed="false">
      <c r="A9" s="7" t="n">
        <v>0.95</v>
      </c>
      <c r="B9" s="13" t="n">
        <f aca="false">Datos!$C$16+Datos!$C$19*(A9-Datos!$C$17)</f>
        <v>12.5</v>
      </c>
      <c r="C9" s="13" t="n">
        <f aca="false">Datos!$C$20-B9</f>
        <v>15.5</v>
      </c>
    </row>
    <row r="10" customFormat="false" ht="15" hidden="false" customHeight="false" outlineLevel="0" collapsed="false">
      <c r="A10" s="7" t="n">
        <v>1</v>
      </c>
      <c r="B10" s="13" t="n">
        <f aca="false">Datos!$C$16+Datos!$C$19*(A10-Datos!$C$17)</f>
        <v>13</v>
      </c>
      <c r="C10" s="13" t="n">
        <f aca="false">Datos!$C$20-B10</f>
        <v>15</v>
      </c>
    </row>
    <row r="11" customFormat="false" ht="15" hidden="false" customHeight="false" outlineLevel="0" collapsed="false">
      <c r="A11" s="7" t="n">
        <v>1.05</v>
      </c>
      <c r="B11" s="13" t="n">
        <f aca="false">Datos!$C$16+Datos!$C$19*(A11-Datos!$C$17)</f>
        <v>13.5</v>
      </c>
      <c r="C11" s="13" t="n">
        <f aca="false">Datos!$C$20-B11</f>
        <v>14.5</v>
      </c>
    </row>
    <row r="12" customFormat="false" ht="15" hidden="false" customHeight="false" outlineLevel="0" collapsed="false">
      <c r="A12" s="7" t="n">
        <v>1.1</v>
      </c>
      <c r="B12" s="13" t="n">
        <f aca="false">Datos!$C$16+Datos!$C$19*(A12-Datos!$C$17)</f>
        <v>14</v>
      </c>
      <c r="C12" s="13" t="n">
        <f aca="false">Datos!$C$20-B12</f>
        <v>14</v>
      </c>
    </row>
    <row r="13" customFormat="false" ht="15" hidden="false" customHeight="false" outlineLevel="0" collapsed="false">
      <c r="A13" s="7" t="n">
        <v>1.15</v>
      </c>
      <c r="B13" s="13" t="n">
        <f aca="false">Datos!$C$16+Datos!$C$19*(A13-Datos!$C$17)</f>
        <v>14.5</v>
      </c>
      <c r="C13" s="13" t="n">
        <f aca="false">Datos!$C$20-B13</f>
        <v>13.5</v>
      </c>
    </row>
    <row r="14" customFormat="false" ht="15" hidden="false" customHeight="false" outlineLevel="0" collapsed="false">
      <c r="A14" s="7" t="n">
        <v>1.2</v>
      </c>
      <c r="B14" s="13" t="n">
        <f aca="false">Datos!$C$16+Datos!$C$19*(A14-Datos!$C$17)</f>
        <v>15</v>
      </c>
      <c r="C14" s="13" t="n">
        <f aca="false">Datos!$C$20-B14</f>
        <v>13</v>
      </c>
    </row>
    <row r="15" customFormat="false" ht="15" hidden="false" customHeight="false" outlineLevel="0" collapsed="false">
      <c r="A15" s="7" t="n">
        <v>1.25</v>
      </c>
      <c r="B15" s="13" t="n">
        <f aca="false">Datos!$C$16+Datos!$C$19*(A15-Datos!$C$17)</f>
        <v>15.5</v>
      </c>
      <c r="C15" s="13" t="n">
        <f aca="false">Datos!$C$20-B15</f>
        <v>12.5</v>
      </c>
    </row>
    <row r="16" customFormat="false" ht="15" hidden="false" customHeight="false" outlineLevel="0" collapsed="false">
      <c r="A16" s="7" t="n">
        <v>1.3</v>
      </c>
      <c r="B16" s="13" t="n">
        <f aca="false">Datos!$C$16+Datos!$C$19*(A16-Datos!$C$17)</f>
        <v>16</v>
      </c>
      <c r="C16" s="13" t="n">
        <f aca="false">Datos!$C$20-B16</f>
        <v>12</v>
      </c>
    </row>
    <row r="17" customFormat="false" ht="15" hidden="false" customHeight="false" outlineLevel="0" collapsed="false">
      <c r="A17" s="7" t="n">
        <v>1.35</v>
      </c>
      <c r="B17" s="13" t="n">
        <f aca="false">Datos!$C$16+Datos!$C$19*(A17-Datos!$C$17)</f>
        <v>16.5</v>
      </c>
      <c r="C17" s="13" t="n">
        <f aca="false">Datos!$C$20-B17</f>
        <v>11.5</v>
      </c>
    </row>
    <row r="18" customFormat="false" ht="15" hidden="false" customHeight="false" outlineLevel="0" collapsed="false">
      <c r="A18" s="7" t="n">
        <v>1.4</v>
      </c>
      <c r="B18" s="13" t="n">
        <f aca="false">Datos!$C$16+Datos!$C$19*(A18-Datos!$C$17)</f>
        <v>17</v>
      </c>
      <c r="C18" s="13" t="n">
        <f aca="false">Datos!$C$20-B18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6.85" hidden="false" customHeight="false" outlineLevel="0" collapsed="false">
      <c r="A1" s="4" t="s">
        <v>213</v>
      </c>
      <c r="B1" s="4" t="s">
        <v>214</v>
      </c>
      <c r="C1" s="4" t="s">
        <v>209</v>
      </c>
      <c r="D1" s="4" t="s">
        <v>201</v>
      </c>
      <c r="E1" s="4" t="s">
        <v>215</v>
      </c>
      <c r="F1" s="4" t="s">
        <v>216</v>
      </c>
      <c r="G1" s="4" t="s">
        <v>217</v>
      </c>
      <c r="H1" s="4" t="s">
        <v>218</v>
      </c>
    </row>
    <row r="2" customFormat="false" ht="15" hidden="false" customHeight="false" outlineLevel="0" collapsed="false">
      <c r="A2" s="5" t="n">
        <f aca="false">Datos!$C$8</f>
        <v>800</v>
      </c>
      <c r="B2" s="5" t="n">
        <f aca="false">Datos!$C$9</f>
        <v>30</v>
      </c>
      <c r="C2" s="11" t="n">
        <f aca="false">360/Datos!$C$6</f>
        <v>90</v>
      </c>
      <c r="D2" s="9" t="n">
        <f aca="false">120000/(A2*Datos!$C$6)</f>
        <v>37.5</v>
      </c>
      <c r="E2" s="9" t="n">
        <f aca="false">B2/C2*D2</f>
        <v>12.5</v>
      </c>
      <c r="F2" s="11" t="n">
        <f aca="false">B2/C2*100</f>
        <v>33.3333333333333</v>
      </c>
      <c r="G2" s="10" t="n">
        <f aca="false">A2*Datos!$C$6/2</f>
        <v>1600</v>
      </c>
      <c r="H2" s="11" t="n">
        <f aca="false">A2*Datos!$C$6/120</f>
        <v>26.6666666666667</v>
      </c>
    </row>
    <row r="3" customFormat="false" ht="15" hidden="false" customHeight="false" outlineLevel="0" collapsed="false">
      <c r="A3" s="5" t="n">
        <f aca="false">Datos!$C$10</f>
        <v>1000</v>
      </c>
      <c r="B3" s="5" t="n">
        <f aca="false">Datos!$C$11</f>
        <v>33</v>
      </c>
      <c r="C3" s="11" t="n">
        <f aca="false">360/Datos!$C$6</f>
        <v>90</v>
      </c>
      <c r="D3" s="9" t="n">
        <f aca="false">120000/(A3*Datos!$C$6)</f>
        <v>30</v>
      </c>
      <c r="E3" s="9" t="n">
        <f aca="false">B3/C3*D3</f>
        <v>11</v>
      </c>
      <c r="F3" s="11" t="n">
        <f aca="false">B3/C3*100</f>
        <v>36.6666666666667</v>
      </c>
      <c r="G3" s="10" t="n">
        <f aca="false">A3*Datos!$C$6/2</f>
        <v>2000</v>
      </c>
      <c r="H3" s="11" t="n">
        <f aca="false">A3*Datos!$C$6/120</f>
        <v>33.3333333333333</v>
      </c>
    </row>
    <row r="4" customFormat="false" ht="15" hidden="false" customHeight="false" outlineLevel="0" collapsed="false">
      <c r="A4" s="5" t="n">
        <f aca="false">Datos!$C$12</f>
        <v>2000</v>
      </c>
      <c r="B4" s="5" t="n">
        <f aca="false">Datos!$C$13</f>
        <v>42</v>
      </c>
      <c r="C4" s="11" t="n">
        <f aca="false">360/Datos!$C$6</f>
        <v>90</v>
      </c>
      <c r="D4" s="9" t="n">
        <f aca="false">120000/(A4*Datos!$C$6)</f>
        <v>15</v>
      </c>
      <c r="E4" s="9" t="n">
        <f aca="false">B4/C4*D4</f>
        <v>7</v>
      </c>
      <c r="F4" s="11" t="n">
        <f aca="false">B4/C4*100</f>
        <v>46.6666666666667</v>
      </c>
      <c r="G4" s="10" t="n">
        <f aca="false">A4*Datos!$C$6/2</f>
        <v>4000</v>
      </c>
      <c r="H4" s="11" t="n">
        <f aca="false">A4*Datos!$C$6/120</f>
        <v>66.6666666666667</v>
      </c>
    </row>
    <row r="5" customFormat="false" ht="15" hidden="false" customHeight="false" outlineLevel="0" collapsed="false">
      <c r="A5" s="5" t="n">
        <f aca="false">Datos!$C$14</f>
        <v>3000</v>
      </c>
      <c r="B5" s="5" t="n">
        <f aca="false">Datos!$C$15</f>
        <v>51</v>
      </c>
      <c r="C5" s="11" t="n">
        <f aca="false">360/Datos!$C$6</f>
        <v>90</v>
      </c>
      <c r="D5" s="9" t="n">
        <f aca="false">120000/(A5*Datos!$C$6)</f>
        <v>10</v>
      </c>
      <c r="E5" s="9" t="n">
        <f aca="false">B5/C5*D5</f>
        <v>5.66666666666667</v>
      </c>
      <c r="F5" s="11" t="n">
        <f aca="false">B5/C5*100</f>
        <v>56.6666666666667</v>
      </c>
      <c r="G5" s="10" t="n">
        <f aca="false">A5*Datos!$C$6/2</f>
        <v>6000</v>
      </c>
      <c r="H5" s="11" t="n">
        <f aca="false">A5*Datos!$C$6/120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2026-09-21T17:17:19Z</dcterms:created>
  <dc:creator>openpyxl</dc:creator>
  <dc:description/>
  <dc:language>en-US</dc:language>
  <cp:lastModifiedBy/>
  <dcterms:modified xsi:type="dcterms:W3CDTF">2026-09-21T17:17:20Z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