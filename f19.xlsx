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ell y bobina" sheetId="1" state="visible" r:id="rId1"/>
    <sheet xmlns:r="http://schemas.openxmlformats.org/officeDocument/2006/relationships" name="Curva de avance" sheetId="2" state="visible" r:id="rId2"/>
    <sheet xmlns:r="http://schemas.openxmlformats.org/officeDocument/2006/relationships" name="Lambda y gases" sheetId="3" state="visible" r:id="rId3"/>
    <sheet xmlns:r="http://schemas.openxmlformats.org/officeDocument/2006/relationships" name="Venturi del carburador" sheetId="4" state="visible" r:id="rId4"/>
    <sheet xmlns:r="http://schemas.openxmlformats.org/officeDocument/2006/relationships" name="Oscilograma secundario" sheetId="5" state="visible" r:id="rId5"/>
    <sheet xmlns:r="http://schemas.openxmlformats.org/officeDocument/2006/relationships" name="Guía" sheetId="6" state="visible" r:id="rId6"/>
    <sheet xmlns:r="http://schemas.openxmlformats.org/officeDocument/2006/relationships" name="Datos" sheetId="7" state="visible" r:id="rId7"/>
    <sheet xmlns:r="http://schemas.openxmlformats.org/officeDocument/2006/relationships" name="Datos venturi" sheetId="8" state="visible" r:id="rId8"/>
    <sheet xmlns:r="http://schemas.openxmlformats.org/officeDocument/2006/relationships" name="Datos oscilogra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  <font>
      <name val="Arial"/>
      <color rgb="00595959"/>
      <sz val="9"/>
    </font>
    <font>
      <name val="Arial"/>
      <color rgb="00C0392B"/>
      <sz val="9"/>
    </font>
    <font>
      <name val="Arial"/>
      <b val="1"/>
      <color rgb="00C0392B"/>
    </font>
    <font>
      <name val="Arial"/>
      <b val="1"/>
      <color rgb="001F3A5F"/>
    </font>
    <font>
      <name val="Arial"/>
      <b val="1"/>
      <color rgb="001F4FD8"/>
    </font>
    <font>
      <name val="Arial"/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applyAlignment="1" pivotButton="0" quotePrefix="0" xfId="0">
      <alignment horizontal="center"/>
    </xf>
    <xf numFmtId="0" fontId="7" fillId="0" borderId="0" pivotButton="0" quotePrefix="0" xfId="0"/>
    <xf numFmtId="165" fontId="6" fillId="4" borderId="1" applyAlignment="1" pivotButton="0" quotePrefix="0" xfId="0">
      <alignment horizontal="center"/>
    </xf>
    <xf numFmtId="1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0" fontId="8" fillId="0" borderId="0" pivotButton="0" quotePrefix="0" xfId="0"/>
    <xf numFmtId="166" fontId="6" fillId="4" borderId="1" applyAlignment="1" pivotButton="0" quotePrefix="0" xfId="0">
      <alignment horizontal="center"/>
    </xf>
    <xf numFmtId="0" fontId="9" fillId="0" borderId="0" pivotButton="0" quotePrefix="0" xfId="0"/>
    <xf numFmtId="167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49" fontId="6" fillId="4" borderId="1" applyAlignment="1" pivotButton="0" quotePrefix="0" xfId="0">
      <alignment horizontal="center"/>
    </xf>
    <xf numFmtId="0" fontId="1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2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del primario al régimen de estudio</a:t>
            </a:r>
          </a:p>
        </rich>
      </tx>
    </title>
    <plotArea>
      <scatterChart>
        <scatterStyle val="smoothMarker"/>
        <ser>
          <idx val="0"/>
          <order val="0"/>
          <tx>
            <v>Corriente del primario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'Datos'!$F$3:$F$51</f>
            </numRef>
          </xVal>
          <yVal>
            <numRef>
              <f>'Datos'!$G$3:$G$51</f>
            </numRef>
          </yVal>
          <smooth val="1"/>
        </ser>
        <ser>
          <idx val="1"/>
          <order val="1"/>
          <tx>
            <v>Apertura del ruptor (chispa)</v>
          </tx>
          <spPr>
            <a:ln xmlns:a="http://schemas.openxmlformats.org/drawingml/2006/main" w="28575">
              <a:solidFill>
                <a:srgbClr val="D730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'Datos'!$H$3:$H$4</f>
            </numRef>
          </xVal>
          <yVal>
            <numRef>
              <f>'Datos'!$I$3:$I$4</f>
            </numRef>
          </yVal>
          <smooth val="0"/>
        </ser>
        <axId val="10"/>
        <axId val="20"/>
      </scatterChart>
      <valAx>
        <axId val="10"/>
        <scaling>
          <orientation val="minMax"/>
          <max val="12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desde el cierre del ruptor [ms]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Corriente [A]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Corriente de corte y energía según el régimen</a:t>
            </a:r>
          </a:p>
        </rich>
      </tx>
    </title>
    <plotArea>
      <scatterChart>
        <scatterStyle val="smoothMarker"/>
        <ser>
          <idx val="0"/>
          <order val="0"/>
          <tx>
            <v>Corriente de corte (A)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'Datos'!$A$3:$A$29</f>
            </numRef>
          </xVal>
          <yVal>
            <numRef>
              <f>'Datos'!$C$3:$C$29</f>
            </numRef>
          </yVal>
          <smooth val="1"/>
        </ser>
        <axId val="10"/>
        <axId val="20"/>
      </scatterChart>
      <scatterChart>
        <scatterStyle val="smoothMarker"/>
        <ser>
          <idx val="1"/>
          <order val="1"/>
          <tx>
            <v>Energía (mJ)</v>
          </tx>
          <spPr>
            <a:ln xmlns:a="http://schemas.openxmlformats.org/drawingml/2006/main" w="28575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'Datos'!$A$3:$A$29</f>
            </numRef>
          </xVal>
          <yVal>
            <numRef>
              <f>'Datos'!$D$3:$D$29</f>
            </numRef>
          </yVal>
          <smooth val="1"/>
        </ser>
        <axId val="10"/>
        <axId val="20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 del motor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Corriente [A]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Energía [mJ]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al encendido según el régimen</a:t>
            </a:r>
          </a:p>
        </rich>
      </tx>
    </title>
    <plotArea>
      <scatterChart>
        <scatterStyle val="lineMarker"/>
        <ser>
          <idx val="0"/>
          <order val="0"/>
          <tx>
            <v>Solo centrífugo</v>
          </tx>
          <spPr>
            <a:ln xmlns:a="http://schemas.openxmlformats.org/drawingml/2006/main" w="1905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'Datos'!$K$3:$K$31</f>
            </numRef>
          </xVal>
          <yVal>
            <numRef>
              <f>'Datos'!$L$3:$L$31</f>
            </numRef>
          </yVal>
          <smooth val="0"/>
        </ser>
        <ser>
          <idx val="1"/>
          <order val="1"/>
          <tx>
            <v>Total a plena carga</v>
          </tx>
          <spPr>
            <a:ln xmlns:a="http://schemas.openxmlformats.org/drawingml/2006/main" w="28575">
              <a:solidFill>
                <a:srgbClr val="D73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'Datos'!$K$3:$K$31</f>
            </numRef>
          </xVal>
          <yVal>
            <numRef>
              <f>'Datos'!$M$3:$M$31</f>
            </numRef>
          </yVal>
          <smooth val="0"/>
        </ser>
        <ser>
          <idx val="2"/>
          <order val="2"/>
          <tx>
            <v>Total a carga parcial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'Datos'!$K$3:$K$31</f>
            </numRef>
          </xVal>
          <yVal>
            <numRef>
              <f>'Datos'!$N$3:$N$31</f>
            </numRef>
          </yVal>
          <smooth val="0"/>
        </ser>
        <axId val="10"/>
        <axId val="20"/>
      </scatterChart>
      <valAx>
        <axId val="10"/>
        <scaling>
          <orientation val="minMax"/>
          <max val="7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 del motor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Avance [° antes del PMS]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Corrector de vacío</a:t>
            </a:r>
          </a:p>
        </rich>
      </tx>
    </title>
    <plotArea>
      <scatterChart>
        <scatterStyle val="lineMarker"/>
        <ser>
          <idx val="0"/>
          <order val="0"/>
          <tx>
            <v>Avance por vacío</v>
          </tx>
          <spPr>
            <a:ln xmlns:a="http://schemas.openxmlformats.org/drawingml/2006/main" w="28575">
              <a:solidFill>
                <a:srgbClr val="2E9E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'Datos'!$P$3:$P$27</f>
            </numRef>
          </xVal>
          <yVal>
            <numRef>
              <f>'Datos'!$Q$3:$Q$27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Depresión en la toma [mbar]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Avance por vacío [°]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Gases en % según λ</a:t>
            </a:r>
          </a:p>
        </rich>
      </tx>
    </title>
    <plotArea>
      <scatterChart>
        <scatterStyle val="smoothMarker"/>
        <ser>
          <idx val="0"/>
          <order val="0"/>
          <tx>
            <v>CO (%)</v>
          </tx>
          <spPr>
            <a:ln xmlns:a="http://schemas.openxmlformats.org/drawingml/2006/main" w="28575">
              <a:solidFill>
                <a:srgbClr val="D73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'Datos'!$S$3:$S$53</f>
            </numRef>
          </xVal>
          <yVal>
            <numRef>
              <f>'Datos'!$T$3:$T$53</f>
            </numRef>
          </yVal>
          <smooth val="1"/>
        </ser>
        <ser>
          <idx val="1"/>
          <order val="1"/>
          <tx>
            <v>CO₂ (%)</v>
          </tx>
          <spPr>
            <a:ln xmlns:a="http://schemas.openxmlformats.org/drawingml/2006/main" w="28575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'Datos'!$S$3:$S$53</f>
            </numRef>
          </xVal>
          <yVal>
            <numRef>
              <f>'Datos'!$U$3:$U$53</f>
            </numRef>
          </yVal>
          <smooth val="1"/>
        </ser>
        <ser>
          <idx val="2"/>
          <order val="2"/>
          <tx>
            <v>O₂ (%)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'Datos'!$S$3:$S$53</f>
            </numRef>
          </xVal>
          <yVal>
            <numRef>
              <f>'Datos'!$V$3:$V$53</f>
            </numRef>
          </yVal>
          <smooth val="1"/>
        </ser>
        <ser>
          <idx val="3"/>
          <order val="3"/>
          <tx>
            <v>λ actual</v>
          </tx>
          <spPr>
            <a:ln xmlns:a="http://schemas.openxmlformats.org/drawingml/2006/main" w="1905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'Datos'!$Z$3:$Z$4</f>
            </numRef>
          </xVal>
          <yVal>
            <numRef>
              <f>'Datos'!$AA$3:$AA$4</f>
            </numRef>
          </yVal>
          <smooth val="0"/>
        </ser>
        <axId val="10"/>
        <axId val="20"/>
      </scatterChart>
      <valAx>
        <axId val="10"/>
        <scaling>
          <orientation val="minMax"/>
          <max val="1.3"/>
          <min val="0.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 lambda λ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Concentración [%]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Gases en ppm según λ</a:t>
            </a:r>
          </a:p>
        </rich>
      </tx>
    </title>
    <plotArea>
      <scatterChart>
        <scatterStyle val="smoothMarker"/>
        <ser>
          <idx val="0"/>
          <order val="0"/>
          <tx>
            <v>HC (ppm)</v>
          </tx>
          <spPr>
            <a:ln xmlns:a="http://schemas.openxmlformats.org/drawingml/2006/main" w="28575">
              <a:solidFill>
                <a:srgbClr val="B886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'Datos'!$S$3:$S$53</f>
            </numRef>
          </xVal>
          <yVal>
            <numRef>
              <f>'Datos'!$W$3:$W$53</f>
            </numRef>
          </yVal>
          <smooth val="1"/>
        </ser>
        <ser>
          <idx val="1"/>
          <order val="1"/>
          <tx>
            <v>NOx (ppm)</v>
          </tx>
          <spPr>
            <a:ln xmlns:a="http://schemas.openxmlformats.org/drawingml/2006/main" w="28575">
              <a:solidFill>
                <a:srgbClr val="7B2FA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'Datos'!$S$3:$S$53</f>
            </numRef>
          </xVal>
          <yVal>
            <numRef>
              <f>'Datos'!$X$3:$X$53</f>
            </numRef>
          </yVal>
          <smooth val="1"/>
        </ser>
        <ser>
          <idx val="2"/>
          <order val="2"/>
          <tx>
            <v>λ actual</v>
          </tx>
          <spPr>
            <a:ln xmlns:a="http://schemas.openxmlformats.org/drawingml/2006/main" w="1905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'Datos'!$AB$3:$AB$4</f>
            </numRef>
          </xVal>
          <yVal>
            <numRef>
              <f>'Datos'!$AC$3:$AC$4</f>
            </numRef>
          </yVal>
          <smooth val="0"/>
        </ser>
        <axId val="10"/>
        <axId val="20"/>
      </scatterChart>
      <valAx>
        <axId val="10"/>
        <scaling>
          <orientation val="minMax"/>
          <max val="1.3"/>
          <min val="0.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 lambda λ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Concentración [ppm]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Depresión en el difusor según el régimen</a:t>
            </a:r>
          </a:p>
        </rich>
      </tx>
    </title>
    <plotArea>
      <scatterChart>
        <scatterStyle val="smoothMarker"/>
        <ser>
          <idx val="0"/>
          <order val="0"/>
          <tx>
            <v>Depresión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venturi'!$A$3:$A$30</f>
            </numRef>
          </xVal>
          <yVal>
            <numRef>
              <f>'Datos venturi'!$B$3:$B$30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Δp [mmH₂O]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Riqueza de la mezcla (λ) según el régimen</a:t>
            </a:r>
          </a:p>
        </rich>
      </tx>
    </title>
    <plotArea>
      <scatterChart>
        <scatterStyle val="smoothMarker"/>
        <ser>
          <idx val="0"/>
          <order val="0"/>
          <tx>
            <v>λ del circuito principal</v>
          </tx>
          <spPr>
            <a:ln xmlns:a="http://schemas.openxmlformats.org/drawingml/2006/main" w="28575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venturi'!$A$3:$A$30</f>
            </numRef>
          </xVal>
          <yVal>
            <numRef>
              <f>'Datos venturi'!$C$3:$C$30</f>
            </numRef>
          </yVal>
          <smooth val="1"/>
        </ser>
        <ser>
          <idx val="1"/>
          <order val="1"/>
          <tx>
            <v>λ = 1</v>
          </tx>
          <spPr>
            <a:ln xmlns:a="http://schemas.openxmlformats.org/drawingml/2006/main" w="15875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venturi'!$A$3:$A$30</f>
            </numRef>
          </xVal>
          <yVal>
            <numRef>
              <f>'Datos venturi'!$D$3:$D$30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λ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Oscilograma del secundario: ciclo completo de un cilindro</a:t>
            </a:r>
          </a:p>
        </rich>
      </tx>
    </title>
    <plotArea>
      <scatterChart>
        <scatterStyle val="lineMarker"/>
        <ser>
          <idx val="0"/>
          <order val="0"/>
          <tx>
            <v>Tensión secundaria</v>
          </tx>
          <spPr>
            <a:ln xmlns:a="http://schemas.openxmlformats.org/drawingml/2006/main" w="19050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oscilograma'!$C$14:$C$176</f>
            </numRef>
          </xVal>
          <yVal>
            <numRef>
              <f>'Datos oscilograma'!$D$14:$D$176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[ms]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0"/>
          <min val="-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Tensión [kV]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Detalle: línea de encendido, chispa y oscilaciones (primeros 6 ms)</a:t>
            </a:r>
          </a:p>
        </rich>
      </tx>
    </title>
    <plotArea>
      <scatterChart>
        <scatterStyle val="lineMarker"/>
        <ser>
          <idx val="0"/>
          <order val="0"/>
          <tx>
            <v>Tensión secundaria</v>
          </tx>
          <spPr>
            <a:ln xmlns:a="http://schemas.openxmlformats.org/drawingml/2006/main" w="19050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oscilograma'!$C$14:$C$176</f>
            </numRef>
          </xVal>
          <yVal>
            <numRef>
              <f>'Datos oscilograma'!$D$14:$D$176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[ms]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30"/>
          <min val="-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Tensión [kV]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Simulador</author>
  </authors>
  <commentList>
    <comment ref="B6" authorId="0" shapeId="0">
      <text>
        <t>Ángulo que el ruptor permanece cerrado. Típico 4 cil.: 50–54°. Más separación de contactos = menos Dwell.</t>
      </text>
    </comment>
    <comment ref="B7" authorId="0" shapeId="0">
      <text>
        <t>Tensión de carga con el motor en marcha.</t>
      </text>
    </comment>
    <comment ref="B8" authorId="0" shapeId="0">
      <text>
        <t>Bobina + resistencia adicional (balasto). Valor de ejemplo.</t>
      </text>
    </comment>
    <comment ref="B9" authorId="0" shapeId="0">
      <text>
        <t>Valor de ejemplo de una bobina convencional.</t>
      </text>
    </comment>
  </commentList>
</comments>
</file>

<file path=xl/comments/comment2.xml><?xml version="1.0" encoding="utf-8"?>
<comments xmlns="http://schemas.openxmlformats.org/spreadsheetml/2006/main">
  <authors>
    <author>Simulador</author>
  </authors>
  <commentList>
    <comment ref="B5" authorId="0" shapeId="0">
      <text>
        <t>Se cala con lámpara estroboscópica a ralentí y con el vacío desconectado.</t>
      </text>
    </comment>
    <comment ref="B6" authorId="0" shapeId="0">
      <text>
        <t>Régimen al que los contrapesos empiezan a abrirse.</t>
      </text>
    </comment>
    <comment ref="B8" authorId="0" shapeId="0">
      <text>
        <t>Si la ficha da grados de distribuidor y rpm de distribuidor, multiplique ambos por 2.</t>
      </text>
    </comment>
    <comment ref="B9" authorId="0" shapeId="0">
      <text>
        <t>Depresión en la toma del carburador a la que la cápsula empieza a actuar.</t>
      </text>
    </comment>
    <comment ref="B12" authorId="0" shapeId="0">
      <text>
        <t>A plena carga la depresión es casi nula y el avance por vacío desaparece.</t>
      </text>
    </comment>
  </commentList>
</comments>
</file>

<file path=xl/comments/comment3.xml><?xml version="1.0" encoding="utf-8"?>
<comments xmlns="http://schemas.openxmlformats.org/spreadsheetml/2006/main">
  <authors>
    <author>Simulador</author>
  </authors>
  <commentList>
    <comment ref="B5" authorId="0" shapeId="0">
      <text>
        <t>Valor de ejemplo a régimen medio.</t>
      </text>
    </comment>
    <comment ref="B7" authorId="0" shapeId="0">
      <text>
        <t>14,7 kg de aire por kg de gasolina.</t>
      </text>
    </comment>
  </commentList>
</comments>
</file>

<file path=xl/comments/comment4.xml><?xml version="1.0" encoding="utf-8"?>
<comments xmlns="http://schemas.openxmlformats.org/spreadsheetml/2006/main">
  <authors>
    <author>Simulador</author>
  </authors>
  <commentList>
    <comment ref="B7" authorId="0" shapeId="0">
      <text>
        <t>Fracción del cilindro que realmente se llena.</t>
      </text>
    </comment>
    <comment ref="B8" authorId="0" shapeId="0">
      <text>
        <t>Carga del motor; reduce el caudal de aire.</t>
      </text>
    </comment>
    <comment ref="B10" authorId="0" shapeId="0">
      <text>
        <t>Estrechamiento del venturi.</t>
      </text>
    </comment>
    <comment ref="B11" authorId="0" shapeId="0">
      <text>
        <t>Nivel del mar ≈ 1,20; Loja ≈ 0,95.</t>
      </text>
    </comment>
    <comment ref="B15" authorId="0" shapeId="0">
      <text>
        <t>Evita que la gasolina gotee con el motor parado.</t>
      </text>
    </comment>
  </commentList>
</comments>
</file>

<file path=xl/comments/comment5.xml><?xml version="1.0" encoding="utf-8"?>
<comments xmlns="http://schemas.openxmlformats.org/spreadsheetml/2006/main">
  <authors>
    <author>Simulador</author>
  </authors>
  <commentList>
    <comment ref="B5" authorId="0" shapeId="0">
      <text>
        <t>Use 600 a 3000 rpm (ralentí o régimen medio, como en el osciloscopio).</t>
      </text>
    </comment>
    <comment ref="B7" authorId="0" shapeId="0">
      <text>
        <t>Fracción del ciclo de cada cilindro con el primario cerrado.</t>
      </text>
    </comment>
    <comment ref="B8" authorId="0" shapeId="0">
      <text>
        <t>Elija una condición y observe cómo cambia la curva.</t>
      </text>
    </comment>
    <comment ref="B9" authorId="0" shapeId="0">
      <text>
        <t>SI: la hoja elige una falla oculta según el número de ejercicio.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3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2" customWidth="1" min="3" max="3"/>
  </cols>
  <sheetData>
    <row r="1">
      <c r="A1" s="1" t="inlineStr">
        <is>
          <t>Simulador 1 · Ángulo Dwell y saturación de la bobina (encendido convencional)</t>
        </is>
      </c>
    </row>
    <row r="2">
      <c r="A2" s="2" t="inlineStr">
        <is>
          <t>Sistemas del Funcionamiento del Motor (MA.02.06) · Unidad 2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Número de cilindros z</t>
        </is>
      </c>
      <c r="B5" s="5" t="n">
        <v>4</v>
      </c>
    </row>
    <row r="6">
      <c r="A6" s="4" t="inlineStr">
        <is>
          <t>Ángulo Dwell (° de distribuidor)</t>
        </is>
      </c>
      <c r="B6" s="5" t="n">
        <v>54</v>
      </c>
    </row>
    <row r="7">
      <c r="A7" s="4" t="inlineStr">
        <is>
          <t>Tensión de alimentación (V)</t>
        </is>
      </c>
      <c r="B7" s="5" t="n">
        <v>13.5</v>
      </c>
    </row>
    <row r="8">
      <c r="A8" s="4" t="inlineStr">
        <is>
          <t>Resistencia total del primario (Ω)</t>
        </is>
      </c>
      <c r="B8" s="5" t="n">
        <v>3</v>
      </c>
    </row>
    <row r="9">
      <c r="A9" s="4" t="inlineStr">
        <is>
          <t>Inductancia del primario (mH)</t>
        </is>
      </c>
      <c r="B9" s="5" t="n">
        <v>7</v>
      </c>
    </row>
    <row r="10">
      <c r="A10" s="4" t="inlineStr">
        <is>
          <t>Régimen de estudio (rpm del motor)</t>
        </is>
      </c>
      <c r="B10" s="5" t="n">
        <v>3000</v>
      </c>
    </row>
    <row r="12">
      <c r="A12" s="3" t="inlineStr">
        <is>
          <t>Resultados al régimen de estudio</t>
        </is>
      </c>
      <c r="B12" s="3" t="inlineStr">
        <is>
          <t>Valor</t>
        </is>
      </c>
      <c r="C12" s="3" t="inlineStr">
        <is>
          <t>Cómo se obtiene</t>
        </is>
      </c>
    </row>
    <row r="13">
      <c r="A13" s="6" t="inlineStr">
        <is>
          <t>Ángulo entre chispas (° de distribuidor)</t>
        </is>
      </c>
      <c r="B13" s="7">
        <f>360/B5</f>
        <v/>
      </c>
      <c r="C13" s="8" t="inlineStr">
        <is>
          <t>360° / z</t>
        </is>
      </c>
    </row>
    <row r="14">
      <c r="A14" s="6" t="inlineStr">
        <is>
          <t>Dwell en porcentaje (%)</t>
        </is>
      </c>
      <c r="B14" s="9">
        <f>B6/B13</f>
        <v/>
      </c>
      <c r="C14" s="8" t="inlineStr">
        <is>
          <t>Dwell / ángulo entre chispas</t>
        </is>
      </c>
    </row>
    <row r="15">
      <c r="A15" s="6" t="inlineStr">
        <is>
          <t>Dwell en grados de cigüeñal</t>
        </is>
      </c>
      <c r="B15" s="10">
        <f>2*B6</f>
        <v/>
      </c>
      <c r="C15" s="8" t="inlineStr">
        <is>
          <t>El distribuidor gira a la mitad que el cigüeñal</t>
        </is>
      </c>
    </row>
    <row r="16">
      <c r="A16" s="6" t="inlineStr">
        <is>
          <t>Constante de tiempo τ = L / R (ms)</t>
        </is>
      </c>
      <c r="B16" s="11">
        <f>B9/B8</f>
        <v/>
      </c>
      <c r="C16" s="8" t="inlineStr">
        <is>
          <t>Tiempo para alcanzar el 63 % de la corriente máxima</t>
        </is>
      </c>
    </row>
    <row r="17">
      <c r="A17" s="6" t="inlineStr">
        <is>
          <t>Corriente máxima posible V / R (A)</t>
        </is>
      </c>
      <c r="B17" s="11">
        <f>B7/B8</f>
        <v/>
      </c>
    </row>
    <row r="18">
      <c r="A18" s="6" t="inlineStr">
        <is>
          <t>Tiempo de cierre del ruptor (ms)</t>
        </is>
      </c>
      <c r="B18" s="11">
        <f>B6*120000/(360*B10)</f>
        <v/>
      </c>
      <c r="C18" s="8" t="inlineStr">
        <is>
          <t>t = Dwell/360 · 60/(n/2)</t>
        </is>
      </c>
    </row>
    <row r="19">
      <c r="A19" s="6" t="inlineStr">
        <is>
          <t>Corriente en el instante de corte (A)</t>
        </is>
      </c>
      <c r="B19" s="11">
        <f>B17*(1-EXP(-B18/B16))</f>
        <v/>
      </c>
      <c r="C19" s="8" t="inlineStr">
        <is>
          <t>I = V/R · (1 − e^(−t/τ))</t>
        </is>
      </c>
    </row>
    <row r="20">
      <c r="A20" s="6" t="inlineStr">
        <is>
          <t>Energía almacenada en la bobina (mJ)</t>
        </is>
      </c>
      <c r="B20" s="7">
        <f>0.5*B9*B19^2</f>
        <v/>
      </c>
      <c r="C20" s="8" t="inlineStr">
        <is>
          <t>E = ½ · L · I²</t>
        </is>
      </c>
    </row>
    <row r="21">
      <c r="A21" s="6" t="inlineStr">
        <is>
          <t>Saturación alcanzada (%)</t>
        </is>
      </c>
      <c r="B21" s="9">
        <f>B19/B17</f>
        <v/>
      </c>
    </row>
    <row r="23">
      <c r="A23" s="12">
        <f>IF(B21&lt;0.8,"A este régimen la bobina no se carga del todo: la chispa se debilita","La bobina alcanza buena saturación a este régimen")</f>
        <v/>
      </c>
    </row>
    <row r="25">
      <c r="A25" s="2" t="inlineStr">
        <is>
          <t>Modelo: circuito RL del primario. No incluye la tensión inducida en el secundario ni las pérdidas del condensador.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2" customWidth="1" min="3" max="3"/>
  </cols>
  <sheetData>
    <row r="1">
      <c r="A1" s="1" t="inlineStr">
        <is>
          <t>Simulador 2 · Curva de avance al encendido (centrífugo + vacío)</t>
        </is>
      </c>
    </row>
    <row r="2">
      <c r="A2" s="2" t="inlineStr">
        <is>
          <t>Sistemas del Funcionamiento del Motor (MA.02.06) · Unidad 2 · Edite solo las celdas amarillas (texto azul); todo lo demás se recalcula.</t>
        </is>
      </c>
    </row>
    <row r="4">
      <c r="A4" s="3" t="inlineStr">
        <is>
          <t>Datos de entrada (grados de cigüeñal)</t>
        </is>
      </c>
      <c r="B4" s="3" t="inlineStr">
        <is>
          <t>Valor</t>
        </is>
      </c>
    </row>
    <row r="5">
      <c r="A5" s="4" t="inlineStr">
        <is>
          <t>Avance inicial o estático (°)</t>
        </is>
      </c>
      <c r="B5" s="5" t="n">
        <v>8</v>
      </c>
    </row>
    <row r="6">
      <c r="A6" s="4" t="inlineStr">
        <is>
          <t>Centrífugo: régimen de inicio (rpm)</t>
        </is>
      </c>
      <c r="B6" s="5" t="n">
        <v>1000</v>
      </c>
    </row>
    <row r="7">
      <c r="A7" s="4" t="inlineStr">
        <is>
          <t>Centrífugo: régimen de avance máximo (rpm)</t>
        </is>
      </c>
      <c r="B7" s="5" t="n">
        <v>4000</v>
      </c>
    </row>
    <row r="8">
      <c r="A8" s="4" t="inlineStr">
        <is>
          <t>Centrífugo: avance máximo (°)</t>
        </is>
      </c>
      <c r="B8" s="5" t="n">
        <v>24</v>
      </c>
    </row>
    <row r="9">
      <c r="A9" s="4" t="inlineStr">
        <is>
          <t>Vacío: depresión de inicio (mbar)</t>
        </is>
      </c>
      <c r="B9" s="5" t="n">
        <v>100</v>
      </c>
    </row>
    <row r="10">
      <c r="A10" s="4" t="inlineStr">
        <is>
          <t>Vacío: depresión de avance máximo (mbar)</t>
        </is>
      </c>
      <c r="B10" s="5" t="n">
        <v>350</v>
      </c>
    </row>
    <row r="11">
      <c r="A11" s="4" t="inlineStr">
        <is>
          <t>Vacío: avance máximo (°)</t>
        </is>
      </c>
      <c r="B11" s="5" t="n">
        <v>15</v>
      </c>
    </row>
    <row r="12">
      <c r="A12" s="4" t="inlineStr">
        <is>
          <t>Depresión a carga parcial que se estudia (mbar)</t>
        </is>
      </c>
      <c r="B12" s="5" t="n">
        <v>300</v>
      </c>
    </row>
    <row r="13">
      <c r="A13" s="4" t="inlineStr">
        <is>
          <t>Régimen de estudio (rpm)</t>
        </is>
      </c>
      <c r="B13" s="5" t="n">
        <v>3000</v>
      </c>
    </row>
    <row r="15">
      <c r="A15" s="3" t="inlineStr">
        <is>
          <t>Resultados al régimen de estudio</t>
        </is>
      </c>
      <c r="B15" s="3" t="inlineStr">
        <is>
          <t>Valor</t>
        </is>
      </c>
      <c r="C15" s="3" t="inlineStr">
        <is>
          <t>Cómo se obtiene</t>
        </is>
      </c>
    </row>
    <row r="16">
      <c r="A16" s="6" t="inlineStr">
        <is>
          <t>Avance centrífugo (°)</t>
        </is>
      </c>
      <c r="B16" s="7">
        <f>B8*MIN(1,MAX(0,(B13-B6)/(B7-B6)))</f>
        <v/>
      </c>
      <c r="C16" s="8" t="inlineStr">
        <is>
          <t>Lineal entre el régimen de inicio y el de máximo</t>
        </is>
      </c>
    </row>
    <row r="17">
      <c r="A17" s="6" t="inlineStr">
        <is>
          <t>Avance por vacío (°)</t>
        </is>
      </c>
      <c r="B17" s="7">
        <f>B11*MIN(1,MAX(0,(B12-B9)/(B10-B9)))</f>
        <v/>
      </c>
      <c r="C17" s="8" t="inlineStr">
        <is>
          <t>Lineal entre la depresión de inicio y la de máximo</t>
        </is>
      </c>
    </row>
    <row r="18">
      <c r="A18" s="6" t="inlineStr">
        <is>
          <t>Avance total a plena carga (°)</t>
        </is>
      </c>
      <c r="B18" s="7">
        <f>B5+B16</f>
        <v/>
      </c>
      <c r="C18" s="8" t="inlineStr">
        <is>
          <t>Inicial + centrífugo</t>
        </is>
      </c>
    </row>
    <row r="19">
      <c r="A19" s="6" t="inlineStr">
        <is>
          <t>Avance total a carga parcial (°)</t>
        </is>
      </c>
      <c r="B19" s="7">
        <f>B18+B17</f>
        <v/>
      </c>
      <c r="C19" s="8" t="inlineStr">
        <is>
          <t>Inicial + centrífugo + vacío</t>
        </is>
      </c>
    </row>
    <row r="20">
      <c r="A20" s="6" t="inlineStr">
        <is>
          <t>Tiempo que la chispa se adelanta al PMS (ms)</t>
        </is>
      </c>
      <c r="B20" s="11">
        <f>B19/(6*B13)*1000</f>
        <v/>
      </c>
      <c r="C20" s="8" t="inlineStr">
        <is>
          <t>t = grados / (6·n)</t>
        </is>
      </c>
    </row>
    <row r="22">
      <c r="A22" s="2" t="inlineStr">
        <is>
          <t>Modelo didáctico con un solo tramo lineal por corrector; los distribuidores reales pueden tener dos pendientes (dos muelles).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2" customWidth="1" min="3" max="3"/>
  </cols>
  <sheetData>
    <row r="1">
      <c r="A1" s="1" t="inlineStr">
        <is>
          <t>Simulador 3 · Relación aire-combustible, factor lambda y gases de escape</t>
        </is>
      </c>
    </row>
    <row r="2">
      <c r="A2" s="2" t="inlineStr">
        <is>
          <t>Sistemas del Funcionamiento del Motor (MA.02.06) · Unidad 2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Masa de aire aspirada (kg/h)</t>
        </is>
      </c>
      <c r="B5" s="5" t="n">
        <v>120</v>
      </c>
    </row>
    <row r="6">
      <c r="A6" s="4" t="inlineStr">
        <is>
          <t>Masa de combustible (kg/h)</t>
        </is>
      </c>
      <c r="B6" s="5" t="n">
        <v>8.6</v>
      </c>
    </row>
    <row r="7">
      <c r="A7" s="4" t="inlineStr">
        <is>
          <t>Relación estequiométrica de la gasolina</t>
        </is>
      </c>
      <c r="B7" s="5" t="n">
        <v>14.7</v>
      </c>
    </row>
    <row r="9">
      <c r="A9" s="3" t="inlineStr">
        <is>
          <t>Resultados</t>
        </is>
      </c>
      <c r="B9" s="3" t="inlineStr">
        <is>
          <t>Valor</t>
        </is>
      </c>
      <c r="C9" s="3" t="inlineStr">
        <is>
          <t>Interpretación</t>
        </is>
      </c>
    </row>
    <row r="10">
      <c r="A10" s="6" t="inlineStr">
        <is>
          <t>Relación aire-combustible real (AFR)</t>
        </is>
      </c>
      <c r="B10" s="7">
        <f>B5/B6</f>
        <v/>
      </c>
    </row>
    <row r="11">
      <c r="A11" s="6" t="inlineStr">
        <is>
          <t>Factor lambda λ</t>
        </is>
      </c>
      <c r="B11" s="13">
        <f>B10/B7</f>
        <v/>
      </c>
      <c r="C11" s="14">
        <f>IF(B11&lt;0.97,"Mezcla rica: falta aire",IF(B11&gt;1.03,"Mezcla pobre: sobra aire","Mezcla estequiométrica (ventana lambda)"))</f>
        <v/>
      </c>
    </row>
    <row r="12">
      <c r="A12" s="6" t="inlineStr">
        <is>
          <t>CO estimado (%)</t>
        </is>
      </c>
      <c r="B12" s="11">
        <f>IF(B11&lt;1,0.3+33*(1-B11),0.3*EXP(-15*(B11-1)))</f>
        <v/>
      </c>
      <c r="C12" s="8" t="inlineStr">
        <is>
          <t>Sube con la mezcla rica (falta oxígeno)</t>
        </is>
      </c>
    </row>
    <row r="13">
      <c r="A13" s="6" t="inlineStr">
        <is>
          <t>CO₂ estimado (%)</t>
        </is>
      </c>
      <c r="B13" s="7">
        <f>IF(B11&lt;1,14.7-22*(1-B11),14.7/B11)</f>
        <v/>
      </c>
      <c r="C13" s="8" t="inlineStr">
        <is>
          <t>Máximo cerca de λ = 1: combustión completa</t>
        </is>
      </c>
    </row>
    <row r="14">
      <c r="A14" s="6" t="inlineStr">
        <is>
          <t>O₂ estimado (%)</t>
        </is>
      </c>
      <c r="B14" s="11">
        <f>IF(B11&gt;1,0.3+20.9*(B11-1)/B11,0.3*EXP(-10*(1-B11)))</f>
        <v/>
      </c>
      <c r="C14" s="8" t="inlineStr">
        <is>
          <t>Sube con la mezcla pobre o con fallos de encendido</t>
        </is>
      </c>
    </row>
    <row r="15">
      <c r="A15" s="6" t="inlineStr">
        <is>
          <t>HC estimado (ppm)</t>
        </is>
      </c>
      <c r="B15" s="10">
        <f>IF(B11&lt;1.05,120+18000*(B11-1.05)^2,120+IF(B11&gt;1.15,40000*(B11-1.15)^2,0))</f>
        <v/>
      </c>
      <c r="C15" s="8" t="inlineStr">
        <is>
          <t>Combustible sin quemar: rica o fallo de encendido</t>
        </is>
      </c>
    </row>
    <row r="16">
      <c r="A16" s="6" t="inlineStr">
        <is>
          <t>NOx estimado (ppm)</t>
        </is>
      </c>
      <c r="B16" s="10">
        <f>2800*EXP(-1*((B11-1.08)/0.12)^2)</f>
        <v/>
      </c>
      <c r="C16" s="8" t="inlineStr">
        <is>
          <t>Máximo ligeramente pobre: mucha temperatura y oxígeno</t>
        </is>
      </c>
    </row>
    <row r="18">
      <c r="A18" s="2" t="inlineStr">
        <is>
          <t>Modelo cualitativo de un motor de gasolina sin catalizador; los valores son orientativos para interpretar el analizador, no datos de un motor concreto.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50" customWidth="1" min="3" max="3"/>
  </cols>
  <sheetData>
    <row r="1">
      <c r="A1" s="1" t="inlineStr">
        <is>
          <t>Simulador · Venturi del carburador: depresión y dosificación (Bernoulli)</t>
        </is>
      </c>
    </row>
    <row r="2">
      <c r="A2" s="2" t="inlineStr">
        <is>
          <t>Sistemas del Funcionamiento del Motor (MA.02.06) · Unidad 2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Cilindrada total VT (cm³)</t>
        </is>
      </c>
      <c r="B5" s="5" t="n">
        <v>1600</v>
      </c>
    </row>
    <row r="6">
      <c r="A6" s="4" t="inlineStr">
        <is>
          <t>Régimen n (rpm)</t>
        </is>
      </c>
      <c r="B6" s="5" t="n">
        <v>3000</v>
      </c>
    </row>
    <row r="7">
      <c r="A7" s="4" t="inlineStr">
        <is>
          <t>Rendimiento volumétrico ηv</t>
        </is>
      </c>
      <c r="B7" s="5" t="n">
        <v>0.8</v>
      </c>
    </row>
    <row r="8">
      <c r="A8" s="4" t="inlineStr">
        <is>
          <t>Apertura de la mariposa (%)</t>
        </is>
      </c>
      <c r="B8" s="5" t="n">
        <v>100</v>
      </c>
    </row>
    <row r="9">
      <c r="A9" s="4" t="inlineStr">
        <is>
          <t>Diámetro del colector d1 (mm)</t>
        </is>
      </c>
      <c r="B9" s="5" t="n">
        <v>32</v>
      </c>
    </row>
    <row r="10">
      <c r="A10" s="4" t="inlineStr">
        <is>
          <t>Diámetro del difusor d2 (mm)</t>
        </is>
      </c>
      <c r="B10" s="5" t="n">
        <v>24</v>
      </c>
    </row>
    <row r="11">
      <c r="A11" s="4" t="inlineStr">
        <is>
          <t>Densidad del aire ρa (kg/m³)</t>
        </is>
      </c>
      <c r="B11" s="5" t="n">
        <v>0.95</v>
      </c>
    </row>
    <row r="12">
      <c r="A12" s="4" t="inlineStr">
        <is>
          <t>Diámetro del chiclé principal (mm)</t>
        </is>
      </c>
      <c r="B12" s="5" t="n">
        <v>1.55</v>
      </c>
    </row>
    <row r="13">
      <c r="A13" s="4" t="inlineStr">
        <is>
          <t>Coeficiente de descarga del chiclé Cd</t>
        </is>
      </c>
      <c r="B13" s="5" t="n">
        <v>0.7</v>
      </c>
    </row>
    <row r="14">
      <c r="A14" s="4" t="inlineStr">
        <is>
          <t>Densidad de la gasolina ρc (kg/m³)</t>
        </is>
      </c>
      <c r="B14" s="5" t="n">
        <v>740</v>
      </c>
    </row>
    <row r="15">
      <c r="A15" s="4" t="inlineStr">
        <is>
          <t>Desnivel del surtidor sobre la cuba h (mm)</t>
        </is>
      </c>
      <c r="B15" s="5" t="n">
        <v>5</v>
      </c>
    </row>
    <row r="17">
      <c r="A17" s="3" t="inlineStr">
        <is>
          <t>Resultados</t>
        </is>
      </c>
      <c r="B17" s="3" t="inlineStr">
        <is>
          <t>Valor</t>
        </is>
      </c>
      <c r="C17" s="3" t="inlineStr">
        <is>
          <t>Cómo se obtiene</t>
        </is>
      </c>
    </row>
    <row r="18">
      <c r="A18" s="6" t="inlineStr">
        <is>
          <t>Caudal de aire Q (m³/s)</t>
        </is>
      </c>
      <c r="B18" s="15">
        <f>B5/1000000*B6/2/60*B7*B8/100</f>
        <v/>
      </c>
      <c r="C18" s="8" t="inlineStr">
        <is>
          <t>Q = VT·(n/2)/60·ηv·apertura</t>
        </is>
      </c>
    </row>
    <row r="19">
      <c r="A19" s="6" t="inlineStr">
        <is>
          <t>Velocidad en el colector v1 (m/s)</t>
        </is>
      </c>
      <c r="B19" s="7">
        <f>B18/(PI()/4*(B9/1000)^2)</f>
        <v/>
      </c>
      <c r="C19" s="8" t="inlineStr">
        <is>
          <t>v = Q/A</t>
        </is>
      </c>
    </row>
    <row r="20">
      <c r="A20" s="6" t="inlineStr">
        <is>
          <t>Velocidad en el difusor v2 (m/s)</t>
        </is>
      </c>
      <c r="B20" s="7">
        <f>B18/(PI()/4*(B10/1000)^2)</f>
        <v/>
      </c>
    </row>
    <row r="21">
      <c r="A21" s="6" t="inlineStr">
        <is>
          <t>Depresión en el difusor Δp (Pa)</t>
        </is>
      </c>
      <c r="B21" s="16">
        <f>B11/2*(B20^2-B19^2)</f>
        <v/>
      </c>
      <c r="C21" s="8" t="inlineStr">
        <is>
          <t>Bernoulli: Δp = ρa/2·(v2² − v1²)</t>
        </is>
      </c>
    </row>
    <row r="22">
      <c r="A22" s="6" t="inlineStr">
        <is>
          <t>Depresión en mm de columna de agua</t>
        </is>
      </c>
      <c r="B22" s="10">
        <f>B21/9.81</f>
        <v/>
      </c>
      <c r="C22" s="8" t="inlineStr">
        <is>
          <t>1 mmH₂O = 9,81 Pa</t>
        </is>
      </c>
    </row>
    <row r="23">
      <c r="A23" s="6" t="inlineStr">
        <is>
          <t>Depresión necesaria para elevar la gasolina (Pa)</t>
        </is>
      </c>
      <c r="B23" s="7">
        <f>B14*9.81*B15/1000</f>
        <v/>
      </c>
      <c r="C23" s="8" t="inlineStr">
        <is>
          <t>ρc·g·h</t>
        </is>
      </c>
    </row>
    <row r="24">
      <c r="A24" s="6" t="inlineStr">
        <is>
          <t>Masa de aire (g/s)</t>
        </is>
      </c>
      <c r="B24" s="11">
        <f>B11*B18*1000</f>
        <v/>
      </c>
    </row>
    <row r="25">
      <c r="A25" s="6" t="inlineStr">
        <is>
          <t>Masa de gasolina (g/s)</t>
        </is>
      </c>
      <c r="B25" s="13">
        <f>IF(B21&gt;B23,B13*PI()/4*(B12/1000)^2*SQRT(2*B14*(B21-B23))*1000,0)</f>
        <v/>
      </c>
      <c r="C25" s="8" t="inlineStr">
        <is>
          <t>ṁc = Cd·Achiclé·√(2·ρc·(Δp − ρc·g·h))</t>
        </is>
      </c>
    </row>
    <row r="26">
      <c r="A26" s="6" t="inlineStr">
        <is>
          <t>Relación aire/combustible A/C</t>
        </is>
      </c>
      <c r="B26" s="7">
        <f>IF(B25&gt;0,B24/B25,"sin flujo")</f>
        <v/>
      </c>
    </row>
    <row r="27">
      <c r="A27" s="6" t="inlineStr">
        <is>
          <t>Factor lambda λ</t>
        </is>
      </c>
      <c r="B27" s="11">
        <f>IF(B25&gt;0,B26/14.7,"—")</f>
        <v/>
      </c>
      <c r="C27" s="8" t="inlineStr">
        <is>
          <t>λ = (A/C)/14,7</t>
        </is>
      </c>
    </row>
    <row r="28">
      <c r="A28" s="6" t="inlineStr">
        <is>
          <t>Consumo de gasolina (L/h)</t>
        </is>
      </c>
      <c r="B28" s="7">
        <f>B25*3600/B14</f>
        <v/>
      </c>
    </row>
    <row r="30">
      <c r="A30" s="14">
        <f>IF(B25=0,"La depresión no alcanza para elevar la gasolina: el circuito principal no aporta (actúa el de ralentí)",IF(B27&lt;0.9,"Mezcla rica: chiclé grande o difusor pequeño",IF(B27&gt;1.1,"Mezcla pobre: chiclé pequeño, obstruido o difusor grande","Mezcla próxima a la estequiométrica")))</f>
        <v/>
      </c>
    </row>
    <row r="31">
      <c r="A31" s="2" t="inlineStr">
        <is>
          <t>Modelo didáctico de un carburador elemental (sin emulsión ni compensación). Muestra por qué se necesitan los circuitos de ralentí, compensación y enriquecimiento.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50" customWidth="1" min="3" max="3"/>
  </cols>
  <sheetData>
    <row r="1">
      <c r="A1" s="1" t="inlineStr">
        <is>
          <t>Simulador · Oscilograma del secundario de encendido y diagnóstico de fallas</t>
        </is>
      </c>
    </row>
    <row r="2">
      <c r="A2" s="2" t="inlineStr">
        <is>
          <t>Sistemas del Funcionamiento del Motor (MA.02.06) · Unidad 2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Régimen n (rpm)</t>
        </is>
      </c>
      <c r="B5" s="5" t="n">
        <v>900</v>
      </c>
    </row>
    <row r="6">
      <c r="A6" s="4" t="inlineStr">
        <is>
          <t>Número de cilindros z</t>
        </is>
      </c>
      <c r="B6" s="5" t="n">
        <v>4</v>
      </c>
    </row>
    <row r="7">
      <c r="A7" s="4" t="inlineStr">
        <is>
          <t>Ángulo de cierre (dwell, %)</t>
        </is>
      </c>
      <c r="B7" s="5" t="n">
        <v>55</v>
      </c>
    </row>
    <row r="8">
      <c r="A8" s="4" t="inlineStr">
        <is>
          <t>Falla a simular (modo práctica)</t>
        </is>
      </c>
      <c r="B8" s="5" t="inlineStr">
        <is>
          <t>Normal</t>
        </is>
      </c>
    </row>
    <row r="9">
      <c r="A9" s="4" t="inlineStr">
        <is>
          <t>Modo examen (SI/NO)</t>
        </is>
      </c>
      <c r="B9" s="5" t="inlineStr">
        <is>
          <t>NO</t>
        </is>
      </c>
    </row>
    <row r="10">
      <c r="A10" s="4" t="inlineStr">
        <is>
          <t>Número de ejercicio</t>
        </is>
      </c>
      <c r="B10" s="5" t="n">
        <v>1</v>
      </c>
    </row>
    <row r="11">
      <c r="A11" s="4" t="inlineStr">
        <is>
          <t>Su diagnóstico (modo examen)</t>
        </is>
      </c>
      <c r="B11" s="5" t="inlineStr">
        <is>
          <t>Normal</t>
        </is>
      </c>
    </row>
    <row r="13">
      <c r="A13" s="3" t="inlineStr">
        <is>
          <t>Lectura del oscilograma</t>
        </is>
      </c>
      <c r="B13" s="3" t="inlineStr">
        <is>
          <t>Valor</t>
        </is>
      </c>
      <c r="C13" s="3" t="inlineStr">
        <is>
          <t>Observación</t>
        </is>
      </c>
    </row>
    <row r="14">
      <c r="A14" s="6" t="inlineStr">
        <is>
          <t>Falla simulada</t>
        </is>
      </c>
      <c r="B14" s="17">
        <f>IF(B9="SI","(oculta)",B8)</f>
        <v/>
      </c>
    </row>
    <row r="15">
      <c r="A15" s="6" t="inlineStr">
        <is>
          <t>Tiempo de un ciclo de encendido (ms)</t>
        </is>
      </c>
      <c r="B15" s="7">
        <f>120000/(B5*B6)</f>
        <v/>
      </c>
      <c r="C15" s="8" t="inlineStr">
        <is>
          <t>T = 120 000/(n·z)</t>
        </is>
      </c>
    </row>
    <row r="16">
      <c r="A16" s="6" t="inlineStr">
        <is>
          <t>Tiempo de cierre del primario (ms)</t>
        </is>
      </c>
      <c r="B16" s="7">
        <f>B15*B7/100</f>
        <v/>
      </c>
      <c r="C16" s="8" t="inlineStr">
        <is>
          <t>Dwell × T: tiempo de carga de la bobina</t>
        </is>
      </c>
    </row>
    <row r="17">
      <c r="A17" s="6" t="inlineStr">
        <is>
          <t>Tensión de encendido (kV)</t>
        </is>
      </c>
      <c r="B17" s="7">
        <f>INDEX('Datos oscilograma'!$B$3:$B$8,'Datos oscilograma'!$K$3)</f>
        <v/>
      </c>
      <c r="C17" s="8" t="inlineStr">
        <is>
          <t>Pico (línea de encendido)</t>
        </is>
      </c>
    </row>
    <row r="18">
      <c r="A18" s="6" t="inlineStr">
        <is>
          <t>Tensión de la chispa (kV)</t>
        </is>
      </c>
      <c r="B18" s="7">
        <f>INDEX('Datos oscilograma'!$C$3:$C$8,'Datos oscilograma'!$K$3)</f>
        <v/>
      </c>
    </row>
    <row r="19">
      <c r="A19" s="6" t="inlineStr">
        <is>
          <t>Duración de la chispa (ms)</t>
        </is>
      </c>
      <c r="B19" s="7">
        <f>INDEX('Datos oscilograma'!$D$3:$D$8,'Datos oscilograma'!$K$3)</f>
        <v/>
      </c>
    </row>
    <row r="21" ht="30" customHeight="1">
      <c r="A21" s="18">
        <f>IF(B9="SI",IF(B11=INDEX('Datos oscilograma'!$A$3:$A$8,'Datos oscilograma'!$K$3),"¡Correcto! "&amp;INDEX('Datos oscilograma'!$G$3:$G$8,'Datos oscilograma'!$K$3),"Incorrecto: observe de nuevo el pico, la línea de chispa y las oscilaciones."),INDEX('Datos oscilograma'!$G$3:$G$8,'Datos oscilograma'!$K$3))</f>
        <v/>
      </c>
    </row>
    <row r="22"/>
    <row r="23"/>
    <row r="25">
      <c r="A25" s="2" t="inlineStr">
        <is>
          <t>Partes del oscilograma: 1) línea de encendido (pico), 2) línea de chispa, 3) oscilaciones de la bobina, 4) cierre del primario (inicio del dwell) y 5) zona de dwell hasta el siguiente encendido.</t>
        </is>
      </c>
    </row>
  </sheetData>
  <mergeCells count="1">
    <mergeCell ref="A21:C23"/>
  </mergeCells>
  <dataValidations count="3">
    <dataValidation sqref="B8" showDropDown="0" showInputMessage="0" showErrorMessage="0" allowBlank="0" type="list">
      <formula1>'Datos oscilograma'!$A$3:$A$8</formula1>
    </dataValidation>
    <dataValidation sqref="B9" showDropDown="0" showInputMessage="0" showErrorMessage="0" allowBlank="0" type="list">
      <formula1>'Datos oscilograma'!$I$3:$I$4</formula1>
    </dataValidation>
    <dataValidation sqref="B11" showDropDown="0" showInputMessage="0" showErrorMessage="0" allowBlank="0" type="list">
      <formula1>'Datos oscilograma'!$A$3:$A$8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2">
      <c r="B2" s="19" t="inlineStr">
        <is>
          <t>Simuladores de la Unidad 2 · Alimentación, ignición y escape</t>
        </is>
      </c>
    </row>
    <row r="3">
      <c r="B3" s="20" t="inlineStr">
        <is>
          <t>Simulador 1 · Ángulo Dwell y saturación de la bobina</t>
        </is>
      </c>
    </row>
    <row r="4" ht="45" customHeight="1">
      <c r="B4" s="21" t="inlineStr">
        <is>
          <t>Cambie el Dwell y el régimen. El tiempo de cierre del ruptor se acorta al subir las rpm y la bobina ya no alcanza su corriente máxima: la energía de la chispa cae. Actividad: compare un motor de 4 y de 6 cilindros con el mismo Dwell en porcentaje.</t>
        </is>
      </c>
    </row>
    <row r="5">
      <c r="B5" s="20" t="inlineStr">
        <is>
          <t>Simulador 2 · Curva de avance</t>
        </is>
      </c>
    </row>
    <row r="6" ht="30" customHeight="1">
      <c r="B6" s="21" t="inlineStr">
        <is>
          <t>Ingrese los datos del distribuidor (ficha técnica o Autodata) y compare el avance a plena carga con el de carga parcial. Actividad: ¿qué avance total tendría el motor a 3000 rpm si se desconecta la cápsula de vacío?</t>
        </is>
      </c>
    </row>
    <row r="7">
      <c r="B7" s="20" t="inlineStr">
        <is>
          <t>Simulador 3 · Lambda y gases</t>
        </is>
      </c>
    </row>
    <row r="8" ht="30" customHeight="1">
      <c r="B8" s="21" t="inlineStr">
        <is>
          <t>Cambie la masa de aire o de combustible y observe cómo se mueven CO, CO₂, O₂, HC y NOx alrededor de λ = 1. Actividad: con una lectura del analizador del laboratorio, estime si la mezcla es rica o pobre y qué sistema revisaría.</t>
        </is>
      </c>
    </row>
    <row r="9">
      <c r="B9" s="20" t="inlineStr">
        <is>
          <t>Fuentes</t>
        </is>
      </c>
    </row>
    <row r="10" ht="45" customHeight="1">
      <c r="B10" s="21" t="inlineStr">
        <is>
          <t>Sánchez, E. (2011). Sistemas auxiliares del motor. Macmillan Iberia. · González Calleja, D. (2015). Motores térmicos y sus sistemas auxiliares. Paraninfo. · Los modelos de emisiones son cualitativos y se usan solo con fines didácticos.</t>
        </is>
      </c>
    </row>
    <row r="12">
      <c r="B12" s="22" t="inlineStr">
        <is>
          <t>Simuladores añadidos (octubre 2026)</t>
        </is>
      </c>
    </row>
    <row r="13">
      <c r="B13" s="20" t="inlineStr">
        <is>
          <t>Simulador · Venturi del carburador</t>
        </is>
      </c>
    </row>
    <row r="14" ht="60" customHeight="1">
      <c r="B14" s="21" t="inlineStr">
        <is>
          <t>Aplica la ecuación de Bernoulli al difusor y calcula la gasolina que sale por el chiclé. Observe que a bajo régimen la depresión no alcanza para elevar la gasolina (por eso existe el circuito de ralentí). Actividad: cambie el chiclé de 1,55 a 1,40 mm y lea cómo cambia λ; luego cambie la densidad del aire de 1,20 a 0,95 y explique el enriquecimiento en altura.</t>
        </is>
      </c>
    </row>
    <row r="15">
      <c r="B15" s="20" t="inlineStr">
        <is>
          <t>Simulador · Oscilograma del secundario</t>
        </is>
      </c>
    </row>
    <row r="16" ht="30" customHeight="1">
      <c r="B16" s="21" t="inlineStr">
        <is>
          <t>Elija una falla y observe el pico de encendido, la línea de chispa y las oscilaciones. En modo examen (SI) la hoja oculta la falla según el número de ejercicio: el estudiante elige su diagnóstico y recibe la corrección.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C8C"/>
    <outlinePr summaryBelow="1" summaryRight="1"/>
    <pageSetUpPr/>
  </sheetPr>
  <dimension ref="A2:AC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3" customWidth="1" min="6" max="6"/>
    <col width="13" customWidth="1" min="7" max="7"/>
    <col width="13" customWidth="1" min="8" max="8"/>
    <col width="13" customWidth="1" min="9" max="9"/>
    <col width="14" customWidth="1" min="11" max="11"/>
    <col width="14" customWidth="1" min="12" max="12"/>
    <col width="14" customWidth="1" min="13" max="13"/>
    <col width="14" customWidth="1" min="14" max="14"/>
    <col width="14" customWidth="1" min="16" max="16"/>
    <col width="14" customWidth="1" min="17" max="17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2">
      <c r="A2" s="3" t="inlineStr">
        <is>
          <t>Régimen (rpm)</t>
        </is>
      </c>
      <c r="B2" s="3" t="inlineStr">
        <is>
          <t>Tiempo de cierre (ms)</t>
        </is>
      </c>
      <c r="C2" s="3" t="inlineStr">
        <is>
          <t>Corriente de corte (A)</t>
        </is>
      </c>
      <c r="D2" s="3" t="inlineStr">
        <is>
          <t>Energía (mJ)</t>
        </is>
      </c>
      <c r="F2" s="3" t="inlineStr">
        <is>
          <t>t (ms)</t>
        </is>
      </c>
      <c r="G2" s="3" t="inlineStr">
        <is>
          <t>Corriente I(t) (A)</t>
        </is>
      </c>
      <c r="H2" s="3" t="inlineStr">
        <is>
          <t>Corte x</t>
        </is>
      </c>
      <c r="I2" s="3" t="inlineStr">
        <is>
          <t>Corte y</t>
        </is>
      </c>
      <c r="K2" s="3" t="inlineStr">
        <is>
          <t>Régimen (rpm)</t>
        </is>
      </c>
      <c r="L2" s="3" t="inlineStr">
        <is>
          <t>Centrífugo (°)</t>
        </is>
      </c>
      <c r="M2" s="3" t="inlineStr">
        <is>
          <t>Total plena carga (°)</t>
        </is>
      </c>
      <c r="N2" s="3" t="inlineStr">
        <is>
          <t>Total carga parcial (°)</t>
        </is>
      </c>
      <c r="P2" s="3" t="inlineStr">
        <is>
          <t>Depresión (mbar)</t>
        </is>
      </c>
      <c r="Q2" s="3" t="inlineStr">
        <is>
          <t>Avance vacío (°)</t>
        </is>
      </c>
      <c r="S2" s="3" t="inlineStr">
        <is>
          <t>λ</t>
        </is>
      </c>
      <c r="T2" s="3" t="inlineStr">
        <is>
          <t>CO (%)</t>
        </is>
      </c>
      <c r="U2" s="3" t="inlineStr">
        <is>
          <t>CO₂ (%)</t>
        </is>
      </c>
      <c r="V2" s="3" t="inlineStr">
        <is>
          <t>O₂ (%)</t>
        </is>
      </c>
      <c r="W2" s="3" t="inlineStr">
        <is>
          <t>HC (ppm)</t>
        </is>
      </c>
      <c r="X2" s="3" t="inlineStr">
        <is>
          <t>NOx (ppm)</t>
        </is>
      </c>
      <c r="Z2" s="3" t="inlineStr">
        <is>
          <t>λ actual x</t>
        </is>
      </c>
      <c r="AA2" s="3" t="inlineStr">
        <is>
          <t>λ actual y</t>
        </is>
      </c>
    </row>
    <row r="3">
      <c r="A3" s="23" t="n">
        <v>500</v>
      </c>
      <c r="B3" s="24">
        <f>'Dwell y bobina'!$B$6*120000/(360*A3)</f>
        <v/>
      </c>
      <c r="C3" s="24">
        <f>'Dwell y bobina'!$B$17*(1-EXP(-B3/'Dwell y bobina'!$B$16))</f>
        <v/>
      </c>
      <c r="D3" s="25">
        <f>0.5*'Dwell y bobina'!$B$9*C3^2</f>
        <v/>
      </c>
      <c r="F3" s="24" t="n">
        <v>0</v>
      </c>
      <c r="G3" s="24">
        <f>'Dwell y bobina'!$B$17*(1-EXP(-F3/'Dwell y bobina'!$B$16))</f>
        <v/>
      </c>
      <c r="H3">
        <f>'Dwell y bobina'!$B$18</f>
        <v/>
      </c>
      <c r="I3" t="n">
        <v>0</v>
      </c>
      <c r="K3" s="23" t="n">
        <v>0</v>
      </c>
      <c r="L3" s="25">
        <f>'Curva de avance'!$B$8*MIN(1,MAX(0,(K3-'Curva de avance'!$B$6)/('Curva de avance'!$B$7-'Curva de avance'!$B$6)))</f>
        <v/>
      </c>
      <c r="M3" s="25">
        <f>'Curva de avance'!$B$5+L3</f>
        <v/>
      </c>
      <c r="N3" s="25">
        <f>M3+'Curva de avance'!$B$17</f>
        <v/>
      </c>
      <c r="P3" s="23" t="n">
        <v>0</v>
      </c>
      <c r="Q3" s="25">
        <f>'Curva de avance'!$B$11*MIN(1,MAX(0,(P3-'Curva de avance'!$B$9)/('Curva de avance'!$B$10-'Curva de avance'!$B$9)))</f>
        <v/>
      </c>
      <c r="S3" s="24" t="n">
        <v>0.8</v>
      </c>
      <c r="T3" s="24">
        <f>IF(S3&lt;1,0.3+33*(1-S3),0.3*EXP(-15*(S3-1)))</f>
        <v/>
      </c>
      <c r="U3" s="25">
        <f>IF(S3&lt;1,14.7-22*(1-S3),14.7/S3)</f>
        <v/>
      </c>
      <c r="V3" s="24">
        <f>IF(S3&gt;1,0.3+20.9*(S3-1)/S3,0.3*EXP(-10*(1-S3)))</f>
        <v/>
      </c>
      <c r="W3" s="23">
        <f>IF(S3&lt;1.05,120+18000*(S3-1.05)^2,120+IF(S3&gt;1.15,40000*(S3-1.15)^2,0))</f>
        <v/>
      </c>
      <c r="X3" s="23">
        <f>2800*EXP(-1*((S3-1.08)/0.12)^2)</f>
        <v/>
      </c>
      <c r="Z3">
        <f>MIN(1.3,MAX(0.8,'Lambda y gases'!$B$11))</f>
        <v/>
      </c>
      <c r="AA3" t="n">
        <v>0</v>
      </c>
      <c r="AB3">
        <f>Z3</f>
        <v/>
      </c>
      <c r="AC3" t="n">
        <v>0</v>
      </c>
    </row>
    <row r="4">
      <c r="A4" s="23" t="n">
        <v>750</v>
      </c>
      <c r="B4" s="24">
        <f>'Dwell y bobina'!$B$6*120000/(360*A4)</f>
        <v/>
      </c>
      <c r="C4" s="24">
        <f>'Dwell y bobina'!$B$17*(1-EXP(-B4/'Dwell y bobina'!$B$16))</f>
        <v/>
      </c>
      <c r="D4" s="25">
        <f>0.5*'Dwell y bobina'!$B$9*C4^2</f>
        <v/>
      </c>
      <c r="F4" s="24" t="n">
        <v>0.25</v>
      </c>
      <c r="G4" s="24">
        <f>'Dwell y bobina'!$B$17*(1-EXP(-F4/'Dwell y bobina'!$B$16))</f>
        <v/>
      </c>
      <c r="H4">
        <f>'Dwell y bobina'!$B$18</f>
        <v/>
      </c>
      <c r="I4">
        <f>'Dwell y bobina'!$B$17*1.05</f>
        <v/>
      </c>
      <c r="K4" s="23" t="n">
        <v>250</v>
      </c>
      <c r="L4" s="25">
        <f>'Curva de avance'!$B$8*MIN(1,MAX(0,(K4-'Curva de avance'!$B$6)/('Curva de avance'!$B$7-'Curva de avance'!$B$6)))</f>
        <v/>
      </c>
      <c r="M4" s="25">
        <f>'Curva de avance'!$B$5+L4</f>
        <v/>
      </c>
      <c r="N4" s="25">
        <f>M4+'Curva de avance'!$B$17</f>
        <v/>
      </c>
      <c r="P4" s="23" t="n">
        <v>25</v>
      </c>
      <c r="Q4" s="25">
        <f>'Curva de avance'!$B$11*MIN(1,MAX(0,(P4-'Curva de avance'!$B$9)/('Curva de avance'!$B$10-'Curva de avance'!$B$9)))</f>
        <v/>
      </c>
      <c r="S4" s="24" t="n">
        <v>0.8100000000000001</v>
      </c>
      <c r="T4" s="24">
        <f>IF(S4&lt;1,0.3+33*(1-S4),0.3*EXP(-15*(S4-1)))</f>
        <v/>
      </c>
      <c r="U4" s="25">
        <f>IF(S4&lt;1,14.7-22*(1-S4),14.7/S4)</f>
        <v/>
      </c>
      <c r="V4" s="24">
        <f>IF(S4&gt;1,0.3+20.9*(S4-1)/S4,0.3*EXP(-10*(1-S4)))</f>
        <v/>
      </c>
      <c r="W4" s="23">
        <f>IF(S4&lt;1.05,120+18000*(S4-1.05)^2,120+IF(S4&gt;1.15,40000*(S4-1.15)^2,0))</f>
        <v/>
      </c>
      <c r="X4" s="23">
        <f>2800*EXP(-1*((S4-1.08)/0.12)^2)</f>
        <v/>
      </c>
      <c r="Z4">
        <f>Z3</f>
        <v/>
      </c>
      <c r="AA4" t="n">
        <v>16</v>
      </c>
      <c r="AB4">
        <f>Z3</f>
        <v/>
      </c>
      <c r="AC4" t="n">
        <v>3000</v>
      </c>
    </row>
    <row r="5">
      <c r="A5" s="23" t="n">
        <v>1000</v>
      </c>
      <c r="B5" s="24">
        <f>'Dwell y bobina'!$B$6*120000/(360*A5)</f>
        <v/>
      </c>
      <c r="C5" s="24">
        <f>'Dwell y bobina'!$B$17*(1-EXP(-B5/'Dwell y bobina'!$B$16))</f>
        <v/>
      </c>
      <c r="D5" s="25">
        <f>0.5*'Dwell y bobina'!$B$9*C5^2</f>
        <v/>
      </c>
      <c r="F5" s="24" t="n">
        <v>0.5</v>
      </c>
      <c r="G5" s="24">
        <f>'Dwell y bobina'!$B$17*(1-EXP(-F5/'Dwell y bobina'!$B$16))</f>
        <v/>
      </c>
      <c r="K5" s="23" t="n">
        <v>500</v>
      </c>
      <c r="L5" s="25">
        <f>'Curva de avance'!$B$8*MIN(1,MAX(0,(K5-'Curva de avance'!$B$6)/('Curva de avance'!$B$7-'Curva de avance'!$B$6)))</f>
        <v/>
      </c>
      <c r="M5" s="25">
        <f>'Curva de avance'!$B$5+L5</f>
        <v/>
      </c>
      <c r="N5" s="25">
        <f>M5+'Curva de avance'!$B$17</f>
        <v/>
      </c>
      <c r="P5" s="23" t="n">
        <v>50</v>
      </c>
      <c r="Q5" s="25">
        <f>'Curva de avance'!$B$11*MIN(1,MAX(0,(P5-'Curva de avance'!$B$9)/('Curva de avance'!$B$10-'Curva de avance'!$B$9)))</f>
        <v/>
      </c>
      <c r="S5" s="24" t="n">
        <v>0.82</v>
      </c>
      <c r="T5" s="24">
        <f>IF(S5&lt;1,0.3+33*(1-S5),0.3*EXP(-15*(S5-1)))</f>
        <v/>
      </c>
      <c r="U5" s="25">
        <f>IF(S5&lt;1,14.7-22*(1-S5),14.7/S5)</f>
        <v/>
      </c>
      <c r="V5" s="24">
        <f>IF(S5&gt;1,0.3+20.9*(S5-1)/S5,0.3*EXP(-10*(1-S5)))</f>
        <v/>
      </c>
      <c r="W5" s="23">
        <f>IF(S5&lt;1.05,120+18000*(S5-1.05)^2,120+IF(S5&gt;1.15,40000*(S5-1.15)^2,0))</f>
        <v/>
      </c>
      <c r="X5" s="23">
        <f>2800*EXP(-1*((S5-1.08)/0.12)^2)</f>
        <v/>
      </c>
    </row>
    <row r="6">
      <c r="A6" s="23" t="n">
        <v>1250</v>
      </c>
      <c r="B6" s="24">
        <f>'Dwell y bobina'!$B$6*120000/(360*A6)</f>
        <v/>
      </c>
      <c r="C6" s="24">
        <f>'Dwell y bobina'!$B$17*(1-EXP(-B6/'Dwell y bobina'!$B$16))</f>
        <v/>
      </c>
      <c r="D6" s="25">
        <f>0.5*'Dwell y bobina'!$B$9*C6^2</f>
        <v/>
      </c>
      <c r="F6" s="24" t="n">
        <v>0.75</v>
      </c>
      <c r="G6" s="24">
        <f>'Dwell y bobina'!$B$17*(1-EXP(-F6/'Dwell y bobina'!$B$16))</f>
        <v/>
      </c>
      <c r="K6" s="23" t="n">
        <v>750</v>
      </c>
      <c r="L6" s="25">
        <f>'Curva de avance'!$B$8*MIN(1,MAX(0,(K6-'Curva de avance'!$B$6)/('Curva de avance'!$B$7-'Curva de avance'!$B$6)))</f>
        <v/>
      </c>
      <c r="M6" s="25">
        <f>'Curva de avance'!$B$5+L6</f>
        <v/>
      </c>
      <c r="N6" s="25">
        <f>M6+'Curva de avance'!$B$17</f>
        <v/>
      </c>
      <c r="P6" s="23" t="n">
        <v>75</v>
      </c>
      <c r="Q6" s="25">
        <f>'Curva de avance'!$B$11*MIN(1,MAX(0,(P6-'Curva de avance'!$B$9)/('Curva de avance'!$B$10-'Curva de avance'!$B$9)))</f>
        <v/>
      </c>
      <c r="S6" s="24" t="n">
        <v>0.83</v>
      </c>
      <c r="T6" s="24">
        <f>IF(S6&lt;1,0.3+33*(1-S6),0.3*EXP(-15*(S6-1)))</f>
        <v/>
      </c>
      <c r="U6" s="25">
        <f>IF(S6&lt;1,14.7-22*(1-S6),14.7/S6)</f>
        <v/>
      </c>
      <c r="V6" s="24">
        <f>IF(S6&gt;1,0.3+20.9*(S6-1)/S6,0.3*EXP(-10*(1-S6)))</f>
        <v/>
      </c>
      <c r="W6" s="23">
        <f>IF(S6&lt;1.05,120+18000*(S6-1.05)^2,120+IF(S6&gt;1.15,40000*(S6-1.15)^2,0))</f>
        <v/>
      </c>
      <c r="X6" s="23">
        <f>2800*EXP(-1*((S6-1.08)/0.12)^2)</f>
        <v/>
      </c>
    </row>
    <row r="7">
      <c r="A7" s="23" t="n">
        <v>1500</v>
      </c>
      <c r="B7" s="24">
        <f>'Dwell y bobina'!$B$6*120000/(360*A7)</f>
        <v/>
      </c>
      <c r="C7" s="24">
        <f>'Dwell y bobina'!$B$17*(1-EXP(-B7/'Dwell y bobina'!$B$16))</f>
        <v/>
      </c>
      <c r="D7" s="25">
        <f>0.5*'Dwell y bobina'!$B$9*C7^2</f>
        <v/>
      </c>
      <c r="F7" s="24" t="n">
        <v>1</v>
      </c>
      <c r="G7" s="24">
        <f>'Dwell y bobina'!$B$17*(1-EXP(-F7/'Dwell y bobina'!$B$16))</f>
        <v/>
      </c>
      <c r="K7" s="23" t="n">
        <v>1000</v>
      </c>
      <c r="L7" s="25">
        <f>'Curva de avance'!$B$8*MIN(1,MAX(0,(K7-'Curva de avance'!$B$6)/('Curva de avance'!$B$7-'Curva de avance'!$B$6)))</f>
        <v/>
      </c>
      <c r="M7" s="25">
        <f>'Curva de avance'!$B$5+L7</f>
        <v/>
      </c>
      <c r="N7" s="25">
        <f>M7+'Curva de avance'!$B$17</f>
        <v/>
      </c>
      <c r="P7" s="23" t="n">
        <v>100</v>
      </c>
      <c r="Q7" s="25">
        <f>'Curva de avance'!$B$11*MIN(1,MAX(0,(P7-'Curva de avance'!$B$9)/('Curva de avance'!$B$10-'Curva de avance'!$B$9)))</f>
        <v/>
      </c>
      <c r="S7" s="24" t="n">
        <v>0.84</v>
      </c>
      <c r="T7" s="24">
        <f>IF(S7&lt;1,0.3+33*(1-S7),0.3*EXP(-15*(S7-1)))</f>
        <v/>
      </c>
      <c r="U7" s="25">
        <f>IF(S7&lt;1,14.7-22*(1-S7),14.7/S7)</f>
        <v/>
      </c>
      <c r="V7" s="24">
        <f>IF(S7&gt;1,0.3+20.9*(S7-1)/S7,0.3*EXP(-10*(1-S7)))</f>
        <v/>
      </c>
      <c r="W7" s="23">
        <f>IF(S7&lt;1.05,120+18000*(S7-1.05)^2,120+IF(S7&gt;1.15,40000*(S7-1.15)^2,0))</f>
        <v/>
      </c>
      <c r="X7" s="23">
        <f>2800*EXP(-1*((S7-1.08)/0.12)^2)</f>
        <v/>
      </c>
    </row>
    <row r="8">
      <c r="A8" s="23" t="n">
        <v>1750</v>
      </c>
      <c r="B8" s="24">
        <f>'Dwell y bobina'!$B$6*120000/(360*A8)</f>
        <v/>
      </c>
      <c r="C8" s="24">
        <f>'Dwell y bobina'!$B$17*(1-EXP(-B8/'Dwell y bobina'!$B$16))</f>
        <v/>
      </c>
      <c r="D8" s="25">
        <f>0.5*'Dwell y bobina'!$B$9*C8^2</f>
        <v/>
      </c>
      <c r="F8" s="24" t="n">
        <v>1.25</v>
      </c>
      <c r="G8" s="24">
        <f>'Dwell y bobina'!$B$17*(1-EXP(-F8/'Dwell y bobina'!$B$16))</f>
        <v/>
      </c>
      <c r="K8" s="23" t="n">
        <v>1250</v>
      </c>
      <c r="L8" s="25">
        <f>'Curva de avance'!$B$8*MIN(1,MAX(0,(K8-'Curva de avance'!$B$6)/('Curva de avance'!$B$7-'Curva de avance'!$B$6)))</f>
        <v/>
      </c>
      <c r="M8" s="25">
        <f>'Curva de avance'!$B$5+L8</f>
        <v/>
      </c>
      <c r="N8" s="25">
        <f>M8+'Curva de avance'!$B$17</f>
        <v/>
      </c>
      <c r="P8" s="23" t="n">
        <v>125</v>
      </c>
      <c r="Q8" s="25">
        <f>'Curva de avance'!$B$11*MIN(1,MAX(0,(P8-'Curva de avance'!$B$9)/('Curva de avance'!$B$10-'Curva de avance'!$B$9)))</f>
        <v/>
      </c>
      <c r="S8" s="24" t="n">
        <v>0.85</v>
      </c>
      <c r="T8" s="24">
        <f>IF(S8&lt;1,0.3+33*(1-S8),0.3*EXP(-15*(S8-1)))</f>
        <v/>
      </c>
      <c r="U8" s="25">
        <f>IF(S8&lt;1,14.7-22*(1-S8),14.7/S8)</f>
        <v/>
      </c>
      <c r="V8" s="24">
        <f>IF(S8&gt;1,0.3+20.9*(S8-1)/S8,0.3*EXP(-10*(1-S8)))</f>
        <v/>
      </c>
      <c r="W8" s="23">
        <f>IF(S8&lt;1.05,120+18000*(S8-1.05)^2,120+IF(S8&gt;1.15,40000*(S8-1.15)^2,0))</f>
        <v/>
      </c>
      <c r="X8" s="23">
        <f>2800*EXP(-1*((S8-1.08)/0.12)^2)</f>
        <v/>
      </c>
    </row>
    <row r="9">
      <c r="A9" s="23" t="n">
        <v>2000</v>
      </c>
      <c r="B9" s="24">
        <f>'Dwell y bobina'!$B$6*120000/(360*A9)</f>
        <v/>
      </c>
      <c r="C9" s="24">
        <f>'Dwell y bobina'!$B$17*(1-EXP(-B9/'Dwell y bobina'!$B$16))</f>
        <v/>
      </c>
      <c r="D9" s="25">
        <f>0.5*'Dwell y bobina'!$B$9*C9^2</f>
        <v/>
      </c>
      <c r="F9" s="24" t="n">
        <v>1.5</v>
      </c>
      <c r="G9" s="24">
        <f>'Dwell y bobina'!$B$17*(1-EXP(-F9/'Dwell y bobina'!$B$16))</f>
        <v/>
      </c>
      <c r="K9" s="23" t="n">
        <v>1500</v>
      </c>
      <c r="L9" s="25">
        <f>'Curva de avance'!$B$8*MIN(1,MAX(0,(K9-'Curva de avance'!$B$6)/('Curva de avance'!$B$7-'Curva de avance'!$B$6)))</f>
        <v/>
      </c>
      <c r="M9" s="25">
        <f>'Curva de avance'!$B$5+L9</f>
        <v/>
      </c>
      <c r="N9" s="25">
        <f>M9+'Curva de avance'!$B$17</f>
        <v/>
      </c>
      <c r="P9" s="23" t="n">
        <v>150</v>
      </c>
      <c r="Q9" s="25">
        <f>'Curva de avance'!$B$11*MIN(1,MAX(0,(P9-'Curva de avance'!$B$9)/('Curva de avance'!$B$10-'Curva de avance'!$B$9)))</f>
        <v/>
      </c>
      <c r="S9" s="24" t="n">
        <v>0.86</v>
      </c>
      <c r="T9" s="24">
        <f>IF(S9&lt;1,0.3+33*(1-S9),0.3*EXP(-15*(S9-1)))</f>
        <v/>
      </c>
      <c r="U9" s="25">
        <f>IF(S9&lt;1,14.7-22*(1-S9),14.7/S9)</f>
        <v/>
      </c>
      <c r="V9" s="24">
        <f>IF(S9&gt;1,0.3+20.9*(S9-1)/S9,0.3*EXP(-10*(1-S9)))</f>
        <v/>
      </c>
      <c r="W9" s="23">
        <f>IF(S9&lt;1.05,120+18000*(S9-1.05)^2,120+IF(S9&gt;1.15,40000*(S9-1.15)^2,0))</f>
        <v/>
      </c>
      <c r="X9" s="23">
        <f>2800*EXP(-1*((S9-1.08)/0.12)^2)</f>
        <v/>
      </c>
    </row>
    <row r="10">
      <c r="A10" s="23" t="n">
        <v>2250</v>
      </c>
      <c r="B10" s="24">
        <f>'Dwell y bobina'!$B$6*120000/(360*A10)</f>
        <v/>
      </c>
      <c r="C10" s="24">
        <f>'Dwell y bobina'!$B$17*(1-EXP(-B10/'Dwell y bobina'!$B$16))</f>
        <v/>
      </c>
      <c r="D10" s="25">
        <f>0.5*'Dwell y bobina'!$B$9*C10^2</f>
        <v/>
      </c>
      <c r="F10" s="24" t="n">
        <v>1.75</v>
      </c>
      <c r="G10" s="24">
        <f>'Dwell y bobina'!$B$17*(1-EXP(-F10/'Dwell y bobina'!$B$16))</f>
        <v/>
      </c>
      <c r="K10" s="23" t="n">
        <v>1750</v>
      </c>
      <c r="L10" s="25">
        <f>'Curva de avance'!$B$8*MIN(1,MAX(0,(K10-'Curva de avance'!$B$6)/('Curva de avance'!$B$7-'Curva de avance'!$B$6)))</f>
        <v/>
      </c>
      <c r="M10" s="25">
        <f>'Curva de avance'!$B$5+L10</f>
        <v/>
      </c>
      <c r="N10" s="25">
        <f>M10+'Curva de avance'!$B$17</f>
        <v/>
      </c>
      <c r="P10" s="23" t="n">
        <v>175</v>
      </c>
      <c r="Q10" s="25">
        <f>'Curva de avance'!$B$11*MIN(1,MAX(0,(P10-'Curva de avance'!$B$9)/('Curva de avance'!$B$10-'Curva de avance'!$B$9)))</f>
        <v/>
      </c>
      <c r="S10" s="24" t="n">
        <v>0.87</v>
      </c>
      <c r="T10" s="24">
        <f>IF(S10&lt;1,0.3+33*(1-S10),0.3*EXP(-15*(S10-1)))</f>
        <v/>
      </c>
      <c r="U10" s="25">
        <f>IF(S10&lt;1,14.7-22*(1-S10),14.7/S10)</f>
        <v/>
      </c>
      <c r="V10" s="24">
        <f>IF(S10&gt;1,0.3+20.9*(S10-1)/S10,0.3*EXP(-10*(1-S10)))</f>
        <v/>
      </c>
      <c r="W10" s="23">
        <f>IF(S10&lt;1.05,120+18000*(S10-1.05)^2,120+IF(S10&gt;1.15,40000*(S10-1.15)^2,0))</f>
        <v/>
      </c>
      <c r="X10" s="23">
        <f>2800*EXP(-1*((S10-1.08)/0.12)^2)</f>
        <v/>
      </c>
    </row>
    <row r="11">
      <c r="A11" s="23" t="n">
        <v>2500</v>
      </c>
      <c r="B11" s="24">
        <f>'Dwell y bobina'!$B$6*120000/(360*A11)</f>
        <v/>
      </c>
      <c r="C11" s="24">
        <f>'Dwell y bobina'!$B$17*(1-EXP(-B11/'Dwell y bobina'!$B$16))</f>
        <v/>
      </c>
      <c r="D11" s="25">
        <f>0.5*'Dwell y bobina'!$B$9*C11^2</f>
        <v/>
      </c>
      <c r="F11" s="24" t="n">
        <v>2</v>
      </c>
      <c r="G11" s="24">
        <f>'Dwell y bobina'!$B$17*(1-EXP(-F11/'Dwell y bobina'!$B$16))</f>
        <v/>
      </c>
      <c r="K11" s="23" t="n">
        <v>2000</v>
      </c>
      <c r="L11" s="25">
        <f>'Curva de avance'!$B$8*MIN(1,MAX(0,(K11-'Curva de avance'!$B$6)/('Curva de avance'!$B$7-'Curva de avance'!$B$6)))</f>
        <v/>
      </c>
      <c r="M11" s="25">
        <f>'Curva de avance'!$B$5+L11</f>
        <v/>
      </c>
      <c r="N11" s="25">
        <f>M11+'Curva de avance'!$B$17</f>
        <v/>
      </c>
      <c r="P11" s="23" t="n">
        <v>200</v>
      </c>
      <c r="Q11" s="25">
        <f>'Curva de avance'!$B$11*MIN(1,MAX(0,(P11-'Curva de avance'!$B$9)/('Curva de avance'!$B$10-'Curva de avance'!$B$9)))</f>
        <v/>
      </c>
      <c r="S11" s="24" t="n">
        <v>0.88</v>
      </c>
      <c r="T11" s="24">
        <f>IF(S11&lt;1,0.3+33*(1-S11),0.3*EXP(-15*(S11-1)))</f>
        <v/>
      </c>
      <c r="U11" s="25">
        <f>IF(S11&lt;1,14.7-22*(1-S11),14.7/S11)</f>
        <v/>
      </c>
      <c r="V11" s="24">
        <f>IF(S11&gt;1,0.3+20.9*(S11-1)/S11,0.3*EXP(-10*(1-S11)))</f>
        <v/>
      </c>
      <c r="W11" s="23">
        <f>IF(S11&lt;1.05,120+18000*(S11-1.05)^2,120+IF(S11&gt;1.15,40000*(S11-1.15)^2,0))</f>
        <v/>
      </c>
      <c r="X11" s="23">
        <f>2800*EXP(-1*((S11-1.08)/0.12)^2)</f>
        <v/>
      </c>
    </row>
    <row r="12">
      <c r="A12" s="23" t="n">
        <v>2750</v>
      </c>
      <c r="B12" s="24">
        <f>'Dwell y bobina'!$B$6*120000/(360*A12)</f>
        <v/>
      </c>
      <c r="C12" s="24">
        <f>'Dwell y bobina'!$B$17*(1-EXP(-B12/'Dwell y bobina'!$B$16))</f>
        <v/>
      </c>
      <c r="D12" s="25">
        <f>0.5*'Dwell y bobina'!$B$9*C12^2</f>
        <v/>
      </c>
      <c r="F12" s="24" t="n">
        <v>2.25</v>
      </c>
      <c r="G12" s="24">
        <f>'Dwell y bobina'!$B$17*(1-EXP(-F12/'Dwell y bobina'!$B$16))</f>
        <v/>
      </c>
      <c r="K12" s="23" t="n">
        <v>2250</v>
      </c>
      <c r="L12" s="25">
        <f>'Curva de avance'!$B$8*MIN(1,MAX(0,(K12-'Curva de avance'!$B$6)/('Curva de avance'!$B$7-'Curva de avance'!$B$6)))</f>
        <v/>
      </c>
      <c r="M12" s="25">
        <f>'Curva de avance'!$B$5+L12</f>
        <v/>
      </c>
      <c r="N12" s="25">
        <f>M12+'Curva de avance'!$B$17</f>
        <v/>
      </c>
      <c r="P12" s="23" t="n">
        <v>225</v>
      </c>
      <c r="Q12" s="25">
        <f>'Curva de avance'!$B$11*MIN(1,MAX(0,(P12-'Curva de avance'!$B$9)/('Curva de avance'!$B$10-'Curva de avance'!$B$9)))</f>
        <v/>
      </c>
      <c r="S12" s="24" t="n">
        <v>0.89</v>
      </c>
      <c r="T12" s="24">
        <f>IF(S12&lt;1,0.3+33*(1-S12),0.3*EXP(-15*(S12-1)))</f>
        <v/>
      </c>
      <c r="U12" s="25">
        <f>IF(S12&lt;1,14.7-22*(1-S12),14.7/S12)</f>
        <v/>
      </c>
      <c r="V12" s="24">
        <f>IF(S12&gt;1,0.3+20.9*(S12-1)/S12,0.3*EXP(-10*(1-S12)))</f>
        <v/>
      </c>
      <c r="W12" s="23">
        <f>IF(S12&lt;1.05,120+18000*(S12-1.05)^2,120+IF(S12&gt;1.15,40000*(S12-1.15)^2,0))</f>
        <v/>
      </c>
      <c r="X12" s="23">
        <f>2800*EXP(-1*((S12-1.08)/0.12)^2)</f>
        <v/>
      </c>
    </row>
    <row r="13">
      <c r="A13" s="23" t="n">
        <v>3000</v>
      </c>
      <c r="B13" s="24">
        <f>'Dwell y bobina'!$B$6*120000/(360*A13)</f>
        <v/>
      </c>
      <c r="C13" s="24">
        <f>'Dwell y bobina'!$B$17*(1-EXP(-B13/'Dwell y bobina'!$B$16))</f>
        <v/>
      </c>
      <c r="D13" s="25">
        <f>0.5*'Dwell y bobina'!$B$9*C13^2</f>
        <v/>
      </c>
      <c r="F13" s="24" t="n">
        <v>2.5</v>
      </c>
      <c r="G13" s="24">
        <f>'Dwell y bobina'!$B$17*(1-EXP(-F13/'Dwell y bobina'!$B$16))</f>
        <v/>
      </c>
      <c r="K13" s="23" t="n">
        <v>2500</v>
      </c>
      <c r="L13" s="25">
        <f>'Curva de avance'!$B$8*MIN(1,MAX(0,(K13-'Curva de avance'!$B$6)/('Curva de avance'!$B$7-'Curva de avance'!$B$6)))</f>
        <v/>
      </c>
      <c r="M13" s="25">
        <f>'Curva de avance'!$B$5+L13</f>
        <v/>
      </c>
      <c r="N13" s="25">
        <f>M13+'Curva de avance'!$B$17</f>
        <v/>
      </c>
      <c r="P13" s="23" t="n">
        <v>250</v>
      </c>
      <c r="Q13" s="25">
        <f>'Curva de avance'!$B$11*MIN(1,MAX(0,(P13-'Curva de avance'!$B$9)/('Curva de avance'!$B$10-'Curva de avance'!$B$9)))</f>
        <v/>
      </c>
      <c r="S13" s="24" t="n">
        <v>0.9</v>
      </c>
      <c r="T13" s="24">
        <f>IF(S13&lt;1,0.3+33*(1-S13),0.3*EXP(-15*(S13-1)))</f>
        <v/>
      </c>
      <c r="U13" s="25">
        <f>IF(S13&lt;1,14.7-22*(1-S13),14.7/S13)</f>
        <v/>
      </c>
      <c r="V13" s="24">
        <f>IF(S13&gt;1,0.3+20.9*(S13-1)/S13,0.3*EXP(-10*(1-S13)))</f>
        <v/>
      </c>
      <c r="W13" s="23">
        <f>IF(S13&lt;1.05,120+18000*(S13-1.05)^2,120+IF(S13&gt;1.15,40000*(S13-1.15)^2,0))</f>
        <v/>
      </c>
      <c r="X13" s="23">
        <f>2800*EXP(-1*((S13-1.08)/0.12)^2)</f>
        <v/>
      </c>
    </row>
    <row r="14">
      <c r="A14" s="23" t="n">
        <v>3250</v>
      </c>
      <c r="B14" s="24">
        <f>'Dwell y bobina'!$B$6*120000/(360*A14)</f>
        <v/>
      </c>
      <c r="C14" s="24">
        <f>'Dwell y bobina'!$B$17*(1-EXP(-B14/'Dwell y bobina'!$B$16))</f>
        <v/>
      </c>
      <c r="D14" s="25">
        <f>0.5*'Dwell y bobina'!$B$9*C14^2</f>
        <v/>
      </c>
      <c r="F14" s="24" t="n">
        <v>2.75</v>
      </c>
      <c r="G14" s="24">
        <f>'Dwell y bobina'!$B$17*(1-EXP(-F14/'Dwell y bobina'!$B$16))</f>
        <v/>
      </c>
      <c r="K14" s="23" t="n">
        <v>2750</v>
      </c>
      <c r="L14" s="25">
        <f>'Curva de avance'!$B$8*MIN(1,MAX(0,(K14-'Curva de avance'!$B$6)/('Curva de avance'!$B$7-'Curva de avance'!$B$6)))</f>
        <v/>
      </c>
      <c r="M14" s="25">
        <f>'Curva de avance'!$B$5+L14</f>
        <v/>
      </c>
      <c r="N14" s="25">
        <f>M14+'Curva de avance'!$B$17</f>
        <v/>
      </c>
      <c r="P14" s="23" t="n">
        <v>275</v>
      </c>
      <c r="Q14" s="25">
        <f>'Curva de avance'!$B$11*MIN(1,MAX(0,(P14-'Curva de avance'!$B$9)/('Curva de avance'!$B$10-'Curva de avance'!$B$9)))</f>
        <v/>
      </c>
      <c r="S14" s="24" t="n">
        <v>0.91</v>
      </c>
      <c r="T14" s="24">
        <f>IF(S14&lt;1,0.3+33*(1-S14),0.3*EXP(-15*(S14-1)))</f>
        <v/>
      </c>
      <c r="U14" s="25">
        <f>IF(S14&lt;1,14.7-22*(1-S14),14.7/S14)</f>
        <v/>
      </c>
      <c r="V14" s="24">
        <f>IF(S14&gt;1,0.3+20.9*(S14-1)/S14,0.3*EXP(-10*(1-S14)))</f>
        <v/>
      </c>
      <c r="W14" s="23">
        <f>IF(S14&lt;1.05,120+18000*(S14-1.05)^2,120+IF(S14&gt;1.15,40000*(S14-1.15)^2,0))</f>
        <v/>
      </c>
      <c r="X14" s="23">
        <f>2800*EXP(-1*((S14-1.08)/0.12)^2)</f>
        <v/>
      </c>
    </row>
    <row r="15">
      <c r="A15" s="23" t="n">
        <v>3500</v>
      </c>
      <c r="B15" s="24">
        <f>'Dwell y bobina'!$B$6*120000/(360*A15)</f>
        <v/>
      </c>
      <c r="C15" s="24">
        <f>'Dwell y bobina'!$B$17*(1-EXP(-B15/'Dwell y bobina'!$B$16))</f>
        <v/>
      </c>
      <c r="D15" s="25">
        <f>0.5*'Dwell y bobina'!$B$9*C15^2</f>
        <v/>
      </c>
      <c r="F15" s="24" t="n">
        <v>3</v>
      </c>
      <c r="G15" s="24">
        <f>'Dwell y bobina'!$B$17*(1-EXP(-F15/'Dwell y bobina'!$B$16))</f>
        <v/>
      </c>
      <c r="K15" s="23" t="n">
        <v>3000</v>
      </c>
      <c r="L15" s="25">
        <f>'Curva de avance'!$B$8*MIN(1,MAX(0,(K15-'Curva de avance'!$B$6)/('Curva de avance'!$B$7-'Curva de avance'!$B$6)))</f>
        <v/>
      </c>
      <c r="M15" s="25">
        <f>'Curva de avance'!$B$5+L15</f>
        <v/>
      </c>
      <c r="N15" s="25">
        <f>M15+'Curva de avance'!$B$17</f>
        <v/>
      </c>
      <c r="P15" s="23" t="n">
        <v>300</v>
      </c>
      <c r="Q15" s="25">
        <f>'Curva de avance'!$B$11*MIN(1,MAX(0,(P15-'Curva de avance'!$B$9)/('Curva de avance'!$B$10-'Curva de avance'!$B$9)))</f>
        <v/>
      </c>
      <c r="S15" s="24" t="n">
        <v>0.92</v>
      </c>
      <c r="T15" s="24">
        <f>IF(S15&lt;1,0.3+33*(1-S15),0.3*EXP(-15*(S15-1)))</f>
        <v/>
      </c>
      <c r="U15" s="25">
        <f>IF(S15&lt;1,14.7-22*(1-S15),14.7/S15)</f>
        <v/>
      </c>
      <c r="V15" s="24">
        <f>IF(S15&gt;1,0.3+20.9*(S15-1)/S15,0.3*EXP(-10*(1-S15)))</f>
        <v/>
      </c>
      <c r="W15" s="23">
        <f>IF(S15&lt;1.05,120+18000*(S15-1.05)^2,120+IF(S15&gt;1.15,40000*(S15-1.15)^2,0))</f>
        <v/>
      </c>
      <c r="X15" s="23">
        <f>2800*EXP(-1*((S15-1.08)/0.12)^2)</f>
        <v/>
      </c>
    </row>
    <row r="16">
      <c r="A16" s="23" t="n">
        <v>3750</v>
      </c>
      <c r="B16" s="24">
        <f>'Dwell y bobina'!$B$6*120000/(360*A16)</f>
        <v/>
      </c>
      <c r="C16" s="24">
        <f>'Dwell y bobina'!$B$17*(1-EXP(-B16/'Dwell y bobina'!$B$16))</f>
        <v/>
      </c>
      <c r="D16" s="25">
        <f>0.5*'Dwell y bobina'!$B$9*C16^2</f>
        <v/>
      </c>
      <c r="F16" s="24" t="n">
        <v>3.25</v>
      </c>
      <c r="G16" s="24">
        <f>'Dwell y bobina'!$B$17*(1-EXP(-F16/'Dwell y bobina'!$B$16))</f>
        <v/>
      </c>
      <c r="K16" s="23" t="n">
        <v>3250</v>
      </c>
      <c r="L16" s="25">
        <f>'Curva de avance'!$B$8*MIN(1,MAX(0,(K16-'Curva de avance'!$B$6)/('Curva de avance'!$B$7-'Curva de avance'!$B$6)))</f>
        <v/>
      </c>
      <c r="M16" s="25">
        <f>'Curva de avance'!$B$5+L16</f>
        <v/>
      </c>
      <c r="N16" s="25">
        <f>M16+'Curva de avance'!$B$17</f>
        <v/>
      </c>
      <c r="P16" s="23" t="n">
        <v>325</v>
      </c>
      <c r="Q16" s="25">
        <f>'Curva de avance'!$B$11*MIN(1,MAX(0,(P16-'Curva de avance'!$B$9)/('Curva de avance'!$B$10-'Curva de avance'!$B$9)))</f>
        <v/>
      </c>
      <c r="S16" s="24" t="n">
        <v>0.93</v>
      </c>
      <c r="T16" s="24">
        <f>IF(S16&lt;1,0.3+33*(1-S16),0.3*EXP(-15*(S16-1)))</f>
        <v/>
      </c>
      <c r="U16" s="25">
        <f>IF(S16&lt;1,14.7-22*(1-S16),14.7/S16)</f>
        <v/>
      </c>
      <c r="V16" s="24">
        <f>IF(S16&gt;1,0.3+20.9*(S16-1)/S16,0.3*EXP(-10*(1-S16)))</f>
        <v/>
      </c>
      <c r="W16" s="23">
        <f>IF(S16&lt;1.05,120+18000*(S16-1.05)^2,120+IF(S16&gt;1.15,40000*(S16-1.15)^2,0))</f>
        <v/>
      </c>
      <c r="X16" s="23">
        <f>2800*EXP(-1*((S16-1.08)/0.12)^2)</f>
        <v/>
      </c>
    </row>
    <row r="17">
      <c r="A17" s="23" t="n">
        <v>4000</v>
      </c>
      <c r="B17" s="24">
        <f>'Dwell y bobina'!$B$6*120000/(360*A17)</f>
        <v/>
      </c>
      <c r="C17" s="24">
        <f>'Dwell y bobina'!$B$17*(1-EXP(-B17/'Dwell y bobina'!$B$16))</f>
        <v/>
      </c>
      <c r="D17" s="25">
        <f>0.5*'Dwell y bobina'!$B$9*C17^2</f>
        <v/>
      </c>
      <c r="F17" s="24" t="n">
        <v>3.5</v>
      </c>
      <c r="G17" s="24">
        <f>'Dwell y bobina'!$B$17*(1-EXP(-F17/'Dwell y bobina'!$B$16))</f>
        <v/>
      </c>
      <c r="K17" s="23" t="n">
        <v>3500</v>
      </c>
      <c r="L17" s="25">
        <f>'Curva de avance'!$B$8*MIN(1,MAX(0,(K17-'Curva de avance'!$B$6)/('Curva de avance'!$B$7-'Curva de avance'!$B$6)))</f>
        <v/>
      </c>
      <c r="M17" s="25">
        <f>'Curva de avance'!$B$5+L17</f>
        <v/>
      </c>
      <c r="N17" s="25">
        <f>M17+'Curva de avance'!$B$17</f>
        <v/>
      </c>
      <c r="P17" s="23" t="n">
        <v>350</v>
      </c>
      <c r="Q17" s="25">
        <f>'Curva de avance'!$B$11*MIN(1,MAX(0,(P17-'Curva de avance'!$B$9)/('Curva de avance'!$B$10-'Curva de avance'!$B$9)))</f>
        <v/>
      </c>
      <c r="S17" s="24" t="n">
        <v>0.9399999999999999</v>
      </c>
      <c r="T17" s="24">
        <f>IF(S17&lt;1,0.3+33*(1-S17),0.3*EXP(-15*(S17-1)))</f>
        <v/>
      </c>
      <c r="U17" s="25">
        <f>IF(S17&lt;1,14.7-22*(1-S17),14.7/S17)</f>
        <v/>
      </c>
      <c r="V17" s="24">
        <f>IF(S17&gt;1,0.3+20.9*(S17-1)/S17,0.3*EXP(-10*(1-S17)))</f>
        <v/>
      </c>
      <c r="W17" s="23">
        <f>IF(S17&lt;1.05,120+18000*(S17-1.05)^2,120+IF(S17&gt;1.15,40000*(S17-1.15)^2,0))</f>
        <v/>
      </c>
      <c r="X17" s="23">
        <f>2800*EXP(-1*((S17-1.08)/0.12)^2)</f>
        <v/>
      </c>
    </row>
    <row r="18">
      <c r="A18" s="23" t="n">
        <v>4250</v>
      </c>
      <c r="B18" s="24">
        <f>'Dwell y bobina'!$B$6*120000/(360*A18)</f>
        <v/>
      </c>
      <c r="C18" s="24">
        <f>'Dwell y bobina'!$B$17*(1-EXP(-B18/'Dwell y bobina'!$B$16))</f>
        <v/>
      </c>
      <c r="D18" s="25">
        <f>0.5*'Dwell y bobina'!$B$9*C18^2</f>
        <v/>
      </c>
      <c r="F18" s="24" t="n">
        <v>3.75</v>
      </c>
      <c r="G18" s="24">
        <f>'Dwell y bobina'!$B$17*(1-EXP(-F18/'Dwell y bobina'!$B$16))</f>
        <v/>
      </c>
      <c r="K18" s="23" t="n">
        <v>3750</v>
      </c>
      <c r="L18" s="25">
        <f>'Curva de avance'!$B$8*MIN(1,MAX(0,(K18-'Curva de avance'!$B$6)/('Curva de avance'!$B$7-'Curva de avance'!$B$6)))</f>
        <v/>
      </c>
      <c r="M18" s="25">
        <f>'Curva de avance'!$B$5+L18</f>
        <v/>
      </c>
      <c r="N18" s="25">
        <f>M18+'Curva de avance'!$B$17</f>
        <v/>
      </c>
      <c r="P18" s="23" t="n">
        <v>375</v>
      </c>
      <c r="Q18" s="25">
        <f>'Curva de avance'!$B$11*MIN(1,MAX(0,(P18-'Curva de avance'!$B$9)/('Curva de avance'!$B$10-'Curva de avance'!$B$9)))</f>
        <v/>
      </c>
      <c r="S18" s="24" t="n">
        <v>0.95</v>
      </c>
      <c r="T18" s="24">
        <f>IF(S18&lt;1,0.3+33*(1-S18),0.3*EXP(-15*(S18-1)))</f>
        <v/>
      </c>
      <c r="U18" s="25">
        <f>IF(S18&lt;1,14.7-22*(1-S18),14.7/S18)</f>
        <v/>
      </c>
      <c r="V18" s="24">
        <f>IF(S18&gt;1,0.3+20.9*(S18-1)/S18,0.3*EXP(-10*(1-S18)))</f>
        <v/>
      </c>
      <c r="W18" s="23">
        <f>IF(S18&lt;1.05,120+18000*(S18-1.05)^2,120+IF(S18&gt;1.15,40000*(S18-1.15)^2,0))</f>
        <v/>
      </c>
      <c r="X18" s="23">
        <f>2800*EXP(-1*((S18-1.08)/0.12)^2)</f>
        <v/>
      </c>
    </row>
    <row r="19">
      <c r="A19" s="23" t="n">
        <v>4500</v>
      </c>
      <c r="B19" s="24">
        <f>'Dwell y bobina'!$B$6*120000/(360*A19)</f>
        <v/>
      </c>
      <c r="C19" s="24">
        <f>'Dwell y bobina'!$B$17*(1-EXP(-B19/'Dwell y bobina'!$B$16))</f>
        <v/>
      </c>
      <c r="D19" s="25">
        <f>0.5*'Dwell y bobina'!$B$9*C19^2</f>
        <v/>
      </c>
      <c r="F19" s="24" t="n">
        <v>4</v>
      </c>
      <c r="G19" s="24">
        <f>'Dwell y bobina'!$B$17*(1-EXP(-F19/'Dwell y bobina'!$B$16))</f>
        <v/>
      </c>
      <c r="K19" s="23" t="n">
        <v>4000</v>
      </c>
      <c r="L19" s="25">
        <f>'Curva de avance'!$B$8*MIN(1,MAX(0,(K19-'Curva de avance'!$B$6)/('Curva de avance'!$B$7-'Curva de avance'!$B$6)))</f>
        <v/>
      </c>
      <c r="M19" s="25">
        <f>'Curva de avance'!$B$5+L19</f>
        <v/>
      </c>
      <c r="N19" s="25">
        <f>M19+'Curva de avance'!$B$17</f>
        <v/>
      </c>
      <c r="P19" s="23" t="n">
        <v>400</v>
      </c>
      <c r="Q19" s="25">
        <f>'Curva de avance'!$B$11*MIN(1,MAX(0,(P19-'Curva de avance'!$B$9)/('Curva de avance'!$B$10-'Curva de avance'!$B$9)))</f>
        <v/>
      </c>
      <c r="S19" s="24" t="n">
        <v>0.96</v>
      </c>
      <c r="T19" s="24">
        <f>IF(S19&lt;1,0.3+33*(1-S19),0.3*EXP(-15*(S19-1)))</f>
        <v/>
      </c>
      <c r="U19" s="25">
        <f>IF(S19&lt;1,14.7-22*(1-S19),14.7/S19)</f>
        <v/>
      </c>
      <c r="V19" s="24">
        <f>IF(S19&gt;1,0.3+20.9*(S19-1)/S19,0.3*EXP(-10*(1-S19)))</f>
        <v/>
      </c>
      <c r="W19" s="23">
        <f>IF(S19&lt;1.05,120+18000*(S19-1.05)^2,120+IF(S19&gt;1.15,40000*(S19-1.15)^2,0))</f>
        <v/>
      </c>
      <c r="X19" s="23">
        <f>2800*EXP(-1*((S19-1.08)/0.12)^2)</f>
        <v/>
      </c>
    </row>
    <row r="20">
      <c r="A20" s="23" t="n">
        <v>4750</v>
      </c>
      <c r="B20" s="24">
        <f>'Dwell y bobina'!$B$6*120000/(360*A20)</f>
        <v/>
      </c>
      <c r="C20" s="24">
        <f>'Dwell y bobina'!$B$17*(1-EXP(-B20/'Dwell y bobina'!$B$16))</f>
        <v/>
      </c>
      <c r="D20" s="25">
        <f>0.5*'Dwell y bobina'!$B$9*C20^2</f>
        <v/>
      </c>
      <c r="F20" s="24" t="n">
        <v>4.25</v>
      </c>
      <c r="G20" s="24">
        <f>'Dwell y bobina'!$B$17*(1-EXP(-F20/'Dwell y bobina'!$B$16))</f>
        <v/>
      </c>
      <c r="K20" s="23" t="n">
        <v>4250</v>
      </c>
      <c r="L20" s="25">
        <f>'Curva de avance'!$B$8*MIN(1,MAX(0,(K20-'Curva de avance'!$B$6)/('Curva de avance'!$B$7-'Curva de avance'!$B$6)))</f>
        <v/>
      </c>
      <c r="M20" s="25">
        <f>'Curva de avance'!$B$5+L20</f>
        <v/>
      </c>
      <c r="N20" s="25">
        <f>M20+'Curva de avance'!$B$17</f>
        <v/>
      </c>
      <c r="P20" s="23" t="n">
        <v>425</v>
      </c>
      <c r="Q20" s="25">
        <f>'Curva de avance'!$B$11*MIN(1,MAX(0,(P20-'Curva de avance'!$B$9)/('Curva de avance'!$B$10-'Curva de avance'!$B$9)))</f>
        <v/>
      </c>
      <c r="S20" s="24" t="n">
        <v>0.97</v>
      </c>
      <c r="T20" s="24">
        <f>IF(S20&lt;1,0.3+33*(1-S20),0.3*EXP(-15*(S20-1)))</f>
        <v/>
      </c>
      <c r="U20" s="25">
        <f>IF(S20&lt;1,14.7-22*(1-S20),14.7/S20)</f>
        <v/>
      </c>
      <c r="V20" s="24">
        <f>IF(S20&gt;1,0.3+20.9*(S20-1)/S20,0.3*EXP(-10*(1-S20)))</f>
        <v/>
      </c>
      <c r="W20" s="23">
        <f>IF(S20&lt;1.05,120+18000*(S20-1.05)^2,120+IF(S20&gt;1.15,40000*(S20-1.15)^2,0))</f>
        <v/>
      </c>
      <c r="X20" s="23">
        <f>2800*EXP(-1*((S20-1.08)/0.12)^2)</f>
        <v/>
      </c>
    </row>
    <row r="21">
      <c r="A21" s="23" t="n">
        <v>5000</v>
      </c>
      <c r="B21" s="24">
        <f>'Dwell y bobina'!$B$6*120000/(360*A21)</f>
        <v/>
      </c>
      <c r="C21" s="24">
        <f>'Dwell y bobina'!$B$17*(1-EXP(-B21/'Dwell y bobina'!$B$16))</f>
        <v/>
      </c>
      <c r="D21" s="25">
        <f>0.5*'Dwell y bobina'!$B$9*C21^2</f>
        <v/>
      </c>
      <c r="F21" s="24" t="n">
        <v>4.5</v>
      </c>
      <c r="G21" s="24">
        <f>'Dwell y bobina'!$B$17*(1-EXP(-F21/'Dwell y bobina'!$B$16))</f>
        <v/>
      </c>
      <c r="K21" s="23" t="n">
        <v>4500</v>
      </c>
      <c r="L21" s="25">
        <f>'Curva de avance'!$B$8*MIN(1,MAX(0,(K21-'Curva de avance'!$B$6)/('Curva de avance'!$B$7-'Curva de avance'!$B$6)))</f>
        <v/>
      </c>
      <c r="M21" s="25">
        <f>'Curva de avance'!$B$5+L21</f>
        <v/>
      </c>
      <c r="N21" s="25">
        <f>M21+'Curva de avance'!$B$17</f>
        <v/>
      </c>
      <c r="P21" s="23" t="n">
        <v>450</v>
      </c>
      <c r="Q21" s="25">
        <f>'Curva de avance'!$B$11*MIN(1,MAX(0,(P21-'Curva de avance'!$B$9)/('Curva de avance'!$B$10-'Curva de avance'!$B$9)))</f>
        <v/>
      </c>
      <c r="S21" s="24" t="n">
        <v>0.98</v>
      </c>
      <c r="T21" s="24">
        <f>IF(S21&lt;1,0.3+33*(1-S21),0.3*EXP(-15*(S21-1)))</f>
        <v/>
      </c>
      <c r="U21" s="25">
        <f>IF(S21&lt;1,14.7-22*(1-S21),14.7/S21)</f>
        <v/>
      </c>
      <c r="V21" s="24">
        <f>IF(S21&gt;1,0.3+20.9*(S21-1)/S21,0.3*EXP(-10*(1-S21)))</f>
        <v/>
      </c>
      <c r="W21" s="23">
        <f>IF(S21&lt;1.05,120+18000*(S21-1.05)^2,120+IF(S21&gt;1.15,40000*(S21-1.15)^2,0))</f>
        <v/>
      </c>
      <c r="X21" s="23">
        <f>2800*EXP(-1*((S21-1.08)/0.12)^2)</f>
        <v/>
      </c>
    </row>
    <row r="22">
      <c r="A22" s="23" t="n">
        <v>5250</v>
      </c>
      <c r="B22" s="24">
        <f>'Dwell y bobina'!$B$6*120000/(360*A22)</f>
        <v/>
      </c>
      <c r="C22" s="24">
        <f>'Dwell y bobina'!$B$17*(1-EXP(-B22/'Dwell y bobina'!$B$16))</f>
        <v/>
      </c>
      <c r="D22" s="25">
        <f>0.5*'Dwell y bobina'!$B$9*C22^2</f>
        <v/>
      </c>
      <c r="F22" s="24" t="n">
        <v>4.75</v>
      </c>
      <c r="G22" s="24">
        <f>'Dwell y bobina'!$B$17*(1-EXP(-F22/'Dwell y bobina'!$B$16))</f>
        <v/>
      </c>
      <c r="K22" s="23" t="n">
        <v>4750</v>
      </c>
      <c r="L22" s="25">
        <f>'Curva de avance'!$B$8*MIN(1,MAX(0,(K22-'Curva de avance'!$B$6)/('Curva de avance'!$B$7-'Curva de avance'!$B$6)))</f>
        <v/>
      </c>
      <c r="M22" s="25">
        <f>'Curva de avance'!$B$5+L22</f>
        <v/>
      </c>
      <c r="N22" s="25">
        <f>M22+'Curva de avance'!$B$17</f>
        <v/>
      </c>
      <c r="P22" s="23" t="n">
        <v>475</v>
      </c>
      <c r="Q22" s="25">
        <f>'Curva de avance'!$B$11*MIN(1,MAX(0,(P22-'Curva de avance'!$B$9)/('Curva de avance'!$B$10-'Curva de avance'!$B$9)))</f>
        <v/>
      </c>
      <c r="S22" s="24" t="n">
        <v>0.99</v>
      </c>
      <c r="T22" s="24">
        <f>IF(S22&lt;1,0.3+33*(1-S22),0.3*EXP(-15*(S22-1)))</f>
        <v/>
      </c>
      <c r="U22" s="25">
        <f>IF(S22&lt;1,14.7-22*(1-S22),14.7/S22)</f>
        <v/>
      </c>
      <c r="V22" s="24">
        <f>IF(S22&gt;1,0.3+20.9*(S22-1)/S22,0.3*EXP(-10*(1-S22)))</f>
        <v/>
      </c>
      <c r="W22" s="23">
        <f>IF(S22&lt;1.05,120+18000*(S22-1.05)^2,120+IF(S22&gt;1.15,40000*(S22-1.15)^2,0))</f>
        <v/>
      </c>
      <c r="X22" s="23">
        <f>2800*EXP(-1*((S22-1.08)/0.12)^2)</f>
        <v/>
      </c>
    </row>
    <row r="23">
      <c r="A23" s="23" t="n">
        <v>5500</v>
      </c>
      <c r="B23" s="24">
        <f>'Dwell y bobina'!$B$6*120000/(360*A23)</f>
        <v/>
      </c>
      <c r="C23" s="24">
        <f>'Dwell y bobina'!$B$17*(1-EXP(-B23/'Dwell y bobina'!$B$16))</f>
        <v/>
      </c>
      <c r="D23" s="25">
        <f>0.5*'Dwell y bobina'!$B$9*C23^2</f>
        <v/>
      </c>
      <c r="F23" s="24" t="n">
        <v>5</v>
      </c>
      <c r="G23" s="24">
        <f>'Dwell y bobina'!$B$17*(1-EXP(-F23/'Dwell y bobina'!$B$16))</f>
        <v/>
      </c>
      <c r="K23" s="23" t="n">
        <v>5000</v>
      </c>
      <c r="L23" s="25">
        <f>'Curva de avance'!$B$8*MIN(1,MAX(0,(K23-'Curva de avance'!$B$6)/('Curva de avance'!$B$7-'Curva de avance'!$B$6)))</f>
        <v/>
      </c>
      <c r="M23" s="25">
        <f>'Curva de avance'!$B$5+L23</f>
        <v/>
      </c>
      <c r="N23" s="25">
        <f>M23+'Curva de avance'!$B$17</f>
        <v/>
      </c>
      <c r="P23" s="23" t="n">
        <v>500</v>
      </c>
      <c r="Q23" s="25">
        <f>'Curva de avance'!$B$11*MIN(1,MAX(0,(P23-'Curva de avance'!$B$9)/('Curva de avance'!$B$10-'Curva de avance'!$B$9)))</f>
        <v/>
      </c>
      <c r="S23" s="24" t="n">
        <v>1</v>
      </c>
      <c r="T23" s="24">
        <f>IF(S23&lt;1,0.3+33*(1-S23),0.3*EXP(-15*(S23-1)))</f>
        <v/>
      </c>
      <c r="U23" s="25">
        <f>IF(S23&lt;1,14.7-22*(1-S23),14.7/S23)</f>
        <v/>
      </c>
      <c r="V23" s="24">
        <f>IF(S23&gt;1,0.3+20.9*(S23-1)/S23,0.3*EXP(-10*(1-S23)))</f>
        <v/>
      </c>
      <c r="W23" s="23">
        <f>IF(S23&lt;1.05,120+18000*(S23-1.05)^2,120+IF(S23&gt;1.15,40000*(S23-1.15)^2,0))</f>
        <v/>
      </c>
      <c r="X23" s="23">
        <f>2800*EXP(-1*((S23-1.08)/0.12)^2)</f>
        <v/>
      </c>
    </row>
    <row r="24">
      <c r="A24" s="23" t="n">
        <v>5750</v>
      </c>
      <c r="B24" s="24">
        <f>'Dwell y bobina'!$B$6*120000/(360*A24)</f>
        <v/>
      </c>
      <c r="C24" s="24">
        <f>'Dwell y bobina'!$B$17*(1-EXP(-B24/'Dwell y bobina'!$B$16))</f>
        <v/>
      </c>
      <c r="D24" s="25">
        <f>0.5*'Dwell y bobina'!$B$9*C24^2</f>
        <v/>
      </c>
      <c r="F24" s="24" t="n">
        <v>5.25</v>
      </c>
      <c r="G24" s="24">
        <f>'Dwell y bobina'!$B$17*(1-EXP(-F24/'Dwell y bobina'!$B$16))</f>
        <v/>
      </c>
      <c r="K24" s="23" t="n">
        <v>5250</v>
      </c>
      <c r="L24" s="25">
        <f>'Curva de avance'!$B$8*MIN(1,MAX(0,(K24-'Curva de avance'!$B$6)/('Curva de avance'!$B$7-'Curva de avance'!$B$6)))</f>
        <v/>
      </c>
      <c r="M24" s="25">
        <f>'Curva de avance'!$B$5+L24</f>
        <v/>
      </c>
      <c r="N24" s="25">
        <f>M24+'Curva de avance'!$B$17</f>
        <v/>
      </c>
      <c r="P24" s="23" t="n">
        <v>525</v>
      </c>
      <c r="Q24" s="25">
        <f>'Curva de avance'!$B$11*MIN(1,MAX(0,(P24-'Curva de avance'!$B$9)/('Curva de avance'!$B$10-'Curva de avance'!$B$9)))</f>
        <v/>
      </c>
      <c r="S24" s="24" t="n">
        <v>1.01</v>
      </c>
      <c r="T24" s="24">
        <f>IF(S24&lt;1,0.3+33*(1-S24),0.3*EXP(-15*(S24-1)))</f>
        <v/>
      </c>
      <c r="U24" s="25">
        <f>IF(S24&lt;1,14.7-22*(1-S24),14.7/S24)</f>
        <v/>
      </c>
      <c r="V24" s="24">
        <f>IF(S24&gt;1,0.3+20.9*(S24-1)/S24,0.3*EXP(-10*(1-S24)))</f>
        <v/>
      </c>
      <c r="W24" s="23">
        <f>IF(S24&lt;1.05,120+18000*(S24-1.05)^2,120+IF(S24&gt;1.15,40000*(S24-1.15)^2,0))</f>
        <v/>
      </c>
      <c r="X24" s="23">
        <f>2800*EXP(-1*((S24-1.08)/0.12)^2)</f>
        <v/>
      </c>
    </row>
    <row r="25">
      <c r="A25" s="23" t="n">
        <v>6000</v>
      </c>
      <c r="B25" s="24">
        <f>'Dwell y bobina'!$B$6*120000/(360*A25)</f>
        <v/>
      </c>
      <c r="C25" s="24">
        <f>'Dwell y bobina'!$B$17*(1-EXP(-B25/'Dwell y bobina'!$B$16))</f>
        <v/>
      </c>
      <c r="D25" s="25">
        <f>0.5*'Dwell y bobina'!$B$9*C25^2</f>
        <v/>
      </c>
      <c r="F25" s="24" t="n">
        <v>5.5</v>
      </c>
      <c r="G25" s="24">
        <f>'Dwell y bobina'!$B$17*(1-EXP(-F25/'Dwell y bobina'!$B$16))</f>
        <v/>
      </c>
      <c r="K25" s="23" t="n">
        <v>5500</v>
      </c>
      <c r="L25" s="25">
        <f>'Curva de avance'!$B$8*MIN(1,MAX(0,(K25-'Curva de avance'!$B$6)/('Curva de avance'!$B$7-'Curva de avance'!$B$6)))</f>
        <v/>
      </c>
      <c r="M25" s="25">
        <f>'Curva de avance'!$B$5+L25</f>
        <v/>
      </c>
      <c r="N25" s="25">
        <f>M25+'Curva de avance'!$B$17</f>
        <v/>
      </c>
      <c r="P25" s="23" t="n">
        <v>550</v>
      </c>
      <c r="Q25" s="25">
        <f>'Curva de avance'!$B$11*MIN(1,MAX(0,(P25-'Curva de avance'!$B$9)/('Curva de avance'!$B$10-'Curva de avance'!$B$9)))</f>
        <v/>
      </c>
      <c r="S25" s="24" t="n">
        <v>1.02</v>
      </c>
      <c r="T25" s="24">
        <f>IF(S25&lt;1,0.3+33*(1-S25),0.3*EXP(-15*(S25-1)))</f>
        <v/>
      </c>
      <c r="U25" s="25">
        <f>IF(S25&lt;1,14.7-22*(1-S25),14.7/S25)</f>
        <v/>
      </c>
      <c r="V25" s="24">
        <f>IF(S25&gt;1,0.3+20.9*(S25-1)/S25,0.3*EXP(-10*(1-S25)))</f>
        <v/>
      </c>
      <c r="W25" s="23">
        <f>IF(S25&lt;1.05,120+18000*(S25-1.05)^2,120+IF(S25&gt;1.15,40000*(S25-1.15)^2,0))</f>
        <v/>
      </c>
      <c r="X25" s="23">
        <f>2800*EXP(-1*((S25-1.08)/0.12)^2)</f>
        <v/>
      </c>
    </row>
    <row r="26">
      <c r="A26" s="23" t="n">
        <v>6250</v>
      </c>
      <c r="B26" s="24">
        <f>'Dwell y bobina'!$B$6*120000/(360*A26)</f>
        <v/>
      </c>
      <c r="C26" s="24">
        <f>'Dwell y bobina'!$B$17*(1-EXP(-B26/'Dwell y bobina'!$B$16))</f>
        <v/>
      </c>
      <c r="D26" s="25">
        <f>0.5*'Dwell y bobina'!$B$9*C26^2</f>
        <v/>
      </c>
      <c r="F26" s="24" t="n">
        <v>5.75</v>
      </c>
      <c r="G26" s="24">
        <f>'Dwell y bobina'!$B$17*(1-EXP(-F26/'Dwell y bobina'!$B$16))</f>
        <v/>
      </c>
      <c r="K26" s="23" t="n">
        <v>5750</v>
      </c>
      <c r="L26" s="25">
        <f>'Curva de avance'!$B$8*MIN(1,MAX(0,(K26-'Curva de avance'!$B$6)/('Curva de avance'!$B$7-'Curva de avance'!$B$6)))</f>
        <v/>
      </c>
      <c r="M26" s="25">
        <f>'Curva de avance'!$B$5+L26</f>
        <v/>
      </c>
      <c r="N26" s="25">
        <f>M26+'Curva de avance'!$B$17</f>
        <v/>
      </c>
      <c r="P26" s="23" t="n">
        <v>575</v>
      </c>
      <c r="Q26" s="25">
        <f>'Curva de avance'!$B$11*MIN(1,MAX(0,(P26-'Curva de avance'!$B$9)/('Curva de avance'!$B$10-'Curva de avance'!$B$9)))</f>
        <v/>
      </c>
      <c r="S26" s="24" t="n">
        <v>1.03</v>
      </c>
      <c r="T26" s="24">
        <f>IF(S26&lt;1,0.3+33*(1-S26),0.3*EXP(-15*(S26-1)))</f>
        <v/>
      </c>
      <c r="U26" s="25">
        <f>IF(S26&lt;1,14.7-22*(1-S26),14.7/S26)</f>
        <v/>
      </c>
      <c r="V26" s="24">
        <f>IF(S26&gt;1,0.3+20.9*(S26-1)/S26,0.3*EXP(-10*(1-S26)))</f>
        <v/>
      </c>
      <c r="W26" s="23">
        <f>IF(S26&lt;1.05,120+18000*(S26-1.05)^2,120+IF(S26&gt;1.15,40000*(S26-1.15)^2,0))</f>
        <v/>
      </c>
      <c r="X26" s="23">
        <f>2800*EXP(-1*((S26-1.08)/0.12)^2)</f>
        <v/>
      </c>
    </row>
    <row r="27">
      <c r="A27" s="23" t="n">
        <v>6500</v>
      </c>
      <c r="B27" s="24">
        <f>'Dwell y bobina'!$B$6*120000/(360*A27)</f>
        <v/>
      </c>
      <c r="C27" s="24">
        <f>'Dwell y bobina'!$B$17*(1-EXP(-B27/'Dwell y bobina'!$B$16))</f>
        <v/>
      </c>
      <c r="D27" s="25">
        <f>0.5*'Dwell y bobina'!$B$9*C27^2</f>
        <v/>
      </c>
      <c r="F27" s="24" t="n">
        <v>6</v>
      </c>
      <c r="G27" s="24">
        <f>'Dwell y bobina'!$B$17*(1-EXP(-F27/'Dwell y bobina'!$B$16))</f>
        <v/>
      </c>
      <c r="K27" s="23" t="n">
        <v>6000</v>
      </c>
      <c r="L27" s="25">
        <f>'Curva de avance'!$B$8*MIN(1,MAX(0,(K27-'Curva de avance'!$B$6)/('Curva de avance'!$B$7-'Curva de avance'!$B$6)))</f>
        <v/>
      </c>
      <c r="M27" s="25">
        <f>'Curva de avance'!$B$5+L27</f>
        <v/>
      </c>
      <c r="N27" s="25">
        <f>M27+'Curva de avance'!$B$17</f>
        <v/>
      </c>
      <c r="P27" s="23" t="n">
        <v>600</v>
      </c>
      <c r="Q27" s="25">
        <f>'Curva de avance'!$B$11*MIN(1,MAX(0,(P27-'Curva de avance'!$B$9)/('Curva de avance'!$B$10-'Curva de avance'!$B$9)))</f>
        <v/>
      </c>
      <c r="S27" s="24" t="n">
        <v>1.04</v>
      </c>
      <c r="T27" s="24">
        <f>IF(S27&lt;1,0.3+33*(1-S27),0.3*EXP(-15*(S27-1)))</f>
        <v/>
      </c>
      <c r="U27" s="25">
        <f>IF(S27&lt;1,14.7-22*(1-S27),14.7/S27)</f>
        <v/>
      </c>
      <c r="V27" s="24">
        <f>IF(S27&gt;1,0.3+20.9*(S27-1)/S27,0.3*EXP(-10*(1-S27)))</f>
        <v/>
      </c>
      <c r="W27" s="23">
        <f>IF(S27&lt;1.05,120+18000*(S27-1.05)^2,120+IF(S27&gt;1.15,40000*(S27-1.15)^2,0))</f>
        <v/>
      </c>
      <c r="X27" s="23">
        <f>2800*EXP(-1*((S27-1.08)/0.12)^2)</f>
        <v/>
      </c>
    </row>
    <row r="28">
      <c r="A28" s="23" t="n">
        <v>6750</v>
      </c>
      <c r="B28" s="24">
        <f>'Dwell y bobina'!$B$6*120000/(360*A28)</f>
        <v/>
      </c>
      <c r="C28" s="24">
        <f>'Dwell y bobina'!$B$17*(1-EXP(-B28/'Dwell y bobina'!$B$16))</f>
        <v/>
      </c>
      <c r="D28" s="25">
        <f>0.5*'Dwell y bobina'!$B$9*C28^2</f>
        <v/>
      </c>
      <c r="F28" s="24" t="n">
        <v>6.25</v>
      </c>
      <c r="G28" s="24">
        <f>'Dwell y bobina'!$B$17*(1-EXP(-F28/'Dwell y bobina'!$B$16))</f>
        <v/>
      </c>
      <c r="K28" s="23" t="n">
        <v>6250</v>
      </c>
      <c r="L28" s="25">
        <f>'Curva de avance'!$B$8*MIN(1,MAX(0,(K28-'Curva de avance'!$B$6)/('Curva de avance'!$B$7-'Curva de avance'!$B$6)))</f>
        <v/>
      </c>
      <c r="M28" s="25">
        <f>'Curva de avance'!$B$5+L28</f>
        <v/>
      </c>
      <c r="N28" s="25">
        <f>M28+'Curva de avance'!$B$17</f>
        <v/>
      </c>
      <c r="S28" s="24" t="n">
        <v>1.05</v>
      </c>
      <c r="T28" s="24">
        <f>IF(S28&lt;1,0.3+33*(1-S28),0.3*EXP(-15*(S28-1)))</f>
        <v/>
      </c>
      <c r="U28" s="25">
        <f>IF(S28&lt;1,14.7-22*(1-S28),14.7/S28)</f>
        <v/>
      </c>
      <c r="V28" s="24">
        <f>IF(S28&gt;1,0.3+20.9*(S28-1)/S28,0.3*EXP(-10*(1-S28)))</f>
        <v/>
      </c>
      <c r="W28" s="23">
        <f>IF(S28&lt;1.05,120+18000*(S28-1.05)^2,120+IF(S28&gt;1.15,40000*(S28-1.15)^2,0))</f>
        <v/>
      </c>
      <c r="X28" s="23">
        <f>2800*EXP(-1*((S28-1.08)/0.12)^2)</f>
        <v/>
      </c>
    </row>
    <row r="29">
      <c r="A29" s="23" t="n">
        <v>7000</v>
      </c>
      <c r="B29" s="24">
        <f>'Dwell y bobina'!$B$6*120000/(360*A29)</f>
        <v/>
      </c>
      <c r="C29" s="24">
        <f>'Dwell y bobina'!$B$17*(1-EXP(-B29/'Dwell y bobina'!$B$16))</f>
        <v/>
      </c>
      <c r="D29" s="25">
        <f>0.5*'Dwell y bobina'!$B$9*C29^2</f>
        <v/>
      </c>
      <c r="F29" s="24" t="n">
        <v>6.5</v>
      </c>
      <c r="G29" s="24">
        <f>'Dwell y bobina'!$B$17*(1-EXP(-F29/'Dwell y bobina'!$B$16))</f>
        <v/>
      </c>
      <c r="K29" s="23" t="n">
        <v>6500</v>
      </c>
      <c r="L29" s="25">
        <f>'Curva de avance'!$B$8*MIN(1,MAX(0,(K29-'Curva de avance'!$B$6)/('Curva de avance'!$B$7-'Curva de avance'!$B$6)))</f>
        <v/>
      </c>
      <c r="M29" s="25">
        <f>'Curva de avance'!$B$5+L29</f>
        <v/>
      </c>
      <c r="N29" s="25">
        <f>M29+'Curva de avance'!$B$17</f>
        <v/>
      </c>
      <c r="S29" s="24" t="n">
        <v>1.06</v>
      </c>
      <c r="T29" s="24">
        <f>IF(S29&lt;1,0.3+33*(1-S29),0.3*EXP(-15*(S29-1)))</f>
        <v/>
      </c>
      <c r="U29" s="25">
        <f>IF(S29&lt;1,14.7-22*(1-S29),14.7/S29)</f>
        <v/>
      </c>
      <c r="V29" s="24">
        <f>IF(S29&gt;1,0.3+20.9*(S29-1)/S29,0.3*EXP(-10*(1-S29)))</f>
        <v/>
      </c>
      <c r="W29" s="23">
        <f>IF(S29&lt;1.05,120+18000*(S29-1.05)^2,120+IF(S29&gt;1.15,40000*(S29-1.15)^2,0))</f>
        <v/>
      </c>
      <c r="X29" s="23">
        <f>2800*EXP(-1*((S29-1.08)/0.12)^2)</f>
        <v/>
      </c>
    </row>
    <row r="30">
      <c r="F30" s="24" t="n">
        <v>6.75</v>
      </c>
      <c r="G30" s="24">
        <f>'Dwell y bobina'!$B$17*(1-EXP(-F30/'Dwell y bobina'!$B$16))</f>
        <v/>
      </c>
      <c r="K30" s="23" t="n">
        <v>6750</v>
      </c>
      <c r="L30" s="25">
        <f>'Curva de avance'!$B$8*MIN(1,MAX(0,(K30-'Curva de avance'!$B$6)/('Curva de avance'!$B$7-'Curva de avance'!$B$6)))</f>
        <v/>
      </c>
      <c r="M30" s="25">
        <f>'Curva de avance'!$B$5+L30</f>
        <v/>
      </c>
      <c r="N30" s="25">
        <f>M30+'Curva de avance'!$B$17</f>
        <v/>
      </c>
      <c r="S30" s="24" t="n">
        <v>1.07</v>
      </c>
      <c r="T30" s="24">
        <f>IF(S30&lt;1,0.3+33*(1-S30),0.3*EXP(-15*(S30-1)))</f>
        <v/>
      </c>
      <c r="U30" s="25">
        <f>IF(S30&lt;1,14.7-22*(1-S30),14.7/S30)</f>
        <v/>
      </c>
      <c r="V30" s="24">
        <f>IF(S30&gt;1,0.3+20.9*(S30-1)/S30,0.3*EXP(-10*(1-S30)))</f>
        <v/>
      </c>
      <c r="W30" s="23">
        <f>IF(S30&lt;1.05,120+18000*(S30-1.05)^2,120+IF(S30&gt;1.15,40000*(S30-1.15)^2,0))</f>
        <v/>
      </c>
      <c r="X30" s="23">
        <f>2800*EXP(-1*((S30-1.08)/0.12)^2)</f>
        <v/>
      </c>
    </row>
    <row r="31">
      <c r="F31" s="24" t="n">
        <v>7</v>
      </c>
      <c r="G31" s="24">
        <f>'Dwell y bobina'!$B$17*(1-EXP(-F31/'Dwell y bobina'!$B$16))</f>
        <v/>
      </c>
      <c r="K31" s="23" t="n">
        <v>7000</v>
      </c>
      <c r="L31" s="25">
        <f>'Curva de avance'!$B$8*MIN(1,MAX(0,(K31-'Curva de avance'!$B$6)/('Curva de avance'!$B$7-'Curva de avance'!$B$6)))</f>
        <v/>
      </c>
      <c r="M31" s="25">
        <f>'Curva de avance'!$B$5+L31</f>
        <v/>
      </c>
      <c r="N31" s="25">
        <f>M31+'Curva de avance'!$B$17</f>
        <v/>
      </c>
      <c r="S31" s="24" t="n">
        <v>1.08</v>
      </c>
      <c r="T31" s="24">
        <f>IF(S31&lt;1,0.3+33*(1-S31),0.3*EXP(-15*(S31-1)))</f>
        <v/>
      </c>
      <c r="U31" s="25">
        <f>IF(S31&lt;1,14.7-22*(1-S31),14.7/S31)</f>
        <v/>
      </c>
      <c r="V31" s="24">
        <f>IF(S31&gt;1,0.3+20.9*(S31-1)/S31,0.3*EXP(-10*(1-S31)))</f>
        <v/>
      </c>
      <c r="W31" s="23">
        <f>IF(S31&lt;1.05,120+18000*(S31-1.05)^2,120+IF(S31&gt;1.15,40000*(S31-1.15)^2,0))</f>
        <v/>
      </c>
      <c r="X31" s="23">
        <f>2800*EXP(-1*((S31-1.08)/0.12)^2)</f>
        <v/>
      </c>
    </row>
    <row r="32">
      <c r="F32" s="24" t="n">
        <v>7.25</v>
      </c>
      <c r="G32" s="24">
        <f>'Dwell y bobina'!$B$17*(1-EXP(-F32/'Dwell y bobina'!$B$16))</f>
        <v/>
      </c>
      <c r="S32" s="24" t="n">
        <v>1.09</v>
      </c>
      <c r="T32" s="24">
        <f>IF(S32&lt;1,0.3+33*(1-S32),0.3*EXP(-15*(S32-1)))</f>
        <v/>
      </c>
      <c r="U32" s="25">
        <f>IF(S32&lt;1,14.7-22*(1-S32),14.7/S32)</f>
        <v/>
      </c>
      <c r="V32" s="24">
        <f>IF(S32&gt;1,0.3+20.9*(S32-1)/S32,0.3*EXP(-10*(1-S32)))</f>
        <v/>
      </c>
      <c r="W32" s="23">
        <f>IF(S32&lt;1.05,120+18000*(S32-1.05)^2,120+IF(S32&gt;1.15,40000*(S32-1.15)^2,0))</f>
        <v/>
      </c>
      <c r="X32" s="23">
        <f>2800*EXP(-1*((S32-1.08)/0.12)^2)</f>
        <v/>
      </c>
    </row>
    <row r="33">
      <c r="F33" s="24" t="n">
        <v>7.5</v>
      </c>
      <c r="G33" s="24">
        <f>'Dwell y bobina'!$B$17*(1-EXP(-F33/'Dwell y bobina'!$B$16))</f>
        <v/>
      </c>
      <c r="S33" s="24" t="n">
        <v>1.1</v>
      </c>
      <c r="T33" s="24">
        <f>IF(S33&lt;1,0.3+33*(1-S33),0.3*EXP(-15*(S33-1)))</f>
        <v/>
      </c>
      <c r="U33" s="25">
        <f>IF(S33&lt;1,14.7-22*(1-S33),14.7/S33)</f>
        <v/>
      </c>
      <c r="V33" s="24">
        <f>IF(S33&gt;1,0.3+20.9*(S33-1)/S33,0.3*EXP(-10*(1-S33)))</f>
        <v/>
      </c>
      <c r="W33" s="23">
        <f>IF(S33&lt;1.05,120+18000*(S33-1.05)^2,120+IF(S33&gt;1.15,40000*(S33-1.15)^2,0))</f>
        <v/>
      </c>
      <c r="X33" s="23">
        <f>2800*EXP(-1*((S33-1.08)/0.12)^2)</f>
        <v/>
      </c>
    </row>
    <row r="34">
      <c r="F34" s="24" t="n">
        <v>7.75</v>
      </c>
      <c r="G34" s="24">
        <f>'Dwell y bobina'!$B$17*(1-EXP(-F34/'Dwell y bobina'!$B$16))</f>
        <v/>
      </c>
      <c r="S34" s="24" t="n">
        <v>1.11</v>
      </c>
      <c r="T34" s="24">
        <f>IF(S34&lt;1,0.3+33*(1-S34),0.3*EXP(-15*(S34-1)))</f>
        <v/>
      </c>
      <c r="U34" s="25">
        <f>IF(S34&lt;1,14.7-22*(1-S34),14.7/S34)</f>
        <v/>
      </c>
      <c r="V34" s="24">
        <f>IF(S34&gt;1,0.3+20.9*(S34-1)/S34,0.3*EXP(-10*(1-S34)))</f>
        <v/>
      </c>
      <c r="W34" s="23">
        <f>IF(S34&lt;1.05,120+18000*(S34-1.05)^2,120+IF(S34&gt;1.15,40000*(S34-1.15)^2,0))</f>
        <v/>
      </c>
      <c r="X34" s="23">
        <f>2800*EXP(-1*((S34-1.08)/0.12)^2)</f>
        <v/>
      </c>
    </row>
    <row r="35">
      <c r="F35" s="24" t="n">
        <v>8</v>
      </c>
      <c r="G35" s="24">
        <f>'Dwell y bobina'!$B$17*(1-EXP(-F35/'Dwell y bobina'!$B$16))</f>
        <v/>
      </c>
      <c r="S35" s="24" t="n">
        <v>1.12</v>
      </c>
      <c r="T35" s="24">
        <f>IF(S35&lt;1,0.3+33*(1-S35),0.3*EXP(-15*(S35-1)))</f>
        <v/>
      </c>
      <c r="U35" s="25">
        <f>IF(S35&lt;1,14.7-22*(1-S35),14.7/S35)</f>
        <v/>
      </c>
      <c r="V35" s="24">
        <f>IF(S35&gt;1,0.3+20.9*(S35-1)/S35,0.3*EXP(-10*(1-S35)))</f>
        <v/>
      </c>
      <c r="W35" s="23">
        <f>IF(S35&lt;1.05,120+18000*(S35-1.05)^2,120+IF(S35&gt;1.15,40000*(S35-1.15)^2,0))</f>
        <v/>
      </c>
      <c r="X35" s="23">
        <f>2800*EXP(-1*((S35-1.08)/0.12)^2)</f>
        <v/>
      </c>
    </row>
    <row r="36">
      <c r="F36" s="24" t="n">
        <v>8.25</v>
      </c>
      <c r="G36" s="24">
        <f>'Dwell y bobina'!$B$17*(1-EXP(-F36/'Dwell y bobina'!$B$16))</f>
        <v/>
      </c>
      <c r="S36" s="24" t="n">
        <v>1.13</v>
      </c>
      <c r="T36" s="24">
        <f>IF(S36&lt;1,0.3+33*(1-S36),0.3*EXP(-15*(S36-1)))</f>
        <v/>
      </c>
      <c r="U36" s="25">
        <f>IF(S36&lt;1,14.7-22*(1-S36),14.7/S36)</f>
        <v/>
      </c>
      <c r="V36" s="24">
        <f>IF(S36&gt;1,0.3+20.9*(S36-1)/S36,0.3*EXP(-10*(1-S36)))</f>
        <v/>
      </c>
      <c r="W36" s="23">
        <f>IF(S36&lt;1.05,120+18000*(S36-1.05)^2,120+IF(S36&gt;1.15,40000*(S36-1.15)^2,0))</f>
        <v/>
      </c>
      <c r="X36" s="23">
        <f>2800*EXP(-1*((S36-1.08)/0.12)^2)</f>
        <v/>
      </c>
    </row>
    <row r="37">
      <c r="F37" s="24" t="n">
        <v>8.5</v>
      </c>
      <c r="G37" s="24">
        <f>'Dwell y bobina'!$B$17*(1-EXP(-F37/'Dwell y bobina'!$B$16))</f>
        <v/>
      </c>
      <c r="S37" s="24" t="n">
        <v>1.14</v>
      </c>
      <c r="T37" s="24">
        <f>IF(S37&lt;1,0.3+33*(1-S37),0.3*EXP(-15*(S37-1)))</f>
        <v/>
      </c>
      <c r="U37" s="25">
        <f>IF(S37&lt;1,14.7-22*(1-S37),14.7/S37)</f>
        <v/>
      </c>
      <c r="V37" s="24">
        <f>IF(S37&gt;1,0.3+20.9*(S37-1)/S37,0.3*EXP(-10*(1-S37)))</f>
        <v/>
      </c>
      <c r="W37" s="23">
        <f>IF(S37&lt;1.05,120+18000*(S37-1.05)^2,120+IF(S37&gt;1.15,40000*(S37-1.15)^2,0))</f>
        <v/>
      </c>
      <c r="X37" s="23">
        <f>2800*EXP(-1*((S37-1.08)/0.12)^2)</f>
        <v/>
      </c>
    </row>
    <row r="38">
      <c r="F38" s="24" t="n">
        <v>8.75</v>
      </c>
      <c r="G38" s="24">
        <f>'Dwell y bobina'!$B$17*(1-EXP(-F38/'Dwell y bobina'!$B$16))</f>
        <v/>
      </c>
      <c r="S38" s="24" t="n">
        <v>1.15</v>
      </c>
      <c r="T38" s="24">
        <f>IF(S38&lt;1,0.3+33*(1-S38),0.3*EXP(-15*(S38-1)))</f>
        <v/>
      </c>
      <c r="U38" s="25">
        <f>IF(S38&lt;1,14.7-22*(1-S38),14.7/S38)</f>
        <v/>
      </c>
      <c r="V38" s="24">
        <f>IF(S38&gt;1,0.3+20.9*(S38-1)/S38,0.3*EXP(-10*(1-S38)))</f>
        <v/>
      </c>
      <c r="W38" s="23">
        <f>IF(S38&lt;1.05,120+18000*(S38-1.05)^2,120+IF(S38&gt;1.15,40000*(S38-1.15)^2,0))</f>
        <v/>
      </c>
      <c r="X38" s="23">
        <f>2800*EXP(-1*((S38-1.08)/0.12)^2)</f>
        <v/>
      </c>
    </row>
    <row r="39">
      <c r="F39" s="24" t="n">
        <v>9</v>
      </c>
      <c r="G39" s="24">
        <f>'Dwell y bobina'!$B$17*(1-EXP(-F39/'Dwell y bobina'!$B$16))</f>
        <v/>
      </c>
      <c r="S39" s="24" t="n">
        <v>1.16</v>
      </c>
      <c r="T39" s="24">
        <f>IF(S39&lt;1,0.3+33*(1-S39),0.3*EXP(-15*(S39-1)))</f>
        <v/>
      </c>
      <c r="U39" s="25">
        <f>IF(S39&lt;1,14.7-22*(1-S39),14.7/S39)</f>
        <v/>
      </c>
      <c r="V39" s="24">
        <f>IF(S39&gt;1,0.3+20.9*(S39-1)/S39,0.3*EXP(-10*(1-S39)))</f>
        <v/>
      </c>
      <c r="W39" s="23">
        <f>IF(S39&lt;1.05,120+18000*(S39-1.05)^2,120+IF(S39&gt;1.15,40000*(S39-1.15)^2,0))</f>
        <v/>
      </c>
      <c r="X39" s="23">
        <f>2800*EXP(-1*((S39-1.08)/0.12)^2)</f>
        <v/>
      </c>
    </row>
    <row r="40">
      <c r="F40" s="24" t="n">
        <v>9.25</v>
      </c>
      <c r="G40" s="24">
        <f>'Dwell y bobina'!$B$17*(1-EXP(-F40/'Dwell y bobina'!$B$16))</f>
        <v/>
      </c>
      <c r="S40" s="24" t="n">
        <v>1.17</v>
      </c>
      <c r="T40" s="24">
        <f>IF(S40&lt;1,0.3+33*(1-S40),0.3*EXP(-15*(S40-1)))</f>
        <v/>
      </c>
      <c r="U40" s="25">
        <f>IF(S40&lt;1,14.7-22*(1-S40),14.7/S40)</f>
        <v/>
      </c>
      <c r="V40" s="24">
        <f>IF(S40&gt;1,0.3+20.9*(S40-1)/S40,0.3*EXP(-10*(1-S40)))</f>
        <v/>
      </c>
      <c r="W40" s="23">
        <f>IF(S40&lt;1.05,120+18000*(S40-1.05)^2,120+IF(S40&gt;1.15,40000*(S40-1.15)^2,0))</f>
        <v/>
      </c>
      <c r="X40" s="23">
        <f>2800*EXP(-1*((S40-1.08)/0.12)^2)</f>
        <v/>
      </c>
    </row>
    <row r="41">
      <c r="F41" s="24" t="n">
        <v>9.5</v>
      </c>
      <c r="G41" s="24">
        <f>'Dwell y bobina'!$B$17*(1-EXP(-F41/'Dwell y bobina'!$B$16))</f>
        <v/>
      </c>
      <c r="S41" s="24" t="n">
        <v>1.18</v>
      </c>
      <c r="T41" s="24">
        <f>IF(S41&lt;1,0.3+33*(1-S41),0.3*EXP(-15*(S41-1)))</f>
        <v/>
      </c>
      <c r="U41" s="25">
        <f>IF(S41&lt;1,14.7-22*(1-S41),14.7/S41)</f>
        <v/>
      </c>
      <c r="V41" s="24">
        <f>IF(S41&gt;1,0.3+20.9*(S41-1)/S41,0.3*EXP(-10*(1-S41)))</f>
        <v/>
      </c>
      <c r="W41" s="23">
        <f>IF(S41&lt;1.05,120+18000*(S41-1.05)^2,120+IF(S41&gt;1.15,40000*(S41-1.15)^2,0))</f>
        <v/>
      </c>
      <c r="X41" s="23">
        <f>2800*EXP(-1*((S41-1.08)/0.12)^2)</f>
        <v/>
      </c>
    </row>
    <row r="42">
      <c r="F42" s="24" t="n">
        <v>9.75</v>
      </c>
      <c r="G42" s="24">
        <f>'Dwell y bobina'!$B$17*(1-EXP(-F42/'Dwell y bobina'!$B$16))</f>
        <v/>
      </c>
      <c r="S42" s="24" t="n">
        <v>1.19</v>
      </c>
      <c r="T42" s="24">
        <f>IF(S42&lt;1,0.3+33*(1-S42),0.3*EXP(-15*(S42-1)))</f>
        <v/>
      </c>
      <c r="U42" s="25">
        <f>IF(S42&lt;1,14.7-22*(1-S42),14.7/S42)</f>
        <v/>
      </c>
      <c r="V42" s="24">
        <f>IF(S42&gt;1,0.3+20.9*(S42-1)/S42,0.3*EXP(-10*(1-S42)))</f>
        <v/>
      </c>
      <c r="W42" s="23">
        <f>IF(S42&lt;1.05,120+18000*(S42-1.05)^2,120+IF(S42&gt;1.15,40000*(S42-1.15)^2,0))</f>
        <v/>
      </c>
      <c r="X42" s="23">
        <f>2800*EXP(-1*((S42-1.08)/0.12)^2)</f>
        <v/>
      </c>
    </row>
    <row r="43">
      <c r="F43" s="24" t="n">
        <v>10</v>
      </c>
      <c r="G43" s="24">
        <f>'Dwell y bobina'!$B$17*(1-EXP(-F43/'Dwell y bobina'!$B$16))</f>
        <v/>
      </c>
      <c r="S43" s="24" t="n">
        <v>1.2</v>
      </c>
      <c r="T43" s="24">
        <f>IF(S43&lt;1,0.3+33*(1-S43),0.3*EXP(-15*(S43-1)))</f>
        <v/>
      </c>
      <c r="U43" s="25">
        <f>IF(S43&lt;1,14.7-22*(1-S43),14.7/S43)</f>
        <v/>
      </c>
      <c r="V43" s="24">
        <f>IF(S43&gt;1,0.3+20.9*(S43-1)/S43,0.3*EXP(-10*(1-S43)))</f>
        <v/>
      </c>
      <c r="W43" s="23">
        <f>IF(S43&lt;1.05,120+18000*(S43-1.05)^2,120+IF(S43&gt;1.15,40000*(S43-1.15)^2,0))</f>
        <v/>
      </c>
      <c r="X43" s="23">
        <f>2800*EXP(-1*((S43-1.08)/0.12)^2)</f>
        <v/>
      </c>
    </row>
    <row r="44">
      <c r="F44" s="24" t="n">
        <v>10.25</v>
      </c>
      <c r="G44" s="24">
        <f>'Dwell y bobina'!$B$17*(1-EXP(-F44/'Dwell y bobina'!$B$16))</f>
        <v/>
      </c>
      <c r="S44" s="24" t="n">
        <v>1.21</v>
      </c>
      <c r="T44" s="24">
        <f>IF(S44&lt;1,0.3+33*(1-S44),0.3*EXP(-15*(S44-1)))</f>
        <v/>
      </c>
      <c r="U44" s="25">
        <f>IF(S44&lt;1,14.7-22*(1-S44),14.7/S44)</f>
        <v/>
      </c>
      <c r="V44" s="24">
        <f>IF(S44&gt;1,0.3+20.9*(S44-1)/S44,0.3*EXP(-10*(1-S44)))</f>
        <v/>
      </c>
      <c r="W44" s="23">
        <f>IF(S44&lt;1.05,120+18000*(S44-1.05)^2,120+IF(S44&gt;1.15,40000*(S44-1.15)^2,0))</f>
        <v/>
      </c>
      <c r="X44" s="23">
        <f>2800*EXP(-1*((S44-1.08)/0.12)^2)</f>
        <v/>
      </c>
    </row>
    <row r="45">
      <c r="F45" s="24" t="n">
        <v>10.5</v>
      </c>
      <c r="G45" s="24">
        <f>'Dwell y bobina'!$B$17*(1-EXP(-F45/'Dwell y bobina'!$B$16))</f>
        <v/>
      </c>
      <c r="S45" s="24" t="n">
        <v>1.22</v>
      </c>
      <c r="T45" s="24">
        <f>IF(S45&lt;1,0.3+33*(1-S45),0.3*EXP(-15*(S45-1)))</f>
        <v/>
      </c>
      <c r="U45" s="25">
        <f>IF(S45&lt;1,14.7-22*(1-S45),14.7/S45)</f>
        <v/>
      </c>
      <c r="V45" s="24">
        <f>IF(S45&gt;1,0.3+20.9*(S45-1)/S45,0.3*EXP(-10*(1-S45)))</f>
        <v/>
      </c>
      <c r="W45" s="23">
        <f>IF(S45&lt;1.05,120+18000*(S45-1.05)^2,120+IF(S45&gt;1.15,40000*(S45-1.15)^2,0))</f>
        <v/>
      </c>
      <c r="X45" s="23">
        <f>2800*EXP(-1*((S45-1.08)/0.12)^2)</f>
        <v/>
      </c>
    </row>
    <row r="46">
      <c r="F46" s="24" t="n">
        <v>10.75</v>
      </c>
      <c r="G46" s="24">
        <f>'Dwell y bobina'!$B$17*(1-EXP(-F46/'Dwell y bobina'!$B$16))</f>
        <v/>
      </c>
      <c r="S46" s="24" t="n">
        <v>1.23</v>
      </c>
      <c r="T46" s="24">
        <f>IF(S46&lt;1,0.3+33*(1-S46),0.3*EXP(-15*(S46-1)))</f>
        <v/>
      </c>
      <c r="U46" s="25">
        <f>IF(S46&lt;1,14.7-22*(1-S46),14.7/S46)</f>
        <v/>
      </c>
      <c r="V46" s="24">
        <f>IF(S46&gt;1,0.3+20.9*(S46-1)/S46,0.3*EXP(-10*(1-S46)))</f>
        <v/>
      </c>
      <c r="W46" s="23">
        <f>IF(S46&lt;1.05,120+18000*(S46-1.05)^2,120+IF(S46&gt;1.15,40000*(S46-1.15)^2,0))</f>
        <v/>
      </c>
      <c r="X46" s="23">
        <f>2800*EXP(-1*((S46-1.08)/0.12)^2)</f>
        <v/>
      </c>
    </row>
    <row r="47">
      <c r="F47" s="24" t="n">
        <v>11</v>
      </c>
      <c r="G47" s="24">
        <f>'Dwell y bobina'!$B$17*(1-EXP(-F47/'Dwell y bobina'!$B$16))</f>
        <v/>
      </c>
      <c r="S47" s="24" t="n">
        <v>1.24</v>
      </c>
      <c r="T47" s="24">
        <f>IF(S47&lt;1,0.3+33*(1-S47),0.3*EXP(-15*(S47-1)))</f>
        <v/>
      </c>
      <c r="U47" s="25">
        <f>IF(S47&lt;1,14.7-22*(1-S47),14.7/S47)</f>
        <v/>
      </c>
      <c r="V47" s="24">
        <f>IF(S47&gt;1,0.3+20.9*(S47-1)/S47,0.3*EXP(-10*(1-S47)))</f>
        <v/>
      </c>
      <c r="W47" s="23">
        <f>IF(S47&lt;1.05,120+18000*(S47-1.05)^2,120+IF(S47&gt;1.15,40000*(S47-1.15)^2,0))</f>
        <v/>
      </c>
      <c r="X47" s="23">
        <f>2800*EXP(-1*((S47-1.08)/0.12)^2)</f>
        <v/>
      </c>
    </row>
    <row r="48">
      <c r="F48" s="24" t="n">
        <v>11.25</v>
      </c>
      <c r="G48" s="24">
        <f>'Dwell y bobina'!$B$17*(1-EXP(-F48/'Dwell y bobina'!$B$16))</f>
        <v/>
      </c>
      <c r="S48" s="24" t="n">
        <v>1.25</v>
      </c>
      <c r="T48" s="24">
        <f>IF(S48&lt;1,0.3+33*(1-S48),0.3*EXP(-15*(S48-1)))</f>
        <v/>
      </c>
      <c r="U48" s="25">
        <f>IF(S48&lt;1,14.7-22*(1-S48),14.7/S48)</f>
        <v/>
      </c>
      <c r="V48" s="24">
        <f>IF(S48&gt;1,0.3+20.9*(S48-1)/S48,0.3*EXP(-10*(1-S48)))</f>
        <v/>
      </c>
      <c r="W48" s="23">
        <f>IF(S48&lt;1.05,120+18000*(S48-1.05)^2,120+IF(S48&gt;1.15,40000*(S48-1.15)^2,0))</f>
        <v/>
      </c>
      <c r="X48" s="23">
        <f>2800*EXP(-1*((S48-1.08)/0.12)^2)</f>
        <v/>
      </c>
    </row>
    <row r="49">
      <c r="F49" s="24" t="n">
        <v>11.5</v>
      </c>
      <c r="G49" s="24">
        <f>'Dwell y bobina'!$B$17*(1-EXP(-F49/'Dwell y bobina'!$B$16))</f>
        <v/>
      </c>
      <c r="S49" s="24" t="n">
        <v>1.26</v>
      </c>
      <c r="T49" s="24">
        <f>IF(S49&lt;1,0.3+33*(1-S49),0.3*EXP(-15*(S49-1)))</f>
        <v/>
      </c>
      <c r="U49" s="25">
        <f>IF(S49&lt;1,14.7-22*(1-S49),14.7/S49)</f>
        <v/>
      </c>
      <c r="V49" s="24">
        <f>IF(S49&gt;1,0.3+20.9*(S49-1)/S49,0.3*EXP(-10*(1-S49)))</f>
        <v/>
      </c>
      <c r="W49" s="23">
        <f>IF(S49&lt;1.05,120+18000*(S49-1.05)^2,120+IF(S49&gt;1.15,40000*(S49-1.15)^2,0))</f>
        <v/>
      </c>
      <c r="X49" s="23">
        <f>2800*EXP(-1*((S49-1.08)/0.12)^2)</f>
        <v/>
      </c>
    </row>
    <row r="50">
      <c r="F50" s="24" t="n">
        <v>11.75</v>
      </c>
      <c r="G50" s="24">
        <f>'Dwell y bobina'!$B$17*(1-EXP(-F50/'Dwell y bobina'!$B$16))</f>
        <v/>
      </c>
      <c r="S50" s="24" t="n">
        <v>1.27</v>
      </c>
      <c r="T50" s="24">
        <f>IF(S50&lt;1,0.3+33*(1-S50),0.3*EXP(-15*(S50-1)))</f>
        <v/>
      </c>
      <c r="U50" s="25">
        <f>IF(S50&lt;1,14.7-22*(1-S50),14.7/S50)</f>
        <v/>
      </c>
      <c r="V50" s="24">
        <f>IF(S50&gt;1,0.3+20.9*(S50-1)/S50,0.3*EXP(-10*(1-S50)))</f>
        <v/>
      </c>
      <c r="W50" s="23">
        <f>IF(S50&lt;1.05,120+18000*(S50-1.05)^2,120+IF(S50&gt;1.15,40000*(S50-1.15)^2,0))</f>
        <v/>
      </c>
      <c r="X50" s="23">
        <f>2800*EXP(-1*((S50-1.08)/0.12)^2)</f>
        <v/>
      </c>
    </row>
    <row r="51">
      <c r="F51" s="24" t="n">
        <v>12</v>
      </c>
      <c r="G51" s="24">
        <f>'Dwell y bobina'!$B$17*(1-EXP(-F51/'Dwell y bobina'!$B$16))</f>
        <v/>
      </c>
      <c r="S51" s="24" t="n">
        <v>1.28</v>
      </c>
      <c r="T51" s="24">
        <f>IF(S51&lt;1,0.3+33*(1-S51),0.3*EXP(-15*(S51-1)))</f>
        <v/>
      </c>
      <c r="U51" s="25">
        <f>IF(S51&lt;1,14.7-22*(1-S51),14.7/S51)</f>
        <v/>
      </c>
      <c r="V51" s="24">
        <f>IF(S51&gt;1,0.3+20.9*(S51-1)/S51,0.3*EXP(-10*(1-S51)))</f>
        <v/>
      </c>
      <c r="W51" s="23">
        <f>IF(S51&lt;1.05,120+18000*(S51-1.05)^2,120+IF(S51&gt;1.15,40000*(S51-1.15)^2,0))</f>
        <v/>
      </c>
      <c r="X51" s="23">
        <f>2800*EXP(-1*((S51-1.08)/0.12)^2)</f>
        <v/>
      </c>
    </row>
    <row r="52">
      <c r="S52" s="24" t="n">
        <v>1.29</v>
      </c>
      <c r="T52" s="24">
        <f>IF(S52&lt;1,0.3+33*(1-S52),0.3*EXP(-15*(S52-1)))</f>
        <v/>
      </c>
      <c r="U52" s="25">
        <f>IF(S52&lt;1,14.7-22*(1-S52),14.7/S52)</f>
        <v/>
      </c>
      <c r="V52" s="24">
        <f>IF(S52&gt;1,0.3+20.9*(S52-1)/S52,0.3*EXP(-10*(1-S52)))</f>
        <v/>
      </c>
      <c r="W52" s="23">
        <f>IF(S52&lt;1.05,120+18000*(S52-1.05)^2,120+IF(S52&gt;1.15,40000*(S52-1.15)^2,0))</f>
        <v/>
      </c>
      <c r="X52" s="23">
        <f>2800*EXP(-1*((S52-1.08)/0.12)^2)</f>
        <v/>
      </c>
    </row>
    <row r="53">
      <c r="S53" s="24" t="n">
        <v>1.3</v>
      </c>
      <c r="T53" s="24">
        <f>IF(S53&lt;1,0.3+33*(1-S53),0.3*EXP(-15*(S53-1)))</f>
        <v/>
      </c>
      <c r="U53" s="25">
        <f>IF(S53&lt;1,14.7-22*(1-S53),14.7/S53)</f>
        <v/>
      </c>
      <c r="V53" s="24">
        <f>IF(S53&gt;1,0.3+20.9*(S53-1)/S53,0.3*EXP(-10*(1-S53)))</f>
        <v/>
      </c>
      <c r="W53" s="23">
        <f>IF(S53&lt;1.05,120+18000*(S53-1.05)^2,120+IF(S53&gt;1.15,40000*(S53-1.15)^2,0))</f>
        <v/>
      </c>
      <c r="X53" s="23">
        <f>2800*EXP(-1*((S53-1.08)/0.12)^2)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C8C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Barrido de régimen (no editar)</t>
        </is>
      </c>
    </row>
    <row r="2">
      <c r="A2" s="3" t="inlineStr">
        <is>
          <t>rpm</t>
        </is>
      </c>
      <c r="B2" s="3" t="inlineStr">
        <is>
          <t>Δp (mmH₂O)</t>
        </is>
      </c>
      <c r="C2" s="3" t="inlineStr">
        <is>
          <t>λ</t>
        </is>
      </c>
      <c r="D2" s="3" t="inlineStr">
        <is>
          <t>λ = 1</t>
        </is>
      </c>
    </row>
    <row r="3">
      <c r="A3" t="n">
        <v>600</v>
      </c>
      <c r="B3">
        <f>('Venturi del carburador'!$B$11/2*((('Venturi del carburador'!$B$5/1000000*A3/2/60*'Venturi del carburador'!$B$7*'Venturi del carburador'!$B$8/100)/(PI()/4*('Venturi del carburador'!$B$10/1000)^2))^2-(('Venturi del carburador'!$B$5/1000000*A3/2/60*'Venturi del carburador'!$B$7*'Venturi del carburador'!$B$8/100)/(PI()/4*('Venturi del carburador'!$B$9/1000)^2))^2))/9.81</f>
        <v/>
      </c>
      <c r="C3">
        <f>IF(B3*9.81&gt;'Venturi del carburador'!$B$23,'Venturi del carburador'!$B$11*('Venturi del carburador'!$B$5/1000000*A3/2/60*'Venturi del carburador'!$B$7*'Venturi del carburador'!$B$8/100)/('Venturi del carburador'!$B$13*PI()/4*('Venturi del carburador'!$B$12/1000)^2*SQRT(2*'Venturi del carburador'!$B$14*MAX(B3*9.81-'Venturi del carburador'!$B$23,0)))/14.7,NA())</f>
        <v/>
      </c>
      <c r="D3" t="n">
        <v>1</v>
      </c>
    </row>
    <row r="4">
      <c r="A4" t="n">
        <v>800</v>
      </c>
      <c r="B4">
        <f>('Venturi del carburador'!$B$11/2*((('Venturi del carburador'!$B$5/1000000*A4/2/60*'Venturi del carburador'!$B$7*'Venturi del carburador'!$B$8/100)/(PI()/4*('Venturi del carburador'!$B$10/1000)^2))^2-(('Venturi del carburador'!$B$5/1000000*A4/2/60*'Venturi del carburador'!$B$7*'Venturi del carburador'!$B$8/100)/(PI()/4*('Venturi del carburador'!$B$9/1000)^2))^2))/9.81</f>
        <v/>
      </c>
      <c r="C4">
        <f>IF(B4*9.81&gt;'Venturi del carburador'!$B$23,'Venturi del carburador'!$B$11*('Venturi del carburador'!$B$5/1000000*A4/2/60*'Venturi del carburador'!$B$7*'Venturi del carburador'!$B$8/100)/('Venturi del carburador'!$B$13*PI()/4*('Venturi del carburador'!$B$12/1000)^2*SQRT(2*'Venturi del carburador'!$B$14*MAX(B4*9.81-'Venturi del carburador'!$B$23,0)))/14.7,NA())</f>
        <v/>
      </c>
      <c r="D4" t="n">
        <v>1</v>
      </c>
    </row>
    <row r="5">
      <c r="A5" t="n">
        <v>1000</v>
      </c>
      <c r="B5">
        <f>('Venturi del carburador'!$B$11/2*((('Venturi del carburador'!$B$5/1000000*A5/2/60*'Venturi del carburador'!$B$7*'Venturi del carburador'!$B$8/100)/(PI()/4*('Venturi del carburador'!$B$10/1000)^2))^2-(('Venturi del carburador'!$B$5/1000000*A5/2/60*'Venturi del carburador'!$B$7*'Venturi del carburador'!$B$8/100)/(PI()/4*('Venturi del carburador'!$B$9/1000)^2))^2))/9.81</f>
        <v/>
      </c>
      <c r="C5">
        <f>IF(B5*9.81&gt;'Venturi del carburador'!$B$23,'Venturi del carburador'!$B$11*('Venturi del carburador'!$B$5/1000000*A5/2/60*'Venturi del carburador'!$B$7*'Venturi del carburador'!$B$8/100)/('Venturi del carburador'!$B$13*PI()/4*('Venturi del carburador'!$B$12/1000)^2*SQRT(2*'Venturi del carburador'!$B$14*MAX(B5*9.81-'Venturi del carburador'!$B$23,0)))/14.7,NA())</f>
        <v/>
      </c>
      <c r="D5" t="n">
        <v>1</v>
      </c>
    </row>
    <row r="6">
      <c r="A6" t="n">
        <v>1200</v>
      </c>
      <c r="B6">
        <f>('Venturi del carburador'!$B$11/2*((('Venturi del carburador'!$B$5/1000000*A6/2/60*'Venturi del carburador'!$B$7*'Venturi del carburador'!$B$8/100)/(PI()/4*('Venturi del carburador'!$B$10/1000)^2))^2-(('Venturi del carburador'!$B$5/1000000*A6/2/60*'Venturi del carburador'!$B$7*'Venturi del carburador'!$B$8/100)/(PI()/4*('Venturi del carburador'!$B$9/1000)^2))^2))/9.81</f>
        <v/>
      </c>
      <c r="C6">
        <f>IF(B6*9.81&gt;'Venturi del carburador'!$B$23,'Venturi del carburador'!$B$11*('Venturi del carburador'!$B$5/1000000*A6/2/60*'Venturi del carburador'!$B$7*'Venturi del carburador'!$B$8/100)/('Venturi del carburador'!$B$13*PI()/4*('Venturi del carburador'!$B$12/1000)^2*SQRT(2*'Venturi del carburador'!$B$14*MAX(B6*9.81-'Venturi del carburador'!$B$23,0)))/14.7,NA())</f>
        <v/>
      </c>
      <c r="D6" t="n">
        <v>1</v>
      </c>
    </row>
    <row r="7">
      <c r="A7" t="n">
        <v>1400</v>
      </c>
      <c r="B7">
        <f>('Venturi del carburador'!$B$11/2*((('Venturi del carburador'!$B$5/1000000*A7/2/60*'Venturi del carburador'!$B$7*'Venturi del carburador'!$B$8/100)/(PI()/4*('Venturi del carburador'!$B$10/1000)^2))^2-(('Venturi del carburador'!$B$5/1000000*A7/2/60*'Venturi del carburador'!$B$7*'Venturi del carburador'!$B$8/100)/(PI()/4*('Venturi del carburador'!$B$9/1000)^2))^2))/9.81</f>
        <v/>
      </c>
      <c r="C7">
        <f>IF(B7*9.81&gt;'Venturi del carburador'!$B$23,'Venturi del carburador'!$B$11*('Venturi del carburador'!$B$5/1000000*A7/2/60*'Venturi del carburador'!$B$7*'Venturi del carburador'!$B$8/100)/('Venturi del carburador'!$B$13*PI()/4*('Venturi del carburador'!$B$12/1000)^2*SQRT(2*'Venturi del carburador'!$B$14*MAX(B7*9.81-'Venturi del carburador'!$B$23,0)))/14.7,NA())</f>
        <v/>
      </c>
      <c r="D7" t="n">
        <v>1</v>
      </c>
    </row>
    <row r="8">
      <c r="A8" t="n">
        <v>1600</v>
      </c>
      <c r="B8">
        <f>('Venturi del carburador'!$B$11/2*((('Venturi del carburador'!$B$5/1000000*A8/2/60*'Venturi del carburador'!$B$7*'Venturi del carburador'!$B$8/100)/(PI()/4*('Venturi del carburador'!$B$10/1000)^2))^2-(('Venturi del carburador'!$B$5/1000000*A8/2/60*'Venturi del carburador'!$B$7*'Venturi del carburador'!$B$8/100)/(PI()/4*('Venturi del carburador'!$B$9/1000)^2))^2))/9.81</f>
        <v/>
      </c>
      <c r="C8">
        <f>IF(B8*9.81&gt;'Venturi del carburador'!$B$23,'Venturi del carburador'!$B$11*('Venturi del carburador'!$B$5/1000000*A8/2/60*'Venturi del carburador'!$B$7*'Venturi del carburador'!$B$8/100)/('Venturi del carburador'!$B$13*PI()/4*('Venturi del carburador'!$B$12/1000)^2*SQRT(2*'Venturi del carburador'!$B$14*MAX(B8*9.81-'Venturi del carburador'!$B$23,0)))/14.7,NA())</f>
        <v/>
      </c>
      <c r="D8" t="n">
        <v>1</v>
      </c>
    </row>
    <row r="9">
      <c r="A9" t="n">
        <v>1800</v>
      </c>
      <c r="B9">
        <f>('Venturi del carburador'!$B$11/2*((('Venturi del carburador'!$B$5/1000000*A9/2/60*'Venturi del carburador'!$B$7*'Venturi del carburador'!$B$8/100)/(PI()/4*('Venturi del carburador'!$B$10/1000)^2))^2-(('Venturi del carburador'!$B$5/1000000*A9/2/60*'Venturi del carburador'!$B$7*'Venturi del carburador'!$B$8/100)/(PI()/4*('Venturi del carburador'!$B$9/1000)^2))^2))/9.81</f>
        <v/>
      </c>
      <c r="C9">
        <f>IF(B9*9.81&gt;'Venturi del carburador'!$B$23,'Venturi del carburador'!$B$11*('Venturi del carburador'!$B$5/1000000*A9/2/60*'Venturi del carburador'!$B$7*'Venturi del carburador'!$B$8/100)/('Venturi del carburador'!$B$13*PI()/4*('Venturi del carburador'!$B$12/1000)^2*SQRT(2*'Venturi del carburador'!$B$14*MAX(B9*9.81-'Venturi del carburador'!$B$23,0)))/14.7,NA())</f>
        <v/>
      </c>
      <c r="D9" t="n">
        <v>1</v>
      </c>
    </row>
    <row r="10">
      <c r="A10" t="n">
        <v>2000</v>
      </c>
      <c r="B10">
        <f>('Venturi del carburador'!$B$11/2*((('Venturi del carburador'!$B$5/1000000*A10/2/60*'Venturi del carburador'!$B$7*'Venturi del carburador'!$B$8/100)/(PI()/4*('Venturi del carburador'!$B$10/1000)^2))^2-(('Venturi del carburador'!$B$5/1000000*A10/2/60*'Venturi del carburador'!$B$7*'Venturi del carburador'!$B$8/100)/(PI()/4*('Venturi del carburador'!$B$9/1000)^2))^2))/9.81</f>
        <v/>
      </c>
      <c r="C10">
        <f>IF(B10*9.81&gt;'Venturi del carburador'!$B$23,'Venturi del carburador'!$B$11*('Venturi del carburador'!$B$5/1000000*A10/2/60*'Venturi del carburador'!$B$7*'Venturi del carburador'!$B$8/100)/('Venturi del carburador'!$B$13*PI()/4*('Venturi del carburador'!$B$12/1000)^2*SQRT(2*'Venturi del carburador'!$B$14*MAX(B10*9.81-'Venturi del carburador'!$B$23,0)))/14.7,NA())</f>
        <v/>
      </c>
      <c r="D10" t="n">
        <v>1</v>
      </c>
    </row>
    <row r="11">
      <c r="A11" t="n">
        <v>2200</v>
      </c>
      <c r="B11">
        <f>('Venturi del carburador'!$B$11/2*((('Venturi del carburador'!$B$5/1000000*A11/2/60*'Venturi del carburador'!$B$7*'Venturi del carburador'!$B$8/100)/(PI()/4*('Venturi del carburador'!$B$10/1000)^2))^2-(('Venturi del carburador'!$B$5/1000000*A11/2/60*'Venturi del carburador'!$B$7*'Venturi del carburador'!$B$8/100)/(PI()/4*('Venturi del carburador'!$B$9/1000)^2))^2))/9.81</f>
        <v/>
      </c>
      <c r="C11">
        <f>IF(B11*9.81&gt;'Venturi del carburador'!$B$23,'Venturi del carburador'!$B$11*('Venturi del carburador'!$B$5/1000000*A11/2/60*'Venturi del carburador'!$B$7*'Venturi del carburador'!$B$8/100)/('Venturi del carburador'!$B$13*PI()/4*('Venturi del carburador'!$B$12/1000)^2*SQRT(2*'Venturi del carburador'!$B$14*MAX(B11*9.81-'Venturi del carburador'!$B$23,0)))/14.7,NA())</f>
        <v/>
      </c>
      <c r="D11" t="n">
        <v>1</v>
      </c>
    </row>
    <row r="12">
      <c r="A12" t="n">
        <v>2400</v>
      </c>
      <c r="B12">
        <f>('Venturi del carburador'!$B$11/2*((('Venturi del carburador'!$B$5/1000000*A12/2/60*'Venturi del carburador'!$B$7*'Venturi del carburador'!$B$8/100)/(PI()/4*('Venturi del carburador'!$B$10/1000)^2))^2-(('Venturi del carburador'!$B$5/1000000*A12/2/60*'Venturi del carburador'!$B$7*'Venturi del carburador'!$B$8/100)/(PI()/4*('Venturi del carburador'!$B$9/1000)^2))^2))/9.81</f>
        <v/>
      </c>
      <c r="C12">
        <f>IF(B12*9.81&gt;'Venturi del carburador'!$B$23,'Venturi del carburador'!$B$11*('Venturi del carburador'!$B$5/1000000*A12/2/60*'Venturi del carburador'!$B$7*'Venturi del carburador'!$B$8/100)/('Venturi del carburador'!$B$13*PI()/4*('Venturi del carburador'!$B$12/1000)^2*SQRT(2*'Venturi del carburador'!$B$14*MAX(B12*9.81-'Venturi del carburador'!$B$23,0)))/14.7,NA())</f>
        <v/>
      </c>
      <c r="D12" t="n">
        <v>1</v>
      </c>
    </row>
    <row r="13">
      <c r="A13" t="n">
        <v>2600</v>
      </c>
      <c r="B13">
        <f>('Venturi del carburador'!$B$11/2*((('Venturi del carburador'!$B$5/1000000*A13/2/60*'Venturi del carburador'!$B$7*'Venturi del carburador'!$B$8/100)/(PI()/4*('Venturi del carburador'!$B$10/1000)^2))^2-(('Venturi del carburador'!$B$5/1000000*A13/2/60*'Venturi del carburador'!$B$7*'Venturi del carburador'!$B$8/100)/(PI()/4*('Venturi del carburador'!$B$9/1000)^2))^2))/9.81</f>
        <v/>
      </c>
      <c r="C13">
        <f>IF(B13*9.81&gt;'Venturi del carburador'!$B$23,'Venturi del carburador'!$B$11*('Venturi del carburador'!$B$5/1000000*A13/2/60*'Venturi del carburador'!$B$7*'Venturi del carburador'!$B$8/100)/('Venturi del carburador'!$B$13*PI()/4*('Venturi del carburador'!$B$12/1000)^2*SQRT(2*'Venturi del carburador'!$B$14*MAX(B13*9.81-'Venturi del carburador'!$B$23,0)))/14.7,NA())</f>
        <v/>
      </c>
      <c r="D13" t="n">
        <v>1</v>
      </c>
    </row>
    <row r="14">
      <c r="A14" t="n">
        <v>2800</v>
      </c>
      <c r="B14">
        <f>('Venturi del carburador'!$B$11/2*((('Venturi del carburador'!$B$5/1000000*A14/2/60*'Venturi del carburador'!$B$7*'Venturi del carburador'!$B$8/100)/(PI()/4*('Venturi del carburador'!$B$10/1000)^2))^2-(('Venturi del carburador'!$B$5/1000000*A14/2/60*'Venturi del carburador'!$B$7*'Venturi del carburador'!$B$8/100)/(PI()/4*('Venturi del carburador'!$B$9/1000)^2))^2))/9.81</f>
        <v/>
      </c>
      <c r="C14">
        <f>IF(B14*9.81&gt;'Venturi del carburador'!$B$23,'Venturi del carburador'!$B$11*('Venturi del carburador'!$B$5/1000000*A14/2/60*'Venturi del carburador'!$B$7*'Venturi del carburador'!$B$8/100)/('Venturi del carburador'!$B$13*PI()/4*('Venturi del carburador'!$B$12/1000)^2*SQRT(2*'Venturi del carburador'!$B$14*MAX(B14*9.81-'Venturi del carburador'!$B$23,0)))/14.7,NA())</f>
        <v/>
      </c>
      <c r="D14" t="n">
        <v>1</v>
      </c>
    </row>
    <row r="15">
      <c r="A15" t="n">
        <v>3000</v>
      </c>
      <c r="B15">
        <f>('Venturi del carburador'!$B$11/2*((('Venturi del carburador'!$B$5/1000000*A15/2/60*'Venturi del carburador'!$B$7*'Venturi del carburador'!$B$8/100)/(PI()/4*('Venturi del carburador'!$B$10/1000)^2))^2-(('Venturi del carburador'!$B$5/1000000*A15/2/60*'Venturi del carburador'!$B$7*'Venturi del carburador'!$B$8/100)/(PI()/4*('Venturi del carburador'!$B$9/1000)^2))^2))/9.81</f>
        <v/>
      </c>
      <c r="C15">
        <f>IF(B15*9.81&gt;'Venturi del carburador'!$B$23,'Venturi del carburador'!$B$11*('Venturi del carburador'!$B$5/1000000*A15/2/60*'Venturi del carburador'!$B$7*'Venturi del carburador'!$B$8/100)/('Venturi del carburador'!$B$13*PI()/4*('Venturi del carburador'!$B$12/1000)^2*SQRT(2*'Venturi del carburador'!$B$14*MAX(B15*9.81-'Venturi del carburador'!$B$23,0)))/14.7,NA())</f>
        <v/>
      </c>
      <c r="D15" t="n">
        <v>1</v>
      </c>
    </row>
    <row r="16">
      <c r="A16" t="n">
        <v>3200</v>
      </c>
      <c r="B16">
        <f>('Venturi del carburador'!$B$11/2*((('Venturi del carburador'!$B$5/1000000*A16/2/60*'Venturi del carburador'!$B$7*'Venturi del carburador'!$B$8/100)/(PI()/4*('Venturi del carburador'!$B$10/1000)^2))^2-(('Venturi del carburador'!$B$5/1000000*A16/2/60*'Venturi del carburador'!$B$7*'Venturi del carburador'!$B$8/100)/(PI()/4*('Venturi del carburador'!$B$9/1000)^2))^2))/9.81</f>
        <v/>
      </c>
      <c r="C16">
        <f>IF(B16*9.81&gt;'Venturi del carburador'!$B$23,'Venturi del carburador'!$B$11*('Venturi del carburador'!$B$5/1000000*A16/2/60*'Venturi del carburador'!$B$7*'Venturi del carburador'!$B$8/100)/('Venturi del carburador'!$B$13*PI()/4*('Venturi del carburador'!$B$12/1000)^2*SQRT(2*'Venturi del carburador'!$B$14*MAX(B16*9.81-'Venturi del carburador'!$B$23,0)))/14.7,NA())</f>
        <v/>
      </c>
      <c r="D16" t="n">
        <v>1</v>
      </c>
    </row>
    <row r="17">
      <c r="A17" t="n">
        <v>3400</v>
      </c>
      <c r="B17">
        <f>('Venturi del carburador'!$B$11/2*((('Venturi del carburador'!$B$5/1000000*A17/2/60*'Venturi del carburador'!$B$7*'Venturi del carburador'!$B$8/100)/(PI()/4*('Venturi del carburador'!$B$10/1000)^2))^2-(('Venturi del carburador'!$B$5/1000000*A17/2/60*'Venturi del carburador'!$B$7*'Venturi del carburador'!$B$8/100)/(PI()/4*('Venturi del carburador'!$B$9/1000)^2))^2))/9.81</f>
        <v/>
      </c>
      <c r="C17">
        <f>IF(B17*9.81&gt;'Venturi del carburador'!$B$23,'Venturi del carburador'!$B$11*('Venturi del carburador'!$B$5/1000000*A17/2/60*'Venturi del carburador'!$B$7*'Venturi del carburador'!$B$8/100)/('Venturi del carburador'!$B$13*PI()/4*('Venturi del carburador'!$B$12/1000)^2*SQRT(2*'Venturi del carburador'!$B$14*MAX(B17*9.81-'Venturi del carburador'!$B$23,0)))/14.7,NA())</f>
        <v/>
      </c>
      <c r="D17" t="n">
        <v>1</v>
      </c>
    </row>
    <row r="18">
      <c r="A18" t="n">
        <v>3600</v>
      </c>
      <c r="B18">
        <f>('Venturi del carburador'!$B$11/2*((('Venturi del carburador'!$B$5/1000000*A18/2/60*'Venturi del carburador'!$B$7*'Venturi del carburador'!$B$8/100)/(PI()/4*('Venturi del carburador'!$B$10/1000)^2))^2-(('Venturi del carburador'!$B$5/1000000*A18/2/60*'Venturi del carburador'!$B$7*'Venturi del carburador'!$B$8/100)/(PI()/4*('Venturi del carburador'!$B$9/1000)^2))^2))/9.81</f>
        <v/>
      </c>
      <c r="C18">
        <f>IF(B18*9.81&gt;'Venturi del carburador'!$B$23,'Venturi del carburador'!$B$11*('Venturi del carburador'!$B$5/1000000*A18/2/60*'Venturi del carburador'!$B$7*'Venturi del carburador'!$B$8/100)/('Venturi del carburador'!$B$13*PI()/4*('Venturi del carburador'!$B$12/1000)^2*SQRT(2*'Venturi del carburador'!$B$14*MAX(B18*9.81-'Venturi del carburador'!$B$23,0)))/14.7,NA())</f>
        <v/>
      </c>
      <c r="D18" t="n">
        <v>1</v>
      </c>
    </row>
    <row r="19">
      <c r="A19" t="n">
        <v>3800</v>
      </c>
      <c r="B19">
        <f>('Venturi del carburador'!$B$11/2*((('Venturi del carburador'!$B$5/1000000*A19/2/60*'Venturi del carburador'!$B$7*'Venturi del carburador'!$B$8/100)/(PI()/4*('Venturi del carburador'!$B$10/1000)^2))^2-(('Venturi del carburador'!$B$5/1000000*A19/2/60*'Venturi del carburador'!$B$7*'Venturi del carburador'!$B$8/100)/(PI()/4*('Venturi del carburador'!$B$9/1000)^2))^2))/9.81</f>
        <v/>
      </c>
      <c r="C19">
        <f>IF(B19*9.81&gt;'Venturi del carburador'!$B$23,'Venturi del carburador'!$B$11*('Venturi del carburador'!$B$5/1000000*A19/2/60*'Venturi del carburador'!$B$7*'Venturi del carburador'!$B$8/100)/('Venturi del carburador'!$B$13*PI()/4*('Venturi del carburador'!$B$12/1000)^2*SQRT(2*'Venturi del carburador'!$B$14*MAX(B19*9.81-'Venturi del carburador'!$B$23,0)))/14.7,NA())</f>
        <v/>
      </c>
      <c r="D19" t="n">
        <v>1</v>
      </c>
    </row>
    <row r="20">
      <c r="A20" t="n">
        <v>4000</v>
      </c>
      <c r="B20">
        <f>('Venturi del carburador'!$B$11/2*((('Venturi del carburador'!$B$5/1000000*A20/2/60*'Venturi del carburador'!$B$7*'Venturi del carburador'!$B$8/100)/(PI()/4*('Venturi del carburador'!$B$10/1000)^2))^2-(('Venturi del carburador'!$B$5/1000000*A20/2/60*'Venturi del carburador'!$B$7*'Venturi del carburador'!$B$8/100)/(PI()/4*('Venturi del carburador'!$B$9/1000)^2))^2))/9.81</f>
        <v/>
      </c>
      <c r="C20">
        <f>IF(B20*9.81&gt;'Venturi del carburador'!$B$23,'Venturi del carburador'!$B$11*('Venturi del carburador'!$B$5/1000000*A20/2/60*'Venturi del carburador'!$B$7*'Venturi del carburador'!$B$8/100)/('Venturi del carburador'!$B$13*PI()/4*('Venturi del carburador'!$B$12/1000)^2*SQRT(2*'Venturi del carburador'!$B$14*MAX(B20*9.81-'Venturi del carburador'!$B$23,0)))/14.7,NA())</f>
        <v/>
      </c>
      <c r="D20" t="n">
        <v>1</v>
      </c>
    </row>
    <row r="21">
      <c r="A21" t="n">
        <v>4200</v>
      </c>
      <c r="B21">
        <f>('Venturi del carburador'!$B$11/2*((('Venturi del carburador'!$B$5/1000000*A21/2/60*'Venturi del carburador'!$B$7*'Venturi del carburador'!$B$8/100)/(PI()/4*('Venturi del carburador'!$B$10/1000)^2))^2-(('Venturi del carburador'!$B$5/1000000*A21/2/60*'Venturi del carburador'!$B$7*'Venturi del carburador'!$B$8/100)/(PI()/4*('Venturi del carburador'!$B$9/1000)^2))^2))/9.81</f>
        <v/>
      </c>
      <c r="C21">
        <f>IF(B21*9.81&gt;'Venturi del carburador'!$B$23,'Venturi del carburador'!$B$11*('Venturi del carburador'!$B$5/1000000*A21/2/60*'Venturi del carburador'!$B$7*'Venturi del carburador'!$B$8/100)/('Venturi del carburador'!$B$13*PI()/4*('Venturi del carburador'!$B$12/1000)^2*SQRT(2*'Venturi del carburador'!$B$14*MAX(B21*9.81-'Venturi del carburador'!$B$23,0)))/14.7,NA())</f>
        <v/>
      </c>
      <c r="D21" t="n">
        <v>1</v>
      </c>
    </row>
    <row r="22">
      <c r="A22" t="n">
        <v>4400</v>
      </c>
      <c r="B22">
        <f>('Venturi del carburador'!$B$11/2*((('Venturi del carburador'!$B$5/1000000*A22/2/60*'Venturi del carburador'!$B$7*'Venturi del carburador'!$B$8/100)/(PI()/4*('Venturi del carburador'!$B$10/1000)^2))^2-(('Venturi del carburador'!$B$5/1000000*A22/2/60*'Venturi del carburador'!$B$7*'Venturi del carburador'!$B$8/100)/(PI()/4*('Venturi del carburador'!$B$9/1000)^2))^2))/9.81</f>
        <v/>
      </c>
      <c r="C22">
        <f>IF(B22*9.81&gt;'Venturi del carburador'!$B$23,'Venturi del carburador'!$B$11*('Venturi del carburador'!$B$5/1000000*A22/2/60*'Venturi del carburador'!$B$7*'Venturi del carburador'!$B$8/100)/('Venturi del carburador'!$B$13*PI()/4*('Venturi del carburador'!$B$12/1000)^2*SQRT(2*'Venturi del carburador'!$B$14*MAX(B22*9.81-'Venturi del carburador'!$B$23,0)))/14.7,NA())</f>
        <v/>
      </c>
      <c r="D22" t="n">
        <v>1</v>
      </c>
    </row>
    <row r="23">
      <c r="A23" t="n">
        <v>4600</v>
      </c>
      <c r="B23">
        <f>('Venturi del carburador'!$B$11/2*((('Venturi del carburador'!$B$5/1000000*A23/2/60*'Venturi del carburador'!$B$7*'Venturi del carburador'!$B$8/100)/(PI()/4*('Venturi del carburador'!$B$10/1000)^2))^2-(('Venturi del carburador'!$B$5/1000000*A23/2/60*'Venturi del carburador'!$B$7*'Venturi del carburador'!$B$8/100)/(PI()/4*('Venturi del carburador'!$B$9/1000)^2))^2))/9.81</f>
        <v/>
      </c>
      <c r="C23">
        <f>IF(B23*9.81&gt;'Venturi del carburador'!$B$23,'Venturi del carburador'!$B$11*('Venturi del carburador'!$B$5/1000000*A23/2/60*'Venturi del carburador'!$B$7*'Venturi del carburador'!$B$8/100)/('Venturi del carburador'!$B$13*PI()/4*('Venturi del carburador'!$B$12/1000)^2*SQRT(2*'Venturi del carburador'!$B$14*MAX(B23*9.81-'Venturi del carburador'!$B$23,0)))/14.7,NA())</f>
        <v/>
      </c>
      <c r="D23" t="n">
        <v>1</v>
      </c>
    </row>
    <row r="24">
      <c r="A24" t="n">
        <v>4800</v>
      </c>
      <c r="B24">
        <f>('Venturi del carburador'!$B$11/2*((('Venturi del carburador'!$B$5/1000000*A24/2/60*'Venturi del carburador'!$B$7*'Venturi del carburador'!$B$8/100)/(PI()/4*('Venturi del carburador'!$B$10/1000)^2))^2-(('Venturi del carburador'!$B$5/1000000*A24/2/60*'Venturi del carburador'!$B$7*'Venturi del carburador'!$B$8/100)/(PI()/4*('Venturi del carburador'!$B$9/1000)^2))^2))/9.81</f>
        <v/>
      </c>
      <c r="C24">
        <f>IF(B24*9.81&gt;'Venturi del carburador'!$B$23,'Venturi del carburador'!$B$11*('Venturi del carburador'!$B$5/1000000*A24/2/60*'Venturi del carburador'!$B$7*'Venturi del carburador'!$B$8/100)/('Venturi del carburador'!$B$13*PI()/4*('Venturi del carburador'!$B$12/1000)^2*SQRT(2*'Venturi del carburador'!$B$14*MAX(B24*9.81-'Venturi del carburador'!$B$23,0)))/14.7,NA())</f>
        <v/>
      </c>
      <c r="D24" t="n">
        <v>1</v>
      </c>
    </row>
    <row r="25">
      <c r="A25" t="n">
        <v>5000</v>
      </c>
      <c r="B25">
        <f>('Venturi del carburador'!$B$11/2*((('Venturi del carburador'!$B$5/1000000*A25/2/60*'Venturi del carburador'!$B$7*'Venturi del carburador'!$B$8/100)/(PI()/4*('Venturi del carburador'!$B$10/1000)^2))^2-(('Venturi del carburador'!$B$5/1000000*A25/2/60*'Venturi del carburador'!$B$7*'Venturi del carburador'!$B$8/100)/(PI()/4*('Venturi del carburador'!$B$9/1000)^2))^2))/9.81</f>
        <v/>
      </c>
      <c r="C25">
        <f>IF(B25*9.81&gt;'Venturi del carburador'!$B$23,'Venturi del carburador'!$B$11*('Venturi del carburador'!$B$5/1000000*A25/2/60*'Venturi del carburador'!$B$7*'Venturi del carburador'!$B$8/100)/('Venturi del carburador'!$B$13*PI()/4*('Venturi del carburador'!$B$12/1000)^2*SQRT(2*'Venturi del carburador'!$B$14*MAX(B25*9.81-'Venturi del carburador'!$B$23,0)))/14.7,NA())</f>
        <v/>
      </c>
      <c r="D25" t="n">
        <v>1</v>
      </c>
    </row>
    <row r="26">
      <c r="A26" t="n">
        <v>5200</v>
      </c>
      <c r="B26">
        <f>('Venturi del carburador'!$B$11/2*((('Venturi del carburador'!$B$5/1000000*A26/2/60*'Venturi del carburador'!$B$7*'Venturi del carburador'!$B$8/100)/(PI()/4*('Venturi del carburador'!$B$10/1000)^2))^2-(('Venturi del carburador'!$B$5/1000000*A26/2/60*'Venturi del carburador'!$B$7*'Venturi del carburador'!$B$8/100)/(PI()/4*('Venturi del carburador'!$B$9/1000)^2))^2))/9.81</f>
        <v/>
      </c>
      <c r="C26">
        <f>IF(B26*9.81&gt;'Venturi del carburador'!$B$23,'Venturi del carburador'!$B$11*('Venturi del carburador'!$B$5/1000000*A26/2/60*'Venturi del carburador'!$B$7*'Venturi del carburador'!$B$8/100)/('Venturi del carburador'!$B$13*PI()/4*('Venturi del carburador'!$B$12/1000)^2*SQRT(2*'Venturi del carburador'!$B$14*MAX(B26*9.81-'Venturi del carburador'!$B$23,0)))/14.7,NA())</f>
        <v/>
      </c>
      <c r="D26" t="n">
        <v>1</v>
      </c>
    </row>
    <row r="27">
      <c r="A27" t="n">
        <v>5400</v>
      </c>
      <c r="B27">
        <f>('Venturi del carburador'!$B$11/2*((('Venturi del carburador'!$B$5/1000000*A27/2/60*'Venturi del carburador'!$B$7*'Venturi del carburador'!$B$8/100)/(PI()/4*('Venturi del carburador'!$B$10/1000)^2))^2-(('Venturi del carburador'!$B$5/1000000*A27/2/60*'Venturi del carburador'!$B$7*'Venturi del carburador'!$B$8/100)/(PI()/4*('Venturi del carburador'!$B$9/1000)^2))^2))/9.81</f>
        <v/>
      </c>
      <c r="C27">
        <f>IF(B27*9.81&gt;'Venturi del carburador'!$B$23,'Venturi del carburador'!$B$11*('Venturi del carburador'!$B$5/1000000*A27/2/60*'Venturi del carburador'!$B$7*'Venturi del carburador'!$B$8/100)/('Venturi del carburador'!$B$13*PI()/4*('Venturi del carburador'!$B$12/1000)^2*SQRT(2*'Venturi del carburador'!$B$14*MAX(B27*9.81-'Venturi del carburador'!$B$23,0)))/14.7,NA())</f>
        <v/>
      </c>
      <c r="D27" t="n">
        <v>1</v>
      </c>
    </row>
    <row r="28">
      <c r="A28" t="n">
        <v>5600</v>
      </c>
      <c r="B28">
        <f>('Venturi del carburador'!$B$11/2*((('Venturi del carburador'!$B$5/1000000*A28/2/60*'Venturi del carburador'!$B$7*'Venturi del carburador'!$B$8/100)/(PI()/4*('Venturi del carburador'!$B$10/1000)^2))^2-(('Venturi del carburador'!$B$5/1000000*A28/2/60*'Venturi del carburador'!$B$7*'Venturi del carburador'!$B$8/100)/(PI()/4*('Venturi del carburador'!$B$9/1000)^2))^2))/9.81</f>
        <v/>
      </c>
      <c r="C28">
        <f>IF(B28*9.81&gt;'Venturi del carburador'!$B$23,'Venturi del carburador'!$B$11*('Venturi del carburador'!$B$5/1000000*A28/2/60*'Venturi del carburador'!$B$7*'Venturi del carburador'!$B$8/100)/('Venturi del carburador'!$B$13*PI()/4*('Venturi del carburador'!$B$12/1000)^2*SQRT(2*'Venturi del carburador'!$B$14*MAX(B28*9.81-'Venturi del carburador'!$B$23,0)))/14.7,NA())</f>
        <v/>
      </c>
      <c r="D28" t="n">
        <v>1</v>
      </c>
    </row>
    <row r="29">
      <c r="A29" t="n">
        <v>5800</v>
      </c>
      <c r="B29">
        <f>('Venturi del carburador'!$B$11/2*((('Venturi del carburador'!$B$5/1000000*A29/2/60*'Venturi del carburador'!$B$7*'Venturi del carburador'!$B$8/100)/(PI()/4*('Venturi del carburador'!$B$10/1000)^2))^2-(('Venturi del carburador'!$B$5/1000000*A29/2/60*'Venturi del carburador'!$B$7*'Venturi del carburador'!$B$8/100)/(PI()/4*('Venturi del carburador'!$B$9/1000)^2))^2))/9.81</f>
        <v/>
      </c>
      <c r="C29">
        <f>IF(B29*9.81&gt;'Venturi del carburador'!$B$23,'Venturi del carburador'!$B$11*('Venturi del carburador'!$B$5/1000000*A29/2/60*'Venturi del carburador'!$B$7*'Venturi del carburador'!$B$8/100)/('Venturi del carburador'!$B$13*PI()/4*('Venturi del carburador'!$B$12/1000)^2*SQRT(2*'Venturi del carburador'!$B$14*MAX(B29*9.81-'Venturi del carburador'!$B$23,0)))/14.7,NA())</f>
        <v/>
      </c>
      <c r="D29" t="n">
        <v>1</v>
      </c>
    </row>
    <row r="30">
      <c r="A30" t="n">
        <v>6000</v>
      </c>
      <c r="B30">
        <f>('Venturi del carburador'!$B$11/2*((('Venturi del carburador'!$B$5/1000000*A30/2/60*'Venturi del carburador'!$B$7*'Venturi del carburador'!$B$8/100)/(PI()/4*('Venturi del carburador'!$B$10/1000)^2))^2-(('Venturi del carburador'!$B$5/1000000*A30/2/60*'Venturi del carburador'!$B$7*'Venturi del carburador'!$B$8/100)/(PI()/4*('Venturi del carburador'!$B$9/1000)^2))^2))/9.81</f>
        <v/>
      </c>
      <c r="C30">
        <f>IF(B30*9.81&gt;'Venturi del carburador'!$B$23,'Venturi del carburador'!$B$11*('Venturi del carburador'!$B$5/1000000*A30/2/60*'Venturi del carburador'!$B$7*'Venturi del carburador'!$B$8/100)/('Venturi del carburador'!$B$13*PI()/4*('Venturi del carburador'!$B$12/1000)^2*SQRT(2*'Venturi del carburador'!$B$14*MAX(B30*9.81-'Venturi del carburador'!$B$23,0)))/14.7,NA())</f>
        <v/>
      </c>
      <c r="D3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C8C"/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Parámetros por falla y puntos de la curva (no editar)</t>
        </is>
      </c>
    </row>
    <row r="2">
      <c r="A2" s="3" t="inlineStr">
        <is>
          <t>Falla</t>
        </is>
      </c>
      <c r="B2" s="3" t="inlineStr">
        <is>
          <t>kV encendido</t>
        </is>
      </c>
      <c r="C2" s="3" t="inlineStr">
        <is>
          <t>kV chispa</t>
        </is>
      </c>
      <c r="D2" s="3" t="inlineStr">
        <is>
          <t>Duración chispa (ms)</t>
        </is>
      </c>
      <c r="E2" s="3" t="inlineStr">
        <is>
          <t>Pendiente (kV/ms)</t>
        </is>
      </c>
      <c r="F2" s="3" t="inlineStr">
        <is>
          <t>Oscilación (kV)</t>
        </is>
      </c>
      <c r="G2" s="3" t="inlineStr">
        <is>
          <t>Diagnóstico</t>
        </is>
      </c>
      <c r="J2" t="inlineStr">
        <is>
          <t>Índice de falla</t>
        </is>
      </c>
    </row>
    <row r="3">
      <c r="A3" t="inlineStr">
        <is>
          <t>Normal</t>
        </is>
      </c>
      <c r="B3" t="n">
        <v>10</v>
      </c>
      <c r="C3" t="n">
        <v>1.5</v>
      </c>
      <c r="D3" t="n">
        <v>1.5</v>
      </c>
      <c r="E3" t="n">
        <v>0.1</v>
      </c>
      <c r="F3" t="n">
        <v>3</v>
      </c>
      <c r="G3" t="inlineStr">
        <is>
          <t>Oscilograma correcto: tensión de encendido de 8 a 12 kV, línea de chispa casi plana de 1 a 2 ms y 3 a 5 oscilaciones.</t>
        </is>
      </c>
      <c r="I3" t="inlineStr">
        <is>
          <t>SI</t>
        </is>
      </c>
      <c r="K3">
        <f>IF('Oscilograma secundario'!B9="SI",MOD('Oscilograma secundario'!B10*5+2,6)+1,MATCH('Oscilograma secundario'!B8,A3:A8,0))</f>
        <v/>
      </c>
    </row>
    <row r="4">
      <c r="A4" t="inlineStr">
        <is>
          <t>Luz de bujía excesiva</t>
        </is>
      </c>
      <c r="B4" t="n">
        <v>18</v>
      </c>
      <c r="C4" t="n">
        <v>2.2</v>
      </c>
      <c r="D4" t="n">
        <v>0.9</v>
      </c>
      <c r="E4" t="n">
        <v>0.3</v>
      </c>
      <c r="F4" t="n">
        <v>3</v>
      </c>
      <c r="G4" t="inlineStr">
        <is>
          <t>Tensión de encendido alta y chispa corta: luz de electrodos excesiva o electrodos desgastados. Calibrar o sustituir la bujía.</t>
        </is>
      </c>
      <c r="I4" t="inlineStr">
        <is>
          <t>NO</t>
        </is>
      </c>
      <c r="J4" t="inlineStr">
        <is>
          <t>kV</t>
        </is>
      </c>
      <c r="K4">
        <f>INDEX(B3:B8,K3)</f>
        <v/>
      </c>
    </row>
    <row r="5">
      <c r="A5" t="inlineStr">
        <is>
          <t>Cable de bujía cortado</t>
        </is>
      </c>
      <c r="B5" t="n">
        <v>28</v>
      </c>
      <c r="C5" t="n">
        <v>4</v>
      </c>
      <c r="D5" t="n">
        <v>0.3</v>
      </c>
      <c r="E5" t="n">
        <v>0</v>
      </c>
      <c r="F5" t="n">
        <v>2</v>
      </c>
      <c r="G5" t="inlineStr">
        <is>
          <t>Pico muy alto y casi sin línea de chispa: cable de alta abierto o desconectado. Riesgo de dañar la bobina.</t>
        </is>
      </c>
      <c r="J5" t="inlineStr">
        <is>
          <t>ks</t>
        </is>
      </c>
      <c r="K5">
        <f>INDEX(C3:C8,K3)</f>
        <v/>
      </c>
    </row>
    <row r="6">
      <c r="A6" t="inlineStr">
        <is>
          <t>Mezcla pobre</t>
        </is>
      </c>
      <c r="B6" t="n">
        <v>14</v>
      </c>
      <c r="C6" t="n">
        <v>2</v>
      </c>
      <c r="D6" t="n">
        <v>1</v>
      </c>
      <c r="E6" t="n">
        <v>1.2</v>
      </c>
      <c r="F6" t="n">
        <v>3</v>
      </c>
      <c r="G6" t="inlineStr">
        <is>
          <t>Tensión de encendido elevada y línea de chispa ascendente: mezcla pobre o entrada de aire en ese cilindro.</t>
        </is>
      </c>
      <c r="J6" t="inlineStr">
        <is>
          <t>ts</t>
        </is>
      </c>
      <c r="K6">
        <f>INDEX(D3:D8,K3)</f>
        <v/>
      </c>
    </row>
    <row r="7">
      <c r="A7" t="inlineStr">
        <is>
          <t>Bujía engrasada o en corto</t>
        </is>
      </c>
      <c r="B7" t="n">
        <v>5</v>
      </c>
      <c r="C7" t="n">
        <v>0.8</v>
      </c>
      <c r="D7" t="n">
        <v>2.3</v>
      </c>
      <c r="E7" t="n">
        <v>0</v>
      </c>
      <c r="F7" t="n">
        <v>1.5</v>
      </c>
      <c r="G7" t="inlineStr">
        <is>
          <t>Tensión de encendido baja y chispa larga: bujía engrasada, carbonizada o con el aislador fisurado.</t>
        </is>
      </c>
      <c r="J7" t="inlineStr">
        <is>
          <t>pend</t>
        </is>
      </c>
      <c r="K7">
        <f>INDEX(E3:E8,K3)</f>
        <v/>
      </c>
    </row>
    <row r="8">
      <c r="A8" t="inlineStr">
        <is>
          <t>Bobina débil o con fuga</t>
        </is>
      </c>
      <c r="B8" t="n">
        <v>7</v>
      </c>
      <c r="C8" t="n">
        <v>1.2</v>
      </c>
      <c r="D8" t="n">
        <v>0.8</v>
      </c>
      <c r="E8" t="n">
        <v>0</v>
      </c>
      <c r="F8" t="n">
        <v>1</v>
      </c>
      <c r="G8" t="inlineStr">
        <is>
          <t>Pocas oscilaciones y tensiones bajas en todos los cilindros: bobina débil o con fuga, o alimentación deficiente del primario.</t>
        </is>
      </c>
      <c r="J8" t="inlineStr">
        <is>
          <t>osc</t>
        </is>
      </c>
      <c r="K8">
        <f>INDEX(F3:F8,K3)</f>
        <v/>
      </c>
    </row>
    <row r="9">
      <c r="J9" t="inlineStr">
        <is>
          <t>T</t>
        </is>
      </c>
      <c r="K9">
        <f>'Oscilograma secundario'!B15</f>
        <v/>
      </c>
    </row>
    <row r="10">
      <c r="J10" t="inlineStr">
        <is>
          <t>t cierre</t>
        </is>
      </c>
      <c r="K10">
        <f>K9*(1-'Oscilograma secundario'!B7/100)</f>
        <v/>
      </c>
    </row>
    <row r="11">
      <c r="J11" t="inlineStr">
        <is>
          <t>E</t>
        </is>
      </c>
      <c r="K11">
        <f>MIN(4,K10)</f>
        <v/>
      </c>
    </row>
    <row r="13">
      <c r="A13" s="3" t="inlineStr">
        <is>
          <t>j</t>
        </is>
      </c>
      <c r="B13" s="3" t="inlineStr">
        <is>
          <t>t en el ciclo (ms)</t>
        </is>
      </c>
      <c r="C13" s="3" t="inlineStr">
        <is>
          <t>t (ms)</t>
        </is>
      </c>
      <c r="D13" s="3" t="inlineStr">
        <is>
          <t>Tensión (kV)</t>
        </is>
      </c>
    </row>
    <row r="14">
      <c r="A14" t="inlineStr">
        <is>
          <t>-</t>
        </is>
      </c>
      <c r="B14" t="n">
        <v>0</v>
      </c>
      <c r="C14" t="n">
        <v>0</v>
      </c>
      <c r="D14" t="n">
        <v>0</v>
      </c>
    </row>
    <row r="15">
      <c r="A15" t="n">
        <v>0</v>
      </c>
      <c r="B15">
        <f>0</f>
        <v/>
      </c>
      <c r="C15">
        <f>B15+1</f>
        <v/>
      </c>
      <c r="D15">
        <f>IF(B15&lt;=0.03,$K$4*B15/0.03,IF(B15&lt;=0.07,$K$4-($K$4-$K$5)*(B15-0.03)/0.04,IF(B15&lt;=0.07+$K$6,$K$5+$K$7*(B15-0.07),IF(B15&lt;$K$10,$K$8*EXP(-(B15-0.07-$K$6)/0.35)*SIN(2*PI()*4*(B15-0.07-$K$6)),-2.5*EXP(-(B15-$K$10)/0.25)*SIN(2*PI()*6*(B15-$K$10))))))</f>
        <v/>
      </c>
    </row>
    <row r="16">
      <c r="A16" t="n">
        <v>1</v>
      </c>
      <c r="B16">
        <f>0.03</f>
        <v/>
      </c>
      <c r="C16">
        <f>B16+1</f>
        <v/>
      </c>
      <c r="D16">
        <f>IF(B16&lt;=0.03,$K$4*B16/0.03,IF(B16&lt;=0.07,$K$4-($K$4-$K$5)*(B16-0.03)/0.04,IF(B16&lt;=0.07+$K$6,$K$5+$K$7*(B16-0.07),IF(B16&lt;$K$10,$K$8*EXP(-(B16-0.07-$K$6)/0.35)*SIN(2*PI()*4*(B16-0.07-$K$6)),-2.5*EXP(-(B16-$K$10)/0.25)*SIN(2*PI()*6*(B16-$K$10))))))</f>
        <v/>
      </c>
    </row>
    <row r="17">
      <c r="A17" t="n">
        <v>2</v>
      </c>
      <c r="B17">
        <f>0.07</f>
        <v/>
      </c>
      <c r="C17">
        <f>B17+1</f>
        <v/>
      </c>
      <c r="D17">
        <f>IF(B17&lt;=0.03,$K$4*B17/0.03,IF(B17&lt;=0.07,$K$4-($K$4-$K$5)*(B17-0.03)/0.04,IF(B17&lt;=0.07+$K$6,$K$5+$K$7*(B17-0.07),IF(B17&lt;$K$10,$K$8*EXP(-(B17-0.07-$K$6)/0.35)*SIN(2*PI()*4*(B17-0.07-$K$6)),-2.5*EXP(-(B17-$K$10)/0.25)*SIN(2*PI()*6*(B17-$K$10))))))</f>
        <v/>
      </c>
    </row>
    <row r="18">
      <c r="A18" t="n">
        <v>3</v>
      </c>
      <c r="B18">
        <f>0.07+(3-2)*($K$11-0.07)/97</f>
        <v/>
      </c>
      <c r="C18">
        <f>B18+1</f>
        <v/>
      </c>
      <c r="D18">
        <f>IF(B18&lt;=0.03,$K$4*B18/0.03,IF(B18&lt;=0.07,$K$4-($K$4-$K$5)*(B18-0.03)/0.04,IF(B18&lt;=0.07+$K$6,$K$5+$K$7*(B18-0.07),IF(B18&lt;$K$10,$K$8*EXP(-(B18-0.07-$K$6)/0.35)*SIN(2*PI()*4*(B18-0.07-$K$6)),-2.5*EXP(-(B18-$K$10)/0.25)*SIN(2*PI()*6*(B18-$K$10))))))</f>
        <v/>
      </c>
    </row>
    <row r="19">
      <c r="A19" t="n">
        <v>4</v>
      </c>
      <c r="B19">
        <f>0.07+(4-2)*($K$11-0.07)/97</f>
        <v/>
      </c>
      <c r="C19">
        <f>B19+1</f>
        <v/>
      </c>
      <c r="D19">
        <f>IF(B19&lt;=0.03,$K$4*B19/0.03,IF(B19&lt;=0.07,$K$4-($K$4-$K$5)*(B19-0.03)/0.04,IF(B19&lt;=0.07+$K$6,$K$5+$K$7*(B19-0.07),IF(B19&lt;$K$10,$K$8*EXP(-(B19-0.07-$K$6)/0.35)*SIN(2*PI()*4*(B19-0.07-$K$6)),-2.5*EXP(-(B19-$K$10)/0.25)*SIN(2*PI()*6*(B19-$K$10))))))</f>
        <v/>
      </c>
    </row>
    <row r="20">
      <c r="A20" t="n">
        <v>5</v>
      </c>
      <c r="B20">
        <f>0.07+(5-2)*($K$11-0.07)/97</f>
        <v/>
      </c>
      <c r="C20">
        <f>B20+1</f>
        <v/>
      </c>
      <c r="D20">
        <f>IF(B20&lt;=0.03,$K$4*B20/0.03,IF(B20&lt;=0.07,$K$4-($K$4-$K$5)*(B20-0.03)/0.04,IF(B20&lt;=0.07+$K$6,$K$5+$K$7*(B20-0.07),IF(B20&lt;$K$10,$K$8*EXP(-(B20-0.07-$K$6)/0.35)*SIN(2*PI()*4*(B20-0.07-$K$6)),-2.5*EXP(-(B20-$K$10)/0.25)*SIN(2*PI()*6*(B20-$K$10))))))</f>
        <v/>
      </c>
    </row>
    <row r="21">
      <c r="A21" t="n">
        <v>6</v>
      </c>
      <c r="B21">
        <f>0.07+(6-2)*($K$11-0.07)/97</f>
        <v/>
      </c>
      <c r="C21">
        <f>B21+1</f>
        <v/>
      </c>
      <c r="D21">
        <f>IF(B21&lt;=0.03,$K$4*B21/0.03,IF(B21&lt;=0.07,$K$4-($K$4-$K$5)*(B21-0.03)/0.04,IF(B21&lt;=0.07+$K$6,$K$5+$K$7*(B21-0.07),IF(B21&lt;$K$10,$K$8*EXP(-(B21-0.07-$K$6)/0.35)*SIN(2*PI()*4*(B21-0.07-$K$6)),-2.5*EXP(-(B21-$K$10)/0.25)*SIN(2*PI()*6*(B21-$K$10))))))</f>
        <v/>
      </c>
    </row>
    <row r="22">
      <c r="A22" t="n">
        <v>7</v>
      </c>
      <c r="B22">
        <f>0.07+(7-2)*($K$11-0.07)/97</f>
        <v/>
      </c>
      <c r="C22">
        <f>B22+1</f>
        <v/>
      </c>
      <c r="D22">
        <f>IF(B22&lt;=0.03,$K$4*B22/0.03,IF(B22&lt;=0.07,$K$4-($K$4-$K$5)*(B22-0.03)/0.04,IF(B22&lt;=0.07+$K$6,$K$5+$K$7*(B22-0.07),IF(B22&lt;$K$10,$K$8*EXP(-(B22-0.07-$K$6)/0.35)*SIN(2*PI()*4*(B22-0.07-$K$6)),-2.5*EXP(-(B22-$K$10)/0.25)*SIN(2*PI()*6*(B22-$K$10))))))</f>
        <v/>
      </c>
    </row>
    <row r="23">
      <c r="A23" t="n">
        <v>8</v>
      </c>
      <c r="B23">
        <f>0.07+(8-2)*($K$11-0.07)/97</f>
        <v/>
      </c>
      <c r="C23">
        <f>B23+1</f>
        <v/>
      </c>
      <c r="D23">
        <f>IF(B23&lt;=0.03,$K$4*B23/0.03,IF(B23&lt;=0.07,$K$4-($K$4-$K$5)*(B23-0.03)/0.04,IF(B23&lt;=0.07+$K$6,$K$5+$K$7*(B23-0.07),IF(B23&lt;$K$10,$K$8*EXP(-(B23-0.07-$K$6)/0.35)*SIN(2*PI()*4*(B23-0.07-$K$6)),-2.5*EXP(-(B23-$K$10)/0.25)*SIN(2*PI()*6*(B23-$K$10))))))</f>
        <v/>
      </c>
    </row>
    <row r="24">
      <c r="A24" t="n">
        <v>9</v>
      </c>
      <c r="B24">
        <f>0.07+(9-2)*($K$11-0.07)/97</f>
        <v/>
      </c>
      <c r="C24">
        <f>B24+1</f>
        <v/>
      </c>
      <c r="D24">
        <f>IF(B24&lt;=0.03,$K$4*B24/0.03,IF(B24&lt;=0.07,$K$4-($K$4-$K$5)*(B24-0.03)/0.04,IF(B24&lt;=0.07+$K$6,$K$5+$K$7*(B24-0.07),IF(B24&lt;$K$10,$K$8*EXP(-(B24-0.07-$K$6)/0.35)*SIN(2*PI()*4*(B24-0.07-$K$6)),-2.5*EXP(-(B24-$K$10)/0.25)*SIN(2*PI()*6*(B24-$K$10))))))</f>
        <v/>
      </c>
    </row>
    <row r="25">
      <c r="A25" t="n">
        <v>10</v>
      </c>
      <c r="B25">
        <f>0.07+(10-2)*($K$11-0.07)/97</f>
        <v/>
      </c>
      <c r="C25">
        <f>B25+1</f>
        <v/>
      </c>
      <c r="D25">
        <f>IF(B25&lt;=0.03,$K$4*B25/0.03,IF(B25&lt;=0.07,$K$4-($K$4-$K$5)*(B25-0.03)/0.04,IF(B25&lt;=0.07+$K$6,$K$5+$K$7*(B25-0.07),IF(B25&lt;$K$10,$K$8*EXP(-(B25-0.07-$K$6)/0.35)*SIN(2*PI()*4*(B25-0.07-$K$6)),-2.5*EXP(-(B25-$K$10)/0.25)*SIN(2*PI()*6*(B25-$K$10))))))</f>
        <v/>
      </c>
    </row>
    <row r="26">
      <c r="A26" t="n">
        <v>11</v>
      </c>
      <c r="B26">
        <f>0.07+(11-2)*($K$11-0.07)/97</f>
        <v/>
      </c>
      <c r="C26">
        <f>B26+1</f>
        <v/>
      </c>
      <c r="D26">
        <f>IF(B26&lt;=0.03,$K$4*B26/0.03,IF(B26&lt;=0.07,$K$4-($K$4-$K$5)*(B26-0.03)/0.04,IF(B26&lt;=0.07+$K$6,$K$5+$K$7*(B26-0.07),IF(B26&lt;$K$10,$K$8*EXP(-(B26-0.07-$K$6)/0.35)*SIN(2*PI()*4*(B26-0.07-$K$6)),-2.5*EXP(-(B26-$K$10)/0.25)*SIN(2*PI()*6*(B26-$K$10))))))</f>
        <v/>
      </c>
    </row>
    <row r="27">
      <c r="A27" t="n">
        <v>12</v>
      </c>
      <c r="B27">
        <f>0.07+(12-2)*($K$11-0.07)/97</f>
        <v/>
      </c>
      <c r="C27">
        <f>B27+1</f>
        <v/>
      </c>
      <c r="D27">
        <f>IF(B27&lt;=0.03,$K$4*B27/0.03,IF(B27&lt;=0.07,$K$4-($K$4-$K$5)*(B27-0.03)/0.04,IF(B27&lt;=0.07+$K$6,$K$5+$K$7*(B27-0.07),IF(B27&lt;$K$10,$K$8*EXP(-(B27-0.07-$K$6)/0.35)*SIN(2*PI()*4*(B27-0.07-$K$6)),-2.5*EXP(-(B27-$K$10)/0.25)*SIN(2*PI()*6*(B27-$K$10))))))</f>
        <v/>
      </c>
    </row>
    <row r="28">
      <c r="A28" t="n">
        <v>13</v>
      </c>
      <c r="B28">
        <f>0.07+(13-2)*($K$11-0.07)/97</f>
        <v/>
      </c>
      <c r="C28">
        <f>B28+1</f>
        <v/>
      </c>
      <c r="D28">
        <f>IF(B28&lt;=0.03,$K$4*B28/0.03,IF(B28&lt;=0.07,$K$4-($K$4-$K$5)*(B28-0.03)/0.04,IF(B28&lt;=0.07+$K$6,$K$5+$K$7*(B28-0.07),IF(B28&lt;$K$10,$K$8*EXP(-(B28-0.07-$K$6)/0.35)*SIN(2*PI()*4*(B28-0.07-$K$6)),-2.5*EXP(-(B28-$K$10)/0.25)*SIN(2*PI()*6*(B28-$K$10))))))</f>
        <v/>
      </c>
    </row>
    <row r="29">
      <c r="A29" t="n">
        <v>14</v>
      </c>
      <c r="B29">
        <f>0.07+(14-2)*($K$11-0.07)/97</f>
        <v/>
      </c>
      <c r="C29">
        <f>B29+1</f>
        <v/>
      </c>
      <c r="D29">
        <f>IF(B29&lt;=0.03,$K$4*B29/0.03,IF(B29&lt;=0.07,$K$4-($K$4-$K$5)*(B29-0.03)/0.04,IF(B29&lt;=0.07+$K$6,$K$5+$K$7*(B29-0.07),IF(B29&lt;$K$10,$K$8*EXP(-(B29-0.07-$K$6)/0.35)*SIN(2*PI()*4*(B29-0.07-$K$6)),-2.5*EXP(-(B29-$K$10)/0.25)*SIN(2*PI()*6*(B29-$K$10))))))</f>
        <v/>
      </c>
    </row>
    <row r="30">
      <c r="A30" t="n">
        <v>15</v>
      </c>
      <c r="B30">
        <f>0.07+(15-2)*($K$11-0.07)/97</f>
        <v/>
      </c>
      <c r="C30">
        <f>B30+1</f>
        <v/>
      </c>
      <c r="D30">
        <f>IF(B30&lt;=0.03,$K$4*B30/0.03,IF(B30&lt;=0.07,$K$4-($K$4-$K$5)*(B30-0.03)/0.04,IF(B30&lt;=0.07+$K$6,$K$5+$K$7*(B30-0.07),IF(B30&lt;$K$10,$K$8*EXP(-(B30-0.07-$K$6)/0.35)*SIN(2*PI()*4*(B30-0.07-$K$6)),-2.5*EXP(-(B30-$K$10)/0.25)*SIN(2*PI()*6*(B30-$K$10))))))</f>
        <v/>
      </c>
    </row>
    <row r="31">
      <c r="A31" t="n">
        <v>16</v>
      </c>
      <c r="B31">
        <f>0.07+(16-2)*($K$11-0.07)/97</f>
        <v/>
      </c>
      <c r="C31">
        <f>B31+1</f>
        <v/>
      </c>
      <c r="D31">
        <f>IF(B31&lt;=0.03,$K$4*B31/0.03,IF(B31&lt;=0.07,$K$4-($K$4-$K$5)*(B31-0.03)/0.04,IF(B31&lt;=0.07+$K$6,$K$5+$K$7*(B31-0.07),IF(B31&lt;$K$10,$K$8*EXP(-(B31-0.07-$K$6)/0.35)*SIN(2*PI()*4*(B31-0.07-$K$6)),-2.5*EXP(-(B31-$K$10)/0.25)*SIN(2*PI()*6*(B31-$K$10))))))</f>
        <v/>
      </c>
    </row>
    <row r="32">
      <c r="A32" t="n">
        <v>17</v>
      </c>
      <c r="B32">
        <f>0.07+(17-2)*($K$11-0.07)/97</f>
        <v/>
      </c>
      <c r="C32">
        <f>B32+1</f>
        <v/>
      </c>
      <c r="D32">
        <f>IF(B32&lt;=0.03,$K$4*B32/0.03,IF(B32&lt;=0.07,$K$4-($K$4-$K$5)*(B32-0.03)/0.04,IF(B32&lt;=0.07+$K$6,$K$5+$K$7*(B32-0.07),IF(B32&lt;$K$10,$K$8*EXP(-(B32-0.07-$K$6)/0.35)*SIN(2*PI()*4*(B32-0.07-$K$6)),-2.5*EXP(-(B32-$K$10)/0.25)*SIN(2*PI()*6*(B32-$K$10))))))</f>
        <v/>
      </c>
    </row>
    <row r="33">
      <c r="A33" t="n">
        <v>18</v>
      </c>
      <c r="B33">
        <f>0.07+(18-2)*($K$11-0.07)/97</f>
        <v/>
      </c>
      <c r="C33">
        <f>B33+1</f>
        <v/>
      </c>
      <c r="D33">
        <f>IF(B33&lt;=0.03,$K$4*B33/0.03,IF(B33&lt;=0.07,$K$4-($K$4-$K$5)*(B33-0.03)/0.04,IF(B33&lt;=0.07+$K$6,$K$5+$K$7*(B33-0.07),IF(B33&lt;$K$10,$K$8*EXP(-(B33-0.07-$K$6)/0.35)*SIN(2*PI()*4*(B33-0.07-$K$6)),-2.5*EXP(-(B33-$K$10)/0.25)*SIN(2*PI()*6*(B33-$K$10))))))</f>
        <v/>
      </c>
    </row>
    <row r="34">
      <c r="A34" t="n">
        <v>19</v>
      </c>
      <c r="B34">
        <f>0.07+(19-2)*($K$11-0.07)/97</f>
        <v/>
      </c>
      <c r="C34">
        <f>B34+1</f>
        <v/>
      </c>
      <c r="D34">
        <f>IF(B34&lt;=0.03,$K$4*B34/0.03,IF(B34&lt;=0.07,$K$4-($K$4-$K$5)*(B34-0.03)/0.04,IF(B34&lt;=0.07+$K$6,$K$5+$K$7*(B34-0.07),IF(B34&lt;$K$10,$K$8*EXP(-(B34-0.07-$K$6)/0.35)*SIN(2*PI()*4*(B34-0.07-$K$6)),-2.5*EXP(-(B34-$K$10)/0.25)*SIN(2*PI()*6*(B34-$K$10))))))</f>
        <v/>
      </c>
    </row>
    <row r="35">
      <c r="A35" t="n">
        <v>20</v>
      </c>
      <c r="B35">
        <f>0.07+(20-2)*($K$11-0.07)/97</f>
        <v/>
      </c>
      <c r="C35">
        <f>B35+1</f>
        <v/>
      </c>
      <c r="D35">
        <f>IF(B35&lt;=0.03,$K$4*B35/0.03,IF(B35&lt;=0.07,$K$4-($K$4-$K$5)*(B35-0.03)/0.04,IF(B35&lt;=0.07+$K$6,$K$5+$K$7*(B35-0.07),IF(B35&lt;$K$10,$K$8*EXP(-(B35-0.07-$K$6)/0.35)*SIN(2*PI()*4*(B35-0.07-$K$6)),-2.5*EXP(-(B35-$K$10)/0.25)*SIN(2*PI()*6*(B35-$K$10))))))</f>
        <v/>
      </c>
    </row>
    <row r="36">
      <c r="A36" t="n">
        <v>21</v>
      </c>
      <c r="B36">
        <f>0.07+(21-2)*($K$11-0.07)/97</f>
        <v/>
      </c>
      <c r="C36">
        <f>B36+1</f>
        <v/>
      </c>
      <c r="D36">
        <f>IF(B36&lt;=0.03,$K$4*B36/0.03,IF(B36&lt;=0.07,$K$4-($K$4-$K$5)*(B36-0.03)/0.04,IF(B36&lt;=0.07+$K$6,$K$5+$K$7*(B36-0.07),IF(B36&lt;$K$10,$K$8*EXP(-(B36-0.07-$K$6)/0.35)*SIN(2*PI()*4*(B36-0.07-$K$6)),-2.5*EXP(-(B36-$K$10)/0.25)*SIN(2*PI()*6*(B36-$K$10))))))</f>
        <v/>
      </c>
    </row>
    <row r="37">
      <c r="A37" t="n">
        <v>22</v>
      </c>
      <c r="B37">
        <f>0.07+(22-2)*($K$11-0.07)/97</f>
        <v/>
      </c>
      <c r="C37">
        <f>B37+1</f>
        <v/>
      </c>
      <c r="D37">
        <f>IF(B37&lt;=0.03,$K$4*B37/0.03,IF(B37&lt;=0.07,$K$4-($K$4-$K$5)*(B37-0.03)/0.04,IF(B37&lt;=0.07+$K$6,$K$5+$K$7*(B37-0.07),IF(B37&lt;$K$10,$K$8*EXP(-(B37-0.07-$K$6)/0.35)*SIN(2*PI()*4*(B37-0.07-$K$6)),-2.5*EXP(-(B37-$K$10)/0.25)*SIN(2*PI()*6*(B37-$K$10))))))</f>
        <v/>
      </c>
    </row>
    <row r="38">
      <c r="A38" t="n">
        <v>23</v>
      </c>
      <c r="B38">
        <f>0.07+(23-2)*($K$11-0.07)/97</f>
        <v/>
      </c>
      <c r="C38">
        <f>B38+1</f>
        <v/>
      </c>
      <c r="D38">
        <f>IF(B38&lt;=0.03,$K$4*B38/0.03,IF(B38&lt;=0.07,$K$4-($K$4-$K$5)*(B38-0.03)/0.04,IF(B38&lt;=0.07+$K$6,$K$5+$K$7*(B38-0.07),IF(B38&lt;$K$10,$K$8*EXP(-(B38-0.07-$K$6)/0.35)*SIN(2*PI()*4*(B38-0.07-$K$6)),-2.5*EXP(-(B38-$K$10)/0.25)*SIN(2*PI()*6*(B38-$K$10))))))</f>
        <v/>
      </c>
    </row>
    <row r="39">
      <c r="A39" t="n">
        <v>24</v>
      </c>
      <c r="B39">
        <f>0.07+(24-2)*($K$11-0.07)/97</f>
        <v/>
      </c>
      <c r="C39">
        <f>B39+1</f>
        <v/>
      </c>
      <c r="D39">
        <f>IF(B39&lt;=0.03,$K$4*B39/0.03,IF(B39&lt;=0.07,$K$4-($K$4-$K$5)*(B39-0.03)/0.04,IF(B39&lt;=0.07+$K$6,$K$5+$K$7*(B39-0.07),IF(B39&lt;$K$10,$K$8*EXP(-(B39-0.07-$K$6)/0.35)*SIN(2*PI()*4*(B39-0.07-$K$6)),-2.5*EXP(-(B39-$K$10)/0.25)*SIN(2*PI()*6*(B39-$K$10))))))</f>
        <v/>
      </c>
    </row>
    <row r="40">
      <c r="A40" t="n">
        <v>25</v>
      </c>
      <c r="B40">
        <f>0.07+(25-2)*($K$11-0.07)/97</f>
        <v/>
      </c>
      <c r="C40">
        <f>B40+1</f>
        <v/>
      </c>
      <c r="D40">
        <f>IF(B40&lt;=0.03,$K$4*B40/0.03,IF(B40&lt;=0.07,$K$4-($K$4-$K$5)*(B40-0.03)/0.04,IF(B40&lt;=0.07+$K$6,$K$5+$K$7*(B40-0.07),IF(B40&lt;$K$10,$K$8*EXP(-(B40-0.07-$K$6)/0.35)*SIN(2*PI()*4*(B40-0.07-$K$6)),-2.5*EXP(-(B40-$K$10)/0.25)*SIN(2*PI()*6*(B40-$K$10))))))</f>
        <v/>
      </c>
    </row>
    <row r="41">
      <c r="A41" t="n">
        <v>26</v>
      </c>
      <c r="B41">
        <f>0.07+(26-2)*($K$11-0.07)/97</f>
        <v/>
      </c>
      <c r="C41">
        <f>B41+1</f>
        <v/>
      </c>
      <c r="D41">
        <f>IF(B41&lt;=0.03,$K$4*B41/0.03,IF(B41&lt;=0.07,$K$4-($K$4-$K$5)*(B41-0.03)/0.04,IF(B41&lt;=0.07+$K$6,$K$5+$K$7*(B41-0.07),IF(B41&lt;$K$10,$K$8*EXP(-(B41-0.07-$K$6)/0.35)*SIN(2*PI()*4*(B41-0.07-$K$6)),-2.5*EXP(-(B41-$K$10)/0.25)*SIN(2*PI()*6*(B41-$K$10))))))</f>
        <v/>
      </c>
    </row>
    <row r="42">
      <c r="A42" t="n">
        <v>27</v>
      </c>
      <c r="B42">
        <f>0.07+(27-2)*($K$11-0.07)/97</f>
        <v/>
      </c>
      <c r="C42">
        <f>B42+1</f>
        <v/>
      </c>
      <c r="D42">
        <f>IF(B42&lt;=0.03,$K$4*B42/0.03,IF(B42&lt;=0.07,$K$4-($K$4-$K$5)*(B42-0.03)/0.04,IF(B42&lt;=0.07+$K$6,$K$5+$K$7*(B42-0.07),IF(B42&lt;$K$10,$K$8*EXP(-(B42-0.07-$K$6)/0.35)*SIN(2*PI()*4*(B42-0.07-$K$6)),-2.5*EXP(-(B42-$K$10)/0.25)*SIN(2*PI()*6*(B42-$K$10))))))</f>
        <v/>
      </c>
    </row>
    <row r="43">
      <c r="A43" t="n">
        <v>28</v>
      </c>
      <c r="B43">
        <f>0.07+(28-2)*($K$11-0.07)/97</f>
        <v/>
      </c>
      <c r="C43">
        <f>B43+1</f>
        <v/>
      </c>
      <c r="D43">
        <f>IF(B43&lt;=0.03,$K$4*B43/0.03,IF(B43&lt;=0.07,$K$4-($K$4-$K$5)*(B43-0.03)/0.04,IF(B43&lt;=0.07+$K$6,$K$5+$K$7*(B43-0.07),IF(B43&lt;$K$10,$K$8*EXP(-(B43-0.07-$K$6)/0.35)*SIN(2*PI()*4*(B43-0.07-$K$6)),-2.5*EXP(-(B43-$K$10)/0.25)*SIN(2*PI()*6*(B43-$K$10))))))</f>
        <v/>
      </c>
    </row>
    <row r="44">
      <c r="A44" t="n">
        <v>29</v>
      </c>
      <c r="B44">
        <f>0.07+(29-2)*($K$11-0.07)/97</f>
        <v/>
      </c>
      <c r="C44">
        <f>B44+1</f>
        <v/>
      </c>
      <c r="D44">
        <f>IF(B44&lt;=0.03,$K$4*B44/0.03,IF(B44&lt;=0.07,$K$4-($K$4-$K$5)*(B44-0.03)/0.04,IF(B44&lt;=0.07+$K$6,$K$5+$K$7*(B44-0.07),IF(B44&lt;$K$10,$K$8*EXP(-(B44-0.07-$K$6)/0.35)*SIN(2*PI()*4*(B44-0.07-$K$6)),-2.5*EXP(-(B44-$K$10)/0.25)*SIN(2*PI()*6*(B44-$K$10))))))</f>
        <v/>
      </c>
    </row>
    <row r="45">
      <c r="A45" t="n">
        <v>30</v>
      </c>
      <c r="B45">
        <f>0.07+(30-2)*($K$11-0.07)/97</f>
        <v/>
      </c>
      <c r="C45">
        <f>B45+1</f>
        <v/>
      </c>
      <c r="D45">
        <f>IF(B45&lt;=0.03,$K$4*B45/0.03,IF(B45&lt;=0.07,$K$4-($K$4-$K$5)*(B45-0.03)/0.04,IF(B45&lt;=0.07+$K$6,$K$5+$K$7*(B45-0.07),IF(B45&lt;$K$10,$K$8*EXP(-(B45-0.07-$K$6)/0.35)*SIN(2*PI()*4*(B45-0.07-$K$6)),-2.5*EXP(-(B45-$K$10)/0.25)*SIN(2*PI()*6*(B45-$K$10))))))</f>
        <v/>
      </c>
    </row>
    <row r="46">
      <c r="A46" t="n">
        <v>31</v>
      </c>
      <c r="B46">
        <f>0.07+(31-2)*($K$11-0.07)/97</f>
        <v/>
      </c>
      <c r="C46">
        <f>B46+1</f>
        <v/>
      </c>
      <c r="D46">
        <f>IF(B46&lt;=0.03,$K$4*B46/0.03,IF(B46&lt;=0.07,$K$4-($K$4-$K$5)*(B46-0.03)/0.04,IF(B46&lt;=0.07+$K$6,$K$5+$K$7*(B46-0.07),IF(B46&lt;$K$10,$K$8*EXP(-(B46-0.07-$K$6)/0.35)*SIN(2*PI()*4*(B46-0.07-$K$6)),-2.5*EXP(-(B46-$K$10)/0.25)*SIN(2*PI()*6*(B46-$K$10))))))</f>
        <v/>
      </c>
    </row>
    <row r="47">
      <c r="A47" t="n">
        <v>32</v>
      </c>
      <c r="B47">
        <f>0.07+(32-2)*($K$11-0.07)/97</f>
        <v/>
      </c>
      <c r="C47">
        <f>B47+1</f>
        <v/>
      </c>
      <c r="D47">
        <f>IF(B47&lt;=0.03,$K$4*B47/0.03,IF(B47&lt;=0.07,$K$4-($K$4-$K$5)*(B47-0.03)/0.04,IF(B47&lt;=0.07+$K$6,$K$5+$K$7*(B47-0.07),IF(B47&lt;$K$10,$K$8*EXP(-(B47-0.07-$K$6)/0.35)*SIN(2*PI()*4*(B47-0.07-$K$6)),-2.5*EXP(-(B47-$K$10)/0.25)*SIN(2*PI()*6*(B47-$K$10))))))</f>
        <v/>
      </c>
    </row>
    <row r="48">
      <c r="A48" t="n">
        <v>33</v>
      </c>
      <c r="B48">
        <f>0.07+(33-2)*($K$11-0.07)/97</f>
        <v/>
      </c>
      <c r="C48">
        <f>B48+1</f>
        <v/>
      </c>
      <c r="D48">
        <f>IF(B48&lt;=0.03,$K$4*B48/0.03,IF(B48&lt;=0.07,$K$4-($K$4-$K$5)*(B48-0.03)/0.04,IF(B48&lt;=0.07+$K$6,$K$5+$K$7*(B48-0.07),IF(B48&lt;$K$10,$K$8*EXP(-(B48-0.07-$K$6)/0.35)*SIN(2*PI()*4*(B48-0.07-$K$6)),-2.5*EXP(-(B48-$K$10)/0.25)*SIN(2*PI()*6*(B48-$K$10))))))</f>
        <v/>
      </c>
    </row>
    <row r="49">
      <c r="A49" t="n">
        <v>34</v>
      </c>
      <c r="B49">
        <f>0.07+(34-2)*($K$11-0.07)/97</f>
        <v/>
      </c>
      <c r="C49">
        <f>B49+1</f>
        <v/>
      </c>
      <c r="D49">
        <f>IF(B49&lt;=0.03,$K$4*B49/0.03,IF(B49&lt;=0.07,$K$4-($K$4-$K$5)*(B49-0.03)/0.04,IF(B49&lt;=0.07+$K$6,$K$5+$K$7*(B49-0.07),IF(B49&lt;$K$10,$K$8*EXP(-(B49-0.07-$K$6)/0.35)*SIN(2*PI()*4*(B49-0.07-$K$6)),-2.5*EXP(-(B49-$K$10)/0.25)*SIN(2*PI()*6*(B49-$K$10))))))</f>
        <v/>
      </c>
    </row>
    <row r="50">
      <c r="A50" t="n">
        <v>35</v>
      </c>
      <c r="B50">
        <f>0.07+(35-2)*($K$11-0.07)/97</f>
        <v/>
      </c>
      <c r="C50">
        <f>B50+1</f>
        <v/>
      </c>
      <c r="D50">
        <f>IF(B50&lt;=0.03,$K$4*B50/0.03,IF(B50&lt;=0.07,$K$4-($K$4-$K$5)*(B50-0.03)/0.04,IF(B50&lt;=0.07+$K$6,$K$5+$K$7*(B50-0.07),IF(B50&lt;$K$10,$K$8*EXP(-(B50-0.07-$K$6)/0.35)*SIN(2*PI()*4*(B50-0.07-$K$6)),-2.5*EXP(-(B50-$K$10)/0.25)*SIN(2*PI()*6*(B50-$K$10))))))</f>
        <v/>
      </c>
    </row>
    <row r="51">
      <c r="A51" t="n">
        <v>36</v>
      </c>
      <c r="B51">
        <f>0.07+(36-2)*($K$11-0.07)/97</f>
        <v/>
      </c>
      <c r="C51">
        <f>B51+1</f>
        <v/>
      </c>
      <c r="D51">
        <f>IF(B51&lt;=0.03,$K$4*B51/0.03,IF(B51&lt;=0.07,$K$4-($K$4-$K$5)*(B51-0.03)/0.04,IF(B51&lt;=0.07+$K$6,$K$5+$K$7*(B51-0.07),IF(B51&lt;$K$10,$K$8*EXP(-(B51-0.07-$K$6)/0.35)*SIN(2*PI()*4*(B51-0.07-$K$6)),-2.5*EXP(-(B51-$K$10)/0.25)*SIN(2*PI()*6*(B51-$K$10))))))</f>
        <v/>
      </c>
    </row>
    <row r="52">
      <c r="A52" t="n">
        <v>37</v>
      </c>
      <c r="B52">
        <f>0.07+(37-2)*($K$11-0.07)/97</f>
        <v/>
      </c>
      <c r="C52">
        <f>B52+1</f>
        <v/>
      </c>
      <c r="D52">
        <f>IF(B52&lt;=0.03,$K$4*B52/0.03,IF(B52&lt;=0.07,$K$4-($K$4-$K$5)*(B52-0.03)/0.04,IF(B52&lt;=0.07+$K$6,$K$5+$K$7*(B52-0.07),IF(B52&lt;$K$10,$K$8*EXP(-(B52-0.07-$K$6)/0.35)*SIN(2*PI()*4*(B52-0.07-$K$6)),-2.5*EXP(-(B52-$K$10)/0.25)*SIN(2*PI()*6*(B52-$K$10))))))</f>
        <v/>
      </c>
    </row>
    <row r="53">
      <c r="A53" t="n">
        <v>38</v>
      </c>
      <c r="B53">
        <f>0.07+(38-2)*($K$11-0.07)/97</f>
        <v/>
      </c>
      <c r="C53">
        <f>B53+1</f>
        <v/>
      </c>
      <c r="D53">
        <f>IF(B53&lt;=0.03,$K$4*B53/0.03,IF(B53&lt;=0.07,$K$4-($K$4-$K$5)*(B53-0.03)/0.04,IF(B53&lt;=0.07+$K$6,$K$5+$K$7*(B53-0.07),IF(B53&lt;$K$10,$K$8*EXP(-(B53-0.07-$K$6)/0.35)*SIN(2*PI()*4*(B53-0.07-$K$6)),-2.5*EXP(-(B53-$K$10)/0.25)*SIN(2*PI()*6*(B53-$K$10))))))</f>
        <v/>
      </c>
    </row>
    <row r="54">
      <c r="A54" t="n">
        <v>39</v>
      </c>
      <c r="B54">
        <f>0.07+(39-2)*($K$11-0.07)/97</f>
        <v/>
      </c>
      <c r="C54">
        <f>B54+1</f>
        <v/>
      </c>
      <c r="D54">
        <f>IF(B54&lt;=0.03,$K$4*B54/0.03,IF(B54&lt;=0.07,$K$4-($K$4-$K$5)*(B54-0.03)/0.04,IF(B54&lt;=0.07+$K$6,$K$5+$K$7*(B54-0.07),IF(B54&lt;$K$10,$K$8*EXP(-(B54-0.07-$K$6)/0.35)*SIN(2*PI()*4*(B54-0.07-$K$6)),-2.5*EXP(-(B54-$K$10)/0.25)*SIN(2*PI()*6*(B54-$K$10))))))</f>
        <v/>
      </c>
    </row>
    <row r="55">
      <c r="A55" t="n">
        <v>40</v>
      </c>
      <c r="B55">
        <f>0.07+(40-2)*($K$11-0.07)/97</f>
        <v/>
      </c>
      <c r="C55">
        <f>B55+1</f>
        <v/>
      </c>
      <c r="D55">
        <f>IF(B55&lt;=0.03,$K$4*B55/0.03,IF(B55&lt;=0.07,$K$4-($K$4-$K$5)*(B55-0.03)/0.04,IF(B55&lt;=0.07+$K$6,$K$5+$K$7*(B55-0.07),IF(B55&lt;$K$10,$K$8*EXP(-(B55-0.07-$K$6)/0.35)*SIN(2*PI()*4*(B55-0.07-$K$6)),-2.5*EXP(-(B55-$K$10)/0.25)*SIN(2*PI()*6*(B55-$K$10))))))</f>
        <v/>
      </c>
    </row>
    <row r="56">
      <c r="A56" t="n">
        <v>41</v>
      </c>
      <c r="B56">
        <f>0.07+(41-2)*($K$11-0.07)/97</f>
        <v/>
      </c>
      <c r="C56">
        <f>B56+1</f>
        <v/>
      </c>
      <c r="D56">
        <f>IF(B56&lt;=0.03,$K$4*B56/0.03,IF(B56&lt;=0.07,$K$4-($K$4-$K$5)*(B56-0.03)/0.04,IF(B56&lt;=0.07+$K$6,$K$5+$K$7*(B56-0.07),IF(B56&lt;$K$10,$K$8*EXP(-(B56-0.07-$K$6)/0.35)*SIN(2*PI()*4*(B56-0.07-$K$6)),-2.5*EXP(-(B56-$K$10)/0.25)*SIN(2*PI()*6*(B56-$K$10))))))</f>
        <v/>
      </c>
    </row>
    <row r="57">
      <c r="A57" t="n">
        <v>42</v>
      </c>
      <c r="B57">
        <f>0.07+(42-2)*($K$11-0.07)/97</f>
        <v/>
      </c>
      <c r="C57">
        <f>B57+1</f>
        <v/>
      </c>
      <c r="D57">
        <f>IF(B57&lt;=0.03,$K$4*B57/0.03,IF(B57&lt;=0.07,$K$4-($K$4-$K$5)*(B57-0.03)/0.04,IF(B57&lt;=0.07+$K$6,$K$5+$K$7*(B57-0.07),IF(B57&lt;$K$10,$K$8*EXP(-(B57-0.07-$K$6)/0.35)*SIN(2*PI()*4*(B57-0.07-$K$6)),-2.5*EXP(-(B57-$K$10)/0.25)*SIN(2*PI()*6*(B57-$K$10))))))</f>
        <v/>
      </c>
    </row>
    <row r="58">
      <c r="A58" t="n">
        <v>43</v>
      </c>
      <c r="B58">
        <f>0.07+(43-2)*($K$11-0.07)/97</f>
        <v/>
      </c>
      <c r="C58">
        <f>B58+1</f>
        <v/>
      </c>
      <c r="D58">
        <f>IF(B58&lt;=0.03,$K$4*B58/0.03,IF(B58&lt;=0.07,$K$4-($K$4-$K$5)*(B58-0.03)/0.04,IF(B58&lt;=0.07+$K$6,$K$5+$K$7*(B58-0.07),IF(B58&lt;$K$10,$K$8*EXP(-(B58-0.07-$K$6)/0.35)*SIN(2*PI()*4*(B58-0.07-$K$6)),-2.5*EXP(-(B58-$K$10)/0.25)*SIN(2*PI()*6*(B58-$K$10))))))</f>
        <v/>
      </c>
    </row>
    <row r="59">
      <c r="A59" t="n">
        <v>44</v>
      </c>
      <c r="B59">
        <f>0.07+(44-2)*($K$11-0.07)/97</f>
        <v/>
      </c>
      <c r="C59">
        <f>B59+1</f>
        <v/>
      </c>
      <c r="D59">
        <f>IF(B59&lt;=0.03,$K$4*B59/0.03,IF(B59&lt;=0.07,$K$4-($K$4-$K$5)*(B59-0.03)/0.04,IF(B59&lt;=0.07+$K$6,$K$5+$K$7*(B59-0.07),IF(B59&lt;$K$10,$K$8*EXP(-(B59-0.07-$K$6)/0.35)*SIN(2*PI()*4*(B59-0.07-$K$6)),-2.5*EXP(-(B59-$K$10)/0.25)*SIN(2*PI()*6*(B59-$K$10))))))</f>
        <v/>
      </c>
    </row>
    <row r="60">
      <c r="A60" t="n">
        <v>45</v>
      </c>
      <c r="B60">
        <f>0.07+(45-2)*($K$11-0.07)/97</f>
        <v/>
      </c>
      <c r="C60">
        <f>B60+1</f>
        <v/>
      </c>
      <c r="D60">
        <f>IF(B60&lt;=0.03,$K$4*B60/0.03,IF(B60&lt;=0.07,$K$4-($K$4-$K$5)*(B60-0.03)/0.04,IF(B60&lt;=0.07+$K$6,$K$5+$K$7*(B60-0.07),IF(B60&lt;$K$10,$K$8*EXP(-(B60-0.07-$K$6)/0.35)*SIN(2*PI()*4*(B60-0.07-$K$6)),-2.5*EXP(-(B60-$K$10)/0.25)*SIN(2*PI()*6*(B60-$K$10))))))</f>
        <v/>
      </c>
    </row>
    <row r="61">
      <c r="A61" t="n">
        <v>46</v>
      </c>
      <c r="B61">
        <f>0.07+(46-2)*($K$11-0.07)/97</f>
        <v/>
      </c>
      <c r="C61">
        <f>B61+1</f>
        <v/>
      </c>
      <c r="D61">
        <f>IF(B61&lt;=0.03,$K$4*B61/0.03,IF(B61&lt;=0.07,$K$4-($K$4-$K$5)*(B61-0.03)/0.04,IF(B61&lt;=0.07+$K$6,$K$5+$K$7*(B61-0.07),IF(B61&lt;$K$10,$K$8*EXP(-(B61-0.07-$K$6)/0.35)*SIN(2*PI()*4*(B61-0.07-$K$6)),-2.5*EXP(-(B61-$K$10)/0.25)*SIN(2*PI()*6*(B61-$K$10))))))</f>
        <v/>
      </c>
    </row>
    <row r="62">
      <c r="A62" t="n">
        <v>47</v>
      </c>
      <c r="B62">
        <f>0.07+(47-2)*($K$11-0.07)/97</f>
        <v/>
      </c>
      <c r="C62">
        <f>B62+1</f>
        <v/>
      </c>
      <c r="D62">
        <f>IF(B62&lt;=0.03,$K$4*B62/0.03,IF(B62&lt;=0.07,$K$4-($K$4-$K$5)*(B62-0.03)/0.04,IF(B62&lt;=0.07+$K$6,$K$5+$K$7*(B62-0.07),IF(B62&lt;$K$10,$K$8*EXP(-(B62-0.07-$K$6)/0.35)*SIN(2*PI()*4*(B62-0.07-$K$6)),-2.5*EXP(-(B62-$K$10)/0.25)*SIN(2*PI()*6*(B62-$K$10))))))</f>
        <v/>
      </c>
    </row>
    <row r="63">
      <c r="A63" t="n">
        <v>48</v>
      </c>
      <c r="B63">
        <f>0.07+(48-2)*($K$11-0.07)/97</f>
        <v/>
      </c>
      <c r="C63">
        <f>B63+1</f>
        <v/>
      </c>
      <c r="D63">
        <f>IF(B63&lt;=0.03,$K$4*B63/0.03,IF(B63&lt;=0.07,$K$4-($K$4-$K$5)*(B63-0.03)/0.04,IF(B63&lt;=0.07+$K$6,$K$5+$K$7*(B63-0.07),IF(B63&lt;$K$10,$K$8*EXP(-(B63-0.07-$K$6)/0.35)*SIN(2*PI()*4*(B63-0.07-$K$6)),-2.5*EXP(-(B63-$K$10)/0.25)*SIN(2*PI()*6*(B63-$K$10))))))</f>
        <v/>
      </c>
    </row>
    <row r="64">
      <c r="A64" t="n">
        <v>49</v>
      </c>
      <c r="B64">
        <f>0.07+(49-2)*($K$11-0.07)/97</f>
        <v/>
      </c>
      <c r="C64">
        <f>B64+1</f>
        <v/>
      </c>
      <c r="D64">
        <f>IF(B64&lt;=0.03,$K$4*B64/0.03,IF(B64&lt;=0.07,$K$4-($K$4-$K$5)*(B64-0.03)/0.04,IF(B64&lt;=0.07+$K$6,$K$5+$K$7*(B64-0.07),IF(B64&lt;$K$10,$K$8*EXP(-(B64-0.07-$K$6)/0.35)*SIN(2*PI()*4*(B64-0.07-$K$6)),-2.5*EXP(-(B64-$K$10)/0.25)*SIN(2*PI()*6*(B64-$K$10))))))</f>
        <v/>
      </c>
    </row>
    <row r="65">
      <c r="A65" t="n">
        <v>50</v>
      </c>
      <c r="B65">
        <f>0.07+(50-2)*($K$11-0.07)/97</f>
        <v/>
      </c>
      <c r="C65">
        <f>B65+1</f>
        <v/>
      </c>
      <c r="D65">
        <f>IF(B65&lt;=0.03,$K$4*B65/0.03,IF(B65&lt;=0.07,$K$4-($K$4-$K$5)*(B65-0.03)/0.04,IF(B65&lt;=0.07+$K$6,$K$5+$K$7*(B65-0.07),IF(B65&lt;$K$10,$K$8*EXP(-(B65-0.07-$K$6)/0.35)*SIN(2*PI()*4*(B65-0.07-$K$6)),-2.5*EXP(-(B65-$K$10)/0.25)*SIN(2*PI()*6*(B65-$K$10))))))</f>
        <v/>
      </c>
    </row>
    <row r="66">
      <c r="A66" t="n">
        <v>51</v>
      </c>
      <c r="B66">
        <f>0.07+(51-2)*($K$11-0.07)/97</f>
        <v/>
      </c>
      <c r="C66">
        <f>B66+1</f>
        <v/>
      </c>
      <c r="D66">
        <f>IF(B66&lt;=0.03,$K$4*B66/0.03,IF(B66&lt;=0.07,$K$4-($K$4-$K$5)*(B66-0.03)/0.04,IF(B66&lt;=0.07+$K$6,$K$5+$K$7*(B66-0.07),IF(B66&lt;$K$10,$K$8*EXP(-(B66-0.07-$K$6)/0.35)*SIN(2*PI()*4*(B66-0.07-$K$6)),-2.5*EXP(-(B66-$K$10)/0.25)*SIN(2*PI()*6*(B66-$K$10))))))</f>
        <v/>
      </c>
    </row>
    <row r="67">
      <c r="A67" t="n">
        <v>52</v>
      </c>
      <c r="B67">
        <f>0.07+(52-2)*($K$11-0.07)/97</f>
        <v/>
      </c>
      <c r="C67">
        <f>B67+1</f>
        <v/>
      </c>
      <c r="D67">
        <f>IF(B67&lt;=0.03,$K$4*B67/0.03,IF(B67&lt;=0.07,$K$4-($K$4-$K$5)*(B67-0.03)/0.04,IF(B67&lt;=0.07+$K$6,$K$5+$K$7*(B67-0.07),IF(B67&lt;$K$10,$K$8*EXP(-(B67-0.07-$K$6)/0.35)*SIN(2*PI()*4*(B67-0.07-$K$6)),-2.5*EXP(-(B67-$K$10)/0.25)*SIN(2*PI()*6*(B67-$K$10))))))</f>
        <v/>
      </c>
    </row>
    <row r="68">
      <c r="A68" t="n">
        <v>53</v>
      </c>
      <c r="B68">
        <f>0.07+(53-2)*($K$11-0.07)/97</f>
        <v/>
      </c>
      <c r="C68">
        <f>B68+1</f>
        <v/>
      </c>
      <c r="D68">
        <f>IF(B68&lt;=0.03,$K$4*B68/0.03,IF(B68&lt;=0.07,$K$4-($K$4-$K$5)*(B68-0.03)/0.04,IF(B68&lt;=0.07+$K$6,$K$5+$K$7*(B68-0.07),IF(B68&lt;$K$10,$K$8*EXP(-(B68-0.07-$K$6)/0.35)*SIN(2*PI()*4*(B68-0.07-$K$6)),-2.5*EXP(-(B68-$K$10)/0.25)*SIN(2*PI()*6*(B68-$K$10))))))</f>
        <v/>
      </c>
    </row>
    <row r="69">
      <c r="A69" t="n">
        <v>54</v>
      </c>
      <c r="B69">
        <f>0.07+(54-2)*($K$11-0.07)/97</f>
        <v/>
      </c>
      <c r="C69">
        <f>B69+1</f>
        <v/>
      </c>
      <c r="D69">
        <f>IF(B69&lt;=0.03,$K$4*B69/0.03,IF(B69&lt;=0.07,$K$4-($K$4-$K$5)*(B69-0.03)/0.04,IF(B69&lt;=0.07+$K$6,$K$5+$K$7*(B69-0.07),IF(B69&lt;$K$10,$K$8*EXP(-(B69-0.07-$K$6)/0.35)*SIN(2*PI()*4*(B69-0.07-$K$6)),-2.5*EXP(-(B69-$K$10)/0.25)*SIN(2*PI()*6*(B69-$K$10))))))</f>
        <v/>
      </c>
    </row>
    <row r="70">
      <c r="A70" t="n">
        <v>55</v>
      </c>
      <c r="B70">
        <f>0.07+(55-2)*($K$11-0.07)/97</f>
        <v/>
      </c>
      <c r="C70">
        <f>B70+1</f>
        <v/>
      </c>
      <c r="D70">
        <f>IF(B70&lt;=0.03,$K$4*B70/0.03,IF(B70&lt;=0.07,$K$4-($K$4-$K$5)*(B70-0.03)/0.04,IF(B70&lt;=0.07+$K$6,$K$5+$K$7*(B70-0.07),IF(B70&lt;$K$10,$K$8*EXP(-(B70-0.07-$K$6)/0.35)*SIN(2*PI()*4*(B70-0.07-$K$6)),-2.5*EXP(-(B70-$K$10)/0.25)*SIN(2*PI()*6*(B70-$K$10))))))</f>
        <v/>
      </c>
    </row>
    <row r="71">
      <c r="A71" t="n">
        <v>56</v>
      </c>
      <c r="B71">
        <f>0.07+(56-2)*($K$11-0.07)/97</f>
        <v/>
      </c>
      <c r="C71">
        <f>B71+1</f>
        <v/>
      </c>
      <c r="D71">
        <f>IF(B71&lt;=0.03,$K$4*B71/0.03,IF(B71&lt;=0.07,$K$4-($K$4-$K$5)*(B71-0.03)/0.04,IF(B71&lt;=0.07+$K$6,$K$5+$K$7*(B71-0.07),IF(B71&lt;$K$10,$K$8*EXP(-(B71-0.07-$K$6)/0.35)*SIN(2*PI()*4*(B71-0.07-$K$6)),-2.5*EXP(-(B71-$K$10)/0.25)*SIN(2*PI()*6*(B71-$K$10))))))</f>
        <v/>
      </c>
    </row>
    <row r="72">
      <c r="A72" t="n">
        <v>57</v>
      </c>
      <c r="B72">
        <f>0.07+(57-2)*($K$11-0.07)/97</f>
        <v/>
      </c>
      <c r="C72">
        <f>B72+1</f>
        <v/>
      </c>
      <c r="D72">
        <f>IF(B72&lt;=0.03,$K$4*B72/0.03,IF(B72&lt;=0.07,$K$4-($K$4-$K$5)*(B72-0.03)/0.04,IF(B72&lt;=0.07+$K$6,$K$5+$K$7*(B72-0.07),IF(B72&lt;$K$10,$K$8*EXP(-(B72-0.07-$K$6)/0.35)*SIN(2*PI()*4*(B72-0.07-$K$6)),-2.5*EXP(-(B72-$K$10)/0.25)*SIN(2*PI()*6*(B72-$K$10))))))</f>
        <v/>
      </c>
    </row>
    <row r="73">
      <c r="A73" t="n">
        <v>58</v>
      </c>
      <c r="B73">
        <f>0.07+(58-2)*($K$11-0.07)/97</f>
        <v/>
      </c>
      <c r="C73">
        <f>B73+1</f>
        <v/>
      </c>
      <c r="D73">
        <f>IF(B73&lt;=0.03,$K$4*B73/0.03,IF(B73&lt;=0.07,$K$4-($K$4-$K$5)*(B73-0.03)/0.04,IF(B73&lt;=0.07+$K$6,$K$5+$K$7*(B73-0.07),IF(B73&lt;$K$10,$K$8*EXP(-(B73-0.07-$K$6)/0.35)*SIN(2*PI()*4*(B73-0.07-$K$6)),-2.5*EXP(-(B73-$K$10)/0.25)*SIN(2*PI()*6*(B73-$K$10))))))</f>
        <v/>
      </c>
    </row>
    <row r="74">
      <c r="A74" t="n">
        <v>59</v>
      </c>
      <c r="B74">
        <f>0.07+(59-2)*($K$11-0.07)/97</f>
        <v/>
      </c>
      <c r="C74">
        <f>B74+1</f>
        <v/>
      </c>
      <c r="D74">
        <f>IF(B74&lt;=0.03,$K$4*B74/0.03,IF(B74&lt;=0.07,$K$4-($K$4-$K$5)*(B74-0.03)/0.04,IF(B74&lt;=0.07+$K$6,$K$5+$K$7*(B74-0.07),IF(B74&lt;$K$10,$K$8*EXP(-(B74-0.07-$K$6)/0.35)*SIN(2*PI()*4*(B74-0.07-$K$6)),-2.5*EXP(-(B74-$K$10)/0.25)*SIN(2*PI()*6*(B74-$K$10))))))</f>
        <v/>
      </c>
    </row>
    <row r="75">
      <c r="A75" t="n">
        <v>60</v>
      </c>
      <c r="B75">
        <f>0.07+(60-2)*($K$11-0.07)/97</f>
        <v/>
      </c>
      <c r="C75">
        <f>B75+1</f>
        <v/>
      </c>
      <c r="D75">
        <f>IF(B75&lt;=0.03,$K$4*B75/0.03,IF(B75&lt;=0.07,$K$4-($K$4-$K$5)*(B75-0.03)/0.04,IF(B75&lt;=0.07+$K$6,$K$5+$K$7*(B75-0.07),IF(B75&lt;$K$10,$K$8*EXP(-(B75-0.07-$K$6)/0.35)*SIN(2*PI()*4*(B75-0.07-$K$6)),-2.5*EXP(-(B75-$K$10)/0.25)*SIN(2*PI()*6*(B75-$K$10))))))</f>
        <v/>
      </c>
    </row>
    <row r="76">
      <c r="A76" t="n">
        <v>61</v>
      </c>
      <c r="B76">
        <f>0.07+(61-2)*($K$11-0.07)/97</f>
        <v/>
      </c>
      <c r="C76">
        <f>B76+1</f>
        <v/>
      </c>
      <c r="D76">
        <f>IF(B76&lt;=0.03,$K$4*B76/0.03,IF(B76&lt;=0.07,$K$4-($K$4-$K$5)*(B76-0.03)/0.04,IF(B76&lt;=0.07+$K$6,$K$5+$K$7*(B76-0.07),IF(B76&lt;$K$10,$K$8*EXP(-(B76-0.07-$K$6)/0.35)*SIN(2*PI()*4*(B76-0.07-$K$6)),-2.5*EXP(-(B76-$K$10)/0.25)*SIN(2*PI()*6*(B76-$K$10))))))</f>
        <v/>
      </c>
    </row>
    <row r="77">
      <c r="A77" t="n">
        <v>62</v>
      </c>
      <c r="B77">
        <f>0.07+(62-2)*($K$11-0.07)/97</f>
        <v/>
      </c>
      <c r="C77">
        <f>B77+1</f>
        <v/>
      </c>
      <c r="D77">
        <f>IF(B77&lt;=0.03,$K$4*B77/0.03,IF(B77&lt;=0.07,$K$4-($K$4-$K$5)*(B77-0.03)/0.04,IF(B77&lt;=0.07+$K$6,$K$5+$K$7*(B77-0.07),IF(B77&lt;$K$10,$K$8*EXP(-(B77-0.07-$K$6)/0.35)*SIN(2*PI()*4*(B77-0.07-$K$6)),-2.5*EXP(-(B77-$K$10)/0.25)*SIN(2*PI()*6*(B77-$K$10))))))</f>
        <v/>
      </c>
    </row>
    <row r="78">
      <c r="A78" t="n">
        <v>63</v>
      </c>
      <c r="B78">
        <f>0.07+(63-2)*($K$11-0.07)/97</f>
        <v/>
      </c>
      <c r="C78">
        <f>B78+1</f>
        <v/>
      </c>
      <c r="D78">
        <f>IF(B78&lt;=0.03,$K$4*B78/0.03,IF(B78&lt;=0.07,$K$4-($K$4-$K$5)*(B78-0.03)/0.04,IF(B78&lt;=0.07+$K$6,$K$5+$K$7*(B78-0.07),IF(B78&lt;$K$10,$K$8*EXP(-(B78-0.07-$K$6)/0.35)*SIN(2*PI()*4*(B78-0.07-$K$6)),-2.5*EXP(-(B78-$K$10)/0.25)*SIN(2*PI()*6*(B78-$K$10))))))</f>
        <v/>
      </c>
    </row>
    <row r="79">
      <c r="A79" t="n">
        <v>64</v>
      </c>
      <c r="B79">
        <f>0.07+(64-2)*($K$11-0.07)/97</f>
        <v/>
      </c>
      <c r="C79">
        <f>B79+1</f>
        <v/>
      </c>
      <c r="D79">
        <f>IF(B79&lt;=0.03,$K$4*B79/0.03,IF(B79&lt;=0.07,$K$4-($K$4-$K$5)*(B79-0.03)/0.04,IF(B79&lt;=0.07+$K$6,$K$5+$K$7*(B79-0.07),IF(B79&lt;$K$10,$K$8*EXP(-(B79-0.07-$K$6)/0.35)*SIN(2*PI()*4*(B79-0.07-$K$6)),-2.5*EXP(-(B79-$K$10)/0.25)*SIN(2*PI()*6*(B79-$K$10))))))</f>
        <v/>
      </c>
    </row>
    <row r="80">
      <c r="A80" t="n">
        <v>65</v>
      </c>
      <c r="B80">
        <f>0.07+(65-2)*($K$11-0.07)/97</f>
        <v/>
      </c>
      <c r="C80">
        <f>B80+1</f>
        <v/>
      </c>
      <c r="D80">
        <f>IF(B80&lt;=0.03,$K$4*B80/0.03,IF(B80&lt;=0.07,$K$4-($K$4-$K$5)*(B80-0.03)/0.04,IF(B80&lt;=0.07+$K$6,$K$5+$K$7*(B80-0.07),IF(B80&lt;$K$10,$K$8*EXP(-(B80-0.07-$K$6)/0.35)*SIN(2*PI()*4*(B80-0.07-$K$6)),-2.5*EXP(-(B80-$K$10)/0.25)*SIN(2*PI()*6*(B80-$K$10))))))</f>
        <v/>
      </c>
    </row>
    <row r="81">
      <c r="A81" t="n">
        <v>66</v>
      </c>
      <c r="B81">
        <f>0.07+(66-2)*($K$11-0.07)/97</f>
        <v/>
      </c>
      <c r="C81">
        <f>B81+1</f>
        <v/>
      </c>
      <c r="D81">
        <f>IF(B81&lt;=0.03,$K$4*B81/0.03,IF(B81&lt;=0.07,$K$4-($K$4-$K$5)*(B81-0.03)/0.04,IF(B81&lt;=0.07+$K$6,$K$5+$K$7*(B81-0.07),IF(B81&lt;$K$10,$K$8*EXP(-(B81-0.07-$K$6)/0.35)*SIN(2*PI()*4*(B81-0.07-$K$6)),-2.5*EXP(-(B81-$K$10)/0.25)*SIN(2*PI()*6*(B81-$K$10))))))</f>
        <v/>
      </c>
    </row>
    <row r="82">
      <c r="A82" t="n">
        <v>67</v>
      </c>
      <c r="B82">
        <f>0.07+(67-2)*($K$11-0.07)/97</f>
        <v/>
      </c>
      <c r="C82">
        <f>B82+1</f>
        <v/>
      </c>
      <c r="D82">
        <f>IF(B82&lt;=0.03,$K$4*B82/0.03,IF(B82&lt;=0.07,$K$4-($K$4-$K$5)*(B82-0.03)/0.04,IF(B82&lt;=0.07+$K$6,$K$5+$K$7*(B82-0.07),IF(B82&lt;$K$10,$K$8*EXP(-(B82-0.07-$K$6)/0.35)*SIN(2*PI()*4*(B82-0.07-$K$6)),-2.5*EXP(-(B82-$K$10)/0.25)*SIN(2*PI()*6*(B82-$K$10))))))</f>
        <v/>
      </c>
    </row>
    <row r="83">
      <c r="A83" t="n">
        <v>68</v>
      </c>
      <c r="B83">
        <f>0.07+(68-2)*($K$11-0.07)/97</f>
        <v/>
      </c>
      <c r="C83">
        <f>B83+1</f>
        <v/>
      </c>
      <c r="D83">
        <f>IF(B83&lt;=0.03,$K$4*B83/0.03,IF(B83&lt;=0.07,$K$4-($K$4-$K$5)*(B83-0.03)/0.04,IF(B83&lt;=0.07+$K$6,$K$5+$K$7*(B83-0.07),IF(B83&lt;$K$10,$K$8*EXP(-(B83-0.07-$K$6)/0.35)*SIN(2*PI()*4*(B83-0.07-$K$6)),-2.5*EXP(-(B83-$K$10)/0.25)*SIN(2*PI()*6*(B83-$K$10))))))</f>
        <v/>
      </c>
    </row>
    <row r="84">
      <c r="A84" t="n">
        <v>69</v>
      </c>
      <c r="B84">
        <f>0.07+(69-2)*($K$11-0.07)/97</f>
        <v/>
      </c>
      <c r="C84">
        <f>B84+1</f>
        <v/>
      </c>
      <c r="D84">
        <f>IF(B84&lt;=0.03,$K$4*B84/0.03,IF(B84&lt;=0.07,$K$4-($K$4-$K$5)*(B84-0.03)/0.04,IF(B84&lt;=0.07+$K$6,$K$5+$K$7*(B84-0.07),IF(B84&lt;$K$10,$K$8*EXP(-(B84-0.07-$K$6)/0.35)*SIN(2*PI()*4*(B84-0.07-$K$6)),-2.5*EXP(-(B84-$K$10)/0.25)*SIN(2*PI()*6*(B84-$K$10))))))</f>
        <v/>
      </c>
    </row>
    <row r="85">
      <c r="A85" t="n">
        <v>70</v>
      </c>
      <c r="B85">
        <f>0.07+(70-2)*($K$11-0.07)/97</f>
        <v/>
      </c>
      <c r="C85">
        <f>B85+1</f>
        <v/>
      </c>
      <c r="D85">
        <f>IF(B85&lt;=0.03,$K$4*B85/0.03,IF(B85&lt;=0.07,$K$4-($K$4-$K$5)*(B85-0.03)/0.04,IF(B85&lt;=0.07+$K$6,$K$5+$K$7*(B85-0.07),IF(B85&lt;$K$10,$K$8*EXP(-(B85-0.07-$K$6)/0.35)*SIN(2*PI()*4*(B85-0.07-$K$6)),-2.5*EXP(-(B85-$K$10)/0.25)*SIN(2*PI()*6*(B85-$K$10))))))</f>
        <v/>
      </c>
    </row>
    <row r="86">
      <c r="A86" t="n">
        <v>71</v>
      </c>
      <c r="B86">
        <f>0.07+(71-2)*($K$11-0.07)/97</f>
        <v/>
      </c>
      <c r="C86">
        <f>B86+1</f>
        <v/>
      </c>
      <c r="D86">
        <f>IF(B86&lt;=0.03,$K$4*B86/0.03,IF(B86&lt;=0.07,$K$4-($K$4-$K$5)*(B86-0.03)/0.04,IF(B86&lt;=0.07+$K$6,$K$5+$K$7*(B86-0.07),IF(B86&lt;$K$10,$K$8*EXP(-(B86-0.07-$K$6)/0.35)*SIN(2*PI()*4*(B86-0.07-$K$6)),-2.5*EXP(-(B86-$K$10)/0.25)*SIN(2*PI()*6*(B86-$K$10))))))</f>
        <v/>
      </c>
    </row>
    <row r="87">
      <c r="A87" t="n">
        <v>72</v>
      </c>
      <c r="B87">
        <f>0.07+(72-2)*($K$11-0.07)/97</f>
        <v/>
      </c>
      <c r="C87">
        <f>B87+1</f>
        <v/>
      </c>
      <c r="D87">
        <f>IF(B87&lt;=0.03,$K$4*B87/0.03,IF(B87&lt;=0.07,$K$4-($K$4-$K$5)*(B87-0.03)/0.04,IF(B87&lt;=0.07+$K$6,$K$5+$K$7*(B87-0.07),IF(B87&lt;$K$10,$K$8*EXP(-(B87-0.07-$K$6)/0.35)*SIN(2*PI()*4*(B87-0.07-$K$6)),-2.5*EXP(-(B87-$K$10)/0.25)*SIN(2*PI()*6*(B87-$K$10))))))</f>
        <v/>
      </c>
    </row>
    <row r="88">
      <c r="A88" t="n">
        <v>73</v>
      </c>
      <c r="B88">
        <f>0.07+(73-2)*($K$11-0.07)/97</f>
        <v/>
      </c>
      <c r="C88">
        <f>B88+1</f>
        <v/>
      </c>
      <c r="D88">
        <f>IF(B88&lt;=0.03,$K$4*B88/0.03,IF(B88&lt;=0.07,$K$4-($K$4-$K$5)*(B88-0.03)/0.04,IF(B88&lt;=0.07+$K$6,$K$5+$K$7*(B88-0.07),IF(B88&lt;$K$10,$K$8*EXP(-(B88-0.07-$K$6)/0.35)*SIN(2*PI()*4*(B88-0.07-$K$6)),-2.5*EXP(-(B88-$K$10)/0.25)*SIN(2*PI()*6*(B88-$K$10))))))</f>
        <v/>
      </c>
    </row>
    <row r="89">
      <c r="A89" t="n">
        <v>74</v>
      </c>
      <c r="B89">
        <f>0.07+(74-2)*($K$11-0.07)/97</f>
        <v/>
      </c>
      <c r="C89">
        <f>B89+1</f>
        <v/>
      </c>
      <c r="D89">
        <f>IF(B89&lt;=0.03,$K$4*B89/0.03,IF(B89&lt;=0.07,$K$4-($K$4-$K$5)*(B89-0.03)/0.04,IF(B89&lt;=0.07+$K$6,$K$5+$K$7*(B89-0.07),IF(B89&lt;$K$10,$K$8*EXP(-(B89-0.07-$K$6)/0.35)*SIN(2*PI()*4*(B89-0.07-$K$6)),-2.5*EXP(-(B89-$K$10)/0.25)*SIN(2*PI()*6*(B89-$K$10))))))</f>
        <v/>
      </c>
    </row>
    <row r="90">
      <c r="A90" t="n">
        <v>75</v>
      </c>
      <c r="B90">
        <f>0.07+(75-2)*($K$11-0.07)/97</f>
        <v/>
      </c>
      <c r="C90">
        <f>B90+1</f>
        <v/>
      </c>
      <c r="D90">
        <f>IF(B90&lt;=0.03,$K$4*B90/0.03,IF(B90&lt;=0.07,$K$4-($K$4-$K$5)*(B90-0.03)/0.04,IF(B90&lt;=0.07+$K$6,$K$5+$K$7*(B90-0.07),IF(B90&lt;$K$10,$K$8*EXP(-(B90-0.07-$K$6)/0.35)*SIN(2*PI()*4*(B90-0.07-$K$6)),-2.5*EXP(-(B90-$K$10)/0.25)*SIN(2*PI()*6*(B90-$K$10))))))</f>
        <v/>
      </c>
    </row>
    <row r="91">
      <c r="A91" t="n">
        <v>76</v>
      </c>
      <c r="B91">
        <f>0.07+(76-2)*($K$11-0.07)/97</f>
        <v/>
      </c>
      <c r="C91">
        <f>B91+1</f>
        <v/>
      </c>
      <c r="D91">
        <f>IF(B91&lt;=0.03,$K$4*B91/0.03,IF(B91&lt;=0.07,$K$4-($K$4-$K$5)*(B91-0.03)/0.04,IF(B91&lt;=0.07+$K$6,$K$5+$K$7*(B91-0.07),IF(B91&lt;$K$10,$K$8*EXP(-(B91-0.07-$K$6)/0.35)*SIN(2*PI()*4*(B91-0.07-$K$6)),-2.5*EXP(-(B91-$K$10)/0.25)*SIN(2*PI()*6*(B91-$K$10))))))</f>
        <v/>
      </c>
    </row>
    <row r="92">
      <c r="A92" t="n">
        <v>77</v>
      </c>
      <c r="B92">
        <f>0.07+(77-2)*($K$11-0.07)/97</f>
        <v/>
      </c>
      <c r="C92">
        <f>B92+1</f>
        <v/>
      </c>
      <c r="D92">
        <f>IF(B92&lt;=0.03,$K$4*B92/0.03,IF(B92&lt;=0.07,$K$4-($K$4-$K$5)*(B92-0.03)/0.04,IF(B92&lt;=0.07+$K$6,$K$5+$K$7*(B92-0.07),IF(B92&lt;$K$10,$K$8*EXP(-(B92-0.07-$K$6)/0.35)*SIN(2*PI()*4*(B92-0.07-$K$6)),-2.5*EXP(-(B92-$K$10)/0.25)*SIN(2*PI()*6*(B92-$K$10))))))</f>
        <v/>
      </c>
    </row>
    <row r="93">
      <c r="A93" t="n">
        <v>78</v>
      </c>
      <c r="B93">
        <f>0.07+(78-2)*($K$11-0.07)/97</f>
        <v/>
      </c>
      <c r="C93">
        <f>B93+1</f>
        <v/>
      </c>
      <c r="D93">
        <f>IF(B93&lt;=0.03,$K$4*B93/0.03,IF(B93&lt;=0.07,$K$4-($K$4-$K$5)*(B93-0.03)/0.04,IF(B93&lt;=0.07+$K$6,$K$5+$K$7*(B93-0.07),IF(B93&lt;$K$10,$K$8*EXP(-(B93-0.07-$K$6)/0.35)*SIN(2*PI()*4*(B93-0.07-$K$6)),-2.5*EXP(-(B93-$K$10)/0.25)*SIN(2*PI()*6*(B93-$K$10))))))</f>
        <v/>
      </c>
    </row>
    <row r="94">
      <c r="A94" t="n">
        <v>79</v>
      </c>
      <c r="B94">
        <f>0.07+(79-2)*($K$11-0.07)/97</f>
        <v/>
      </c>
      <c r="C94">
        <f>B94+1</f>
        <v/>
      </c>
      <c r="D94">
        <f>IF(B94&lt;=0.03,$K$4*B94/0.03,IF(B94&lt;=0.07,$K$4-($K$4-$K$5)*(B94-0.03)/0.04,IF(B94&lt;=0.07+$K$6,$K$5+$K$7*(B94-0.07),IF(B94&lt;$K$10,$K$8*EXP(-(B94-0.07-$K$6)/0.35)*SIN(2*PI()*4*(B94-0.07-$K$6)),-2.5*EXP(-(B94-$K$10)/0.25)*SIN(2*PI()*6*(B94-$K$10))))))</f>
        <v/>
      </c>
    </row>
    <row r="95">
      <c r="A95" t="n">
        <v>80</v>
      </c>
      <c r="B95">
        <f>0.07+(80-2)*($K$11-0.07)/97</f>
        <v/>
      </c>
      <c r="C95">
        <f>B95+1</f>
        <v/>
      </c>
      <c r="D95">
        <f>IF(B95&lt;=0.03,$K$4*B95/0.03,IF(B95&lt;=0.07,$K$4-($K$4-$K$5)*(B95-0.03)/0.04,IF(B95&lt;=0.07+$K$6,$K$5+$K$7*(B95-0.07),IF(B95&lt;$K$10,$K$8*EXP(-(B95-0.07-$K$6)/0.35)*SIN(2*PI()*4*(B95-0.07-$K$6)),-2.5*EXP(-(B95-$K$10)/0.25)*SIN(2*PI()*6*(B95-$K$10))))))</f>
        <v/>
      </c>
    </row>
    <row r="96">
      <c r="A96" t="n">
        <v>81</v>
      </c>
      <c r="B96">
        <f>0.07+(81-2)*($K$11-0.07)/97</f>
        <v/>
      </c>
      <c r="C96">
        <f>B96+1</f>
        <v/>
      </c>
      <c r="D96">
        <f>IF(B96&lt;=0.03,$K$4*B96/0.03,IF(B96&lt;=0.07,$K$4-($K$4-$K$5)*(B96-0.03)/0.04,IF(B96&lt;=0.07+$K$6,$K$5+$K$7*(B96-0.07),IF(B96&lt;$K$10,$K$8*EXP(-(B96-0.07-$K$6)/0.35)*SIN(2*PI()*4*(B96-0.07-$K$6)),-2.5*EXP(-(B96-$K$10)/0.25)*SIN(2*PI()*6*(B96-$K$10))))))</f>
        <v/>
      </c>
    </row>
    <row r="97">
      <c r="A97" t="n">
        <v>82</v>
      </c>
      <c r="B97">
        <f>0.07+(82-2)*($K$11-0.07)/97</f>
        <v/>
      </c>
      <c r="C97">
        <f>B97+1</f>
        <v/>
      </c>
      <c r="D97">
        <f>IF(B97&lt;=0.03,$K$4*B97/0.03,IF(B97&lt;=0.07,$K$4-($K$4-$K$5)*(B97-0.03)/0.04,IF(B97&lt;=0.07+$K$6,$K$5+$K$7*(B97-0.07),IF(B97&lt;$K$10,$K$8*EXP(-(B97-0.07-$K$6)/0.35)*SIN(2*PI()*4*(B97-0.07-$K$6)),-2.5*EXP(-(B97-$K$10)/0.25)*SIN(2*PI()*6*(B97-$K$10))))))</f>
        <v/>
      </c>
    </row>
    <row r="98">
      <c r="A98" t="n">
        <v>83</v>
      </c>
      <c r="B98">
        <f>0.07+(83-2)*($K$11-0.07)/97</f>
        <v/>
      </c>
      <c r="C98">
        <f>B98+1</f>
        <v/>
      </c>
      <c r="D98">
        <f>IF(B98&lt;=0.03,$K$4*B98/0.03,IF(B98&lt;=0.07,$K$4-($K$4-$K$5)*(B98-0.03)/0.04,IF(B98&lt;=0.07+$K$6,$K$5+$K$7*(B98-0.07),IF(B98&lt;$K$10,$K$8*EXP(-(B98-0.07-$K$6)/0.35)*SIN(2*PI()*4*(B98-0.07-$K$6)),-2.5*EXP(-(B98-$K$10)/0.25)*SIN(2*PI()*6*(B98-$K$10))))))</f>
        <v/>
      </c>
    </row>
    <row r="99">
      <c r="A99" t="n">
        <v>84</v>
      </c>
      <c r="B99">
        <f>0.07+(84-2)*($K$11-0.07)/97</f>
        <v/>
      </c>
      <c r="C99">
        <f>B99+1</f>
        <v/>
      </c>
      <c r="D99">
        <f>IF(B99&lt;=0.03,$K$4*B99/0.03,IF(B99&lt;=0.07,$K$4-($K$4-$K$5)*(B99-0.03)/0.04,IF(B99&lt;=0.07+$K$6,$K$5+$K$7*(B99-0.07),IF(B99&lt;$K$10,$K$8*EXP(-(B99-0.07-$K$6)/0.35)*SIN(2*PI()*4*(B99-0.07-$K$6)),-2.5*EXP(-(B99-$K$10)/0.25)*SIN(2*PI()*6*(B99-$K$10))))))</f>
        <v/>
      </c>
    </row>
    <row r="100">
      <c r="A100" t="n">
        <v>85</v>
      </c>
      <c r="B100">
        <f>0.07+(85-2)*($K$11-0.07)/97</f>
        <v/>
      </c>
      <c r="C100">
        <f>B100+1</f>
        <v/>
      </c>
      <c r="D100">
        <f>IF(B100&lt;=0.03,$K$4*B100/0.03,IF(B100&lt;=0.07,$K$4-($K$4-$K$5)*(B100-0.03)/0.04,IF(B100&lt;=0.07+$K$6,$K$5+$K$7*(B100-0.07),IF(B100&lt;$K$10,$K$8*EXP(-(B100-0.07-$K$6)/0.35)*SIN(2*PI()*4*(B100-0.07-$K$6)),-2.5*EXP(-(B100-$K$10)/0.25)*SIN(2*PI()*6*(B100-$K$10))))))</f>
        <v/>
      </c>
    </row>
    <row r="101">
      <c r="A101" t="n">
        <v>86</v>
      </c>
      <c r="B101">
        <f>0.07+(86-2)*($K$11-0.07)/97</f>
        <v/>
      </c>
      <c r="C101">
        <f>B101+1</f>
        <v/>
      </c>
      <c r="D101">
        <f>IF(B101&lt;=0.03,$K$4*B101/0.03,IF(B101&lt;=0.07,$K$4-($K$4-$K$5)*(B101-0.03)/0.04,IF(B101&lt;=0.07+$K$6,$K$5+$K$7*(B101-0.07),IF(B101&lt;$K$10,$K$8*EXP(-(B101-0.07-$K$6)/0.35)*SIN(2*PI()*4*(B101-0.07-$K$6)),-2.5*EXP(-(B101-$K$10)/0.25)*SIN(2*PI()*6*(B101-$K$10))))))</f>
        <v/>
      </c>
    </row>
    <row r="102">
      <c r="A102" t="n">
        <v>87</v>
      </c>
      <c r="B102">
        <f>0.07+(87-2)*($K$11-0.07)/97</f>
        <v/>
      </c>
      <c r="C102">
        <f>B102+1</f>
        <v/>
      </c>
      <c r="D102">
        <f>IF(B102&lt;=0.03,$K$4*B102/0.03,IF(B102&lt;=0.07,$K$4-($K$4-$K$5)*(B102-0.03)/0.04,IF(B102&lt;=0.07+$K$6,$K$5+$K$7*(B102-0.07),IF(B102&lt;$K$10,$K$8*EXP(-(B102-0.07-$K$6)/0.35)*SIN(2*PI()*4*(B102-0.07-$K$6)),-2.5*EXP(-(B102-$K$10)/0.25)*SIN(2*PI()*6*(B102-$K$10))))))</f>
        <v/>
      </c>
    </row>
    <row r="103">
      <c r="A103" t="n">
        <v>88</v>
      </c>
      <c r="B103">
        <f>0.07+(88-2)*($K$11-0.07)/97</f>
        <v/>
      </c>
      <c r="C103">
        <f>B103+1</f>
        <v/>
      </c>
      <c r="D103">
        <f>IF(B103&lt;=0.03,$K$4*B103/0.03,IF(B103&lt;=0.07,$K$4-($K$4-$K$5)*(B103-0.03)/0.04,IF(B103&lt;=0.07+$K$6,$K$5+$K$7*(B103-0.07),IF(B103&lt;$K$10,$K$8*EXP(-(B103-0.07-$K$6)/0.35)*SIN(2*PI()*4*(B103-0.07-$K$6)),-2.5*EXP(-(B103-$K$10)/0.25)*SIN(2*PI()*6*(B103-$K$10))))))</f>
        <v/>
      </c>
    </row>
    <row r="104">
      <c r="A104" t="n">
        <v>89</v>
      </c>
      <c r="B104">
        <f>0.07+(89-2)*($K$11-0.07)/97</f>
        <v/>
      </c>
      <c r="C104">
        <f>B104+1</f>
        <v/>
      </c>
      <c r="D104">
        <f>IF(B104&lt;=0.03,$K$4*B104/0.03,IF(B104&lt;=0.07,$K$4-($K$4-$K$5)*(B104-0.03)/0.04,IF(B104&lt;=0.07+$K$6,$K$5+$K$7*(B104-0.07),IF(B104&lt;$K$10,$K$8*EXP(-(B104-0.07-$K$6)/0.35)*SIN(2*PI()*4*(B104-0.07-$K$6)),-2.5*EXP(-(B104-$K$10)/0.25)*SIN(2*PI()*6*(B104-$K$10))))))</f>
        <v/>
      </c>
    </row>
    <row r="105">
      <c r="A105" t="n">
        <v>90</v>
      </c>
      <c r="B105">
        <f>0.07+(90-2)*($K$11-0.07)/97</f>
        <v/>
      </c>
      <c r="C105">
        <f>B105+1</f>
        <v/>
      </c>
      <c r="D105">
        <f>IF(B105&lt;=0.03,$K$4*B105/0.03,IF(B105&lt;=0.07,$K$4-($K$4-$K$5)*(B105-0.03)/0.04,IF(B105&lt;=0.07+$K$6,$K$5+$K$7*(B105-0.07),IF(B105&lt;$K$10,$K$8*EXP(-(B105-0.07-$K$6)/0.35)*SIN(2*PI()*4*(B105-0.07-$K$6)),-2.5*EXP(-(B105-$K$10)/0.25)*SIN(2*PI()*6*(B105-$K$10))))))</f>
        <v/>
      </c>
    </row>
    <row r="106">
      <c r="A106" t="n">
        <v>91</v>
      </c>
      <c r="B106">
        <f>0.07+(91-2)*($K$11-0.07)/97</f>
        <v/>
      </c>
      <c r="C106">
        <f>B106+1</f>
        <v/>
      </c>
      <c r="D106">
        <f>IF(B106&lt;=0.03,$K$4*B106/0.03,IF(B106&lt;=0.07,$K$4-($K$4-$K$5)*(B106-0.03)/0.04,IF(B106&lt;=0.07+$K$6,$K$5+$K$7*(B106-0.07),IF(B106&lt;$K$10,$K$8*EXP(-(B106-0.07-$K$6)/0.35)*SIN(2*PI()*4*(B106-0.07-$K$6)),-2.5*EXP(-(B106-$K$10)/0.25)*SIN(2*PI()*6*(B106-$K$10))))))</f>
        <v/>
      </c>
    </row>
    <row r="107">
      <c r="A107" t="n">
        <v>92</v>
      </c>
      <c r="B107">
        <f>0.07+(92-2)*($K$11-0.07)/97</f>
        <v/>
      </c>
      <c r="C107">
        <f>B107+1</f>
        <v/>
      </c>
      <c r="D107">
        <f>IF(B107&lt;=0.03,$K$4*B107/0.03,IF(B107&lt;=0.07,$K$4-($K$4-$K$5)*(B107-0.03)/0.04,IF(B107&lt;=0.07+$K$6,$K$5+$K$7*(B107-0.07),IF(B107&lt;$K$10,$K$8*EXP(-(B107-0.07-$K$6)/0.35)*SIN(2*PI()*4*(B107-0.07-$K$6)),-2.5*EXP(-(B107-$K$10)/0.25)*SIN(2*PI()*6*(B107-$K$10))))))</f>
        <v/>
      </c>
    </row>
    <row r="108">
      <c r="A108" t="n">
        <v>93</v>
      </c>
      <c r="B108">
        <f>0.07+(93-2)*($K$11-0.07)/97</f>
        <v/>
      </c>
      <c r="C108">
        <f>B108+1</f>
        <v/>
      </c>
      <c r="D108">
        <f>IF(B108&lt;=0.03,$K$4*B108/0.03,IF(B108&lt;=0.07,$K$4-($K$4-$K$5)*(B108-0.03)/0.04,IF(B108&lt;=0.07+$K$6,$K$5+$K$7*(B108-0.07),IF(B108&lt;$K$10,$K$8*EXP(-(B108-0.07-$K$6)/0.35)*SIN(2*PI()*4*(B108-0.07-$K$6)),-2.5*EXP(-(B108-$K$10)/0.25)*SIN(2*PI()*6*(B108-$K$10))))))</f>
        <v/>
      </c>
    </row>
    <row r="109">
      <c r="A109" t="n">
        <v>94</v>
      </c>
      <c r="B109">
        <f>0.07+(94-2)*($K$11-0.07)/97</f>
        <v/>
      </c>
      <c r="C109">
        <f>B109+1</f>
        <v/>
      </c>
      <c r="D109">
        <f>IF(B109&lt;=0.03,$K$4*B109/0.03,IF(B109&lt;=0.07,$K$4-($K$4-$K$5)*(B109-0.03)/0.04,IF(B109&lt;=0.07+$K$6,$K$5+$K$7*(B109-0.07),IF(B109&lt;$K$10,$K$8*EXP(-(B109-0.07-$K$6)/0.35)*SIN(2*PI()*4*(B109-0.07-$K$6)),-2.5*EXP(-(B109-$K$10)/0.25)*SIN(2*PI()*6*(B109-$K$10))))))</f>
        <v/>
      </c>
    </row>
    <row r="110">
      <c r="A110" t="n">
        <v>95</v>
      </c>
      <c r="B110">
        <f>0.07+(95-2)*($K$11-0.07)/97</f>
        <v/>
      </c>
      <c r="C110">
        <f>B110+1</f>
        <v/>
      </c>
      <c r="D110">
        <f>IF(B110&lt;=0.03,$K$4*B110/0.03,IF(B110&lt;=0.07,$K$4-($K$4-$K$5)*(B110-0.03)/0.04,IF(B110&lt;=0.07+$K$6,$K$5+$K$7*(B110-0.07),IF(B110&lt;$K$10,$K$8*EXP(-(B110-0.07-$K$6)/0.35)*SIN(2*PI()*4*(B110-0.07-$K$6)),-2.5*EXP(-(B110-$K$10)/0.25)*SIN(2*PI()*6*(B110-$K$10))))))</f>
        <v/>
      </c>
    </row>
    <row r="111">
      <c r="A111" t="n">
        <v>96</v>
      </c>
      <c r="B111">
        <f>0.07+(96-2)*($K$11-0.07)/97</f>
        <v/>
      </c>
      <c r="C111">
        <f>B111+1</f>
        <v/>
      </c>
      <c r="D111">
        <f>IF(B111&lt;=0.03,$K$4*B111/0.03,IF(B111&lt;=0.07,$K$4-($K$4-$K$5)*(B111-0.03)/0.04,IF(B111&lt;=0.07+$K$6,$K$5+$K$7*(B111-0.07),IF(B111&lt;$K$10,$K$8*EXP(-(B111-0.07-$K$6)/0.35)*SIN(2*PI()*4*(B111-0.07-$K$6)),-2.5*EXP(-(B111-$K$10)/0.25)*SIN(2*PI()*6*(B111-$K$10))))))</f>
        <v/>
      </c>
    </row>
    <row r="112">
      <c r="A112" t="n">
        <v>97</v>
      </c>
      <c r="B112">
        <f>0.07+(97-2)*($K$11-0.07)/97</f>
        <v/>
      </c>
      <c r="C112">
        <f>B112+1</f>
        <v/>
      </c>
      <c r="D112">
        <f>IF(B112&lt;=0.03,$K$4*B112/0.03,IF(B112&lt;=0.07,$K$4-($K$4-$K$5)*(B112-0.03)/0.04,IF(B112&lt;=0.07+$K$6,$K$5+$K$7*(B112-0.07),IF(B112&lt;$K$10,$K$8*EXP(-(B112-0.07-$K$6)/0.35)*SIN(2*PI()*4*(B112-0.07-$K$6)),-2.5*EXP(-(B112-$K$10)/0.25)*SIN(2*PI()*6*(B112-$K$10))))))</f>
        <v/>
      </c>
    </row>
    <row r="113">
      <c r="A113" t="n">
        <v>98</v>
      </c>
      <c r="B113">
        <f>0.07+(98-2)*($K$11-0.07)/97</f>
        <v/>
      </c>
      <c r="C113">
        <f>B113+1</f>
        <v/>
      </c>
      <c r="D113">
        <f>IF(B113&lt;=0.03,$K$4*B113/0.03,IF(B113&lt;=0.07,$K$4-($K$4-$K$5)*(B113-0.03)/0.04,IF(B113&lt;=0.07+$K$6,$K$5+$K$7*(B113-0.07),IF(B113&lt;$K$10,$K$8*EXP(-(B113-0.07-$K$6)/0.35)*SIN(2*PI()*4*(B113-0.07-$K$6)),-2.5*EXP(-(B113-$K$10)/0.25)*SIN(2*PI()*6*(B113-$K$10))))))</f>
        <v/>
      </c>
    </row>
    <row r="114">
      <c r="A114" t="n">
        <v>99</v>
      </c>
      <c r="B114">
        <f>0.07+(99-2)*($K$11-0.07)/97</f>
        <v/>
      </c>
      <c r="C114">
        <f>B114+1</f>
        <v/>
      </c>
      <c r="D114">
        <f>IF(B114&lt;=0.03,$K$4*B114/0.03,IF(B114&lt;=0.07,$K$4-($K$4-$K$5)*(B114-0.03)/0.04,IF(B114&lt;=0.07+$K$6,$K$5+$K$7*(B114-0.07),IF(B114&lt;$K$10,$K$8*EXP(-(B114-0.07-$K$6)/0.35)*SIN(2*PI()*4*(B114-0.07-$K$6)),-2.5*EXP(-(B114-$K$10)/0.25)*SIN(2*PI()*6*(B114-$K$10))))))</f>
        <v/>
      </c>
    </row>
    <row r="115">
      <c r="A115" t="n">
        <v>100</v>
      </c>
      <c r="B115">
        <f>$K$11+(100-100)*($K$10-$K$11)/30</f>
        <v/>
      </c>
      <c r="C115">
        <f>B115+1</f>
        <v/>
      </c>
      <c r="D115">
        <f>IF(B115&lt;=0.03,$K$4*B115/0.03,IF(B115&lt;=0.07,$K$4-($K$4-$K$5)*(B115-0.03)/0.04,IF(B115&lt;=0.07+$K$6,$K$5+$K$7*(B115-0.07),IF(B115&lt;$K$10,$K$8*EXP(-(B115-0.07-$K$6)/0.35)*SIN(2*PI()*4*(B115-0.07-$K$6)),-2.5*EXP(-(B115-$K$10)/0.25)*SIN(2*PI()*6*(B115-$K$10))))))</f>
        <v/>
      </c>
    </row>
    <row r="116">
      <c r="A116" t="n">
        <v>101</v>
      </c>
      <c r="B116">
        <f>$K$11+(101-100)*($K$10-$K$11)/30</f>
        <v/>
      </c>
      <c r="C116">
        <f>B116+1</f>
        <v/>
      </c>
      <c r="D116">
        <f>IF(B116&lt;=0.03,$K$4*B116/0.03,IF(B116&lt;=0.07,$K$4-($K$4-$K$5)*(B116-0.03)/0.04,IF(B116&lt;=0.07+$K$6,$K$5+$K$7*(B116-0.07),IF(B116&lt;$K$10,$K$8*EXP(-(B116-0.07-$K$6)/0.35)*SIN(2*PI()*4*(B116-0.07-$K$6)),-2.5*EXP(-(B116-$K$10)/0.25)*SIN(2*PI()*6*(B116-$K$10))))))</f>
        <v/>
      </c>
    </row>
    <row r="117">
      <c r="A117" t="n">
        <v>102</v>
      </c>
      <c r="B117">
        <f>$K$11+(102-100)*($K$10-$K$11)/30</f>
        <v/>
      </c>
      <c r="C117">
        <f>B117+1</f>
        <v/>
      </c>
      <c r="D117">
        <f>IF(B117&lt;=0.03,$K$4*B117/0.03,IF(B117&lt;=0.07,$K$4-($K$4-$K$5)*(B117-0.03)/0.04,IF(B117&lt;=0.07+$K$6,$K$5+$K$7*(B117-0.07),IF(B117&lt;$K$10,$K$8*EXP(-(B117-0.07-$K$6)/0.35)*SIN(2*PI()*4*(B117-0.07-$K$6)),-2.5*EXP(-(B117-$K$10)/0.25)*SIN(2*PI()*6*(B117-$K$10))))))</f>
        <v/>
      </c>
    </row>
    <row r="118">
      <c r="A118" t="n">
        <v>103</v>
      </c>
      <c r="B118">
        <f>$K$11+(103-100)*($K$10-$K$11)/30</f>
        <v/>
      </c>
      <c r="C118">
        <f>B118+1</f>
        <v/>
      </c>
      <c r="D118">
        <f>IF(B118&lt;=0.03,$K$4*B118/0.03,IF(B118&lt;=0.07,$K$4-($K$4-$K$5)*(B118-0.03)/0.04,IF(B118&lt;=0.07+$K$6,$K$5+$K$7*(B118-0.07),IF(B118&lt;$K$10,$K$8*EXP(-(B118-0.07-$K$6)/0.35)*SIN(2*PI()*4*(B118-0.07-$K$6)),-2.5*EXP(-(B118-$K$10)/0.25)*SIN(2*PI()*6*(B118-$K$10))))))</f>
        <v/>
      </c>
    </row>
    <row r="119">
      <c r="A119" t="n">
        <v>104</v>
      </c>
      <c r="B119">
        <f>$K$11+(104-100)*($K$10-$K$11)/30</f>
        <v/>
      </c>
      <c r="C119">
        <f>B119+1</f>
        <v/>
      </c>
      <c r="D119">
        <f>IF(B119&lt;=0.03,$K$4*B119/0.03,IF(B119&lt;=0.07,$K$4-($K$4-$K$5)*(B119-0.03)/0.04,IF(B119&lt;=0.07+$K$6,$K$5+$K$7*(B119-0.07),IF(B119&lt;$K$10,$K$8*EXP(-(B119-0.07-$K$6)/0.35)*SIN(2*PI()*4*(B119-0.07-$K$6)),-2.5*EXP(-(B119-$K$10)/0.25)*SIN(2*PI()*6*(B119-$K$10))))))</f>
        <v/>
      </c>
    </row>
    <row r="120">
      <c r="A120" t="n">
        <v>105</v>
      </c>
      <c r="B120">
        <f>$K$11+(105-100)*($K$10-$K$11)/30</f>
        <v/>
      </c>
      <c r="C120">
        <f>B120+1</f>
        <v/>
      </c>
      <c r="D120">
        <f>IF(B120&lt;=0.03,$K$4*B120/0.03,IF(B120&lt;=0.07,$K$4-($K$4-$K$5)*(B120-0.03)/0.04,IF(B120&lt;=0.07+$K$6,$K$5+$K$7*(B120-0.07),IF(B120&lt;$K$10,$K$8*EXP(-(B120-0.07-$K$6)/0.35)*SIN(2*PI()*4*(B120-0.07-$K$6)),-2.5*EXP(-(B120-$K$10)/0.25)*SIN(2*PI()*6*(B120-$K$10))))))</f>
        <v/>
      </c>
    </row>
    <row r="121">
      <c r="A121" t="n">
        <v>106</v>
      </c>
      <c r="B121">
        <f>$K$11+(106-100)*($K$10-$K$11)/30</f>
        <v/>
      </c>
      <c r="C121">
        <f>B121+1</f>
        <v/>
      </c>
      <c r="D121">
        <f>IF(B121&lt;=0.03,$K$4*B121/0.03,IF(B121&lt;=0.07,$K$4-($K$4-$K$5)*(B121-0.03)/0.04,IF(B121&lt;=0.07+$K$6,$K$5+$K$7*(B121-0.07),IF(B121&lt;$K$10,$K$8*EXP(-(B121-0.07-$K$6)/0.35)*SIN(2*PI()*4*(B121-0.07-$K$6)),-2.5*EXP(-(B121-$K$10)/0.25)*SIN(2*PI()*6*(B121-$K$10))))))</f>
        <v/>
      </c>
    </row>
    <row r="122">
      <c r="A122" t="n">
        <v>107</v>
      </c>
      <c r="B122">
        <f>$K$11+(107-100)*($K$10-$K$11)/30</f>
        <v/>
      </c>
      <c r="C122">
        <f>B122+1</f>
        <v/>
      </c>
      <c r="D122">
        <f>IF(B122&lt;=0.03,$K$4*B122/0.03,IF(B122&lt;=0.07,$K$4-($K$4-$K$5)*(B122-0.03)/0.04,IF(B122&lt;=0.07+$K$6,$K$5+$K$7*(B122-0.07),IF(B122&lt;$K$10,$K$8*EXP(-(B122-0.07-$K$6)/0.35)*SIN(2*PI()*4*(B122-0.07-$K$6)),-2.5*EXP(-(B122-$K$10)/0.25)*SIN(2*PI()*6*(B122-$K$10))))))</f>
        <v/>
      </c>
    </row>
    <row r="123">
      <c r="A123" t="n">
        <v>108</v>
      </c>
      <c r="B123">
        <f>$K$11+(108-100)*($K$10-$K$11)/30</f>
        <v/>
      </c>
      <c r="C123">
        <f>B123+1</f>
        <v/>
      </c>
      <c r="D123">
        <f>IF(B123&lt;=0.03,$K$4*B123/0.03,IF(B123&lt;=0.07,$K$4-($K$4-$K$5)*(B123-0.03)/0.04,IF(B123&lt;=0.07+$K$6,$K$5+$K$7*(B123-0.07),IF(B123&lt;$K$10,$K$8*EXP(-(B123-0.07-$K$6)/0.35)*SIN(2*PI()*4*(B123-0.07-$K$6)),-2.5*EXP(-(B123-$K$10)/0.25)*SIN(2*PI()*6*(B123-$K$10))))))</f>
        <v/>
      </c>
    </row>
    <row r="124">
      <c r="A124" t="n">
        <v>109</v>
      </c>
      <c r="B124">
        <f>$K$11+(109-100)*($K$10-$K$11)/30</f>
        <v/>
      </c>
      <c r="C124">
        <f>B124+1</f>
        <v/>
      </c>
      <c r="D124">
        <f>IF(B124&lt;=0.03,$K$4*B124/0.03,IF(B124&lt;=0.07,$K$4-($K$4-$K$5)*(B124-0.03)/0.04,IF(B124&lt;=0.07+$K$6,$K$5+$K$7*(B124-0.07),IF(B124&lt;$K$10,$K$8*EXP(-(B124-0.07-$K$6)/0.35)*SIN(2*PI()*4*(B124-0.07-$K$6)),-2.5*EXP(-(B124-$K$10)/0.25)*SIN(2*PI()*6*(B124-$K$10))))))</f>
        <v/>
      </c>
    </row>
    <row r="125">
      <c r="A125" t="n">
        <v>110</v>
      </c>
      <c r="B125">
        <f>$K$11+(110-100)*($K$10-$K$11)/30</f>
        <v/>
      </c>
      <c r="C125">
        <f>B125+1</f>
        <v/>
      </c>
      <c r="D125">
        <f>IF(B125&lt;=0.03,$K$4*B125/0.03,IF(B125&lt;=0.07,$K$4-($K$4-$K$5)*(B125-0.03)/0.04,IF(B125&lt;=0.07+$K$6,$K$5+$K$7*(B125-0.07),IF(B125&lt;$K$10,$K$8*EXP(-(B125-0.07-$K$6)/0.35)*SIN(2*PI()*4*(B125-0.07-$K$6)),-2.5*EXP(-(B125-$K$10)/0.25)*SIN(2*PI()*6*(B125-$K$10))))))</f>
        <v/>
      </c>
    </row>
    <row r="126">
      <c r="A126" t="n">
        <v>111</v>
      </c>
      <c r="B126">
        <f>$K$11+(111-100)*($K$10-$K$11)/30</f>
        <v/>
      </c>
      <c r="C126">
        <f>B126+1</f>
        <v/>
      </c>
      <c r="D126">
        <f>IF(B126&lt;=0.03,$K$4*B126/0.03,IF(B126&lt;=0.07,$K$4-($K$4-$K$5)*(B126-0.03)/0.04,IF(B126&lt;=0.07+$K$6,$K$5+$K$7*(B126-0.07),IF(B126&lt;$K$10,$K$8*EXP(-(B126-0.07-$K$6)/0.35)*SIN(2*PI()*4*(B126-0.07-$K$6)),-2.5*EXP(-(B126-$K$10)/0.25)*SIN(2*PI()*6*(B126-$K$10))))))</f>
        <v/>
      </c>
    </row>
    <row r="127">
      <c r="A127" t="n">
        <v>112</v>
      </c>
      <c r="B127">
        <f>$K$11+(112-100)*($K$10-$K$11)/30</f>
        <v/>
      </c>
      <c r="C127">
        <f>B127+1</f>
        <v/>
      </c>
      <c r="D127">
        <f>IF(B127&lt;=0.03,$K$4*B127/0.03,IF(B127&lt;=0.07,$K$4-($K$4-$K$5)*(B127-0.03)/0.04,IF(B127&lt;=0.07+$K$6,$K$5+$K$7*(B127-0.07),IF(B127&lt;$K$10,$K$8*EXP(-(B127-0.07-$K$6)/0.35)*SIN(2*PI()*4*(B127-0.07-$K$6)),-2.5*EXP(-(B127-$K$10)/0.25)*SIN(2*PI()*6*(B127-$K$10))))))</f>
        <v/>
      </c>
    </row>
    <row r="128">
      <c r="A128" t="n">
        <v>113</v>
      </c>
      <c r="B128">
        <f>$K$11+(113-100)*($K$10-$K$11)/30</f>
        <v/>
      </c>
      <c r="C128">
        <f>B128+1</f>
        <v/>
      </c>
      <c r="D128">
        <f>IF(B128&lt;=0.03,$K$4*B128/0.03,IF(B128&lt;=0.07,$K$4-($K$4-$K$5)*(B128-0.03)/0.04,IF(B128&lt;=0.07+$K$6,$K$5+$K$7*(B128-0.07),IF(B128&lt;$K$10,$K$8*EXP(-(B128-0.07-$K$6)/0.35)*SIN(2*PI()*4*(B128-0.07-$K$6)),-2.5*EXP(-(B128-$K$10)/0.25)*SIN(2*PI()*6*(B128-$K$10))))))</f>
        <v/>
      </c>
    </row>
    <row r="129">
      <c r="A129" t="n">
        <v>114</v>
      </c>
      <c r="B129">
        <f>$K$11+(114-100)*($K$10-$K$11)/30</f>
        <v/>
      </c>
      <c r="C129">
        <f>B129+1</f>
        <v/>
      </c>
      <c r="D129">
        <f>IF(B129&lt;=0.03,$K$4*B129/0.03,IF(B129&lt;=0.07,$K$4-($K$4-$K$5)*(B129-0.03)/0.04,IF(B129&lt;=0.07+$K$6,$K$5+$K$7*(B129-0.07),IF(B129&lt;$K$10,$K$8*EXP(-(B129-0.07-$K$6)/0.35)*SIN(2*PI()*4*(B129-0.07-$K$6)),-2.5*EXP(-(B129-$K$10)/0.25)*SIN(2*PI()*6*(B129-$K$10))))))</f>
        <v/>
      </c>
    </row>
    <row r="130">
      <c r="A130" t="n">
        <v>115</v>
      </c>
      <c r="B130">
        <f>$K$11+(115-100)*($K$10-$K$11)/30</f>
        <v/>
      </c>
      <c r="C130">
        <f>B130+1</f>
        <v/>
      </c>
      <c r="D130">
        <f>IF(B130&lt;=0.03,$K$4*B130/0.03,IF(B130&lt;=0.07,$K$4-($K$4-$K$5)*(B130-0.03)/0.04,IF(B130&lt;=0.07+$K$6,$K$5+$K$7*(B130-0.07),IF(B130&lt;$K$10,$K$8*EXP(-(B130-0.07-$K$6)/0.35)*SIN(2*PI()*4*(B130-0.07-$K$6)),-2.5*EXP(-(B130-$K$10)/0.25)*SIN(2*PI()*6*(B130-$K$10))))))</f>
        <v/>
      </c>
    </row>
    <row r="131">
      <c r="A131" t="n">
        <v>116</v>
      </c>
      <c r="B131">
        <f>$K$11+(116-100)*($K$10-$K$11)/30</f>
        <v/>
      </c>
      <c r="C131">
        <f>B131+1</f>
        <v/>
      </c>
      <c r="D131">
        <f>IF(B131&lt;=0.03,$K$4*B131/0.03,IF(B131&lt;=0.07,$K$4-($K$4-$K$5)*(B131-0.03)/0.04,IF(B131&lt;=0.07+$K$6,$K$5+$K$7*(B131-0.07),IF(B131&lt;$K$10,$K$8*EXP(-(B131-0.07-$K$6)/0.35)*SIN(2*PI()*4*(B131-0.07-$K$6)),-2.5*EXP(-(B131-$K$10)/0.25)*SIN(2*PI()*6*(B131-$K$10))))))</f>
        <v/>
      </c>
    </row>
    <row r="132">
      <c r="A132" t="n">
        <v>117</v>
      </c>
      <c r="B132">
        <f>$K$11+(117-100)*($K$10-$K$11)/30</f>
        <v/>
      </c>
      <c r="C132">
        <f>B132+1</f>
        <v/>
      </c>
      <c r="D132">
        <f>IF(B132&lt;=0.03,$K$4*B132/0.03,IF(B132&lt;=0.07,$K$4-($K$4-$K$5)*(B132-0.03)/0.04,IF(B132&lt;=0.07+$K$6,$K$5+$K$7*(B132-0.07),IF(B132&lt;$K$10,$K$8*EXP(-(B132-0.07-$K$6)/0.35)*SIN(2*PI()*4*(B132-0.07-$K$6)),-2.5*EXP(-(B132-$K$10)/0.25)*SIN(2*PI()*6*(B132-$K$10))))))</f>
        <v/>
      </c>
    </row>
    <row r="133">
      <c r="A133" t="n">
        <v>118</v>
      </c>
      <c r="B133">
        <f>$K$11+(118-100)*($K$10-$K$11)/30</f>
        <v/>
      </c>
      <c r="C133">
        <f>B133+1</f>
        <v/>
      </c>
      <c r="D133">
        <f>IF(B133&lt;=0.03,$K$4*B133/0.03,IF(B133&lt;=0.07,$K$4-($K$4-$K$5)*(B133-0.03)/0.04,IF(B133&lt;=0.07+$K$6,$K$5+$K$7*(B133-0.07),IF(B133&lt;$K$10,$K$8*EXP(-(B133-0.07-$K$6)/0.35)*SIN(2*PI()*4*(B133-0.07-$K$6)),-2.5*EXP(-(B133-$K$10)/0.25)*SIN(2*PI()*6*(B133-$K$10))))))</f>
        <v/>
      </c>
    </row>
    <row r="134">
      <c r="A134" t="n">
        <v>119</v>
      </c>
      <c r="B134">
        <f>$K$11+(119-100)*($K$10-$K$11)/30</f>
        <v/>
      </c>
      <c r="C134">
        <f>B134+1</f>
        <v/>
      </c>
      <c r="D134">
        <f>IF(B134&lt;=0.03,$K$4*B134/0.03,IF(B134&lt;=0.07,$K$4-($K$4-$K$5)*(B134-0.03)/0.04,IF(B134&lt;=0.07+$K$6,$K$5+$K$7*(B134-0.07),IF(B134&lt;$K$10,$K$8*EXP(-(B134-0.07-$K$6)/0.35)*SIN(2*PI()*4*(B134-0.07-$K$6)),-2.5*EXP(-(B134-$K$10)/0.25)*SIN(2*PI()*6*(B134-$K$10))))))</f>
        <v/>
      </c>
    </row>
    <row r="135">
      <c r="A135" t="n">
        <v>120</v>
      </c>
      <c r="B135">
        <f>$K$11+(120-100)*($K$10-$K$11)/30</f>
        <v/>
      </c>
      <c r="C135">
        <f>B135+1</f>
        <v/>
      </c>
      <c r="D135">
        <f>IF(B135&lt;=0.03,$K$4*B135/0.03,IF(B135&lt;=0.07,$K$4-($K$4-$K$5)*(B135-0.03)/0.04,IF(B135&lt;=0.07+$K$6,$K$5+$K$7*(B135-0.07),IF(B135&lt;$K$10,$K$8*EXP(-(B135-0.07-$K$6)/0.35)*SIN(2*PI()*4*(B135-0.07-$K$6)),-2.5*EXP(-(B135-$K$10)/0.25)*SIN(2*PI()*6*(B135-$K$10))))))</f>
        <v/>
      </c>
    </row>
    <row r="136">
      <c r="A136" t="n">
        <v>121</v>
      </c>
      <c r="B136">
        <f>$K$11+(121-100)*($K$10-$K$11)/30</f>
        <v/>
      </c>
      <c r="C136">
        <f>B136+1</f>
        <v/>
      </c>
      <c r="D136">
        <f>IF(B136&lt;=0.03,$K$4*B136/0.03,IF(B136&lt;=0.07,$K$4-($K$4-$K$5)*(B136-0.03)/0.04,IF(B136&lt;=0.07+$K$6,$K$5+$K$7*(B136-0.07),IF(B136&lt;$K$10,$K$8*EXP(-(B136-0.07-$K$6)/0.35)*SIN(2*PI()*4*(B136-0.07-$K$6)),-2.5*EXP(-(B136-$K$10)/0.25)*SIN(2*PI()*6*(B136-$K$10))))))</f>
        <v/>
      </c>
    </row>
    <row r="137">
      <c r="A137" t="n">
        <v>122</v>
      </c>
      <c r="B137">
        <f>$K$11+(122-100)*($K$10-$K$11)/30</f>
        <v/>
      </c>
      <c r="C137">
        <f>B137+1</f>
        <v/>
      </c>
      <c r="D137">
        <f>IF(B137&lt;=0.03,$K$4*B137/0.03,IF(B137&lt;=0.07,$K$4-($K$4-$K$5)*(B137-0.03)/0.04,IF(B137&lt;=0.07+$K$6,$K$5+$K$7*(B137-0.07),IF(B137&lt;$K$10,$K$8*EXP(-(B137-0.07-$K$6)/0.35)*SIN(2*PI()*4*(B137-0.07-$K$6)),-2.5*EXP(-(B137-$K$10)/0.25)*SIN(2*PI()*6*(B137-$K$10))))))</f>
        <v/>
      </c>
    </row>
    <row r="138">
      <c r="A138" t="n">
        <v>123</v>
      </c>
      <c r="B138">
        <f>$K$11+(123-100)*($K$10-$K$11)/30</f>
        <v/>
      </c>
      <c r="C138">
        <f>B138+1</f>
        <v/>
      </c>
      <c r="D138">
        <f>IF(B138&lt;=0.03,$K$4*B138/0.03,IF(B138&lt;=0.07,$K$4-($K$4-$K$5)*(B138-0.03)/0.04,IF(B138&lt;=0.07+$K$6,$K$5+$K$7*(B138-0.07),IF(B138&lt;$K$10,$K$8*EXP(-(B138-0.07-$K$6)/0.35)*SIN(2*PI()*4*(B138-0.07-$K$6)),-2.5*EXP(-(B138-$K$10)/0.25)*SIN(2*PI()*6*(B138-$K$10))))))</f>
        <v/>
      </c>
    </row>
    <row r="139">
      <c r="A139" t="n">
        <v>124</v>
      </c>
      <c r="B139">
        <f>$K$11+(124-100)*($K$10-$K$11)/30</f>
        <v/>
      </c>
      <c r="C139">
        <f>B139+1</f>
        <v/>
      </c>
      <c r="D139">
        <f>IF(B139&lt;=0.03,$K$4*B139/0.03,IF(B139&lt;=0.07,$K$4-($K$4-$K$5)*(B139-0.03)/0.04,IF(B139&lt;=0.07+$K$6,$K$5+$K$7*(B139-0.07),IF(B139&lt;$K$10,$K$8*EXP(-(B139-0.07-$K$6)/0.35)*SIN(2*PI()*4*(B139-0.07-$K$6)),-2.5*EXP(-(B139-$K$10)/0.25)*SIN(2*PI()*6*(B139-$K$10))))))</f>
        <v/>
      </c>
    </row>
    <row r="140">
      <c r="A140" t="n">
        <v>125</v>
      </c>
      <c r="B140">
        <f>$K$11+(125-100)*($K$10-$K$11)/30</f>
        <v/>
      </c>
      <c r="C140">
        <f>B140+1</f>
        <v/>
      </c>
      <c r="D140">
        <f>IF(B140&lt;=0.03,$K$4*B140/0.03,IF(B140&lt;=0.07,$K$4-($K$4-$K$5)*(B140-0.03)/0.04,IF(B140&lt;=0.07+$K$6,$K$5+$K$7*(B140-0.07),IF(B140&lt;$K$10,$K$8*EXP(-(B140-0.07-$K$6)/0.35)*SIN(2*PI()*4*(B140-0.07-$K$6)),-2.5*EXP(-(B140-$K$10)/0.25)*SIN(2*PI()*6*(B140-$K$10))))))</f>
        <v/>
      </c>
    </row>
    <row r="141">
      <c r="A141" t="n">
        <v>126</v>
      </c>
      <c r="B141">
        <f>$K$11+(126-100)*($K$10-$K$11)/30</f>
        <v/>
      </c>
      <c r="C141">
        <f>B141+1</f>
        <v/>
      </c>
      <c r="D141">
        <f>IF(B141&lt;=0.03,$K$4*B141/0.03,IF(B141&lt;=0.07,$K$4-($K$4-$K$5)*(B141-0.03)/0.04,IF(B141&lt;=0.07+$K$6,$K$5+$K$7*(B141-0.07),IF(B141&lt;$K$10,$K$8*EXP(-(B141-0.07-$K$6)/0.35)*SIN(2*PI()*4*(B141-0.07-$K$6)),-2.5*EXP(-(B141-$K$10)/0.25)*SIN(2*PI()*6*(B141-$K$10))))))</f>
        <v/>
      </c>
    </row>
    <row r="142">
      <c r="A142" t="n">
        <v>127</v>
      </c>
      <c r="B142">
        <f>$K$11+(127-100)*($K$10-$K$11)/30</f>
        <v/>
      </c>
      <c r="C142">
        <f>B142+1</f>
        <v/>
      </c>
      <c r="D142">
        <f>IF(B142&lt;=0.03,$K$4*B142/0.03,IF(B142&lt;=0.07,$K$4-($K$4-$K$5)*(B142-0.03)/0.04,IF(B142&lt;=0.07+$K$6,$K$5+$K$7*(B142-0.07),IF(B142&lt;$K$10,$K$8*EXP(-(B142-0.07-$K$6)/0.35)*SIN(2*PI()*4*(B142-0.07-$K$6)),-2.5*EXP(-(B142-$K$10)/0.25)*SIN(2*PI()*6*(B142-$K$10))))))</f>
        <v/>
      </c>
    </row>
    <row r="143">
      <c r="A143" t="n">
        <v>128</v>
      </c>
      <c r="B143">
        <f>$K$11+(128-100)*($K$10-$K$11)/30</f>
        <v/>
      </c>
      <c r="C143">
        <f>B143+1</f>
        <v/>
      </c>
      <c r="D143">
        <f>IF(B143&lt;=0.03,$K$4*B143/0.03,IF(B143&lt;=0.07,$K$4-($K$4-$K$5)*(B143-0.03)/0.04,IF(B143&lt;=0.07+$K$6,$K$5+$K$7*(B143-0.07),IF(B143&lt;$K$10,$K$8*EXP(-(B143-0.07-$K$6)/0.35)*SIN(2*PI()*4*(B143-0.07-$K$6)),-2.5*EXP(-(B143-$K$10)/0.25)*SIN(2*PI()*6*(B143-$K$10))))))</f>
        <v/>
      </c>
    </row>
    <row r="144">
      <c r="A144" t="n">
        <v>129</v>
      </c>
      <c r="B144">
        <f>$K$11+(129-100)*($K$10-$K$11)/30</f>
        <v/>
      </c>
      <c r="C144">
        <f>B144+1</f>
        <v/>
      </c>
      <c r="D144">
        <f>IF(B144&lt;=0.03,$K$4*B144/0.03,IF(B144&lt;=0.07,$K$4-($K$4-$K$5)*(B144-0.03)/0.04,IF(B144&lt;=0.07+$K$6,$K$5+$K$7*(B144-0.07),IF(B144&lt;$K$10,$K$8*EXP(-(B144-0.07-$K$6)/0.35)*SIN(2*PI()*4*(B144-0.07-$K$6)),-2.5*EXP(-(B144-$K$10)/0.25)*SIN(2*PI()*6*(B144-$K$10))))))</f>
        <v/>
      </c>
    </row>
    <row r="145">
      <c r="A145" t="n">
        <v>130</v>
      </c>
      <c r="B145">
        <f>$K$10+(130-130)*MIN(1,($K$9-$K$10)/2)/20</f>
        <v/>
      </c>
      <c r="C145">
        <f>B145+1</f>
        <v/>
      </c>
      <c r="D145">
        <f>IF(B145&lt;=0.03,$K$4*B145/0.03,IF(B145&lt;=0.07,$K$4-($K$4-$K$5)*(B145-0.03)/0.04,IF(B145&lt;=0.07+$K$6,$K$5+$K$7*(B145-0.07),IF(B145&lt;$K$10,$K$8*EXP(-(B145-0.07-$K$6)/0.35)*SIN(2*PI()*4*(B145-0.07-$K$6)),-2.5*EXP(-(B145-$K$10)/0.25)*SIN(2*PI()*6*(B145-$K$10))))))</f>
        <v/>
      </c>
    </row>
    <row r="146">
      <c r="A146" t="n">
        <v>131</v>
      </c>
      <c r="B146">
        <f>$K$10+(131-130)*MIN(1,($K$9-$K$10)/2)/20</f>
        <v/>
      </c>
      <c r="C146">
        <f>B146+1</f>
        <v/>
      </c>
      <c r="D146">
        <f>IF(B146&lt;=0.03,$K$4*B146/0.03,IF(B146&lt;=0.07,$K$4-($K$4-$K$5)*(B146-0.03)/0.04,IF(B146&lt;=0.07+$K$6,$K$5+$K$7*(B146-0.07),IF(B146&lt;$K$10,$K$8*EXP(-(B146-0.07-$K$6)/0.35)*SIN(2*PI()*4*(B146-0.07-$K$6)),-2.5*EXP(-(B146-$K$10)/0.25)*SIN(2*PI()*6*(B146-$K$10))))))</f>
        <v/>
      </c>
    </row>
    <row r="147">
      <c r="A147" t="n">
        <v>132</v>
      </c>
      <c r="B147">
        <f>$K$10+(132-130)*MIN(1,($K$9-$K$10)/2)/20</f>
        <v/>
      </c>
      <c r="C147">
        <f>B147+1</f>
        <v/>
      </c>
      <c r="D147">
        <f>IF(B147&lt;=0.03,$K$4*B147/0.03,IF(B147&lt;=0.07,$K$4-($K$4-$K$5)*(B147-0.03)/0.04,IF(B147&lt;=0.07+$K$6,$K$5+$K$7*(B147-0.07),IF(B147&lt;$K$10,$K$8*EXP(-(B147-0.07-$K$6)/0.35)*SIN(2*PI()*4*(B147-0.07-$K$6)),-2.5*EXP(-(B147-$K$10)/0.25)*SIN(2*PI()*6*(B147-$K$10))))))</f>
        <v/>
      </c>
    </row>
    <row r="148">
      <c r="A148" t="n">
        <v>133</v>
      </c>
      <c r="B148">
        <f>$K$10+(133-130)*MIN(1,($K$9-$K$10)/2)/20</f>
        <v/>
      </c>
      <c r="C148">
        <f>B148+1</f>
        <v/>
      </c>
      <c r="D148">
        <f>IF(B148&lt;=0.03,$K$4*B148/0.03,IF(B148&lt;=0.07,$K$4-($K$4-$K$5)*(B148-0.03)/0.04,IF(B148&lt;=0.07+$K$6,$K$5+$K$7*(B148-0.07),IF(B148&lt;$K$10,$K$8*EXP(-(B148-0.07-$K$6)/0.35)*SIN(2*PI()*4*(B148-0.07-$K$6)),-2.5*EXP(-(B148-$K$10)/0.25)*SIN(2*PI()*6*(B148-$K$10))))))</f>
        <v/>
      </c>
    </row>
    <row r="149">
      <c r="A149" t="n">
        <v>134</v>
      </c>
      <c r="B149">
        <f>$K$10+(134-130)*MIN(1,($K$9-$K$10)/2)/20</f>
        <v/>
      </c>
      <c r="C149">
        <f>B149+1</f>
        <v/>
      </c>
      <c r="D149">
        <f>IF(B149&lt;=0.03,$K$4*B149/0.03,IF(B149&lt;=0.07,$K$4-($K$4-$K$5)*(B149-0.03)/0.04,IF(B149&lt;=0.07+$K$6,$K$5+$K$7*(B149-0.07),IF(B149&lt;$K$10,$K$8*EXP(-(B149-0.07-$K$6)/0.35)*SIN(2*PI()*4*(B149-0.07-$K$6)),-2.5*EXP(-(B149-$K$10)/0.25)*SIN(2*PI()*6*(B149-$K$10))))))</f>
        <v/>
      </c>
    </row>
    <row r="150">
      <c r="A150" t="n">
        <v>135</v>
      </c>
      <c r="B150">
        <f>$K$10+(135-130)*MIN(1,($K$9-$K$10)/2)/20</f>
        <v/>
      </c>
      <c r="C150">
        <f>B150+1</f>
        <v/>
      </c>
      <c r="D150">
        <f>IF(B150&lt;=0.03,$K$4*B150/0.03,IF(B150&lt;=0.07,$K$4-($K$4-$K$5)*(B150-0.03)/0.04,IF(B150&lt;=0.07+$K$6,$K$5+$K$7*(B150-0.07),IF(B150&lt;$K$10,$K$8*EXP(-(B150-0.07-$K$6)/0.35)*SIN(2*PI()*4*(B150-0.07-$K$6)),-2.5*EXP(-(B150-$K$10)/0.25)*SIN(2*PI()*6*(B150-$K$10))))))</f>
        <v/>
      </c>
    </row>
    <row r="151">
      <c r="A151" t="n">
        <v>136</v>
      </c>
      <c r="B151">
        <f>$K$10+(136-130)*MIN(1,($K$9-$K$10)/2)/20</f>
        <v/>
      </c>
      <c r="C151">
        <f>B151+1</f>
        <v/>
      </c>
      <c r="D151">
        <f>IF(B151&lt;=0.03,$K$4*B151/0.03,IF(B151&lt;=0.07,$K$4-($K$4-$K$5)*(B151-0.03)/0.04,IF(B151&lt;=0.07+$K$6,$K$5+$K$7*(B151-0.07),IF(B151&lt;$K$10,$K$8*EXP(-(B151-0.07-$K$6)/0.35)*SIN(2*PI()*4*(B151-0.07-$K$6)),-2.5*EXP(-(B151-$K$10)/0.25)*SIN(2*PI()*6*(B151-$K$10))))))</f>
        <v/>
      </c>
    </row>
    <row r="152">
      <c r="A152" t="n">
        <v>137</v>
      </c>
      <c r="B152">
        <f>$K$10+(137-130)*MIN(1,($K$9-$K$10)/2)/20</f>
        <v/>
      </c>
      <c r="C152">
        <f>B152+1</f>
        <v/>
      </c>
      <c r="D152">
        <f>IF(B152&lt;=0.03,$K$4*B152/0.03,IF(B152&lt;=0.07,$K$4-($K$4-$K$5)*(B152-0.03)/0.04,IF(B152&lt;=0.07+$K$6,$K$5+$K$7*(B152-0.07),IF(B152&lt;$K$10,$K$8*EXP(-(B152-0.07-$K$6)/0.35)*SIN(2*PI()*4*(B152-0.07-$K$6)),-2.5*EXP(-(B152-$K$10)/0.25)*SIN(2*PI()*6*(B152-$K$10))))))</f>
        <v/>
      </c>
    </row>
    <row r="153">
      <c r="A153" t="n">
        <v>138</v>
      </c>
      <c r="B153">
        <f>$K$10+(138-130)*MIN(1,($K$9-$K$10)/2)/20</f>
        <v/>
      </c>
      <c r="C153">
        <f>B153+1</f>
        <v/>
      </c>
      <c r="D153">
        <f>IF(B153&lt;=0.03,$K$4*B153/0.03,IF(B153&lt;=0.07,$K$4-($K$4-$K$5)*(B153-0.03)/0.04,IF(B153&lt;=0.07+$K$6,$K$5+$K$7*(B153-0.07),IF(B153&lt;$K$10,$K$8*EXP(-(B153-0.07-$K$6)/0.35)*SIN(2*PI()*4*(B153-0.07-$K$6)),-2.5*EXP(-(B153-$K$10)/0.25)*SIN(2*PI()*6*(B153-$K$10))))))</f>
        <v/>
      </c>
    </row>
    <row r="154">
      <c r="A154" t="n">
        <v>139</v>
      </c>
      <c r="B154">
        <f>$K$10+(139-130)*MIN(1,($K$9-$K$10)/2)/20</f>
        <v/>
      </c>
      <c r="C154">
        <f>B154+1</f>
        <v/>
      </c>
      <c r="D154">
        <f>IF(B154&lt;=0.03,$K$4*B154/0.03,IF(B154&lt;=0.07,$K$4-($K$4-$K$5)*(B154-0.03)/0.04,IF(B154&lt;=0.07+$K$6,$K$5+$K$7*(B154-0.07),IF(B154&lt;$K$10,$K$8*EXP(-(B154-0.07-$K$6)/0.35)*SIN(2*PI()*4*(B154-0.07-$K$6)),-2.5*EXP(-(B154-$K$10)/0.25)*SIN(2*PI()*6*(B154-$K$10))))))</f>
        <v/>
      </c>
    </row>
    <row r="155">
      <c r="A155" t="n">
        <v>140</v>
      </c>
      <c r="B155">
        <f>$K$10+(140-130)*MIN(1,($K$9-$K$10)/2)/20</f>
        <v/>
      </c>
      <c r="C155">
        <f>B155+1</f>
        <v/>
      </c>
      <c r="D155">
        <f>IF(B155&lt;=0.03,$K$4*B155/0.03,IF(B155&lt;=0.07,$K$4-($K$4-$K$5)*(B155-0.03)/0.04,IF(B155&lt;=0.07+$K$6,$K$5+$K$7*(B155-0.07),IF(B155&lt;$K$10,$K$8*EXP(-(B155-0.07-$K$6)/0.35)*SIN(2*PI()*4*(B155-0.07-$K$6)),-2.5*EXP(-(B155-$K$10)/0.25)*SIN(2*PI()*6*(B155-$K$10))))))</f>
        <v/>
      </c>
    </row>
    <row r="156">
      <c r="A156" t="n">
        <v>141</v>
      </c>
      <c r="B156">
        <f>$K$10+(141-130)*MIN(1,($K$9-$K$10)/2)/20</f>
        <v/>
      </c>
      <c r="C156">
        <f>B156+1</f>
        <v/>
      </c>
      <c r="D156">
        <f>IF(B156&lt;=0.03,$K$4*B156/0.03,IF(B156&lt;=0.07,$K$4-($K$4-$K$5)*(B156-0.03)/0.04,IF(B156&lt;=0.07+$K$6,$K$5+$K$7*(B156-0.07),IF(B156&lt;$K$10,$K$8*EXP(-(B156-0.07-$K$6)/0.35)*SIN(2*PI()*4*(B156-0.07-$K$6)),-2.5*EXP(-(B156-$K$10)/0.25)*SIN(2*PI()*6*(B156-$K$10))))))</f>
        <v/>
      </c>
    </row>
    <row r="157">
      <c r="A157" t="n">
        <v>142</v>
      </c>
      <c r="B157">
        <f>$K$10+(142-130)*MIN(1,($K$9-$K$10)/2)/20</f>
        <v/>
      </c>
      <c r="C157">
        <f>B157+1</f>
        <v/>
      </c>
      <c r="D157">
        <f>IF(B157&lt;=0.03,$K$4*B157/0.03,IF(B157&lt;=0.07,$K$4-($K$4-$K$5)*(B157-0.03)/0.04,IF(B157&lt;=0.07+$K$6,$K$5+$K$7*(B157-0.07),IF(B157&lt;$K$10,$K$8*EXP(-(B157-0.07-$K$6)/0.35)*SIN(2*PI()*4*(B157-0.07-$K$6)),-2.5*EXP(-(B157-$K$10)/0.25)*SIN(2*PI()*6*(B157-$K$10))))))</f>
        <v/>
      </c>
    </row>
    <row r="158">
      <c r="A158" t="n">
        <v>143</v>
      </c>
      <c r="B158">
        <f>$K$10+(143-130)*MIN(1,($K$9-$K$10)/2)/20</f>
        <v/>
      </c>
      <c r="C158">
        <f>B158+1</f>
        <v/>
      </c>
      <c r="D158">
        <f>IF(B158&lt;=0.03,$K$4*B158/0.03,IF(B158&lt;=0.07,$K$4-($K$4-$K$5)*(B158-0.03)/0.04,IF(B158&lt;=0.07+$K$6,$K$5+$K$7*(B158-0.07),IF(B158&lt;$K$10,$K$8*EXP(-(B158-0.07-$K$6)/0.35)*SIN(2*PI()*4*(B158-0.07-$K$6)),-2.5*EXP(-(B158-$K$10)/0.25)*SIN(2*PI()*6*(B158-$K$10))))))</f>
        <v/>
      </c>
    </row>
    <row r="159">
      <c r="A159" t="n">
        <v>144</v>
      </c>
      <c r="B159">
        <f>$K$10+(144-130)*MIN(1,($K$9-$K$10)/2)/20</f>
        <v/>
      </c>
      <c r="C159">
        <f>B159+1</f>
        <v/>
      </c>
      <c r="D159">
        <f>IF(B159&lt;=0.03,$K$4*B159/0.03,IF(B159&lt;=0.07,$K$4-($K$4-$K$5)*(B159-0.03)/0.04,IF(B159&lt;=0.07+$K$6,$K$5+$K$7*(B159-0.07),IF(B159&lt;$K$10,$K$8*EXP(-(B159-0.07-$K$6)/0.35)*SIN(2*PI()*4*(B159-0.07-$K$6)),-2.5*EXP(-(B159-$K$10)/0.25)*SIN(2*PI()*6*(B159-$K$10))))))</f>
        <v/>
      </c>
    </row>
    <row r="160">
      <c r="A160" t="n">
        <v>145</v>
      </c>
      <c r="B160">
        <f>$K$10+(145-130)*MIN(1,($K$9-$K$10)/2)/20</f>
        <v/>
      </c>
      <c r="C160">
        <f>B160+1</f>
        <v/>
      </c>
      <c r="D160">
        <f>IF(B160&lt;=0.03,$K$4*B160/0.03,IF(B160&lt;=0.07,$K$4-($K$4-$K$5)*(B160-0.03)/0.04,IF(B160&lt;=0.07+$K$6,$K$5+$K$7*(B160-0.07),IF(B160&lt;$K$10,$K$8*EXP(-(B160-0.07-$K$6)/0.35)*SIN(2*PI()*4*(B160-0.07-$K$6)),-2.5*EXP(-(B160-$K$10)/0.25)*SIN(2*PI()*6*(B160-$K$10))))))</f>
        <v/>
      </c>
    </row>
    <row r="161">
      <c r="A161" t="n">
        <v>146</v>
      </c>
      <c r="B161">
        <f>$K$10+(146-130)*MIN(1,($K$9-$K$10)/2)/20</f>
        <v/>
      </c>
      <c r="C161">
        <f>B161+1</f>
        <v/>
      </c>
      <c r="D161">
        <f>IF(B161&lt;=0.03,$K$4*B161/0.03,IF(B161&lt;=0.07,$K$4-($K$4-$K$5)*(B161-0.03)/0.04,IF(B161&lt;=0.07+$K$6,$K$5+$K$7*(B161-0.07),IF(B161&lt;$K$10,$K$8*EXP(-(B161-0.07-$K$6)/0.35)*SIN(2*PI()*4*(B161-0.07-$K$6)),-2.5*EXP(-(B161-$K$10)/0.25)*SIN(2*PI()*6*(B161-$K$10))))))</f>
        <v/>
      </c>
    </row>
    <row r="162">
      <c r="A162" t="n">
        <v>147</v>
      </c>
      <c r="B162">
        <f>$K$10+(147-130)*MIN(1,($K$9-$K$10)/2)/20</f>
        <v/>
      </c>
      <c r="C162">
        <f>B162+1</f>
        <v/>
      </c>
      <c r="D162">
        <f>IF(B162&lt;=0.03,$K$4*B162/0.03,IF(B162&lt;=0.07,$K$4-($K$4-$K$5)*(B162-0.03)/0.04,IF(B162&lt;=0.07+$K$6,$K$5+$K$7*(B162-0.07),IF(B162&lt;$K$10,$K$8*EXP(-(B162-0.07-$K$6)/0.35)*SIN(2*PI()*4*(B162-0.07-$K$6)),-2.5*EXP(-(B162-$K$10)/0.25)*SIN(2*PI()*6*(B162-$K$10))))))</f>
        <v/>
      </c>
    </row>
    <row r="163">
      <c r="A163" t="n">
        <v>148</v>
      </c>
      <c r="B163">
        <f>$K$10+(148-130)*MIN(1,($K$9-$K$10)/2)/20</f>
        <v/>
      </c>
      <c r="C163">
        <f>B163+1</f>
        <v/>
      </c>
      <c r="D163">
        <f>IF(B163&lt;=0.03,$K$4*B163/0.03,IF(B163&lt;=0.07,$K$4-($K$4-$K$5)*(B163-0.03)/0.04,IF(B163&lt;=0.07+$K$6,$K$5+$K$7*(B163-0.07),IF(B163&lt;$K$10,$K$8*EXP(-(B163-0.07-$K$6)/0.35)*SIN(2*PI()*4*(B163-0.07-$K$6)),-2.5*EXP(-(B163-$K$10)/0.25)*SIN(2*PI()*6*(B163-$K$10))))))</f>
        <v/>
      </c>
    </row>
    <row r="164">
      <c r="A164" t="n">
        <v>149</v>
      </c>
      <c r="B164">
        <f>$K$10+(149-130)*MIN(1,($K$9-$K$10)/2)/20</f>
        <v/>
      </c>
      <c r="C164">
        <f>B164+1</f>
        <v/>
      </c>
      <c r="D164">
        <f>IF(B164&lt;=0.03,$K$4*B164/0.03,IF(B164&lt;=0.07,$K$4-($K$4-$K$5)*(B164-0.03)/0.04,IF(B164&lt;=0.07+$K$6,$K$5+$K$7*(B164-0.07),IF(B164&lt;$K$10,$K$8*EXP(-(B164-0.07-$K$6)/0.35)*SIN(2*PI()*4*(B164-0.07-$K$6)),-2.5*EXP(-(B164-$K$10)/0.25)*SIN(2*PI()*6*(B164-$K$10))))))</f>
        <v/>
      </c>
    </row>
    <row r="165">
      <c r="A165" t="n">
        <v>150</v>
      </c>
      <c r="B165">
        <f>$K$10+MIN(1,($K$9-$K$10)/2)+(150-150)*($K$9-$K$10-MIN(1,($K$9-$K$10)/2))/9</f>
        <v/>
      </c>
      <c r="C165">
        <f>B165+1</f>
        <v/>
      </c>
      <c r="D165">
        <f>IF(B165&lt;=0.03,$K$4*B165/0.03,IF(B165&lt;=0.07,$K$4-($K$4-$K$5)*(B165-0.03)/0.04,IF(B165&lt;=0.07+$K$6,$K$5+$K$7*(B165-0.07),IF(B165&lt;$K$10,$K$8*EXP(-(B165-0.07-$K$6)/0.35)*SIN(2*PI()*4*(B165-0.07-$K$6)),-2.5*EXP(-(B165-$K$10)/0.25)*SIN(2*PI()*6*(B165-$K$10))))))</f>
        <v/>
      </c>
    </row>
    <row r="166">
      <c r="A166" t="n">
        <v>151</v>
      </c>
      <c r="B166">
        <f>$K$10+MIN(1,($K$9-$K$10)/2)+(151-150)*($K$9-$K$10-MIN(1,($K$9-$K$10)/2))/9</f>
        <v/>
      </c>
      <c r="C166">
        <f>B166+1</f>
        <v/>
      </c>
      <c r="D166">
        <f>IF(B166&lt;=0.03,$K$4*B166/0.03,IF(B166&lt;=0.07,$K$4-($K$4-$K$5)*(B166-0.03)/0.04,IF(B166&lt;=0.07+$K$6,$K$5+$K$7*(B166-0.07),IF(B166&lt;$K$10,$K$8*EXP(-(B166-0.07-$K$6)/0.35)*SIN(2*PI()*4*(B166-0.07-$K$6)),-2.5*EXP(-(B166-$K$10)/0.25)*SIN(2*PI()*6*(B166-$K$10))))))</f>
        <v/>
      </c>
    </row>
    <row r="167">
      <c r="A167" t="n">
        <v>152</v>
      </c>
      <c r="B167">
        <f>$K$10+MIN(1,($K$9-$K$10)/2)+(152-150)*($K$9-$K$10-MIN(1,($K$9-$K$10)/2))/9</f>
        <v/>
      </c>
      <c r="C167">
        <f>B167+1</f>
        <v/>
      </c>
      <c r="D167">
        <f>IF(B167&lt;=0.03,$K$4*B167/0.03,IF(B167&lt;=0.07,$K$4-($K$4-$K$5)*(B167-0.03)/0.04,IF(B167&lt;=0.07+$K$6,$K$5+$K$7*(B167-0.07),IF(B167&lt;$K$10,$K$8*EXP(-(B167-0.07-$K$6)/0.35)*SIN(2*PI()*4*(B167-0.07-$K$6)),-2.5*EXP(-(B167-$K$10)/0.25)*SIN(2*PI()*6*(B167-$K$10))))))</f>
        <v/>
      </c>
    </row>
    <row r="168">
      <c r="A168" t="n">
        <v>153</v>
      </c>
      <c r="B168">
        <f>$K$10+MIN(1,($K$9-$K$10)/2)+(153-150)*($K$9-$K$10-MIN(1,($K$9-$K$10)/2))/9</f>
        <v/>
      </c>
      <c r="C168">
        <f>B168+1</f>
        <v/>
      </c>
      <c r="D168">
        <f>IF(B168&lt;=0.03,$K$4*B168/0.03,IF(B168&lt;=0.07,$K$4-($K$4-$K$5)*(B168-0.03)/0.04,IF(B168&lt;=0.07+$K$6,$K$5+$K$7*(B168-0.07),IF(B168&lt;$K$10,$K$8*EXP(-(B168-0.07-$K$6)/0.35)*SIN(2*PI()*4*(B168-0.07-$K$6)),-2.5*EXP(-(B168-$K$10)/0.25)*SIN(2*PI()*6*(B168-$K$10))))))</f>
        <v/>
      </c>
    </row>
    <row r="169">
      <c r="A169" t="n">
        <v>154</v>
      </c>
      <c r="B169">
        <f>$K$10+MIN(1,($K$9-$K$10)/2)+(154-150)*($K$9-$K$10-MIN(1,($K$9-$K$10)/2))/9</f>
        <v/>
      </c>
      <c r="C169">
        <f>B169+1</f>
        <v/>
      </c>
      <c r="D169">
        <f>IF(B169&lt;=0.03,$K$4*B169/0.03,IF(B169&lt;=0.07,$K$4-($K$4-$K$5)*(B169-0.03)/0.04,IF(B169&lt;=0.07+$K$6,$K$5+$K$7*(B169-0.07),IF(B169&lt;$K$10,$K$8*EXP(-(B169-0.07-$K$6)/0.35)*SIN(2*PI()*4*(B169-0.07-$K$6)),-2.5*EXP(-(B169-$K$10)/0.25)*SIN(2*PI()*6*(B169-$K$10))))))</f>
        <v/>
      </c>
    </row>
    <row r="170">
      <c r="A170" t="n">
        <v>155</v>
      </c>
      <c r="B170">
        <f>$K$10+MIN(1,($K$9-$K$10)/2)+(155-150)*($K$9-$K$10-MIN(1,($K$9-$K$10)/2))/9</f>
        <v/>
      </c>
      <c r="C170">
        <f>B170+1</f>
        <v/>
      </c>
      <c r="D170">
        <f>IF(B170&lt;=0.03,$K$4*B170/0.03,IF(B170&lt;=0.07,$K$4-($K$4-$K$5)*(B170-0.03)/0.04,IF(B170&lt;=0.07+$K$6,$K$5+$K$7*(B170-0.07),IF(B170&lt;$K$10,$K$8*EXP(-(B170-0.07-$K$6)/0.35)*SIN(2*PI()*4*(B170-0.07-$K$6)),-2.5*EXP(-(B170-$K$10)/0.25)*SIN(2*PI()*6*(B170-$K$10))))))</f>
        <v/>
      </c>
    </row>
    <row r="171">
      <c r="A171" t="n">
        <v>156</v>
      </c>
      <c r="B171">
        <f>$K$10+MIN(1,($K$9-$K$10)/2)+(156-150)*($K$9-$K$10-MIN(1,($K$9-$K$10)/2))/9</f>
        <v/>
      </c>
      <c r="C171">
        <f>B171+1</f>
        <v/>
      </c>
      <c r="D171">
        <f>IF(B171&lt;=0.03,$K$4*B171/0.03,IF(B171&lt;=0.07,$K$4-($K$4-$K$5)*(B171-0.03)/0.04,IF(B171&lt;=0.07+$K$6,$K$5+$K$7*(B171-0.07),IF(B171&lt;$K$10,$K$8*EXP(-(B171-0.07-$K$6)/0.35)*SIN(2*PI()*4*(B171-0.07-$K$6)),-2.5*EXP(-(B171-$K$10)/0.25)*SIN(2*PI()*6*(B171-$K$10))))))</f>
        <v/>
      </c>
    </row>
    <row r="172">
      <c r="A172" t="n">
        <v>157</v>
      </c>
      <c r="B172">
        <f>$K$10+MIN(1,($K$9-$K$10)/2)+(157-150)*($K$9-$K$10-MIN(1,($K$9-$K$10)/2))/9</f>
        <v/>
      </c>
      <c r="C172">
        <f>B172+1</f>
        <v/>
      </c>
      <c r="D172">
        <f>IF(B172&lt;=0.03,$K$4*B172/0.03,IF(B172&lt;=0.07,$K$4-($K$4-$K$5)*(B172-0.03)/0.04,IF(B172&lt;=0.07+$K$6,$K$5+$K$7*(B172-0.07),IF(B172&lt;$K$10,$K$8*EXP(-(B172-0.07-$K$6)/0.35)*SIN(2*PI()*4*(B172-0.07-$K$6)),-2.5*EXP(-(B172-$K$10)/0.25)*SIN(2*PI()*6*(B172-$K$10))))))</f>
        <v/>
      </c>
    </row>
    <row r="173">
      <c r="A173" t="n">
        <v>158</v>
      </c>
      <c r="B173">
        <f>$K$10+MIN(1,($K$9-$K$10)/2)+(158-150)*($K$9-$K$10-MIN(1,($K$9-$K$10)/2))/9</f>
        <v/>
      </c>
      <c r="C173">
        <f>B173+1</f>
        <v/>
      </c>
      <c r="D173">
        <f>IF(B173&lt;=0.03,$K$4*B173/0.03,IF(B173&lt;=0.07,$K$4-($K$4-$K$5)*(B173-0.03)/0.04,IF(B173&lt;=0.07+$K$6,$K$5+$K$7*(B173-0.07),IF(B173&lt;$K$10,$K$8*EXP(-(B173-0.07-$K$6)/0.35)*SIN(2*PI()*4*(B173-0.07-$K$6)),-2.5*EXP(-(B173-$K$10)/0.25)*SIN(2*PI()*6*(B173-$K$10))))))</f>
        <v/>
      </c>
    </row>
    <row r="174">
      <c r="A174" t="n">
        <v>159</v>
      </c>
      <c r="B174">
        <f>$K$10+MIN(1,($K$9-$K$10)/2)+(159-150)*($K$9-$K$10-MIN(1,($K$9-$K$10)/2))/9</f>
        <v/>
      </c>
      <c r="C174">
        <f>B174+1</f>
        <v/>
      </c>
      <c r="D174">
        <f>IF(B174&lt;=0.03,$K$4*B174/0.03,IF(B174&lt;=0.07,$K$4-($K$4-$K$5)*(B174-0.03)/0.04,IF(B174&lt;=0.07+$K$6,$K$5+$K$7*(B174-0.07),IF(B174&lt;$K$10,$K$8*EXP(-(B174-0.07-$K$6)/0.35)*SIN(2*PI()*4*(B174-0.07-$K$6)),-2.5*EXP(-(B174-$K$10)/0.25)*SIN(2*PI()*6*(B174-$K$10))))))</f>
        <v/>
      </c>
    </row>
    <row r="175">
      <c r="C175">
        <f>$K$9+1.03</f>
        <v/>
      </c>
      <c r="D175">
        <f>$K$4</f>
        <v/>
      </c>
    </row>
    <row r="176">
      <c r="C176">
        <f>$K$9+1.07</f>
        <v/>
      </c>
      <c r="D176">
        <f>$K$5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2026-10-15T12:17:35Z</dcterms:created>
  <dcterms:modified xmlns:dcterms="http://purl.org/dc/terms/" xmlns:xsi="http://www.w3.org/2001/XMLSchema-instance" xsi:type="dcterms:W3CDTF">2026-10-15T12:17:35Z</dcterms:modified>
</cp:coreProperties>
</file>