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álculos" sheetId="1" state="visible" r:id="rId3"/>
    <sheet name="Memoria de cálculo" sheetId="2" state="visible" r:id="rId4"/>
    <sheet name="Registr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<sst xmlns="http://schemas.openxmlformats.org/spreadsheetml/2006/main" count="131" uniqueCount="125">
  <si>
    <t xml:space="preserve">Práctica 21 — Fuente de alimentación regulable con LM317: cálculos</t>
  </si>
  <si>
    <t xml:space="preserve">Celdas amarillas con texto azul = datos de entrada (se pueden cambiar). El resto son fórmulas.</t>
  </si>
  <si>
    <t xml:space="preserve">Datos de entrada</t>
  </si>
  <si>
    <t xml:space="preserve">Tensión eficaz del secundario, V_ef (V)</t>
  </si>
  <si>
    <t xml:space="preserve">Placa del transformador</t>
  </si>
  <si>
    <t xml:space="preserve">Caída por diodo, V_D (V)</t>
  </si>
  <si>
    <t xml:space="preserve">1N4007: 0,7–1,0 V según corriente</t>
  </si>
  <si>
    <t xml:space="preserve">Frecuencia de red, f (Hz)</t>
  </si>
  <si>
    <t xml:space="preserve">Ecuador: 60 Hz</t>
  </si>
  <si>
    <t xml:space="preserve">Capacidad del filtro C1 + C2 (µF)</t>
  </si>
  <si>
    <t xml:space="preserve">2 × 2200 µF</t>
  </si>
  <si>
    <t xml:space="preserve">Corriente de carga para el rizado, I_L (A)</t>
  </si>
  <si>
    <t xml:space="preserve">Ejemplo de la guía</t>
  </si>
  <si>
    <t xml:space="preserve">R1 (Ω)</t>
  </si>
  <si>
    <t xml:space="preserve">Guía: 1 kΩ</t>
  </si>
  <si>
    <t xml:space="preserve">Tensión de referencia V_REF (V)</t>
  </si>
  <si>
    <t xml:space="preserve">Texas Instruments (2025): 1,20–1,30 V</t>
  </si>
  <si>
    <t xml:space="preserve">Corriente del terminal ADJ, I_ADJ (µA)</t>
  </si>
  <si>
    <t xml:space="preserve">Texas Instruments (2025): 50–100 µA</t>
  </si>
  <si>
    <t xml:space="preserve">Diferencia mínima entrada-salida (V)</t>
  </si>
  <si>
    <t xml:space="preserve">≈ 2 V con corrientes pequeñas; 3 V recomendado</t>
  </si>
  <si>
    <t xml:space="preserve">Caída en el LED, V_LED (V)</t>
  </si>
  <si>
    <t xml:space="preserve">LED rojo 1,8–2,2 V</t>
  </si>
  <si>
    <t xml:space="preserve">R4 original (Ω)</t>
  </si>
  <si>
    <t xml:space="preserve">Guía de origen</t>
  </si>
  <si>
    <t xml:space="preserve">R4 corregida (Ω)</t>
  </si>
  <si>
    <t xml:space="preserve">Guía ISTS</t>
  </si>
  <si>
    <t xml:space="preserve">Etapas de la fuente</t>
  </si>
  <si>
    <t xml:space="preserve">Tensión de pico del secundario, Vp = √2·V_ef (V)  [ec. 1]</t>
  </si>
  <si>
    <t xml:space="preserve">Tensión máxima en C1, Vcc = Vp − 2·V_D (V)  [ec. 2]</t>
  </si>
  <si>
    <t xml:space="preserve">Rizado de pico a pico, Vr = I_L/(2·f·C) (V)  [ec. 3]</t>
  </si>
  <si>
    <t xml:space="preserve">Tensión mínima en C1 (valle) (V)</t>
  </si>
  <si>
    <t xml:space="preserve">Tensión máxima regulable = Vmín − diferencia mínima (V)</t>
  </si>
  <si>
    <t xml:space="preserve">Corriente del LED con R4 original (mA)  [ec. 7]</t>
  </si>
  <si>
    <t xml:space="preserve">Potencia en R4 original (W)</t>
  </si>
  <si>
    <t xml:space="preserve">Corriente del LED con R4 corregida (mA)  [ec. 7]</t>
  </si>
  <si>
    <t xml:space="preserve">Potencia en R4 corregida (W)</t>
  </si>
  <si>
    <t xml:space="preserve">Tensión de pico si se usa 12-0-12 V por los extremos (V)</t>
  </si>
  <si>
    <t xml:space="preserve">Tabla 3 — Tensión de salida en función de R2 (R3 = 0 Ω)</t>
  </si>
  <si>
    <t xml:space="preserve">R2 (kΩ)</t>
  </si>
  <si>
    <t xml:space="preserve">Vout ec. (5) (V)</t>
  </si>
  <si>
    <t xml:space="preserve">Vout ec. (4) (V)</t>
  </si>
  <si>
    <t xml:space="preserve">Vout esperada (V)</t>
  </si>
  <si>
    <t xml:space="preserve">¿Alcanzable?</t>
  </si>
  <si>
    <t xml:space="preserve">Nota. «Vout esperada» limita el valor calculado a la tensión máxima regulable (B23).</t>
  </si>
  <si>
    <t xml:space="preserve">Memoria de cálculo de la fuente (Tabla 3 de la guía)</t>
  </si>
  <si>
    <t xml:space="preserve">Celdas amarillas con texto azul = datos de diseño. Toma V_ef, V_D, f, C, R1 y V_REF de la hoja Cálculos.</t>
  </si>
  <si>
    <t xml:space="preserve">Datos de diseño</t>
  </si>
  <si>
    <t xml:space="preserve">Corriente máxima de salida, I_L (A)</t>
  </si>
  <si>
    <t xml:space="preserve">Limitada por el transformador de 1 A</t>
  </si>
  <si>
    <t xml:space="preserve">Rizado de diseño, Vr (V)</t>
  </si>
  <si>
    <t xml:space="preserve">Criterio de diseño</t>
  </si>
  <si>
    <t xml:space="preserve">Factor corriente eficaz / continua del secundario</t>
  </si>
  <si>
    <t xml:space="preserve">Filtro por condensador: 1,6 a 1,8</t>
  </si>
  <si>
    <t xml:space="preserve">Diferencia mínima entrada-salida, V_do (V)</t>
  </si>
  <si>
    <t xml:space="preserve">LM317 con corrientes moderadas</t>
  </si>
  <si>
    <t xml:space="preserve">Temperatura de unión de diseño, T_J (°C)</t>
  </si>
  <si>
    <t xml:space="preserve">Máximo del LM317: 125 °C</t>
  </si>
  <si>
    <t xml:space="preserve">Temperatura ambiente, T_A (°C)</t>
  </si>
  <si>
    <t xml:space="preserve">Taller</t>
  </si>
  <si>
    <t xml:space="preserve">Resistencia térmica unión-cápsula, θ_JC (°C/W)</t>
  </si>
  <si>
    <t xml:space="preserve">TO-220, valor típico; confirmar en la hoja de datos</t>
  </si>
  <si>
    <t xml:space="preserve">Resistencia térmica cápsula-disipador, θ_CS (°C/W)</t>
  </si>
  <si>
    <t xml:space="preserve">Con mica y pasta térmica</t>
  </si>
  <si>
    <t xml:space="preserve">Tensión de red (V)</t>
  </si>
  <si>
    <t xml:space="preserve">Tensión de salida para rendimiento y R2, V_OUT (V)</t>
  </si>
  <si>
    <t xml:space="preserve">Cambie a 12 V para el segundo caso</t>
  </si>
  <si>
    <t xml:space="preserve">Resultados</t>
  </si>
  <si>
    <t xml:space="preserve">Parámetro</t>
  </si>
  <si>
    <t xml:space="preserve">Valor</t>
  </si>
  <si>
    <t xml:space="preserve">Ecuación</t>
  </si>
  <si>
    <t xml:space="preserve">Componente / comentario</t>
  </si>
  <si>
    <t xml:space="preserve">Tensión de pico del secundario (V)</t>
  </si>
  <si>
    <t xml:space="preserve">(1)</t>
  </si>
  <si>
    <t xml:space="preserve">TR1 12 V CA</t>
  </si>
  <si>
    <t xml:space="preserve">Potencia aparente del transformador (VA)</t>
  </si>
  <si>
    <t xml:space="preserve">(8)</t>
  </si>
  <si>
    <t xml:space="preserve">Tensión máxima en C1 (V)</t>
  </si>
  <si>
    <t xml:space="preserve">(2)</t>
  </si>
  <si>
    <t xml:space="preserve">—</t>
  </si>
  <si>
    <t xml:space="preserve">Corriente media por diodo (A)</t>
  </si>
  <si>
    <t xml:space="preserve">(9)</t>
  </si>
  <si>
    <t xml:space="preserve">Tensión inversa por diodo (V)</t>
  </si>
  <si>
    <t xml:space="preserve">(10)</t>
  </si>
  <si>
    <t xml:space="preserve">1N4007: 1000 V</t>
  </si>
  <si>
    <t xml:space="preserve">Capacidad mínima del filtro (µF)</t>
  </si>
  <si>
    <t xml:space="preserve">(11)</t>
  </si>
  <si>
    <t xml:space="preserve">Rizado real con C1+C2 (V)</t>
  </si>
  <si>
    <t xml:space="preserve">(3)</t>
  </si>
  <si>
    <t xml:space="preserve">Tensión nominal mínima de los condensadores (V)</t>
  </si>
  <si>
    <t xml:space="preserve">Tensión máxima de salida a I_L (V)</t>
  </si>
  <si>
    <t xml:space="preserve">(12)</t>
  </si>
  <si>
    <t xml:space="preserve">R2 para V_OUT (kΩ)</t>
  </si>
  <si>
    <t xml:space="preserve">(13)</t>
  </si>
  <si>
    <t xml:space="preserve">Potenciómetro 10 kΩ</t>
  </si>
  <si>
    <t xml:space="preserve">Potencia en R4 (W)</t>
  </si>
  <si>
    <t xml:space="preserve">(14)</t>
  </si>
  <si>
    <t xml:space="preserve">Tensión media en C1 (V)</t>
  </si>
  <si>
    <t xml:space="preserve">Potencia máxima en U1, salida 1,25 V (W)</t>
  </si>
  <si>
    <t xml:space="preserve">(6)</t>
  </si>
  <si>
    <t xml:space="preserve">LM317T con disipador</t>
  </si>
  <si>
    <t xml:space="preserve">Resistencia térmica máxima del disipador (°C/W)</t>
  </si>
  <si>
    <t xml:space="preserve">(15)</t>
  </si>
  <si>
    <t xml:space="preserve">Corriente nominal del primario (A)</t>
  </si>
  <si>
    <t xml:space="preserve">(16)</t>
  </si>
  <si>
    <t xml:space="preserve">Fusible lento 0,5 A (5–6 veces I1)</t>
  </si>
  <si>
    <t xml:space="preserve">Nota. θ_JC es un valor típico del encapsulado TO-220; confirme el valor en la hoja de datos del fabricante del integrado que se use.</t>
  </si>
  <si>
    <t xml:space="preserve">(17)</t>
  </si>
  <si>
    <t xml:space="preserve">Registro de mediciones — Tablas 6 y 7 de la guía</t>
  </si>
  <si>
    <t xml:space="preserve">Ingrese en las celdas amarillas los valores medidos; el cálculo y el error se obtienen automáticamente.</t>
  </si>
  <si>
    <t xml:space="preserve">R2 nominal (kΩ)</t>
  </si>
  <si>
    <t xml:space="preserve">R2 medido (kΩ)</t>
  </si>
  <si>
    <t xml:space="preserve">Vout calculado (V)</t>
  </si>
  <si>
    <t xml:space="preserve">Vout medido (V)</t>
  </si>
  <si>
    <t xml:space="preserve">Error (%)  [ec. 18]</t>
  </si>
  <si>
    <t xml:space="preserve">Regulación con carga (Tabla 7)</t>
  </si>
  <si>
    <t xml:space="preserve">Vout ajustada (V)</t>
  </si>
  <si>
    <t xml:space="preserve">Vout sin carga (V)</t>
  </si>
  <si>
    <t xml:space="preserve">Vout con carga (V)</t>
  </si>
  <si>
    <t xml:space="preserve">R carga (Ω)</t>
  </si>
  <si>
    <t xml:space="preserve">I carga (A)</t>
  </si>
  <si>
    <t xml:space="preserve">Tensión en C1 con carga (V)</t>
  </si>
  <si>
    <t xml:space="preserve">Regulación (%)  [ec. 19]</t>
  </si>
  <si>
    <t xml:space="preserve">P_D de U1 (W)  [ec. 6]</t>
  </si>
  <si>
    <t xml:space="preserve">Ejemplo de referencia: con 12 V y 100 Ω circulan 0,12 A; si C1 queda en 15 V, el LM317 disipa (15 − 12) × 0,12 = 0,36 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</si>
</sst>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Vout en función de R2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"Ec. (5)"</c:f>
              <c:strCache>
                <c:ptCount val="1"/>
                <c:pt idx="0">
                  <c:v>Ec. (5)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Cálculos!$A$33:$A$43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Cálculos!$B$33:$B$43</c:f>
              <c:numCache>
                <c:formatCode>0.00</c:formatCode>
                <c:ptCount val="11"/>
                <c:pt idx="0">
                  <c:v>1.25</c:v>
                </c:pt>
                <c:pt idx="1">
                  <c:v>2.5</c:v>
                </c:pt>
                <c:pt idx="2">
                  <c:v>3.75</c:v>
                </c:pt>
                <c:pt idx="3">
                  <c:v>5</c:v>
                </c:pt>
                <c:pt idx="4">
                  <c:v>6.25</c:v>
                </c:pt>
                <c:pt idx="5">
                  <c:v>7.5</c:v>
                </c:pt>
                <c:pt idx="6">
                  <c:v>8.75</c:v>
                </c:pt>
                <c:pt idx="7">
                  <c:v>10</c:v>
                </c:pt>
                <c:pt idx="8">
                  <c:v>11.25</c:v>
                </c:pt>
                <c:pt idx="9">
                  <c:v>12.5</c:v>
                </c:pt>
                <c:pt idx="10">
                  <c:v>13.75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"Ec. (4)"</c:f>
              <c:strCache>
                <c:ptCount val="1"/>
                <c:pt idx="0">
                  <c:v>Ec. (4)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Cálculos!$A$33:$A$43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Cálculos!$C$33:$C$43</c:f>
              <c:numCache>
                <c:formatCode>0.00</c:formatCode>
                <c:ptCount val="11"/>
                <c:pt idx="0">
                  <c:v>1.25</c:v>
                </c:pt>
                <c:pt idx="1">
                  <c:v>2.55</c:v>
                </c:pt>
                <c:pt idx="2">
                  <c:v>3.85</c:v>
                </c:pt>
                <c:pt idx="3">
                  <c:v>5.15</c:v>
                </c:pt>
                <c:pt idx="4">
                  <c:v>6.45</c:v>
                </c:pt>
                <c:pt idx="5">
                  <c:v>7.75</c:v>
                </c:pt>
                <c:pt idx="6">
                  <c:v>9.05</c:v>
                </c:pt>
                <c:pt idx="7">
                  <c:v>10.35</c:v>
                </c:pt>
                <c:pt idx="8">
                  <c:v>11.65</c:v>
                </c:pt>
                <c:pt idx="9">
                  <c:v>12.95</c:v>
                </c:pt>
                <c:pt idx="10">
                  <c:v>14.25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"Esperada"</c:f>
              <c:strCache>
                <c:ptCount val="1"/>
                <c:pt idx="0">
                  <c:v>Esperada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Cálculos!$A$33:$A$43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Cálculos!$D$33:$D$43</c:f>
              <c:numCache>
                <c:formatCode>0.00</c:formatCode>
                <c:ptCount val="11"/>
                <c:pt idx="0">
                  <c:v>1.25</c:v>
                </c:pt>
                <c:pt idx="1">
                  <c:v>2.55</c:v>
                </c:pt>
                <c:pt idx="2">
                  <c:v>3.85</c:v>
                </c:pt>
                <c:pt idx="3">
                  <c:v>5.15</c:v>
                </c:pt>
                <c:pt idx="4">
                  <c:v>6.45</c:v>
                </c:pt>
                <c:pt idx="5">
                  <c:v>7.75</c:v>
                </c:pt>
                <c:pt idx="6">
                  <c:v>9.05</c:v>
                </c:pt>
                <c:pt idx="7">
                  <c:v>10.35</c:v>
                </c:pt>
                <c:pt idx="8">
                  <c:v>11.65</c:v>
                </c:pt>
                <c:pt idx="9">
                  <c:v>12.95</c:v>
                </c:pt>
                <c:pt idx="10">
                  <c:v>13.1811688090832</c:v>
                </c:pt>
              </c:numCache>
            </c:numRef>
          </c:yVal>
          <c:smooth val="1"/>
        </c:ser>
        <c:axId val="47725755"/>
        <c:axId val="58368483"/>
      </c:scatterChart>
      <c:valAx>
        <c:axId val="477257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R2 (kΩ)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8483"/>
        <c:crosses val="autoZero"/>
        <c:crossBetween val="midCat"/>
      </c:valAx>
      <c:valAx>
        <c:axId val="58368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Vout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257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29</xdr:row>
      <xdr:rowOff>176040</xdr:rowOff>
    </xdr:from>
    <xdr:to>
      <xdr:col>13</xdr:col>
      <xdr:colOff>313560</xdr:colOff>
      <xdr:row>43</xdr:row>
      <xdr:rowOff>96120</xdr:rowOff>
    </xdr:to>
    <xdr:graphicFrame>
      <xdr:nvGraphicFramePr>
        <xdr:cNvPr id="0" name="Chart 1"/>
        <xdr:cNvGraphicFramePr/>
      </xdr:nvGraphicFramePr>
      <xdr:xfrm>
        <a:off x="8528760" y="5715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12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0.8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60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4400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0.1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v>1000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5" t="n">
        <v>1.25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5" t="n">
        <v>50</v>
      </c>
      <c r="C12" s="6" t="s">
        <v>18</v>
      </c>
    </row>
    <row r="13" customFormat="false" ht="15" hidden="false" customHeight="false" outlineLevel="0" collapsed="false">
      <c r="A13" s="4" t="s">
        <v>19</v>
      </c>
      <c r="B13" s="5" t="n">
        <v>2</v>
      </c>
      <c r="C13" s="6" t="s">
        <v>20</v>
      </c>
    </row>
    <row r="14" customFormat="false" ht="15" hidden="false" customHeight="false" outlineLevel="0" collapsed="false">
      <c r="A14" s="4" t="s">
        <v>21</v>
      </c>
      <c r="B14" s="5" t="n">
        <v>2</v>
      </c>
      <c r="C14" s="6" t="s">
        <v>22</v>
      </c>
    </row>
    <row r="15" customFormat="false" ht="15" hidden="false" customHeight="false" outlineLevel="0" collapsed="false">
      <c r="A15" s="4" t="s">
        <v>23</v>
      </c>
      <c r="B15" s="5" t="n">
        <v>330</v>
      </c>
      <c r="C15" s="6" t="s">
        <v>24</v>
      </c>
    </row>
    <row r="16" customFormat="false" ht="15" hidden="false" customHeight="false" outlineLevel="0" collapsed="false">
      <c r="A16" s="4" t="s">
        <v>25</v>
      </c>
      <c r="B16" s="5" t="n">
        <v>1000</v>
      </c>
      <c r="C16" s="6" t="s">
        <v>26</v>
      </c>
    </row>
    <row r="18" customFormat="false" ht="15" hidden="false" customHeight="false" outlineLevel="0" collapsed="false">
      <c r="A18" s="3" t="s">
        <v>27</v>
      </c>
    </row>
    <row r="19" customFormat="false" ht="15" hidden="false" customHeight="false" outlineLevel="0" collapsed="false">
      <c r="A19" s="4" t="s">
        <v>28</v>
      </c>
      <c r="B19" s="7" t="n">
        <f aca="false">SQRT(2)*$B$5</f>
        <v>16.9705627484771</v>
      </c>
    </row>
    <row r="20" customFormat="false" ht="15" hidden="false" customHeight="false" outlineLevel="0" collapsed="false">
      <c r="A20" s="4" t="s">
        <v>29</v>
      </c>
      <c r="B20" s="7" t="n">
        <f aca="false">B19-2*$B$6</f>
        <v>15.3705627484771</v>
      </c>
    </row>
    <row r="21" customFormat="false" ht="15" hidden="false" customHeight="false" outlineLevel="0" collapsed="false">
      <c r="A21" s="4" t="s">
        <v>30</v>
      </c>
      <c r="B21" s="8" t="n">
        <f aca="false">$B$9/(2*$B$7*$B$8*0.000001)</f>
        <v>0.189393939393939</v>
      </c>
    </row>
    <row r="22" customFormat="false" ht="15" hidden="false" customHeight="false" outlineLevel="0" collapsed="false">
      <c r="A22" s="4" t="s">
        <v>31</v>
      </c>
      <c r="B22" s="7" t="n">
        <f aca="false">B20-B21</f>
        <v>15.1811688090832</v>
      </c>
    </row>
    <row r="23" customFormat="false" ht="15" hidden="false" customHeight="false" outlineLevel="0" collapsed="false">
      <c r="A23" s="4" t="s">
        <v>32</v>
      </c>
      <c r="B23" s="7" t="n">
        <f aca="false">B22-$B$13</f>
        <v>13.1811688090832</v>
      </c>
    </row>
    <row r="24" customFormat="false" ht="15" hidden="false" customHeight="false" outlineLevel="0" collapsed="false">
      <c r="A24" s="4" t="s">
        <v>33</v>
      </c>
      <c r="B24" s="9" t="n">
        <f aca="false">(B20-$B$14)/$B$15*1000</f>
        <v>40.5168568135671</v>
      </c>
      <c r="C24" s="10" t="str">
        <f aca="false">IF(B24&gt;20,"Excede 20 mA: LED en riesgo","Dentro de margen")</f>
        <v>Excede 20 mA: LED en riesgo</v>
      </c>
    </row>
    <row r="25" customFormat="false" ht="15" hidden="false" customHeight="false" outlineLevel="0" collapsed="false">
      <c r="A25" s="4" t="s">
        <v>34</v>
      </c>
      <c r="B25" s="7" t="n">
        <f aca="false">(B20-$B$14)^2/$B$15</f>
        <v>0.541733176396863</v>
      </c>
    </row>
    <row r="26" customFormat="false" ht="15" hidden="false" customHeight="false" outlineLevel="0" collapsed="false">
      <c r="A26" s="4" t="s">
        <v>35</v>
      </c>
      <c r="B26" s="9" t="n">
        <f aca="false">(B20-$B$14)/$B$16*1000</f>
        <v>13.3705627484771</v>
      </c>
      <c r="C26" s="10" t="str">
        <f aca="false">IF(B26&gt;20,"Excede 20 mA","Dentro de margen (≤ 20 mA)")</f>
        <v>Dentro de margen (≤ 20 mA)</v>
      </c>
    </row>
    <row r="27" customFormat="false" ht="15" hidden="false" customHeight="false" outlineLevel="0" collapsed="false">
      <c r="A27" s="4" t="s">
        <v>36</v>
      </c>
      <c r="B27" s="7" t="n">
        <f aca="false">(B20-$B$14)^2/$B$16</f>
        <v>0.178771948210965</v>
      </c>
    </row>
    <row r="28" customFormat="false" ht="15" hidden="false" customHeight="false" outlineLevel="0" collapsed="false">
      <c r="A28" s="4" t="s">
        <v>37</v>
      </c>
      <c r="B28" s="9" t="n">
        <f aca="false">SQRT(2)*2*$B$5-2*$B$6</f>
        <v>32.3411254969543</v>
      </c>
      <c r="C28" s="10" t="str">
        <f aca="false">IF(B28&gt;25,"Supera los 25 V de los condensadores","Correcto")</f>
        <v>Supera los 25 V de los condensadores</v>
      </c>
    </row>
    <row r="31" customFormat="false" ht="15" hidden="false" customHeight="false" outlineLevel="0" collapsed="false">
      <c r="A31" s="3" t="s">
        <v>38</v>
      </c>
    </row>
    <row r="32" customFormat="false" ht="23.85" hidden="false" customHeight="false" outlineLevel="0" collapsed="false">
      <c r="A32" s="11" t="s">
        <v>39</v>
      </c>
      <c r="B32" s="11" t="s">
        <v>40</v>
      </c>
      <c r="C32" s="11" t="s">
        <v>41</v>
      </c>
      <c r="D32" s="11" t="s">
        <v>42</v>
      </c>
      <c r="E32" s="11" t="s">
        <v>43</v>
      </c>
    </row>
    <row r="33" customFormat="false" ht="15" hidden="false" customHeight="false" outlineLevel="0" collapsed="false">
      <c r="A33" s="12" t="n">
        <v>0</v>
      </c>
      <c r="B33" s="7" t="n">
        <f aca="false">$B$11*(1+A33*1000/$B$10)</f>
        <v>1.25</v>
      </c>
      <c r="C33" s="7" t="n">
        <f aca="false">$B$11*(1+A33*1000/$B$10)+$B$12*0.000001*A33*1000</f>
        <v>1.25</v>
      </c>
      <c r="D33" s="7" t="n">
        <f aca="false">MIN(C33,$B$23)</f>
        <v>1.25</v>
      </c>
      <c r="E33" s="12" t="str">
        <f aca="false">IF(C33&lt;=$B$23,"Sí","No (limitada)")</f>
        <v>Sí</v>
      </c>
    </row>
    <row r="34" customFormat="false" ht="15" hidden="false" customHeight="false" outlineLevel="0" collapsed="false">
      <c r="A34" s="12" t="n">
        <v>1</v>
      </c>
      <c r="B34" s="7" t="n">
        <f aca="false">$B$11*(1+A34*1000/$B$10)</f>
        <v>2.5</v>
      </c>
      <c r="C34" s="7" t="n">
        <f aca="false">$B$11*(1+A34*1000/$B$10)+$B$12*0.000001*A34*1000</f>
        <v>2.55</v>
      </c>
      <c r="D34" s="7" t="n">
        <f aca="false">MIN(C34,$B$23)</f>
        <v>2.55</v>
      </c>
      <c r="E34" s="12" t="str">
        <f aca="false">IF(C34&lt;=$B$23,"Sí","No (limitada)")</f>
        <v>Sí</v>
      </c>
    </row>
    <row r="35" customFormat="false" ht="15" hidden="false" customHeight="false" outlineLevel="0" collapsed="false">
      <c r="A35" s="12" t="n">
        <v>2</v>
      </c>
      <c r="B35" s="7" t="n">
        <f aca="false">$B$11*(1+A35*1000/$B$10)</f>
        <v>3.75</v>
      </c>
      <c r="C35" s="7" t="n">
        <f aca="false">$B$11*(1+A35*1000/$B$10)+$B$12*0.000001*A35*1000</f>
        <v>3.85</v>
      </c>
      <c r="D35" s="7" t="n">
        <f aca="false">MIN(C35,$B$23)</f>
        <v>3.85</v>
      </c>
      <c r="E35" s="12" t="str">
        <f aca="false">IF(C35&lt;=$B$23,"Sí","No (limitada)")</f>
        <v>Sí</v>
      </c>
    </row>
    <row r="36" customFormat="false" ht="15" hidden="false" customHeight="false" outlineLevel="0" collapsed="false">
      <c r="A36" s="12" t="n">
        <v>3</v>
      </c>
      <c r="B36" s="7" t="n">
        <f aca="false">$B$11*(1+A36*1000/$B$10)</f>
        <v>5</v>
      </c>
      <c r="C36" s="7" t="n">
        <f aca="false">$B$11*(1+A36*1000/$B$10)+$B$12*0.000001*A36*1000</f>
        <v>5.15</v>
      </c>
      <c r="D36" s="7" t="n">
        <f aca="false">MIN(C36,$B$23)</f>
        <v>5.15</v>
      </c>
      <c r="E36" s="12" t="str">
        <f aca="false">IF(C36&lt;=$B$23,"Sí","No (limitada)")</f>
        <v>Sí</v>
      </c>
    </row>
    <row r="37" customFormat="false" ht="15" hidden="false" customHeight="false" outlineLevel="0" collapsed="false">
      <c r="A37" s="12" t="n">
        <v>4</v>
      </c>
      <c r="B37" s="7" t="n">
        <f aca="false">$B$11*(1+A37*1000/$B$10)</f>
        <v>6.25</v>
      </c>
      <c r="C37" s="7" t="n">
        <f aca="false">$B$11*(1+A37*1000/$B$10)+$B$12*0.000001*A37*1000</f>
        <v>6.45</v>
      </c>
      <c r="D37" s="7" t="n">
        <f aca="false">MIN(C37,$B$23)</f>
        <v>6.45</v>
      </c>
      <c r="E37" s="12" t="str">
        <f aca="false">IF(C37&lt;=$B$23,"Sí","No (limitada)")</f>
        <v>Sí</v>
      </c>
    </row>
    <row r="38" customFormat="false" ht="15" hidden="false" customHeight="false" outlineLevel="0" collapsed="false">
      <c r="A38" s="12" t="n">
        <v>5</v>
      </c>
      <c r="B38" s="7" t="n">
        <f aca="false">$B$11*(1+A38*1000/$B$10)</f>
        <v>7.5</v>
      </c>
      <c r="C38" s="7" t="n">
        <f aca="false">$B$11*(1+A38*1000/$B$10)+$B$12*0.000001*A38*1000</f>
        <v>7.75</v>
      </c>
      <c r="D38" s="7" t="n">
        <f aca="false">MIN(C38,$B$23)</f>
        <v>7.75</v>
      </c>
      <c r="E38" s="12" t="str">
        <f aca="false">IF(C38&lt;=$B$23,"Sí","No (limitada)")</f>
        <v>Sí</v>
      </c>
    </row>
    <row r="39" customFormat="false" ht="15" hidden="false" customHeight="false" outlineLevel="0" collapsed="false">
      <c r="A39" s="12" t="n">
        <v>6</v>
      </c>
      <c r="B39" s="7" t="n">
        <f aca="false">$B$11*(1+A39*1000/$B$10)</f>
        <v>8.75</v>
      </c>
      <c r="C39" s="7" t="n">
        <f aca="false">$B$11*(1+A39*1000/$B$10)+$B$12*0.000001*A39*1000</f>
        <v>9.05</v>
      </c>
      <c r="D39" s="7" t="n">
        <f aca="false">MIN(C39,$B$23)</f>
        <v>9.05</v>
      </c>
      <c r="E39" s="12" t="str">
        <f aca="false">IF(C39&lt;=$B$23,"Sí","No (limitada)")</f>
        <v>Sí</v>
      </c>
    </row>
    <row r="40" customFormat="false" ht="15" hidden="false" customHeight="false" outlineLevel="0" collapsed="false">
      <c r="A40" s="12" t="n">
        <v>7</v>
      </c>
      <c r="B40" s="7" t="n">
        <f aca="false">$B$11*(1+A40*1000/$B$10)</f>
        <v>10</v>
      </c>
      <c r="C40" s="7" t="n">
        <f aca="false">$B$11*(1+A40*1000/$B$10)+$B$12*0.000001*A40*1000</f>
        <v>10.35</v>
      </c>
      <c r="D40" s="7" t="n">
        <f aca="false">MIN(C40,$B$23)</f>
        <v>10.35</v>
      </c>
      <c r="E40" s="12" t="str">
        <f aca="false">IF(C40&lt;=$B$23,"Sí","No (limitada)")</f>
        <v>Sí</v>
      </c>
    </row>
    <row r="41" customFormat="false" ht="15" hidden="false" customHeight="false" outlineLevel="0" collapsed="false">
      <c r="A41" s="12" t="n">
        <v>8</v>
      </c>
      <c r="B41" s="7" t="n">
        <f aca="false">$B$11*(1+A41*1000/$B$10)</f>
        <v>11.25</v>
      </c>
      <c r="C41" s="7" t="n">
        <f aca="false">$B$11*(1+A41*1000/$B$10)+$B$12*0.000001*A41*1000</f>
        <v>11.65</v>
      </c>
      <c r="D41" s="7" t="n">
        <f aca="false">MIN(C41,$B$23)</f>
        <v>11.65</v>
      </c>
      <c r="E41" s="12" t="str">
        <f aca="false">IF(C41&lt;=$B$23,"Sí","No (limitada)")</f>
        <v>Sí</v>
      </c>
    </row>
    <row r="42" customFormat="false" ht="15" hidden="false" customHeight="false" outlineLevel="0" collapsed="false">
      <c r="A42" s="12" t="n">
        <v>9</v>
      </c>
      <c r="B42" s="7" t="n">
        <f aca="false">$B$11*(1+A42*1000/$B$10)</f>
        <v>12.5</v>
      </c>
      <c r="C42" s="7" t="n">
        <f aca="false">$B$11*(1+A42*1000/$B$10)+$B$12*0.000001*A42*1000</f>
        <v>12.95</v>
      </c>
      <c r="D42" s="7" t="n">
        <f aca="false">MIN(C42,$B$23)</f>
        <v>12.95</v>
      </c>
      <c r="E42" s="12" t="str">
        <f aca="false">IF(C42&lt;=$B$23,"Sí","No (limitada)")</f>
        <v>Sí</v>
      </c>
    </row>
    <row r="43" customFormat="false" ht="15" hidden="false" customHeight="false" outlineLevel="0" collapsed="false">
      <c r="A43" s="12" t="n">
        <v>10</v>
      </c>
      <c r="B43" s="7" t="n">
        <f aca="false">$B$11*(1+A43*1000/$B$10)</f>
        <v>13.75</v>
      </c>
      <c r="C43" s="7" t="n">
        <f aca="false">$B$11*(1+A43*1000/$B$10)+$B$12*0.000001*A43*1000</f>
        <v>14.25</v>
      </c>
      <c r="D43" s="7" t="n">
        <f aca="false">MIN(C43,$B$23)</f>
        <v>13.1811688090832</v>
      </c>
      <c r="E43" s="12" t="str">
        <f aca="false">IF(C43&lt;=$B$23,"Sí","No (limitada)")</f>
        <v>No (limitada)</v>
      </c>
    </row>
    <row r="45" customFormat="false" ht="15" hidden="false" customHeight="false" outlineLevel="0" collapsed="false">
      <c r="A45" s="1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47</v>
      </c>
    </row>
    <row r="5" customFormat="false" ht="15" hidden="false" customHeight="false" outlineLevel="0" collapsed="false">
      <c r="A5" s="4" t="s">
        <v>48</v>
      </c>
      <c r="B5" s="5" t="n">
        <v>0.5</v>
      </c>
      <c r="D5" s="6" t="s">
        <v>49</v>
      </c>
    </row>
    <row r="6" customFormat="false" ht="15" hidden="false" customHeight="false" outlineLevel="0" collapsed="false">
      <c r="A6" s="4" t="s">
        <v>50</v>
      </c>
      <c r="B6" s="5" t="n">
        <v>1</v>
      </c>
      <c r="D6" s="6" t="s">
        <v>51</v>
      </c>
    </row>
    <row r="7" customFormat="false" ht="15" hidden="false" customHeight="false" outlineLevel="0" collapsed="false">
      <c r="A7" s="4" t="s">
        <v>52</v>
      </c>
      <c r="B7" s="5" t="n">
        <v>1.8</v>
      </c>
      <c r="D7" s="6" t="s">
        <v>53</v>
      </c>
    </row>
    <row r="8" customFormat="false" ht="15" hidden="false" customHeight="false" outlineLevel="0" collapsed="false">
      <c r="A8" s="4" t="s">
        <v>54</v>
      </c>
      <c r="B8" s="5" t="n">
        <v>2</v>
      </c>
      <c r="D8" s="6" t="s">
        <v>55</v>
      </c>
    </row>
    <row r="9" customFormat="false" ht="15" hidden="false" customHeight="false" outlineLevel="0" collapsed="false">
      <c r="A9" s="4" t="s">
        <v>56</v>
      </c>
      <c r="B9" s="5" t="n">
        <v>110</v>
      </c>
      <c r="D9" s="6" t="s">
        <v>57</v>
      </c>
    </row>
    <row r="10" customFormat="false" ht="15" hidden="false" customHeight="false" outlineLevel="0" collapsed="false">
      <c r="A10" s="4" t="s">
        <v>58</v>
      </c>
      <c r="B10" s="5" t="n">
        <v>30</v>
      </c>
      <c r="D10" s="6" t="s">
        <v>59</v>
      </c>
    </row>
    <row r="11" customFormat="false" ht="15" hidden="false" customHeight="false" outlineLevel="0" collapsed="false">
      <c r="A11" s="4" t="s">
        <v>60</v>
      </c>
      <c r="B11" s="5" t="n">
        <v>5</v>
      </c>
      <c r="D11" s="6" t="s">
        <v>61</v>
      </c>
    </row>
    <row r="12" customFormat="false" ht="15" hidden="false" customHeight="false" outlineLevel="0" collapsed="false">
      <c r="A12" s="4" t="s">
        <v>62</v>
      </c>
      <c r="B12" s="5" t="n">
        <v>1</v>
      </c>
      <c r="D12" s="6" t="s">
        <v>63</v>
      </c>
    </row>
    <row r="13" customFormat="false" ht="15" hidden="false" customHeight="false" outlineLevel="0" collapsed="false">
      <c r="A13" s="4" t="s">
        <v>64</v>
      </c>
      <c r="B13" s="5" t="n">
        <v>120</v>
      </c>
      <c r="D13" s="6"/>
    </row>
    <row r="14" customFormat="false" ht="15" hidden="false" customHeight="false" outlineLevel="0" collapsed="false">
      <c r="A14" s="4" t="s">
        <v>65</v>
      </c>
      <c r="B14" s="5" t="n">
        <v>5</v>
      </c>
      <c r="D14" s="6" t="s">
        <v>66</v>
      </c>
    </row>
    <row r="16" customFormat="false" ht="15" hidden="false" customHeight="false" outlineLevel="0" collapsed="false">
      <c r="A16" s="3" t="s">
        <v>67</v>
      </c>
    </row>
    <row r="17" customFormat="false" ht="15" hidden="false" customHeight="false" outlineLevel="0" collapsed="false">
      <c r="A17" s="11" t="s">
        <v>68</v>
      </c>
      <c r="B17" s="11" t="s">
        <v>69</v>
      </c>
      <c r="C17" s="11" t="s">
        <v>70</v>
      </c>
      <c r="D17" s="11" t="s">
        <v>71</v>
      </c>
    </row>
    <row r="18" customFormat="false" ht="15" hidden="false" customHeight="false" outlineLevel="0" collapsed="false">
      <c r="A18" s="14" t="s">
        <v>72</v>
      </c>
      <c r="B18" s="7" t="n">
        <f aca="false">Cálculos!B19</f>
        <v>16.9705627484771</v>
      </c>
      <c r="C18" s="12" t="s">
        <v>73</v>
      </c>
      <c r="D18" s="14" t="s">
        <v>74</v>
      </c>
    </row>
    <row r="19" customFormat="false" ht="15" hidden="false" customHeight="false" outlineLevel="0" collapsed="false">
      <c r="A19" s="14" t="s">
        <v>75</v>
      </c>
      <c r="B19" s="7" t="n">
        <f aca="false">Cálculos!$B$5*$B$7*$B$5</f>
        <v>10.8</v>
      </c>
      <c r="C19" s="12" t="s">
        <v>76</v>
      </c>
      <c r="D19" s="14" t="str">
        <f aca="false">IF(B19&lt;=12,"TR1 de 12 VA suficiente","Aumentar TR1")</f>
        <v>TR1 de 12 VA suficiente</v>
      </c>
    </row>
    <row r="20" customFormat="false" ht="15" hidden="false" customHeight="false" outlineLevel="0" collapsed="false">
      <c r="A20" s="14" t="s">
        <v>77</v>
      </c>
      <c r="B20" s="7" t="n">
        <f aca="false">Cálculos!B20</f>
        <v>15.3705627484771</v>
      </c>
      <c r="C20" s="12" t="s">
        <v>78</v>
      </c>
      <c r="D20" s="14" t="s">
        <v>79</v>
      </c>
    </row>
    <row r="21" customFormat="false" ht="15" hidden="false" customHeight="false" outlineLevel="0" collapsed="false">
      <c r="A21" s="14" t="s">
        <v>80</v>
      </c>
      <c r="B21" s="7" t="n">
        <f aca="false">$B$5/2</f>
        <v>0.25</v>
      </c>
      <c r="C21" s="12" t="s">
        <v>81</v>
      </c>
      <c r="D21" s="14" t="str">
        <f aca="false">IF(B21&lt;1,"1N4007 adecuado (1 A)","Usar diodo de mayor corriente")</f>
        <v>1N4007 adecuado (1 A)</v>
      </c>
    </row>
    <row r="22" customFormat="false" ht="15" hidden="false" customHeight="false" outlineLevel="0" collapsed="false">
      <c r="A22" s="14" t="s">
        <v>82</v>
      </c>
      <c r="B22" s="7" t="n">
        <f aca="false">B18</f>
        <v>16.9705627484771</v>
      </c>
      <c r="C22" s="12" t="s">
        <v>83</v>
      </c>
      <c r="D22" s="14" t="s">
        <v>84</v>
      </c>
    </row>
    <row r="23" customFormat="false" ht="15" hidden="false" customHeight="false" outlineLevel="0" collapsed="false">
      <c r="A23" s="14" t="s">
        <v>85</v>
      </c>
      <c r="B23" s="7" t="n">
        <f aca="false">$B$5/(2*Cálculos!$B$7*$B$6)*1000000</f>
        <v>4166.66666666667</v>
      </c>
      <c r="C23" s="12" t="s">
        <v>86</v>
      </c>
      <c r="D23" s="14" t="str">
        <f aca="false">IF(Cálculos!$B$8&gt;=B23,"C1+C2 suficiente","Aumentar capacidad")</f>
        <v>C1+C2 suficiente</v>
      </c>
    </row>
    <row r="24" customFormat="false" ht="15" hidden="false" customHeight="false" outlineLevel="0" collapsed="false">
      <c r="A24" s="14" t="s">
        <v>87</v>
      </c>
      <c r="B24" s="7" t="n">
        <f aca="false">$B$5/(2*Cálculos!$B$7*Cálculos!$B$8*0.000001)</f>
        <v>0.946969696969697</v>
      </c>
      <c r="C24" s="12" t="s">
        <v>88</v>
      </c>
      <c r="D24" s="14" t="s">
        <v>79</v>
      </c>
    </row>
    <row r="25" customFormat="false" ht="15" hidden="false" customHeight="false" outlineLevel="0" collapsed="false">
      <c r="A25" s="14" t="s">
        <v>89</v>
      </c>
      <c r="B25" s="7" t="n">
        <f aca="false">1.25*B18</f>
        <v>21.2132034355964</v>
      </c>
      <c r="C25" s="12" t="s">
        <v>79</v>
      </c>
      <c r="D25" s="14" t="str">
        <f aca="false">IF(B25&lt;=25,"25 V suficiente","Usar 35 V o más")</f>
        <v>25 V suficiente</v>
      </c>
    </row>
    <row r="26" customFormat="false" ht="15" hidden="false" customHeight="false" outlineLevel="0" collapsed="false">
      <c r="A26" s="14" t="s">
        <v>90</v>
      </c>
      <c r="B26" s="7" t="n">
        <f aca="false">B20-B24-$B$8</f>
        <v>12.4235930515074</v>
      </c>
      <c r="C26" s="12" t="s">
        <v>91</v>
      </c>
      <c r="D26" s="14" t="s">
        <v>79</v>
      </c>
    </row>
    <row r="27" customFormat="false" ht="15" hidden="false" customHeight="false" outlineLevel="0" collapsed="false">
      <c r="A27" s="14" t="s">
        <v>92</v>
      </c>
      <c r="B27" s="7" t="n">
        <f aca="false">Cálculos!$B$10*($B$14/Cálculos!$B$11-1)/1000</f>
        <v>3</v>
      </c>
      <c r="C27" s="12" t="s">
        <v>93</v>
      </c>
      <c r="D27" s="14" t="s">
        <v>94</v>
      </c>
    </row>
    <row r="28" customFormat="false" ht="15" hidden="false" customHeight="false" outlineLevel="0" collapsed="false">
      <c r="A28" s="14" t="s">
        <v>95</v>
      </c>
      <c r="B28" s="7" t="n">
        <f aca="false">(B20-Cálculos!$B$14)^2/Cálculos!$B$16</f>
        <v>0.178771948210965</v>
      </c>
      <c r="C28" s="12" t="s">
        <v>96</v>
      </c>
      <c r="D28" s="14" t="str">
        <f aca="false">IF(B28&lt;0.25,"¼ W basta; se usa ½ W","½ W")</f>
        <v>¼ W basta; se usa ½ W</v>
      </c>
    </row>
    <row r="29" customFormat="false" ht="15" hidden="false" customHeight="false" outlineLevel="0" collapsed="false">
      <c r="A29" s="14" t="s">
        <v>97</v>
      </c>
      <c r="B29" s="7" t="n">
        <f aca="false">B20-B24/2</f>
        <v>14.8970778999923</v>
      </c>
      <c r="C29" s="12" t="s">
        <v>79</v>
      </c>
      <c r="D29" s="14" t="s">
        <v>79</v>
      </c>
    </row>
    <row r="30" customFormat="false" ht="15" hidden="false" customHeight="false" outlineLevel="0" collapsed="false">
      <c r="A30" s="14" t="s">
        <v>98</v>
      </c>
      <c r="B30" s="7" t="n">
        <f aca="false">(B29-Cálculos!$B$11)*$B$5</f>
        <v>6.82353894999615</v>
      </c>
      <c r="C30" s="12" t="s">
        <v>99</v>
      </c>
      <c r="D30" s="14" t="s">
        <v>100</v>
      </c>
    </row>
    <row r="31" customFormat="false" ht="15" hidden="false" customHeight="false" outlineLevel="0" collapsed="false">
      <c r="A31" s="14" t="s">
        <v>101</v>
      </c>
      <c r="B31" s="7" t="n">
        <f aca="false">($B$9-$B$10)/B30-$B$11-$B$12</f>
        <v>5.72412154253845</v>
      </c>
      <c r="C31" s="12" t="s">
        <v>102</v>
      </c>
      <c r="D31" s="14" t="str">
        <f aca="false">IF(B31&lt;=0,"Imposible: reducir corriente","Disipador ≤ "&amp;TEXT(B31,"0.0")&amp;" °C/W")</f>
        <v>Disipador ≤ 5.7 °C/W</v>
      </c>
    </row>
    <row r="32" customFormat="false" ht="15" hidden="false" customHeight="false" outlineLevel="0" collapsed="false">
      <c r="A32" s="14" t="s">
        <v>103</v>
      </c>
      <c r="B32" s="7" t="n">
        <f aca="false">B19/$B$13</f>
        <v>0.09</v>
      </c>
      <c r="C32" s="12" t="s">
        <v>104</v>
      </c>
      <c r="D32" s="14" t="s">
        <v>105</v>
      </c>
    </row>
    <row r="33" customFormat="false" ht="22.35" hidden="false" customHeight="false" outlineLevel="0" collapsed="false">
      <c r="A33" s="15" t="s">
        <v>106</v>
      </c>
      <c r="B33" s="7" t="n">
        <f aca="false">$B$14/B29*100</f>
        <v>33.5636292806295</v>
      </c>
      <c r="C33" s="12" t="s">
        <v>107</v>
      </c>
      <c r="D33" s="1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7"/>
  </cols>
  <sheetData>
    <row r="1" customFormat="false" ht="16.1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30" hidden="false" customHeight="true" outlineLevel="0" collapsed="false">
      <c r="A4" s="11" t="s">
        <v>110</v>
      </c>
      <c r="B4" s="11" t="s">
        <v>111</v>
      </c>
      <c r="C4" s="11" t="s">
        <v>112</v>
      </c>
      <c r="D4" s="11" t="s">
        <v>113</v>
      </c>
      <c r="E4" s="11" t="s">
        <v>114</v>
      </c>
    </row>
    <row r="5" customFormat="false" ht="15" hidden="false" customHeight="false" outlineLevel="0" collapsed="false">
      <c r="A5" s="12" t="n">
        <v>0</v>
      </c>
      <c r="B5" s="16"/>
      <c r="C5" s="7" t="str">
        <f aca="false">IF(B5="","",Cálculos!$B$11*(1+B5*1000/Cálculos!$B$10))</f>
        <v/>
      </c>
      <c r="D5" s="16"/>
      <c r="E5" s="7" t="str">
        <f aca="false">IF(OR(C5="",D5=""),"",ABS(D5-C5)/C5*100)</f>
        <v/>
      </c>
    </row>
    <row r="6" customFormat="false" ht="15" hidden="false" customHeight="false" outlineLevel="0" collapsed="false">
      <c r="A6" s="12" t="n">
        <v>1</v>
      </c>
      <c r="B6" s="16"/>
      <c r="C6" s="7" t="str">
        <f aca="false">IF(B6="","",Cálculos!$B$11*(1+B6*1000/Cálculos!$B$10))</f>
        <v/>
      </c>
      <c r="D6" s="16"/>
      <c r="E6" s="7" t="str">
        <f aca="false">IF(OR(C6="",D6=""),"",ABS(D6-C6)/C6*100)</f>
        <v/>
      </c>
    </row>
    <row r="7" customFormat="false" ht="15" hidden="false" customHeight="false" outlineLevel="0" collapsed="false">
      <c r="A7" s="12" t="n">
        <v>2</v>
      </c>
      <c r="B7" s="16"/>
      <c r="C7" s="7" t="str">
        <f aca="false">IF(B7="","",Cálculos!$B$11*(1+B7*1000/Cálculos!$B$10))</f>
        <v/>
      </c>
      <c r="D7" s="16"/>
      <c r="E7" s="7" t="str">
        <f aca="false">IF(OR(C7="",D7=""),"",ABS(D7-C7)/C7*100)</f>
        <v/>
      </c>
    </row>
    <row r="8" customFormat="false" ht="15" hidden="false" customHeight="false" outlineLevel="0" collapsed="false">
      <c r="A8" s="12" t="n">
        <v>3</v>
      </c>
      <c r="B8" s="16"/>
      <c r="C8" s="7" t="str">
        <f aca="false">IF(B8="","",Cálculos!$B$11*(1+B8*1000/Cálculos!$B$10))</f>
        <v/>
      </c>
      <c r="D8" s="16"/>
      <c r="E8" s="7" t="str">
        <f aca="false">IF(OR(C8="",D8=""),"",ABS(D8-C8)/C8*100)</f>
        <v/>
      </c>
    </row>
    <row r="9" customFormat="false" ht="15" hidden="false" customHeight="false" outlineLevel="0" collapsed="false">
      <c r="A9" s="12" t="n">
        <v>4</v>
      </c>
      <c r="B9" s="16"/>
      <c r="C9" s="7" t="str">
        <f aca="false">IF(B9="","",Cálculos!$B$11*(1+B9*1000/Cálculos!$B$10))</f>
        <v/>
      </c>
      <c r="D9" s="16"/>
      <c r="E9" s="7" t="str">
        <f aca="false">IF(OR(C9="",D9=""),"",ABS(D9-C9)/C9*100)</f>
        <v/>
      </c>
    </row>
    <row r="10" customFormat="false" ht="15" hidden="false" customHeight="false" outlineLevel="0" collapsed="false">
      <c r="A10" s="12" t="n">
        <v>5</v>
      </c>
      <c r="B10" s="16"/>
      <c r="C10" s="7" t="str">
        <f aca="false">IF(B10="","",Cálculos!$B$11*(1+B10*1000/Cálculos!$B$10))</f>
        <v/>
      </c>
      <c r="D10" s="16"/>
      <c r="E10" s="7" t="str">
        <f aca="false">IF(OR(C10="",D10=""),"",ABS(D10-C10)/C10*100)</f>
        <v/>
      </c>
    </row>
    <row r="11" customFormat="false" ht="15" hidden="false" customHeight="false" outlineLevel="0" collapsed="false">
      <c r="A11" s="12" t="n">
        <v>6</v>
      </c>
      <c r="B11" s="16"/>
      <c r="C11" s="7" t="str">
        <f aca="false">IF(B11="","",Cálculos!$B$11*(1+B11*1000/Cálculos!$B$10))</f>
        <v/>
      </c>
      <c r="D11" s="16"/>
      <c r="E11" s="7" t="str">
        <f aca="false">IF(OR(C11="",D11=""),"",ABS(D11-C11)/C11*100)</f>
        <v/>
      </c>
    </row>
    <row r="12" customFormat="false" ht="15" hidden="false" customHeight="false" outlineLevel="0" collapsed="false">
      <c r="A12" s="12" t="n">
        <v>7</v>
      </c>
      <c r="B12" s="16"/>
      <c r="C12" s="7" t="str">
        <f aca="false">IF(B12="","",Cálculos!$B$11*(1+B12*1000/Cálculos!$B$10))</f>
        <v/>
      </c>
      <c r="D12" s="16"/>
      <c r="E12" s="7" t="str">
        <f aca="false">IF(OR(C12="",D12=""),"",ABS(D12-C12)/C12*100)</f>
        <v/>
      </c>
    </row>
    <row r="13" customFormat="false" ht="15" hidden="false" customHeight="false" outlineLevel="0" collapsed="false">
      <c r="A13" s="12" t="n">
        <v>8</v>
      </c>
      <c r="B13" s="16"/>
      <c r="C13" s="7" t="str">
        <f aca="false">IF(B13="","",Cálculos!$B$11*(1+B13*1000/Cálculos!$B$10))</f>
        <v/>
      </c>
      <c r="D13" s="16"/>
      <c r="E13" s="7" t="str">
        <f aca="false">IF(OR(C13="",D13=""),"",ABS(D13-C13)/C13*100)</f>
        <v/>
      </c>
    </row>
    <row r="14" customFormat="false" ht="15" hidden="false" customHeight="false" outlineLevel="0" collapsed="false">
      <c r="A14" s="12" t="n">
        <v>9</v>
      </c>
      <c r="B14" s="16"/>
      <c r="C14" s="7" t="str">
        <f aca="false">IF(B14="","",Cálculos!$B$11*(1+B14*1000/Cálculos!$B$10))</f>
        <v/>
      </c>
      <c r="D14" s="16"/>
      <c r="E14" s="7" t="str">
        <f aca="false">IF(OR(C14="",D14=""),"",ABS(D14-C14)/C14*100)</f>
        <v/>
      </c>
    </row>
    <row r="15" customFormat="false" ht="15" hidden="false" customHeight="false" outlineLevel="0" collapsed="false">
      <c r="A15" s="12" t="n">
        <v>10</v>
      </c>
      <c r="B15" s="16"/>
      <c r="C15" s="7" t="str">
        <f aca="false">IF(B15="","",Cálculos!$B$11*(1+B15*1000/Cálculos!$B$10))</f>
        <v/>
      </c>
      <c r="D15" s="16"/>
      <c r="E15" s="7" t="str">
        <f aca="false">IF(OR(C15="",D15=""),"",ABS(D15-C15)/C15*100)</f>
        <v/>
      </c>
    </row>
    <row r="18" customFormat="false" ht="15" hidden="false" customHeight="false" outlineLevel="0" collapsed="false">
      <c r="A18" s="3" t="s">
        <v>115</v>
      </c>
    </row>
    <row r="19" customFormat="false" ht="31.5" hidden="false" customHeight="true" outlineLevel="0" collapsed="false">
      <c r="A19" s="11" t="s">
        <v>116</v>
      </c>
      <c r="B19" s="11" t="s">
        <v>117</v>
      </c>
      <c r="C19" s="11" t="s">
        <v>118</v>
      </c>
      <c r="D19" s="11" t="s">
        <v>119</v>
      </c>
      <c r="E19" s="11" t="s">
        <v>120</v>
      </c>
      <c r="F19" s="11" t="s">
        <v>121</v>
      </c>
      <c r="G19" s="11" t="s">
        <v>122</v>
      </c>
      <c r="H19" s="11" t="s">
        <v>123</v>
      </c>
    </row>
    <row r="20" customFormat="false" ht="15" hidden="false" customHeight="false" outlineLevel="0" collapsed="false">
      <c r="A20" s="17" t="n">
        <v>5</v>
      </c>
      <c r="B20" s="5"/>
      <c r="C20" s="5"/>
      <c r="D20" s="5" t="n">
        <v>100</v>
      </c>
      <c r="E20" s="7" t="str">
        <f aca="false">IF(C20="","",C20/D20)</f>
        <v/>
      </c>
      <c r="F20" s="5"/>
      <c r="G20" s="7" t="str">
        <f aca="false">IF(OR(B20="",C20=""),"",(B20-C20)/C20*100)</f>
        <v/>
      </c>
      <c r="H20" s="7" t="str">
        <f aca="false">IF(OR(F20="",C20=""),"",(F20-C20)*E20)</f>
        <v/>
      </c>
    </row>
    <row r="21" customFormat="false" ht="15" hidden="false" customHeight="false" outlineLevel="0" collapsed="false">
      <c r="A21" s="17" t="n">
        <v>12</v>
      </c>
      <c r="B21" s="5"/>
      <c r="C21" s="5"/>
      <c r="D21" s="5" t="n">
        <v>100</v>
      </c>
      <c r="E21" s="7" t="str">
        <f aca="false">IF(C21="","",C21/D21)</f>
        <v/>
      </c>
      <c r="F21" s="5"/>
      <c r="G21" s="7" t="str">
        <f aca="false">IF(OR(B21="",C21=""),"",(B21-C21)/C21*100)</f>
        <v/>
      </c>
      <c r="H21" s="7" t="str">
        <f aca="false">IF(OR(F21="",C21=""),"",(F21-C21)*E21)</f>
        <v/>
      </c>
    </row>
    <row r="23" customFormat="false" ht="15" hidden="false" customHeight="false" outlineLevel="0" collapsed="false">
      <c r="A23" s="13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2026-09-30T17:09:01Z</dcterms:created>
  <dc:creator>openpyxl</dc:creator>
  <dc:description/>
  <dc:language>en-US</dc:language>
  <cp:lastModifiedBy/>
  <dcterms:modified xsi:type="dcterms:W3CDTF">2026-09-30T12:09:03Z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