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Instrucciones" sheetId="1" state="visible" r:id="rId3"/>
    <sheet name="1_Datos" sheetId="2" state="visible" r:id="rId4"/>
    <sheet name="2_CVT_poleas" sheetId="3" state="visible" r:id="rId5"/>
    <sheet name="3_CVT_estrategia" sheetId="4" state="visible" r:id="rId6"/>
    <sheet name="4_eCVT_velocidades" sheetId="5" state="visible" r:id="rId7"/>
    <sheet name="5_eCVT_par_potencia" sheetId="6" state="visible" r:id="rId8"/>
  </sheets>
  <definedNames>
    <definedName function="false" hidden="false" name="aa" vbProcedure="false">1_Datos!$C$4</definedName>
    <definedName function="false" hidden="false" name="idc" vbProcedure="false">1_Datos!$C$8</definedName>
    <definedName function="false" hidden="false" name="ifin" vbProcedure="false">1_Datos!$C$13</definedName>
    <definedName function="false" hidden="false" name="imax" vbProcedure="false">2_CVT_poleas!$F$19</definedName>
    <definedName function="false" hidden="false" name="imin" vbProcedure="false">2_CVT_poleas!$F$20</definedName>
    <definedName function="false" hidden="false" name="Lb" vbProcedure="false">2_CVT_poleas!$C$4</definedName>
    <definedName function="false" hidden="false" name="ncte" vbProcedure="false">1_Datos!$C$10</definedName>
    <definedName function="false" hidden="false" name="r0" vbProcedure="false">1_Datos!$C$5</definedName>
    <definedName function="false" hidden="false" name="r1max" vbProcedure="false">1_Datos!$C$7</definedName>
    <definedName function="false" hidden="false" name="r1min" vbProcedure="false">1_Datos!$C$6</definedName>
    <definedName function="false" hidden="false" name="rc" vbProcedure="false">1_Datos!$C$9</definedName>
    <definedName function="false" hidden="false" name="rch" vbProcedure="false">1_Datos!$C$14</definedName>
    <definedName function="false" hidden="false" name="Te" vbProcedure="false">1_Datos!$C$15</definedName>
    <definedName function="false" hidden="false" name="Tr" vbProcedure="false">5_eCVT_par_potencia!$C$5</definedName>
    <definedName function="false" hidden="false" name="Ts" vbProcedure="false">5_eCVT_par_potencia!$C$4</definedName>
    <definedName function="false" hidden="false" name="Zr" vbProcedure="false">1_Datos!$C$12</definedName>
    <definedName function="false" hidden="false" name="Zs" vbProcedure="false">1_Datos!$C$11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<sst xmlns="http://schemas.openxmlformats.org/spreadsheetml/2006/main" count="112" uniqueCount="95">
  <si>
    <t xml:space="preserve">PRÁCTICA 10 – TRANSMISIONES HÍBRIDAS Y CVT: RELACIÓN DE POLEAS Y VELOCIDADES DE MG1 Y MG2</t>
  </si>
  <si>
    <t xml:space="preserve">Mecánica de Patio III – Instituto Superior Tecnológico Sudamericano – Ing. Miguel Angel Minga González</t>
  </si>
  <si>
    <t xml:space="preserve">Cómo usar este libro:</t>
  </si>
  <si>
    <t xml:space="preserve">1. Las celdas amarillas con texto azul son DATOS DE ENTRADA. Cámbielas con los datos del conjunto del laboratorio; las demás hojas se recalculan solas.</t>
  </si>
  <si>
    <t xml:space="preserve">2. Las celdas verdes son RESULTADOS calculados con fórmulas: no escriba sobre ellas.</t>
  </si>
  <si>
    <t xml:space="preserve">3. Cada hoja corresponde a un paso del ejemplo resuelto de la guía y a una sección del código MATLAB.</t>
  </si>
  <si>
    <t xml:space="preserve">Hojas del libro:</t>
  </si>
  <si>
    <t xml:space="preserve">1_Datos: geometría del variador CVT, grupo final, régimen objetivo; dientes del tren de reparto de potencia, grupo final y par del motor térmico.</t>
  </si>
  <si>
    <t xml:space="preserve">2_CVT_poleas: longitud de la correa, radio secundario para cada radio primario, relación y rango. Ecuaciones (1) a (3).</t>
  </si>
  <si>
    <t xml:space="preserve">3_CVT_estrategia: relación necesaria para mantener el motor a régimen constante, limitada por el rango de la CVT, y régimen resultante. Ecuaciones (4) y (5).</t>
  </si>
  <si>
    <t xml:space="preserve">4_eCVT_velocidades: régimen de MG2 (corona) y MG1 (planetario) para cualquier velocidad y régimen del motor, con tres escenarios. Ecuaciones (6) a (8).</t>
  </si>
  <si>
    <t xml:space="preserve">5_eCVT_par_potencia: reparto del par del motor entre planetario y corona y potencias de MG1. Ecuaciones (9) y (10).</t>
  </si>
  <si>
    <t xml:space="preserve">Interpretación:</t>
  </si>
  <si>
    <t xml:space="preserve">• En la CVT, cuando la relación necesaria sale del rango físico de las poleas, el régimen del motor deja de ser constante. • En la e-CVT, MG1 negativo indica que gira hacia atrás; su signo y el de su par definen si funciona como motor o como generador.</t>
  </si>
  <si>
    <t xml:space="preserve">Datos de entrada</t>
  </si>
  <si>
    <t xml:space="preserve">Parámetro</t>
  </si>
  <si>
    <t xml:space="preserve">Símbolo</t>
  </si>
  <si>
    <t xml:space="preserve">Valor</t>
  </si>
  <si>
    <t xml:space="preserve">Unidad</t>
  </si>
  <si>
    <t xml:space="preserve">Observación</t>
  </si>
  <si>
    <t xml:space="preserve">Distancia entre ejes de poleas</t>
  </si>
  <si>
    <t xml:space="preserve">a</t>
  </si>
  <si>
    <t xml:space="preserve">mm</t>
  </si>
  <si>
    <t xml:space="preserve">Radio de referencia (poleas iguales)</t>
  </si>
  <si>
    <t xml:space="preserve">r0</t>
  </si>
  <si>
    <t xml:space="preserve">Define la longitud de la correa</t>
  </si>
  <si>
    <t xml:space="preserve">Radio primario mínimo</t>
  </si>
  <si>
    <t xml:space="preserve">r1mín</t>
  </si>
  <si>
    <t xml:space="preserve">Radio primario máximo</t>
  </si>
  <si>
    <t xml:space="preserve">r1máx</t>
  </si>
  <si>
    <t xml:space="preserve">Relación del grupo final de la CVT</t>
  </si>
  <si>
    <t xml:space="preserve">id</t>
  </si>
  <si>
    <t xml:space="preserve">—</t>
  </si>
  <si>
    <t xml:space="preserve">Radio bajo carga</t>
  </si>
  <si>
    <t xml:space="preserve">rc</t>
  </si>
  <si>
    <t xml:space="preserve">m</t>
  </si>
  <si>
    <t xml:space="preserve">Régimen objetivo del motor</t>
  </si>
  <si>
    <t xml:space="preserve">n*</t>
  </si>
  <si>
    <t xml:space="preserve">min⁻¹</t>
  </si>
  <si>
    <t xml:space="preserve">Estrategia de consumo</t>
  </si>
  <si>
    <t xml:space="preserve">Dientes del planetario (MG1)</t>
  </si>
  <si>
    <t xml:space="preserve">Zs</t>
  </si>
  <si>
    <t xml:space="preserve">THS de 2.ª generación</t>
  </si>
  <si>
    <t xml:space="preserve">Dientes de la corona (MG2)</t>
  </si>
  <si>
    <t xml:space="preserve">Zr</t>
  </si>
  <si>
    <t xml:space="preserve">Relación corona–ruedas</t>
  </si>
  <si>
    <t xml:space="preserve">if</t>
  </si>
  <si>
    <t xml:space="preserve">Radio bajo carga (híbrido)</t>
  </si>
  <si>
    <t xml:space="preserve">rch</t>
  </si>
  <si>
    <t xml:space="preserve">Par del motor térmico</t>
  </si>
  <si>
    <t xml:space="preserve">Te</t>
  </si>
  <si>
    <t xml:space="preserve">N·m</t>
  </si>
  <si>
    <t xml:space="preserve">Geometría del variador</t>
  </si>
  <si>
    <t xml:space="preserve">RESULTADO</t>
  </si>
  <si>
    <t xml:space="preserve">Longitud de la correa</t>
  </si>
  <si>
    <t xml:space="preserve">L</t>
  </si>
  <si>
    <t xml:space="preserve">Ec. (2) con r1 = r2 = r0</t>
  </si>
  <si>
    <t xml:space="preserve">r1 (mm)</t>
  </si>
  <si>
    <t xml:space="preserve">Coef. A</t>
  </si>
  <si>
    <t xml:space="preserve">Coef. B</t>
  </si>
  <si>
    <t xml:space="preserve">Coef. C</t>
  </si>
  <si>
    <t xml:space="preserve">r2 (mm)</t>
  </si>
  <si>
    <t xml:space="preserve">i = r2/r1</t>
  </si>
  <si>
    <t xml:space="preserve">Comprobación L (mm)</t>
  </si>
  <si>
    <t xml:space="preserve">Relación máxima (r1 mín.)</t>
  </si>
  <si>
    <t xml:space="preserve">Relación mínima (r1 máx.)</t>
  </si>
  <si>
    <t xml:space="preserve">Estrategia de régimen constante</t>
  </si>
  <si>
    <t xml:space="preserve">V (km/h)</t>
  </si>
  <si>
    <t xml:space="preserve">i necesaria</t>
  </si>
  <si>
    <t xml:space="preserve">i aplicada (limitada)</t>
  </si>
  <si>
    <t xml:space="preserve">n motor (min⁻¹)</t>
  </si>
  <si>
    <t xml:space="preserve">Velocidades de MG1 y MG2 en el tren de reparto de potencia</t>
  </si>
  <si>
    <t xml:space="preserve">Escenario</t>
  </si>
  <si>
    <t xml:space="preserve">n MG2 = n corona</t>
  </si>
  <si>
    <t xml:space="preserve">n MG1</t>
  </si>
  <si>
    <t xml:space="preserve">Comprobación Willis (debe ser 0)</t>
  </si>
  <si>
    <t xml:space="preserve">Modo eléctrico (EV)</t>
  </si>
  <si>
    <t xml:space="preserve">Crucero</t>
  </si>
  <si>
    <t xml:space="preserve">Aceleración fuerte</t>
  </si>
  <si>
    <t xml:space="preserve">MG1 motor 0</t>
  </si>
  <si>
    <t xml:space="preserve">MG1 motor 1500</t>
  </si>
  <si>
    <t xml:space="preserve">MG1 motor 2500</t>
  </si>
  <si>
    <t xml:space="preserve">MG1 motor 4000</t>
  </si>
  <si>
    <t xml:space="preserve">Reparto de par del motor térmico</t>
  </si>
  <si>
    <t xml:space="preserve">RESULTADOS</t>
  </si>
  <si>
    <t xml:space="preserve">Par que recibe el planetario (MG1)</t>
  </si>
  <si>
    <t xml:space="preserve">Ts</t>
  </si>
  <si>
    <t xml:space="preserve">Ec. (9)</t>
  </si>
  <si>
    <t xml:space="preserve">Par que recibe la corona (ruedas)</t>
  </si>
  <si>
    <t xml:space="preserve">Tr</t>
  </si>
  <si>
    <t xml:space="preserve">Fracción a la corona</t>
  </si>
  <si>
    <t xml:space="preserve">n MG1 (min⁻¹)</t>
  </si>
  <si>
    <t xml:space="preserve">Potencia en MG1 (kW)</t>
  </si>
  <si>
    <t xml:space="preserve">Función de MG1</t>
  </si>
  <si>
    <t xml:space="preserve">Convención: potencia positiva = MG1 absorbe potencia del motor térmico (genera electricidad). El planetario soporta un par de reacción opuesto al del motor.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</si>
</sst>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99999"/>
      <rgbColor rgb="FF003366"/>
      <rgbColor rgb="FF2E7D32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Relación de la CVT según el radio primario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"i = r2/r1"</c:f>
              <c:strCache>
                <c:ptCount val="1"/>
                <c:pt idx="0">
                  <c:v>i = r2/r1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2_CVT_poleas!$A$7:$A$17</c:f>
              <c:numCache>
                <c:formatCode>General</c:formatCode>
                <c:ptCount val="11"/>
                <c:pt idx="0">
                  <c:v>28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52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71</c:v>
                </c:pt>
              </c:numCache>
            </c:numRef>
          </c:xVal>
          <c:yVal>
            <c:numRef>
              <c:f>2_CVT_poleas!$F$7:$F$17</c:f>
              <c:numCache>
                <c:formatCode>General</c:formatCode>
                <c:ptCount val="11"/>
                <c:pt idx="0">
                  <c:v>2.57216075244297</c:v>
                </c:pt>
                <c:pt idx="1">
                  <c:v>2.35375923056089</c:v>
                </c:pt>
                <c:pt idx="2">
                  <c:v>1.91168683511612</c:v>
                </c:pt>
                <c:pt idx="3">
                  <c:v>1.57302703750238</c:v>
                </c:pt>
                <c:pt idx="4">
                  <c:v>1.30264658777858</c:v>
                </c:pt>
                <c:pt idx="5">
                  <c:v>1.07935342371462</c:v>
                </c:pt>
                <c:pt idx="6">
                  <c:v>1</c:v>
                </c:pt>
                <c:pt idx="7">
                  <c:v>0.889530726292383</c:v>
                </c:pt>
                <c:pt idx="8">
                  <c:v>0.723943320189359</c:v>
                </c:pt>
                <c:pt idx="9">
                  <c:v>0.57600297496727</c:v>
                </c:pt>
                <c:pt idx="10">
                  <c:v>0.414867510908514</c:v>
                </c:pt>
              </c:numCache>
            </c:numRef>
          </c:yVal>
          <c:smooth val="0"/>
        </c:ser>
        <c:axId val="89634395"/>
        <c:axId val="39093819"/>
      </c:scatterChart>
      <c:valAx>
        <c:axId val="8963439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r1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093819"/>
        <c:crosses val="autoZero"/>
        <c:crossBetween val="midCat"/>
      </c:valAx>
      <c:valAx>
        <c:axId val="390938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63439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Régimen del motor con CVT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"n motor"</c:f>
              <c:strCache>
                <c:ptCount val="1"/>
                <c:pt idx="0">
                  <c:v>n motor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3_CVT_estrategia!$A$4:$A$21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</c:numCache>
            </c:numRef>
          </c:xVal>
          <c:yVal>
            <c:numRef>
              <c:f>3_CVT_estrategia!$D$4:$D$21</c:f>
              <c:numCache>
                <c:formatCode>General</c:formatCode>
                <c:ptCount val="18"/>
                <c:pt idx="0">
                  <c:v>1250.82972046298</c:v>
                </c:pt>
                <c:pt idx="1">
                  <c:v>2500</c:v>
                </c:pt>
                <c:pt idx="2">
                  <c:v>2500</c:v>
                </c:pt>
                <c:pt idx="3">
                  <c:v>2500</c:v>
                </c:pt>
                <c:pt idx="4">
                  <c:v>2500</c:v>
                </c:pt>
                <c:pt idx="5">
                  <c:v>2500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2500</c:v>
                </c:pt>
                <c:pt idx="12">
                  <c:v>2622.72564367451</c:v>
                </c:pt>
                <c:pt idx="13">
                  <c:v>2824.47377011102</c:v>
                </c:pt>
                <c:pt idx="14">
                  <c:v>3026.22189654752</c:v>
                </c:pt>
                <c:pt idx="15">
                  <c:v>3227.97002298402</c:v>
                </c:pt>
                <c:pt idx="16">
                  <c:v>3429.71814942052</c:v>
                </c:pt>
                <c:pt idx="17">
                  <c:v>3631.46627585702</c:v>
                </c:pt>
              </c:numCache>
            </c:numRef>
          </c:yVal>
          <c:smooth val="0"/>
        </c:ser>
        <c:axId val="36007886"/>
        <c:axId val="92368810"/>
      </c:scatterChart>
      <c:valAx>
        <c:axId val="36007886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 (km/h)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368810"/>
        <c:crosses val="autoZero"/>
        <c:crossBetween val="midCat"/>
      </c:valAx>
      <c:valAx>
        <c:axId val="9236881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min⁻¹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007886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Relación aplicada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"i aplicada"</c:f>
              <c:strCache>
                <c:ptCount val="1"/>
                <c:pt idx="0">
                  <c:v>i aplicada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3_CVT_estrategia!$A$4:$A$21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</c:numCache>
            </c:numRef>
          </c:xVal>
          <c:yVal>
            <c:numRef>
              <c:f>3_CVT_estrategia!$C$4:$C$21</c:f>
              <c:numCache>
                <c:formatCode>General</c:formatCode>
                <c:ptCount val="18"/>
                <c:pt idx="0">
                  <c:v>2.57216075244297</c:v>
                </c:pt>
                <c:pt idx="1">
                  <c:v>2.57045454545455</c:v>
                </c:pt>
                <c:pt idx="2">
                  <c:v>1.71363636363636</c:v>
                </c:pt>
                <c:pt idx="3">
                  <c:v>1.28522727272727</c:v>
                </c:pt>
                <c:pt idx="4">
                  <c:v>1.02818181818182</c:v>
                </c:pt>
                <c:pt idx="5">
                  <c:v>0.856818181818182</c:v>
                </c:pt>
                <c:pt idx="6">
                  <c:v>0.734415584415584</c:v>
                </c:pt>
                <c:pt idx="7">
                  <c:v>0.642613636363636</c:v>
                </c:pt>
                <c:pt idx="8">
                  <c:v>0.571212121212121</c:v>
                </c:pt>
                <c:pt idx="9">
                  <c:v>0.514090909090909</c:v>
                </c:pt>
                <c:pt idx="10">
                  <c:v>0.467355371900826</c:v>
                </c:pt>
                <c:pt idx="11">
                  <c:v>0.428409090909091</c:v>
                </c:pt>
                <c:pt idx="12">
                  <c:v>0.414867510908514</c:v>
                </c:pt>
                <c:pt idx="13">
                  <c:v>0.414867510908514</c:v>
                </c:pt>
                <c:pt idx="14">
                  <c:v>0.414867510908514</c:v>
                </c:pt>
                <c:pt idx="15">
                  <c:v>0.414867510908514</c:v>
                </c:pt>
                <c:pt idx="16">
                  <c:v>0.414867510908514</c:v>
                </c:pt>
                <c:pt idx="17">
                  <c:v>0.414867510908514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 necesaria"</c:f>
              <c:strCache>
                <c:ptCount val="1"/>
                <c:pt idx="0">
                  <c:v>i necesaria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3_CVT_estrategia!$A$4:$A$21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</c:numCache>
            </c:numRef>
          </c:xVal>
          <c:yVal>
            <c:numRef>
              <c:f>3_CVT_estrategia!$B$4:$B$21</c:f>
              <c:numCache>
                <c:formatCode>General</c:formatCode>
                <c:ptCount val="18"/>
                <c:pt idx="0">
                  <c:v>5.14090909090909</c:v>
                </c:pt>
                <c:pt idx="1">
                  <c:v>2.57045454545455</c:v>
                </c:pt>
                <c:pt idx="2">
                  <c:v>1.71363636363636</c:v>
                </c:pt>
                <c:pt idx="3">
                  <c:v>1.28522727272727</c:v>
                </c:pt>
                <c:pt idx="4">
                  <c:v>1.02818181818182</c:v>
                </c:pt>
                <c:pt idx="5">
                  <c:v>0.856818181818182</c:v>
                </c:pt>
                <c:pt idx="6">
                  <c:v>0.734415584415584</c:v>
                </c:pt>
                <c:pt idx="7">
                  <c:v>0.642613636363636</c:v>
                </c:pt>
                <c:pt idx="8">
                  <c:v>0.571212121212121</c:v>
                </c:pt>
                <c:pt idx="9">
                  <c:v>0.514090909090909</c:v>
                </c:pt>
                <c:pt idx="10">
                  <c:v>0.467355371900826</c:v>
                </c:pt>
                <c:pt idx="11">
                  <c:v>0.428409090909091</c:v>
                </c:pt>
                <c:pt idx="12">
                  <c:v>0.395454545454545</c:v>
                </c:pt>
                <c:pt idx="13">
                  <c:v>0.367207792207792</c:v>
                </c:pt>
                <c:pt idx="14">
                  <c:v>0.342727272727273</c:v>
                </c:pt>
                <c:pt idx="15">
                  <c:v>0.321306818181818</c:v>
                </c:pt>
                <c:pt idx="16">
                  <c:v>0.3024064171123</c:v>
                </c:pt>
                <c:pt idx="17">
                  <c:v>0.285606060606061</c:v>
                </c:pt>
              </c:numCache>
            </c:numRef>
          </c:yVal>
          <c:smooth val="0"/>
        </c:ser>
        <c:axId val="82455734"/>
        <c:axId val="38946565"/>
      </c:scatterChart>
      <c:valAx>
        <c:axId val="82455734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 (km/h)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946565"/>
        <c:crosses val="autoZero"/>
        <c:crossBetween val="midCat"/>
      </c:valAx>
      <c:valAx>
        <c:axId val="3894656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45573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Régimen de MG1 según velocidad y régimen del motor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"Motor 0"</c:f>
              <c:strCache>
                <c:ptCount val="1"/>
                <c:pt idx="0">
                  <c:v>Motor 0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4_eCVT_velocidades!$A$10:$A$19</c:f>
              <c:numCache>
                <c:formatCode>General</c:formatCode>
                <c:ptCount val="10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</c:numCache>
            </c:numRef>
          </c:xVal>
          <c:yVal>
            <c:numRef>
              <c:f>4_eCVT_velocidades!$B$10:$B$19</c:f>
              <c:numCache>
                <c:formatCode>General</c:formatCode>
                <c:ptCount val="10"/>
                <c:pt idx="0">
                  <c:v>0</c:v>
                </c:pt>
                <c:pt idx="1">
                  <c:v>-1891.03448275862</c:v>
                </c:pt>
                <c:pt idx="2">
                  <c:v>-3782.06896551724</c:v>
                </c:pt>
                <c:pt idx="3">
                  <c:v>-5673.10344827586</c:v>
                </c:pt>
                <c:pt idx="4">
                  <c:v>-7564.13793103448</c:v>
                </c:pt>
                <c:pt idx="5">
                  <c:v>-9455.17241379311</c:v>
                </c:pt>
                <c:pt idx="6">
                  <c:v>-11346.2068965517</c:v>
                </c:pt>
                <c:pt idx="7">
                  <c:v>-13237.2413793103</c:v>
                </c:pt>
                <c:pt idx="8">
                  <c:v>-15128.275862069</c:v>
                </c:pt>
                <c:pt idx="9">
                  <c:v>-17019.3103448276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"Motor 1500"</c:f>
              <c:strCache>
                <c:ptCount val="1"/>
                <c:pt idx="0">
                  <c:v>Motor 1500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4_eCVT_velocidades!$A$10:$A$19</c:f>
              <c:numCache>
                <c:formatCode>General</c:formatCode>
                <c:ptCount val="10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</c:numCache>
            </c:numRef>
          </c:xVal>
          <c:yVal>
            <c:numRef>
              <c:f>4_eCVT_velocidades!$C$10:$C$19</c:f>
              <c:numCache>
                <c:formatCode>General</c:formatCode>
                <c:ptCount val="10"/>
                <c:pt idx="0">
                  <c:v>5400</c:v>
                </c:pt>
                <c:pt idx="1">
                  <c:v>3508.96551724138</c:v>
                </c:pt>
                <c:pt idx="2">
                  <c:v>1617.93103448276</c:v>
                </c:pt>
                <c:pt idx="3">
                  <c:v>-273.103448275864</c:v>
                </c:pt>
                <c:pt idx="4">
                  <c:v>-2164.13793103448</c:v>
                </c:pt>
                <c:pt idx="5">
                  <c:v>-4055.17241379311</c:v>
                </c:pt>
                <c:pt idx="6">
                  <c:v>-5946.20689655173</c:v>
                </c:pt>
                <c:pt idx="7">
                  <c:v>-7837.24137931035</c:v>
                </c:pt>
                <c:pt idx="8">
                  <c:v>-9728.27586206897</c:v>
                </c:pt>
                <c:pt idx="9">
                  <c:v>-11619.3103448276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"Motor 2500"</c:f>
              <c:strCache>
                <c:ptCount val="1"/>
                <c:pt idx="0">
                  <c:v>Motor 2500</c:v>
                </c:pt>
              </c:strCache>
            </c:strRef>
          </c:tx>
          <c:spPr>
            <a:solidFill>
              <a:srgbClr val="2e7d32"/>
            </a:solidFill>
            <a:ln w="21960">
              <a:solidFill>
                <a:srgbClr val="2e7d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4_eCVT_velocidades!$A$10:$A$19</c:f>
              <c:numCache>
                <c:formatCode>General</c:formatCode>
                <c:ptCount val="10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</c:numCache>
            </c:numRef>
          </c:xVal>
          <c:yVal>
            <c:numRef>
              <c:f>4_eCVT_velocidades!$D$10:$D$19</c:f>
              <c:numCache>
                <c:formatCode>General</c:formatCode>
                <c:ptCount val="10"/>
                <c:pt idx="0">
                  <c:v>9000</c:v>
                </c:pt>
                <c:pt idx="1">
                  <c:v>7108.96551724138</c:v>
                </c:pt>
                <c:pt idx="2">
                  <c:v>5217.93103448276</c:v>
                </c:pt>
                <c:pt idx="3">
                  <c:v>3326.89655172414</c:v>
                </c:pt>
                <c:pt idx="4">
                  <c:v>1435.86206896552</c:v>
                </c:pt>
                <c:pt idx="5">
                  <c:v>-455.172413793105</c:v>
                </c:pt>
                <c:pt idx="6">
                  <c:v>-2346.20689655173</c:v>
                </c:pt>
                <c:pt idx="7">
                  <c:v>-4237.24137931035</c:v>
                </c:pt>
                <c:pt idx="8">
                  <c:v>-6128.27586206897</c:v>
                </c:pt>
                <c:pt idx="9">
                  <c:v>-8019.31034482759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"Motor 4000"</c:f>
              <c:strCache>
                <c:ptCount val="1"/>
                <c:pt idx="0">
                  <c:v>Motor 4000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4_eCVT_velocidades!$A$10:$A$19</c:f>
              <c:numCache>
                <c:formatCode>General</c:formatCode>
                <c:ptCount val="10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</c:numCache>
            </c:numRef>
          </c:xVal>
          <c:yVal>
            <c:numRef>
              <c:f>4_eCVT_velocidades!$E$10:$E$19</c:f>
              <c:numCache>
                <c:formatCode>General</c:formatCode>
                <c:ptCount val="10"/>
                <c:pt idx="0">
                  <c:v>14400</c:v>
                </c:pt>
                <c:pt idx="1">
                  <c:v>12508.9655172414</c:v>
                </c:pt>
                <c:pt idx="2">
                  <c:v>10617.9310344828</c:v>
                </c:pt>
                <c:pt idx="3">
                  <c:v>8726.89655172414</c:v>
                </c:pt>
                <c:pt idx="4">
                  <c:v>6835.86206896552</c:v>
                </c:pt>
                <c:pt idx="5">
                  <c:v>4944.8275862069</c:v>
                </c:pt>
                <c:pt idx="6">
                  <c:v>3053.79310344827</c:v>
                </c:pt>
                <c:pt idx="7">
                  <c:v>1162.75862068965</c:v>
                </c:pt>
                <c:pt idx="8">
                  <c:v>-728.275862068968</c:v>
                </c:pt>
                <c:pt idx="9">
                  <c:v>-2619.31034482759</c:v>
                </c:pt>
              </c:numCache>
            </c:numRef>
          </c:yVal>
          <c:smooth val="0"/>
        </c:ser>
        <c:axId val="33699658"/>
        <c:axId val="40970173"/>
      </c:scatterChart>
      <c:valAx>
        <c:axId val="33699658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 (km/h)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970173"/>
        <c:crosses val="autoZero"/>
        <c:crossBetween val="midCat"/>
      </c:valAx>
      <c:valAx>
        <c:axId val="409701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min⁻¹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69965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0</xdr:rowOff>
    </xdr:from>
    <xdr:to>
      <xdr:col>20</xdr:col>
      <xdr:colOff>581400</xdr:colOff>
      <xdr:row>22</xdr:row>
      <xdr:rowOff>169920</xdr:rowOff>
    </xdr:to>
    <xdr:graphicFrame>
      <xdr:nvGraphicFramePr>
        <xdr:cNvPr id="0" name="Chart 1"/>
        <xdr:cNvGraphicFramePr/>
      </xdr:nvGraphicFramePr>
      <xdr:xfrm>
        <a:off x="4892040" y="3808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17</xdr:col>
      <xdr:colOff>581400</xdr:colOff>
      <xdr:row>21</xdr:row>
      <xdr:rowOff>189360</xdr:rowOff>
    </xdr:to>
    <xdr:graphicFrame>
      <xdr:nvGraphicFramePr>
        <xdr:cNvPr id="1" name="Chart 1"/>
        <xdr:cNvGraphicFramePr/>
      </xdr:nvGraphicFramePr>
      <xdr:xfrm>
        <a:off x="3057480" y="3808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24</xdr:row>
      <xdr:rowOff>61200</xdr:rowOff>
    </xdr:from>
    <xdr:to>
      <xdr:col>17</xdr:col>
      <xdr:colOff>581400</xdr:colOff>
      <xdr:row>46</xdr:row>
      <xdr:rowOff>189720</xdr:rowOff>
    </xdr:to>
    <xdr:graphicFrame>
      <xdr:nvGraphicFramePr>
        <xdr:cNvPr id="2" name="Chart 2"/>
        <xdr:cNvGraphicFramePr/>
      </xdr:nvGraphicFramePr>
      <xdr:xfrm>
        <a:off x="3057480" y="51436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19</xdr:col>
      <xdr:colOff>581400</xdr:colOff>
      <xdr:row>19</xdr:row>
      <xdr:rowOff>59760</xdr:rowOff>
    </xdr:to>
    <xdr:graphicFrame>
      <xdr:nvGraphicFramePr>
        <xdr:cNvPr id="3" name="Chart 1"/>
        <xdr:cNvGraphicFramePr/>
      </xdr:nvGraphicFramePr>
      <xdr:xfrm>
        <a:off x="5501520" y="3808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28.3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55"/>
  </cols>
  <sheetData>
    <row r="1" customFormat="false" ht="15" hidden="false" customHeight="false" outlineLevel="0" collapsed="false">
      <c r="A1" s="4" t="s">
        <v>14</v>
      </c>
    </row>
    <row r="3" customFormat="false" ht="15" hidden="false" customHeight="false" outlineLevel="0" collapsed="false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</row>
    <row r="4" customFormat="false" ht="15" hidden="false" customHeight="false" outlineLevel="0" collapsed="false">
      <c r="A4" s="0" t="s">
        <v>20</v>
      </c>
      <c r="B4" s="0" t="s">
        <v>21</v>
      </c>
      <c r="C4" s="6" t="n">
        <v>155</v>
      </c>
      <c r="D4" s="7" t="s">
        <v>22</v>
      </c>
    </row>
    <row r="5" customFormat="false" ht="15" hidden="false" customHeight="false" outlineLevel="0" collapsed="false">
      <c r="A5" s="0" t="s">
        <v>23</v>
      </c>
      <c r="B5" s="0" t="s">
        <v>24</v>
      </c>
      <c r="C5" s="6" t="n">
        <v>52</v>
      </c>
      <c r="D5" s="7" t="s">
        <v>22</v>
      </c>
      <c r="E5" s="7" t="s">
        <v>25</v>
      </c>
    </row>
    <row r="6" customFormat="false" ht="15" hidden="false" customHeight="false" outlineLevel="0" collapsed="false">
      <c r="A6" s="0" t="s">
        <v>26</v>
      </c>
      <c r="B6" s="0" t="s">
        <v>27</v>
      </c>
      <c r="C6" s="6" t="n">
        <v>28</v>
      </c>
      <c r="D6" s="7" t="s">
        <v>22</v>
      </c>
    </row>
    <row r="7" customFormat="false" ht="15" hidden="false" customHeight="false" outlineLevel="0" collapsed="false">
      <c r="A7" s="0" t="s">
        <v>28</v>
      </c>
      <c r="B7" s="0" t="s">
        <v>29</v>
      </c>
      <c r="C7" s="6" t="n">
        <v>71</v>
      </c>
      <c r="D7" s="7" t="s">
        <v>22</v>
      </c>
    </row>
    <row r="8" customFormat="false" ht="15" hidden="false" customHeight="false" outlineLevel="0" collapsed="false">
      <c r="A8" s="0" t="s">
        <v>30</v>
      </c>
      <c r="B8" s="0" t="s">
        <v>31</v>
      </c>
      <c r="C8" s="6" t="n">
        <v>5.5</v>
      </c>
      <c r="D8" s="7" t="s">
        <v>32</v>
      </c>
    </row>
    <row r="9" customFormat="false" ht="15" hidden="false" customHeight="false" outlineLevel="0" collapsed="false">
      <c r="A9" s="0" t="s">
        <v>33</v>
      </c>
      <c r="B9" s="0" t="s">
        <v>34</v>
      </c>
      <c r="C9" s="6" t="n">
        <v>0.3</v>
      </c>
      <c r="D9" s="7" t="s">
        <v>35</v>
      </c>
    </row>
    <row r="10" customFormat="false" ht="15" hidden="false" customHeight="false" outlineLevel="0" collapsed="false">
      <c r="A10" s="0" t="s">
        <v>36</v>
      </c>
      <c r="B10" s="0" t="s">
        <v>37</v>
      </c>
      <c r="C10" s="6" t="n">
        <v>2500</v>
      </c>
      <c r="D10" s="7" t="s">
        <v>38</v>
      </c>
      <c r="E10" s="7" t="s">
        <v>39</v>
      </c>
    </row>
    <row r="11" customFormat="false" ht="15" hidden="false" customHeight="false" outlineLevel="0" collapsed="false">
      <c r="A11" s="0" t="s">
        <v>40</v>
      </c>
      <c r="B11" s="0" t="s">
        <v>41</v>
      </c>
      <c r="C11" s="6" t="n">
        <v>30</v>
      </c>
      <c r="D11" s="7" t="s">
        <v>32</v>
      </c>
      <c r="E11" s="7" t="s">
        <v>42</v>
      </c>
    </row>
    <row r="12" customFormat="false" ht="15" hidden="false" customHeight="false" outlineLevel="0" collapsed="false">
      <c r="A12" s="0" t="s">
        <v>43</v>
      </c>
      <c r="B12" s="0" t="s">
        <v>44</v>
      </c>
      <c r="C12" s="6" t="n">
        <v>78</v>
      </c>
      <c r="D12" s="7" t="s">
        <v>32</v>
      </c>
    </row>
    <row r="13" customFormat="false" ht="15" hidden="false" customHeight="false" outlineLevel="0" collapsed="false">
      <c r="A13" s="0" t="s">
        <v>45</v>
      </c>
      <c r="B13" s="0" t="s">
        <v>46</v>
      </c>
      <c r="C13" s="6" t="n">
        <v>4.113</v>
      </c>
      <c r="D13" s="7" t="s">
        <v>32</v>
      </c>
    </row>
    <row r="14" customFormat="false" ht="15" hidden="false" customHeight="false" outlineLevel="0" collapsed="false">
      <c r="A14" s="0" t="s">
        <v>47</v>
      </c>
      <c r="B14" s="0" t="s">
        <v>48</v>
      </c>
      <c r="C14" s="6" t="n">
        <v>0.3</v>
      </c>
      <c r="D14" s="7" t="s">
        <v>35</v>
      </c>
    </row>
    <row r="15" customFormat="false" ht="15" hidden="false" customHeight="false" outlineLevel="0" collapsed="false">
      <c r="A15" s="0" t="s">
        <v>49</v>
      </c>
      <c r="B15" s="0" t="s">
        <v>50</v>
      </c>
      <c r="C15" s="6" t="n">
        <v>110</v>
      </c>
      <c r="D15" s="7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52</v>
      </c>
    </row>
    <row r="3" customFormat="false" ht="15" hidden="false" customHeight="false" outlineLevel="0" collapsed="false">
      <c r="A3" s="8" t="s">
        <v>53</v>
      </c>
    </row>
    <row r="4" customFormat="false" ht="15" hidden="false" customHeight="false" outlineLevel="0" collapsed="false">
      <c r="A4" s="0" t="s">
        <v>54</v>
      </c>
      <c r="B4" s="0" t="s">
        <v>55</v>
      </c>
      <c r="C4" s="9" t="n">
        <f aca="false">2*aa+PI()*2*r0</f>
        <v>636.725635973339</v>
      </c>
      <c r="D4" s="7" t="s">
        <v>22</v>
      </c>
      <c r="E4" s="7" t="s">
        <v>56</v>
      </c>
    </row>
    <row r="6" customFormat="false" ht="41.75" hidden="false" customHeight="false" outlineLevel="0" collapsed="false">
      <c r="A6" s="5" t="s">
        <v>57</v>
      </c>
      <c r="B6" s="5" t="s">
        <v>58</v>
      </c>
      <c r="C6" s="5" t="s">
        <v>59</v>
      </c>
      <c r="D6" s="5" t="s">
        <v>60</v>
      </c>
      <c r="E6" s="5" t="s">
        <v>61</v>
      </c>
      <c r="F6" s="5" t="s">
        <v>62</v>
      </c>
      <c r="G6" s="5" t="s">
        <v>63</v>
      </c>
    </row>
    <row r="7" customFormat="false" ht="15" hidden="false" customHeight="false" outlineLevel="0" collapsed="false">
      <c r="A7" s="0" t="n">
        <v>28</v>
      </c>
      <c r="B7" s="10" t="n">
        <f aca="false">1/aa</f>
        <v>0.00645161290322581</v>
      </c>
      <c r="C7" s="10" t="n">
        <f aca="false">PI()-2*A7/aa</f>
        <v>2.78030233100915</v>
      </c>
      <c r="D7" s="10" t="n">
        <f aca="false">A7^2/aa+PI()*A7+2*aa-Lb</f>
        <v>-233.702977156695</v>
      </c>
      <c r="E7" s="10" t="n">
        <f aca="false">(-C7+SQRT(C7^2-4*B7*D7))/(2*B7)</f>
        <v>72.0205010684033</v>
      </c>
      <c r="F7" s="10" t="n">
        <f aca="false">E7/A7</f>
        <v>2.57216075244297</v>
      </c>
      <c r="G7" s="10" t="n">
        <f aca="false">2*aa+PI()*(A7+E7)+(E7-A7)^2/aa</f>
        <v>636.725635973339</v>
      </c>
    </row>
    <row r="8" customFormat="false" ht="15" hidden="false" customHeight="false" outlineLevel="0" collapsed="false">
      <c r="A8" s="0" t="n">
        <v>30</v>
      </c>
      <c r="B8" s="10" t="n">
        <f aca="false">1/aa</f>
        <v>0.00645161290322581</v>
      </c>
      <c r="C8" s="10" t="n">
        <f aca="false">PI()-2*A8/aa</f>
        <v>2.75449587939624</v>
      </c>
      <c r="D8" s="10" t="n">
        <f aca="false">A8^2/aa+PI()*A8+2*aa-Lb</f>
        <v>-226.671404752742</v>
      </c>
      <c r="E8" s="10" t="n">
        <f aca="false">(-C8+SQRT(C8^2-4*B8*D8))/(2*B8)</f>
        <v>70.6127769168266</v>
      </c>
      <c r="F8" s="10" t="n">
        <f aca="false">E8/A8</f>
        <v>2.35375923056089</v>
      </c>
      <c r="G8" s="10" t="n">
        <f aca="false">2*aa+PI()*(A8+E8)+(E8-A8)^2/aa</f>
        <v>636.725635973339</v>
      </c>
    </row>
    <row r="9" customFormat="false" ht="15" hidden="false" customHeight="false" outlineLevel="0" collapsed="false">
      <c r="A9" s="0" t="n">
        <v>35</v>
      </c>
      <c r="B9" s="10" t="n">
        <f aca="false">1/aa</f>
        <v>0.00645161290322581</v>
      </c>
      <c r="C9" s="10" t="n">
        <f aca="false">PI()-2*A9/aa</f>
        <v>2.68997975036399</v>
      </c>
      <c r="D9" s="10" t="n">
        <f aca="false">A9^2/aa+PI()*A9+2*aa-Lb</f>
        <v>-208.866667291244</v>
      </c>
      <c r="E9" s="10" t="n">
        <f aca="false">(-C9+SQRT(C9^2-4*B9*D9))/(2*B9)</f>
        <v>66.9090392290644</v>
      </c>
      <c r="F9" s="10" t="n">
        <f aca="false">E9/A9</f>
        <v>1.91168683511612</v>
      </c>
      <c r="G9" s="10" t="n">
        <f aca="false">2*aa+PI()*(A9+E9)+(E9-A9)^2/aa</f>
        <v>636.725635973339</v>
      </c>
    </row>
    <row r="10" customFormat="false" ht="15" hidden="false" customHeight="false" outlineLevel="0" collapsed="false">
      <c r="A10" s="0" t="n">
        <v>40</v>
      </c>
      <c r="B10" s="10" t="n">
        <f aca="false">1/aa</f>
        <v>0.00645161290322581</v>
      </c>
      <c r="C10" s="10" t="n">
        <f aca="false">PI()-2*A10/aa</f>
        <v>2.62546362133173</v>
      </c>
      <c r="D10" s="10" t="n">
        <f aca="false">A10^2/aa+PI()*A10+2*aa-Lb</f>
        <v>-190.739349184586</v>
      </c>
      <c r="E10" s="10" t="n">
        <f aca="false">(-C10+SQRT(C10^2-4*B10*D10))/(2*B10)</f>
        <v>62.9210815000953</v>
      </c>
      <c r="F10" s="10" t="n">
        <f aca="false">E10/A10</f>
        <v>1.57302703750238</v>
      </c>
      <c r="G10" s="10" t="n">
        <f aca="false">2*aa+PI()*(A10+E10)+(E10-A10)^2/aa</f>
        <v>636.725635973339</v>
      </c>
    </row>
    <row r="11" customFormat="false" ht="15" hidden="false" customHeight="false" outlineLevel="0" collapsed="false">
      <c r="A11" s="0" t="n">
        <v>45</v>
      </c>
      <c r="B11" s="10" t="n">
        <f aca="false">1/aa</f>
        <v>0.00645161290322581</v>
      </c>
      <c r="C11" s="10" t="n">
        <f aca="false">PI()-2*A11/aa</f>
        <v>2.56094749229947</v>
      </c>
      <c r="D11" s="10" t="n">
        <f aca="false">A11^2/aa+PI()*A11+2*aa-Lb</f>
        <v>-172.289450432766</v>
      </c>
      <c r="E11" s="10" t="n">
        <f aca="false">(-C11+SQRT(C11^2-4*B11*D11))/(2*B11)</f>
        <v>58.6190964500361</v>
      </c>
      <c r="F11" s="10" t="n">
        <f aca="false">E11/A11</f>
        <v>1.30264658777858</v>
      </c>
      <c r="G11" s="10" t="n">
        <f aca="false">2*aa+PI()*(A11+E11)+(E11-A11)^2/aa</f>
        <v>636.725635973339</v>
      </c>
    </row>
    <row r="12" customFormat="false" ht="15" hidden="false" customHeight="false" outlineLevel="0" collapsed="false">
      <c r="A12" s="0" t="n">
        <v>50</v>
      </c>
      <c r="B12" s="10" t="n">
        <f aca="false">1/aa</f>
        <v>0.00645161290322581</v>
      </c>
      <c r="C12" s="10" t="n">
        <f aca="false">PI()-2*A12/aa</f>
        <v>2.49643136326721</v>
      </c>
      <c r="D12" s="10" t="n">
        <f aca="false">A12^2/aa+PI()*A12+2*aa-Lb</f>
        <v>-153.516971035784</v>
      </c>
      <c r="E12" s="10" t="n">
        <f aca="false">(-C12+SQRT(C12^2-4*B12*D12))/(2*B12)</f>
        <v>53.9676711857309</v>
      </c>
      <c r="F12" s="10" t="n">
        <f aca="false">E12/A12</f>
        <v>1.07935342371462</v>
      </c>
      <c r="G12" s="10" t="n">
        <f aca="false">2*aa+PI()*(A12+E12)+(E12-A12)^2/aa</f>
        <v>636.725635973339</v>
      </c>
    </row>
    <row r="13" customFormat="false" ht="15" hidden="false" customHeight="false" outlineLevel="0" collapsed="false">
      <c r="A13" s="0" t="n">
        <v>52</v>
      </c>
      <c r="B13" s="10" t="n">
        <f aca="false">1/aa</f>
        <v>0.00645161290322581</v>
      </c>
      <c r="C13" s="10" t="n">
        <f aca="false">PI()-2*A13/aa</f>
        <v>2.47062491165431</v>
      </c>
      <c r="D13" s="10" t="n">
        <f aca="false">A13^2/aa+PI()*A13+2*aa-Lb</f>
        <v>-145.917656696347</v>
      </c>
      <c r="E13" s="10" t="n">
        <f aca="false">(-C13+SQRT(C13^2-4*B13*D13))/(2*B13)</f>
        <v>52</v>
      </c>
      <c r="F13" s="10" t="n">
        <f aca="false">E13/A13</f>
        <v>1</v>
      </c>
      <c r="G13" s="10" t="n">
        <f aca="false">2*aa+PI()*(A13+E13)+(E13-A13)^2/aa</f>
        <v>636.725635973339</v>
      </c>
    </row>
    <row r="14" customFormat="false" ht="15" hidden="false" customHeight="false" outlineLevel="0" collapsed="false">
      <c r="A14" s="0" t="n">
        <v>55</v>
      </c>
      <c r="B14" s="10" t="n">
        <f aca="false">1/aa</f>
        <v>0.00645161290322581</v>
      </c>
      <c r="C14" s="10" t="n">
        <f aca="false">PI()-2*A14/aa</f>
        <v>2.43191523423495</v>
      </c>
      <c r="D14" s="10" t="n">
        <f aca="false">A14^2/aa+PI()*A14+2*aa-Lb</f>
        <v>-134.421910993642</v>
      </c>
      <c r="E14" s="10" t="n">
        <f aca="false">(-C14+SQRT(C14^2-4*B14*D14))/(2*B14)</f>
        <v>48.9241899460811</v>
      </c>
      <c r="F14" s="10" t="n">
        <f aca="false">E14/A14</f>
        <v>0.889530726292383</v>
      </c>
      <c r="G14" s="10" t="n">
        <f aca="false">2*aa+PI()*(A14+E14)+(E14-A14)^2/aa</f>
        <v>636.725635973339</v>
      </c>
    </row>
    <row r="15" customFormat="false" ht="15" hidden="false" customHeight="false" outlineLevel="0" collapsed="false">
      <c r="A15" s="0" t="n">
        <v>60</v>
      </c>
      <c r="B15" s="10" t="n">
        <f aca="false">1/aa</f>
        <v>0.00645161290322581</v>
      </c>
      <c r="C15" s="10" t="n">
        <f aca="false">PI()-2*A15/aa</f>
        <v>2.3673991052027</v>
      </c>
      <c r="D15" s="10" t="n">
        <f aca="false">A15^2/aa+PI()*A15+2*aa-Lb</f>
        <v>-115.004270306338</v>
      </c>
      <c r="E15" s="10" t="n">
        <f aca="false">(-C15+SQRT(C15^2-4*B15*D15))/(2*B15)</f>
        <v>43.4365992113616</v>
      </c>
      <c r="F15" s="10" t="n">
        <f aca="false">E15/A15</f>
        <v>0.723943320189359</v>
      </c>
      <c r="G15" s="10" t="n">
        <f aca="false">2*aa+PI()*(A15+E15)+(E15-A15)^2/aa</f>
        <v>636.725635973339</v>
      </c>
    </row>
    <row r="16" customFormat="false" ht="15" hidden="false" customHeight="false" outlineLevel="0" collapsed="false">
      <c r="A16" s="0" t="n">
        <v>65</v>
      </c>
      <c r="B16" s="10" t="n">
        <f aca="false">1/aa</f>
        <v>0.00645161290322581</v>
      </c>
      <c r="C16" s="10" t="n">
        <f aca="false">PI()-2*A16/aa</f>
        <v>2.30288297617044</v>
      </c>
      <c r="D16" s="10" t="n">
        <f aca="false">A16^2/aa+PI()*A16+2*aa-Lb</f>
        <v>-95.264048973873</v>
      </c>
      <c r="E16" s="10" t="n">
        <f aca="false">(-C16+SQRT(C16^2-4*B16*D16))/(2*B16)</f>
        <v>37.4401933728726</v>
      </c>
      <c r="F16" s="10" t="n">
        <f aca="false">E16/A16</f>
        <v>0.57600297496727</v>
      </c>
      <c r="G16" s="10" t="n">
        <f aca="false">2*aa+PI()*(A16+E16)+(E16-A16)^2/aa</f>
        <v>636.725635973339</v>
      </c>
    </row>
    <row r="17" customFormat="false" ht="15" hidden="false" customHeight="false" outlineLevel="0" collapsed="false">
      <c r="A17" s="0" t="n">
        <v>71</v>
      </c>
      <c r="B17" s="10" t="n">
        <f aca="false">1/aa</f>
        <v>0.00645161290322581</v>
      </c>
      <c r="C17" s="10" t="n">
        <f aca="false">PI()-2*A17/aa</f>
        <v>2.22546362133173</v>
      </c>
      <c r="D17" s="10" t="n">
        <f aca="false">A17^2/aa+PI()*A17+2*aa-Lb</f>
        <v>-71.1499769233019</v>
      </c>
      <c r="E17" s="10" t="n">
        <f aca="false">(-C17+SQRT(C17^2-4*B17*D17))/(2*B17)</f>
        <v>29.4555932745045</v>
      </c>
      <c r="F17" s="10" t="n">
        <f aca="false">E17/A17</f>
        <v>0.414867510908514</v>
      </c>
      <c r="G17" s="10" t="n">
        <f aca="false">2*aa+PI()*(A17+E17)+(E17-A17)^2/aa</f>
        <v>636.725635973339</v>
      </c>
    </row>
    <row r="19" customFormat="false" ht="15" hidden="false" customHeight="false" outlineLevel="0" collapsed="false">
      <c r="A19" s="0" t="s">
        <v>64</v>
      </c>
      <c r="F19" s="10" t="n">
        <f aca="false">INDEX(F7:F17,MATCH(r1min,A7:A17,0))</f>
        <v>2.57216075244297</v>
      </c>
    </row>
    <row r="20" customFormat="false" ht="15" hidden="false" customHeight="false" outlineLevel="0" collapsed="false">
      <c r="A20" s="0" t="s">
        <v>65</v>
      </c>
      <c r="F20" s="10" t="n">
        <f aca="false">INDEX(F7:F17,MATCH(r1max,A7:A17,0))</f>
        <v>0.414867510908514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66</v>
      </c>
    </row>
    <row r="3" customFormat="false" ht="55.2" hidden="false" customHeight="false" outlineLevel="0" collapsed="false">
      <c r="A3" s="5" t="s">
        <v>67</v>
      </c>
      <c r="B3" s="5" t="s">
        <v>68</v>
      </c>
      <c r="C3" s="5" t="s">
        <v>69</v>
      </c>
      <c r="D3" s="5" t="s">
        <v>70</v>
      </c>
    </row>
    <row r="4" customFormat="false" ht="15" hidden="false" customHeight="false" outlineLevel="0" collapsed="false">
      <c r="A4" s="0" t="n">
        <v>10</v>
      </c>
      <c r="B4" s="10" t="n">
        <f aca="false">0.377*ncte*rc/(A4*idc)</f>
        <v>5.14090909090909</v>
      </c>
      <c r="C4" s="10" t="n">
        <f aca="false">MAX(imin,MIN(imax,B4))</f>
        <v>2.57216075244297</v>
      </c>
      <c r="D4" s="10" t="n">
        <f aca="false">A4*C4*idc/(0.377*rc)</f>
        <v>1250.82972046298</v>
      </c>
    </row>
    <row r="5" customFormat="false" ht="15" hidden="false" customHeight="false" outlineLevel="0" collapsed="false">
      <c r="A5" s="0" t="n">
        <v>20</v>
      </c>
      <c r="B5" s="10" t="n">
        <f aca="false">0.377*ncte*rc/(A5*idc)</f>
        <v>2.57045454545455</v>
      </c>
      <c r="C5" s="10" t="n">
        <f aca="false">MAX(imin,MIN(imax,B5))</f>
        <v>2.57045454545455</v>
      </c>
      <c r="D5" s="10" t="n">
        <f aca="false">A5*C5*idc/(0.377*rc)</f>
        <v>2500</v>
      </c>
    </row>
    <row r="6" customFormat="false" ht="15" hidden="false" customHeight="false" outlineLevel="0" collapsed="false">
      <c r="A6" s="0" t="n">
        <v>30</v>
      </c>
      <c r="B6" s="10" t="n">
        <f aca="false">0.377*ncte*rc/(A6*idc)</f>
        <v>1.71363636363636</v>
      </c>
      <c r="C6" s="10" t="n">
        <f aca="false">MAX(imin,MIN(imax,B6))</f>
        <v>1.71363636363636</v>
      </c>
      <c r="D6" s="10" t="n">
        <f aca="false">A6*C6*idc/(0.377*rc)</f>
        <v>2500</v>
      </c>
    </row>
    <row r="7" customFormat="false" ht="15" hidden="false" customHeight="false" outlineLevel="0" collapsed="false">
      <c r="A7" s="0" t="n">
        <v>40</v>
      </c>
      <c r="B7" s="10" t="n">
        <f aca="false">0.377*ncte*rc/(A7*idc)</f>
        <v>1.28522727272727</v>
      </c>
      <c r="C7" s="10" t="n">
        <f aca="false">MAX(imin,MIN(imax,B7))</f>
        <v>1.28522727272727</v>
      </c>
      <c r="D7" s="10" t="n">
        <f aca="false">A7*C7*idc/(0.377*rc)</f>
        <v>2500</v>
      </c>
    </row>
    <row r="8" customFormat="false" ht="15" hidden="false" customHeight="false" outlineLevel="0" collapsed="false">
      <c r="A8" s="0" t="n">
        <v>50</v>
      </c>
      <c r="B8" s="10" t="n">
        <f aca="false">0.377*ncte*rc/(A8*idc)</f>
        <v>1.02818181818182</v>
      </c>
      <c r="C8" s="10" t="n">
        <f aca="false">MAX(imin,MIN(imax,B8))</f>
        <v>1.02818181818182</v>
      </c>
      <c r="D8" s="10" t="n">
        <f aca="false">A8*C8*idc/(0.377*rc)</f>
        <v>2500</v>
      </c>
    </row>
    <row r="9" customFormat="false" ht="15" hidden="false" customHeight="false" outlineLevel="0" collapsed="false">
      <c r="A9" s="0" t="n">
        <v>60</v>
      </c>
      <c r="B9" s="10" t="n">
        <f aca="false">0.377*ncte*rc/(A9*idc)</f>
        <v>0.856818181818182</v>
      </c>
      <c r="C9" s="10" t="n">
        <f aca="false">MAX(imin,MIN(imax,B9))</f>
        <v>0.856818181818182</v>
      </c>
      <c r="D9" s="10" t="n">
        <f aca="false">A9*C9*idc/(0.377*rc)</f>
        <v>2500</v>
      </c>
    </row>
    <row r="10" customFormat="false" ht="15" hidden="false" customHeight="false" outlineLevel="0" collapsed="false">
      <c r="A10" s="0" t="n">
        <v>70</v>
      </c>
      <c r="B10" s="10" t="n">
        <f aca="false">0.377*ncte*rc/(A10*idc)</f>
        <v>0.734415584415584</v>
      </c>
      <c r="C10" s="10" t="n">
        <f aca="false">MAX(imin,MIN(imax,B10))</f>
        <v>0.734415584415584</v>
      </c>
      <c r="D10" s="10" t="n">
        <f aca="false">A10*C10*idc/(0.377*rc)</f>
        <v>2500</v>
      </c>
    </row>
    <row r="11" customFormat="false" ht="15" hidden="false" customHeight="false" outlineLevel="0" collapsed="false">
      <c r="A11" s="0" t="n">
        <v>80</v>
      </c>
      <c r="B11" s="10" t="n">
        <f aca="false">0.377*ncte*rc/(A11*idc)</f>
        <v>0.642613636363636</v>
      </c>
      <c r="C11" s="10" t="n">
        <f aca="false">MAX(imin,MIN(imax,B11))</f>
        <v>0.642613636363636</v>
      </c>
      <c r="D11" s="10" t="n">
        <f aca="false">A11*C11*idc/(0.377*rc)</f>
        <v>2500</v>
      </c>
    </row>
    <row r="12" customFormat="false" ht="15" hidden="false" customHeight="false" outlineLevel="0" collapsed="false">
      <c r="A12" s="0" t="n">
        <v>90</v>
      </c>
      <c r="B12" s="10" t="n">
        <f aca="false">0.377*ncte*rc/(A12*idc)</f>
        <v>0.571212121212121</v>
      </c>
      <c r="C12" s="10" t="n">
        <f aca="false">MAX(imin,MIN(imax,B12))</f>
        <v>0.571212121212121</v>
      </c>
      <c r="D12" s="10" t="n">
        <f aca="false">A12*C12*idc/(0.377*rc)</f>
        <v>2500</v>
      </c>
    </row>
    <row r="13" customFormat="false" ht="15" hidden="false" customHeight="false" outlineLevel="0" collapsed="false">
      <c r="A13" s="0" t="n">
        <v>100</v>
      </c>
      <c r="B13" s="10" t="n">
        <f aca="false">0.377*ncte*rc/(A13*idc)</f>
        <v>0.514090909090909</v>
      </c>
      <c r="C13" s="10" t="n">
        <f aca="false">MAX(imin,MIN(imax,B13))</f>
        <v>0.514090909090909</v>
      </c>
      <c r="D13" s="10" t="n">
        <f aca="false">A13*C13*idc/(0.377*rc)</f>
        <v>2500</v>
      </c>
    </row>
    <row r="14" customFormat="false" ht="15" hidden="false" customHeight="false" outlineLevel="0" collapsed="false">
      <c r="A14" s="0" t="n">
        <v>110</v>
      </c>
      <c r="B14" s="10" t="n">
        <f aca="false">0.377*ncte*rc/(A14*idc)</f>
        <v>0.467355371900826</v>
      </c>
      <c r="C14" s="10" t="n">
        <f aca="false">MAX(imin,MIN(imax,B14))</f>
        <v>0.467355371900826</v>
      </c>
      <c r="D14" s="10" t="n">
        <f aca="false">A14*C14*idc/(0.377*rc)</f>
        <v>2500</v>
      </c>
    </row>
    <row r="15" customFormat="false" ht="15" hidden="false" customHeight="false" outlineLevel="0" collapsed="false">
      <c r="A15" s="0" t="n">
        <v>120</v>
      </c>
      <c r="B15" s="10" t="n">
        <f aca="false">0.377*ncte*rc/(A15*idc)</f>
        <v>0.428409090909091</v>
      </c>
      <c r="C15" s="10" t="n">
        <f aca="false">MAX(imin,MIN(imax,B15))</f>
        <v>0.428409090909091</v>
      </c>
      <c r="D15" s="10" t="n">
        <f aca="false">A15*C15*idc/(0.377*rc)</f>
        <v>2500</v>
      </c>
    </row>
    <row r="16" customFormat="false" ht="15" hidden="false" customHeight="false" outlineLevel="0" collapsed="false">
      <c r="A16" s="0" t="n">
        <v>130</v>
      </c>
      <c r="B16" s="10" t="n">
        <f aca="false">0.377*ncte*rc/(A16*idc)</f>
        <v>0.395454545454545</v>
      </c>
      <c r="C16" s="10" t="n">
        <f aca="false">MAX(imin,MIN(imax,B16))</f>
        <v>0.414867510908514</v>
      </c>
      <c r="D16" s="10" t="n">
        <f aca="false">A16*C16*idc/(0.377*rc)</f>
        <v>2622.72564367451</v>
      </c>
    </row>
    <row r="17" customFormat="false" ht="15" hidden="false" customHeight="false" outlineLevel="0" collapsed="false">
      <c r="A17" s="0" t="n">
        <v>140</v>
      </c>
      <c r="B17" s="10" t="n">
        <f aca="false">0.377*ncte*rc/(A17*idc)</f>
        <v>0.367207792207792</v>
      </c>
      <c r="C17" s="10" t="n">
        <f aca="false">MAX(imin,MIN(imax,B17))</f>
        <v>0.414867510908514</v>
      </c>
      <c r="D17" s="10" t="n">
        <f aca="false">A17*C17*idc/(0.377*rc)</f>
        <v>2824.47377011102</v>
      </c>
    </row>
    <row r="18" customFormat="false" ht="15" hidden="false" customHeight="false" outlineLevel="0" collapsed="false">
      <c r="A18" s="0" t="n">
        <v>150</v>
      </c>
      <c r="B18" s="10" t="n">
        <f aca="false">0.377*ncte*rc/(A18*idc)</f>
        <v>0.342727272727273</v>
      </c>
      <c r="C18" s="10" t="n">
        <f aca="false">MAX(imin,MIN(imax,B18))</f>
        <v>0.414867510908514</v>
      </c>
      <c r="D18" s="10" t="n">
        <f aca="false">A18*C18*idc/(0.377*rc)</f>
        <v>3026.22189654752</v>
      </c>
    </row>
    <row r="19" customFormat="false" ht="15" hidden="false" customHeight="false" outlineLevel="0" collapsed="false">
      <c r="A19" s="0" t="n">
        <v>160</v>
      </c>
      <c r="B19" s="10" t="n">
        <f aca="false">0.377*ncte*rc/(A19*idc)</f>
        <v>0.321306818181818</v>
      </c>
      <c r="C19" s="10" t="n">
        <f aca="false">MAX(imin,MIN(imax,B19))</f>
        <v>0.414867510908514</v>
      </c>
      <c r="D19" s="10" t="n">
        <f aca="false">A19*C19*idc/(0.377*rc)</f>
        <v>3227.97002298402</v>
      </c>
    </row>
    <row r="20" customFormat="false" ht="15" hidden="false" customHeight="false" outlineLevel="0" collapsed="false">
      <c r="A20" s="0" t="n">
        <v>170</v>
      </c>
      <c r="B20" s="10" t="n">
        <f aca="false">0.377*ncte*rc/(A20*idc)</f>
        <v>0.3024064171123</v>
      </c>
      <c r="C20" s="10" t="n">
        <f aca="false">MAX(imin,MIN(imax,B20))</f>
        <v>0.414867510908514</v>
      </c>
      <c r="D20" s="10" t="n">
        <f aca="false">A20*C20*idc/(0.377*rc)</f>
        <v>3429.71814942052</v>
      </c>
    </row>
    <row r="21" customFormat="false" ht="15" hidden="false" customHeight="false" outlineLevel="0" collapsed="false">
      <c r="A21" s="0" t="n">
        <v>180</v>
      </c>
      <c r="B21" s="10" t="n">
        <f aca="false">0.377*ncte*rc/(A21*idc)</f>
        <v>0.285606060606061</v>
      </c>
      <c r="C21" s="10" t="n">
        <f aca="false">MAX(imin,MIN(imax,B21))</f>
        <v>0.414867510908514</v>
      </c>
      <c r="D21" s="10" t="n">
        <f aca="false">A21*C21*idc/(0.377*rc)</f>
        <v>3631.46627585702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</cols>
  <sheetData>
    <row r="1" customFormat="false" ht="15" hidden="false" customHeight="false" outlineLevel="0" collapsed="false">
      <c r="A1" s="4" t="s">
        <v>71</v>
      </c>
    </row>
    <row r="3" customFormat="false" ht="68.65" hidden="false" customHeight="false" outlineLevel="0" collapsed="false">
      <c r="A3" s="5" t="s">
        <v>72</v>
      </c>
      <c r="B3" s="5" t="s">
        <v>67</v>
      </c>
      <c r="C3" s="5" t="s">
        <v>70</v>
      </c>
      <c r="D3" s="5" t="s">
        <v>73</v>
      </c>
      <c r="E3" s="5" t="s">
        <v>74</v>
      </c>
      <c r="F3" s="5" t="s">
        <v>75</v>
      </c>
    </row>
    <row r="4" customFormat="false" ht="15" hidden="false" customHeight="false" outlineLevel="0" collapsed="false">
      <c r="A4" s="0" t="s">
        <v>76</v>
      </c>
      <c r="B4" s="6" t="n">
        <v>30</v>
      </c>
      <c r="C4" s="6" t="n">
        <v>0</v>
      </c>
      <c r="D4" s="10" t="n">
        <f aca="false">B4*ifin/(0.377*rch)</f>
        <v>1090.98143236074</v>
      </c>
      <c r="E4" s="10" t="n">
        <f aca="false">((Zs+Zr)*C4-Zr*D4)/Zs</f>
        <v>-2836.55172413793</v>
      </c>
      <c r="F4" s="10" t="n">
        <f aca="false">Zs*E4+Zr*D4-(Zs+Zr)*C4</f>
        <v>0</v>
      </c>
    </row>
    <row r="5" customFormat="false" ht="15" hidden="false" customHeight="false" outlineLevel="0" collapsed="false">
      <c r="A5" s="0" t="s">
        <v>77</v>
      </c>
      <c r="B5" s="6" t="n">
        <v>80</v>
      </c>
      <c r="C5" s="6" t="n">
        <v>2000</v>
      </c>
      <c r="D5" s="10" t="n">
        <f aca="false">B5*ifin/(0.377*rch)</f>
        <v>2909.28381962865</v>
      </c>
      <c r="E5" s="10" t="n">
        <f aca="false">((Zs+Zr)*C5-Zr*D5)/Zs</f>
        <v>-364.137931034483</v>
      </c>
      <c r="F5" s="10" t="n">
        <f aca="false">Zs*E5+Zr*D5-(Zs+Zr)*C5</f>
        <v>0</v>
      </c>
    </row>
    <row r="6" customFormat="false" ht="15" hidden="false" customHeight="false" outlineLevel="0" collapsed="false">
      <c r="A6" s="0" t="s">
        <v>78</v>
      </c>
      <c r="B6" s="6" t="n">
        <v>50</v>
      </c>
      <c r="C6" s="6" t="n">
        <v>4000</v>
      </c>
      <c r="D6" s="10" t="n">
        <f aca="false">B6*ifin/(0.377*rch)</f>
        <v>1818.30238726791</v>
      </c>
      <c r="E6" s="10" t="n">
        <f aca="false">((Zs+Zr)*C6-Zr*D6)/Zs</f>
        <v>9672.41379310345</v>
      </c>
      <c r="F6" s="10" t="n">
        <f aca="false">Zs*E6+Zr*D6-(Zs+Zr)*C6</f>
        <v>0</v>
      </c>
    </row>
    <row r="9" customFormat="false" ht="41.75" hidden="false" customHeight="false" outlineLevel="0" collapsed="false">
      <c r="A9" s="5" t="s">
        <v>67</v>
      </c>
      <c r="B9" s="5" t="s">
        <v>79</v>
      </c>
      <c r="C9" s="5" t="s">
        <v>80</v>
      </c>
      <c r="D9" s="5" t="s">
        <v>81</v>
      </c>
      <c r="E9" s="5" t="s">
        <v>82</v>
      </c>
    </row>
    <row r="10" customFormat="false" ht="15" hidden="false" customHeight="false" outlineLevel="0" collapsed="false">
      <c r="A10" s="0" t="n">
        <v>0</v>
      </c>
      <c r="B10" s="10" t="n">
        <f aca="false">((Zs+Zr)*0-Zr*A10*ifin/(0.377*rch))/Zs</f>
        <v>0</v>
      </c>
      <c r="C10" s="10" t="n">
        <f aca="false">((Zs+Zr)*1500-Zr*A10*ifin/(0.377*rch))/Zs</f>
        <v>5400</v>
      </c>
      <c r="D10" s="10" t="n">
        <f aca="false">((Zs+Zr)*2500-Zr*A10*ifin/(0.377*rch))/Zs</f>
        <v>9000</v>
      </c>
      <c r="E10" s="10" t="n">
        <f aca="false">((Zs+Zr)*4000-Zr*A10*ifin/(0.377*rch))/Zs</f>
        <v>14400</v>
      </c>
    </row>
    <row r="11" customFormat="false" ht="15" hidden="false" customHeight="false" outlineLevel="0" collapsed="false">
      <c r="A11" s="0" t="n">
        <v>20</v>
      </c>
      <c r="B11" s="10" t="n">
        <f aca="false">((Zs+Zr)*0-Zr*A11*ifin/(0.377*rch))/Zs</f>
        <v>-1891.03448275862</v>
      </c>
      <c r="C11" s="10" t="n">
        <f aca="false">((Zs+Zr)*1500-Zr*A11*ifin/(0.377*rch))/Zs</f>
        <v>3508.96551724138</v>
      </c>
      <c r="D11" s="10" t="n">
        <f aca="false">((Zs+Zr)*2500-Zr*A11*ifin/(0.377*rch))/Zs</f>
        <v>7108.96551724138</v>
      </c>
      <c r="E11" s="10" t="n">
        <f aca="false">((Zs+Zr)*4000-Zr*A11*ifin/(0.377*rch))/Zs</f>
        <v>12508.9655172414</v>
      </c>
    </row>
    <row r="12" customFormat="false" ht="15" hidden="false" customHeight="false" outlineLevel="0" collapsed="false">
      <c r="A12" s="0" t="n">
        <v>40</v>
      </c>
      <c r="B12" s="10" t="n">
        <f aca="false">((Zs+Zr)*0-Zr*A12*ifin/(0.377*rch))/Zs</f>
        <v>-3782.06896551724</v>
      </c>
      <c r="C12" s="10" t="n">
        <f aca="false">((Zs+Zr)*1500-Zr*A12*ifin/(0.377*rch))/Zs</f>
        <v>1617.93103448276</v>
      </c>
      <c r="D12" s="10" t="n">
        <f aca="false">((Zs+Zr)*2500-Zr*A12*ifin/(0.377*rch))/Zs</f>
        <v>5217.93103448276</v>
      </c>
      <c r="E12" s="10" t="n">
        <f aca="false">((Zs+Zr)*4000-Zr*A12*ifin/(0.377*rch))/Zs</f>
        <v>10617.9310344828</v>
      </c>
    </row>
    <row r="13" customFormat="false" ht="15" hidden="false" customHeight="false" outlineLevel="0" collapsed="false">
      <c r="A13" s="0" t="n">
        <v>60</v>
      </c>
      <c r="B13" s="10" t="n">
        <f aca="false">((Zs+Zr)*0-Zr*A13*ifin/(0.377*rch))/Zs</f>
        <v>-5673.10344827586</v>
      </c>
      <c r="C13" s="10" t="n">
        <f aca="false">((Zs+Zr)*1500-Zr*A13*ifin/(0.377*rch))/Zs</f>
        <v>-273.103448275864</v>
      </c>
      <c r="D13" s="10" t="n">
        <f aca="false">((Zs+Zr)*2500-Zr*A13*ifin/(0.377*rch))/Zs</f>
        <v>3326.89655172414</v>
      </c>
      <c r="E13" s="10" t="n">
        <f aca="false">((Zs+Zr)*4000-Zr*A13*ifin/(0.377*rch))/Zs</f>
        <v>8726.89655172414</v>
      </c>
    </row>
    <row r="14" customFormat="false" ht="15" hidden="false" customHeight="false" outlineLevel="0" collapsed="false">
      <c r="A14" s="0" t="n">
        <v>80</v>
      </c>
      <c r="B14" s="10" t="n">
        <f aca="false">((Zs+Zr)*0-Zr*A14*ifin/(0.377*rch))/Zs</f>
        <v>-7564.13793103448</v>
      </c>
      <c r="C14" s="10" t="n">
        <f aca="false">((Zs+Zr)*1500-Zr*A14*ifin/(0.377*rch))/Zs</f>
        <v>-2164.13793103448</v>
      </c>
      <c r="D14" s="10" t="n">
        <f aca="false">((Zs+Zr)*2500-Zr*A14*ifin/(0.377*rch))/Zs</f>
        <v>1435.86206896552</v>
      </c>
      <c r="E14" s="10" t="n">
        <f aca="false">((Zs+Zr)*4000-Zr*A14*ifin/(0.377*rch))/Zs</f>
        <v>6835.86206896552</v>
      </c>
    </row>
    <row r="15" customFormat="false" ht="15" hidden="false" customHeight="false" outlineLevel="0" collapsed="false">
      <c r="A15" s="0" t="n">
        <v>100</v>
      </c>
      <c r="B15" s="10" t="n">
        <f aca="false">((Zs+Zr)*0-Zr*A15*ifin/(0.377*rch))/Zs</f>
        <v>-9455.17241379311</v>
      </c>
      <c r="C15" s="10" t="n">
        <f aca="false">((Zs+Zr)*1500-Zr*A15*ifin/(0.377*rch))/Zs</f>
        <v>-4055.17241379311</v>
      </c>
      <c r="D15" s="10" t="n">
        <f aca="false">((Zs+Zr)*2500-Zr*A15*ifin/(0.377*rch))/Zs</f>
        <v>-455.172413793105</v>
      </c>
      <c r="E15" s="10" t="n">
        <f aca="false">((Zs+Zr)*4000-Zr*A15*ifin/(0.377*rch))/Zs</f>
        <v>4944.8275862069</v>
      </c>
    </row>
    <row r="16" customFormat="false" ht="15" hidden="false" customHeight="false" outlineLevel="0" collapsed="false">
      <c r="A16" s="0" t="n">
        <v>120</v>
      </c>
      <c r="B16" s="10" t="n">
        <f aca="false">((Zs+Zr)*0-Zr*A16*ifin/(0.377*rch))/Zs</f>
        <v>-11346.2068965517</v>
      </c>
      <c r="C16" s="10" t="n">
        <f aca="false">((Zs+Zr)*1500-Zr*A16*ifin/(0.377*rch))/Zs</f>
        <v>-5946.20689655173</v>
      </c>
      <c r="D16" s="10" t="n">
        <f aca="false">((Zs+Zr)*2500-Zr*A16*ifin/(0.377*rch))/Zs</f>
        <v>-2346.20689655173</v>
      </c>
      <c r="E16" s="10" t="n">
        <f aca="false">((Zs+Zr)*4000-Zr*A16*ifin/(0.377*rch))/Zs</f>
        <v>3053.79310344827</v>
      </c>
    </row>
    <row r="17" customFormat="false" ht="15" hidden="false" customHeight="false" outlineLevel="0" collapsed="false">
      <c r="A17" s="0" t="n">
        <v>140</v>
      </c>
      <c r="B17" s="10" t="n">
        <f aca="false">((Zs+Zr)*0-Zr*A17*ifin/(0.377*rch))/Zs</f>
        <v>-13237.2413793103</v>
      </c>
      <c r="C17" s="10" t="n">
        <f aca="false">((Zs+Zr)*1500-Zr*A17*ifin/(0.377*rch))/Zs</f>
        <v>-7837.24137931035</v>
      </c>
      <c r="D17" s="10" t="n">
        <f aca="false">((Zs+Zr)*2500-Zr*A17*ifin/(0.377*rch))/Zs</f>
        <v>-4237.24137931035</v>
      </c>
      <c r="E17" s="10" t="n">
        <f aca="false">((Zs+Zr)*4000-Zr*A17*ifin/(0.377*rch))/Zs</f>
        <v>1162.75862068965</v>
      </c>
    </row>
    <row r="18" customFormat="false" ht="15" hidden="false" customHeight="false" outlineLevel="0" collapsed="false">
      <c r="A18" s="0" t="n">
        <v>160</v>
      </c>
      <c r="B18" s="10" t="n">
        <f aca="false">((Zs+Zr)*0-Zr*A18*ifin/(0.377*rch))/Zs</f>
        <v>-15128.275862069</v>
      </c>
      <c r="C18" s="10" t="n">
        <f aca="false">((Zs+Zr)*1500-Zr*A18*ifin/(0.377*rch))/Zs</f>
        <v>-9728.27586206897</v>
      </c>
      <c r="D18" s="10" t="n">
        <f aca="false">((Zs+Zr)*2500-Zr*A18*ifin/(0.377*rch))/Zs</f>
        <v>-6128.27586206897</v>
      </c>
      <c r="E18" s="10" t="n">
        <f aca="false">((Zs+Zr)*4000-Zr*A18*ifin/(0.377*rch))/Zs</f>
        <v>-728.275862068968</v>
      </c>
    </row>
    <row r="19" customFormat="false" ht="15" hidden="false" customHeight="false" outlineLevel="0" collapsed="false">
      <c r="A19" s="0" t="n">
        <v>180</v>
      </c>
      <c r="B19" s="10" t="n">
        <f aca="false">((Zs+Zr)*0-Zr*A19*ifin/(0.377*rch))/Zs</f>
        <v>-17019.3103448276</v>
      </c>
      <c r="C19" s="10" t="n">
        <f aca="false">((Zs+Zr)*1500-Zr*A19*ifin/(0.377*rch))/Zs</f>
        <v>-11619.3103448276</v>
      </c>
      <c r="D19" s="10" t="n">
        <f aca="false">((Zs+Zr)*2500-Zr*A19*ifin/(0.377*rch))/Zs</f>
        <v>-8019.31034482759</v>
      </c>
      <c r="E19" s="10" t="n">
        <f aca="false">((Zs+Zr)*4000-Zr*A19*ifin/(0.377*rch))/Zs</f>
        <v>-2619.31034482759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</row>
    <row r="3" customFormat="false" ht="15" hidden="false" customHeight="false" outlineLevel="0" collapsed="false">
      <c r="A3" s="8" t="s">
        <v>84</v>
      </c>
    </row>
    <row r="4" customFormat="false" ht="15" hidden="false" customHeight="false" outlineLevel="0" collapsed="false">
      <c r="A4" s="0" t="s">
        <v>85</v>
      </c>
      <c r="B4" s="0" t="s">
        <v>86</v>
      </c>
      <c r="C4" s="9" t="n">
        <f aca="false">Te*Zs/(Zs+Zr)</f>
        <v>30.5555555555556</v>
      </c>
      <c r="D4" s="7" t="s">
        <v>51</v>
      </c>
      <c r="E4" s="7" t="s">
        <v>87</v>
      </c>
    </row>
    <row r="5" customFormat="false" ht="15" hidden="false" customHeight="false" outlineLevel="0" collapsed="false">
      <c r="A5" s="0" t="s">
        <v>88</v>
      </c>
      <c r="B5" s="0" t="s">
        <v>89</v>
      </c>
      <c r="C5" s="9" t="n">
        <f aca="false">Te*Zr/(Zs+Zr)</f>
        <v>79.4444444444444</v>
      </c>
      <c r="D5" s="7" t="s">
        <v>51</v>
      </c>
      <c r="E5" s="7" t="s">
        <v>87</v>
      </c>
    </row>
    <row r="6" customFormat="false" ht="15" hidden="false" customHeight="false" outlineLevel="0" collapsed="false">
      <c r="A6" s="0" t="s">
        <v>90</v>
      </c>
      <c r="B6" s="0" t="s">
        <v>32</v>
      </c>
      <c r="C6" s="9" t="n">
        <f aca="false">Zr/(Zs+Zr)</f>
        <v>0.722222222222222</v>
      </c>
      <c r="D6" s="7" t="s">
        <v>32</v>
      </c>
    </row>
    <row r="8" customFormat="false" ht="41.75" hidden="false" customHeight="false" outlineLevel="0" collapsed="false">
      <c r="A8" s="5" t="s">
        <v>72</v>
      </c>
      <c r="B8" s="5" t="s">
        <v>91</v>
      </c>
      <c r="C8" s="5" t="s">
        <v>92</v>
      </c>
      <c r="D8" s="5" t="s">
        <v>93</v>
      </c>
    </row>
    <row r="9" customFormat="false" ht="15" hidden="false" customHeight="false" outlineLevel="0" collapsed="false">
      <c r="A9" s="0" t="str">
        <f aca="false">4_eCVT_velocidades!A4</f>
        <v>Modo eléctrico (EV)</v>
      </c>
      <c r="B9" s="10" t="n">
        <f aca="false">4_eCVT_velocidades!E4</f>
        <v>-2836.55172413793</v>
      </c>
      <c r="C9" s="10" t="n">
        <f aca="false">IF(4_eCVT_velocidades!C4=0,0,-Ts*B9*PI()/30/1000)</f>
        <v>0</v>
      </c>
      <c r="D9" s="10" t="str">
        <f aca="false">IF(C9&gt;0.05,"Generador",IF(C9&lt;-0.05,"Motor","Sin potencia"))</f>
        <v>Sin potencia</v>
      </c>
    </row>
    <row r="10" customFormat="false" ht="15" hidden="false" customHeight="false" outlineLevel="0" collapsed="false">
      <c r="A10" s="0" t="str">
        <f aca="false">4_eCVT_velocidades!A5</f>
        <v>Crucero</v>
      </c>
      <c r="B10" s="10" t="n">
        <f aca="false">4_eCVT_velocidades!E5</f>
        <v>-364.137931034483</v>
      </c>
      <c r="C10" s="10" t="n">
        <f aca="false">IF(4_eCVT_velocidades!C5=0,0,-Ts*B10*PI()/30/1000)</f>
        <v>1.16515773512449</v>
      </c>
      <c r="D10" s="10" t="str">
        <f aca="false">IF(C10&gt;0.05,"Generador",IF(C10&lt;-0.05,"Motor","Sin potencia"))</f>
        <v>Generador</v>
      </c>
    </row>
    <row r="11" customFormat="false" ht="15" hidden="false" customHeight="false" outlineLevel="0" collapsed="false">
      <c r="A11" s="0" t="str">
        <f aca="false">4_eCVT_velocidades!A6</f>
        <v>Aceleración fuerte</v>
      </c>
      <c r="B11" s="10" t="n">
        <f aca="false">4_eCVT_velocidades!E6</f>
        <v>9672.41379310345</v>
      </c>
      <c r="C11" s="10" t="n">
        <f aca="false">IF(4_eCVT_velocidades!C6=0,0,-Ts*B11*PI()/30/1000)</f>
        <v>-30.9495023392443</v>
      </c>
      <c r="D11" s="10" t="str">
        <f aca="false">IF(C11&gt;0.05,"Generador",IF(C11&lt;-0.05,"Motor","Sin potencia"))</f>
        <v>Motor</v>
      </c>
    </row>
    <row r="13" customFormat="false" ht="15" hidden="false" customHeight="false" outlineLevel="0" collapsed="false">
      <c r="A13" s="0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2026-09-16T11:15:16Z</dcterms:created>
  <dc:creator>openpyxl</dc:creator>
  <dc:description/>
  <dc:language>en-US</dc:language>
  <cp:lastModifiedBy/>
  <dcterms:modified xsi:type="dcterms:W3CDTF">2026-09-16T11:15:18Z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