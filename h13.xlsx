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eño" sheetId="1" state="visible" r:id="rId3"/>
    <sheet name="Calibración" sheetId="2" state="visible" r:id="rId4"/>
    <sheet name="Límite" sheetId="3" state="visible" r:id="rId5"/>
    <sheet name="Comparació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<sst xmlns="http://schemas.openxmlformats.org/spreadsheetml/2006/main" count="82" uniqueCount="72">
  <si>
    <t xml:space="preserve">Práctica 25 — Mando con temporizadores 555: memoria de cálculo</t>
  </si>
  <si>
    <t xml:space="preserve">Celdas amarillas: datos editables. Ecuaciones numeradas como en la guía 25-Parte 1.</t>
  </si>
  <si>
    <t xml:space="preserve">Dato</t>
  </si>
  <si>
    <t xml:space="preserve">Valor</t>
  </si>
  <si>
    <t xml:space="preserve">Comentario</t>
  </si>
  <si>
    <t xml:space="preserve">R_A (kΩ)</t>
  </si>
  <si>
    <t xml:space="preserve">Astable</t>
  </si>
  <si>
    <t xml:space="preserve">R_B fija (kΩ)</t>
  </si>
  <si>
    <t xml:space="preserve">En serie con el potenciómetro</t>
  </si>
  <si>
    <t xml:space="preserve">Potenciómetro rpm (kΩ)</t>
  </si>
  <si>
    <t xml:space="preserve">Lineal</t>
  </si>
  <si>
    <t xml:space="preserve">C astable (µF)</t>
  </si>
  <si>
    <t xml:space="preserve">Poliéster</t>
  </si>
  <si>
    <t xml:space="preserve">R fija dwell (kΩ)</t>
  </si>
  <si>
    <t xml:space="preserve">Potenciómetro dwell (kΩ)</t>
  </si>
  <si>
    <t xml:space="preserve">C monoestable (µF)</t>
  </si>
  <si>
    <t xml:space="preserve">R derivador (kΩ)</t>
  </si>
  <si>
    <t xml:space="preserve">C derivador (nF)</t>
  </si>
  <si>
    <t xml:space="preserve">V entrada 7805 (V)</t>
  </si>
  <si>
    <t xml:space="preserve">I lógica (mA)</t>
  </si>
  <si>
    <t xml:space="preserve">Estimado</t>
  </si>
  <si>
    <t xml:space="preserve">rpm de verificación</t>
  </si>
  <si>
    <t xml:space="preserve">Límite de ciclo (%)</t>
  </si>
  <si>
    <t xml:space="preserve">Resultado</t>
  </si>
  <si>
    <t xml:space="preserve">Ec.</t>
  </si>
  <si>
    <t xml:space="preserve">Comprobación</t>
  </si>
  <si>
    <t xml:space="preserve">f máxima (Hz)</t>
  </si>
  <si>
    <t xml:space="preserve">(1)</t>
  </si>
  <si>
    <t xml:space="preserve">f mínima (Hz)</t>
  </si>
  <si>
    <t xml:space="preserve">n máxima (rpm)</t>
  </si>
  <si>
    <t xml:space="preserve">(2)</t>
  </si>
  <si>
    <t xml:space="preserve">n mínima (rpm)</t>
  </si>
  <si>
    <t xml:space="preserve">t_w mínimo (ms)</t>
  </si>
  <si>
    <t xml:space="preserve">(3)</t>
  </si>
  <si>
    <t xml:space="preserve">t_w máximo (ms)</t>
  </si>
  <si>
    <t xml:space="preserve">τ derivador (ms)</t>
  </si>
  <si>
    <t xml:space="preserve">(4)</t>
  </si>
  <si>
    <t xml:space="preserve">t_w máximo admisible a las rpm de verificación (ms)</t>
  </si>
  <si>
    <t xml:space="preserve">(5)</t>
  </si>
  <si>
    <t xml:space="preserve">Potencia del 7805 (W)</t>
  </si>
  <si>
    <t xml:space="preserve">(6)</t>
  </si>
  <si>
    <t xml:space="preserve">R_B para una rpm dada: ver hoja Calibración</t>
  </si>
  <si>
    <t xml:space="preserve">—</t>
  </si>
  <si>
    <t xml:space="preserve">Calibración de los diales</t>
  </si>
  <si>
    <t xml:space="preserve">Parte 3: anote los valores medidos en las columnas amarillas</t>
  </si>
  <si>
    <t xml:space="preserve">Posición (0–10)</t>
  </si>
  <si>
    <t xml:space="preserve">Pot. rpm (kΩ)</t>
  </si>
  <si>
    <t xml:space="preserve">f calc. (Hz)</t>
  </si>
  <si>
    <t xml:space="preserve">n calc. (rpm)</t>
  </si>
  <si>
    <t xml:space="preserve">f medida (Hz)</t>
  </si>
  <si>
    <t xml:space="preserve">n medida (rpm)</t>
  </si>
  <si>
    <t xml:space="preserve">Error (%)</t>
  </si>
  <si>
    <t xml:space="preserve">Pot. dwell (kΩ)</t>
  </si>
  <si>
    <t xml:space="preserve">t_w calc. (ms)</t>
  </si>
  <si>
    <t xml:space="preserve">t_w medido (ms)</t>
  </si>
  <si>
    <t xml:space="preserve">Tiempo de carga máximo por velocidad</t>
  </si>
  <si>
    <t xml:space="preserve">Ecuación (5): t_w ≤ 0,7·30/n</t>
  </si>
  <si>
    <t xml:space="preserve">rpm</t>
  </si>
  <si>
    <t xml:space="preserve">Intervalo (ms)</t>
  </si>
  <si>
    <t xml:space="preserve">¿Alcanzable con el monoestable?</t>
  </si>
  <si>
    <t xml:space="preserve">Comparación mando Arduino vs mando 555</t>
  </si>
  <si>
    <t xml:space="preserve">Parte 4</t>
  </si>
  <si>
    <t xml:space="preserve">Medida</t>
  </si>
  <si>
    <t xml:space="preserve">Ajuste</t>
  </si>
  <si>
    <t xml:space="preserve">Arduino</t>
  </si>
  <si>
    <t xml:space="preserve">555 inicio</t>
  </si>
  <si>
    <t xml:space="preserve">555 a 15 min</t>
  </si>
  <si>
    <t xml:space="preserve">Dif. 555 inicio (%)</t>
  </si>
  <si>
    <t xml:space="preserve">Deriva 555 (%)</t>
  </si>
  <si>
    <t xml:space="preserve">Tiempo de carga (ms)</t>
  </si>
  <si>
    <t xml:space="preserve">Corriente de pico (A)</t>
  </si>
  <si>
    <t xml:space="preserve">Chispa máxima (mm)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</si>
</sst>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"/>
    <numFmt numFmtId="168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Dial de velocidad (calculado)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"n calc."</c:f>
              <c:strCache>
                <c:ptCount val="1"/>
                <c:pt idx="0">
                  <c:v>n calc.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Calibración!$A$5:$A$15</c:f>
              <c:numCache>
                <c:formatCode>0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Calibración!$D$5:$D$15</c:f>
              <c:numCache>
                <c:formatCode>0</c:formatCode>
                <c:ptCount val="11"/>
                <c:pt idx="0">
                  <c:v>6750</c:v>
                </c:pt>
                <c:pt idx="1">
                  <c:v>1636.36363636364</c:v>
                </c:pt>
                <c:pt idx="2">
                  <c:v>931.034482758621</c:v>
                </c:pt>
                <c:pt idx="3">
                  <c:v>650.602409638554</c:v>
                </c:pt>
                <c:pt idx="4">
                  <c:v>500</c:v>
                </c:pt>
                <c:pt idx="5">
                  <c:v>406.015037593985</c:v>
                </c:pt>
                <c:pt idx="6">
                  <c:v>341.772151898734</c:v>
                </c:pt>
                <c:pt idx="7">
                  <c:v>295.081967213115</c:v>
                </c:pt>
                <c:pt idx="8">
                  <c:v>259.615384615385</c:v>
                </c:pt>
                <c:pt idx="9">
                  <c:v>231.759656652361</c:v>
                </c:pt>
                <c:pt idx="10">
                  <c:v>209.302325581395</c:v>
                </c:pt>
              </c:numCache>
            </c:numRef>
          </c:yVal>
          <c:smooth val="1"/>
        </c:ser>
        <c:axId val="18396663"/>
        <c:axId val="15237281"/>
      </c:scatterChart>
      <c:valAx>
        <c:axId val="183966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37281"/>
        <c:crosses val="autoZero"/>
        <c:crossBetween val="midCat"/>
      </c:valAx>
      <c:valAx>
        <c:axId val="15237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966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176040</xdr:rowOff>
    </xdr:from>
    <xdr:to>
      <xdr:col>16</xdr:col>
      <xdr:colOff>147600</xdr:colOff>
      <xdr:row>16</xdr:row>
      <xdr:rowOff>28800</xdr:rowOff>
    </xdr:to>
    <xdr:graphicFrame>
      <xdr:nvGraphicFramePr>
        <xdr:cNvPr id="0" name="Chart 1"/>
        <xdr:cNvGraphicFramePr/>
      </xdr:nvGraphicFramePr>
      <xdr:xfrm>
        <a:off x="8012520" y="5716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</v>
      </c>
      <c r="C5" s="6" t="s">
        <v>6</v>
      </c>
    </row>
    <row r="6" customFormat="false" ht="15" hidden="false" customHeight="false" outlineLevel="0" collapsed="false">
      <c r="A6" s="4" t="s">
        <v>7</v>
      </c>
      <c r="B6" s="5" t="n">
        <v>2.7</v>
      </c>
      <c r="C6" s="6" t="s">
        <v>8</v>
      </c>
    </row>
    <row r="7" customFormat="false" ht="15" hidden="false" customHeight="false" outlineLevel="0" collapsed="false">
      <c r="A7" s="4" t="s">
        <v>9</v>
      </c>
      <c r="B7" s="5" t="n">
        <v>100</v>
      </c>
      <c r="C7" s="6" t="s">
        <v>10</v>
      </c>
    </row>
    <row r="8" customFormat="false" ht="15" hidden="false" customHeight="false" outlineLevel="0" collapsed="false">
      <c r="A8" s="4" t="s">
        <v>11</v>
      </c>
      <c r="B8" s="5" t="n">
        <v>1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1.8</v>
      </c>
      <c r="C9" s="6"/>
    </row>
    <row r="10" customFormat="false" ht="15" hidden="false" customHeight="false" outlineLevel="0" collapsed="false">
      <c r="A10" s="4" t="s">
        <v>14</v>
      </c>
      <c r="B10" s="5" t="n">
        <v>15</v>
      </c>
      <c r="C10" s="6" t="s">
        <v>10</v>
      </c>
    </row>
    <row r="11" customFormat="false" ht="15" hidden="false" customHeight="false" outlineLevel="0" collapsed="false">
      <c r="A11" s="4" t="s">
        <v>15</v>
      </c>
      <c r="B11" s="5" t="n">
        <v>0.47</v>
      </c>
      <c r="C11" s="6" t="s">
        <v>12</v>
      </c>
    </row>
    <row r="12" customFormat="false" ht="15" hidden="false" customHeight="false" outlineLevel="0" collapsed="false">
      <c r="A12" s="4" t="s">
        <v>16</v>
      </c>
      <c r="B12" s="5" t="n">
        <v>10</v>
      </c>
      <c r="C12" s="6"/>
    </row>
    <row r="13" customFormat="false" ht="15" hidden="false" customHeight="false" outlineLevel="0" collapsed="false">
      <c r="A13" s="4" t="s">
        <v>17</v>
      </c>
      <c r="B13" s="5" t="n">
        <v>10</v>
      </c>
      <c r="C13" s="6"/>
    </row>
    <row r="14" customFormat="false" ht="15" hidden="false" customHeight="false" outlineLevel="0" collapsed="false">
      <c r="A14" s="4" t="s">
        <v>18</v>
      </c>
      <c r="B14" s="5" t="n">
        <v>13.8</v>
      </c>
      <c r="C14" s="6"/>
    </row>
    <row r="15" customFormat="false" ht="15" hidden="false" customHeight="false" outlineLevel="0" collapsed="false">
      <c r="A15" s="4" t="s">
        <v>19</v>
      </c>
      <c r="B15" s="5" t="n">
        <v>20</v>
      </c>
      <c r="C15" s="6" t="s">
        <v>20</v>
      </c>
    </row>
    <row r="16" customFormat="false" ht="15" hidden="false" customHeight="false" outlineLevel="0" collapsed="false">
      <c r="A16" s="4" t="s">
        <v>21</v>
      </c>
      <c r="B16" s="5" t="n">
        <v>6000</v>
      </c>
      <c r="C16" s="6"/>
    </row>
    <row r="17" customFormat="false" ht="15" hidden="false" customHeight="false" outlineLevel="0" collapsed="false">
      <c r="A17" s="4" t="s">
        <v>22</v>
      </c>
      <c r="B17" s="5" t="n">
        <v>70</v>
      </c>
      <c r="C17" s="6"/>
    </row>
    <row r="19" customFormat="false" ht="15" hidden="false" customHeight="false" outlineLevel="0" collapsed="false">
      <c r="A19" s="3" t="s">
        <v>23</v>
      </c>
      <c r="B19" s="3" t="s">
        <v>3</v>
      </c>
      <c r="C19" s="3" t="s">
        <v>24</v>
      </c>
      <c r="D19" s="3" t="s">
        <v>25</v>
      </c>
    </row>
    <row r="20" customFormat="false" ht="15" hidden="false" customHeight="false" outlineLevel="0" collapsed="false">
      <c r="A20" s="4" t="s">
        <v>26</v>
      </c>
      <c r="B20" s="7" t="n">
        <f aca="false">1.44/(($B$5+2*$B$6)*1000*$B$8*0.000001)</f>
        <v>225</v>
      </c>
      <c r="C20" s="8" t="s">
        <v>27</v>
      </c>
    </row>
    <row r="21" customFormat="false" ht="15" hidden="false" customHeight="false" outlineLevel="0" collapsed="false">
      <c r="A21" s="4" t="s">
        <v>28</v>
      </c>
      <c r="B21" s="9" t="n">
        <f aca="false">1.44/(($B$5+2*($B$6+$B$7))*1000*$B$8*0.000001)</f>
        <v>6.97674418604651</v>
      </c>
      <c r="C21" s="8" t="s">
        <v>27</v>
      </c>
    </row>
    <row r="22" customFormat="false" ht="15" hidden="false" customHeight="false" outlineLevel="0" collapsed="false">
      <c r="A22" s="4" t="s">
        <v>29</v>
      </c>
      <c r="B22" s="10" t="n">
        <f aca="false">30*B20</f>
        <v>6750</v>
      </c>
      <c r="C22" s="8" t="s">
        <v>30</v>
      </c>
    </row>
    <row r="23" customFormat="false" ht="15" hidden="false" customHeight="false" outlineLevel="0" collapsed="false">
      <c r="A23" s="4" t="s">
        <v>31</v>
      </c>
      <c r="B23" s="10" t="n">
        <f aca="false">30*B21</f>
        <v>209.302325581395</v>
      </c>
      <c r="C23" s="8" t="s">
        <v>30</v>
      </c>
    </row>
    <row r="24" customFormat="false" ht="15" hidden="false" customHeight="false" outlineLevel="0" collapsed="false">
      <c r="A24" s="4" t="s">
        <v>32</v>
      </c>
      <c r="B24" s="9" t="n">
        <f aca="false">1.1*$B$9*1000*$B$11*0.000001*1000</f>
        <v>0.9306</v>
      </c>
      <c r="C24" s="8" t="s">
        <v>33</v>
      </c>
    </row>
    <row r="25" customFormat="false" ht="15" hidden="false" customHeight="false" outlineLevel="0" collapsed="false">
      <c r="A25" s="4" t="s">
        <v>34</v>
      </c>
      <c r="B25" s="9" t="n">
        <f aca="false">1.1*($B$9+$B$10)*1000*$B$11*0.000001*1000</f>
        <v>8.6856</v>
      </c>
      <c r="C25" s="8" t="s">
        <v>33</v>
      </c>
    </row>
    <row r="26" customFormat="false" ht="15" hidden="false" customHeight="false" outlineLevel="0" collapsed="false">
      <c r="A26" s="4" t="s">
        <v>35</v>
      </c>
      <c r="B26" s="9" t="n">
        <f aca="false">$B$12*1000*$B$13*0.000000001*1000</f>
        <v>0.1</v>
      </c>
      <c r="C26" s="8" t="s">
        <v>36</v>
      </c>
      <c r="D26" s="11" t="str">
        <f aca="false">IF(B26*5&lt;=B24,"OK: ≪ t_w mínimo","Revisar derivador")</f>
        <v>OK: ≪ t_w mínimo</v>
      </c>
    </row>
    <row r="27" customFormat="false" ht="15" hidden="false" customHeight="false" outlineLevel="0" collapsed="false">
      <c r="A27" s="4" t="s">
        <v>37</v>
      </c>
      <c r="B27" s="9" t="n">
        <f aca="false">$B$17/100*30000/$B$16</f>
        <v>3.5</v>
      </c>
      <c r="C27" s="8" t="s">
        <v>38</v>
      </c>
    </row>
    <row r="28" customFormat="false" ht="15" hidden="false" customHeight="false" outlineLevel="0" collapsed="false">
      <c r="A28" s="4" t="s">
        <v>39</v>
      </c>
      <c r="B28" s="9" t="n">
        <f aca="false">($B$14-5)*$B$15/1000</f>
        <v>0.176</v>
      </c>
      <c r="C28" s="8" t="s">
        <v>40</v>
      </c>
      <c r="D28" s="11" t="str">
        <f aca="false">IF(B28&lt;0.5,"Sin disipador","Con disipador")</f>
        <v>Sin disipador</v>
      </c>
    </row>
    <row r="29" customFormat="false" ht="15" hidden="false" customHeight="false" outlineLevel="0" collapsed="false">
      <c r="A29" s="4" t="s">
        <v>41</v>
      </c>
      <c r="B29" s="12"/>
      <c r="C29" s="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6.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</row>
    <row r="5" customFormat="false" ht="15" hidden="false" customHeight="false" outlineLevel="0" collapsed="false">
      <c r="A5" s="10" t="n">
        <v>0</v>
      </c>
      <c r="B5" s="7" t="n">
        <f aca="false">A5/10*Diseño!$B$7</f>
        <v>0</v>
      </c>
      <c r="C5" s="9" t="n">
        <f aca="false">1.44/((Diseño!$B$5+2*(Diseño!$B$6+B5))*1000*Diseño!$B$8*0.000001)</f>
        <v>225</v>
      </c>
      <c r="D5" s="10" t="n">
        <f aca="false">30*C5</f>
        <v>6750</v>
      </c>
      <c r="E5" s="5"/>
      <c r="F5" s="10" t="str">
        <f aca="false">IF(E5="","",30*E5)</f>
        <v/>
      </c>
      <c r="G5" s="7" t="str">
        <f aca="false">IF(E5="","",(F5-D5)/D5*100)</f>
        <v/>
      </c>
    </row>
    <row r="6" customFormat="false" ht="15" hidden="false" customHeight="false" outlineLevel="0" collapsed="false">
      <c r="A6" s="10" t="n">
        <v>1</v>
      </c>
      <c r="B6" s="7" t="n">
        <f aca="false">A6/10*Diseño!$B$7</f>
        <v>10</v>
      </c>
      <c r="C6" s="9" t="n">
        <f aca="false">1.44/((Diseño!$B$5+2*(Diseño!$B$6+B6))*1000*Diseño!$B$8*0.000001)</f>
        <v>54.5454545454546</v>
      </c>
      <c r="D6" s="10" t="n">
        <f aca="false">30*C6</f>
        <v>1636.36363636364</v>
      </c>
      <c r="E6" s="5"/>
      <c r="F6" s="10" t="str">
        <f aca="false">IF(E6="","",30*E6)</f>
        <v/>
      </c>
      <c r="G6" s="7" t="str">
        <f aca="false">IF(E6="","",(F6-D6)/D6*100)</f>
        <v/>
      </c>
    </row>
    <row r="7" customFormat="false" ht="15" hidden="false" customHeight="false" outlineLevel="0" collapsed="false">
      <c r="A7" s="10" t="n">
        <v>2</v>
      </c>
      <c r="B7" s="7" t="n">
        <f aca="false">A7/10*Diseño!$B$7</f>
        <v>20</v>
      </c>
      <c r="C7" s="9" t="n">
        <f aca="false">1.44/((Diseño!$B$5+2*(Diseño!$B$6+B7))*1000*Diseño!$B$8*0.000001)</f>
        <v>31.0344827586207</v>
      </c>
      <c r="D7" s="10" t="n">
        <f aca="false">30*C7</f>
        <v>931.034482758621</v>
      </c>
      <c r="E7" s="5"/>
      <c r="F7" s="10" t="str">
        <f aca="false">IF(E7="","",30*E7)</f>
        <v/>
      </c>
      <c r="G7" s="7" t="str">
        <f aca="false">IF(E7="","",(F7-D7)/D7*100)</f>
        <v/>
      </c>
    </row>
    <row r="8" customFormat="false" ht="15" hidden="false" customHeight="false" outlineLevel="0" collapsed="false">
      <c r="A8" s="10" t="n">
        <v>3</v>
      </c>
      <c r="B8" s="7" t="n">
        <f aca="false">A8/10*Diseño!$B$7</f>
        <v>30</v>
      </c>
      <c r="C8" s="9" t="n">
        <f aca="false">1.44/((Diseño!$B$5+2*(Diseño!$B$6+B8))*1000*Diseño!$B$8*0.000001)</f>
        <v>21.6867469879518</v>
      </c>
      <c r="D8" s="10" t="n">
        <f aca="false">30*C8</f>
        <v>650.602409638554</v>
      </c>
      <c r="E8" s="5"/>
      <c r="F8" s="10" t="str">
        <f aca="false">IF(E8="","",30*E8)</f>
        <v/>
      </c>
      <c r="G8" s="7" t="str">
        <f aca="false">IF(E8="","",(F8-D8)/D8*100)</f>
        <v/>
      </c>
    </row>
    <row r="9" customFormat="false" ht="15" hidden="false" customHeight="false" outlineLevel="0" collapsed="false">
      <c r="A9" s="10" t="n">
        <v>4</v>
      </c>
      <c r="B9" s="7" t="n">
        <f aca="false">A9/10*Diseño!$B$7</f>
        <v>40</v>
      </c>
      <c r="C9" s="9" t="n">
        <f aca="false">1.44/((Diseño!$B$5+2*(Diseño!$B$6+B9))*1000*Diseño!$B$8*0.000001)</f>
        <v>16.6666666666667</v>
      </c>
      <c r="D9" s="10" t="n">
        <f aca="false">30*C9</f>
        <v>500</v>
      </c>
      <c r="E9" s="5"/>
      <c r="F9" s="10" t="str">
        <f aca="false">IF(E9="","",30*E9)</f>
        <v/>
      </c>
      <c r="G9" s="7" t="str">
        <f aca="false">IF(E9="","",(F9-D9)/D9*100)</f>
        <v/>
      </c>
    </row>
    <row r="10" customFormat="false" ht="15" hidden="false" customHeight="false" outlineLevel="0" collapsed="false">
      <c r="A10" s="10" t="n">
        <v>5</v>
      </c>
      <c r="B10" s="7" t="n">
        <f aca="false">A10/10*Diseño!$B$7</f>
        <v>50</v>
      </c>
      <c r="C10" s="9" t="n">
        <f aca="false">1.44/((Diseño!$B$5+2*(Diseño!$B$6+B10))*1000*Diseño!$B$8*0.000001)</f>
        <v>13.5338345864662</v>
      </c>
      <c r="D10" s="10" t="n">
        <f aca="false">30*C10</f>
        <v>406.015037593985</v>
      </c>
      <c r="E10" s="5"/>
      <c r="F10" s="10" t="str">
        <f aca="false">IF(E10="","",30*E10)</f>
        <v/>
      </c>
      <c r="G10" s="7" t="str">
        <f aca="false">IF(E10="","",(F10-D10)/D10*100)</f>
        <v/>
      </c>
    </row>
    <row r="11" customFormat="false" ht="15" hidden="false" customHeight="false" outlineLevel="0" collapsed="false">
      <c r="A11" s="10" t="n">
        <v>6</v>
      </c>
      <c r="B11" s="7" t="n">
        <f aca="false">A11/10*Diseño!$B$7</f>
        <v>60</v>
      </c>
      <c r="C11" s="9" t="n">
        <f aca="false">1.44/((Diseño!$B$5+2*(Diseño!$B$6+B11))*1000*Diseño!$B$8*0.000001)</f>
        <v>11.3924050632911</v>
      </c>
      <c r="D11" s="10" t="n">
        <f aca="false">30*C11</f>
        <v>341.772151898734</v>
      </c>
      <c r="E11" s="5"/>
      <c r="F11" s="10" t="str">
        <f aca="false">IF(E11="","",30*E11)</f>
        <v/>
      </c>
      <c r="G11" s="7" t="str">
        <f aca="false">IF(E11="","",(F11-D11)/D11*100)</f>
        <v/>
      </c>
    </row>
    <row r="12" customFormat="false" ht="15" hidden="false" customHeight="false" outlineLevel="0" collapsed="false">
      <c r="A12" s="10" t="n">
        <v>7</v>
      </c>
      <c r="B12" s="7" t="n">
        <f aca="false">A12/10*Diseño!$B$7</f>
        <v>70</v>
      </c>
      <c r="C12" s="9" t="n">
        <f aca="false">1.44/((Diseño!$B$5+2*(Diseño!$B$6+B12))*1000*Diseño!$B$8*0.000001)</f>
        <v>9.83606557377049</v>
      </c>
      <c r="D12" s="10" t="n">
        <f aca="false">30*C12</f>
        <v>295.081967213115</v>
      </c>
      <c r="E12" s="5"/>
      <c r="F12" s="10" t="str">
        <f aca="false">IF(E12="","",30*E12)</f>
        <v/>
      </c>
      <c r="G12" s="7" t="str">
        <f aca="false">IF(E12="","",(F12-D12)/D12*100)</f>
        <v/>
      </c>
    </row>
    <row r="13" customFormat="false" ht="15" hidden="false" customHeight="false" outlineLevel="0" collapsed="false">
      <c r="A13" s="10" t="n">
        <v>8</v>
      </c>
      <c r="B13" s="7" t="n">
        <f aca="false">A13/10*Diseño!$B$7</f>
        <v>80</v>
      </c>
      <c r="C13" s="9" t="n">
        <f aca="false">1.44/((Diseño!$B$5+2*(Diseño!$B$6+B13))*1000*Diseño!$B$8*0.000001)</f>
        <v>8.65384615384615</v>
      </c>
      <c r="D13" s="10" t="n">
        <f aca="false">30*C13</f>
        <v>259.615384615385</v>
      </c>
      <c r="E13" s="5"/>
      <c r="F13" s="10" t="str">
        <f aca="false">IF(E13="","",30*E13)</f>
        <v/>
      </c>
      <c r="G13" s="7" t="str">
        <f aca="false">IF(E13="","",(F13-D13)/D13*100)</f>
        <v/>
      </c>
    </row>
    <row r="14" customFormat="false" ht="15" hidden="false" customHeight="false" outlineLevel="0" collapsed="false">
      <c r="A14" s="10" t="n">
        <v>9</v>
      </c>
      <c r="B14" s="7" t="n">
        <f aca="false">A14/10*Diseño!$B$7</f>
        <v>90</v>
      </c>
      <c r="C14" s="9" t="n">
        <f aca="false">1.44/((Diseño!$B$5+2*(Diseño!$B$6+B14))*1000*Diseño!$B$8*0.000001)</f>
        <v>7.72532188841202</v>
      </c>
      <c r="D14" s="10" t="n">
        <f aca="false">30*C14</f>
        <v>231.759656652361</v>
      </c>
      <c r="E14" s="5"/>
      <c r="F14" s="10" t="str">
        <f aca="false">IF(E14="","",30*E14)</f>
        <v/>
      </c>
      <c r="G14" s="7" t="str">
        <f aca="false">IF(E14="","",(F14-D14)/D14*100)</f>
        <v/>
      </c>
    </row>
    <row r="15" customFormat="false" ht="15" hidden="false" customHeight="false" outlineLevel="0" collapsed="false">
      <c r="A15" s="10" t="n">
        <v>10</v>
      </c>
      <c r="B15" s="7" t="n">
        <f aca="false">A15/10*Diseño!$B$7</f>
        <v>100</v>
      </c>
      <c r="C15" s="9" t="n">
        <f aca="false">1.44/((Diseño!$B$5+2*(Diseño!$B$6+B15))*1000*Diseño!$B$8*0.000001)</f>
        <v>6.97674418604651</v>
      </c>
      <c r="D15" s="10" t="n">
        <f aca="false">30*C15</f>
        <v>209.302325581395</v>
      </c>
      <c r="E15" s="5"/>
      <c r="F15" s="10" t="str">
        <f aca="false">IF(E15="","",30*E15)</f>
        <v/>
      </c>
      <c r="G15" s="7" t="str">
        <f aca="false">IF(E15="","",(F15-D15)/D15*100)</f>
        <v/>
      </c>
    </row>
    <row r="18" customFormat="false" ht="15" hidden="false" customHeight="false" outlineLevel="0" collapsed="false">
      <c r="A18" s="3" t="s">
        <v>45</v>
      </c>
      <c r="B18" s="3" t="s">
        <v>52</v>
      </c>
      <c r="C18" s="3" t="s">
        <v>53</v>
      </c>
      <c r="D18" s="3"/>
      <c r="E18" s="3" t="s">
        <v>54</v>
      </c>
      <c r="F18" s="3"/>
      <c r="G18" s="3" t="s">
        <v>51</v>
      </c>
    </row>
    <row r="19" customFormat="false" ht="15" hidden="false" customHeight="false" outlineLevel="0" collapsed="false">
      <c r="A19" s="10" t="n">
        <v>0</v>
      </c>
      <c r="B19" s="7" t="n">
        <f aca="false">A19/10*Diseño!$B$10</f>
        <v>0</v>
      </c>
      <c r="C19" s="9" t="n">
        <f aca="false">1.1*(Diseño!$B$9+B19)*1000*Diseño!$B$11*0.001</f>
        <v>0.9306</v>
      </c>
      <c r="E19" s="5"/>
      <c r="G19" s="7" t="str">
        <f aca="false">IF(E19="","",(E19-C19)/C19*100)</f>
        <v/>
      </c>
    </row>
    <row r="20" customFormat="false" ht="15" hidden="false" customHeight="false" outlineLevel="0" collapsed="false">
      <c r="A20" s="10" t="n">
        <v>1</v>
      </c>
      <c r="B20" s="7" t="n">
        <f aca="false">A20/10*Diseño!$B$10</f>
        <v>1.5</v>
      </c>
      <c r="C20" s="9" t="n">
        <f aca="false">1.1*(Diseño!$B$9+B20)*1000*Diseño!$B$11*0.001</f>
        <v>1.7061</v>
      </c>
      <c r="E20" s="5"/>
      <c r="G20" s="7" t="str">
        <f aca="false">IF(E20="","",(E20-C20)/C20*100)</f>
        <v/>
      </c>
    </row>
    <row r="21" customFormat="false" ht="15" hidden="false" customHeight="false" outlineLevel="0" collapsed="false">
      <c r="A21" s="10" t="n">
        <v>2</v>
      </c>
      <c r="B21" s="7" t="n">
        <f aca="false">A21/10*Diseño!$B$10</f>
        <v>3</v>
      </c>
      <c r="C21" s="9" t="n">
        <f aca="false">1.1*(Diseño!$B$9+B21)*1000*Diseño!$B$11*0.001</f>
        <v>2.4816</v>
      </c>
      <c r="E21" s="5"/>
      <c r="G21" s="7" t="str">
        <f aca="false">IF(E21="","",(E21-C21)/C21*100)</f>
        <v/>
      </c>
    </row>
    <row r="22" customFormat="false" ht="15" hidden="false" customHeight="false" outlineLevel="0" collapsed="false">
      <c r="A22" s="10" t="n">
        <v>3</v>
      </c>
      <c r="B22" s="7" t="n">
        <f aca="false">A22/10*Diseño!$B$10</f>
        <v>4.5</v>
      </c>
      <c r="C22" s="9" t="n">
        <f aca="false">1.1*(Diseño!$B$9+B22)*1000*Diseño!$B$11*0.001</f>
        <v>3.2571</v>
      </c>
      <c r="E22" s="5"/>
      <c r="G22" s="7" t="str">
        <f aca="false">IF(E22="","",(E22-C22)/C22*100)</f>
        <v/>
      </c>
    </row>
    <row r="23" customFormat="false" ht="15" hidden="false" customHeight="false" outlineLevel="0" collapsed="false">
      <c r="A23" s="10" t="n">
        <v>4</v>
      </c>
      <c r="B23" s="7" t="n">
        <f aca="false">A23/10*Diseño!$B$10</f>
        <v>6</v>
      </c>
      <c r="C23" s="9" t="n">
        <f aca="false">1.1*(Diseño!$B$9+B23)*1000*Diseño!$B$11*0.001</f>
        <v>4.0326</v>
      </c>
      <c r="E23" s="5"/>
      <c r="G23" s="7" t="str">
        <f aca="false">IF(E23="","",(E23-C23)/C23*100)</f>
        <v/>
      </c>
    </row>
    <row r="24" customFormat="false" ht="15" hidden="false" customHeight="false" outlineLevel="0" collapsed="false">
      <c r="A24" s="10" t="n">
        <v>5</v>
      </c>
      <c r="B24" s="7" t="n">
        <f aca="false">A24/10*Diseño!$B$10</f>
        <v>7.5</v>
      </c>
      <c r="C24" s="9" t="n">
        <f aca="false">1.1*(Diseño!$B$9+B24)*1000*Diseño!$B$11*0.001</f>
        <v>4.8081</v>
      </c>
      <c r="E24" s="5"/>
      <c r="G24" s="7" t="str">
        <f aca="false">IF(E24="","",(E24-C24)/C24*100)</f>
        <v/>
      </c>
    </row>
    <row r="25" customFormat="false" ht="15" hidden="false" customHeight="false" outlineLevel="0" collapsed="false">
      <c r="A25" s="10" t="n">
        <v>6</v>
      </c>
      <c r="B25" s="7" t="n">
        <f aca="false">A25/10*Diseño!$B$10</f>
        <v>9</v>
      </c>
      <c r="C25" s="9" t="n">
        <f aca="false">1.1*(Diseño!$B$9+B25)*1000*Diseño!$B$11*0.001</f>
        <v>5.5836</v>
      </c>
      <c r="E25" s="5"/>
      <c r="G25" s="7" t="str">
        <f aca="false">IF(E25="","",(E25-C25)/C25*100)</f>
        <v/>
      </c>
    </row>
    <row r="26" customFormat="false" ht="15" hidden="false" customHeight="false" outlineLevel="0" collapsed="false">
      <c r="A26" s="10" t="n">
        <v>7</v>
      </c>
      <c r="B26" s="7" t="n">
        <f aca="false">A26/10*Diseño!$B$10</f>
        <v>10.5</v>
      </c>
      <c r="C26" s="9" t="n">
        <f aca="false">1.1*(Diseño!$B$9+B26)*1000*Diseño!$B$11*0.001</f>
        <v>6.3591</v>
      </c>
      <c r="E26" s="5"/>
      <c r="G26" s="7" t="str">
        <f aca="false">IF(E26="","",(E26-C26)/C26*100)</f>
        <v/>
      </c>
    </row>
    <row r="27" customFormat="false" ht="15" hidden="false" customHeight="false" outlineLevel="0" collapsed="false">
      <c r="A27" s="10" t="n">
        <v>8</v>
      </c>
      <c r="B27" s="7" t="n">
        <f aca="false">A27/10*Diseño!$B$10</f>
        <v>12</v>
      </c>
      <c r="C27" s="9" t="n">
        <f aca="false">1.1*(Diseño!$B$9+B27)*1000*Diseño!$B$11*0.001</f>
        <v>7.1346</v>
      </c>
      <c r="E27" s="5"/>
      <c r="G27" s="7" t="str">
        <f aca="false">IF(E27="","",(E27-C27)/C27*100)</f>
        <v/>
      </c>
    </row>
    <row r="28" customFormat="false" ht="15" hidden="false" customHeight="false" outlineLevel="0" collapsed="false">
      <c r="A28" s="10" t="n">
        <v>9</v>
      </c>
      <c r="B28" s="7" t="n">
        <f aca="false">A28/10*Diseño!$B$10</f>
        <v>13.5</v>
      </c>
      <c r="C28" s="9" t="n">
        <f aca="false">1.1*(Diseño!$B$9+B28)*1000*Diseño!$B$11*0.001</f>
        <v>7.9101</v>
      </c>
      <c r="E28" s="5"/>
      <c r="G28" s="7" t="str">
        <f aca="false">IF(E28="","",(E28-C28)/C28*100)</f>
        <v/>
      </c>
    </row>
    <row r="29" customFormat="false" ht="15" hidden="false" customHeight="false" outlineLevel="0" collapsed="false">
      <c r="A29" s="10" t="n">
        <v>10</v>
      </c>
      <c r="B29" s="7" t="n">
        <f aca="false">A29/10*Diseño!$B$10</f>
        <v>15</v>
      </c>
      <c r="C29" s="9" t="n">
        <f aca="false">1.1*(Diseño!$B$9+B29)*1000*Diseño!$B$11*0.001</f>
        <v>8.6856</v>
      </c>
      <c r="E29" s="5"/>
      <c r="G29" s="7" t="str">
        <f aca="false">IF(E29="","",(E29-C29)/C29*100)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6.1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23.85" hidden="false" customHeight="false" outlineLevel="0" collapsed="false">
      <c r="A4" s="3" t="s">
        <v>57</v>
      </c>
      <c r="B4" s="3" t="s">
        <v>58</v>
      </c>
      <c r="C4" s="3" t="s">
        <v>34</v>
      </c>
      <c r="D4" s="3" t="s">
        <v>59</v>
      </c>
    </row>
    <row r="5" customFormat="false" ht="15" hidden="false" customHeight="false" outlineLevel="0" collapsed="false">
      <c r="A5" s="5" t="n">
        <v>300</v>
      </c>
      <c r="B5" s="9" t="n">
        <f aca="false">30000/A5</f>
        <v>100</v>
      </c>
      <c r="C5" s="9" t="n">
        <f aca="false">MIN(Diseño!$B$17/100*B5,Diseño!B25)</f>
        <v>8.6856</v>
      </c>
      <c r="D5" s="12" t="str">
        <f aca="false">IF(C5&gt;=Diseño!B24,"Sí","No: bajar rpm")</f>
        <v>Sí</v>
      </c>
    </row>
    <row r="6" customFormat="false" ht="15" hidden="false" customHeight="false" outlineLevel="0" collapsed="false">
      <c r="A6" s="5" t="n">
        <v>500</v>
      </c>
      <c r="B6" s="9" t="n">
        <f aca="false">30000/A6</f>
        <v>60</v>
      </c>
      <c r="C6" s="9" t="n">
        <f aca="false">MIN(Diseño!$B$17/100*B6,Diseño!B25)</f>
        <v>8.6856</v>
      </c>
      <c r="D6" s="12" t="str">
        <f aca="false">IF(C6&gt;=Diseño!B24,"Sí","No: bajar rpm")</f>
        <v>Sí</v>
      </c>
    </row>
    <row r="7" customFormat="false" ht="15" hidden="false" customHeight="false" outlineLevel="0" collapsed="false">
      <c r="A7" s="5" t="n">
        <v>1000</v>
      </c>
      <c r="B7" s="9" t="n">
        <f aca="false">30000/A7</f>
        <v>30</v>
      </c>
      <c r="C7" s="9" t="n">
        <f aca="false">MIN(Diseño!$B$17/100*B7,Diseño!B25)</f>
        <v>8.6856</v>
      </c>
      <c r="D7" s="12" t="str">
        <f aca="false">IF(C7&gt;=Diseño!B24,"Sí","No: bajar rpm")</f>
        <v>Sí</v>
      </c>
    </row>
    <row r="8" customFormat="false" ht="15" hidden="false" customHeight="false" outlineLevel="0" collapsed="false">
      <c r="A8" s="5" t="n">
        <v>1500</v>
      </c>
      <c r="B8" s="9" t="n">
        <f aca="false">30000/A8</f>
        <v>20</v>
      </c>
      <c r="C8" s="9" t="n">
        <f aca="false">MIN(Diseño!$B$17/100*B8,Diseño!B25)</f>
        <v>8.6856</v>
      </c>
      <c r="D8" s="12" t="str">
        <f aca="false">IF(C8&gt;=Diseño!B24,"Sí","No: bajar rpm")</f>
        <v>Sí</v>
      </c>
    </row>
    <row r="9" customFormat="false" ht="15" hidden="false" customHeight="false" outlineLevel="0" collapsed="false">
      <c r="A9" s="5" t="n">
        <v>2000</v>
      </c>
      <c r="B9" s="9" t="n">
        <f aca="false">30000/A9</f>
        <v>15</v>
      </c>
      <c r="C9" s="9" t="n">
        <f aca="false">MIN(Diseño!$B$17/100*B9,Diseño!B25)</f>
        <v>8.6856</v>
      </c>
      <c r="D9" s="12" t="str">
        <f aca="false">IF(C9&gt;=Diseño!B24,"Sí","No: bajar rpm")</f>
        <v>Sí</v>
      </c>
    </row>
    <row r="10" customFormat="false" ht="15" hidden="false" customHeight="false" outlineLevel="0" collapsed="false">
      <c r="A10" s="5" t="n">
        <v>3000</v>
      </c>
      <c r="B10" s="9" t="n">
        <f aca="false">30000/A10</f>
        <v>10</v>
      </c>
      <c r="C10" s="9" t="n">
        <f aca="false">MIN(Diseño!$B$17/100*B10,Diseño!B25)</f>
        <v>7</v>
      </c>
      <c r="D10" s="12" t="str">
        <f aca="false">IF(C10&gt;=Diseño!B24,"Sí","No: bajar rpm")</f>
        <v>Sí</v>
      </c>
    </row>
    <row r="11" customFormat="false" ht="15" hidden="false" customHeight="false" outlineLevel="0" collapsed="false">
      <c r="A11" s="5" t="n">
        <v>4000</v>
      </c>
      <c r="B11" s="9" t="n">
        <f aca="false">30000/A11</f>
        <v>7.5</v>
      </c>
      <c r="C11" s="9" t="n">
        <f aca="false">MIN(Diseño!$B$17/100*B11,Diseño!B25)</f>
        <v>5.25</v>
      </c>
      <c r="D11" s="12" t="str">
        <f aca="false">IF(C11&gt;=Diseño!B24,"Sí","No: bajar rpm")</f>
        <v>Sí</v>
      </c>
    </row>
    <row r="12" customFormat="false" ht="15" hidden="false" customHeight="false" outlineLevel="0" collapsed="false">
      <c r="A12" s="5" t="n">
        <v>5000</v>
      </c>
      <c r="B12" s="9" t="n">
        <f aca="false">30000/A12</f>
        <v>6</v>
      </c>
      <c r="C12" s="9" t="n">
        <f aca="false">MIN(Diseño!$B$17/100*B12,Diseño!B25)</f>
        <v>4.2</v>
      </c>
      <c r="D12" s="12" t="str">
        <f aca="false">IF(C12&gt;=Diseño!B24,"Sí","No: bajar rpm")</f>
        <v>Sí</v>
      </c>
    </row>
    <row r="13" customFormat="false" ht="15" hidden="false" customHeight="false" outlineLevel="0" collapsed="false">
      <c r="A13" s="5" t="n">
        <v>6000</v>
      </c>
      <c r="B13" s="9" t="n">
        <f aca="false">30000/A13</f>
        <v>5</v>
      </c>
      <c r="C13" s="9" t="n">
        <f aca="false">MIN(Diseño!$B$17/100*B13,Diseño!B25)</f>
        <v>3.5</v>
      </c>
      <c r="D13" s="12" t="str">
        <f aca="false">IF(C13&gt;=Diseño!B24,"Sí","No: bajar rpm")</f>
        <v>Sí</v>
      </c>
    </row>
    <row r="14" customFormat="false" ht="15" hidden="false" customHeight="false" outlineLevel="0" collapsed="false">
      <c r="A14" s="5" t="n">
        <v>7000</v>
      </c>
      <c r="B14" s="9" t="n">
        <f aca="false">30000/A14</f>
        <v>4.28571428571429</v>
      </c>
      <c r="C14" s="9" t="n">
        <f aca="false">MIN(Diseño!$B$17/100*B14,Diseño!B25)</f>
        <v>3</v>
      </c>
      <c r="D14" s="12" t="str">
        <f aca="false">IF(C14&gt;=Diseño!B24,"Sí","No: bajar rpm")</f>
        <v>Sí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8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3" t="s">
        <v>62</v>
      </c>
      <c r="B4" s="3" t="s">
        <v>63</v>
      </c>
      <c r="C4" s="3" t="s">
        <v>64</v>
      </c>
      <c r="D4" s="3" t="s">
        <v>65</v>
      </c>
      <c r="E4" s="3" t="s">
        <v>66</v>
      </c>
      <c r="F4" s="3" t="s">
        <v>67</v>
      </c>
      <c r="G4" s="3" t="s">
        <v>68</v>
      </c>
    </row>
    <row r="5" customFormat="false" ht="15" hidden="false" customHeight="false" outlineLevel="0" collapsed="false">
      <c r="A5" s="4" t="s">
        <v>58</v>
      </c>
      <c r="B5" s="5" t="n">
        <v>10</v>
      </c>
      <c r="C5" s="5"/>
      <c r="D5" s="5"/>
      <c r="E5" s="5"/>
      <c r="F5" s="7" t="str">
        <f aca="false">IF(OR(C5="",D5=""),"",(D5-C5)/C5*100)</f>
        <v/>
      </c>
      <c r="G5" s="7" t="str">
        <f aca="false">IF(OR(D5="",E5=""),"",(E5-D5)/D5*100)</f>
        <v/>
      </c>
    </row>
    <row r="6" customFormat="false" ht="15" hidden="false" customHeight="false" outlineLevel="0" collapsed="false">
      <c r="A6" s="4" t="s">
        <v>69</v>
      </c>
      <c r="B6" s="5" t="n">
        <v>3</v>
      </c>
      <c r="C6" s="5"/>
      <c r="D6" s="5"/>
      <c r="E6" s="5"/>
      <c r="F6" s="7" t="str">
        <f aca="false">IF(OR(C6="",D6=""),"",(D6-C6)/C6*100)</f>
        <v/>
      </c>
      <c r="G6" s="7" t="str">
        <f aca="false">IF(OR(D6="",E6=""),"",(E6-D6)/D6*100)</f>
        <v/>
      </c>
    </row>
    <row r="7" customFormat="false" ht="15" hidden="false" customHeight="false" outlineLevel="0" collapsed="false">
      <c r="A7" s="4" t="s">
        <v>70</v>
      </c>
      <c r="B7" s="5"/>
      <c r="C7" s="5"/>
      <c r="D7" s="5"/>
      <c r="E7" s="5"/>
      <c r="F7" s="7" t="str">
        <f aca="false">IF(OR(C7="",D7=""),"",(D7-C7)/C7*100)</f>
        <v/>
      </c>
      <c r="G7" s="7" t="str">
        <f aca="false">IF(OR(D7="",E7=""),"",(E7-D7)/D7*100)</f>
        <v/>
      </c>
    </row>
    <row r="8" customFormat="false" ht="15" hidden="false" customHeight="false" outlineLevel="0" collapsed="false">
      <c r="A8" s="4" t="s">
        <v>71</v>
      </c>
      <c r="B8" s="5"/>
      <c r="C8" s="5"/>
      <c r="D8" s="5"/>
      <c r="E8" s="5"/>
      <c r="F8" s="7" t="str">
        <f aca="false">IF(OR(C8="",D8=""),"",(D8-C8)/C8*100)</f>
        <v/>
      </c>
      <c r="G8" s="7" t="str">
        <f aca="false">IF(OR(D8="",E8=""),"",(E8-D8)/D8*100)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2026-09-30T23:23:18Z</dcterms:created>
  <dc:creator>openpyxl</dc:creator>
  <dc:description/>
  <dc:language>en-US</dc:language>
  <cp:lastModifiedBy/>
  <dcterms:modified xsi:type="dcterms:W3CDTF">2026-09-30T23:23:21Z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