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Calculos" sheetId="3" state="visible" r:id="rId5"/>
    <sheet name="Fallos" sheetId="4" state="visible" r:id="rId6"/>
    <sheet name="Tiempo_bobina" sheetId="5" state="visible" r:id="rId7"/>
    <sheet name="Carga_limitacion" sheetId="6" state="visible" r:id="rId8"/>
    <sheet name="Registr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<sst xmlns="http://schemas.openxmlformats.org/spreadsheetml/2006/main" count="133" uniqueCount="112">
  <si>
    <t xml:space="preserve">Práctica 8 — Parte 4: encendido con bobina independiente por cilindro (COP)</t>
  </si>
  <si>
    <t xml:space="preserve">Libro de cálculo de apoyo a la guía de clase práctica — Electricidad Automotriz, ISTS</t>
  </si>
  <si>
    <t xml:space="preserve">Uso:</t>
  </si>
  <si>
    <t xml:space="preserve">1. Escriba sus medidas SOLO en las celdas de fondo amarillo y texto azul de "Datos". Los valores que traen son un ejemplo.</t>
  </si>
  <si>
    <t xml:space="preserve">2. "Calculos" aplica las ecuaciones (1) a (8) de la guía; "Fallos" calcula la tasa de fallos por cilindro.</t>
  </si>
  <si>
    <t xml:space="preserve">3. "Tiempo_bobina" y "Carga_limitacion" generan gráficas de doble eje; "Registro" reproduce la tabla de la guía.</t>
  </si>
  <si>
    <t xml:space="preserve">Convención de colores: azul con fondo amarillo = dato de entrada; negro = fórmula.</t>
  </si>
  <si>
    <t xml:space="preserve">Fuentes: Bosch (2008), Bosch (s. f.), Sánchez (2009), Minga González (s. f.), Beto Booster (s. f.). L1, Ilim y m son valores ilustrativos.</t>
  </si>
  <si>
    <t xml:space="preserve">Dato</t>
  </si>
  <si>
    <t xml:space="preserve">Símbolo</t>
  </si>
  <si>
    <t xml:space="preserve">Valor</t>
  </si>
  <si>
    <t xml:space="preserve">Unidad</t>
  </si>
  <si>
    <t xml:space="preserve">Origen / comentario</t>
  </si>
  <si>
    <t xml:space="preserve">Tensión de batería</t>
  </si>
  <si>
    <t xml:space="preserve">U_B</t>
  </si>
  <si>
    <t xml:space="preserve">V</t>
  </si>
  <si>
    <t xml:space="preserve">Resistencia del primario</t>
  </si>
  <si>
    <t xml:space="preserve">R1</t>
  </si>
  <si>
    <t xml:space="preserve">Ω</t>
  </si>
  <si>
    <t xml:space="preserve">Bosch chispa simple ≈ 0,47 Ω</t>
  </si>
  <si>
    <t xml:space="preserve">Inductancia del primario</t>
  </si>
  <si>
    <t xml:space="preserve">L1</t>
  </si>
  <si>
    <t xml:space="preserve">mH</t>
  </si>
  <si>
    <t xml:space="preserve">Valor ilustrativo</t>
  </si>
  <si>
    <t xml:space="preserve">Corriente límite</t>
  </si>
  <si>
    <t xml:space="preserve">Ilim</t>
  </si>
  <si>
    <t xml:space="preserve">A</t>
  </si>
  <si>
    <t xml:space="preserve">Número de cilindros</t>
  </si>
  <si>
    <t xml:space="preserve">z</t>
  </si>
  <si>
    <t xml:space="preserve">—</t>
  </si>
  <si>
    <t xml:space="preserve">Tiempo de carga medido</t>
  </si>
  <si>
    <t xml:space="preserve">tc</t>
  </si>
  <si>
    <t xml:space="preserve">ms</t>
  </si>
  <si>
    <t xml:space="preserve">Osciloscopio</t>
  </si>
  <si>
    <t xml:space="preserve">Relación de transformación</t>
  </si>
  <si>
    <t xml:space="preserve">m</t>
  </si>
  <si>
    <t xml:space="preserve">Par de apriete del manual</t>
  </si>
  <si>
    <t xml:space="preserve">Mkgf</t>
  </si>
  <si>
    <t xml:space="preserve">kgf·m</t>
  </si>
  <si>
    <t xml:space="preserve">Manual del vehículo</t>
  </si>
  <si>
    <t xml:space="preserve">Régimen 1 (ralentí)</t>
  </si>
  <si>
    <t xml:space="preserve">n1</t>
  </si>
  <si>
    <t xml:space="preserve">r. p. m.</t>
  </si>
  <si>
    <t xml:space="preserve">Régimen 2</t>
  </si>
  <si>
    <t xml:space="preserve">n2</t>
  </si>
  <si>
    <t xml:space="preserve">Régimen 3</t>
  </si>
  <si>
    <t xml:space="preserve">n3</t>
  </si>
  <si>
    <t xml:space="preserve">Régimen 4</t>
  </si>
  <si>
    <t xml:space="preserve">n4</t>
  </si>
  <si>
    <t xml:space="preserve">Vueltas de cigüeñal del registro de fallos</t>
  </si>
  <si>
    <t xml:space="preserve">Nrev</t>
  </si>
  <si>
    <t xml:space="preserve">vueltas</t>
  </si>
  <si>
    <t xml:space="preserve">Equipo de diagnosis</t>
  </si>
  <si>
    <t xml:space="preserve">Fallos de combustión registrados por cilindro</t>
  </si>
  <si>
    <t xml:space="preserve">Cilindro</t>
  </si>
  <si>
    <t xml:space="preserve">Fallos N_f</t>
  </si>
  <si>
    <t xml:space="preserve">Ec.</t>
  </si>
  <si>
    <t xml:space="preserve">Magnitud</t>
  </si>
  <si>
    <t xml:space="preserve">Fórmula</t>
  </si>
  <si>
    <t xml:space="preserve">Resultado</t>
  </si>
  <si>
    <t xml:space="preserve">Referencia / interpretación</t>
  </si>
  <si>
    <t xml:space="preserve">(1)</t>
  </si>
  <si>
    <t xml:space="preserve">Tiempo entre disparos COP a n4</t>
  </si>
  <si>
    <t xml:space="preserve">T_COP = 120/n</t>
  </si>
  <si>
    <t xml:space="preserve">6 000 r. p. m.: 20 ms</t>
  </si>
  <si>
    <t xml:space="preserve">Tiempo entre disparos DIS a n4</t>
  </si>
  <si>
    <t xml:space="preserve">T_DIS = 60/n</t>
  </si>
  <si>
    <t xml:space="preserve">10 ms</t>
  </si>
  <si>
    <t xml:space="preserve">Tiempo entre disparos con distribuidor a n4</t>
  </si>
  <si>
    <t xml:space="preserve">T_dist = 120/(n·z)</t>
  </si>
  <si>
    <t xml:space="preserve">5 ms (4 cil.)</t>
  </si>
  <si>
    <t xml:space="preserve">(2)</t>
  </si>
  <si>
    <t xml:space="preserve">Fracción de cierre a n4</t>
  </si>
  <si>
    <t xml:space="preserve">DC = tc/T_COP·100</t>
  </si>
  <si>
    <t xml:space="preserve">%</t>
  </si>
  <si>
    <t xml:space="preserve">(3)</t>
  </si>
  <si>
    <t xml:space="preserve">Corriente sin limitación</t>
  </si>
  <si>
    <t xml:space="preserve">Imáx = U_B/R1</t>
  </si>
  <si>
    <t xml:space="preserve">Constante de tiempo</t>
  </si>
  <si>
    <t xml:space="preserve">τ = L1/R1</t>
  </si>
  <si>
    <t xml:space="preserve">(4)</t>
  </si>
  <si>
    <t xml:space="preserve">Tiempo hasta la limitación</t>
  </si>
  <si>
    <t xml:space="preserve">t_lim = −τ·ln(1 − Ilim/Imáx)</t>
  </si>
  <si>
    <t xml:space="preserve">(5)</t>
  </si>
  <si>
    <t xml:space="preserve">Energía almacenada al límite</t>
  </si>
  <si>
    <t xml:space="preserve">W = ½·L1·Ilim²</t>
  </si>
  <si>
    <t xml:space="preserve">mJ</t>
  </si>
  <si>
    <t xml:space="preserve">(6)</t>
  </si>
  <si>
    <t xml:space="preserve">Tensión de cierre en el secundario</t>
  </si>
  <si>
    <t xml:space="preserve">U2 ≈ m·U_B</t>
  </si>
  <si>
    <t xml:space="preserve">kV</t>
  </si>
  <si>
    <t xml:space="preserve">La bloquea el diodo de alta tensión</t>
  </si>
  <si>
    <t xml:space="preserve">(8)</t>
  </si>
  <si>
    <t xml:space="preserve">Par de apriete</t>
  </si>
  <si>
    <t xml:space="preserve">M(N·m) = 9,81·M(kgf·m)</t>
  </si>
  <si>
    <t xml:space="preserve">N·m</t>
  </si>
  <si>
    <t xml:space="preserve">Encendidos del cilindro (N_rev/2)</t>
  </si>
  <si>
    <t xml:space="preserve">Tasa de fallos TF (%)</t>
  </si>
  <si>
    <t xml:space="preserve">Observación</t>
  </si>
  <si>
    <t xml:space="preserve">n (r. p. m.)</t>
  </si>
  <si>
    <t xml:space="preserve">T_COP (ms)</t>
  </si>
  <si>
    <t xml:space="preserve">T_DIS (ms)</t>
  </si>
  <si>
    <t xml:space="preserve">T_dist (ms)</t>
  </si>
  <si>
    <t xml:space="preserve">DC COP (%)</t>
  </si>
  <si>
    <t xml:space="preserve">DC distribuidor (%)</t>
  </si>
  <si>
    <t xml:space="preserve">t (ms)</t>
  </si>
  <si>
    <t xml:space="preserve">i sin limitación (A)</t>
  </si>
  <si>
    <t xml:space="preserve">i con limitación (A)</t>
  </si>
  <si>
    <t xml:space="preserve">W almacenada (mJ)</t>
  </si>
  <si>
    <t xml:space="preserve">Régimen (r. p. m.)</t>
  </si>
  <si>
    <t xml:space="preserve">tc medido (ms)</t>
  </si>
  <si>
    <t xml:space="preserve">DC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</si>
</sst>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38C3F"/>
      <rgbColor rgb="FF800080"/>
      <rgbColor rgb="FF008080"/>
      <rgbColor rgb="FFC0D2A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DAB8"/>
      <rgbColor rgb="FFFFFF99"/>
      <rgbColor rgb="FFB3C992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87A44B"/>
      <rgbColor rgb="FF999999"/>
      <rgbColor rgb="FF003366"/>
      <rgbColor rgb="FF7E994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Tiempo entre disparos (eje izq.) y fracción de cierre necesaria (eje der.): COP, DIS y distribuidor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"T_COP"</c:f>
              <c:strCache>
                <c:ptCount val="1"/>
                <c:pt idx="0">
                  <c:v>T_COP</c:v>
                </c:pt>
              </c:strCache>
            </c:strRef>
          </c:tx>
          <c:spPr>
            <a:solidFill>
              <a:srgbClr val="738c3f"/>
            </a:solidFill>
            <a:ln w="47520">
              <a:solidFill>
                <a:srgbClr val="738c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Tiempo_bobina!$A$2:$A$28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Tiempo_bobina!$B$2:$B$28</c:f>
              <c:numCache>
                <c:formatCode>0.00</c:formatCode>
                <c:ptCount val="27"/>
                <c:pt idx="0">
                  <c:v>240</c:v>
                </c:pt>
                <c:pt idx="1">
                  <c:v>160</c:v>
                </c:pt>
                <c:pt idx="2">
                  <c:v>120</c:v>
                </c:pt>
                <c:pt idx="3">
                  <c:v>96</c:v>
                </c:pt>
                <c:pt idx="4">
                  <c:v>80</c:v>
                </c:pt>
                <c:pt idx="5">
                  <c:v>68.5714285714286</c:v>
                </c:pt>
                <c:pt idx="6">
                  <c:v>60</c:v>
                </c:pt>
                <c:pt idx="7">
                  <c:v>53.3333333333333</c:v>
                </c:pt>
                <c:pt idx="8">
                  <c:v>48</c:v>
                </c:pt>
                <c:pt idx="9">
                  <c:v>43.6363636363636</c:v>
                </c:pt>
                <c:pt idx="10">
                  <c:v>40</c:v>
                </c:pt>
                <c:pt idx="11">
                  <c:v>36.9230769230769</c:v>
                </c:pt>
                <c:pt idx="12">
                  <c:v>34.2857142857143</c:v>
                </c:pt>
                <c:pt idx="13">
                  <c:v>32</c:v>
                </c:pt>
                <c:pt idx="14">
                  <c:v>30</c:v>
                </c:pt>
                <c:pt idx="15">
                  <c:v>28.2352941176471</c:v>
                </c:pt>
                <c:pt idx="16">
                  <c:v>26.6666666666667</c:v>
                </c:pt>
                <c:pt idx="17">
                  <c:v>25.2631578947368</c:v>
                </c:pt>
                <c:pt idx="18">
                  <c:v>24</c:v>
                </c:pt>
                <c:pt idx="19">
                  <c:v>22.8571428571429</c:v>
                </c:pt>
                <c:pt idx="20">
                  <c:v>21.8181818181818</c:v>
                </c:pt>
                <c:pt idx="21">
                  <c:v>20.8695652173913</c:v>
                </c:pt>
                <c:pt idx="22">
                  <c:v>20</c:v>
                </c:pt>
                <c:pt idx="23">
                  <c:v>19.2</c:v>
                </c:pt>
                <c:pt idx="24">
                  <c:v>18.4615384615385</c:v>
                </c:pt>
                <c:pt idx="25">
                  <c:v>17.7777777777778</c:v>
                </c:pt>
                <c:pt idx="26">
                  <c:v>17.1428571428571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"T_DIS"</c:f>
              <c:strCache>
                <c:ptCount val="1"/>
                <c:pt idx="0">
                  <c:v>T_DIS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Tiempo_bobina!$A$2:$A$28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Tiempo_bobina!$C$2:$C$28</c:f>
              <c:numCache>
                <c:formatCode>0.00</c:formatCode>
                <c:ptCount val="27"/>
                <c:pt idx="0">
                  <c:v>120</c:v>
                </c:pt>
                <c:pt idx="1">
                  <c:v>80</c:v>
                </c:pt>
                <c:pt idx="2">
                  <c:v>60</c:v>
                </c:pt>
                <c:pt idx="3">
                  <c:v>48</c:v>
                </c:pt>
                <c:pt idx="4">
                  <c:v>40</c:v>
                </c:pt>
                <c:pt idx="5">
                  <c:v>34.2857142857143</c:v>
                </c:pt>
                <c:pt idx="6">
                  <c:v>30</c:v>
                </c:pt>
                <c:pt idx="7">
                  <c:v>26.6666666666667</c:v>
                </c:pt>
                <c:pt idx="8">
                  <c:v>24</c:v>
                </c:pt>
                <c:pt idx="9">
                  <c:v>21.8181818181818</c:v>
                </c:pt>
                <c:pt idx="10">
                  <c:v>20</c:v>
                </c:pt>
                <c:pt idx="11">
                  <c:v>18.4615384615385</c:v>
                </c:pt>
                <c:pt idx="12">
                  <c:v>17.1428571428571</c:v>
                </c:pt>
                <c:pt idx="13">
                  <c:v>16</c:v>
                </c:pt>
                <c:pt idx="14">
                  <c:v>15</c:v>
                </c:pt>
                <c:pt idx="15">
                  <c:v>14.1176470588235</c:v>
                </c:pt>
                <c:pt idx="16">
                  <c:v>13.3333333333333</c:v>
                </c:pt>
                <c:pt idx="17">
                  <c:v>12.6315789473684</c:v>
                </c:pt>
                <c:pt idx="18">
                  <c:v>12</c:v>
                </c:pt>
                <c:pt idx="19">
                  <c:v>11.4285714285714</c:v>
                </c:pt>
                <c:pt idx="20">
                  <c:v>10.9090909090909</c:v>
                </c:pt>
                <c:pt idx="21">
                  <c:v>10.4347826086957</c:v>
                </c:pt>
                <c:pt idx="22">
                  <c:v>10</c:v>
                </c:pt>
                <c:pt idx="23">
                  <c:v>9.6</c:v>
                </c:pt>
                <c:pt idx="24">
                  <c:v>9.23076923076923</c:v>
                </c:pt>
                <c:pt idx="25">
                  <c:v>8.88888888888889</c:v>
                </c:pt>
                <c:pt idx="26">
                  <c:v>8.57142857142857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"T_dist"</c:f>
              <c:strCache>
                <c:ptCount val="1"/>
                <c:pt idx="0">
                  <c:v>T_dist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Tiempo_bobina!$A$2:$A$28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Tiempo_bobina!$D$2:$D$28</c:f>
              <c:numCache>
                <c:formatCode>0.00</c:formatCode>
                <c:ptCount val="27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24</c:v>
                </c:pt>
                <c:pt idx="4">
                  <c:v>20</c:v>
                </c:pt>
                <c:pt idx="5">
                  <c:v>17.1428571428571</c:v>
                </c:pt>
                <c:pt idx="6">
                  <c:v>15</c:v>
                </c:pt>
                <c:pt idx="7">
                  <c:v>13.3333333333333</c:v>
                </c:pt>
                <c:pt idx="8">
                  <c:v>12</c:v>
                </c:pt>
                <c:pt idx="9">
                  <c:v>10.9090909090909</c:v>
                </c:pt>
                <c:pt idx="10">
                  <c:v>10</c:v>
                </c:pt>
                <c:pt idx="11">
                  <c:v>9.23076923076923</c:v>
                </c:pt>
                <c:pt idx="12">
                  <c:v>8.57142857142857</c:v>
                </c:pt>
                <c:pt idx="13">
                  <c:v>8</c:v>
                </c:pt>
                <c:pt idx="14">
                  <c:v>7.5</c:v>
                </c:pt>
                <c:pt idx="15">
                  <c:v>7.05882352941176</c:v>
                </c:pt>
                <c:pt idx="16">
                  <c:v>6.66666666666667</c:v>
                </c:pt>
                <c:pt idx="17">
                  <c:v>6.31578947368421</c:v>
                </c:pt>
                <c:pt idx="18">
                  <c:v>6</c:v>
                </c:pt>
                <c:pt idx="19">
                  <c:v>5.71428571428571</c:v>
                </c:pt>
                <c:pt idx="20">
                  <c:v>5.45454545454545</c:v>
                </c:pt>
                <c:pt idx="21">
                  <c:v>5.21739130434783</c:v>
                </c:pt>
                <c:pt idx="22">
                  <c:v>5</c:v>
                </c:pt>
                <c:pt idx="23">
                  <c:v>4.8</c:v>
                </c:pt>
                <c:pt idx="24">
                  <c:v>4.61538461538462</c:v>
                </c:pt>
                <c:pt idx="25">
                  <c:v>4.44444444444445</c:v>
                </c:pt>
                <c:pt idx="26">
                  <c:v>4.28571428571429</c:v>
                </c:pt>
              </c:numCache>
            </c:numRef>
          </c:yVal>
          <c:smooth val="1"/>
        </c:ser>
        <c:axId val="82165342"/>
        <c:axId val="90720972"/>
      </c:scatterChart>
      <c:scatterChart>
        <c:scatterStyle val="line"/>
        <c:varyColors val="0"/>
        <c:ser>
          <c:idx val="3"/>
          <c:order val="3"/>
          <c:tx>
            <c:strRef>
              <c:f>"DC COP"</c:f>
              <c:strCache>
                <c:ptCount val="1"/>
                <c:pt idx="0">
                  <c:v>DC COP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Tiempo_bobina!$A$2:$A$28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Tiempo_bobina!$E$2:$E$28</c:f>
              <c:numCache>
                <c:formatCode>0.0</c:formatCode>
                <c:ptCount val="27"/>
                <c:pt idx="0">
                  <c:v>1.25</c:v>
                </c:pt>
                <c:pt idx="1">
                  <c:v>1.875</c:v>
                </c:pt>
                <c:pt idx="2">
                  <c:v>2.5</c:v>
                </c:pt>
                <c:pt idx="3">
                  <c:v>3.125</c:v>
                </c:pt>
                <c:pt idx="4">
                  <c:v>3.75</c:v>
                </c:pt>
                <c:pt idx="5">
                  <c:v>4.375</c:v>
                </c:pt>
                <c:pt idx="6">
                  <c:v>5</c:v>
                </c:pt>
                <c:pt idx="7">
                  <c:v>5.625</c:v>
                </c:pt>
                <c:pt idx="8">
                  <c:v>6.25</c:v>
                </c:pt>
                <c:pt idx="9">
                  <c:v>6.875</c:v>
                </c:pt>
                <c:pt idx="10">
                  <c:v>7.5</c:v>
                </c:pt>
                <c:pt idx="11">
                  <c:v>8.125</c:v>
                </c:pt>
                <c:pt idx="12">
                  <c:v>8.75</c:v>
                </c:pt>
                <c:pt idx="13">
                  <c:v>9.375</c:v>
                </c:pt>
                <c:pt idx="14">
                  <c:v>10</c:v>
                </c:pt>
                <c:pt idx="15">
                  <c:v>10.625</c:v>
                </c:pt>
                <c:pt idx="16">
                  <c:v>11.25</c:v>
                </c:pt>
                <c:pt idx="17">
                  <c:v>11.875</c:v>
                </c:pt>
                <c:pt idx="18">
                  <c:v>12.5</c:v>
                </c:pt>
                <c:pt idx="19">
                  <c:v>13.125</c:v>
                </c:pt>
                <c:pt idx="20">
                  <c:v>13.75</c:v>
                </c:pt>
                <c:pt idx="21">
                  <c:v>14.375</c:v>
                </c:pt>
                <c:pt idx="22">
                  <c:v>15</c:v>
                </c:pt>
                <c:pt idx="23">
                  <c:v>15.625</c:v>
                </c:pt>
                <c:pt idx="24">
                  <c:v>16.25</c:v>
                </c:pt>
                <c:pt idx="25">
                  <c:v>16.875</c:v>
                </c:pt>
                <c:pt idx="26">
                  <c:v>17.5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"DC distribuidor"</c:f>
              <c:strCache>
                <c:ptCount val="1"/>
                <c:pt idx="0">
                  <c:v>DC distribuidor</c:v>
                </c:pt>
              </c:strCache>
            </c:strRef>
          </c:tx>
          <c:spPr>
            <a:solidFill>
              <a:srgbClr val="ccdab8"/>
            </a:solidFill>
            <a:ln w="47520">
              <a:solidFill>
                <a:srgbClr val="ccdab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Tiempo_bobina!$A$2:$A$28</c:f>
              <c:numCache>
                <c:formatCode>General</c:formatCode>
                <c:ptCount val="2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3000</c:v>
                </c:pt>
                <c:pt idx="11">
                  <c:v>3250</c:v>
                </c:pt>
                <c:pt idx="12">
                  <c:v>3500</c:v>
                </c:pt>
                <c:pt idx="13">
                  <c:v>3750</c:v>
                </c:pt>
                <c:pt idx="14">
                  <c:v>4000</c:v>
                </c:pt>
                <c:pt idx="15">
                  <c:v>4250</c:v>
                </c:pt>
                <c:pt idx="16">
                  <c:v>4500</c:v>
                </c:pt>
                <c:pt idx="17">
                  <c:v>4750</c:v>
                </c:pt>
                <c:pt idx="18">
                  <c:v>5000</c:v>
                </c:pt>
                <c:pt idx="19">
                  <c:v>5250</c:v>
                </c:pt>
                <c:pt idx="20">
                  <c:v>5500</c:v>
                </c:pt>
                <c:pt idx="21">
                  <c:v>5750</c:v>
                </c:pt>
                <c:pt idx="22">
                  <c:v>6000</c:v>
                </c:pt>
                <c:pt idx="23">
                  <c:v>6250</c:v>
                </c:pt>
                <c:pt idx="24">
                  <c:v>6500</c:v>
                </c:pt>
                <c:pt idx="25">
                  <c:v>6750</c:v>
                </c:pt>
                <c:pt idx="26">
                  <c:v>7000</c:v>
                </c:pt>
              </c:numCache>
            </c:numRef>
          </c:xVal>
          <c:yVal>
            <c:numRef>
              <c:f>Tiempo_bobina!$F$2:$F$28</c:f>
              <c:numCache>
                <c:formatCode>0.0</c:formatCode>
                <c:ptCount val="27"/>
                <c:pt idx="0">
                  <c:v>5</c:v>
                </c:pt>
                <c:pt idx="1">
                  <c:v>7.5</c:v>
                </c:pt>
                <c:pt idx="2">
                  <c:v>10</c:v>
                </c:pt>
                <c:pt idx="3">
                  <c:v>12.5</c:v>
                </c:pt>
                <c:pt idx="4">
                  <c:v>15</c:v>
                </c:pt>
                <c:pt idx="5">
                  <c:v>17.5</c:v>
                </c:pt>
                <c:pt idx="6">
                  <c:v>20</c:v>
                </c:pt>
                <c:pt idx="7">
                  <c:v>22.5</c:v>
                </c:pt>
                <c:pt idx="8">
                  <c:v>25</c:v>
                </c:pt>
                <c:pt idx="9">
                  <c:v>27.5</c:v>
                </c:pt>
                <c:pt idx="10">
                  <c:v>30</c:v>
                </c:pt>
                <c:pt idx="11">
                  <c:v>32.5</c:v>
                </c:pt>
                <c:pt idx="12">
                  <c:v>35</c:v>
                </c:pt>
                <c:pt idx="13">
                  <c:v>37.5</c:v>
                </c:pt>
                <c:pt idx="14">
                  <c:v>40</c:v>
                </c:pt>
                <c:pt idx="15">
                  <c:v>42.5</c:v>
                </c:pt>
                <c:pt idx="16">
                  <c:v>45</c:v>
                </c:pt>
                <c:pt idx="17">
                  <c:v>47.5</c:v>
                </c:pt>
                <c:pt idx="18">
                  <c:v>50</c:v>
                </c:pt>
                <c:pt idx="19">
                  <c:v>52.5</c:v>
                </c:pt>
                <c:pt idx="20">
                  <c:v>55</c:v>
                </c:pt>
                <c:pt idx="21">
                  <c:v>57.5</c:v>
                </c:pt>
                <c:pt idx="22">
                  <c:v>60</c:v>
                </c:pt>
                <c:pt idx="23">
                  <c:v>62.5</c:v>
                </c:pt>
                <c:pt idx="24">
                  <c:v>65</c:v>
                </c:pt>
                <c:pt idx="25">
                  <c:v>67.5</c:v>
                </c:pt>
                <c:pt idx="26">
                  <c:v>70</c:v>
                </c:pt>
              </c:numCache>
            </c:numRef>
          </c:yVal>
          <c:smooth val="1"/>
        </c:ser>
        <c:axId val="73758517"/>
        <c:axId val="99371830"/>
      </c:scatterChart>
      <c:valAx>
        <c:axId val="821653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20972"/>
        <c:crosses val="autoZero"/>
        <c:crossBetween val="midCat"/>
      </c:valAx>
      <c:valAx>
        <c:axId val="90720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entre disparos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65342"/>
        <c:crosses val="autoZero"/>
        <c:crossBetween val="midCat"/>
      </c:valAx>
      <c:valAx>
        <c:axId val="73758517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(r. p. m.)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71830"/>
        <c:crosses val="autoZero"/>
        <c:crossBetween val="midCat"/>
      </c:valAx>
      <c:valAx>
        <c:axId val="9937183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Fracción de cierre para tc fijo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58517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de la bobina COP: corriente (eje izq.) y energía almacenada (eje der.)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 sin limitación"</c:f>
              <c:strCache>
                <c:ptCount val="1"/>
                <c:pt idx="0">
                  <c:v>i sin limitación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Carga_limitacion!$A$2:$A$42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Carga_limitacion!$B$2:$B$42</c:f>
              <c:numCache>
                <c:formatCode>0.00</c:formatCode>
                <c:ptCount val="41"/>
                <c:pt idx="0">
                  <c:v>0</c:v>
                </c:pt>
                <c:pt idx="1">
                  <c:v>1.45408649247658</c:v>
                </c:pt>
                <c:pt idx="2">
                  <c:v>2.82007433796971</c:v>
                </c:pt>
                <c:pt idx="3">
                  <c:v>4.10330116367039</c:v>
                </c:pt>
                <c:pt idx="4">
                  <c:v>5.30878120628628</c:v>
                </c:pt>
                <c:pt idx="5">
                  <c:v>6.4412249052806</c:v>
                </c:pt>
                <c:pt idx="6">
                  <c:v>7.50505730901667</c:v>
                </c:pt>
                <c:pt idx="7">
                  <c:v>8.50443536573059</c:v>
                </c:pt>
                <c:pt idx="8">
                  <c:v>9.4432641668968</c:v>
                </c:pt>
                <c:pt idx="9">
                  <c:v>10.3252122064578</c:v>
                </c:pt>
                <c:pt idx="10">
                  <c:v>11.1537257155442</c:v>
                </c:pt>
                <c:pt idx="11">
                  <c:v>11.9320421286974</c:v>
                </c:pt>
                <c:pt idx="12">
                  <c:v>12.6632027342156</c:v>
                </c:pt>
                <c:pt idx="13">
                  <c:v>13.3500645580541</c:v>
                </c:pt>
                <c:pt idx="14">
                  <c:v>13.9953115277158</c:v>
                </c:pt>
                <c:pt idx="15">
                  <c:v>14.6014649597568</c:v>
                </c:pt>
                <c:pt idx="16">
                  <c:v>15.1708934118854</c:v>
                </c:pt>
                <c:pt idx="17">
                  <c:v>15.7058219381526</c:v>
                </c:pt>
                <c:pt idx="18">
                  <c:v>16.2083407833996</c:v>
                </c:pt>
                <c:pt idx="19">
                  <c:v>16.6804135509346</c:v>
                </c:pt>
                <c:pt idx="20">
                  <c:v>17.1238848753554</c:v>
                </c:pt>
                <c:pt idx="21">
                  <c:v>17.5404876304996</c:v>
                </c:pt>
                <c:pt idx="22">
                  <c:v>17.9318497006861</c:v>
                </c:pt>
                <c:pt idx="23">
                  <c:v>18.299500341709</c:v>
                </c:pt>
                <c:pt idx="24">
                  <c:v>18.6448761564377</c:v>
                </c:pt>
                <c:pt idx="25">
                  <c:v>18.9693267083737</c:v>
                </c:pt>
                <c:pt idx="26">
                  <c:v>19.2741197950993</c:v>
                </c:pt>
                <c:pt idx="27">
                  <c:v>19.5604464022247</c:v>
                </c:pt>
                <c:pt idx="28">
                  <c:v>19.8294253571893</c:v>
                </c:pt>
                <c:pt idx="29">
                  <c:v>20.082107701105</c:v>
                </c:pt>
                <c:pt idx="30">
                  <c:v>20.3194807957217</c:v>
                </c:pt>
                <c:pt idx="31">
                  <c:v>20.5424721815651</c:v>
                </c:pt>
                <c:pt idx="32">
                  <c:v>20.7519532023213</c:v>
                </c:pt>
                <c:pt idx="33">
                  <c:v>20.9487424096311</c:v>
                </c:pt>
                <c:pt idx="34">
                  <c:v>21.1336087615987</c:v>
                </c:pt>
                <c:pt idx="35">
                  <c:v>21.3072746275118</c:v>
                </c:pt>
                <c:pt idx="36">
                  <c:v>21.4704186105153</c:v>
                </c:pt>
                <c:pt idx="37">
                  <c:v>21.6236781992682</c:v>
                </c:pt>
                <c:pt idx="38">
                  <c:v>21.7676522589441</c:v>
                </c:pt>
                <c:pt idx="39">
                  <c:v>21.9029033713099</c:v>
                </c:pt>
                <c:pt idx="40">
                  <c:v>22.0299600330264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"i con limitación"</c:f>
              <c:strCache>
                <c:ptCount val="1"/>
                <c:pt idx="0">
                  <c:v>i con limitación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Carga_limitacion!$A$2:$A$42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Carga_limitacion!$C$2:$C$42</c:f>
              <c:numCache>
                <c:formatCode>0.00</c:formatCode>
                <c:ptCount val="41"/>
                <c:pt idx="0">
                  <c:v>0</c:v>
                </c:pt>
                <c:pt idx="1">
                  <c:v>1.45408649247658</c:v>
                </c:pt>
                <c:pt idx="2">
                  <c:v>2.82007433796971</c:v>
                </c:pt>
                <c:pt idx="3">
                  <c:v>4.10330116367039</c:v>
                </c:pt>
                <c:pt idx="4">
                  <c:v>5.30878120628628</c:v>
                </c:pt>
                <c:pt idx="5">
                  <c:v>6.4412249052806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</c:numCache>
            </c:numRef>
          </c:yVal>
          <c:smooth val="1"/>
        </c:ser>
        <c:axId val="93787198"/>
        <c:axId val="47583783"/>
      </c:scatterChart>
      <c:scatterChart>
        <c:scatterStyle val="line"/>
        <c:varyColors val="0"/>
        <c:ser>
          <c:idx val="2"/>
          <c:order val="2"/>
          <c:tx>
            <c:strRef>
              <c:f>"W"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rgbClr val="c0d2a7"/>
            </a:solidFill>
            <a:ln w="47520">
              <a:solidFill>
                <a:srgbClr val="c0d2a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Carga_limitacion!$A$2:$A$42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Carga_limitacion!$D$2:$D$42</c:f>
              <c:numCache>
                <c:formatCode>0.0</c:formatCode>
                <c:ptCount val="41"/>
                <c:pt idx="0">
                  <c:v>0</c:v>
                </c:pt>
                <c:pt idx="1">
                  <c:v>2.11436752760285</c:v>
                </c:pt>
                <c:pt idx="2">
                  <c:v>7.95281927167529</c:v>
                </c:pt>
                <c:pt idx="3">
                  <c:v>16.8370804397788</c:v>
                </c:pt>
                <c:pt idx="4">
                  <c:v>28.1831578962184</c:v>
                </c:pt>
                <c:pt idx="5">
                  <c:v>41.489378280407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49</c:v>
                </c:pt>
                <c:pt idx="30">
                  <c:v>49</c:v>
                </c:pt>
                <c:pt idx="31">
                  <c:v>49</c:v>
                </c:pt>
                <c:pt idx="32">
                  <c:v>49</c:v>
                </c:pt>
                <c:pt idx="33">
                  <c:v>49</c:v>
                </c:pt>
                <c:pt idx="34">
                  <c:v>49</c:v>
                </c:pt>
                <c:pt idx="35">
                  <c:v>49</c:v>
                </c:pt>
                <c:pt idx="36">
                  <c:v>49</c:v>
                </c:pt>
                <c:pt idx="37">
                  <c:v>49</c:v>
                </c:pt>
                <c:pt idx="38">
                  <c:v>49</c:v>
                </c:pt>
                <c:pt idx="39">
                  <c:v>49</c:v>
                </c:pt>
                <c:pt idx="40">
                  <c:v>49</c:v>
                </c:pt>
              </c:numCache>
            </c:numRef>
          </c:yVal>
          <c:smooth val="1"/>
        </c:ser>
        <c:axId val="15046686"/>
        <c:axId val="13418055"/>
      </c:scatterChart>
      <c:valAx>
        <c:axId val="937871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cierre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83783"/>
        <c:crosses val="autoZero"/>
        <c:crossBetween val="midCat"/>
      </c:valAx>
      <c:valAx>
        <c:axId val="475837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Corriente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87198"/>
        <c:crosses val="autoZero"/>
        <c:crossBetween val="midCat"/>
      </c:valAx>
      <c:valAx>
        <c:axId val="15046686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cierre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18055"/>
        <c:crosses val="autoZero"/>
        <c:crossBetween val="midCat"/>
      </c:valAx>
      <c:valAx>
        <c:axId val="1341805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Energía (mJ)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46686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380880</xdr:rowOff>
    </xdr:from>
    <xdr:to>
      <xdr:col>21</xdr:col>
      <xdr:colOff>78480</xdr:colOff>
      <xdr:row>23</xdr:row>
      <xdr:rowOff>7200</xdr:rowOff>
    </xdr:to>
    <xdr:graphicFrame>
      <xdr:nvGraphicFramePr>
        <xdr:cNvPr id="0" name="Chart 1"/>
        <xdr:cNvGraphicFramePr/>
      </xdr:nvGraphicFramePr>
      <xdr:xfrm>
        <a:off x="4280400" y="380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380880</xdr:rowOff>
    </xdr:from>
    <xdr:to>
      <xdr:col>19</xdr:col>
      <xdr:colOff>78480</xdr:colOff>
      <xdr:row>22</xdr:row>
      <xdr:rowOff>37080</xdr:rowOff>
    </xdr:to>
    <xdr:graphicFrame>
      <xdr:nvGraphicFramePr>
        <xdr:cNvPr id="1" name="Chart 1"/>
        <xdr:cNvGraphicFramePr/>
      </xdr:nvGraphicFramePr>
      <xdr:xfrm>
        <a:off x="3057480" y="38088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customFormat="false" ht="15" hidden="false" customHeight="false" outlineLevel="0" collapsed="false">
      <c r="A2" s="5" t="s">
        <v>13</v>
      </c>
      <c r="B2" s="5" t="s">
        <v>14</v>
      </c>
      <c r="C2" s="6" t="n">
        <v>12</v>
      </c>
      <c r="D2" s="5" t="s">
        <v>15</v>
      </c>
      <c r="E2" s="5"/>
    </row>
    <row r="3" customFormat="false" ht="15" hidden="false" customHeight="false" outlineLevel="0" collapsed="false">
      <c r="A3" s="5" t="s">
        <v>16</v>
      </c>
      <c r="B3" s="5" t="s">
        <v>17</v>
      </c>
      <c r="C3" s="6" t="n">
        <v>0.5</v>
      </c>
      <c r="D3" s="5" t="s">
        <v>18</v>
      </c>
      <c r="E3" s="5" t="s">
        <v>19</v>
      </c>
    </row>
    <row r="4" customFormat="false" ht="15" hidden="false" customHeight="false" outlineLevel="0" collapsed="false">
      <c r="A4" s="5" t="s">
        <v>20</v>
      </c>
      <c r="B4" s="5" t="s">
        <v>21</v>
      </c>
      <c r="C4" s="6" t="n">
        <v>2</v>
      </c>
      <c r="D4" s="5" t="s">
        <v>22</v>
      </c>
      <c r="E4" s="5" t="s">
        <v>23</v>
      </c>
    </row>
    <row r="5" customFormat="false" ht="15" hidden="false" customHeight="false" outlineLevel="0" collapsed="false">
      <c r="A5" s="5" t="s">
        <v>24</v>
      </c>
      <c r="B5" s="5" t="s">
        <v>25</v>
      </c>
      <c r="C5" s="6" t="n">
        <v>7</v>
      </c>
      <c r="D5" s="5" t="s">
        <v>26</v>
      </c>
      <c r="E5" s="5" t="s">
        <v>23</v>
      </c>
    </row>
    <row r="6" customFormat="false" ht="15" hidden="false" customHeight="false" outlineLevel="0" collapsed="false">
      <c r="A6" s="5" t="s">
        <v>27</v>
      </c>
      <c r="B6" s="5" t="s">
        <v>28</v>
      </c>
      <c r="C6" s="6" t="n">
        <v>4</v>
      </c>
      <c r="D6" s="5" t="s">
        <v>29</v>
      </c>
      <c r="E6" s="5"/>
    </row>
    <row r="7" customFormat="false" ht="15" hidden="false" customHeight="false" outlineLevel="0" collapsed="false">
      <c r="A7" s="5" t="s">
        <v>30</v>
      </c>
      <c r="B7" s="5" t="s">
        <v>31</v>
      </c>
      <c r="C7" s="6" t="n">
        <v>3</v>
      </c>
      <c r="D7" s="5" t="s">
        <v>32</v>
      </c>
      <c r="E7" s="5" t="s">
        <v>33</v>
      </c>
    </row>
    <row r="8" customFormat="false" ht="15" hidden="false" customHeight="false" outlineLevel="0" collapsed="false">
      <c r="A8" s="5" t="s">
        <v>34</v>
      </c>
      <c r="B8" s="5" t="s">
        <v>35</v>
      </c>
      <c r="C8" s="6" t="n">
        <v>100</v>
      </c>
      <c r="D8" s="5" t="s">
        <v>29</v>
      </c>
      <c r="E8" s="5" t="s">
        <v>23</v>
      </c>
    </row>
    <row r="9" customFormat="false" ht="15" hidden="false" customHeight="false" outlineLevel="0" collapsed="false">
      <c r="A9" s="5" t="s">
        <v>36</v>
      </c>
      <c r="B9" s="5" t="s">
        <v>37</v>
      </c>
      <c r="C9" s="6" t="n">
        <v>1</v>
      </c>
      <c r="D9" s="5" t="s">
        <v>38</v>
      </c>
      <c r="E9" s="5" t="s">
        <v>39</v>
      </c>
    </row>
    <row r="10" customFormat="false" ht="15" hidden="false" customHeight="false" outlineLevel="0" collapsed="false">
      <c r="A10" s="5" t="s">
        <v>40</v>
      </c>
      <c r="B10" s="5" t="s">
        <v>41</v>
      </c>
      <c r="C10" s="6" t="n">
        <v>800</v>
      </c>
      <c r="D10" s="5" t="s">
        <v>42</v>
      </c>
      <c r="E10" s="5"/>
    </row>
    <row r="11" customFormat="false" ht="15" hidden="false" customHeight="false" outlineLevel="0" collapsed="false">
      <c r="A11" s="5" t="s">
        <v>43</v>
      </c>
      <c r="B11" s="5" t="s">
        <v>44</v>
      </c>
      <c r="C11" s="6" t="n">
        <v>2000</v>
      </c>
      <c r="D11" s="5" t="s">
        <v>42</v>
      </c>
      <c r="E11" s="5"/>
    </row>
    <row r="12" customFormat="false" ht="15" hidden="false" customHeight="false" outlineLevel="0" collapsed="false">
      <c r="A12" s="5" t="s">
        <v>45</v>
      </c>
      <c r="B12" s="5" t="s">
        <v>46</v>
      </c>
      <c r="C12" s="6" t="n">
        <v>3000</v>
      </c>
      <c r="D12" s="5" t="s">
        <v>42</v>
      </c>
      <c r="E12" s="5"/>
    </row>
    <row r="13" customFormat="false" ht="15" hidden="false" customHeight="false" outlineLevel="0" collapsed="false">
      <c r="A13" s="5" t="s">
        <v>47</v>
      </c>
      <c r="B13" s="5" t="s">
        <v>48</v>
      </c>
      <c r="C13" s="6" t="n">
        <v>6000</v>
      </c>
      <c r="D13" s="5" t="s">
        <v>42</v>
      </c>
      <c r="E13" s="5"/>
    </row>
    <row r="14" customFormat="false" ht="15" hidden="false" customHeight="false" outlineLevel="0" collapsed="false">
      <c r="A14" s="5" t="s">
        <v>49</v>
      </c>
      <c r="B14" s="5" t="s">
        <v>50</v>
      </c>
      <c r="C14" s="6" t="n">
        <v>1000</v>
      </c>
      <c r="D14" s="5" t="s">
        <v>51</v>
      </c>
      <c r="E14" s="5" t="s">
        <v>52</v>
      </c>
    </row>
    <row r="16" customFormat="false" ht="15" hidden="false" customHeight="false" outlineLevel="0" collapsed="false">
      <c r="A16" s="2" t="s">
        <v>53</v>
      </c>
    </row>
    <row r="17" customFormat="false" ht="15" hidden="false" customHeight="false" outlineLevel="0" collapsed="false">
      <c r="A17" s="4" t="s">
        <v>54</v>
      </c>
      <c r="B17" s="4" t="s">
        <v>55</v>
      </c>
    </row>
    <row r="18" customFormat="false" ht="15" hidden="false" customHeight="false" outlineLevel="0" collapsed="false">
      <c r="A18" s="5" t="n">
        <v>1</v>
      </c>
      <c r="B18" s="6" t="n">
        <v>0</v>
      </c>
    </row>
    <row r="19" customFormat="false" ht="15" hidden="false" customHeight="false" outlineLevel="0" collapsed="false">
      <c r="A19" s="5" t="n">
        <v>2</v>
      </c>
      <c r="B19" s="6" t="n">
        <v>1</v>
      </c>
    </row>
    <row r="20" customFormat="false" ht="15" hidden="false" customHeight="false" outlineLevel="0" collapsed="false">
      <c r="A20" s="5" t="n">
        <v>3</v>
      </c>
      <c r="B20" s="6" t="n">
        <v>12</v>
      </c>
    </row>
    <row r="21" customFormat="false" ht="15" hidden="false" customHeight="false" outlineLevel="0" collapsed="false">
      <c r="A21" s="5" t="n">
        <v>4</v>
      </c>
      <c r="B21" s="6" t="n">
        <v>0</v>
      </c>
    </row>
    <row r="22" customFormat="false" ht="15" hidden="false" customHeight="false" outlineLevel="0" collapsed="false">
      <c r="A22" s="5" t="n">
        <v>5</v>
      </c>
      <c r="B22" s="6" t="n">
        <v>0</v>
      </c>
    </row>
    <row r="23" customFormat="false" ht="15" hidden="false" customHeight="false" outlineLevel="0" collapsed="false">
      <c r="A23" s="5" t="n">
        <v>6</v>
      </c>
      <c r="B23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4" t="s">
        <v>56</v>
      </c>
      <c r="B1" s="4" t="s">
        <v>57</v>
      </c>
      <c r="C1" s="4" t="s">
        <v>58</v>
      </c>
      <c r="D1" s="4" t="s">
        <v>59</v>
      </c>
      <c r="E1" s="4" t="s">
        <v>11</v>
      </c>
      <c r="F1" s="4" t="s">
        <v>60</v>
      </c>
    </row>
    <row r="2" customFormat="false" ht="15" hidden="false" customHeight="false" outlineLevel="0" collapsed="false">
      <c r="A2" s="5" t="s">
        <v>61</v>
      </c>
      <c r="B2" s="5" t="s">
        <v>62</v>
      </c>
      <c r="C2" s="5" t="s">
        <v>63</v>
      </c>
      <c r="D2" s="7" t="n">
        <f aca="false">120000/Datos!$C$13</f>
        <v>20</v>
      </c>
      <c r="E2" s="5" t="s">
        <v>32</v>
      </c>
      <c r="F2" s="5" t="s">
        <v>64</v>
      </c>
    </row>
    <row r="3" customFormat="false" ht="15" hidden="false" customHeight="false" outlineLevel="0" collapsed="false">
      <c r="A3" s="5" t="s">
        <v>61</v>
      </c>
      <c r="B3" s="5" t="s">
        <v>65</v>
      </c>
      <c r="C3" s="5" t="s">
        <v>66</v>
      </c>
      <c r="D3" s="7" t="n">
        <f aca="false">60000/Datos!$C$13</f>
        <v>10</v>
      </c>
      <c r="E3" s="5" t="s">
        <v>32</v>
      </c>
      <c r="F3" s="5" t="s">
        <v>67</v>
      </c>
    </row>
    <row r="4" customFormat="false" ht="15" hidden="false" customHeight="false" outlineLevel="0" collapsed="false">
      <c r="A4" s="5" t="s">
        <v>61</v>
      </c>
      <c r="B4" s="5" t="s">
        <v>68</v>
      </c>
      <c r="C4" s="5" t="s">
        <v>69</v>
      </c>
      <c r="D4" s="7" t="n">
        <f aca="false">120000/(Datos!$C$13*Datos!$C$6)</f>
        <v>5</v>
      </c>
      <c r="E4" s="5" t="s">
        <v>32</v>
      </c>
      <c r="F4" s="5" t="s">
        <v>70</v>
      </c>
    </row>
    <row r="5" customFormat="false" ht="15" hidden="false" customHeight="false" outlineLevel="0" collapsed="false">
      <c r="A5" s="5" t="s">
        <v>71</v>
      </c>
      <c r="B5" s="5" t="s">
        <v>72</v>
      </c>
      <c r="C5" s="5" t="s">
        <v>73</v>
      </c>
      <c r="D5" s="7" t="n">
        <f aca="false">Datos!$C$7/D2*100</f>
        <v>15</v>
      </c>
      <c r="E5" s="5" t="s">
        <v>74</v>
      </c>
      <c r="F5" s="5"/>
    </row>
    <row r="6" customFormat="false" ht="15" hidden="false" customHeight="false" outlineLevel="0" collapsed="false">
      <c r="A6" s="5" t="s">
        <v>75</v>
      </c>
      <c r="B6" s="5" t="s">
        <v>76</v>
      </c>
      <c r="C6" s="5" t="s">
        <v>77</v>
      </c>
      <c r="D6" s="7" t="n">
        <f aca="false">Datos!$C$2/Datos!$C$3</f>
        <v>24</v>
      </c>
      <c r="E6" s="5" t="s">
        <v>26</v>
      </c>
      <c r="F6" s="5"/>
    </row>
    <row r="7" customFormat="false" ht="15" hidden="false" customHeight="false" outlineLevel="0" collapsed="false">
      <c r="A7" s="5" t="s">
        <v>75</v>
      </c>
      <c r="B7" s="5" t="s">
        <v>78</v>
      </c>
      <c r="C7" s="5" t="s">
        <v>79</v>
      </c>
      <c r="D7" s="7" t="n">
        <f aca="false">Datos!$C$4/Datos!$C$3</f>
        <v>4</v>
      </c>
      <c r="E7" s="5" t="s">
        <v>32</v>
      </c>
      <c r="F7" s="5"/>
    </row>
    <row r="8" customFormat="false" ht="15" hidden="false" customHeight="false" outlineLevel="0" collapsed="false">
      <c r="A8" s="5" t="s">
        <v>80</v>
      </c>
      <c r="B8" s="5" t="s">
        <v>81</v>
      </c>
      <c r="C8" s="5" t="s">
        <v>82</v>
      </c>
      <c r="D8" s="7" t="n">
        <f aca="false">IF(Datos!$C$5&lt;D6,-D7*LN(1-Datos!$C$5/D6),"No limita")</f>
        <v>1.37936194516692</v>
      </c>
      <c r="E8" s="5" t="s">
        <v>32</v>
      </c>
      <c r="F8" s="5"/>
    </row>
    <row r="9" customFormat="false" ht="15" hidden="false" customHeight="false" outlineLevel="0" collapsed="false">
      <c r="A9" s="5" t="s">
        <v>83</v>
      </c>
      <c r="B9" s="5" t="s">
        <v>84</v>
      </c>
      <c r="C9" s="5" t="s">
        <v>85</v>
      </c>
      <c r="D9" s="7" t="n">
        <f aca="false">0.5*Datos!$C$4*Datos!$C$5^2</f>
        <v>49</v>
      </c>
      <c r="E9" s="5" t="s">
        <v>86</v>
      </c>
      <c r="F9" s="5"/>
    </row>
    <row r="10" customFormat="false" ht="15" hidden="false" customHeight="false" outlineLevel="0" collapsed="false">
      <c r="A10" s="5" t="s">
        <v>87</v>
      </c>
      <c r="B10" s="5" t="s">
        <v>88</v>
      </c>
      <c r="C10" s="5" t="s">
        <v>89</v>
      </c>
      <c r="D10" s="7" t="n">
        <f aca="false">Datos!$C$8*Datos!$C$2/1000</f>
        <v>1.2</v>
      </c>
      <c r="E10" s="5" t="s">
        <v>90</v>
      </c>
      <c r="F10" s="5" t="s">
        <v>91</v>
      </c>
    </row>
    <row r="11" customFormat="false" ht="15" hidden="false" customHeight="false" outlineLevel="0" collapsed="false">
      <c r="A11" s="5" t="s">
        <v>92</v>
      </c>
      <c r="B11" s="5" t="s">
        <v>93</v>
      </c>
      <c r="C11" s="5" t="s">
        <v>94</v>
      </c>
      <c r="D11" s="7" t="n">
        <f aca="false">9.81*Datos!$C$9</f>
        <v>9.81</v>
      </c>
      <c r="E11" s="5" t="s">
        <v>95</v>
      </c>
      <c r="F1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52"/>
  </cols>
  <sheetData>
    <row r="1" customFormat="false" ht="26.85" hidden="false" customHeight="false" outlineLevel="0" collapsed="false">
      <c r="A1" s="4" t="s">
        <v>54</v>
      </c>
      <c r="B1" s="4" t="s">
        <v>55</v>
      </c>
      <c r="C1" s="4" t="s">
        <v>96</v>
      </c>
      <c r="D1" s="4" t="s">
        <v>97</v>
      </c>
      <c r="E1" s="4" t="s">
        <v>98</v>
      </c>
    </row>
    <row r="2" customFormat="false" ht="15" hidden="false" customHeight="false" outlineLevel="0" collapsed="false">
      <c r="A2" s="5" t="n">
        <f aca="false">IF(Datos!A18&lt;=Datos!$C$6,Datos!A18,"")</f>
        <v>1</v>
      </c>
      <c r="B2" s="5" t="n">
        <f aca="false">IF(A2="","",Datos!B18)</f>
        <v>0</v>
      </c>
      <c r="C2" s="8" t="n">
        <f aca="false">IF(A2="","",Datos!$C$14/2)</f>
        <v>500</v>
      </c>
      <c r="D2" s="7" t="n">
        <f aca="false">IF(A2="","",B2/C2*100)</f>
        <v>0</v>
      </c>
      <c r="E2" s="5" t="str">
        <f aca="false">IF(A2="","",IF(D2=MAX($D$2:$D$7),IF(D2&gt;0,"Cilindro con más fallos: intercambiar la bobina y repetir",""),""))</f>
        <v/>
      </c>
    </row>
    <row r="3" customFormat="false" ht="15" hidden="false" customHeight="false" outlineLevel="0" collapsed="false">
      <c r="A3" s="5" t="n">
        <f aca="false">IF(Datos!A19&lt;=Datos!$C$6,Datos!A19,"")</f>
        <v>2</v>
      </c>
      <c r="B3" s="5" t="n">
        <f aca="false">IF(A3="","",Datos!B19)</f>
        <v>1</v>
      </c>
      <c r="C3" s="8" t="n">
        <f aca="false">IF(A3="","",Datos!$C$14/2)</f>
        <v>500</v>
      </c>
      <c r="D3" s="7" t="n">
        <f aca="false">IF(A3="","",B3/C3*100)</f>
        <v>0.2</v>
      </c>
      <c r="E3" s="5" t="str">
        <f aca="false">IF(A3="","",IF(D3=MAX($D$2:$D$7),IF(D3&gt;0,"Cilindro con más fallos: intercambiar la bobina y repetir",""),""))</f>
        <v/>
      </c>
    </row>
    <row r="4" customFormat="false" ht="15" hidden="false" customHeight="false" outlineLevel="0" collapsed="false">
      <c r="A4" s="5" t="n">
        <f aca="false">IF(Datos!A20&lt;=Datos!$C$6,Datos!A20,"")</f>
        <v>3</v>
      </c>
      <c r="B4" s="5" t="n">
        <f aca="false">IF(A4="","",Datos!B20)</f>
        <v>12</v>
      </c>
      <c r="C4" s="8" t="n">
        <f aca="false">IF(A4="","",Datos!$C$14/2)</f>
        <v>500</v>
      </c>
      <c r="D4" s="7" t="n">
        <f aca="false">IF(A4="","",B4/C4*100)</f>
        <v>2.4</v>
      </c>
      <c r="E4" s="5" t="str">
        <f aca="false">IF(A4="","",IF(D4=MAX($D$2:$D$7),IF(D4&gt;0,"Cilindro con más fallos: intercambiar la bobina y repetir",""),""))</f>
        <v>Cilindro con más fallos: intercambiar la bobina y repetir</v>
      </c>
    </row>
    <row r="5" customFormat="false" ht="15" hidden="false" customHeight="false" outlineLevel="0" collapsed="false">
      <c r="A5" s="5" t="n">
        <f aca="false">IF(Datos!A21&lt;=Datos!$C$6,Datos!A21,"")</f>
        <v>4</v>
      </c>
      <c r="B5" s="5" t="n">
        <f aca="false">IF(A5="","",Datos!B21)</f>
        <v>0</v>
      </c>
      <c r="C5" s="8" t="n">
        <f aca="false">IF(A5="","",Datos!$C$14/2)</f>
        <v>500</v>
      </c>
      <c r="D5" s="7" t="n">
        <f aca="false">IF(A5="","",B5/C5*100)</f>
        <v>0</v>
      </c>
      <c r="E5" s="5" t="str">
        <f aca="false">IF(A5="","",IF(D5=MAX($D$2:$D$7),IF(D5&gt;0,"Cilindro con más fallos: intercambiar la bobina y repetir",""),""))</f>
        <v/>
      </c>
    </row>
    <row r="6" customFormat="false" ht="15" hidden="false" customHeight="false" outlineLevel="0" collapsed="false">
      <c r="A6" s="5" t="str">
        <f aca="false">IF(Datos!A22&lt;=Datos!$C$6,Datos!A22,"")</f>
        <v/>
      </c>
      <c r="B6" s="5" t="str">
        <f aca="false">IF(A6="","",Datos!B22)</f>
        <v/>
      </c>
      <c r="C6" s="8" t="str">
        <f aca="false">IF(A6="","",Datos!$C$14/2)</f>
        <v/>
      </c>
      <c r="D6" s="7" t="str">
        <f aca="false">IF(A6="","",B6/C6*100)</f>
        <v/>
      </c>
      <c r="E6" s="5" t="str">
        <f aca="false">IF(A6="","",IF(D6=MAX($D$2:$D$7),IF(D6&gt;0,"Cilindro con más fallos: intercambiar la bobina y repetir",""),""))</f>
        <v/>
      </c>
    </row>
    <row r="7" customFormat="false" ht="15" hidden="false" customHeight="false" outlineLevel="0" collapsed="false">
      <c r="A7" s="5" t="str">
        <f aca="false">IF(Datos!A23&lt;=Datos!$C$6,Datos!A23,"")</f>
        <v/>
      </c>
      <c r="B7" s="5" t="str">
        <f aca="false">IF(A7="","",Datos!B23)</f>
        <v/>
      </c>
      <c r="C7" s="8" t="str">
        <f aca="false">IF(A7="","",Datos!$C$14/2)</f>
        <v/>
      </c>
      <c r="D7" s="7" t="str">
        <f aca="false">IF(A7="","",B7/C7*100)</f>
        <v/>
      </c>
      <c r="E7" s="5" t="str">
        <f aca="false">IF(A7="","",IF(D7=MAX($D$2:$D$7),IF(D7&gt;0,"Cilindro con más fallos: intercambiar la bobina y repetir",""),""))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9.55" hidden="false" customHeight="false" outlineLevel="0" collapsed="false">
      <c r="A1" s="4" t="s">
        <v>99</v>
      </c>
      <c r="B1" s="4" t="s">
        <v>100</v>
      </c>
      <c r="C1" s="4" t="s">
        <v>101</v>
      </c>
      <c r="D1" s="4" t="s">
        <v>102</v>
      </c>
      <c r="E1" s="4" t="s">
        <v>103</v>
      </c>
      <c r="F1" s="4" t="s">
        <v>104</v>
      </c>
    </row>
    <row r="2" customFormat="false" ht="15" hidden="false" customHeight="false" outlineLevel="0" collapsed="false">
      <c r="A2" s="0" t="n">
        <v>500</v>
      </c>
      <c r="B2" s="9" t="n">
        <f aca="false">120000/A2</f>
        <v>240</v>
      </c>
      <c r="C2" s="9" t="n">
        <f aca="false">60000/A2</f>
        <v>120</v>
      </c>
      <c r="D2" s="9" t="n">
        <f aca="false">120000/(A2*Datos!$C$6)</f>
        <v>60</v>
      </c>
      <c r="E2" s="10" t="n">
        <f aca="false">MIN(100,Datos!$C$7/B2*100)</f>
        <v>1.25</v>
      </c>
      <c r="F2" s="10" t="n">
        <f aca="false">MIN(100,Datos!$C$7/D2*100)</f>
        <v>5</v>
      </c>
    </row>
    <row r="3" customFormat="false" ht="15" hidden="false" customHeight="false" outlineLevel="0" collapsed="false">
      <c r="A3" s="0" t="n">
        <v>750</v>
      </c>
      <c r="B3" s="9" t="n">
        <f aca="false">120000/A3</f>
        <v>160</v>
      </c>
      <c r="C3" s="9" t="n">
        <f aca="false">60000/A3</f>
        <v>80</v>
      </c>
      <c r="D3" s="9" t="n">
        <f aca="false">120000/(A3*Datos!$C$6)</f>
        <v>40</v>
      </c>
      <c r="E3" s="10" t="n">
        <f aca="false">MIN(100,Datos!$C$7/B3*100)</f>
        <v>1.875</v>
      </c>
      <c r="F3" s="10" t="n">
        <f aca="false">MIN(100,Datos!$C$7/D3*100)</f>
        <v>7.5</v>
      </c>
    </row>
    <row r="4" customFormat="false" ht="15" hidden="false" customHeight="false" outlineLevel="0" collapsed="false">
      <c r="A4" s="0" t="n">
        <v>1000</v>
      </c>
      <c r="B4" s="9" t="n">
        <f aca="false">120000/A4</f>
        <v>120</v>
      </c>
      <c r="C4" s="9" t="n">
        <f aca="false">60000/A4</f>
        <v>60</v>
      </c>
      <c r="D4" s="9" t="n">
        <f aca="false">120000/(A4*Datos!$C$6)</f>
        <v>30</v>
      </c>
      <c r="E4" s="10" t="n">
        <f aca="false">MIN(100,Datos!$C$7/B4*100)</f>
        <v>2.5</v>
      </c>
      <c r="F4" s="10" t="n">
        <f aca="false">MIN(100,Datos!$C$7/D4*100)</f>
        <v>10</v>
      </c>
    </row>
    <row r="5" customFormat="false" ht="15" hidden="false" customHeight="false" outlineLevel="0" collapsed="false">
      <c r="A5" s="0" t="n">
        <v>1250</v>
      </c>
      <c r="B5" s="9" t="n">
        <f aca="false">120000/A5</f>
        <v>96</v>
      </c>
      <c r="C5" s="9" t="n">
        <f aca="false">60000/A5</f>
        <v>48</v>
      </c>
      <c r="D5" s="9" t="n">
        <f aca="false">120000/(A5*Datos!$C$6)</f>
        <v>24</v>
      </c>
      <c r="E5" s="10" t="n">
        <f aca="false">MIN(100,Datos!$C$7/B5*100)</f>
        <v>3.125</v>
      </c>
      <c r="F5" s="10" t="n">
        <f aca="false">MIN(100,Datos!$C$7/D5*100)</f>
        <v>12.5</v>
      </c>
    </row>
    <row r="6" customFormat="false" ht="15" hidden="false" customHeight="false" outlineLevel="0" collapsed="false">
      <c r="A6" s="0" t="n">
        <v>1500</v>
      </c>
      <c r="B6" s="9" t="n">
        <f aca="false">120000/A6</f>
        <v>80</v>
      </c>
      <c r="C6" s="9" t="n">
        <f aca="false">60000/A6</f>
        <v>40</v>
      </c>
      <c r="D6" s="9" t="n">
        <f aca="false">120000/(A6*Datos!$C$6)</f>
        <v>20</v>
      </c>
      <c r="E6" s="10" t="n">
        <f aca="false">MIN(100,Datos!$C$7/B6*100)</f>
        <v>3.75</v>
      </c>
      <c r="F6" s="10" t="n">
        <f aca="false">MIN(100,Datos!$C$7/D6*100)</f>
        <v>15</v>
      </c>
    </row>
    <row r="7" customFormat="false" ht="15" hidden="false" customHeight="false" outlineLevel="0" collapsed="false">
      <c r="A7" s="0" t="n">
        <v>1750</v>
      </c>
      <c r="B7" s="9" t="n">
        <f aca="false">120000/A7</f>
        <v>68.5714285714286</v>
      </c>
      <c r="C7" s="9" t="n">
        <f aca="false">60000/A7</f>
        <v>34.2857142857143</v>
      </c>
      <c r="D7" s="9" t="n">
        <f aca="false">120000/(A7*Datos!$C$6)</f>
        <v>17.1428571428571</v>
      </c>
      <c r="E7" s="10" t="n">
        <f aca="false">MIN(100,Datos!$C$7/B7*100)</f>
        <v>4.375</v>
      </c>
      <c r="F7" s="10" t="n">
        <f aca="false">MIN(100,Datos!$C$7/D7*100)</f>
        <v>17.5</v>
      </c>
    </row>
    <row r="8" customFormat="false" ht="15" hidden="false" customHeight="false" outlineLevel="0" collapsed="false">
      <c r="A8" s="0" t="n">
        <v>2000</v>
      </c>
      <c r="B8" s="9" t="n">
        <f aca="false">120000/A8</f>
        <v>60</v>
      </c>
      <c r="C8" s="9" t="n">
        <f aca="false">60000/A8</f>
        <v>30</v>
      </c>
      <c r="D8" s="9" t="n">
        <f aca="false">120000/(A8*Datos!$C$6)</f>
        <v>15</v>
      </c>
      <c r="E8" s="10" t="n">
        <f aca="false">MIN(100,Datos!$C$7/B8*100)</f>
        <v>5</v>
      </c>
      <c r="F8" s="10" t="n">
        <f aca="false">MIN(100,Datos!$C$7/D8*100)</f>
        <v>20</v>
      </c>
    </row>
    <row r="9" customFormat="false" ht="15" hidden="false" customHeight="false" outlineLevel="0" collapsed="false">
      <c r="A9" s="0" t="n">
        <v>2250</v>
      </c>
      <c r="B9" s="9" t="n">
        <f aca="false">120000/A9</f>
        <v>53.3333333333333</v>
      </c>
      <c r="C9" s="9" t="n">
        <f aca="false">60000/A9</f>
        <v>26.6666666666667</v>
      </c>
      <c r="D9" s="9" t="n">
        <f aca="false">120000/(A9*Datos!$C$6)</f>
        <v>13.3333333333333</v>
      </c>
      <c r="E9" s="10" t="n">
        <f aca="false">MIN(100,Datos!$C$7/B9*100)</f>
        <v>5.625</v>
      </c>
      <c r="F9" s="10" t="n">
        <f aca="false">MIN(100,Datos!$C$7/D9*100)</f>
        <v>22.5</v>
      </c>
    </row>
    <row r="10" customFormat="false" ht="15" hidden="false" customHeight="false" outlineLevel="0" collapsed="false">
      <c r="A10" s="0" t="n">
        <v>2500</v>
      </c>
      <c r="B10" s="9" t="n">
        <f aca="false">120000/A10</f>
        <v>48</v>
      </c>
      <c r="C10" s="9" t="n">
        <f aca="false">60000/A10</f>
        <v>24</v>
      </c>
      <c r="D10" s="9" t="n">
        <f aca="false">120000/(A10*Datos!$C$6)</f>
        <v>12</v>
      </c>
      <c r="E10" s="10" t="n">
        <f aca="false">MIN(100,Datos!$C$7/B10*100)</f>
        <v>6.25</v>
      </c>
      <c r="F10" s="10" t="n">
        <f aca="false">MIN(100,Datos!$C$7/D10*100)</f>
        <v>25</v>
      </c>
    </row>
    <row r="11" customFormat="false" ht="15" hidden="false" customHeight="false" outlineLevel="0" collapsed="false">
      <c r="A11" s="0" t="n">
        <v>2750</v>
      </c>
      <c r="B11" s="9" t="n">
        <f aca="false">120000/A11</f>
        <v>43.6363636363636</v>
      </c>
      <c r="C11" s="9" t="n">
        <f aca="false">60000/A11</f>
        <v>21.8181818181818</v>
      </c>
      <c r="D11" s="9" t="n">
        <f aca="false">120000/(A11*Datos!$C$6)</f>
        <v>10.9090909090909</v>
      </c>
      <c r="E11" s="10" t="n">
        <f aca="false">MIN(100,Datos!$C$7/B11*100)</f>
        <v>6.875</v>
      </c>
      <c r="F11" s="10" t="n">
        <f aca="false">MIN(100,Datos!$C$7/D11*100)</f>
        <v>27.5</v>
      </c>
    </row>
    <row r="12" customFormat="false" ht="15" hidden="false" customHeight="false" outlineLevel="0" collapsed="false">
      <c r="A12" s="0" t="n">
        <v>3000</v>
      </c>
      <c r="B12" s="9" t="n">
        <f aca="false">120000/A12</f>
        <v>40</v>
      </c>
      <c r="C12" s="9" t="n">
        <f aca="false">60000/A12</f>
        <v>20</v>
      </c>
      <c r="D12" s="9" t="n">
        <f aca="false">120000/(A12*Datos!$C$6)</f>
        <v>10</v>
      </c>
      <c r="E12" s="10" t="n">
        <f aca="false">MIN(100,Datos!$C$7/B12*100)</f>
        <v>7.5</v>
      </c>
      <c r="F12" s="10" t="n">
        <f aca="false">MIN(100,Datos!$C$7/D12*100)</f>
        <v>30</v>
      </c>
    </row>
    <row r="13" customFormat="false" ht="15" hidden="false" customHeight="false" outlineLevel="0" collapsed="false">
      <c r="A13" s="0" t="n">
        <v>3250</v>
      </c>
      <c r="B13" s="9" t="n">
        <f aca="false">120000/A13</f>
        <v>36.9230769230769</v>
      </c>
      <c r="C13" s="9" t="n">
        <f aca="false">60000/A13</f>
        <v>18.4615384615385</v>
      </c>
      <c r="D13" s="9" t="n">
        <f aca="false">120000/(A13*Datos!$C$6)</f>
        <v>9.23076923076923</v>
      </c>
      <c r="E13" s="10" t="n">
        <f aca="false">MIN(100,Datos!$C$7/B13*100)</f>
        <v>8.125</v>
      </c>
      <c r="F13" s="10" t="n">
        <f aca="false">MIN(100,Datos!$C$7/D13*100)</f>
        <v>32.5</v>
      </c>
    </row>
    <row r="14" customFormat="false" ht="15" hidden="false" customHeight="false" outlineLevel="0" collapsed="false">
      <c r="A14" s="0" t="n">
        <v>3500</v>
      </c>
      <c r="B14" s="9" t="n">
        <f aca="false">120000/A14</f>
        <v>34.2857142857143</v>
      </c>
      <c r="C14" s="9" t="n">
        <f aca="false">60000/A14</f>
        <v>17.1428571428571</v>
      </c>
      <c r="D14" s="9" t="n">
        <f aca="false">120000/(A14*Datos!$C$6)</f>
        <v>8.57142857142857</v>
      </c>
      <c r="E14" s="10" t="n">
        <f aca="false">MIN(100,Datos!$C$7/B14*100)</f>
        <v>8.75</v>
      </c>
      <c r="F14" s="10" t="n">
        <f aca="false">MIN(100,Datos!$C$7/D14*100)</f>
        <v>35</v>
      </c>
    </row>
    <row r="15" customFormat="false" ht="15" hidden="false" customHeight="false" outlineLevel="0" collapsed="false">
      <c r="A15" s="0" t="n">
        <v>3750</v>
      </c>
      <c r="B15" s="9" t="n">
        <f aca="false">120000/A15</f>
        <v>32</v>
      </c>
      <c r="C15" s="9" t="n">
        <f aca="false">60000/A15</f>
        <v>16</v>
      </c>
      <c r="D15" s="9" t="n">
        <f aca="false">120000/(A15*Datos!$C$6)</f>
        <v>8</v>
      </c>
      <c r="E15" s="10" t="n">
        <f aca="false">MIN(100,Datos!$C$7/B15*100)</f>
        <v>9.375</v>
      </c>
      <c r="F15" s="10" t="n">
        <f aca="false">MIN(100,Datos!$C$7/D15*100)</f>
        <v>37.5</v>
      </c>
    </row>
    <row r="16" customFormat="false" ht="15" hidden="false" customHeight="false" outlineLevel="0" collapsed="false">
      <c r="A16" s="0" t="n">
        <v>4000</v>
      </c>
      <c r="B16" s="9" t="n">
        <f aca="false">120000/A16</f>
        <v>30</v>
      </c>
      <c r="C16" s="9" t="n">
        <f aca="false">60000/A16</f>
        <v>15</v>
      </c>
      <c r="D16" s="9" t="n">
        <f aca="false">120000/(A16*Datos!$C$6)</f>
        <v>7.5</v>
      </c>
      <c r="E16" s="10" t="n">
        <f aca="false">MIN(100,Datos!$C$7/B16*100)</f>
        <v>10</v>
      </c>
      <c r="F16" s="10" t="n">
        <f aca="false">MIN(100,Datos!$C$7/D16*100)</f>
        <v>40</v>
      </c>
    </row>
    <row r="17" customFormat="false" ht="15" hidden="false" customHeight="false" outlineLevel="0" collapsed="false">
      <c r="A17" s="0" t="n">
        <v>4250</v>
      </c>
      <c r="B17" s="9" t="n">
        <f aca="false">120000/A17</f>
        <v>28.2352941176471</v>
      </c>
      <c r="C17" s="9" t="n">
        <f aca="false">60000/A17</f>
        <v>14.1176470588235</v>
      </c>
      <c r="D17" s="9" t="n">
        <f aca="false">120000/(A17*Datos!$C$6)</f>
        <v>7.05882352941176</v>
      </c>
      <c r="E17" s="10" t="n">
        <f aca="false">MIN(100,Datos!$C$7/B17*100)</f>
        <v>10.625</v>
      </c>
      <c r="F17" s="10" t="n">
        <f aca="false">MIN(100,Datos!$C$7/D17*100)</f>
        <v>42.5</v>
      </c>
    </row>
    <row r="18" customFormat="false" ht="15" hidden="false" customHeight="false" outlineLevel="0" collapsed="false">
      <c r="A18" s="0" t="n">
        <v>4500</v>
      </c>
      <c r="B18" s="9" t="n">
        <f aca="false">120000/A18</f>
        <v>26.6666666666667</v>
      </c>
      <c r="C18" s="9" t="n">
        <f aca="false">60000/A18</f>
        <v>13.3333333333333</v>
      </c>
      <c r="D18" s="9" t="n">
        <f aca="false">120000/(A18*Datos!$C$6)</f>
        <v>6.66666666666667</v>
      </c>
      <c r="E18" s="10" t="n">
        <f aca="false">MIN(100,Datos!$C$7/B18*100)</f>
        <v>11.25</v>
      </c>
      <c r="F18" s="10" t="n">
        <f aca="false">MIN(100,Datos!$C$7/D18*100)</f>
        <v>45</v>
      </c>
    </row>
    <row r="19" customFormat="false" ht="15" hidden="false" customHeight="false" outlineLevel="0" collapsed="false">
      <c r="A19" s="0" t="n">
        <v>4750</v>
      </c>
      <c r="B19" s="9" t="n">
        <f aca="false">120000/A19</f>
        <v>25.2631578947368</v>
      </c>
      <c r="C19" s="9" t="n">
        <f aca="false">60000/A19</f>
        <v>12.6315789473684</v>
      </c>
      <c r="D19" s="9" t="n">
        <f aca="false">120000/(A19*Datos!$C$6)</f>
        <v>6.31578947368421</v>
      </c>
      <c r="E19" s="10" t="n">
        <f aca="false">MIN(100,Datos!$C$7/B19*100)</f>
        <v>11.875</v>
      </c>
      <c r="F19" s="10" t="n">
        <f aca="false">MIN(100,Datos!$C$7/D19*100)</f>
        <v>47.5</v>
      </c>
    </row>
    <row r="20" customFormat="false" ht="15" hidden="false" customHeight="false" outlineLevel="0" collapsed="false">
      <c r="A20" s="0" t="n">
        <v>5000</v>
      </c>
      <c r="B20" s="9" t="n">
        <f aca="false">120000/A20</f>
        <v>24</v>
      </c>
      <c r="C20" s="9" t="n">
        <f aca="false">60000/A20</f>
        <v>12</v>
      </c>
      <c r="D20" s="9" t="n">
        <f aca="false">120000/(A20*Datos!$C$6)</f>
        <v>6</v>
      </c>
      <c r="E20" s="10" t="n">
        <f aca="false">MIN(100,Datos!$C$7/B20*100)</f>
        <v>12.5</v>
      </c>
      <c r="F20" s="10" t="n">
        <f aca="false">MIN(100,Datos!$C$7/D20*100)</f>
        <v>50</v>
      </c>
    </row>
    <row r="21" customFormat="false" ht="15" hidden="false" customHeight="false" outlineLevel="0" collapsed="false">
      <c r="A21" s="0" t="n">
        <v>5250</v>
      </c>
      <c r="B21" s="9" t="n">
        <f aca="false">120000/A21</f>
        <v>22.8571428571429</v>
      </c>
      <c r="C21" s="9" t="n">
        <f aca="false">60000/A21</f>
        <v>11.4285714285714</v>
      </c>
      <c r="D21" s="9" t="n">
        <f aca="false">120000/(A21*Datos!$C$6)</f>
        <v>5.71428571428571</v>
      </c>
      <c r="E21" s="10" t="n">
        <f aca="false">MIN(100,Datos!$C$7/B21*100)</f>
        <v>13.125</v>
      </c>
      <c r="F21" s="10" t="n">
        <f aca="false">MIN(100,Datos!$C$7/D21*100)</f>
        <v>52.5</v>
      </c>
    </row>
    <row r="22" customFormat="false" ht="15" hidden="false" customHeight="false" outlineLevel="0" collapsed="false">
      <c r="A22" s="0" t="n">
        <v>5500</v>
      </c>
      <c r="B22" s="9" t="n">
        <f aca="false">120000/A22</f>
        <v>21.8181818181818</v>
      </c>
      <c r="C22" s="9" t="n">
        <f aca="false">60000/A22</f>
        <v>10.9090909090909</v>
      </c>
      <c r="D22" s="9" t="n">
        <f aca="false">120000/(A22*Datos!$C$6)</f>
        <v>5.45454545454545</v>
      </c>
      <c r="E22" s="10" t="n">
        <f aca="false">MIN(100,Datos!$C$7/B22*100)</f>
        <v>13.75</v>
      </c>
      <c r="F22" s="10" t="n">
        <f aca="false">MIN(100,Datos!$C$7/D22*100)</f>
        <v>55</v>
      </c>
    </row>
    <row r="23" customFormat="false" ht="15" hidden="false" customHeight="false" outlineLevel="0" collapsed="false">
      <c r="A23" s="0" t="n">
        <v>5750</v>
      </c>
      <c r="B23" s="9" t="n">
        <f aca="false">120000/A23</f>
        <v>20.8695652173913</v>
      </c>
      <c r="C23" s="9" t="n">
        <f aca="false">60000/A23</f>
        <v>10.4347826086957</v>
      </c>
      <c r="D23" s="9" t="n">
        <f aca="false">120000/(A23*Datos!$C$6)</f>
        <v>5.21739130434783</v>
      </c>
      <c r="E23" s="10" t="n">
        <f aca="false">MIN(100,Datos!$C$7/B23*100)</f>
        <v>14.375</v>
      </c>
      <c r="F23" s="10" t="n">
        <f aca="false">MIN(100,Datos!$C$7/D23*100)</f>
        <v>57.5</v>
      </c>
    </row>
    <row r="24" customFormat="false" ht="15" hidden="false" customHeight="false" outlineLevel="0" collapsed="false">
      <c r="A24" s="0" t="n">
        <v>6000</v>
      </c>
      <c r="B24" s="9" t="n">
        <f aca="false">120000/A24</f>
        <v>20</v>
      </c>
      <c r="C24" s="9" t="n">
        <f aca="false">60000/A24</f>
        <v>10</v>
      </c>
      <c r="D24" s="9" t="n">
        <f aca="false">120000/(A24*Datos!$C$6)</f>
        <v>5</v>
      </c>
      <c r="E24" s="10" t="n">
        <f aca="false">MIN(100,Datos!$C$7/B24*100)</f>
        <v>15</v>
      </c>
      <c r="F24" s="10" t="n">
        <f aca="false">MIN(100,Datos!$C$7/D24*100)</f>
        <v>60</v>
      </c>
    </row>
    <row r="25" customFormat="false" ht="15" hidden="false" customHeight="false" outlineLevel="0" collapsed="false">
      <c r="A25" s="0" t="n">
        <v>6250</v>
      </c>
      <c r="B25" s="9" t="n">
        <f aca="false">120000/A25</f>
        <v>19.2</v>
      </c>
      <c r="C25" s="9" t="n">
        <f aca="false">60000/A25</f>
        <v>9.6</v>
      </c>
      <c r="D25" s="9" t="n">
        <f aca="false">120000/(A25*Datos!$C$6)</f>
        <v>4.8</v>
      </c>
      <c r="E25" s="10" t="n">
        <f aca="false">MIN(100,Datos!$C$7/B25*100)</f>
        <v>15.625</v>
      </c>
      <c r="F25" s="10" t="n">
        <f aca="false">MIN(100,Datos!$C$7/D25*100)</f>
        <v>62.5</v>
      </c>
    </row>
    <row r="26" customFormat="false" ht="15" hidden="false" customHeight="false" outlineLevel="0" collapsed="false">
      <c r="A26" s="0" t="n">
        <v>6500</v>
      </c>
      <c r="B26" s="9" t="n">
        <f aca="false">120000/A26</f>
        <v>18.4615384615385</v>
      </c>
      <c r="C26" s="9" t="n">
        <f aca="false">60000/A26</f>
        <v>9.23076923076923</v>
      </c>
      <c r="D26" s="9" t="n">
        <f aca="false">120000/(A26*Datos!$C$6)</f>
        <v>4.61538461538462</v>
      </c>
      <c r="E26" s="10" t="n">
        <f aca="false">MIN(100,Datos!$C$7/B26*100)</f>
        <v>16.25</v>
      </c>
      <c r="F26" s="10" t="n">
        <f aca="false">MIN(100,Datos!$C$7/D26*100)</f>
        <v>65</v>
      </c>
    </row>
    <row r="27" customFormat="false" ht="15" hidden="false" customHeight="false" outlineLevel="0" collapsed="false">
      <c r="A27" s="0" t="n">
        <v>6750</v>
      </c>
      <c r="B27" s="9" t="n">
        <f aca="false">120000/A27</f>
        <v>17.7777777777778</v>
      </c>
      <c r="C27" s="9" t="n">
        <f aca="false">60000/A27</f>
        <v>8.88888888888889</v>
      </c>
      <c r="D27" s="9" t="n">
        <f aca="false">120000/(A27*Datos!$C$6)</f>
        <v>4.44444444444445</v>
      </c>
      <c r="E27" s="10" t="n">
        <f aca="false">MIN(100,Datos!$C$7/B27*100)</f>
        <v>16.875</v>
      </c>
      <c r="F27" s="10" t="n">
        <f aca="false">MIN(100,Datos!$C$7/D27*100)</f>
        <v>67.5</v>
      </c>
    </row>
    <row r="28" customFormat="false" ht="15" hidden="false" customHeight="false" outlineLevel="0" collapsed="false">
      <c r="A28" s="0" t="n">
        <v>7000</v>
      </c>
      <c r="B28" s="9" t="n">
        <f aca="false">120000/A28</f>
        <v>17.1428571428571</v>
      </c>
      <c r="C28" s="9" t="n">
        <f aca="false">60000/A28</f>
        <v>8.57142857142857</v>
      </c>
      <c r="D28" s="9" t="n">
        <f aca="false">120000/(A28*Datos!$C$6)</f>
        <v>4.28571428571429</v>
      </c>
      <c r="E28" s="10" t="n">
        <f aca="false">MIN(100,Datos!$C$7/B28*100)</f>
        <v>17.5</v>
      </c>
      <c r="F28" s="10" t="n">
        <f aca="false">MIN(100,Datos!$C$7/D28*100)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52.2" hidden="false" customHeight="false" outlineLevel="0" collapsed="false">
      <c r="A1" s="4" t="s">
        <v>105</v>
      </c>
      <c r="B1" s="4" t="s">
        <v>106</v>
      </c>
      <c r="C1" s="4" t="s">
        <v>107</v>
      </c>
      <c r="D1" s="4" t="s">
        <v>108</v>
      </c>
    </row>
    <row r="2" customFormat="false" ht="15" hidden="false" customHeight="false" outlineLevel="0" collapsed="false">
      <c r="A2" s="0" t="n">
        <v>0</v>
      </c>
      <c r="B2" s="9" t="n">
        <f aca="false">Calculos!$D$6*(1-EXP(-A2/Calculos!$D$7))</f>
        <v>0</v>
      </c>
      <c r="C2" s="9" t="n">
        <f aca="false">MIN(Datos!$C$5,B2)</f>
        <v>0</v>
      </c>
      <c r="D2" s="10" t="n">
        <f aca="false">0.5*Datos!$C$4*C2^2</f>
        <v>0</v>
      </c>
    </row>
    <row r="3" customFormat="false" ht="15" hidden="false" customHeight="false" outlineLevel="0" collapsed="false">
      <c r="A3" s="0" t="n">
        <v>0.25</v>
      </c>
      <c r="B3" s="9" t="n">
        <f aca="false">Calculos!$D$6*(1-EXP(-A3/Calculos!$D$7))</f>
        <v>1.45408649247658</v>
      </c>
      <c r="C3" s="9" t="n">
        <f aca="false">MIN(Datos!$C$5,B3)</f>
        <v>1.45408649247658</v>
      </c>
      <c r="D3" s="10" t="n">
        <f aca="false">0.5*Datos!$C$4*C3^2</f>
        <v>2.11436752760285</v>
      </c>
    </row>
    <row r="4" customFormat="false" ht="15" hidden="false" customHeight="false" outlineLevel="0" collapsed="false">
      <c r="A4" s="0" t="n">
        <v>0.5</v>
      </c>
      <c r="B4" s="9" t="n">
        <f aca="false">Calculos!$D$6*(1-EXP(-A4/Calculos!$D$7))</f>
        <v>2.82007433796971</v>
      </c>
      <c r="C4" s="9" t="n">
        <f aca="false">MIN(Datos!$C$5,B4)</f>
        <v>2.82007433796971</v>
      </c>
      <c r="D4" s="10" t="n">
        <f aca="false">0.5*Datos!$C$4*C4^2</f>
        <v>7.95281927167529</v>
      </c>
    </row>
    <row r="5" customFormat="false" ht="15" hidden="false" customHeight="false" outlineLevel="0" collapsed="false">
      <c r="A5" s="0" t="n">
        <v>0.75</v>
      </c>
      <c r="B5" s="9" t="n">
        <f aca="false">Calculos!$D$6*(1-EXP(-A5/Calculos!$D$7))</f>
        <v>4.10330116367039</v>
      </c>
      <c r="C5" s="9" t="n">
        <f aca="false">MIN(Datos!$C$5,B5)</f>
        <v>4.10330116367039</v>
      </c>
      <c r="D5" s="10" t="n">
        <f aca="false">0.5*Datos!$C$4*C5^2</f>
        <v>16.8370804397788</v>
      </c>
    </row>
    <row r="6" customFormat="false" ht="15" hidden="false" customHeight="false" outlineLevel="0" collapsed="false">
      <c r="A6" s="0" t="n">
        <v>1</v>
      </c>
      <c r="B6" s="9" t="n">
        <f aca="false">Calculos!$D$6*(1-EXP(-A6/Calculos!$D$7))</f>
        <v>5.30878120628628</v>
      </c>
      <c r="C6" s="9" t="n">
        <f aca="false">MIN(Datos!$C$5,B6)</f>
        <v>5.30878120628628</v>
      </c>
      <c r="D6" s="10" t="n">
        <f aca="false">0.5*Datos!$C$4*C6^2</f>
        <v>28.1831578962184</v>
      </c>
    </row>
    <row r="7" customFormat="false" ht="15" hidden="false" customHeight="false" outlineLevel="0" collapsed="false">
      <c r="A7" s="0" t="n">
        <v>1.25</v>
      </c>
      <c r="B7" s="9" t="n">
        <f aca="false">Calculos!$D$6*(1-EXP(-A7/Calculos!$D$7))</f>
        <v>6.4412249052806</v>
      </c>
      <c r="C7" s="9" t="n">
        <f aca="false">MIN(Datos!$C$5,B7)</f>
        <v>6.4412249052806</v>
      </c>
      <c r="D7" s="10" t="n">
        <f aca="false">0.5*Datos!$C$4*C7^2</f>
        <v>41.489378280407</v>
      </c>
    </row>
    <row r="8" customFormat="false" ht="15" hidden="false" customHeight="false" outlineLevel="0" collapsed="false">
      <c r="A8" s="0" t="n">
        <v>1.5</v>
      </c>
      <c r="B8" s="9" t="n">
        <f aca="false">Calculos!$D$6*(1-EXP(-A8/Calculos!$D$7))</f>
        <v>7.50505730901667</v>
      </c>
      <c r="C8" s="9" t="n">
        <f aca="false">MIN(Datos!$C$5,B8)</f>
        <v>7</v>
      </c>
      <c r="D8" s="10" t="n">
        <f aca="false">0.5*Datos!$C$4*C8^2</f>
        <v>49</v>
      </c>
    </row>
    <row r="9" customFormat="false" ht="15" hidden="false" customHeight="false" outlineLevel="0" collapsed="false">
      <c r="A9" s="0" t="n">
        <v>1.75</v>
      </c>
      <c r="B9" s="9" t="n">
        <f aca="false">Calculos!$D$6*(1-EXP(-A9/Calculos!$D$7))</f>
        <v>8.50443536573059</v>
      </c>
      <c r="C9" s="9" t="n">
        <f aca="false">MIN(Datos!$C$5,B9)</f>
        <v>7</v>
      </c>
      <c r="D9" s="10" t="n">
        <f aca="false">0.5*Datos!$C$4*C9^2</f>
        <v>49</v>
      </c>
    </row>
    <row r="10" customFormat="false" ht="15" hidden="false" customHeight="false" outlineLevel="0" collapsed="false">
      <c r="A10" s="0" t="n">
        <v>2</v>
      </c>
      <c r="B10" s="9" t="n">
        <f aca="false">Calculos!$D$6*(1-EXP(-A10/Calculos!$D$7))</f>
        <v>9.4432641668968</v>
      </c>
      <c r="C10" s="9" t="n">
        <f aca="false">MIN(Datos!$C$5,B10)</f>
        <v>7</v>
      </c>
      <c r="D10" s="10" t="n">
        <f aca="false">0.5*Datos!$C$4*C10^2</f>
        <v>49</v>
      </c>
    </row>
    <row r="11" customFormat="false" ht="15" hidden="false" customHeight="false" outlineLevel="0" collapsed="false">
      <c r="A11" s="0" t="n">
        <v>2.25</v>
      </c>
      <c r="B11" s="9" t="n">
        <f aca="false">Calculos!$D$6*(1-EXP(-A11/Calculos!$D$7))</f>
        <v>10.3252122064578</v>
      </c>
      <c r="C11" s="9" t="n">
        <f aca="false">MIN(Datos!$C$5,B11)</f>
        <v>7</v>
      </c>
      <c r="D11" s="10" t="n">
        <f aca="false">0.5*Datos!$C$4*C11^2</f>
        <v>49</v>
      </c>
    </row>
    <row r="12" customFormat="false" ht="15" hidden="false" customHeight="false" outlineLevel="0" collapsed="false">
      <c r="A12" s="0" t="n">
        <v>2.5</v>
      </c>
      <c r="B12" s="9" t="n">
        <f aca="false">Calculos!$D$6*(1-EXP(-A12/Calculos!$D$7))</f>
        <v>11.1537257155442</v>
      </c>
      <c r="C12" s="9" t="n">
        <f aca="false">MIN(Datos!$C$5,B12)</f>
        <v>7</v>
      </c>
      <c r="D12" s="10" t="n">
        <f aca="false">0.5*Datos!$C$4*C12^2</f>
        <v>49</v>
      </c>
    </row>
    <row r="13" customFormat="false" ht="15" hidden="false" customHeight="false" outlineLevel="0" collapsed="false">
      <c r="A13" s="0" t="n">
        <v>2.75</v>
      </c>
      <c r="B13" s="9" t="n">
        <f aca="false">Calculos!$D$6*(1-EXP(-A13/Calculos!$D$7))</f>
        <v>11.9320421286974</v>
      </c>
      <c r="C13" s="9" t="n">
        <f aca="false">MIN(Datos!$C$5,B13)</f>
        <v>7</v>
      </c>
      <c r="D13" s="10" t="n">
        <f aca="false">0.5*Datos!$C$4*C13^2</f>
        <v>49</v>
      </c>
    </row>
    <row r="14" customFormat="false" ht="15" hidden="false" customHeight="false" outlineLevel="0" collapsed="false">
      <c r="A14" s="0" t="n">
        <v>3</v>
      </c>
      <c r="B14" s="9" t="n">
        <f aca="false">Calculos!$D$6*(1-EXP(-A14/Calculos!$D$7))</f>
        <v>12.6632027342156</v>
      </c>
      <c r="C14" s="9" t="n">
        <f aca="false">MIN(Datos!$C$5,B14)</f>
        <v>7</v>
      </c>
      <c r="D14" s="10" t="n">
        <f aca="false">0.5*Datos!$C$4*C14^2</f>
        <v>49</v>
      </c>
    </row>
    <row r="15" customFormat="false" ht="15" hidden="false" customHeight="false" outlineLevel="0" collapsed="false">
      <c r="A15" s="0" t="n">
        <v>3.25</v>
      </c>
      <c r="B15" s="9" t="n">
        <f aca="false">Calculos!$D$6*(1-EXP(-A15/Calculos!$D$7))</f>
        <v>13.3500645580541</v>
      </c>
      <c r="C15" s="9" t="n">
        <f aca="false">MIN(Datos!$C$5,B15)</f>
        <v>7</v>
      </c>
      <c r="D15" s="10" t="n">
        <f aca="false">0.5*Datos!$C$4*C15^2</f>
        <v>49</v>
      </c>
    </row>
    <row r="16" customFormat="false" ht="15" hidden="false" customHeight="false" outlineLevel="0" collapsed="false">
      <c r="A16" s="0" t="n">
        <v>3.5</v>
      </c>
      <c r="B16" s="9" t="n">
        <f aca="false">Calculos!$D$6*(1-EXP(-A16/Calculos!$D$7))</f>
        <v>13.9953115277158</v>
      </c>
      <c r="C16" s="9" t="n">
        <f aca="false">MIN(Datos!$C$5,B16)</f>
        <v>7</v>
      </c>
      <c r="D16" s="10" t="n">
        <f aca="false">0.5*Datos!$C$4*C16^2</f>
        <v>49</v>
      </c>
    </row>
    <row r="17" customFormat="false" ht="15" hidden="false" customHeight="false" outlineLevel="0" collapsed="false">
      <c r="A17" s="0" t="n">
        <v>3.75</v>
      </c>
      <c r="B17" s="9" t="n">
        <f aca="false">Calculos!$D$6*(1-EXP(-A17/Calculos!$D$7))</f>
        <v>14.6014649597568</v>
      </c>
      <c r="C17" s="9" t="n">
        <f aca="false">MIN(Datos!$C$5,B17)</f>
        <v>7</v>
      </c>
      <c r="D17" s="10" t="n">
        <f aca="false">0.5*Datos!$C$4*C17^2</f>
        <v>49</v>
      </c>
    </row>
    <row r="18" customFormat="false" ht="15" hidden="false" customHeight="false" outlineLevel="0" collapsed="false">
      <c r="A18" s="0" t="n">
        <v>4</v>
      </c>
      <c r="B18" s="9" t="n">
        <f aca="false">Calculos!$D$6*(1-EXP(-A18/Calculos!$D$7))</f>
        <v>15.1708934118854</v>
      </c>
      <c r="C18" s="9" t="n">
        <f aca="false">MIN(Datos!$C$5,B18)</f>
        <v>7</v>
      </c>
      <c r="D18" s="10" t="n">
        <f aca="false">0.5*Datos!$C$4*C18^2</f>
        <v>49</v>
      </c>
    </row>
    <row r="19" customFormat="false" ht="15" hidden="false" customHeight="false" outlineLevel="0" collapsed="false">
      <c r="A19" s="0" t="n">
        <v>4.25</v>
      </c>
      <c r="B19" s="9" t="n">
        <f aca="false">Calculos!$D$6*(1-EXP(-A19/Calculos!$D$7))</f>
        <v>15.7058219381526</v>
      </c>
      <c r="C19" s="9" t="n">
        <f aca="false">MIN(Datos!$C$5,B19)</f>
        <v>7</v>
      </c>
      <c r="D19" s="10" t="n">
        <f aca="false">0.5*Datos!$C$4*C19^2</f>
        <v>49</v>
      </c>
    </row>
    <row r="20" customFormat="false" ht="15" hidden="false" customHeight="false" outlineLevel="0" collapsed="false">
      <c r="A20" s="0" t="n">
        <v>4.5</v>
      </c>
      <c r="B20" s="9" t="n">
        <f aca="false">Calculos!$D$6*(1-EXP(-A20/Calculos!$D$7))</f>
        <v>16.2083407833996</v>
      </c>
      <c r="C20" s="9" t="n">
        <f aca="false">MIN(Datos!$C$5,B20)</f>
        <v>7</v>
      </c>
      <c r="D20" s="10" t="n">
        <f aca="false">0.5*Datos!$C$4*C20^2</f>
        <v>49</v>
      </c>
    </row>
    <row r="21" customFormat="false" ht="15" hidden="false" customHeight="false" outlineLevel="0" collapsed="false">
      <c r="A21" s="0" t="n">
        <v>4.75</v>
      </c>
      <c r="B21" s="9" t="n">
        <f aca="false">Calculos!$D$6*(1-EXP(-A21/Calculos!$D$7))</f>
        <v>16.6804135509346</v>
      </c>
      <c r="C21" s="9" t="n">
        <f aca="false">MIN(Datos!$C$5,B21)</f>
        <v>7</v>
      </c>
      <c r="D21" s="10" t="n">
        <f aca="false">0.5*Datos!$C$4*C21^2</f>
        <v>49</v>
      </c>
    </row>
    <row r="22" customFormat="false" ht="15" hidden="false" customHeight="false" outlineLevel="0" collapsed="false">
      <c r="A22" s="0" t="n">
        <v>5</v>
      </c>
      <c r="B22" s="9" t="n">
        <f aca="false">Calculos!$D$6*(1-EXP(-A22/Calculos!$D$7))</f>
        <v>17.1238848753554</v>
      </c>
      <c r="C22" s="9" t="n">
        <f aca="false">MIN(Datos!$C$5,B22)</f>
        <v>7</v>
      </c>
      <c r="D22" s="10" t="n">
        <f aca="false">0.5*Datos!$C$4*C22^2</f>
        <v>49</v>
      </c>
    </row>
    <row r="23" customFormat="false" ht="15" hidden="false" customHeight="false" outlineLevel="0" collapsed="false">
      <c r="A23" s="0" t="n">
        <v>5.25</v>
      </c>
      <c r="B23" s="9" t="n">
        <f aca="false">Calculos!$D$6*(1-EXP(-A23/Calculos!$D$7))</f>
        <v>17.5404876304996</v>
      </c>
      <c r="C23" s="9" t="n">
        <f aca="false">MIN(Datos!$C$5,B23)</f>
        <v>7</v>
      </c>
      <c r="D23" s="10" t="n">
        <f aca="false">0.5*Datos!$C$4*C23^2</f>
        <v>49</v>
      </c>
    </row>
    <row r="24" customFormat="false" ht="15" hidden="false" customHeight="false" outlineLevel="0" collapsed="false">
      <c r="A24" s="0" t="n">
        <v>5.5</v>
      </c>
      <c r="B24" s="9" t="n">
        <f aca="false">Calculos!$D$6*(1-EXP(-A24/Calculos!$D$7))</f>
        <v>17.9318497006861</v>
      </c>
      <c r="C24" s="9" t="n">
        <f aca="false">MIN(Datos!$C$5,B24)</f>
        <v>7</v>
      </c>
      <c r="D24" s="10" t="n">
        <f aca="false">0.5*Datos!$C$4*C24^2</f>
        <v>49</v>
      </c>
    </row>
    <row r="25" customFormat="false" ht="15" hidden="false" customHeight="false" outlineLevel="0" collapsed="false">
      <c r="A25" s="0" t="n">
        <v>5.75</v>
      </c>
      <c r="B25" s="9" t="n">
        <f aca="false">Calculos!$D$6*(1-EXP(-A25/Calculos!$D$7))</f>
        <v>18.299500341709</v>
      </c>
      <c r="C25" s="9" t="n">
        <f aca="false">MIN(Datos!$C$5,B25)</f>
        <v>7</v>
      </c>
      <c r="D25" s="10" t="n">
        <f aca="false">0.5*Datos!$C$4*C25^2</f>
        <v>49</v>
      </c>
    </row>
    <row r="26" customFormat="false" ht="15" hidden="false" customHeight="false" outlineLevel="0" collapsed="false">
      <c r="A26" s="0" t="n">
        <v>6</v>
      </c>
      <c r="B26" s="9" t="n">
        <f aca="false">Calculos!$D$6*(1-EXP(-A26/Calculos!$D$7))</f>
        <v>18.6448761564377</v>
      </c>
      <c r="C26" s="9" t="n">
        <f aca="false">MIN(Datos!$C$5,B26)</f>
        <v>7</v>
      </c>
      <c r="D26" s="10" t="n">
        <f aca="false">0.5*Datos!$C$4*C26^2</f>
        <v>49</v>
      </c>
    </row>
    <row r="27" customFormat="false" ht="15" hidden="false" customHeight="false" outlineLevel="0" collapsed="false">
      <c r="A27" s="0" t="n">
        <v>6.25</v>
      </c>
      <c r="B27" s="9" t="n">
        <f aca="false">Calculos!$D$6*(1-EXP(-A27/Calculos!$D$7))</f>
        <v>18.9693267083737</v>
      </c>
      <c r="C27" s="9" t="n">
        <f aca="false">MIN(Datos!$C$5,B27)</f>
        <v>7</v>
      </c>
      <c r="D27" s="10" t="n">
        <f aca="false">0.5*Datos!$C$4*C27^2</f>
        <v>49</v>
      </c>
    </row>
    <row r="28" customFormat="false" ht="15" hidden="false" customHeight="false" outlineLevel="0" collapsed="false">
      <c r="A28" s="0" t="n">
        <v>6.5</v>
      </c>
      <c r="B28" s="9" t="n">
        <f aca="false">Calculos!$D$6*(1-EXP(-A28/Calculos!$D$7))</f>
        <v>19.2741197950993</v>
      </c>
      <c r="C28" s="9" t="n">
        <f aca="false">MIN(Datos!$C$5,B28)</f>
        <v>7</v>
      </c>
      <c r="D28" s="10" t="n">
        <f aca="false">0.5*Datos!$C$4*C28^2</f>
        <v>49</v>
      </c>
    </row>
    <row r="29" customFormat="false" ht="15" hidden="false" customHeight="false" outlineLevel="0" collapsed="false">
      <c r="A29" s="0" t="n">
        <v>6.75</v>
      </c>
      <c r="B29" s="9" t="n">
        <f aca="false">Calculos!$D$6*(1-EXP(-A29/Calculos!$D$7))</f>
        <v>19.5604464022247</v>
      </c>
      <c r="C29" s="9" t="n">
        <f aca="false">MIN(Datos!$C$5,B29)</f>
        <v>7</v>
      </c>
      <c r="D29" s="10" t="n">
        <f aca="false">0.5*Datos!$C$4*C29^2</f>
        <v>49</v>
      </c>
    </row>
    <row r="30" customFormat="false" ht="15" hidden="false" customHeight="false" outlineLevel="0" collapsed="false">
      <c r="A30" s="0" t="n">
        <v>7</v>
      </c>
      <c r="B30" s="9" t="n">
        <f aca="false">Calculos!$D$6*(1-EXP(-A30/Calculos!$D$7))</f>
        <v>19.8294253571893</v>
      </c>
      <c r="C30" s="9" t="n">
        <f aca="false">MIN(Datos!$C$5,B30)</f>
        <v>7</v>
      </c>
      <c r="D30" s="10" t="n">
        <f aca="false">0.5*Datos!$C$4*C30^2</f>
        <v>49</v>
      </c>
    </row>
    <row r="31" customFormat="false" ht="15" hidden="false" customHeight="false" outlineLevel="0" collapsed="false">
      <c r="A31" s="0" t="n">
        <v>7.25</v>
      </c>
      <c r="B31" s="9" t="n">
        <f aca="false">Calculos!$D$6*(1-EXP(-A31/Calculos!$D$7))</f>
        <v>20.082107701105</v>
      </c>
      <c r="C31" s="9" t="n">
        <f aca="false">MIN(Datos!$C$5,B31)</f>
        <v>7</v>
      </c>
      <c r="D31" s="10" t="n">
        <f aca="false">0.5*Datos!$C$4*C31^2</f>
        <v>49</v>
      </c>
    </row>
    <row r="32" customFormat="false" ht="15" hidden="false" customHeight="false" outlineLevel="0" collapsed="false">
      <c r="A32" s="0" t="n">
        <v>7.5</v>
      </c>
      <c r="B32" s="9" t="n">
        <f aca="false">Calculos!$D$6*(1-EXP(-A32/Calculos!$D$7))</f>
        <v>20.3194807957217</v>
      </c>
      <c r="C32" s="9" t="n">
        <f aca="false">MIN(Datos!$C$5,B32)</f>
        <v>7</v>
      </c>
      <c r="D32" s="10" t="n">
        <f aca="false">0.5*Datos!$C$4*C32^2</f>
        <v>49</v>
      </c>
    </row>
    <row r="33" customFormat="false" ht="15" hidden="false" customHeight="false" outlineLevel="0" collapsed="false">
      <c r="A33" s="0" t="n">
        <v>7.75</v>
      </c>
      <c r="B33" s="9" t="n">
        <f aca="false">Calculos!$D$6*(1-EXP(-A33/Calculos!$D$7))</f>
        <v>20.5424721815651</v>
      </c>
      <c r="C33" s="9" t="n">
        <f aca="false">MIN(Datos!$C$5,B33)</f>
        <v>7</v>
      </c>
      <c r="D33" s="10" t="n">
        <f aca="false">0.5*Datos!$C$4*C33^2</f>
        <v>49</v>
      </c>
    </row>
    <row r="34" customFormat="false" ht="15" hidden="false" customHeight="false" outlineLevel="0" collapsed="false">
      <c r="A34" s="0" t="n">
        <v>8</v>
      </c>
      <c r="B34" s="9" t="n">
        <f aca="false">Calculos!$D$6*(1-EXP(-A34/Calculos!$D$7))</f>
        <v>20.7519532023213</v>
      </c>
      <c r="C34" s="9" t="n">
        <f aca="false">MIN(Datos!$C$5,B34)</f>
        <v>7</v>
      </c>
      <c r="D34" s="10" t="n">
        <f aca="false">0.5*Datos!$C$4*C34^2</f>
        <v>49</v>
      </c>
    </row>
    <row r="35" customFormat="false" ht="15" hidden="false" customHeight="false" outlineLevel="0" collapsed="false">
      <c r="A35" s="0" t="n">
        <v>8.25</v>
      </c>
      <c r="B35" s="9" t="n">
        <f aca="false">Calculos!$D$6*(1-EXP(-A35/Calculos!$D$7))</f>
        <v>20.9487424096311</v>
      </c>
      <c r="C35" s="9" t="n">
        <f aca="false">MIN(Datos!$C$5,B35)</f>
        <v>7</v>
      </c>
      <c r="D35" s="10" t="n">
        <f aca="false">0.5*Datos!$C$4*C35^2</f>
        <v>49</v>
      </c>
    </row>
    <row r="36" customFormat="false" ht="15" hidden="false" customHeight="false" outlineLevel="0" collapsed="false">
      <c r="A36" s="0" t="n">
        <v>8.5</v>
      </c>
      <c r="B36" s="9" t="n">
        <f aca="false">Calculos!$D$6*(1-EXP(-A36/Calculos!$D$7))</f>
        <v>21.1336087615987</v>
      </c>
      <c r="C36" s="9" t="n">
        <f aca="false">MIN(Datos!$C$5,B36)</f>
        <v>7</v>
      </c>
      <c r="D36" s="10" t="n">
        <f aca="false">0.5*Datos!$C$4*C36^2</f>
        <v>49</v>
      </c>
    </row>
    <row r="37" customFormat="false" ht="15" hidden="false" customHeight="false" outlineLevel="0" collapsed="false">
      <c r="A37" s="0" t="n">
        <v>8.75</v>
      </c>
      <c r="B37" s="9" t="n">
        <f aca="false">Calculos!$D$6*(1-EXP(-A37/Calculos!$D$7))</f>
        <v>21.3072746275118</v>
      </c>
      <c r="C37" s="9" t="n">
        <f aca="false">MIN(Datos!$C$5,B37)</f>
        <v>7</v>
      </c>
      <c r="D37" s="10" t="n">
        <f aca="false">0.5*Datos!$C$4*C37^2</f>
        <v>49</v>
      </c>
    </row>
    <row r="38" customFormat="false" ht="15" hidden="false" customHeight="false" outlineLevel="0" collapsed="false">
      <c r="A38" s="0" t="n">
        <v>9</v>
      </c>
      <c r="B38" s="9" t="n">
        <f aca="false">Calculos!$D$6*(1-EXP(-A38/Calculos!$D$7))</f>
        <v>21.4704186105153</v>
      </c>
      <c r="C38" s="9" t="n">
        <f aca="false">MIN(Datos!$C$5,B38)</f>
        <v>7</v>
      </c>
      <c r="D38" s="10" t="n">
        <f aca="false">0.5*Datos!$C$4*C38^2</f>
        <v>49</v>
      </c>
    </row>
    <row r="39" customFormat="false" ht="15" hidden="false" customHeight="false" outlineLevel="0" collapsed="false">
      <c r="A39" s="0" t="n">
        <v>9.25</v>
      </c>
      <c r="B39" s="9" t="n">
        <f aca="false">Calculos!$D$6*(1-EXP(-A39/Calculos!$D$7))</f>
        <v>21.6236781992682</v>
      </c>
      <c r="C39" s="9" t="n">
        <f aca="false">MIN(Datos!$C$5,B39)</f>
        <v>7</v>
      </c>
      <c r="D39" s="10" t="n">
        <f aca="false">0.5*Datos!$C$4*C39^2</f>
        <v>49</v>
      </c>
    </row>
    <row r="40" customFormat="false" ht="15" hidden="false" customHeight="false" outlineLevel="0" collapsed="false">
      <c r="A40" s="0" t="n">
        <v>9.5</v>
      </c>
      <c r="B40" s="9" t="n">
        <f aca="false">Calculos!$D$6*(1-EXP(-A40/Calculos!$D$7))</f>
        <v>21.7676522589441</v>
      </c>
      <c r="C40" s="9" t="n">
        <f aca="false">MIN(Datos!$C$5,B40)</f>
        <v>7</v>
      </c>
      <c r="D40" s="10" t="n">
        <f aca="false">0.5*Datos!$C$4*C40^2</f>
        <v>49</v>
      </c>
    </row>
    <row r="41" customFormat="false" ht="15" hidden="false" customHeight="false" outlineLevel="0" collapsed="false">
      <c r="A41" s="0" t="n">
        <v>9.75</v>
      </c>
      <c r="B41" s="9" t="n">
        <f aca="false">Calculos!$D$6*(1-EXP(-A41/Calculos!$D$7))</f>
        <v>21.9029033713099</v>
      </c>
      <c r="C41" s="9" t="n">
        <f aca="false">MIN(Datos!$C$5,B41)</f>
        <v>7</v>
      </c>
      <c r="D41" s="10" t="n">
        <f aca="false">0.5*Datos!$C$4*C41^2</f>
        <v>49</v>
      </c>
    </row>
    <row r="42" customFormat="false" ht="15" hidden="false" customHeight="false" outlineLevel="0" collapsed="false">
      <c r="A42" s="0" t="n">
        <v>10</v>
      </c>
      <c r="B42" s="9" t="n">
        <f aca="false">Calculos!$D$6*(1-EXP(-A42/Calculos!$D$7))</f>
        <v>22.0299600330264</v>
      </c>
      <c r="C42" s="9" t="n">
        <f aca="false">MIN(Datos!$C$5,B42)</f>
        <v>7</v>
      </c>
      <c r="D42" s="10" t="n">
        <f aca="false">0.5*Datos!$C$4*C42^2</f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26.85" hidden="false" customHeight="false" outlineLevel="0" collapsed="false">
      <c r="A1" s="4" t="s">
        <v>109</v>
      </c>
      <c r="B1" s="4" t="s">
        <v>100</v>
      </c>
      <c r="C1" s="4" t="s">
        <v>101</v>
      </c>
      <c r="D1" s="4" t="s">
        <v>102</v>
      </c>
      <c r="E1" s="4" t="s">
        <v>110</v>
      </c>
      <c r="F1" s="4" t="s">
        <v>111</v>
      </c>
    </row>
    <row r="2" customFormat="false" ht="15" hidden="false" customHeight="false" outlineLevel="0" collapsed="false">
      <c r="A2" s="5" t="n">
        <f aca="false">Datos!$C$10</f>
        <v>800</v>
      </c>
      <c r="B2" s="7" t="n">
        <f aca="false">120000/A2</f>
        <v>150</v>
      </c>
      <c r="C2" s="7" t="n">
        <f aca="false">60000/A2</f>
        <v>75</v>
      </c>
      <c r="D2" s="7" t="n">
        <f aca="false">120000/(A2*Datos!$C$6)</f>
        <v>37.5</v>
      </c>
      <c r="E2" s="7" t="n">
        <f aca="false">Datos!$C$7</f>
        <v>3</v>
      </c>
      <c r="F2" s="11" t="n">
        <f aca="false">E2/B2*100</f>
        <v>2</v>
      </c>
    </row>
    <row r="3" customFormat="false" ht="15" hidden="false" customHeight="false" outlineLevel="0" collapsed="false">
      <c r="A3" s="5" t="n">
        <f aca="false">Datos!$C$11</f>
        <v>2000</v>
      </c>
      <c r="B3" s="7" t="n">
        <f aca="false">120000/A3</f>
        <v>60</v>
      </c>
      <c r="C3" s="7" t="n">
        <f aca="false">60000/A3</f>
        <v>30</v>
      </c>
      <c r="D3" s="7" t="n">
        <f aca="false">120000/(A3*Datos!$C$6)</f>
        <v>15</v>
      </c>
      <c r="E3" s="7" t="n">
        <f aca="false">Datos!$C$7</f>
        <v>3</v>
      </c>
      <c r="F3" s="11" t="n">
        <f aca="false">E3/B3*100</f>
        <v>5</v>
      </c>
    </row>
    <row r="4" customFormat="false" ht="15" hidden="false" customHeight="false" outlineLevel="0" collapsed="false">
      <c r="A4" s="5" t="n">
        <f aca="false">Datos!$C$12</f>
        <v>3000</v>
      </c>
      <c r="B4" s="7" t="n">
        <f aca="false">120000/A4</f>
        <v>40</v>
      </c>
      <c r="C4" s="7" t="n">
        <f aca="false">60000/A4</f>
        <v>20</v>
      </c>
      <c r="D4" s="7" t="n">
        <f aca="false">120000/(A4*Datos!$C$6)</f>
        <v>10</v>
      </c>
      <c r="E4" s="7" t="n">
        <f aca="false">Datos!$C$7</f>
        <v>3</v>
      </c>
      <c r="F4" s="11" t="n">
        <f aca="false">E4/B4*100</f>
        <v>7.5</v>
      </c>
    </row>
    <row r="5" customFormat="false" ht="15" hidden="false" customHeight="false" outlineLevel="0" collapsed="false">
      <c r="A5" s="5" t="n">
        <f aca="false">Datos!$C$13</f>
        <v>6000</v>
      </c>
      <c r="B5" s="7" t="n">
        <f aca="false">120000/A5</f>
        <v>20</v>
      </c>
      <c r="C5" s="7" t="n">
        <f aca="false">60000/A5</f>
        <v>10</v>
      </c>
      <c r="D5" s="7" t="n">
        <f aca="false">120000/(A5*Datos!$C$6)</f>
        <v>5</v>
      </c>
      <c r="E5" s="7" t="n">
        <f aca="false">Datos!$C$7</f>
        <v>3</v>
      </c>
      <c r="F5" s="11" t="n">
        <f aca="false">E5/B5*100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2026-09-21T17:59:27Z</dcterms:created>
  <dc:creator>openpyxl</dc:creator>
  <dc:description/>
  <dc:language>en-US</dc:language>
  <cp:lastModifiedBy/>
  <dcterms:modified xsi:type="dcterms:W3CDTF">2026-09-21T17:59:29Z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