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Mediciones" sheetId="2" state="visible" r:id="rId4"/>
    <sheet name="Biela_manivela" sheetId="3" state="visible" r:id="rId5"/>
    <sheet name="Grafic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<sst xmlns="http://schemas.openxmlformats.org/spreadsheetml/2006/main" count="112" uniqueCount="93">
  <si>
    <t xml:space="preserve">GUÍA 13 – GEOMETRÍA DEL MCIA</t>
  </si>
  <si>
    <t xml:space="preserve">Introducción a Motores · Mecánica Automotriz · ISTS</t>
  </si>
  <si>
    <t xml:space="preserve">Leyenda: celdas amarillas con texto azul = datos de entrada (editar). Texto negro = fórmulas (no editar).</t>
  </si>
  <si>
    <t xml:space="preserve">Parámetro</t>
  </si>
  <si>
    <t xml:space="preserve">Símbolo</t>
  </si>
  <si>
    <t xml:space="preserve">Valor</t>
  </si>
  <si>
    <t xml:space="preserve">Unidad</t>
  </si>
  <si>
    <t xml:space="preserve">Fuente / observación</t>
  </si>
  <si>
    <t xml:space="preserve">Diámetro nominal (manual)</t>
  </si>
  <si>
    <t xml:space="preserve">D_man</t>
  </si>
  <si>
    <t xml:space="preserve">mm</t>
  </si>
  <si>
    <t xml:space="preserve">Manual de taller (dato de ejemplo)</t>
  </si>
  <si>
    <t xml:space="preserve">Carrera nominal (manual)</t>
  </si>
  <si>
    <t xml:space="preserve">S_man</t>
  </si>
  <si>
    <t xml:space="preserve">Número de cilindros</t>
  </si>
  <si>
    <t xml:space="preserve">Z</t>
  </si>
  <si>
    <t xml:space="preserve">—</t>
  </si>
  <si>
    <t xml:space="preserve">Ficha técnica</t>
  </si>
  <si>
    <t xml:space="preserve">Longitud de la biela (entre centros)</t>
  </si>
  <si>
    <t xml:space="preserve">L</t>
  </si>
  <si>
    <t xml:space="preserve">Manual o medición (dato de ejemplo)</t>
  </si>
  <si>
    <t xml:space="preserve">Régimen de ralentí</t>
  </si>
  <si>
    <t xml:space="preserve">n_ral</t>
  </si>
  <si>
    <t xml:space="preserve">rpm</t>
  </si>
  <si>
    <t xml:space="preserve">Manual de taller</t>
  </si>
  <si>
    <t xml:space="preserve">Régimen de par máximo</t>
  </si>
  <si>
    <t xml:space="preserve">n_M</t>
  </si>
  <si>
    <t xml:space="preserve">Régimen de potencia máxima</t>
  </si>
  <si>
    <t xml:space="preserve">n_P</t>
  </si>
  <si>
    <t xml:space="preserve">Mediciones de carrera y diámetro</t>
  </si>
  <si>
    <t xml:space="preserve">Registre las lecturas en las celdas amarillas (valores de ejemplo)</t>
  </si>
  <si>
    <t xml:space="preserve">1. Carrera del pistón (profundidad desde el plano del bloque)</t>
  </si>
  <si>
    <t xml:space="preserve">Cilindro</t>
  </si>
  <si>
    <t xml:space="preserve">h_PMS (mm)</t>
  </si>
  <si>
    <t xml:space="preserve">h_PMI (mm)</t>
  </si>
  <si>
    <t xml:space="preserve">S = h_PMI − h_PMS (mm)</t>
  </si>
  <si>
    <t xml:space="preserve">Promedio</t>
  </si>
  <si>
    <t xml:space="preserve">2. Diámetro del cilindro con alexómetro</t>
  </si>
  <si>
    <t xml:space="preserve">Sup. long.</t>
  </si>
  <si>
    <t xml:space="preserve">Sup. transv.</t>
  </si>
  <si>
    <t xml:space="preserve">Med. long.</t>
  </si>
  <si>
    <t xml:space="preserve">Med. transv.</t>
  </si>
  <si>
    <t xml:space="preserve">Inf. long.</t>
  </si>
  <si>
    <t xml:space="preserve">Inf. transv.</t>
  </si>
  <si>
    <t xml:space="preserve">D promedio (mm)</t>
  </si>
  <si>
    <t xml:space="preserve">Conicidad (mm)</t>
  </si>
  <si>
    <t xml:space="preserve">Ovalización máx. (mm)</t>
  </si>
  <si>
    <t xml:space="preserve">Conicidad = promedio superior − promedio inferior; ovalización = mayor diferencia transversal − longitudinal en una misma altura.</t>
  </si>
  <si>
    <t xml:space="preserve">3. Resultados geométricos</t>
  </si>
  <si>
    <t xml:space="preserve">Medido</t>
  </si>
  <si>
    <t xml:space="preserve">Manual</t>
  </si>
  <si>
    <t xml:space="preserve">Error (%)</t>
  </si>
  <si>
    <t xml:space="preserve">Carrera</t>
  </si>
  <si>
    <t xml:space="preserve">S</t>
  </si>
  <si>
    <t xml:space="preserve">Diámetro</t>
  </si>
  <si>
    <t xml:space="preserve">D</t>
  </si>
  <si>
    <t xml:space="preserve">Relación carrera/diámetro</t>
  </si>
  <si>
    <t xml:space="preserve">S/D</t>
  </si>
  <si>
    <t xml:space="preserve">Radio de la manivela</t>
  </si>
  <si>
    <t xml:space="preserve">r = S/2</t>
  </si>
  <si>
    <t xml:space="preserve">Área del pistón</t>
  </si>
  <si>
    <t xml:space="preserve">A_P = π·D²/4</t>
  </si>
  <si>
    <t xml:space="preserve">cm²</t>
  </si>
  <si>
    <t xml:space="preserve">Volumen del cilindro</t>
  </si>
  <si>
    <t xml:space="preserve">V_C = A_P·S</t>
  </si>
  <si>
    <t xml:space="preserve">cm³</t>
  </si>
  <si>
    <t xml:space="preserve">Cilindrada</t>
  </si>
  <si>
    <t xml:space="preserve">V_C·Z</t>
  </si>
  <si>
    <t xml:space="preserve">Relación biela–manivela</t>
  </si>
  <si>
    <t xml:space="preserve">λ = r/L</t>
  </si>
  <si>
    <t xml:space="preserve">Clasificación del motor</t>
  </si>
  <si>
    <t xml:space="preserve">Criterio: S/D &lt; 0,97 supercuadrado; 0,97 a 1,03 cuadrado; &gt; 1,03 carrera larga.</t>
  </si>
  <si>
    <t xml:space="preserve">4. Velocidad media del pistón  c_m = 2·S·n/60</t>
  </si>
  <si>
    <t xml:space="preserve">Condición</t>
  </si>
  <si>
    <t xml:space="preserve">n (rpm)</t>
  </si>
  <si>
    <t xml:space="preserve">S (m)</t>
  </si>
  <si>
    <t xml:space="preserve">c_m (m/s)</t>
  </si>
  <si>
    <t xml:space="preserve">Valoración</t>
  </si>
  <si>
    <t xml:space="preserve">Ralentí</t>
  </si>
  <si>
    <t xml:space="preserve">Par máximo</t>
  </si>
  <si>
    <t xml:space="preserve">Potencia máxima</t>
  </si>
  <si>
    <t xml:space="preserve">Posición y velocidad del pistón en función del ángulo del cigüeñal</t>
  </si>
  <si>
    <t xml:space="preserve">x = r(1 − cos θ) + L − √(L² − r²·sen²θ);  v ≈ r·ω·(sen θ + (r/2L)·sen 2θ)</t>
  </si>
  <si>
    <t xml:space="preserve">Régimen para la velocidad (rpm)</t>
  </si>
  <si>
    <t xml:space="preserve">(vinculado a potencia máxima; puede escribir otro valor)</t>
  </si>
  <si>
    <t xml:space="preserve">θ (°)</t>
  </si>
  <si>
    <t xml:space="preserve">x (mm)</t>
  </si>
  <si>
    <t xml:space="preserve">v (m/s)</t>
  </si>
  <si>
    <t xml:space="preserve">Posición</t>
  </si>
  <si>
    <t xml:space="preserve">Velocidad máxima (m/s)</t>
  </si>
  <si>
    <t xml:space="preserve">Ángulo de v máx. (°)</t>
  </si>
  <si>
    <t xml:space="preserve">x a 90° (mm)</t>
  </si>
  <si>
    <t xml:space="preserve">Mitad de carrera r (mm)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</si>
</sst>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@"/>
    <numFmt numFmtId="168" formatCode="0"/>
    <numFmt numFmtId="169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Posición del pistón desde el PMS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"Posición x (mm)"</c:f>
              <c:strCache>
                <c:ptCount val="1"/>
                <c:pt idx="0">
                  <c:v>Posición x (mm)</c:v>
                </c:pt>
              </c:strCache>
            </c:strRef>
          </c:tx>
          <c:spPr>
            <a:solidFill>
              <a:srgbClr val="2f5597"/>
            </a:solidFill>
            <a:ln w="24840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Biela_manivela!$A$6:$A$42</c:f>
              <c:numCache>
                <c:formatCode>0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Biela_manivela!$B$6:$B$42</c:f>
              <c:numCache>
                <c:formatCode>0.00</c:formatCode>
                <c:ptCount val="37"/>
                <c:pt idx="0">
                  <c:v>0</c:v>
                </c:pt>
                <c:pt idx="1">
                  <c:v>0.64389917642626</c:v>
                </c:pt>
                <c:pt idx="2">
                  <c:v>2.54493378848909</c:v>
                </c:pt>
                <c:pt idx="3">
                  <c:v>5.61308102989975</c:v>
                </c:pt>
                <c:pt idx="4">
                  <c:v>9.70479750490645</c:v>
                </c:pt>
                <c:pt idx="5">
                  <c:v>14.632514206695</c:v>
                </c:pt>
                <c:pt idx="6">
                  <c:v>20.177297886767</c:v>
                </c:pt>
                <c:pt idx="7">
                  <c:v>26.1037812504066</c:v>
                </c:pt>
                <c:pt idx="8">
                  <c:v>32.1759791432607</c:v>
                </c:pt>
                <c:pt idx="9">
                  <c:v>38.1722077139912</c:v>
                </c:pt>
                <c:pt idx="10">
                  <c:v>43.8972311357785</c:v>
                </c:pt>
                <c:pt idx="11">
                  <c:v>49.1901409248892</c:v>
                </c:pt>
                <c:pt idx="12">
                  <c:v>53.927297886767</c:v>
                </c:pt>
                <c:pt idx="13">
                  <c:v>58.0206778605364</c:v>
                </c:pt>
                <c:pt idx="14">
                  <c:v>61.4127974154375</c:v>
                </c:pt>
                <c:pt idx="15">
                  <c:v>64.0697957853494</c:v>
                </c:pt>
                <c:pt idx="16">
                  <c:v>65.9741856915379</c:v>
                </c:pt>
                <c:pt idx="17">
                  <c:v>67.1184225047503</c:v>
                </c:pt>
                <c:pt idx="18">
                  <c:v>67.5</c:v>
                </c:pt>
                <c:pt idx="19">
                  <c:v>67.1184225047503</c:v>
                </c:pt>
                <c:pt idx="20">
                  <c:v>65.9741856915379</c:v>
                </c:pt>
                <c:pt idx="21">
                  <c:v>64.0697957853494</c:v>
                </c:pt>
                <c:pt idx="22">
                  <c:v>61.4127974154375</c:v>
                </c:pt>
                <c:pt idx="23">
                  <c:v>58.0206778605364</c:v>
                </c:pt>
                <c:pt idx="24">
                  <c:v>53.927297886767</c:v>
                </c:pt>
                <c:pt idx="25">
                  <c:v>49.1901409248892</c:v>
                </c:pt>
                <c:pt idx="26">
                  <c:v>43.8972311357785</c:v>
                </c:pt>
                <c:pt idx="27">
                  <c:v>38.1722077139912</c:v>
                </c:pt>
                <c:pt idx="28">
                  <c:v>32.1759791432607</c:v>
                </c:pt>
                <c:pt idx="29">
                  <c:v>26.1037812504066</c:v>
                </c:pt>
                <c:pt idx="30">
                  <c:v>20.177297886767</c:v>
                </c:pt>
                <c:pt idx="31">
                  <c:v>14.632514206695</c:v>
                </c:pt>
                <c:pt idx="32">
                  <c:v>9.70479750490648</c:v>
                </c:pt>
                <c:pt idx="33">
                  <c:v>5.61308102989977</c:v>
                </c:pt>
                <c:pt idx="34">
                  <c:v>2.54493378848909</c:v>
                </c:pt>
                <c:pt idx="35">
                  <c:v>0.64389917642626</c:v>
                </c:pt>
                <c:pt idx="36">
                  <c:v>0</c:v>
                </c:pt>
              </c:numCache>
            </c:numRef>
          </c:yVal>
          <c:smooth val="1"/>
        </c:ser>
        <c:axId val="23901217"/>
        <c:axId val="72359541"/>
      </c:scatterChart>
      <c:valAx>
        <c:axId val="2390121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Ángulo del cigüeñal θ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59541"/>
        <c:crosses val="autoZero"/>
        <c:crossBetween val="midCat"/>
      </c:valAx>
      <c:valAx>
        <c:axId val="723595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0121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Velocidad instantánea del pistón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"Velocidad v (m/s)"</c:f>
              <c:strCache>
                <c:ptCount val="1"/>
                <c:pt idx="0">
                  <c:v>Velocidad v (m/s)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Biela_manivela!$A$6:$A$42</c:f>
              <c:numCache>
                <c:formatCode>0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Biela_manivela!$C$6:$C$42</c:f>
              <c:numCache>
                <c:formatCode>0.00</c:formatCode>
                <c:ptCount val="37"/>
                <c:pt idx="0">
                  <c:v>0</c:v>
                </c:pt>
                <c:pt idx="1">
                  <c:v>4.6166215585159</c:v>
                </c:pt>
                <c:pt idx="2">
                  <c:v>9.008668927337</c:v>
                </c:pt>
                <c:pt idx="3">
                  <c:v>12.9685593718843</c:v>
                </c:pt>
                <c:pt idx="4">
                  <c:v>16.3209503944134</c:v>
                </c:pt>
                <c:pt idx="5">
                  <c:v>18.934704040722</c:v>
                </c:pt>
                <c:pt idx="6">
                  <c:v>20.7304027288902</c:v>
                </c:pt>
                <c:pt idx="7">
                  <c:v>21.6827623123198</c:v>
                </c:pt>
                <c:pt idx="8">
                  <c:v>21.8178690573736</c:v>
                </c:pt>
                <c:pt idx="9">
                  <c:v>21.2057504117311</c:v>
                </c:pt>
                <c:pt idx="10">
                  <c:v>19.9493057704556</c:v>
                </c:pt>
                <c:pt idx="11">
                  <c:v>18.1710120479431</c:v>
                </c:pt>
                <c:pt idx="12">
                  <c:v>15.9990343968527</c:v>
                </c:pt>
                <c:pt idx="13">
                  <c:v>13.5543904894272</c:v>
                </c:pt>
                <c:pt idx="14">
                  <c:v>10.9406368431186</c:v>
                </c:pt>
                <c:pt idx="15">
                  <c:v>8.2371910398468</c:v>
                </c:pt>
                <c:pt idx="16">
                  <c:v>5.49691866296027</c:v>
                </c:pt>
                <c:pt idx="17">
                  <c:v>2.74805827159784</c:v>
                </c:pt>
                <c:pt idx="18">
                  <c:v>1.9278924900916E-015</c:v>
                </c:pt>
                <c:pt idx="19">
                  <c:v>-2.74805827159784</c:v>
                </c:pt>
                <c:pt idx="20">
                  <c:v>-5.49691866296026</c:v>
                </c:pt>
                <c:pt idx="21">
                  <c:v>-8.23719103984681</c:v>
                </c:pt>
                <c:pt idx="22">
                  <c:v>-10.9406368431186</c:v>
                </c:pt>
                <c:pt idx="23">
                  <c:v>-13.5543904894272</c:v>
                </c:pt>
                <c:pt idx="24">
                  <c:v>-15.9990343968527</c:v>
                </c:pt>
                <c:pt idx="25">
                  <c:v>-18.1710120479431</c:v>
                </c:pt>
                <c:pt idx="26">
                  <c:v>-19.9493057704556</c:v>
                </c:pt>
                <c:pt idx="27">
                  <c:v>-21.2057504117311</c:v>
                </c:pt>
                <c:pt idx="28">
                  <c:v>-21.8178690573736</c:v>
                </c:pt>
                <c:pt idx="29">
                  <c:v>-21.6827623123198</c:v>
                </c:pt>
                <c:pt idx="30">
                  <c:v>-20.7304027288902</c:v>
                </c:pt>
                <c:pt idx="31">
                  <c:v>-18.934704040722</c:v>
                </c:pt>
                <c:pt idx="32">
                  <c:v>-16.3209503944134</c:v>
                </c:pt>
                <c:pt idx="33">
                  <c:v>-12.9685593718843</c:v>
                </c:pt>
                <c:pt idx="34">
                  <c:v>-9.00866892733702</c:v>
                </c:pt>
                <c:pt idx="35">
                  <c:v>-4.6166215585159</c:v>
                </c:pt>
                <c:pt idx="36">
                  <c:v>-6.53203676591447E-015</c:v>
                </c:pt>
              </c:numCache>
            </c:numRef>
          </c:yVal>
          <c:smooth val="1"/>
        </c:ser>
        <c:axId val="71496922"/>
        <c:axId val="64285617"/>
      </c:scatterChart>
      <c:valAx>
        <c:axId val="714969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Ángulo del cigüeñal θ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285617"/>
        <c:crosses val="autoZero"/>
        <c:crossBetween val="midCat"/>
      </c:valAx>
      <c:valAx>
        <c:axId val="642856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9692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4680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4680</xdr:colOff>
      <xdr:row>34</xdr:row>
      <xdr:rowOff>11520</xdr:rowOff>
    </xdr:to>
    <xdr:graphicFrame>
      <xdr:nvGraphicFramePr>
        <xdr:cNvPr id="1" name="Chart 2"/>
        <xdr:cNvGraphicFramePr/>
      </xdr:nvGraphicFramePr>
      <xdr:xfrm>
        <a:off x="0" y="3429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 t="s">
        <v>9</v>
      </c>
      <c r="C6" s="6" t="n">
        <v>78</v>
      </c>
      <c r="D6" s="5" t="s">
        <v>10</v>
      </c>
      <c r="E6" s="5" t="s">
        <v>11</v>
      </c>
    </row>
    <row r="7" customFormat="false" ht="15" hidden="false" customHeight="false" outlineLevel="0" collapsed="false">
      <c r="A7" s="5" t="s">
        <v>12</v>
      </c>
      <c r="B7" s="5" t="s">
        <v>13</v>
      </c>
      <c r="C7" s="6" t="n">
        <v>67.5</v>
      </c>
      <c r="D7" s="5" t="s">
        <v>10</v>
      </c>
      <c r="E7" s="5" t="s">
        <v>11</v>
      </c>
    </row>
    <row r="8" customFormat="false" ht="15" hidden="false" customHeight="false" outlineLevel="0" collapsed="false">
      <c r="A8" s="5" t="s">
        <v>14</v>
      </c>
      <c r="B8" s="5" t="s">
        <v>15</v>
      </c>
      <c r="C8" s="6" t="n">
        <v>4</v>
      </c>
      <c r="D8" s="5" t="s">
        <v>16</v>
      </c>
      <c r="E8" s="5" t="s">
        <v>17</v>
      </c>
    </row>
    <row r="9" customFormat="false" ht="15" hidden="false" customHeight="false" outlineLevel="0" collapsed="false">
      <c r="A9" s="5" t="s">
        <v>18</v>
      </c>
      <c r="B9" s="5" t="s">
        <v>19</v>
      </c>
      <c r="C9" s="6" t="n">
        <v>131</v>
      </c>
      <c r="D9" s="5" t="s">
        <v>10</v>
      </c>
      <c r="E9" s="5" t="s">
        <v>20</v>
      </c>
    </row>
    <row r="10" customFormat="false" ht="15" hidden="false" customHeight="false" outlineLevel="0" collapsed="false">
      <c r="A10" s="5" t="s">
        <v>21</v>
      </c>
      <c r="B10" s="5" t="s">
        <v>22</v>
      </c>
      <c r="C10" s="6" t="n">
        <v>800</v>
      </c>
      <c r="D10" s="5" t="s">
        <v>23</v>
      </c>
      <c r="E10" s="5" t="s">
        <v>24</v>
      </c>
    </row>
    <row r="11" customFormat="false" ht="15" hidden="false" customHeight="false" outlineLevel="0" collapsed="false">
      <c r="A11" s="5" t="s">
        <v>25</v>
      </c>
      <c r="B11" s="5" t="s">
        <v>26</v>
      </c>
      <c r="C11" s="6" t="n">
        <v>3500</v>
      </c>
      <c r="D11" s="5" t="s">
        <v>23</v>
      </c>
      <c r="E11" s="5" t="s">
        <v>17</v>
      </c>
    </row>
    <row r="12" customFormat="false" ht="15" hidden="false" customHeight="false" outlineLevel="0" collapsed="false">
      <c r="A12" s="5" t="s">
        <v>27</v>
      </c>
      <c r="B12" s="5" t="s">
        <v>28</v>
      </c>
      <c r="C12" s="6" t="n">
        <v>6000</v>
      </c>
      <c r="D12" s="5" t="s">
        <v>23</v>
      </c>
      <c r="E12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7" t="s">
        <v>31</v>
      </c>
    </row>
    <row r="6" customFormat="false" ht="31.5" hidden="false" customHeight="true" outlineLevel="0" collapsed="false">
      <c r="A6" s="4" t="s">
        <v>32</v>
      </c>
      <c r="B6" s="4" t="s">
        <v>33</v>
      </c>
      <c r="C6" s="4" t="s">
        <v>34</v>
      </c>
      <c r="D6" s="4" t="s">
        <v>35</v>
      </c>
    </row>
    <row r="7" customFormat="false" ht="15" hidden="false" customHeight="false" outlineLevel="0" collapsed="false">
      <c r="A7" s="5" t="n">
        <v>1</v>
      </c>
      <c r="B7" s="6" t="n">
        <v>0.52</v>
      </c>
      <c r="C7" s="6" t="n">
        <v>68.04</v>
      </c>
      <c r="D7" s="8" t="n">
        <f aca="false">C7-B7</f>
        <v>67.52</v>
      </c>
    </row>
    <row r="8" customFormat="false" ht="15" hidden="false" customHeight="false" outlineLevel="0" collapsed="false">
      <c r="A8" s="5" t="n">
        <v>2</v>
      </c>
      <c r="B8" s="6" t="n">
        <v>0.48</v>
      </c>
      <c r="C8" s="6" t="n">
        <v>67.96</v>
      </c>
      <c r="D8" s="8" t="n">
        <f aca="false">C8-B8</f>
        <v>67.48</v>
      </c>
    </row>
    <row r="9" customFormat="false" ht="15" hidden="false" customHeight="false" outlineLevel="0" collapsed="false">
      <c r="A9" s="9" t="s">
        <v>36</v>
      </c>
      <c r="D9" s="10" t="n">
        <f aca="false">AVERAGE(D7:D8)</f>
        <v>67.5</v>
      </c>
    </row>
    <row r="11" customFormat="false" ht="15" hidden="false" customHeight="false" outlineLevel="0" collapsed="false">
      <c r="A11" s="7" t="s">
        <v>37</v>
      </c>
    </row>
    <row r="12" customFormat="false" ht="31.5" hidden="false" customHeight="true" outlineLevel="0" collapsed="false">
      <c r="A12" s="4" t="s">
        <v>32</v>
      </c>
      <c r="B12" s="4" t="s">
        <v>38</v>
      </c>
      <c r="C12" s="4" t="s">
        <v>39</v>
      </c>
      <c r="D12" s="4" t="s">
        <v>40</v>
      </c>
      <c r="E12" s="4" t="s">
        <v>41</v>
      </c>
      <c r="F12" s="4" t="s">
        <v>42</v>
      </c>
      <c r="G12" s="4" t="s">
        <v>43</v>
      </c>
      <c r="H12" s="4" t="s">
        <v>44</v>
      </c>
      <c r="I12" s="4" t="s">
        <v>45</v>
      </c>
      <c r="J12" s="4" t="s">
        <v>46</v>
      </c>
    </row>
    <row r="13" customFormat="false" ht="15" hidden="false" customHeight="false" outlineLevel="0" collapsed="false">
      <c r="A13" s="5" t="n">
        <v>1</v>
      </c>
      <c r="B13" s="6" t="n">
        <v>78.03</v>
      </c>
      <c r="C13" s="6" t="n">
        <v>78.05</v>
      </c>
      <c r="D13" s="6" t="n">
        <v>78.02</v>
      </c>
      <c r="E13" s="6" t="n">
        <v>78.03</v>
      </c>
      <c r="F13" s="6" t="n">
        <v>78.01</v>
      </c>
      <c r="G13" s="6" t="n">
        <v>78.02</v>
      </c>
      <c r="H13" s="11" t="n">
        <f aca="false">AVERAGE(B13:G13)</f>
        <v>78.0266666666667</v>
      </c>
      <c r="I13" s="11" t="n">
        <f aca="false">AVERAGE(B13:C13)-AVERAGE(F13:G13)</f>
        <v>0.0249999999999915</v>
      </c>
      <c r="J13" s="11" t="n">
        <f aca="false">MAX(ABS(C13-B13),ABS(E13-D13),ABS(G13-F13))</f>
        <v>0.019999999999996</v>
      </c>
    </row>
    <row r="14" customFormat="false" ht="15" hidden="false" customHeight="false" outlineLevel="0" collapsed="false">
      <c r="A14" s="5" t="n">
        <v>2</v>
      </c>
      <c r="B14" s="6" t="n">
        <v>78.02</v>
      </c>
      <c r="C14" s="6" t="n">
        <v>78.04</v>
      </c>
      <c r="D14" s="6" t="n">
        <v>78.02</v>
      </c>
      <c r="E14" s="6" t="n">
        <v>78.02</v>
      </c>
      <c r="F14" s="6" t="n">
        <v>78.01</v>
      </c>
      <c r="G14" s="6" t="n">
        <v>78.01</v>
      </c>
      <c r="H14" s="11" t="n">
        <f aca="false">AVERAGE(B14:G14)</f>
        <v>78.02</v>
      </c>
      <c r="I14" s="11" t="n">
        <f aca="false">AVERAGE(B14:C14)-AVERAGE(F14:G14)</f>
        <v>0.019999999999996</v>
      </c>
      <c r="J14" s="11" t="n">
        <f aca="false">MAX(ABS(C14-B14),ABS(E14-D14),ABS(G14-F14))</f>
        <v>0.0200000000000102</v>
      </c>
    </row>
    <row r="15" customFormat="false" ht="15" hidden="false" customHeight="false" outlineLevel="0" collapsed="false">
      <c r="A15" s="9" t="s">
        <v>36</v>
      </c>
      <c r="H15" s="12" t="n">
        <f aca="false">AVERAGE(H13:H14)</f>
        <v>78.0233333333333</v>
      </c>
    </row>
    <row r="16" customFormat="false" ht="15" hidden="false" customHeight="false" outlineLevel="0" collapsed="false">
      <c r="A16" s="13" t="s">
        <v>47</v>
      </c>
    </row>
    <row r="18" customFormat="false" ht="15" hidden="false" customHeight="false" outlineLevel="0" collapsed="false">
      <c r="A18" s="7" t="s">
        <v>48</v>
      </c>
    </row>
    <row r="19" customFormat="false" ht="31.5" hidden="false" customHeight="true" outlineLevel="0" collapsed="false">
      <c r="A19" s="4" t="s">
        <v>3</v>
      </c>
      <c r="B19" s="4" t="s">
        <v>4</v>
      </c>
      <c r="C19" s="4" t="s">
        <v>49</v>
      </c>
      <c r="D19" s="4" t="s">
        <v>50</v>
      </c>
      <c r="E19" s="4" t="s">
        <v>6</v>
      </c>
      <c r="F19" s="4" t="s">
        <v>51</v>
      </c>
    </row>
    <row r="20" customFormat="false" ht="15" hidden="false" customHeight="false" outlineLevel="0" collapsed="false">
      <c r="A20" s="9" t="s">
        <v>52</v>
      </c>
      <c r="B20" s="5" t="s">
        <v>53</v>
      </c>
      <c r="C20" s="11" t="n">
        <f aca="false">D9</f>
        <v>67.5</v>
      </c>
      <c r="D20" s="11" t="n">
        <f aca="false">Datos!C7</f>
        <v>67.5</v>
      </c>
      <c r="E20" s="5" t="s">
        <v>10</v>
      </c>
      <c r="F20" s="8" t="n">
        <f aca="false">IF(D20=0,"",(C20-D20)/D20*100)</f>
        <v>0</v>
      </c>
    </row>
    <row r="21" customFormat="false" ht="15" hidden="false" customHeight="false" outlineLevel="0" collapsed="false">
      <c r="A21" s="9" t="s">
        <v>54</v>
      </c>
      <c r="B21" s="5" t="s">
        <v>55</v>
      </c>
      <c r="C21" s="11" t="n">
        <f aca="false">H15</f>
        <v>78.0233333333333</v>
      </c>
      <c r="D21" s="11" t="n">
        <f aca="false">Datos!C6</f>
        <v>78</v>
      </c>
      <c r="E21" s="5" t="s">
        <v>10</v>
      </c>
      <c r="F21" s="8" t="n">
        <f aca="false">IF(D21=0,"",(C21-D21)/D21*100)</f>
        <v>0.0299145299145209</v>
      </c>
    </row>
    <row r="22" customFormat="false" ht="15" hidden="false" customHeight="false" outlineLevel="0" collapsed="false">
      <c r="A22" s="9" t="s">
        <v>56</v>
      </c>
      <c r="B22" s="5" t="s">
        <v>57</v>
      </c>
      <c r="C22" s="11" t="n">
        <f aca="false">C20/C21</f>
        <v>0.865125817063272</v>
      </c>
      <c r="D22" s="11" t="n">
        <f aca="false">D20/D21</f>
        <v>0.865384615384615</v>
      </c>
      <c r="E22" s="5" t="s">
        <v>16</v>
      </c>
      <c r="F22" s="8" t="n">
        <f aca="false">IF(D22=0,"",(C22-D22)/D22*100)</f>
        <v>-0.029905583799714</v>
      </c>
    </row>
    <row r="23" customFormat="false" ht="15" hidden="false" customHeight="false" outlineLevel="0" collapsed="false">
      <c r="A23" s="9" t="s">
        <v>58</v>
      </c>
      <c r="B23" s="5" t="s">
        <v>59</v>
      </c>
      <c r="C23" s="11" t="n">
        <f aca="false">C20/2</f>
        <v>33.75</v>
      </c>
      <c r="D23" s="11" t="n">
        <f aca="false">D20/2</f>
        <v>33.75</v>
      </c>
      <c r="E23" s="5" t="s">
        <v>10</v>
      </c>
      <c r="F23" s="8" t="n">
        <f aca="false">IF(D23=0,"",(C23-D23)/D23*100)</f>
        <v>0</v>
      </c>
    </row>
    <row r="24" customFormat="false" ht="15" hidden="false" customHeight="false" outlineLevel="0" collapsed="false">
      <c r="A24" s="9" t="s">
        <v>60</v>
      </c>
      <c r="B24" s="5" t="s">
        <v>61</v>
      </c>
      <c r="C24" s="11" t="n">
        <f aca="false">PI()*(C21/10)^2/4</f>
        <v>47.8122170303051</v>
      </c>
      <c r="D24" s="11" t="n">
        <f aca="false">PI()*(D21/10)^2/4</f>
        <v>47.7836242611008</v>
      </c>
      <c r="E24" s="5" t="s">
        <v>62</v>
      </c>
      <c r="F24" s="8" t="n">
        <f aca="false">IF(D24=0,"",(C24-D24)/D24*100)</f>
        <v>0.0598380086200509</v>
      </c>
    </row>
    <row r="25" customFormat="false" ht="15" hidden="false" customHeight="false" outlineLevel="0" collapsed="false">
      <c r="A25" s="9" t="s">
        <v>63</v>
      </c>
      <c r="B25" s="5" t="s">
        <v>64</v>
      </c>
      <c r="C25" s="11" t="n">
        <f aca="false">C24*C20/10</f>
        <v>322.732464954559</v>
      </c>
      <c r="D25" s="11" t="n">
        <f aca="false">D24*D20/10</f>
        <v>322.53946376243</v>
      </c>
      <c r="E25" s="5" t="s">
        <v>65</v>
      </c>
      <c r="F25" s="8" t="n">
        <f aca="false">IF(D25=0,"",(C25-D25)/D25*100)</f>
        <v>0.0598380086200602</v>
      </c>
    </row>
    <row r="26" customFormat="false" ht="15" hidden="false" customHeight="false" outlineLevel="0" collapsed="false">
      <c r="A26" s="9" t="s">
        <v>66</v>
      </c>
      <c r="B26" s="5" t="s">
        <v>67</v>
      </c>
      <c r="C26" s="11" t="n">
        <f aca="false">C25*Datos!$C$8</f>
        <v>1290.92985981824</v>
      </c>
      <c r="D26" s="11" t="n">
        <f aca="false">D25*Datos!$C$8</f>
        <v>1290.15785504972</v>
      </c>
      <c r="E26" s="5" t="s">
        <v>65</v>
      </c>
      <c r="F26" s="8" t="n">
        <f aca="false">IF(D26=0,"",(C26-D26)/D26*100)</f>
        <v>0.0598380086200602</v>
      </c>
    </row>
    <row r="27" customFormat="false" ht="15" hidden="false" customHeight="false" outlineLevel="0" collapsed="false">
      <c r="A27" s="9" t="s">
        <v>68</v>
      </c>
      <c r="B27" s="5" t="s">
        <v>69</v>
      </c>
      <c r="C27" s="11" t="n">
        <f aca="false">C23/Datos!$C$9</f>
        <v>0.25763358778626</v>
      </c>
      <c r="D27" s="11" t="n">
        <f aca="false">D23/Datos!$C$9</f>
        <v>0.25763358778626</v>
      </c>
      <c r="E27" s="5" t="s">
        <v>16</v>
      </c>
      <c r="F27" s="8" t="n">
        <f aca="false">IF(D27=0,"",(C27-D27)/D27*100)</f>
        <v>0</v>
      </c>
    </row>
    <row r="29" customFormat="false" ht="15" hidden="false" customHeight="false" outlineLevel="0" collapsed="false">
      <c r="A29" s="9" t="s">
        <v>70</v>
      </c>
      <c r="C29" s="14" t="str">
        <f aca="false">IF(C22&lt;0.97,"Supercuadrado",IF(C22&lt;=1.03,"Cuadrado","Carrera larga"))</f>
        <v>Supercuadrado</v>
      </c>
    </row>
    <row r="30" customFormat="false" ht="15" hidden="false" customHeight="false" outlineLevel="0" collapsed="false">
      <c r="A30" s="13" t="s">
        <v>71</v>
      </c>
    </row>
    <row r="32" customFormat="false" ht="15" hidden="false" customHeight="false" outlineLevel="0" collapsed="false">
      <c r="A32" s="7" t="s">
        <v>72</v>
      </c>
    </row>
    <row r="33" customFormat="false" ht="31.5" hidden="false" customHeight="true" outlineLevel="0" collapsed="false">
      <c r="A33" s="4" t="s">
        <v>73</v>
      </c>
      <c r="B33" s="4" t="s">
        <v>74</v>
      </c>
      <c r="C33" s="4" t="s">
        <v>75</v>
      </c>
      <c r="D33" s="4" t="s">
        <v>76</v>
      </c>
      <c r="E33" s="4" t="s">
        <v>77</v>
      </c>
    </row>
    <row r="34" customFormat="false" ht="15" hidden="false" customHeight="false" outlineLevel="0" collapsed="false">
      <c r="A34" s="5" t="s">
        <v>78</v>
      </c>
      <c r="B34" s="15" t="n">
        <f aca="false">Datos!C10</f>
        <v>800</v>
      </c>
      <c r="C34" s="16" t="n">
        <f aca="false">$C$20/1000</f>
        <v>0.0675</v>
      </c>
      <c r="D34" s="8" t="n">
        <f aca="false">2*C34*B34/60</f>
        <v>1.8</v>
      </c>
      <c r="E34" s="17" t="str">
        <f aca="false">IF(D34&gt;20,"Elevada (&gt; 20 m/s)",IF(D34&gt;=14,"Normal a potencia máxima","Baja"))</f>
        <v>Baja</v>
      </c>
    </row>
    <row r="35" customFormat="false" ht="15" hidden="false" customHeight="false" outlineLevel="0" collapsed="false">
      <c r="A35" s="5" t="s">
        <v>79</v>
      </c>
      <c r="B35" s="15" t="n">
        <f aca="false">Datos!C11</f>
        <v>3500</v>
      </c>
      <c r="C35" s="16" t="n">
        <f aca="false">$C$20/1000</f>
        <v>0.0675</v>
      </c>
      <c r="D35" s="8" t="n">
        <f aca="false">2*C35*B35/60</f>
        <v>7.875</v>
      </c>
      <c r="E35" s="17" t="str">
        <f aca="false">IF(D35&gt;20,"Elevada (&gt; 20 m/s)",IF(D35&gt;=14,"Normal a potencia máxima","Baja"))</f>
        <v>Baja</v>
      </c>
    </row>
    <row r="36" customFormat="false" ht="15" hidden="false" customHeight="false" outlineLevel="0" collapsed="false">
      <c r="A36" s="5" t="s">
        <v>80</v>
      </c>
      <c r="B36" s="15" t="n">
        <f aca="false">Datos!C12</f>
        <v>6000</v>
      </c>
      <c r="C36" s="16" t="n">
        <f aca="false">$C$20/1000</f>
        <v>0.0675</v>
      </c>
      <c r="D36" s="8" t="n">
        <f aca="false">2*C36*B36/60</f>
        <v>13.5</v>
      </c>
      <c r="E36" s="17" t="str">
        <f aca="false">IF(D36&gt;20,"Elevada (&gt; 20 m/s)",IF(D36&gt;=14,"Normal a potencia máxima","Baja"))</f>
        <v>Baja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0"/>
    <col collapsed="false" customWidth="true" hidden="false" outlineLevel="0" max="6" min="6" style="0" width="2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3" customFormat="false" ht="15" hidden="false" customHeight="false" outlineLevel="0" collapsed="false">
      <c r="A3" s="18" t="s">
        <v>83</v>
      </c>
      <c r="C3" s="19" t="n">
        <f aca="false">Datos!C12</f>
        <v>6000</v>
      </c>
      <c r="D3" s="13" t="s">
        <v>84</v>
      </c>
    </row>
    <row r="5" customFormat="false" ht="31.5" hidden="false" customHeight="true" outlineLevel="0" collapsed="false">
      <c r="A5" s="4" t="s">
        <v>85</v>
      </c>
      <c r="B5" s="4" t="s">
        <v>86</v>
      </c>
      <c r="C5" s="4" t="s">
        <v>87</v>
      </c>
      <c r="D5" s="4" t="s">
        <v>88</v>
      </c>
      <c r="F5" s="18" t="s">
        <v>89</v>
      </c>
      <c r="G5" s="8" t="n">
        <f aca="false">MAX(C6:C42)</f>
        <v>21.8178690573736</v>
      </c>
    </row>
    <row r="6" customFormat="false" ht="15" hidden="false" customHeight="false" outlineLevel="0" collapsed="false">
      <c r="A6" s="15" t="n">
        <v>0</v>
      </c>
      <c r="B6" s="8" t="n">
        <f aca="false">Mediciones!$C$23*(1-COS(RADIANS(A6)))+Datos!$C$9-SQRT(Datos!$C$9^2-(Mediciones!$C$23*SIN(RADIANS(A6)))^2)</f>
        <v>0</v>
      </c>
      <c r="C6" s="8" t="n">
        <f aca="false">Mediciones!$C$23/1000*(2*PI()*$C$3/60)*(SIN(RADIANS(A6))+Mediciones!$C$23/(2*Datos!$C$9)*SIN(RADIANS(2*A6)))</f>
        <v>0</v>
      </c>
      <c r="D6" s="17" t="str">
        <f aca="false">IF(A6=0,"PMS",IF(A6=180,"PMI",IF(A6=360,"PMS","")))</f>
        <v>PMS</v>
      </c>
      <c r="F6" s="18" t="s">
        <v>90</v>
      </c>
      <c r="G6" s="15" t="n">
        <f aca="false">INDEX(A6:A42,MATCH(G5,C6:C42,0))</f>
        <v>80</v>
      </c>
    </row>
    <row r="7" customFormat="false" ht="15" hidden="false" customHeight="false" outlineLevel="0" collapsed="false">
      <c r="A7" s="15" t="n">
        <v>10</v>
      </c>
      <c r="B7" s="8" t="n">
        <f aca="false">Mediciones!$C$23*(1-COS(RADIANS(A7)))+Datos!$C$9-SQRT(Datos!$C$9^2-(Mediciones!$C$23*SIN(RADIANS(A7)))^2)</f>
        <v>0.64389917642626</v>
      </c>
      <c r="C7" s="8" t="n">
        <f aca="false">Mediciones!$C$23/1000*(2*PI()*$C$3/60)*(SIN(RADIANS(A7))+Mediciones!$C$23/(2*Datos!$C$9)*SIN(RADIANS(2*A7)))</f>
        <v>4.6166215585159</v>
      </c>
      <c r="D7" s="17" t="str">
        <f aca="false">IF(A7=0,"PMS",IF(A7=180,"PMI",IF(A7=360,"PMS","")))</f>
        <v/>
      </c>
      <c r="F7" s="18" t="s">
        <v>91</v>
      </c>
      <c r="G7" s="8" t="n">
        <f aca="false">B15</f>
        <v>38.1722077139912</v>
      </c>
    </row>
    <row r="8" customFormat="false" ht="15" hidden="false" customHeight="false" outlineLevel="0" collapsed="false">
      <c r="A8" s="15" t="n">
        <v>20</v>
      </c>
      <c r="B8" s="8" t="n">
        <f aca="false">Mediciones!$C$23*(1-COS(RADIANS(A8)))+Datos!$C$9-SQRT(Datos!$C$9^2-(Mediciones!$C$23*SIN(RADIANS(A8)))^2)</f>
        <v>2.54493378848909</v>
      </c>
      <c r="C8" s="8" t="n">
        <f aca="false">Mediciones!$C$23/1000*(2*PI()*$C$3/60)*(SIN(RADIANS(A8))+Mediciones!$C$23/(2*Datos!$C$9)*SIN(RADIANS(2*A8)))</f>
        <v>9.008668927337</v>
      </c>
      <c r="D8" s="17" t="str">
        <f aca="false">IF(A8=0,"PMS",IF(A8=180,"PMI",IF(A8=360,"PMS","")))</f>
        <v/>
      </c>
      <c r="F8" s="18" t="s">
        <v>92</v>
      </c>
      <c r="G8" s="8" t="n">
        <f aca="false">Mediciones!C23</f>
        <v>33.75</v>
      </c>
    </row>
    <row r="9" customFormat="false" ht="15" hidden="false" customHeight="false" outlineLevel="0" collapsed="false">
      <c r="A9" s="15" t="n">
        <v>30</v>
      </c>
      <c r="B9" s="8" t="n">
        <f aca="false">Mediciones!$C$23*(1-COS(RADIANS(A9)))+Datos!$C$9-SQRT(Datos!$C$9^2-(Mediciones!$C$23*SIN(RADIANS(A9)))^2)</f>
        <v>5.61308102989975</v>
      </c>
      <c r="C9" s="8" t="n">
        <f aca="false">Mediciones!$C$23/1000*(2*PI()*$C$3/60)*(SIN(RADIANS(A9))+Mediciones!$C$23/(2*Datos!$C$9)*SIN(RADIANS(2*A9)))</f>
        <v>12.9685593718843</v>
      </c>
      <c r="D9" s="17" t="str">
        <f aca="false">IF(A9=0,"PMS",IF(A9=180,"PMI",IF(A9=360,"PMS","")))</f>
        <v/>
      </c>
    </row>
    <row r="10" customFormat="false" ht="15" hidden="false" customHeight="false" outlineLevel="0" collapsed="false">
      <c r="A10" s="15" t="n">
        <v>40</v>
      </c>
      <c r="B10" s="8" t="n">
        <f aca="false">Mediciones!$C$23*(1-COS(RADIANS(A10)))+Datos!$C$9-SQRT(Datos!$C$9^2-(Mediciones!$C$23*SIN(RADIANS(A10)))^2)</f>
        <v>9.70479750490645</v>
      </c>
      <c r="C10" s="8" t="n">
        <f aca="false">Mediciones!$C$23/1000*(2*PI()*$C$3/60)*(SIN(RADIANS(A10))+Mediciones!$C$23/(2*Datos!$C$9)*SIN(RADIANS(2*A10)))</f>
        <v>16.3209503944134</v>
      </c>
      <c r="D10" s="17" t="str">
        <f aca="false">IF(A10=0,"PMS",IF(A10=180,"PMI",IF(A10=360,"PMS","")))</f>
        <v/>
      </c>
    </row>
    <row r="11" customFormat="false" ht="15" hidden="false" customHeight="false" outlineLevel="0" collapsed="false">
      <c r="A11" s="15" t="n">
        <v>50</v>
      </c>
      <c r="B11" s="8" t="n">
        <f aca="false">Mediciones!$C$23*(1-COS(RADIANS(A11)))+Datos!$C$9-SQRT(Datos!$C$9^2-(Mediciones!$C$23*SIN(RADIANS(A11)))^2)</f>
        <v>14.632514206695</v>
      </c>
      <c r="C11" s="8" t="n">
        <f aca="false">Mediciones!$C$23/1000*(2*PI()*$C$3/60)*(SIN(RADIANS(A11))+Mediciones!$C$23/(2*Datos!$C$9)*SIN(RADIANS(2*A11)))</f>
        <v>18.934704040722</v>
      </c>
      <c r="D11" s="17" t="str">
        <f aca="false">IF(A11=0,"PMS",IF(A11=180,"PMI",IF(A11=360,"PMS","")))</f>
        <v/>
      </c>
    </row>
    <row r="12" customFormat="false" ht="15" hidden="false" customHeight="false" outlineLevel="0" collapsed="false">
      <c r="A12" s="15" t="n">
        <v>60</v>
      </c>
      <c r="B12" s="8" t="n">
        <f aca="false">Mediciones!$C$23*(1-COS(RADIANS(A12)))+Datos!$C$9-SQRT(Datos!$C$9^2-(Mediciones!$C$23*SIN(RADIANS(A12)))^2)</f>
        <v>20.177297886767</v>
      </c>
      <c r="C12" s="8" t="n">
        <f aca="false">Mediciones!$C$23/1000*(2*PI()*$C$3/60)*(SIN(RADIANS(A12))+Mediciones!$C$23/(2*Datos!$C$9)*SIN(RADIANS(2*A12)))</f>
        <v>20.7304027288902</v>
      </c>
      <c r="D12" s="17" t="str">
        <f aca="false">IF(A12=0,"PMS",IF(A12=180,"PMI",IF(A12=360,"PMS","")))</f>
        <v/>
      </c>
    </row>
    <row r="13" customFormat="false" ht="15" hidden="false" customHeight="false" outlineLevel="0" collapsed="false">
      <c r="A13" s="15" t="n">
        <v>70</v>
      </c>
      <c r="B13" s="8" t="n">
        <f aca="false">Mediciones!$C$23*(1-COS(RADIANS(A13)))+Datos!$C$9-SQRT(Datos!$C$9^2-(Mediciones!$C$23*SIN(RADIANS(A13)))^2)</f>
        <v>26.1037812504066</v>
      </c>
      <c r="C13" s="8" t="n">
        <f aca="false">Mediciones!$C$23/1000*(2*PI()*$C$3/60)*(SIN(RADIANS(A13))+Mediciones!$C$23/(2*Datos!$C$9)*SIN(RADIANS(2*A13)))</f>
        <v>21.6827623123198</v>
      </c>
      <c r="D13" s="17" t="str">
        <f aca="false">IF(A13=0,"PMS",IF(A13=180,"PMI",IF(A13=360,"PMS","")))</f>
        <v/>
      </c>
    </row>
    <row r="14" customFormat="false" ht="15" hidden="false" customHeight="false" outlineLevel="0" collapsed="false">
      <c r="A14" s="15" t="n">
        <v>80</v>
      </c>
      <c r="B14" s="8" t="n">
        <f aca="false">Mediciones!$C$23*(1-COS(RADIANS(A14)))+Datos!$C$9-SQRT(Datos!$C$9^2-(Mediciones!$C$23*SIN(RADIANS(A14)))^2)</f>
        <v>32.1759791432607</v>
      </c>
      <c r="C14" s="8" t="n">
        <f aca="false">Mediciones!$C$23/1000*(2*PI()*$C$3/60)*(SIN(RADIANS(A14))+Mediciones!$C$23/(2*Datos!$C$9)*SIN(RADIANS(2*A14)))</f>
        <v>21.8178690573736</v>
      </c>
      <c r="D14" s="17" t="str">
        <f aca="false">IF(A14=0,"PMS",IF(A14=180,"PMI",IF(A14=360,"PMS","")))</f>
        <v/>
      </c>
    </row>
    <row r="15" customFormat="false" ht="15" hidden="false" customHeight="false" outlineLevel="0" collapsed="false">
      <c r="A15" s="15" t="n">
        <v>90</v>
      </c>
      <c r="B15" s="8" t="n">
        <f aca="false">Mediciones!$C$23*(1-COS(RADIANS(A15)))+Datos!$C$9-SQRT(Datos!$C$9^2-(Mediciones!$C$23*SIN(RADIANS(A15)))^2)</f>
        <v>38.1722077139912</v>
      </c>
      <c r="C15" s="8" t="n">
        <f aca="false">Mediciones!$C$23/1000*(2*PI()*$C$3/60)*(SIN(RADIANS(A15))+Mediciones!$C$23/(2*Datos!$C$9)*SIN(RADIANS(2*A15)))</f>
        <v>21.2057504117311</v>
      </c>
      <c r="D15" s="17" t="str">
        <f aca="false">IF(A15=0,"PMS",IF(A15=180,"PMI",IF(A15=360,"PMS","")))</f>
        <v/>
      </c>
    </row>
    <row r="16" customFormat="false" ht="15" hidden="false" customHeight="false" outlineLevel="0" collapsed="false">
      <c r="A16" s="15" t="n">
        <v>100</v>
      </c>
      <c r="B16" s="8" t="n">
        <f aca="false">Mediciones!$C$23*(1-COS(RADIANS(A16)))+Datos!$C$9-SQRT(Datos!$C$9^2-(Mediciones!$C$23*SIN(RADIANS(A16)))^2)</f>
        <v>43.8972311357785</v>
      </c>
      <c r="C16" s="8" t="n">
        <f aca="false">Mediciones!$C$23/1000*(2*PI()*$C$3/60)*(SIN(RADIANS(A16))+Mediciones!$C$23/(2*Datos!$C$9)*SIN(RADIANS(2*A16)))</f>
        <v>19.9493057704556</v>
      </c>
      <c r="D16" s="17" t="str">
        <f aca="false">IF(A16=0,"PMS",IF(A16=180,"PMI",IF(A16=360,"PMS","")))</f>
        <v/>
      </c>
    </row>
    <row r="17" customFormat="false" ht="15" hidden="false" customHeight="false" outlineLevel="0" collapsed="false">
      <c r="A17" s="15" t="n">
        <v>110</v>
      </c>
      <c r="B17" s="8" t="n">
        <f aca="false">Mediciones!$C$23*(1-COS(RADIANS(A17)))+Datos!$C$9-SQRT(Datos!$C$9^2-(Mediciones!$C$23*SIN(RADIANS(A17)))^2)</f>
        <v>49.1901409248892</v>
      </c>
      <c r="C17" s="8" t="n">
        <f aca="false">Mediciones!$C$23/1000*(2*PI()*$C$3/60)*(SIN(RADIANS(A17))+Mediciones!$C$23/(2*Datos!$C$9)*SIN(RADIANS(2*A17)))</f>
        <v>18.1710120479431</v>
      </c>
      <c r="D17" s="17" t="str">
        <f aca="false">IF(A17=0,"PMS",IF(A17=180,"PMI",IF(A17=360,"PMS","")))</f>
        <v/>
      </c>
    </row>
    <row r="18" customFormat="false" ht="15" hidden="false" customHeight="false" outlineLevel="0" collapsed="false">
      <c r="A18" s="15" t="n">
        <v>120</v>
      </c>
      <c r="B18" s="8" t="n">
        <f aca="false">Mediciones!$C$23*(1-COS(RADIANS(A18)))+Datos!$C$9-SQRT(Datos!$C$9^2-(Mediciones!$C$23*SIN(RADIANS(A18)))^2)</f>
        <v>53.927297886767</v>
      </c>
      <c r="C18" s="8" t="n">
        <f aca="false">Mediciones!$C$23/1000*(2*PI()*$C$3/60)*(SIN(RADIANS(A18))+Mediciones!$C$23/(2*Datos!$C$9)*SIN(RADIANS(2*A18)))</f>
        <v>15.9990343968527</v>
      </c>
      <c r="D18" s="17" t="str">
        <f aca="false">IF(A18=0,"PMS",IF(A18=180,"PMI",IF(A18=360,"PMS","")))</f>
        <v/>
      </c>
    </row>
    <row r="19" customFormat="false" ht="15" hidden="false" customHeight="false" outlineLevel="0" collapsed="false">
      <c r="A19" s="15" t="n">
        <v>130</v>
      </c>
      <c r="B19" s="8" t="n">
        <f aca="false">Mediciones!$C$23*(1-COS(RADIANS(A19)))+Datos!$C$9-SQRT(Datos!$C$9^2-(Mediciones!$C$23*SIN(RADIANS(A19)))^2)</f>
        <v>58.0206778605364</v>
      </c>
      <c r="C19" s="8" t="n">
        <f aca="false">Mediciones!$C$23/1000*(2*PI()*$C$3/60)*(SIN(RADIANS(A19))+Mediciones!$C$23/(2*Datos!$C$9)*SIN(RADIANS(2*A19)))</f>
        <v>13.5543904894272</v>
      </c>
      <c r="D19" s="17" t="str">
        <f aca="false">IF(A19=0,"PMS",IF(A19=180,"PMI",IF(A19=360,"PMS","")))</f>
        <v/>
      </c>
    </row>
    <row r="20" customFormat="false" ht="15" hidden="false" customHeight="false" outlineLevel="0" collapsed="false">
      <c r="A20" s="15" t="n">
        <v>140</v>
      </c>
      <c r="B20" s="8" t="n">
        <f aca="false">Mediciones!$C$23*(1-COS(RADIANS(A20)))+Datos!$C$9-SQRT(Datos!$C$9^2-(Mediciones!$C$23*SIN(RADIANS(A20)))^2)</f>
        <v>61.4127974154375</v>
      </c>
      <c r="C20" s="8" t="n">
        <f aca="false">Mediciones!$C$23/1000*(2*PI()*$C$3/60)*(SIN(RADIANS(A20))+Mediciones!$C$23/(2*Datos!$C$9)*SIN(RADIANS(2*A20)))</f>
        <v>10.9406368431186</v>
      </c>
      <c r="D20" s="17" t="str">
        <f aca="false">IF(A20=0,"PMS",IF(A20=180,"PMI",IF(A20=360,"PMS","")))</f>
        <v/>
      </c>
    </row>
    <row r="21" customFormat="false" ht="15" hidden="false" customHeight="false" outlineLevel="0" collapsed="false">
      <c r="A21" s="15" t="n">
        <v>150</v>
      </c>
      <c r="B21" s="8" t="n">
        <f aca="false">Mediciones!$C$23*(1-COS(RADIANS(A21)))+Datos!$C$9-SQRT(Datos!$C$9^2-(Mediciones!$C$23*SIN(RADIANS(A21)))^2)</f>
        <v>64.0697957853494</v>
      </c>
      <c r="C21" s="8" t="n">
        <f aca="false">Mediciones!$C$23/1000*(2*PI()*$C$3/60)*(SIN(RADIANS(A21))+Mediciones!$C$23/(2*Datos!$C$9)*SIN(RADIANS(2*A21)))</f>
        <v>8.2371910398468</v>
      </c>
      <c r="D21" s="17" t="str">
        <f aca="false">IF(A21=0,"PMS",IF(A21=180,"PMI",IF(A21=360,"PMS","")))</f>
        <v/>
      </c>
    </row>
    <row r="22" customFormat="false" ht="15" hidden="false" customHeight="false" outlineLevel="0" collapsed="false">
      <c r="A22" s="15" t="n">
        <v>160</v>
      </c>
      <c r="B22" s="8" t="n">
        <f aca="false">Mediciones!$C$23*(1-COS(RADIANS(A22)))+Datos!$C$9-SQRT(Datos!$C$9^2-(Mediciones!$C$23*SIN(RADIANS(A22)))^2)</f>
        <v>65.9741856915379</v>
      </c>
      <c r="C22" s="8" t="n">
        <f aca="false">Mediciones!$C$23/1000*(2*PI()*$C$3/60)*(SIN(RADIANS(A22))+Mediciones!$C$23/(2*Datos!$C$9)*SIN(RADIANS(2*A22)))</f>
        <v>5.49691866296027</v>
      </c>
      <c r="D22" s="17" t="str">
        <f aca="false">IF(A22=0,"PMS",IF(A22=180,"PMI",IF(A22=360,"PMS","")))</f>
        <v/>
      </c>
    </row>
    <row r="23" customFormat="false" ht="15" hidden="false" customHeight="false" outlineLevel="0" collapsed="false">
      <c r="A23" s="15" t="n">
        <v>170</v>
      </c>
      <c r="B23" s="8" t="n">
        <f aca="false">Mediciones!$C$23*(1-COS(RADIANS(A23)))+Datos!$C$9-SQRT(Datos!$C$9^2-(Mediciones!$C$23*SIN(RADIANS(A23)))^2)</f>
        <v>67.1184225047503</v>
      </c>
      <c r="C23" s="8" t="n">
        <f aca="false">Mediciones!$C$23/1000*(2*PI()*$C$3/60)*(SIN(RADIANS(A23))+Mediciones!$C$23/(2*Datos!$C$9)*SIN(RADIANS(2*A23)))</f>
        <v>2.74805827159784</v>
      </c>
      <c r="D23" s="17" t="str">
        <f aca="false">IF(A23=0,"PMS",IF(A23=180,"PMI",IF(A23=360,"PMS","")))</f>
        <v/>
      </c>
    </row>
    <row r="24" customFormat="false" ht="15" hidden="false" customHeight="false" outlineLevel="0" collapsed="false">
      <c r="A24" s="15" t="n">
        <v>180</v>
      </c>
      <c r="B24" s="8" t="n">
        <f aca="false">Mediciones!$C$23*(1-COS(RADIANS(A24)))+Datos!$C$9-SQRT(Datos!$C$9^2-(Mediciones!$C$23*SIN(RADIANS(A24)))^2)</f>
        <v>67.5</v>
      </c>
      <c r="C24" s="8" t="n">
        <f aca="false">Mediciones!$C$23/1000*(2*PI()*$C$3/60)*(SIN(RADIANS(A24))+Mediciones!$C$23/(2*Datos!$C$9)*SIN(RADIANS(2*A24)))</f>
        <v>1.9278924900916E-015</v>
      </c>
      <c r="D24" s="17" t="str">
        <f aca="false">IF(A24=0,"PMS",IF(A24=180,"PMI",IF(A24=360,"PMS","")))</f>
        <v>PMI</v>
      </c>
    </row>
    <row r="25" customFormat="false" ht="15" hidden="false" customHeight="false" outlineLevel="0" collapsed="false">
      <c r="A25" s="15" t="n">
        <v>190</v>
      </c>
      <c r="B25" s="8" t="n">
        <f aca="false">Mediciones!$C$23*(1-COS(RADIANS(A25)))+Datos!$C$9-SQRT(Datos!$C$9^2-(Mediciones!$C$23*SIN(RADIANS(A25)))^2)</f>
        <v>67.1184225047503</v>
      </c>
      <c r="C25" s="8" t="n">
        <f aca="false">Mediciones!$C$23/1000*(2*PI()*$C$3/60)*(SIN(RADIANS(A25))+Mediciones!$C$23/(2*Datos!$C$9)*SIN(RADIANS(2*A25)))</f>
        <v>-2.74805827159784</v>
      </c>
      <c r="D25" s="17" t="str">
        <f aca="false">IF(A25=0,"PMS",IF(A25=180,"PMI",IF(A25=360,"PMS","")))</f>
        <v/>
      </c>
    </row>
    <row r="26" customFormat="false" ht="15" hidden="false" customHeight="false" outlineLevel="0" collapsed="false">
      <c r="A26" s="15" t="n">
        <v>200</v>
      </c>
      <c r="B26" s="8" t="n">
        <f aca="false">Mediciones!$C$23*(1-COS(RADIANS(A26)))+Datos!$C$9-SQRT(Datos!$C$9^2-(Mediciones!$C$23*SIN(RADIANS(A26)))^2)</f>
        <v>65.9741856915379</v>
      </c>
      <c r="C26" s="8" t="n">
        <f aca="false">Mediciones!$C$23/1000*(2*PI()*$C$3/60)*(SIN(RADIANS(A26))+Mediciones!$C$23/(2*Datos!$C$9)*SIN(RADIANS(2*A26)))</f>
        <v>-5.49691866296026</v>
      </c>
      <c r="D26" s="17" t="str">
        <f aca="false">IF(A26=0,"PMS",IF(A26=180,"PMI",IF(A26=360,"PMS","")))</f>
        <v/>
      </c>
    </row>
    <row r="27" customFormat="false" ht="15" hidden="false" customHeight="false" outlineLevel="0" collapsed="false">
      <c r="A27" s="15" t="n">
        <v>210</v>
      </c>
      <c r="B27" s="8" t="n">
        <f aca="false">Mediciones!$C$23*(1-COS(RADIANS(A27)))+Datos!$C$9-SQRT(Datos!$C$9^2-(Mediciones!$C$23*SIN(RADIANS(A27)))^2)</f>
        <v>64.0697957853494</v>
      </c>
      <c r="C27" s="8" t="n">
        <f aca="false">Mediciones!$C$23/1000*(2*PI()*$C$3/60)*(SIN(RADIANS(A27))+Mediciones!$C$23/(2*Datos!$C$9)*SIN(RADIANS(2*A27)))</f>
        <v>-8.23719103984681</v>
      </c>
      <c r="D27" s="17" t="str">
        <f aca="false">IF(A27=0,"PMS",IF(A27=180,"PMI",IF(A27=360,"PMS","")))</f>
        <v/>
      </c>
    </row>
    <row r="28" customFormat="false" ht="15" hidden="false" customHeight="false" outlineLevel="0" collapsed="false">
      <c r="A28" s="15" t="n">
        <v>220</v>
      </c>
      <c r="B28" s="8" t="n">
        <f aca="false">Mediciones!$C$23*(1-COS(RADIANS(A28)))+Datos!$C$9-SQRT(Datos!$C$9^2-(Mediciones!$C$23*SIN(RADIANS(A28)))^2)</f>
        <v>61.4127974154375</v>
      </c>
      <c r="C28" s="8" t="n">
        <f aca="false">Mediciones!$C$23/1000*(2*PI()*$C$3/60)*(SIN(RADIANS(A28))+Mediciones!$C$23/(2*Datos!$C$9)*SIN(RADIANS(2*A28)))</f>
        <v>-10.9406368431186</v>
      </c>
      <c r="D28" s="17" t="str">
        <f aca="false">IF(A28=0,"PMS",IF(A28=180,"PMI",IF(A28=360,"PMS","")))</f>
        <v/>
      </c>
    </row>
    <row r="29" customFormat="false" ht="15" hidden="false" customHeight="false" outlineLevel="0" collapsed="false">
      <c r="A29" s="15" t="n">
        <v>230</v>
      </c>
      <c r="B29" s="8" t="n">
        <f aca="false">Mediciones!$C$23*(1-COS(RADIANS(A29)))+Datos!$C$9-SQRT(Datos!$C$9^2-(Mediciones!$C$23*SIN(RADIANS(A29)))^2)</f>
        <v>58.0206778605364</v>
      </c>
      <c r="C29" s="8" t="n">
        <f aca="false">Mediciones!$C$23/1000*(2*PI()*$C$3/60)*(SIN(RADIANS(A29))+Mediciones!$C$23/(2*Datos!$C$9)*SIN(RADIANS(2*A29)))</f>
        <v>-13.5543904894272</v>
      </c>
      <c r="D29" s="17" t="str">
        <f aca="false">IF(A29=0,"PMS",IF(A29=180,"PMI",IF(A29=360,"PMS","")))</f>
        <v/>
      </c>
    </row>
    <row r="30" customFormat="false" ht="15" hidden="false" customHeight="false" outlineLevel="0" collapsed="false">
      <c r="A30" s="15" t="n">
        <v>240</v>
      </c>
      <c r="B30" s="8" t="n">
        <f aca="false">Mediciones!$C$23*(1-COS(RADIANS(A30)))+Datos!$C$9-SQRT(Datos!$C$9^2-(Mediciones!$C$23*SIN(RADIANS(A30)))^2)</f>
        <v>53.927297886767</v>
      </c>
      <c r="C30" s="8" t="n">
        <f aca="false">Mediciones!$C$23/1000*(2*PI()*$C$3/60)*(SIN(RADIANS(A30))+Mediciones!$C$23/(2*Datos!$C$9)*SIN(RADIANS(2*A30)))</f>
        <v>-15.9990343968527</v>
      </c>
      <c r="D30" s="17" t="str">
        <f aca="false">IF(A30=0,"PMS",IF(A30=180,"PMI",IF(A30=360,"PMS","")))</f>
        <v/>
      </c>
    </row>
    <row r="31" customFormat="false" ht="15" hidden="false" customHeight="false" outlineLevel="0" collapsed="false">
      <c r="A31" s="15" t="n">
        <v>250</v>
      </c>
      <c r="B31" s="8" t="n">
        <f aca="false">Mediciones!$C$23*(1-COS(RADIANS(A31)))+Datos!$C$9-SQRT(Datos!$C$9^2-(Mediciones!$C$23*SIN(RADIANS(A31)))^2)</f>
        <v>49.1901409248892</v>
      </c>
      <c r="C31" s="8" t="n">
        <f aca="false">Mediciones!$C$23/1000*(2*PI()*$C$3/60)*(SIN(RADIANS(A31))+Mediciones!$C$23/(2*Datos!$C$9)*SIN(RADIANS(2*A31)))</f>
        <v>-18.1710120479431</v>
      </c>
      <c r="D31" s="17" t="str">
        <f aca="false">IF(A31=0,"PMS",IF(A31=180,"PMI",IF(A31=360,"PMS","")))</f>
        <v/>
      </c>
    </row>
    <row r="32" customFormat="false" ht="15" hidden="false" customHeight="false" outlineLevel="0" collapsed="false">
      <c r="A32" s="15" t="n">
        <v>260</v>
      </c>
      <c r="B32" s="8" t="n">
        <f aca="false">Mediciones!$C$23*(1-COS(RADIANS(A32)))+Datos!$C$9-SQRT(Datos!$C$9^2-(Mediciones!$C$23*SIN(RADIANS(A32)))^2)</f>
        <v>43.8972311357785</v>
      </c>
      <c r="C32" s="8" t="n">
        <f aca="false">Mediciones!$C$23/1000*(2*PI()*$C$3/60)*(SIN(RADIANS(A32))+Mediciones!$C$23/(2*Datos!$C$9)*SIN(RADIANS(2*A32)))</f>
        <v>-19.9493057704556</v>
      </c>
      <c r="D32" s="17" t="str">
        <f aca="false">IF(A32=0,"PMS",IF(A32=180,"PMI",IF(A32=360,"PMS","")))</f>
        <v/>
      </c>
    </row>
    <row r="33" customFormat="false" ht="15" hidden="false" customHeight="false" outlineLevel="0" collapsed="false">
      <c r="A33" s="15" t="n">
        <v>270</v>
      </c>
      <c r="B33" s="8" t="n">
        <f aca="false">Mediciones!$C$23*(1-COS(RADIANS(A33)))+Datos!$C$9-SQRT(Datos!$C$9^2-(Mediciones!$C$23*SIN(RADIANS(A33)))^2)</f>
        <v>38.1722077139912</v>
      </c>
      <c r="C33" s="8" t="n">
        <f aca="false">Mediciones!$C$23/1000*(2*PI()*$C$3/60)*(SIN(RADIANS(A33))+Mediciones!$C$23/(2*Datos!$C$9)*SIN(RADIANS(2*A33)))</f>
        <v>-21.2057504117311</v>
      </c>
      <c r="D33" s="17" t="str">
        <f aca="false">IF(A33=0,"PMS",IF(A33=180,"PMI",IF(A33=360,"PMS","")))</f>
        <v/>
      </c>
    </row>
    <row r="34" customFormat="false" ht="15" hidden="false" customHeight="false" outlineLevel="0" collapsed="false">
      <c r="A34" s="15" t="n">
        <v>280</v>
      </c>
      <c r="B34" s="8" t="n">
        <f aca="false">Mediciones!$C$23*(1-COS(RADIANS(A34)))+Datos!$C$9-SQRT(Datos!$C$9^2-(Mediciones!$C$23*SIN(RADIANS(A34)))^2)</f>
        <v>32.1759791432607</v>
      </c>
      <c r="C34" s="8" t="n">
        <f aca="false">Mediciones!$C$23/1000*(2*PI()*$C$3/60)*(SIN(RADIANS(A34))+Mediciones!$C$23/(2*Datos!$C$9)*SIN(RADIANS(2*A34)))</f>
        <v>-21.8178690573736</v>
      </c>
      <c r="D34" s="17" t="str">
        <f aca="false">IF(A34=0,"PMS",IF(A34=180,"PMI",IF(A34=360,"PMS","")))</f>
        <v/>
      </c>
    </row>
    <row r="35" customFormat="false" ht="15" hidden="false" customHeight="false" outlineLevel="0" collapsed="false">
      <c r="A35" s="15" t="n">
        <v>290</v>
      </c>
      <c r="B35" s="8" t="n">
        <f aca="false">Mediciones!$C$23*(1-COS(RADIANS(A35)))+Datos!$C$9-SQRT(Datos!$C$9^2-(Mediciones!$C$23*SIN(RADIANS(A35)))^2)</f>
        <v>26.1037812504066</v>
      </c>
      <c r="C35" s="8" t="n">
        <f aca="false">Mediciones!$C$23/1000*(2*PI()*$C$3/60)*(SIN(RADIANS(A35))+Mediciones!$C$23/(2*Datos!$C$9)*SIN(RADIANS(2*A35)))</f>
        <v>-21.6827623123198</v>
      </c>
      <c r="D35" s="17" t="str">
        <f aca="false">IF(A35=0,"PMS",IF(A35=180,"PMI",IF(A35=360,"PMS","")))</f>
        <v/>
      </c>
    </row>
    <row r="36" customFormat="false" ht="15" hidden="false" customHeight="false" outlineLevel="0" collapsed="false">
      <c r="A36" s="15" t="n">
        <v>300</v>
      </c>
      <c r="B36" s="8" t="n">
        <f aca="false">Mediciones!$C$23*(1-COS(RADIANS(A36)))+Datos!$C$9-SQRT(Datos!$C$9^2-(Mediciones!$C$23*SIN(RADIANS(A36)))^2)</f>
        <v>20.177297886767</v>
      </c>
      <c r="C36" s="8" t="n">
        <f aca="false">Mediciones!$C$23/1000*(2*PI()*$C$3/60)*(SIN(RADIANS(A36))+Mediciones!$C$23/(2*Datos!$C$9)*SIN(RADIANS(2*A36)))</f>
        <v>-20.7304027288902</v>
      </c>
      <c r="D36" s="17" t="str">
        <f aca="false">IF(A36=0,"PMS",IF(A36=180,"PMI",IF(A36=360,"PMS","")))</f>
        <v/>
      </c>
    </row>
    <row r="37" customFormat="false" ht="15" hidden="false" customHeight="false" outlineLevel="0" collapsed="false">
      <c r="A37" s="15" t="n">
        <v>310</v>
      </c>
      <c r="B37" s="8" t="n">
        <f aca="false">Mediciones!$C$23*(1-COS(RADIANS(A37)))+Datos!$C$9-SQRT(Datos!$C$9^2-(Mediciones!$C$23*SIN(RADIANS(A37)))^2)</f>
        <v>14.632514206695</v>
      </c>
      <c r="C37" s="8" t="n">
        <f aca="false">Mediciones!$C$23/1000*(2*PI()*$C$3/60)*(SIN(RADIANS(A37))+Mediciones!$C$23/(2*Datos!$C$9)*SIN(RADIANS(2*A37)))</f>
        <v>-18.934704040722</v>
      </c>
      <c r="D37" s="17" t="str">
        <f aca="false">IF(A37=0,"PMS",IF(A37=180,"PMI",IF(A37=360,"PMS","")))</f>
        <v/>
      </c>
    </row>
    <row r="38" customFormat="false" ht="15" hidden="false" customHeight="false" outlineLevel="0" collapsed="false">
      <c r="A38" s="15" t="n">
        <v>320</v>
      </c>
      <c r="B38" s="8" t="n">
        <f aca="false">Mediciones!$C$23*(1-COS(RADIANS(A38)))+Datos!$C$9-SQRT(Datos!$C$9^2-(Mediciones!$C$23*SIN(RADIANS(A38)))^2)</f>
        <v>9.70479750490648</v>
      </c>
      <c r="C38" s="8" t="n">
        <f aca="false">Mediciones!$C$23/1000*(2*PI()*$C$3/60)*(SIN(RADIANS(A38))+Mediciones!$C$23/(2*Datos!$C$9)*SIN(RADIANS(2*A38)))</f>
        <v>-16.3209503944134</v>
      </c>
      <c r="D38" s="17" t="str">
        <f aca="false">IF(A38=0,"PMS",IF(A38=180,"PMI",IF(A38=360,"PMS","")))</f>
        <v/>
      </c>
    </row>
    <row r="39" customFormat="false" ht="15" hidden="false" customHeight="false" outlineLevel="0" collapsed="false">
      <c r="A39" s="15" t="n">
        <v>330</v>
      </c>
      <c r="B39" s="8" t="n">
        <f aca="false">Mediciones!$C$23*(1-COS(RADIANS(A39)))+Datos!$C$9-SQRT(Datos!$C$9^2-(Mediciones!$C$23*SIN(RADIANS(A39)))^2)</f>
        <v>5.61308102989977</v>
      </c>
      <c r="C39" s="8" t="n">
        <f aca="false">Mediciones!$C$23/1000*(2*PI()*$C$3/60)*(SIN(RADIANS(A39))+Mediciones!$C$23/(2*Datos!$C$9)*SIN(RADIANS(2*A39)))</f>
        <v>-12.9685593718843</v>
      </c>
      <c r="D39" s="17" t="str">
        <f aca="false">IF(A39=0,"PMS",IF(A39=180,"PMI",IF(A39=360,"PMS","")))</f>
        <v/>
      </c>
    </row>
    <row r="40" customFormat="false" ht="15" hidden="false" customHeight="false" outlineLevel="0" collapsed="false">
      <c r="A40" s="15" t="n">
        <v>340</v>
      </c>
      <c r="B40" s="8" t="n">
        <f aca="false">Mediciones!$C$23*(1-COS(RADIANS(A40)))+Datos!$C$9-SQRT(Datos!$C$9^2-(Mediciones!$C$23*SIN(RADIANS(A40)))^2)</f>
        <v>2.54493378848909</v>
      </c>
      <c r="C40" s="8" t="n">
        <f aca="false">Mediciones!$C$23/1000*(2*PI()*$C$3/60)*(SIN(RADIANS(A40))+Mediciones!$C$23/(2*Datos!$C$9)*SIN(RADIANS(2*A40)))</f>
        <v>-9.00866892733702</v>
      </c>
      <c r="D40" s="17" t="str">
        <f aca="false">IF(A40=0,"PMS",IF(A40=180,"PMI",IF(A40=360,"PMS","")))</f>
        <v/>
      </c>
    </row>
    <row r="41" customFormat="false" ht="15" hidden="false" customHeight="false" outlineLevel="0" collapsed="false">
      <c r="A41" s="15" t="n">
        <v>350</v>
      </c>
      <c r="B41" s="8" t="n">
        <f aca="false">Mediciones!$C$23*(1-COS(RADIANS(A41)))+Datos!$C$9-SQRT(Datos!$C$9^2-(Mediciones!$C$23*SIN(RADIANS(A41)))^2)</f>
        <v>0.64389917642626</v>
      </c>
      <c r="C41" s="8" t="n">
        <f aca="false">Mediciones!$C$23/1000*(2*PI()*$C$3/60)*(SIN(RADIANS(A41))+Mediciones!$C$23/(2*Datos!$C$9)*SIN(RADIANS(2*A41)))</f>
        <v>-4.6166215585159</v>
      </c>
      <c r="D41" s="17" t="str">
        <f aca="false">IF(A41=0,"PMS",IF(A41=180,"PMI",IF(A41=360,"PMS","")))</f>
        <v/>
      </c>
    </row>
    <row r="42" customFormat="false" ht="15" hidden="false" customHeight="false" outlineLevel="0" collapsed="false">
      <c r="A42" s="15" t="n">
        <v>360</v>
      </c>
      <c r="B42" s="8" t="n">
        <f aca="false">Mediciones!$C$23*(1-COS(RADIANS(A42)))+Datos!$C$9-SQRT(Datos!$C$9^2-(Mediciones!$C$23*SIN(RADIANS(A42)))^2)</f>
        <v>0</v>
      </c>
      <c r="C42" s="8" t="n">
        <f aca="false">Mediciones!$C$23/1000*(2*PI()*$C$3/60)*(SIN(RADIANS(A42))+Mediciones!$C$23/(2*Datos!$C$9)*SIN(RADIANS(2*A42)))</f>
        <v>-6.53203676591447E-015</v>
      </c>
      <c r="D42" s="17" t="str">
        <f aca="false">IF(A42=0,"PMS",IF(A42=180,"PMI",IF(A42=360,"PMS","")))</f>
        <v>PMS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2026-09-15T20:57:45Z</dcterms:created>
  <dc:creator>openpyxl</dc:creator>
  <dc:description/>
  <dc:language>en-US</dc:language>
  <cp:lastModifiedBy/>
  <dcterms:modified xsi:type="dcterms:W3CDTF">2026-09-15T20:57:47Z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