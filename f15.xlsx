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2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 P\Downloads\"/>
    </mc:Choice>
  </mc:AlternateContent>
  <xr:revisionPtr revIDLastSave="0" documentId="13_ncr:1_{511E4C26-2B3E-43B0-BE61-7870270A9140}" xr6:coauthVersionLast="47" xr6:coauthVersionMax="47" xr10:uidLastSave="{00000000-0000-0000-0000-000000000000}"/>
  <bookViews>
    <workbookView xWindow="-120" yWindow="-120" windowWidth="20730" windowHeight="11040" firstSheet="1" activeTab="5" xr2:uid="{00000000-000D-0000-FFFF-FFFF00000000}"/>
  </bookViews>
  <sheets>
    <sheet name="Biela-manivela" sheetId="1" r:id="rId1"/>
    <sheet name="Cilindrada y Rc" sheetId="2" r:id="rId2"/>
    <sheet name="Curvas par-potencia" sheetId="3" r:id="rId3"/>
    <sheet name="Pie de rey" sheetId="4" r:id="rId4"/>
    <sheet name="Micrómetro" sheetId="5" r:id="rId5"/>
    <sheet name="Reloj comparador" sheetId="6" r:id="rId6"/>
    <sheet name="Alexómetro" sheetId="7" r:id="rId7"/>
    <sheet name="Trucaje del motor" sheetId="8" r:id="rId8"/>
    <sheet name="Ciclo Otto" sheetId="9" r:id="rId9"/>
    <sheet name="Orden de encendido" sheetId="10" r:id="rId10"/>
    <sheet name="Guía" sheetId="11" r:id="rId11"/>
    <sheet name="Datos" sheetId="12" r:id="rId12"/>
    <sheet name="Datos metrología" sheetId="13" r:id="rId13"/>
    <sheet name="Datos trucaje" sheetId="14" r:id="rId14"/>
    <sheet name="Datos Otto" sheetId="15" r:id="rId15"/>
    <sheet name="Datos orden" sheetId="16" r:id="rId16"/>
    <sheet name="Datos guía" sheetId="17" r:id="rId17"/>
  </sheets>
  <calcPr calcId="181029"/>
</workbook>
</file>

<file path=xl/calcChain.xml><?xml version="1.0" encoding="utf-8"?>
<calcChain xmlns="http://schemas.openxmlformats.org/spreadsheetml/2006/main">
  <c r="U37" i="16" l="1"/>
  <c r="S37" i="16"/>
  <c r="Q37" i="16"/>
  <c r="O37" i="16"/>
  <c r="U36" i="16"/>
  <c r="S36" i="16"/>
  <c r="Q36" i="16"/>
  <c r="O36" i="16"/>
  <c r="U34" i="16"/>
  <c r="S34" i="16"/>
  <c r="Q34" i="16"/>
  <c r="O34" i="16"/>
  <c r="U33" i="16"/>
  <c r="S33" i="16"/>
  <c r="Q33" i="16"/>
  <c r="O33" i="16"/>
  <c r="U31" i="16"/>
  <c r="S31" i="16"/>
  <c r="Q31" i="16"/>
  <c r="O31" i="16"/>
  <c r="U30" i="16"/>
  <c r="S30" i="16"/>
  <c r="Q30" i="16"/>
  <c r="O30" i="16"/>
  <c r="U28" i="16"/>
  <c r="S28" i="16"/>
  <c r="Q28" i="16"/>
  <c r="O28" i="16"/>
  <c r="U27" i="16"/>
  <c r="S27" i="16"/>
  <c r="Q27" i="16"/>
  <c r="O27" i="16"/>
  <c r="U25" i="16"/>
  <c r="S25" i="16"/>
  <c r="Q25" i="16"/>
  <c r="O25" i="16"/>
  <c r="U24" i="16"/>
  <c r="S24" i="16"/>
  <c r="Q24" i="16"/>
  <c r="O24" i="16"/>
  <c r="U22" i="16"/>
  <c r="S22" i="16"/>
  <c r="Q22" i="16"/>
  <c r="O22" i="16"/>
  <c r="U21" i="16"/>
  <c r="S21" i="16"/>
  <c r="Q21" i="16"/>
  <c r="O21" i="16"/>
  <c r="U19" i="16"/>
  <c r="S19" i="16"/>
  <c r="Q19" i="16"/>
  <c r="O19" i="16"/>
  <c r="U18" i="16"/>
  <c r="S18" i="16"/>
  <c r="Q18" i="16"/>
  <c r="O18" i="16"/>
  <c r="U16" i="16"/>
  <c r="S16" i="16"/>
  <c r="Q16" i="16"/>
  <c r="O16" i="16"/>
  <c r="U15" i="16"/>
  <c r="S15" i="16"/>
  <c r="Q15" i="16"/>
  <c r="O15" i="16"/>
  <c r="U13" i="16"/>
  <c r="S13" i="16"/>
  <c r="Q13" i="16"/>
  <c r="O13" i="16"/>
  <c r="U12" i="16"/>
  <c r="S12" i="16"/>
  <c r="Q12" i="16"/>
  <c r="O12" i="16"/>
  <c r="U10" i="16"/>
  <c r="S10" i="16"/>
  <c r="Q10" i="16"/>
  <c r="O10" i="16"/>
  <c r="U9" i="16"/>
  <c r="S9" i="16"/>
  <c r="Q9" i="16"/>
  <c r="O9" i="16"/>
  <c r="F8" i="16"/>
  <c r="E8" i="16"/>
  <c r="B8" i="16"/>
  <c r="U7" i="16"/>
  <c r="S7" i="16"/>
  <c r="Q7" i="16"/>
  <c r="O7" i="16"/>
  <c r="F7" i="16"/>
  <c r="E7" i="16"/>
  <c r="B7" i="16"/>
  <c r="U6" i="16"/>
  <c r="S6" i="16"/>
  <c r="Q6" i="16"/>
  <c r="O6" i="16"/>
  <c r="B6" i="16"/>
  <c r="B5" i="16"/>
  <c r="X4" i="16"/>
  <c r="W4" i="16"/>
  <c r="U4" i="16"/>
  <c r="S4" i="16"/>
  <c r="Q4" i="16"/>
  <c r="O4" i="16"/>
  <c r="B4" i="16"/>
  <c r="W3" i="16"/>
  <c r="U3" i="16"/>
  <c r="S3" i="16"/>
  <c r="Q3" i="16"/>
  <c r="O3" i="16"/>
  <c r="G3" i="16"/>
  <c r="E3" i="16"/>
  <c r="F3" i="16" s="1"/>
  <c r="B3" i="16"/>
  <c r="E6" i="16" s="1"/>
  <c r="F6" i="16" s="1"/>
  <c r="B54" i="15"/>
  <c r="E49" i="15"/>
  <c r="E48" i="15"/>
  <c r="E47" i="15"/>
  <c r="E46" i="15"/>
  <c r="I3" i="14"/>
  <c r="BI302" i="13"/>
  <c r="BH302" i="13"/>
  <c r="AO302" i="13"/>
  <c r="AN302" i="13"/>
  <c r="BI301" i="13"/>
  <c r="BH301" i="13"/>
  <c r="AO301" i="13"/>
  <c r="AN301" i="13"/>
  <c r="BI299" i="13"/>
  <c r="BH299" i="13"/>
  <c r="AO299" i="13"/>
  <c r="AN299" i="13"/>
  <c r="BI298" i="13"/>
  <c r="BH298" i="13"/>
  <c r="AO298" i="13"/>
  <c r="AN298" i="13"/>
  <c r="BI296" i="13"/>
  <c r="BH296" i="13"/>
  <c r="AO296" i="13"/>
  <c r="AN296" i="13"/>
  <c r="BI295" i="13"/>
  <c r="BH295" i="13"/>
  <c r="AO295" i="13"/>
  <c r="AN295" i="13"/>
  <c r="BI293" i="13"/>
  <c r="BH293" i="13"/>
  <c r="AO293" i="13"/>
  <c r="AN293" i="13"/>
  <c r="BI292" i="13"/>
  <c r="BH292" i="13"/>
  <c r="AO292" i="13"/>
  <c r="AN292" i="13"/>
  <c r="BI290" i="13"/>
  <c r="BH290" i="13"/>
  <c r="AO290" i="13"/>
  <c r="AN290" i="13"/>
  <c r="BI289" i="13"/>
  <c r="BH289" i="13"/>
  <c r="AO289" i="13"/>
  <c r="AN289" i="13"/>
  <c r="BI287" i="13"/>
  <c r="BH287" i="13"/>
  <c r="AO287" i="13"/>
  <c r="AN287" i="13"/>
  <c r="BI286" i="13"/>
  <c r="BH286" i="13"/>
  <c r="AO286" i="13"/>
  <c r="AN286" i="13"/>
  <c r="BI284" i="13"/>
  <c r="BH284" i="13"/>
  <c r="AO284" i="13"/>
  <c r="AN284" i="13"/>
  <c r="BI283" i="13"/>
  <c r="BH283" i="13"/>
  <c r="AO283" i="13"/>
  <c r="AN283" i="13"/>
  <c r="BI281" i="13"/>
  <c r="BH281" i="13"/>
  <c r="AO281" i="13"/>
  <c r="AN281" i="13"/>
  <c r="BI280" i="13"/>
  <c r="BH280" i="13"/>
  <c r="AO280" i="13"/>
  <c r="AN280" i="13"/>
  <c r="BI278" i="13"/>
  <c r="BH278" i="13"/>
  <c r="AO278" i="13"/>
  <c r="AN278" i="13"/>
  <c r="BI277" i="13"/>
  <c r="BH277" i="13"/>
  <c r="AO277" i="13"/>
  <c r="AN277" i="13"/>
  <c r="BI275" i="13"/>
  <c r="BH275" i="13"/>
  <c r="AO275" i="13"/>
  <c r="AN275" i="13"/>
  <c r="BI274" i="13"/>
  <c r="BH274" i="13"/>
  <c r="AO274" i="13"/>
  <c r="AN274" i="13"/>
  <c r="BI272" i="13"/>
  <c r="BH272" i="13"/>
  <c r="AO272" i="13"/>
  <c r="AN272" i="13"/>
  <c r="BI271" i="13"/>
  <c r="BH271" i="13"/>
  <c r="AO271" i="13"/>
  <c r="AN271" i="13"/>
  <c r="BI269" i="13"/>
  <c r="BH269" i="13"/>
  <c r="AO269" i="13"/>
  <c r="AN269" i="13"/>
  <c r="BI268" i="13"/>
  <c r="BH268" i="13"/>
  <c r="AO268" i="13"/>
  <c r="AN268" i="13"/>
  <c r="BI266" i="13"/>
  <c r="BH266" i="13"/>
  <c r="AO266" i="13"/>
  <c r="AN266" i="13"/>
  <c r="BI265" i="13"/>
  <c r="BH265" i="13"/>
  <c r="AO265" i="13"/>
  <c r="AN265" i="13"/>
  <c r="BI263" i="13"/>
  <c r="BH263" i="13"/>
  <c r="AO263" i="13"/>
  <c r="AN263" i="13"/>
  <c r="BI262" i="13"/>
  <c r="BH262" i="13"/>
  <c r="AO262" i="13"/>
  <c r="AN262" i="13"/>
  <c r="BI260" i="13"/>
  <c r="BH260" i="13"/>
  <c r="AO260" i="13"/>
  <c r="AN260" i="13"/>
  <c r="BI259" i="13"/>
  <c r="BH259" i="13"/>
  <c r="AO259" i="13"/>
  <c r="AN259" i="13"/>
  <c r="BI257" i="13"/>
  <c r="BH257" i="13"/>
  <c r="AO257" i="13"/>
  <c r="AN257" i="13"/>
  <c r="BI256" i="13"/>
  <c r="BH256" i="13"/>
  <c r="AO256" i="13"/>
  <c r="AN256" i="13"/>
  <c r="BI254" i="13"/>
  <c r="BH254" i="13"/>
  <c r="AO254" i="13"/>
  <c r="AN254" i="13"/>
  <c r="BI253" i="13"/>
  <c r="BH253" i="13"/>
  <c r="AO253" i="13"/>
  <c r="AN253" i="13"/>
  <c r="BI251" i="13"/>
  <c r="BH251" i="13"/>
  <c r="AO251" i="13"/>
  <c r="AN251" i="13"/>
  <c r="BI250" i="13"/>
  <c r="BH250" i="13"/>
  <c r="AO250" i="13"/>
  <c r="AN250" i="13"/>
  <c r="BI248" i="13"/>
  <c r="BH248" i="13"/>
  <c r="AO248" i="13"/>
  <c r="AN248" i="13"/>
  <c r="BI247" i="13"/>
  <c r="BH247" i="13"/>
  <c r="AO247" i="13"/>
  <c r="AN247" i="13"/>
  <c r="BI245" i="13"/>
  <c r="BH245" i="13"/>
  <c r="AO245" i="13"/>
  <c r="AN245" i="13"/>
  <c r="BI244" i="13"/>
  <c r="BH244" i="13"/>
  <c r="AO244" i="13"/>
  <c r="AN244" i="13"/>
  <c r="BI242" i="13"/>
  <c r="BH242" i="13"/>
  <c r="AO242" i="13"/>
  <c r="AN242" i="13"/>
  <c r="BI241" i="13"/>
  <c r="BH241" i="13"/>
  <c r="AO241" i="13"/>
  <c r="AN241" i="13"/>
  <c r="BI239" i="13"/>
  <c r="BH239" i="13"/>
  <c r="AO239" i="13"/>
  <c r="AN239" i="13"/>
  <c r="BI238" i="13"/>
  <c r="BH238" i="13"/>
  <c r="AO238" i="13"/>
  <c r="AN238" i="13"/>
  <c r="BI236" i="13"/>
  <c r="BH236" i="13"/>
  <c r="AO236" i="13"/>
  <c r="AN236" i="13"/>
  <c r="BI235" i="13"/>
  <c r="BH235" i="13"/>
  <c r="AO235" i="13"/>
  <c r="AN235" i="13"/>
  <c r="BI233" i="13"/>
  <c r="BH233" i="13"/>
  <c r="AO233" i="13"/>
  <c r="AN233" i="13"/>
  <c r="BI232" i="13"/>
  <c r="BH232" i="13"/>
  <c r="AO232" i="13"/>
  <c r="AN232" i="13"/>
  <c r="BI230" i="13"/>
  <c r="BH230" i="13"/>
  <c r="AO230" i="13"/>
  <c r="AN230" i="13"/>
  <c r="BI229" i="13"/>
  <c r="BH229" i="13"/>
  <c r="AO229" i="13"/>
  <c r="AN229" i="13"/>
  <c r="BI227" i="13"/>
  <c r="BH227" i="13"/>
  <c r="AO227" i="13"/>
  <c r="AN227" i="13"/>
  <c r="BI226" i="13"/>
  <c r="BH226" i="13"/>
  <c r="AO226" i="13"/>
  <c r="AN226" i="13"/>
  <c r="BI224" i="13"/>
  <c r="BH224" i="13"/>
  <c r="AO224" i="13"/>
  <c r="AN224" i="13"/>
  <c r="BI223" i="13"/>
  <c r="BH223" i="13"/>
  <c r="AO223" i="13"/>
  <c r="AN223" i="13"/>
  <c r="BI221" i="13"/>
  <c r="BH221" i="13"/>
  <c r="AO221" i="13"/>
  <c r="AN221" i="13"/>
  <c r="BI220" i="13"/>
  <c r="BH220" i="13"/>
  <c r="AO220" i="13"/>
  <c r="AN220" i="13"/>
  <c r="BI218" i="13"/>
  <c r="BH218" i="13"/>
  <c r="AO218" i="13"/>
  <c r="AN218" i="13"/>
  <c r="BI217" i="13"/>
  <c r="BH217" i="13"/>
  <c r="AO217" i="13"/>
  <c r="AN217" i="13"/>
  <c r="BI215" i="13"/>
  <c r="BH215" i="13"/>
  <c r="AO215" i="13"/>
  <c r="AN215" i="13"/>
  <c r="BI214" i="13"/>
  <c r="BH214" i="13"/>
  <c r="AO214" i="13"/>
  <c r="AN214" i="13"/>
  <c r="BI212" i="13"/>
  <c r="BH212" i="13"/>
  <c r="AO212" i="13"/>
  <c r="AN212" i="13"/>
  <c r="BI211" i="13"/>
  <c r="BH211" i="13"/>
  <c r="AO211" i="13"/>
  <c r="AN211" i="13"/>
  <c r="BI209" i="13"/>
  <c r="BH209" i="13"/>
  <c r="AO209" i="13"/>
  <c r="AN209" i="13"/>
  <c r="BI208" i="13"/>
  <c r="BH208" i="13"/>
  <c r="AO208" i="13"/>
  <c r="AN208" i="13"/>
  <c r="BI206" i="13"/>
  <c r="BH206" i="13"/>
  <c r="AO206" i="13"/>
  <c r="AN206" i="13"/>
  <c r="BI205" i="13"/>
  <c r="BH205" i="13"/>
  <c r="AO205" i="13"/>
  <c r="AN205" i="13"/>
  <c r="BI203" i="13"/>
  <c r="BH203" i="13"/>
  <c r="AO203" i="13"/>
  <c r="AN203" i="13"/>
  <c r="BI202" i="13"/>
  <c r="BH202" i="13"/>
  <c r="AO202" i="13"/>
  <c r="AN202" i="13"/>
  <c r="BI200" i="13"/>
  <c r="BH200" i="13"/>
  <c r="AO200" i="13"/>
  <c r="AN200" i="13"/>
  <c r="BI199" i="13"/>
  <c r="BH199" i="13"/>
  <c r="AO199" i="13"/>
  <c r="AN199" i="13"/>
  <c r="BI197" i="13"/>
  <c r="BH197" i="13"/>
  <c r="AO197" i="13"/>
  <c r="AN197" i="13"/>
  <c r="BI196" i="13"/>
  <c r="BH196" i="13"/>
  <c r="AO196" i="13"/>
  <c r="AN196" i="13"/>
  <c r="BI194" i="13"/>
  <c r="BH194" i="13"/>
  <c r="AO194" i="13"/>
  <c r="AN194" i="13"/>
  <c r="BI193" i="13"/>
  <c r="BH193" i="13"/>
  <c r="AO193" i="13"/>
  <c r="AN193" i="13"/>
  <c r="BI191" i="13"/>
  <c r="BH191" i="13"/>
  <c r="AO191" i="13"/>
  <c r="AN191" i="13"/>
  <c r="BI190" i="13"/>
  <c r="BH190" i="13"/>
  <c r="AO190" i="13"/>
  <c r="AN190" i="13"/>
  <c r="BI188" i="13"/>
  <c r="BH188" i="13"/>
  <c r="AO188" i="13"/>
  <c r="AN188" i="13"/>
  <c r="BI187" i="13"/>
  <c r="BH187" i="13"/>
  <c r="AO187" i="13"/>
  <c r="AN187" i="13"/>
  <c r="BI185" i="13"/>
  <c r="BH185" i="13"/>
  <c r="AO185" i="13"/>
  <c r="AN185" i="13"/>
  <c r="BI184" i="13"/>
  <c r="BH184" i="13"/>
  <c r="AO184" i="13"/>
  <c r="AN184" i="13"/>
  <c r="BI182" i="13"/>
  <c r="BH182" i="13"/>
  <c r="AO182" i="13"/>
  <c r="AN182" i="13"/>
  <c r="BI181" i="13"/>
  <c r="BH181" i="13"/>
  <c r="AO181" i="13"/>
  <c r="AN181" i="13"/>
  <c r="BI179" i="13"/>
  <c r="BH179" i="13"/>
  <c r="AO179" i="13"/>
  <c r="AN179" i="13"/>
  <c r="BI178" i="13"/>
  <c r="BH178" i="13"/>
  <c r="AO178" i="13"/>
  <c r="AN178" i="13"/>
  <c r="BI176" i="13"/>
  <c r="BH176" i="13"/>
  <c r="AO176" i="13"/>
  <c r="AN176" i="13"/>
  <c r="BI175" i="13"/>
  <c r="BH175" i="13"/>
  <c r="AO175" i="13"/>
  <c r="AN175" i="13"/>
  <c r="BI173" i="13"/>
  <c r="BH173" i="13"/>
  <c r="AO173" i="13"/>
  <c r="AN173" i="13"/>
  <c r="BI172" i="13"/>
  <c r="BH172" i="13"/>
  <c r="AO172" i="13"/>
  <c r="AN172" i="13"/>
  <c r="BI170" i="13"/>
  <c r="BH170" i="13"/>
  <c r="AO170" i="13"/>
  <c r="AN170" i="13"/>
  <c r="BI169" i="13"/>
  <c r="BH169" i="13"/>
  <c r="AO169" i="13"/>
  <c r="AN169" i="13"/>
  <c r="BI167" i="13"/>
  <c r="BH167" i="13"/>
  <c r="AO167" i="13"/>
  <c r="AN167" i="13"/>
  <c r="BI166" i="13"/>
  <c r="BH166" i="13"/>
  <c r="AO166" i="13"/>
  <c r="AN166" i="13"/>
  <c r="BI164" i="13"/>
  <c r="BH164" i="13"/>
  <c r="AO164" i="13"/>
  <c r="AN164" i="13"/>
  <c r="BI163" i="13"/>
  <c r="BH163" i="13"/>
  <c r="AO163" i="13"/>
  <c r="AN163" i="13"/>
  <c r="BI161" i="13"/>
  <c r="BH161" i="13"/>
  <c r="AO161" i="13"/>
  <c r="AN161" i="13"/>
  <c r="BI160" i="13"/>
  <c r="BH160" i="13"/>
  <c r="AO160" i="13"/>
  <c r="AN160" i="13"/>
  <c r="BI158" i="13"/>
  <c r="BH158" i="13"/>
  <c r="AO158" i="13"/>
  <c r="AN158" i="13"/>
  <c r="BI157" i="13"/>
  <c r="BH157" i="13"/>
  <c r="AO157" i="13"/>
  <c r="AN157" i="13"/>
  <c r="BI155" i="13"/>
  <c r="BH155" i="13"/>
  <c r="AO155" i="13"/>
  <c r="AN155" i="13"/>
  <c r="BI154" i="13"/>
  <c r="BH154" i="13"/>
  <c r="AO154" i="13"/>
  <c r="AN154" i="13"/>
  <c r="BI152" i="13"/>
  <c r="BH152" i="13"/>
  <c r="AO152" i="13"/>
  <c r="AN152" i="13"/>
  <c r="BI151" i="13"/>
  <c r="BH151" i="13"/>
  <c r="AO151" i="13"/>
  <c r="AN151" i="13"/>
  <c r="BI149" i="13"/>
  <c r="BH149" i="13"/>
  <c r="AO149" i="13"/>
  <c r="AN149" i="13"/>
  <c r="BI148" i="13"/>
  <c r="BH148" i="13"/>
  <c r="AO148" i="13"/>
  <c r="AN148" i="13"/>
  <c r="BI146" i="13"/>
  <c r="BH146" i="13"/>
  <c r="AO146" i="13"/>
  <c r="AN146" i="13"/>
  <c r="BI145" i="13"/>
  <c r="BH145" i="13"/>
  <c r="AO145" i="13"/>
  <c r="AN145" i="13"/>
  <c r="BI143" i="13"/>
  <c r="BH143" i="13"/>
  <c r="AO143" i="13"/>
  <c r="AN143" i="13"/>
  <c r="BI142" i="13"/>
  <c r="BH142" i="13"/>
  <c r="AO142" i="13"/>
  <c r="AN142" i="13"/>
  <c r="BI140" i="13"/>
  <c r="BH140" i="13"/>
  <c r="AO140" i="13"/>
  <c r="AN140" i="13"/>
  <c r="BI139" i="13"/>
  <c r="BH139" i="13"/>
  <c r="AO139" i="13"/>
  <c r="AN139" i="13"/>
  <c r="BI137" i="13"/>
  <c r="BH137" i="13"/>
  <c r="AO137" i="13"/>
  <c r="AN137" i="13"/>
  <c r="BI136" i="13"/>
  <c r="BH136" i="13"/>
  <c r="AO136" i="13"/>
  <c r="AN136" i="13"/>
  <c r="BI134" i="13"/>
  <c r="BH134" i="13"/>
  <c r="AO134" i="13"/>
  <c r="AN134" i="13"/>
  <c r="BI133" i="13"/>
  <c r="BH133" i="13"/>
  <c r="AO133" i="13"/>
  <c r="AN133" i="13"/>
  <c r="BI131" i="13"/>
  <c r="BH131" i="13"/>
  <c r="AO131" i="13"/>
  <c r="AN131" i="13"/>
  <c r="BI130" i="13"/>
  <c r="BH130" i="13"/>
  <c r="AO130" i="13"/>
  <c r="AN130" i="13"/>
  <c r="BI128" i="13"/>
  <c r="BH128" i="13"/>
  <c r="AO128" i="13"/>
  <c r="AN128" i="13"/>
  <c r="BI127" i="13"/>
  <c r="BH127" i="13"/>
  <c r="AO127" i="13"/>
  <c r="AN127" i="13"/>
  <c r="BI125" i="13"/>
  <c r="BH125" i="13"/>
  <c r="AO125" i="13"/>
  <c r="AN125" i="13"/>
  <c r="BL124" i="13"/>
  <c r="BK124" i="13"/>
  <c r="BI124" i="13"/>
  <c r="BH124" i="13"/>
  <c r="AR124" i="13"/>
  <c r="AQ124" i="13"/>
  <c r="AO124" i="13"/>
  <c r="AN124" i="13"/>
  <c r="BL123" i="13"/>
  <c r="BK123" i="13"/>
  <c r="AR123" i="13"/>
  <c r="AQ123" i="13"/>
  <c r="BL122" i="13"/>
  <c r="BK122" i="13"/>
  <c r="BI122" i="13"/>
  <c r="BH122" i="13"/>
  <c r="AR122" i="13"/>
  <c r="AQ122" i="13"/>
  <c r="AO122" i="13"/>
  <c r="AN122" i="13"/>
  <c r="BL121" i="13"/>
  <c r="BK121" i="13"/>
  <c r="BI121" i="13"/>
  <c r="BH121" i="13"/>
  <c r="AR121" i="13"/>
  <c r="AQ121" i="13"/>
  <c r="AO121" i="13"/>
  <c r="AN121" i="13"/>
  <c r="BL120" i="13"/>
  <c r="BK120" i="13"/>
  <c r="AR120" i="13"/>
  <c r="AQ120" i="13"/>
  <c r="BL119" i="13"/>
  <c r="BK119" i="13"/>
  <c r="BI119" i="13"/>
  <c r="BH119" i="13"/>
  <c r="AR119" i="13"/>
  <c r="AQ119" i="13"/>
  <c r="AO119" i="13"/>
  <c r="AN119" i="13"/>
  <c r="BL118" i="13"/>
  <c r="BK118" i="13"/>
  <c r="BI118" i="13"/>
  <c r="BH118" i="13"/>
  <c r="AR118" i="13"/>
  <c r="AQ118" i="13"/>
  <c r="AO118" i="13"/>
  <c r="AN118" i="13"/>
  <c r="BL117" i="13"/>
  <c r="BK117" i="13"/>
  <c r="AR117" i="13"/>
  <c r="AQ117" i="13"/>
  <c r="BL116" i="13"/>
  <c r="BK116" i="13"/>
  <c r="BI116" i="13"/>
  <c r="BH116" i="13"/>
  <c r="AR116" i="13"/>
  <c r="AQ116" i="13"/>
  <c r="AO116" i="13"/>
  <c r="AN116" i="13"/>
  <c r="BL115" i="13"/>
  <c r="BK115" i="13"/>
  <c r="BI115" i="13"/>
  <c r="BH115" i="13"/>
  <c r="AR115" i="13"/>
  <c r="AQ115" i="13"/>
  <c r="AO115" i="13"/>
  <c r="AN115" i="13"/>
  <c r="BL114" i="13"/>
  <c r="BK114" i="13"/>
  <c r="AR114" i="13"/>
  <c r="AQ114" i="13"/>
  <c r="BL113" i="13"/>
  <c r="BK113" i="13"/>
  <c r="BI113" i="13"/>
  <c r="BH113" i="13"/>
  <c r="AR113" i="13"/>
  <c r="AQ113" i="13"/>
  <c r="AO113" i="13"/>
  <c r="AN113" i="13"/>
  <c r="BL112" i="13"/>
  <c r="BK112" i="13"/>
  <c r="BI112" i="13"/>
  <c r="BH112" i="13"/>
  <c r="AR112" i="13"/>
  <c r="AQ112" i="13"/>
  <c r="AO112" i="13"/>
  <c r="AN112" i="13"/>
  <c r="BL111" i="13"/>
  <c r="BK111" i="13"/>
  <c r="AR111" i="13"/>
  <c r="AQ111" i="13"/>
  <c r="BL110" i="13"/>
  <c r="BK110" i="13"/>
  <c r="BI110" i="13"/>
  <c r="BH110" i="13"/>
  <c r="AR110" i="13"/>
  <c r="AQ110" i="13"/>
  <c r="AO110" i="13"/>
  <c r="AN110" i="13"/>
  <c r="BL109" i="13"/>
  <c r="BK109" i="13"/>
  <c r="BI109" i="13"/>
  <c r="BH109" i="13"/>
  <c r="AR109" i="13"/>
  <c r="AQ109" i="13"/>
  <c r="AO109" i="13"/>
  <c r="AN109" i="13"/>
  <c r="BL108" i="13"/>
  <c r="BK108" i="13"/>
  <c r="AR108" i="13"/>
  <c r="AQ108" i="13"/>
  <c r="BL107" i="13"/>
  <c r="BK107" i="13"/>
  <c r="BI107" i="13"/>
  <c r="BH107" i="13"/>
  <c r="AR107" i="13"/>
  <c r="AQ107" i="13"/>
  <c r="AO107" i="13"/>
  <c r="AN107" i="13"/>
  <c r="BL106" i="13"/>
  <c r="BK106" i="13"/>
  <c r="BI106" i="13"/>
  <c r="BH106" i="13"/>
  <c r="AR106" i="13"/>
  <c r="AQ106" i="13"/>
  <c r="AO106" i="13"/>
  <c r="AN106" i="13"/>
  <c r="BL105" i="13"/>
  <c r="BK105" i="13"/>
  <c r="AR105" i="13"/>
  <c r="AQ105" i="13"/>
  <c r="BL104" i="13"/>
  <c r="BK104" i="13"/>
  <c r="BI104" i="13"/>
  <c r="BH104" i="13"/>
  <c r="AR104" i="13"/>
  <c r="AQ104" i="13"/>
  <c r="AO104" i="13"/>
  <c r="AN104" i="13"/>
  <c r="BL103" i="13"/>
  <c r="BK103" i="13"/>
  <c r="BI103" i="13"/>
  <c r="BH103" i="13"/>
  <c r="AR103" i="13"/>
  <c r="AQ103" i="13"/>
  <c r="AO103" i="13"/>
  <c r="AN103" i="13"/>
  <c r="BL102" i="13"/>
  <c r="BK102" i="13"/>
  <c r="AR102" i="13"/>
  <c r="AQ102" i="13"/>
  <c r="BL101" i="13"/>
  <c r="BK101" i="13"/>
  <c r="BI101" i="13"/>
  <c r="BH101" i="13"/>
  <c r="AR101" i="13"/>
  <c r="AQ101" i="13"/>
  <c r="AO101" i="13"/>
  <c r="AN101" i="13"/>
  <c r="BL100" i="13"/>
  <c r="BK100" i="13"/>
  <c r="BI100" i="13"/>
  <c r="BH100" i="13"/>
  <c r="AR100" i="13"/>
  <c r="AQ100" i="13"/>
  <c r="AO100" i="13"/>
  <c r="AN100" i="13"/>
  <c r="BL99" i="13"/>
  <c r="BK99" i="13"/>
  <c r="BB99" i="13"/>
  <c r="BA99" i="13"/>
  <c r="AR99" i="13"/>
  <c r="AQ99" i="13"/>
  <c r="BL98" i="13"/>
  <c r="BK98" i="13"/>
  <c r="BI98" i="13"/>
  <c r="BH98" i="13"/>
  <c r="BB98" i="13"/>
  <c r="BA98" i="13"/>
  <c r="AR98" i="13"/>
  <c r="AQ98" i="13"/>
  <c r="AO98" i="13"/>
  <c r="AN98" i="13"/>
  <c r="BL97" i="13"/>
  <c r="BK97" i="13"/>
  <c r="BI97" i="13"/>
  <c r="BH97" i="13"/>
  <c r="BB97" i="13"/>
  <c r="BA97" i="13"/>
  <c r="AR97" i="13"/>
  <c r="AQ97" i="13"/>
  <c r="AO97" i="13"/>
  <c r="AN97" i="13"/>
  <c r="BL96" i="13"/>
  <c r="BK96" i="13"/>
  <c r="BB96" i="13"/>
  <c r="BA96" i="13"/>
  <c r="AR96" i="13"/>
  <c r="AQ96" i="13"/>
  <c r="BL95" i="13"/>
  <c r="BK95" i="13"/>
  <c r="BI95" i="13"/>
  <c r="BH95" i="13"/>
  <c r="BB95" i="13"/>
  <c r="BA95" i="13"/>
  <c r="AR95" i="13"/>
  <c r="AQ95" i="13"/>
  <c r="AO95" i="13"/>
  <c r="AN95" i="13"/>
  <c r="BL94" i="13"/>
  <c r="BK94" i="13"/>
  <c r="BI94" i="13"/>
  <c r="BH94" i="13"/>
  <c r="BB94" i="13"/>
  <c r="BA94" i="13"/>
  <c r="AR94" i="13"/>
  <c r="AQ94" i="13"/>
  <c r="AO94" i="13"/>
  <c r="AN94" i="13"/>
  <c r="BL93" i="13"/>
  <c r="BK93" i="13"/>
  <c r="BB93" i="13"/>
  <c r="BA93" i="13"/>
  <c r="AR93" i="13"/>
  <c r="AQ93" i="13"/>
  <c r="BL92" i="13"/>
  <c r="BK92" i="13"/>
  <c r="BI92" i="13"/>
  <c r="BH92" i="13"/>
  <c r="BB92" i="13"/>
  <c r="BA92" i="13"/>
  <c r="AR92" i="13"/>
  <c r="AQ92" i="13"/>
  <c r="AO92" i="13"/>
  <c r="AN92" i="13"/>
  <c r="BL91" i="13"/>
  <c r="BK91" i="13"/>
  <c r="BI91" i="13"/>
  <c r="BH91" i="13"/>
  <c r="BB91" i="13"/>
  <c r="BA91" i="13"/>
  <c r="AR91" i="13"/>
  <c r="AQ91" i="13"/>
  <c r="AO91" i="13"/>
  <c r="AN91" i="13"/>
  <c r="BL90" i="13"/>
  <c r="BK90" i="13"/>
  <c r="BB90" i="13"/>
  <c r="BA90" i="13"/>
  <c r="AR90" i="13"/>
  <c r="AQ90" i="13"/>
  <c r="BL89" i="13"/>
  <c r="BK89" i="13"/>
  <c r="BI89" i="13"/>
  <c r="BH89" i="13"/>
  <c r="AR89" i="13"/>
  <c r="AQ89" i="13"/>
  <c r="AO89" i="13"/>
  <c r="AN89" i="13"/>
  <c r="BL88" i="13"/>
  <c r="BK88" i="13"/>
  <c r="BI88" i="13"/>
  <c r="BH88" i="13"/>
  <c r="AR88" i="13"/>
  <c r="AQ88" i="13"/>
  <c r="AO88" i="13"/>
  <c r="AN88" i="13"/>
  <c r="BL87" i="13"/>
  <c r="BK87" i="13"/>
  <c r="AR87" i="13"/>
  <c r="AQ87" i="13"/>
  <c r="BL86" i="13"/>
  <c r="BK86" i="13"/>
  <c r="BI86" i="13"/>
  <c r="BH86" i="13"/>
  <c r="AR86" i="13"/>
  <c r="AQ86" i="13"/>
  <c r="AO86" i="13"/>
  <c r="AN86" i="13"/>
  <c r="BL85" i="13"/>
  <c r="BK85" i="13"/>
  <c r="BI85" i="13"/>
  <c r="BH85" i="13"/>
  <c r="AR85" i="13"/>
  <c r="AQ85" i="13"/>
  <c r="AO85" i="13"/>
  <c r="AN85" i="13"/>
  <c r="BL84" i="13"/>
  <c r="BK84" i="13"/>
  <c r="AR84" i="13"/>
  <c r="AQ84" i="13"/>
  <c r="BL83" i="13"/>
  <c r="BK83" i="13"/>
  <c r="BI83" i="13"/>
  <c r="BH83" i="13"/>
  <c r="AR83" i="13"/>
  <c r="AQ83" i="13"/>
  <c r="AO83" i="13"/>
  <c r="AN83" i="13"/>
  <c r="BL82" i="13"/>
  <c r="BK82" i="13"/>
  <c r="BI82" i="13"/>
  <c r="BH82" i="13"/>
  <c r="AR82" i="13"/>
  <c r="AQ82" i="13"/>
  <c r="AO82" i="13"/>
  <c r="AN82" i="13"/>
  <c r="BL81" i="13"/>
  <c r="BK81" i="13"/>
  <c r="AR81" i="13"/>
  <c r="AQ81" i="13"/>
  <c r="BL80" i="13"/>
  <c r="BK80" i="13"/>
  <c r="BI80" i="13"/>
  <c r="BH80" i="13"/>
  <c r="BB80" i="13"/>
  <c r="BA80" i="13"/>
  <c r="AR80" i="13"/>
  <c r="AQ80" i="13"/>
  <c r="AO80" i="13"/>
  <c r="AN80" i="13"/>
  <c r="BL79" i="13"/>
  <c r="BK79" i="13"/>
  <c r="BI79" i="13"/>
  <c r="BH79" i="13"/>
  <c r="BB79" i="13"/>
  <c r="BA79" i="13"/>
  <c r="AR79" i="13"/>
  <c r="AQ79" i="13"/>
  <c r="AO79" i="13"/>
  <c r="AN79" i="13"/>
  <c r="BL78" i="13"/>
  <c r="BK78" i="13"/>
  <c r="BB78" i="13"/>
  <c r="BA78" i="13"/>
  <c r="AR78" i="13"/>
  <c r="AQ78" i="13"/>
  <c r="BL77" i="13"/>
  <c r="BK77" i="13"/>
  <c r="BI77" i="13"/>
  <c r="BH77" i="13"/>
  <c r="BB77" i="13"/>
  <c r="BA77" i="13"/>
  <c r="AR77" i="13"/>
  <c r="AQ77" i="13"/>
  <c r="AO77" i="13"/>
  <c r="AN77" i="13"/>
  <c r="BL76" i="13"/>
  <c r="BK76" i="13"/>
  <c r="BI76" i="13"/>
  <c r="BH76" i="13"/>
  <c r="BB76" i="13"/>
  <c r="BA76" i="13"/>
  <c r="AR76" i="13"/>
  <c r="AQ76" i="13"/>
  <c r="AO76" i="13"/>
  <c r="AN76" i="13"/>
  <c r="BL75" i="13"/>
  <c r="BK75" i="13"/>
  <c r="BB75" i="13"/>
  <c r="BA75" i="13"/>
  <c r="AR75" i="13"/>
  <c r="AQ75" i="13"/>
  <c r="BL74" i="13"/>
  <c r="BK74" i="13"/>
  <c r="BI74" i="13"/>
  <c r="BH74" i="13"/>
  <c r="BB74" i="13"/>
  <c r="BA74" i="13"/>
  <c r="AR74" i="13"/>
  <c r="AQ74" i="13"/>
  <c r="AO74" i="13"/>
  <c r="AN74" i="13"/>
  <c r="BL73" i="13"/>
  <c r="BK73" i="13"/>
  <c r="BI73" i="13"/>
  <c r="BH73" i="13"/>
  <c r="BB73" i="13"/>
  <c r="BA73" i="13"/>
  <c r="AR73" i="13"/>
  <c r="AQ73" i="13"/>
  <c r="AO73" i="13"/>
  <c r="AN73" i="13"/>
  <c r="BL72" i="13"/>
  <c r="BK72" i="13"/>
  <c r="BB72" i="13"/>
  <c r="BA72" i="13"/>
  <c r="AR72" i="13"/>
  <c r="AQ72" i="13"/>
  <c r="BL71" i="13"/>
  <c r="BK71" i="13"/>
  <c r="BI71" i="13"/>
  <c r="BH71" i="13"/>
  <c r="BB71" i="13"/>
  <c r="BA71" i="13"/>
  <c r="AR71" i="13"/>
  <c r="AQ71" i="13"/>
  <c r="AO71" i="13"/>
  <c r="AN71" i="13"/>
  <c r="BL70" i="13"/>
  <c r="BK70" i="13"/>
  <c r="BI70" i="13"/>
  <c r="BH70" i="13"/>
  <c r="BB70" i="13"/>
  <c r="BA70" i="13"/>
  <c r="AR70" i="13"/>
  <c r="AQ70" i="13"/>
  <c r="AO70" i="13"/>
  <c r="AN70" i="13"/>
  <c r="BL69" i="13"/>
  <c r="BK69" i="13"/>
  <c r="BB69" i="13"/>
  <c r="BA69" i="13"/>
  <c r="AR69" i="13"/>
  <c r="AQ69" i="13"/>
  <c r="BL68" i="13"/>
  <c r="BK68" i="13"/>
  <c r="BI68" i="13"/>
  <c r="BH68" i="13"/>
  <c r="BB68" i="13"/>
  <c r="BA68" i="13"/>
  <c r="AR68" i="13"/>
  <c r="AQ68" i="13"/>
  <c r="AO68" i="13"/>
  <c r="AN68" i="13"/>
  <c r="BL67" i="13"/>
  <c r="BK67" i="13"/>
  <c r="BI67" i="13"/>
  <c r="BH67" i="13"/>
  <c r="BB67" i="13"/>
  <c r="BA67" i="13"/>
  <c r="AR67" i="13"/>
  <c r="AQ67" i="13"/>
  <c r="AO67" i="13"/>
  <c r="AN67" i="13"/>
  <c r="BL66" i="13"/>
  <c r="BK66" i="13"/>
  <c r="BB66" i="13"/>
  <c r="BA66" i="13"/>
  <c r="AR66" i="13"/>
  <c r="AQ66" i="13"/>
  <c r="BL65" i="13"/>
  <c r="BK65" i="13"/>
  <c r="BI65" i="13"/>
  <c r="BH65" i="13"/>
  <c r="BB65" i="13"/>
  <c r="BA65" i="13"/>
  <c r="AR65" i="13"/>
  <c r="AQ65" i="13"/>
  <c r="AO65" i="13"/>
  <c r="AN65" i="13"/>
  <c r="BL64" i="13"/>
  <c r="BK64" i="13"/>
  <c r="BI64" i="13"/>
  <c r="BH64" i="13"/>
  <c r="BB64" i="13"/>
  <c r="BA64" i="13"/>
  <c r="AR64" i="13"/>
  <c r="AQ64" i="13"/>
  <c r="AO64" i="13"/>
  <c r="AN64" i="13"/>
  <c r="BL63" i="13"/>
  <c r="BK63" i="13"/>
  <c r="BB63" i="13"/>
  <c r="BA63" i="13"/>
  <c r="AR63" i="13"/>
  <c r="AQ63" i="13"/>
  <c r="BL62" i="13"/>
  <c r="BK62" i="13"/>
  <c r="BI62" i="13"/>
  <c r="BH62" i="13"/>
  <c r="BB62" i="13"/>
  <c r="BA62" i="13"/>
  <c r="AR62" i="13"/>
  <c r="AQ62" i="13"/>
  <c r="AO62" i="13"/>
  <c r="AN62" i="13"/>
  <c r="BL61" i="13"/>
  <c r="BK61" i="13"/>
  <c r="BI61" i="13"/>
  <c r="BH61" i="13"/>
  <c r="BB61" i="13"/>
  <c r="BA61" i="13"/>
  <c r="AR61" i="13"/>
  <c r="AQ61" i="13"/>
  <c r="AO61" i="13"/>
  <c r="AN61" i="13"/>
  <c r="BL60" i="13"/>
  <c r="BK60" i="13"/>
  <c r="BB60" i="13"/>
  <c r="BA60" i="13"/>
  <c r="AR60" i="13"/>
  <c r="AQ60" i="13"/>
  <c r="BL59" i="13"/>
  <c r="BK59" i="13"/>
  <c r="BI59" i="13"/>
  <c r="BH59" i="13"/>
  <c r="BB59" i="13"/>
  <c r="BA59" i="13"/>
  <c r="AR59" i="13"/>
  <c r="AQ59" i="13"/>
  <c r="AO59" i="13"/>
  <c r="AN59" i="13"/>
  <c r="BL58" i="13"/>
  <c r="BK58" i="13"/>
  <c r="BI58" i="13"/>
  <c r="BH58" i="13"/>
  <c r="BB58" i="13"/>
  <c r="BA58" i="13"/>
  <c r="AR58" i="13"/>
  <c r="AQ58" i="13"/>
  <c r="AO58" i="13"/>
  <c r="AN58" i="13"/>
  <c r="BL57" i="13"/>
  <c r="BK57" i="13"/>
  <c r="BB57" i="13"/>
  <c r="BA57" i="13"/>
  <c r="AR57" i="13"/>
  <c r="AQ57" i="13"/>
  <c r="BL56" i="13"/>
  <c r="BK56" i="13"/>
  <c r="BI56" i="13"/>
  <c r="BH56" i="13"/>
  <c r="BB56" i="13"/>
  <c r="BA56" i="13"/>
  <c r="AR56" i="13"/>
  <c r="AQ56" i="13"/>
  <c r="AO56" i="13"/>
  <c r="AN56" i="13"/>
  <c r="BL55" i="13"/>
  <c r="BK55" i="13"/>
  <c r="BI55" i="13"/>
  <c r="BH55" i="13"/>
  <c r="BB55" i="13"/>
  <c r="BA55" i="13"/>
  <c r="AR55" i="13"/>
  <c r="AQ55" i="13"/>
  <c r="AO55" i="13"/>
  <c r="AN55" i="13"/>
  <c r="BL54" i="13"/>
  <c r="BK54" i="13"/>
  <c r="BB54" i="13"/>
  <c r="BA54" i="13"/>
  <c r="AR54" i="13"/>
  <c r="AQ54" i="13"/>
  <c r="BL53" i="13"/>
  <c r="BK53" i="13"/>
  <c r="BI53" i="13"/>
  <c r="BH53" i="13"/>
  <c r="BB53" i="13"/>
  <c r="BA53" i="13"/>
  <c r="AR53" i="13"/>
  <c r="AQ53" i="13"/>
  <c r="AO53" i="13"/>
  <c r="AN53" i="13"/>
  <c r="BL52" i="13"/>
  <c r="BK52" i="13"/>
  <c r="BI52" i="13"/>
  <c r="BH52" i="13"/>
  <c r="BB52" i="13"/>
  <c r="BA52" i="13"/>
  <c r="AR52" i="13"/>
  <c r="AQ52" i="13"/>
  <c r="AO52" i="13"/>
  <c r="AN52" i="13"/>
  <c r="BL51" i="13"/>
  <c r="BK51" i="13"/>
  <c r="BB51" i="13"/>
  <c r="BA51" i="13"/>
  <c r="AR51" i="13"/>
  <c r="AQ51" i="13"/>
  <c r="BL50" i="13"/>
  <c r="BK50" i="13"/>
  <c r="BI50" i="13"/>
  <c r="BH50" i="13"/>
  <c r="BB50" i="13"/>
  <c r="BA50" i="13"/>
  <c r="AR50" i="13"/>
  <c r="AQ50" i="13"/>
  <c r="AO50" i="13"/>
  <c r="AN50" i="13"/>
  <c r="BL49" i="13"/>
  <c r="BK49" i="13"/>
  <c r="BI49" i="13"/>
  <c r="BH49" i="13"/>
  <c r="BB49" i="13"/>
  <c r="BA49" i="13"/>
  <c r="AR49" i="13"/>
  <c r="AQ49" i="13"/>
  <c r="AO49" i="13"/>
  <c r="AN49" i="13"/>
  <c r="BL48" i="13"/>
  <c r="BK48" i="13"/>
  <c r="BB48" i="13"/>
  <c r="BA48" i="13"/>
  <c r="AR48" i="13"/>
  <c r="AQ48" i="13"/>
  <c r="BL47" i="13"/>
  <c r="BK47" i="13"/>
  <c r="BI47" i="13"/>
  <c r="BH47" i="13"/>
  <c r="BB47" i="13"/>
  <c r="BA47" i="13"/>
  <c r="AR47" i="13"/>
  <c r="AQ47" i="13"/>
  <c r="AO47" i="13"/>
  <c r="AN47" i="13"/>
  <c r="BL46" i="13"/>
  <c r="BK46" i="13"/>
  <c r="BI46" i="13"/>
  <c r="BH46" i="13"/>
  <c r="BB46" i="13"/>
  <c r="BA46" i="13"/>
  <c r="AR46" i="13"/>
  <c r="AQ46" i="13"/>
  <c r="AO46" i="13"/>
  <c r="AN46" i="13"/>
  <c r="BL45" i="13"/>
  <c r="BK45" i="13"/>
  <c r="BB45" i="13"/>
  <c r="BA45" i="13"/>
  <c r="AR45" i="13"/>
  <c r="AQ45" i="13"/>
  <c r="BL44" i="13"/>
  <c r="BK44" i="13"/>
  <c r="BI44" i="13"/>
  <c r="BH44" i="13"/>
  <c r="BB44" i="13"/>
  <c r="BA44" i="13"/>
  <c r="AR44" i="13"/>
  <c r="AQ44" i="13"/>
  <c r="AO44" i="13"/>
  <c r="AN44" i="13"/>
  <c r="BL43" i="13"/>
  <c r="BK43" i="13"/>
  <c r="BI43" i="13"/>
  <c r="BH43" i="13"/>
  <c r="BB43" i="13"/>
  <c r="BA43" i="13"/>
  <c r="AR43" i="13"/>
  <c r="AQ43" i="13"/>
  <c r="AO43" i="13"/>
  <c r="AN43" i="13"/>
  <c r="BL42" i="13"/>
  <c r="BK42" i="13"/>
  <c r="BB42" i="13"/>
  <c r="BA42" i="13"/>
  <c r="AR42" i="13"/>
  <c r="AQ42" i="13"/>
  <c r="BL41" i="13"/>
  <c r="BK41" i="13"/>
  <c r="BI41" i="13"/>
  <c r="BH41" i="13"/>
  <c r="BB41" i="13"/>
  <c r="BA41" i="13"/>
  <c r="AR41" i="13"/>
  <c r="AQ41" i="13"/>
  <c r="AO41" i="13"/>
  <c r="AN41" i="13"/>
  <c r="BL40" i="13"/>
  <c r="BK40" i="13"/>
  <c r="BI40" i="13"/>
  <c r="BH40" i="13"/>
  <c r="BB40" i="13"/>
  <c r="BA40" i="13"/>
  <c r="AR40" i="13"/>
  <c r="AQ40" i="13"/>
  <c r="AO40" i="13"/>
  <c r="AN40" i="13"/>
  <c r="BL39" i="13"/>
  <c r="BK39" i="13"/>
  <c r="AR39" i="13"/>
  <c r="AQ39" i="13"/>
  <c r="BL38" i="13"/>
  <c r="BK38" i="13"/>
  <c r="BI38" i="13"/>
  <c r="BH38" i="13"/>
  <c r="AR38" i="13"/>
  <c r="AQ38" i="13"/>
  <c r="AO38" i="13"/>
  <c r="AN38" i="13"/>
  <c r="BL37" i="13"/>
  <c r="BK37" i="13"/>
  <c r="BI37" i="13"/>
  <c r="BH37" i="13"/>
  <c r="AR37" i="13"/>
  <c r="AQ37" i="13"/>
  <c r="AO37" i="13"/>
  <c r="AN37" i="13"/>
  <c r="BL36" i="13"/>
  <c r="BK36" i="13"/>
  <c r="AR36" i="13"/>
  <c r="AQ36" i="13"/>
  <c r="BL35" i="13"/>
  <c r="BK35" i="13"/>
  <c r="BI35" i="13"/>
  <c r="BH35" i="13"/>
  <c r="AR35" i="13"/>
  <c r="AQ35" i="13"/>
  <c r="AO35" i="13"/>
  <c r="AN35" i="13"/>
  <c r="BL34" i="13"/>
  <c r="BK34" i="13"/>
  <c r="BI34" i="13"/>
  <c r="BH34" i="13"/>
  <c r="AR34" i="13"/>
  <c r="AQ34" i="13"/>
  <c r="AO34" i="13"/>
  <c r="AN34" i="13"/>
  <c r="BL33" i="13"/>
  <c r="BK33" i="13"/>
  <c r="AR33" i="13"/>
  <c r="AQ33" i="13"/>
  <c r="BL32" i="13"/>
  <c r="BK32" i="13"/>
  <c r="BI32" i="13"/>
  <c r="BH32" i="13"/>
  <c r="BB32" i="13"/>
  <c r="BA32" i="13"/>
  <c r="AR32" i="13"/>
  <c r="AQ32" i="13"/>
  <c r="AO32" i="13"/>
  <c r="AN32" i="13"/>
  <c r="BL31" i="13"/>
  <c r="BK31" i="13"/>
  <c r="BI31" i="13"/>
  <c r="BH31" i="13"/>
  <c r="BB31" i="13"/>
  <c r="BA31" i="13"/>
  <c r="AR31" i="13"/>
  <c r="AQ31" i="13"/>
  <c r="AO31" i="13"/>
  <c r="AN31" i="13"/>
  <c r="BL30" i="13"/>
  <c r="BK30" i="13"/>
  <c r="AR30" i="13"/>
  <c r="AQ30" i="13"/>
  <c r="BL29" i="13"/>
  <c r="BK29" i="13"/>
  <c r="BI29" i="13"/>
  <c r="BH29" i="13"/>
  <c r="BB29" i="13"/>
  <c r="BA29" i="13"/>
  <c r="AR29" i="13"/>
  <c r="AQ29" i="13"/>
  <c r="AO29" i="13"/>
  <c r="AN29" i="13"/>
  <c r="BL28" i="13"/>
  <c r="BK28" i="13"/>
  <c r="BI28" i="13"/>
  <c r="BH28" i="13"/>
  <c r="BB28" i="13"/>
  <c r="BA28" i="13"/>
  <c r="AR28" i="13"/>
  <c r="AQ28" i="13"/>
  <c r="AO28" i="13"/>
  <c r="AN28" i="13"/>
  <c r="BL27" i="13"/>
  <c r="BK27" i="13"/>
  <c r="AR27" i="13"/>
  <c r="AQ27" i="13"/>
  <c r="BL26" i="13"/>
  <c r="BK26" i="13"/>
  <c r="BI26" i="13"/>
  <c r="BH26" i="13"/>
  <c r="BB26" i="13"/>
  <c r="BA26" i="13"/>
  <c r="AR26" i="13"/>
  <c r="AQ26" i="13"/>
  <c r="AO26" i="13"/>
  <c r="AN26" i="13"/>
  <c r="BL25" i="13"/>
  <c r="BK25" i="13"/>
  <c r="BI25" i="13"/>
  <c r="BH25" i="13"/>
  <c r="BB25" i="13"/>
  <c r="BA25" i="13"/>
  <c r="AR25" i="13"/>
  <c r="AQ25" i="13"/>
  <c r="AO25" i="13"/>
  <c r="AN25" i="13"/>
  <c r="BL24" i="13"/>
  <c r="BK24" i="13"/>
  <c r="AR24" i="13"/>
  <c r="AQ24" i="13"/>
  <c r="BL23" i="13"/>
  <c r="BK23" i="13"/>
  <c r="BI23" i="13"/>
  <c r="BH23" i="13"/>
  <c r="BB23" i="13"/>
  <c r="BA23" i="13"/>
  <c r="AR23" i="13"/>
  <c r="AQ23" i="13"/>
  <c r="AO23" i="13"/>
  <c r="AN23" i="13"/>
  <c r="BL22" i="13"/>
  <c r="BK22" i="13"/>
  <c r="BI22" i="13"/>
  <c r="BH22" i="13"/>
  <c r="BB22" i="13"/>
  <c r="BA22" i="13"/>
  <c r="AR22" i="13"/>
  <c r="AQ22" i="13"/>
  <c r="AO22" i="13"/>
  <c r="AN22" i="13"/>
  <c r="BL21" i="13"/>
  <c r="BK21" i="13"/>
  <c r="AR21" i="13"/>
  <c r="AQ21" i="13"/>
  <c r="BL20" i="13"/>
  <c r="BK20" i="13"/>
  <c r="BI20" i="13"/>
  <c r="BH20" i="13"/>
  <c r="BB20" i="13"/>
  <c r="BA20" i="13"/>
  <c r="AR20" i="13"/>
  <c r="AQ20" i="13"/>
  <c r="AO20" i="13"/>
  <c r="AN20" i="13"/>
  <c r="BL19" i="13"/>
  <c r="BK19" i="13"/>
  <c r="BI19" i="13"/>
  <c r="BH19" i="13"/>
  <c r="BB19" i="13"/>
  <c r="BA19" i="13"/>
  <c r="AR19" i="13"/>
  <c r="AQ19" i="13"/>
  <c r="AO19" i="13"/>
  <c r="AN19" i="13"/>
  <c r="BL18" i="13"/>
  <c r="BK18" i="13"/>
  <c r="AR18" i="13"/>
  <c r="AQ18" i="13"/>
  <c r="BL17" i="13"/>
  <c r="BK17" i="13"/>
  <c r="BI17" i="13"/>
  <c r="BH17" i="13"/>
  <c r="BB17" i="13"/>
  <c r="BA17" i="13"/>
  <c r="AR17" i="13"/>
  <c r="AQ17" i="13"/>
  <c r="AO17" i="13"/>
  <c r="AN17" i="13"/>
  <c r="AL17" i="13"/>
  <c r="BL16" i="13"/>
  <c r="BK16" i="13"/>
  <c r="BI16" i="13"/>
  <c r="BH16" i="13"/>
  <c r="BB16" i="13"/>
  <c r="BA16" i="13"/>
  <c r="AR16" i="13"/>
  <c r="AQ16" i="13"/>
  <c r="AO16" i="13"/>
  <c r="AN16" i="13"/>
  <c r="AL16" i="13"/>
  <c r="BL15" i="13"/>
  <c r="BK15" i="13"/>
  <c r="AR15" i="13"/>
  <c r="AQ15" i="13"/>
  <c r="AL15" i="13"/>
  <c r="BL14" i="13"/>
  <c r="BK14" i="13"/>
  <c r="BI14" i="13"/>
  <c r="BH14" i="13"/>
  <c r="BB14" i="13"/>
  <c r="BA14" i="13"/>
  <c r="AR14" i="13"/>
  <c r="AQ14" i="13"/>
  <c r="AO14" i="13"/>
  <c r="AN14" i="13"/>
  <c r="AL14" i="13"/>
  <c r="BO13" i="13"/>
  <c r="BN13" i="13"/>
  <c r="BL13" i="13"/>
  <c r="BK13" i="13"/>
  <c r="BI13" i="13"/>
  <c r="BH13" i="13"/>
  <c r="BB13" i="13"/>
  <c r="BA13" i="13"/>
  <c r="AU13" i="13"/>
  <c r="AT13" i="13"/>
  <c r="AR13" i="13"/>
  <c r="AQ13" i="13"/>
  <c r="AO13" i="13"/>
  <c r="AN13" i="13"/>
  <c r="AL13" i="13"/>
  <c r="BO12" i="13"/>
  <c r="BN12" i="13"/>
  <c r="BL12" i="13"/>
  <c r="BK12" i="13"/>
  <c r="AU12" i="13"/>
  <c r="AT12" i="13"/>
  <c r="AR12" i="13"/>
  <c r="AQ12" i="13"/>
  <c r="BO11" i="13"/>
  <c r="BN11" i="13"/>
  <c r="BL11" i="13"/>
  <c r="BK11" i="13"/>
  <c r="BI11" i="13"/>
  <c r="BH11" i="13"/>
  <c r="BB11" i="13"/>
  <c r="BA11" i="13"/>
  <c r="AU11" i="13"/>
  <c r="AT11" i="13"/>
  <c r="AR11" i="13"/>
  <c r="AQ11" i="13"/>
  <c r="AO11" i="13"/>
  <c r="AN11" i="13"/>
  <c r="AL11" i="13"/>
  <c r="BO10" i="13"/>
  <c r="BN10" i="13"/>
  <c r="BL10" i="13"/>
  <c r="BK10" i="13"/>
  <c r="BI10" i="13"/>
  <c r="BH10" i="13"/>
  <c r="BB10" i="13"/>
  <c r="BA10" i="13"/>
  <c r="AU10" i="13"/>
  <c r="AT10" i="13"/>
  <c r="AR10" i="13"/>
  <c r="AQ10" i="13"/>
  <c r="AO10" i="13"/>
  <c r="AN10" i="13"/>
  <c r="AL10" i="13"/>
  <c r="AK10" i="13"/>
  <c r="BO9" i="13"/>
  <c r="BN9" i="13"/>
  <c r="BL9" i="13"/>
  <c r="BK9" i="13"/>
  <c r="AU9" i="13"/>
  <c r="AT9" i="13"/>
  <c r="AR9" i="13"/>
  <c r="AQ9" i="13"/>
  <c r="AH9" i="13"/>
  <c r="BO8" i="13"/>
  <c r="BN8" i="13"/>
  <c r="BL8" i="13"/>
  <c r="BK8" i="13"/>
  <c r="BI8" i="13"/>
  <c r="BH8" i="13"/>
  <c r="BB8" i="13"/>
  <c r="BA8" i="13"/>
  <c r="AU8" i="13"/>
  <c r="AT8" i="13"/>
  <c r="AR8" i="13"/>
  <c r="AQ8" i="13"/>
  <c r="AO8" i="13"/>
  <c r="AN8" i="13"/>
  <c r="AL8" i="13"/>
  <c r="AH8" i="13"/>
  <c r="BO7" i="13"/>
  <c r="BN7" i="13"/>
  <c r="BL7" i="13"/>
  <c r="BK7" i="13"/>
  <c r="BI7" i="13"/>
  <c r="BH7" i="13"/>
  <c r="BB7" i="13"/>
  <c r="BA7" i="13"/>
  <c r="AU7" i="13"/>
  <c r="AT7" i="13"/>
  <c r="AR7" i="13"/>
  <c r="AQ7" i="13"/>
  <c r="AO7" i="13"/>
  <c r="AN7" i="13"/>
  <c r="AL7" i="13"/>
  <c r="AK7" i="13"/>
  <c r="AH7" i="13"/>
  <c r="BO6" i="13"/>
  <c r="BN6" i="13"/>
  <c r="BL6" i="13"/>
  <c r="BK6" i="13"/>
  <c r="AU6" i="13"/>
  <c r="AT6" i="13"/>
  <c r="AR6" i="13"/>
  <c r="AQ6" i="13"/>
  <c r="AH6" i="13"/>
  <c r="BO5" i="13"/>
  <c r="BN5" i="13"/>
  <c r="BL5" i="13"/>
  <c r="BK5" i="13"/>
  <c r="BI5" i="13"/>
  <c r="BH5" i="13"/>
  <c r="BB5" i="13"/>
  <c r="BA5" i="13"/>
  <c r="AU5" i="13"/>
  <c r="AT5" i="13"/>
  <c r="AR5" i="13"/>
  <c r="AQ5" i="13"/>
  <c r="AO5" i="13"/>
  <c r="AN5" i="13"/>
  <c r="AL5" i="13"/>
  <c r="AH5" i="13"/>
  <c r="BO4" i="13"/>
  <c r="BN4" i="13"/>
  <c r="BL4" i="13"/>
  <c r="BK4" i="13"/>
  <c r="BI4" i="13"/>
  <c r="BH4" i="13"/>
  <c r="BB4" i="13"/>
  <c r="BA4" i="13"/>
  <c r="AU4" i="13"/>
  <c r="AT4" i="13"/>
  <c r="AR4" i="13"/>
  <c r="AQ4" i="13"/>
  <c r="AO4" i="13"/>
  <c r="AN4" i="13"/>
  <c r="AL4" i="13"/>
  <c r="AK4" i="13"/>
  <c r="AH4" i="13"/>
  <c r="B36" i="10"/>
  <c r="E36" i="10" s="1"/>
  <c r="C35" i="10"/>
  <c r="B35" i="10"/>
  <c r="F35" i="10" s="1"/>
  <c r="E34" i="10"/>
  <c r="D34" i="10"/>
  <c r="C34" i="10"/>
  <c r="B34" i="10"/>
  <c r="F34" i="10" s="1"/>
  <c r="B33" i="10"/>
  <c r="B32" i="10"/>
  <c r="C31" i="10"/>
  <c r="B31" i="10"/>
  <c r="F31" i="10" s="1"/>
  <c r="C28" i="10"/>
  <c r="B28" i="10"/>
  <c r="E28" i="10" s="1"/>
  <c r="C27" i="10"/>
  <c r="B27" i="10"/>
  <c r="E27" i="10" s="1"/>
  <c r="C26" i="10"/>
  <c r="B26" i="10"/>
  <c r="E26" i="10" s="1"/>
  <c r="C25" i="10"/>
  <c r="B25" i="10"/>
  <c r="E25" i="10" s="1"/>
  <c r="C24" i="10"/>
  <c r="B24" i="10"/>
  <c r="E24" i="10" s="1"/>
  <c r="C23" i="10"/>
  <c r="B23" i="10"/>
  <c r="E23" i="10" s="1"/>
  <c r="A20" i="10"/>
  <c r="D20" i="10" s="1"/>
  <c r="G19" i="10"/>
  <c r="D19" i="10"/>
  <c r="C19" i="10"/>
  <c r="A19" i="10"/>
  <c r="F19" i="10" s="1"/>
  <c r="A18" i="10"/>
  <c r="A17" i="10"/>
  <c r="A16" i="10"/>
  <c r="A15" i="10"/>
  <c r="B20" i="9"/>
  <c r="B19" i="9"/>
  <c r="B16" i="9"/>
  <c r="B17" i="9" s="1"/>
  <c r="B15" i="9"/>
  <c r="B14" i="9"/>
  <c r="B33" i="8"/>
  <c r="C24" i="8"/>
  <c r="A36" i="8" s="1"/>
  <c r="B24" i="8"/>
  <c r="C21" i="8"/>
  <c r="B21" i="8"/>
  <c r="B20" i="8"/>
  <c r="B22" i="8" s="1"/>
  <c r="B23" i="8" s="1"/>
  <c r="C19" i="8"/>
  <c r="A37" i="8" s="1"/>
  <c r="B46" i="7"/>
  <c r="B44" i="7"/>
  <c r="B43" i="7"/>
  <c r="B45" i="7" s="1"/>
  <c r="B42" i="7"/>
  <c r="B41" i="7"/>
  <c r="D36" i="7"/>
  <c r="C36" i="7"/>
  <c r="A36" i="7"/>
  <c r="D35" i="7"/>
  <c r="C35" i="7"/>
  <c r="A35" i="7"/>
  <c r="D34" i="7"/>
  <c r="C34" i="7"/>
  <c r="A34" i="7"/>
  <c r="D33" i="7"/>
  <c r="C33" i="7"/>
  <c r="A33" i="7"/>
  <c r="D32" i="7"/>
  <c r="C32" i="7"/>
  <c r="A32" i="7"/>
  <c r="D31" i="7"/>
  <c r="C31" i="7"/>
  <c r="A31" i="7"/>
  <c r="D30" i="7"/>
  <c r="C30" i="7"/>
  <c r="A38" i="7" s="1"/>
  <c r="A30" i="7"/>
  <c r="D29" i="7"/>
  <c r="C29" i="7"/>
  <c r="A29" i="7"/>
  <c r="D28" i="7"/>
  <c r="C28" i="7"/>
  <c r="A28" i="7"/>
  <c r="D27" i="7"/>
  <c r="C27" i="7"/>
  <c r="A27" i="7"/>
  <c r="B21" i="7"/>
  <c r="A21" i="7"/>
  <c r="B20" i="7"/>
  <c r="A20" i="7"/>
  <c r="B19" i="7"/>
  <c r="A19" i="7"/>
  <c r="B18" i="7"/>
  <c r="A18" i="7"/>
  <c r="B17" i="7"/>
  <c r="A17" i="7"/>
  <c r="A14" i="7"/>
  <c r="B47" i="6"/>
  <c r="B45" i="6"/>
  <c r="B44" i="6"/>
  <c r="B46" i="6" s="1"/>
  <c r="B43" i="6"/>
  <c r="B42" i="6"/>
  <c r="B41" i="6"/>
  <c r="D33" i="6"/>
  <c r="C33" i="6"/>
  <c r="A33" i="6"/>
  <c r="D32" i="6"/>
  <c r="C32" i="6"/>
  <c r="A32" i="6"/>
  <c r="D31" i="6"/>
  <c r="C31" i="6"/>
  <c r="A31" i="6"/>
  <c r="D30" i="6"/>
  <c r="C30" i="6"/>
  <c r="A30" i="6"/>
  <c r="D29" i="6"/>
  <c r="C29" i="6"/>
  <c r="A29" i="6"/>
  <c r="D28" i="6"/>
  <c r="C28" i="6"/>
  <c r="A28" i="6"/>
  <c r="D27" i="6"/>
  <c r="C27" i="6"/>
  <c r="A27" i="6"/>
  <c r="D26" i="6"/>
  <c r="C26" i="6"/>
  <c r="A35" i="6" s="1"/>
  <c r="A26" i="6"/>
  <c r="D25" i="6"/>
  <c r="C25" i="6"/>
  <c r="A25" i="6"/>
  <c r="D24" i="6"/>
  <c r="C24" i="6"/>
  <c r="A24" i="6"/>
  <c r="B18" i="6"/>
  <c r="A18" i="6"/>
  <c r="B17" i="6"/>
  <c r="A17" i="6"/>
  <c r="B16" i="6"/>
  <c r="A16" i="6"/>
  <c r="B15" i="6"/>
  <c r="A15" i="6"/>
  <c r="A12" i="6"/>
  <c r="B63" i="5"/>
  <c r="B57" i="5"/>
  <c r="B5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A37" i="5" s="1"/>
  <c r="D26" i="5"/>
  <c r="C26" i="5"/>
  <c r="B21" i="5"/>
  <c r="A21" i="5"/>
  <c r="B20" i="5"/>
  <c r="A20" i="5"/>
  <c r="B19" i="5"/>
  <c r="A19" i="5"/>
  <c r="B18" i="5"/>
  <c r="A18" i="5"/>
  <c r="B17" i="5"/>
  <c r="A17" i="5"/>
  <c r="B16" i="5"/>
  <c r="A16" i="5"/>
  <c r="B64" i="4"/>
  <c r="B61" i="4"/>
  <c r="B60" i="4"/>
  <c r="B59" i="4"/>
  <c r="B54" i="4" s="1"/>
  <c r="B58" i="4"/>
  <c r="B62" i="4" s="1"/>
  <c r="B56" i="4"/>
  <c r="B55" i="4"/>
  <c r="F27" i="13" s="1"/>
  <c r="B51" i="4"/>
  <c r="B45" i="4"/>
  <c r="B43" i="4"/>
  <c r="B41" i="4"/>
  <c r="N4" i="13" s="1"/>
  <c r="D33" i="4"/>
  <c r="C33" i="4"/>
  <c r="A33" i="4"/>
  <c r="D32" i="4"/>
  <c r="C32" i="4"/>
  <c r="A32" i="4"/>
  <c r="D31" i="4"/>
  <c r="C31" i="4"/>
  <c r="A31" i="4"/>
  <c r="D30" i="4"/>
  <c r="C30" i="4"/>
  <c r="A30" i="4"/>
  <c r="D29" i="4"/>
  <c r="C29" i="4"/>
  <c r="A29" i="4"/>
  <c r="D28" i="4"/>
  <c r="C28" i="4"/>
  <c r="A28" i="4"/>
  <c r="D27" i="4"/>
  <c r="C27" i="4"/>
  <c r="A27" i="4"/>
  <c r="D26" i="4"/>
  <c r="C26" i="4"/>
  <c r="A26" i="4"/>
  <c r="D25" i="4"/>
  <c r="C25" i="4"/>
  <c r="A35" i="4" s="1"/>
  <c r="A25" i="4"/>
  <c r="D24" i="4"/>
  <c r="C24" i="4"/>
  <c r="A24" i="4"/>
  <c r="B18" i="4"/>
  <c r="A18" i="4"/>
  <c r="B17" i="4"/>
  <c r="A17" i="4"/>
  <c r="B16" i="4"/>
  <c r="A16" i="4"/>
  <c r="B15" i="4"/>
  <c r="A15" i="4"/>
  <c r="A13" i="4"/>
  <c r="I16" i="3"/>
  <c r="D16" i="3"/>
  <c r="F16" i="3" s="1"/>
  <c r="D15" i="3"/>
  <c r="D14" i="3"/>
  <c r="F14" i="3" s="1"/>
  <c r="D13" i="3"/>
  <c r="I12" i="3"/>
  <c r="I14" i="3" s="1"/>
  <c r="E12" i="3"/>
  <c r="D12" i="3"/>
  <c r="I11" i="3"/>
  <c r="D11" i="3"/>
  <c r="F11" i="3" s="1"/>
  <c r="D10" i="3"/>
  <c r="F10" i="3" s="1"/>
  <c r="I9" i="3"/>
  <c r="J9" i="3" s="1"/>
  <c r="E9" i="3"/>
  <c r="D9" i="3"/>
  <c r="D8" i="3"/>
  <c r="F8" i="3" s="1"/>
  <c r="E7" i="3"/>
  <c r="D7" i="3"/>
  <c r="D6" i="3"/>
  <c r="E6" i="3" s="1"/>
  <c r="F5" i="3"/>
  <c r="E5" i="3"/>
  <c r="D5" i="3"/>
  <c r="B21" i="2"/>
  <c r="B22" i="2" s="1"/>
  <c r="B19" i="2"/>
  <c r="C19" i="2" s="1"/>
  <c r="C17" i="2"/>
  <c r="C20" i="2" s="1"/>
  <c r="B17" i="2"/>
  <c r="B20" i="2" s="1"/>
  <c r="B13" i="1"/>
  <c r="B12" i="1"/>
  <c r="B17" i="1" s="1"/>
  <c r="B11" i="1"/>
  <c r="B10" i="1"/>
  <c r="B44" i="4" l="1"/>
  <c r="B50" i="4" s="1"/>
  <c r="B52" i="4"/>
  <c r="B57" i="4"/>
  <c r="B53" i="4"/>
  <c r="B275" i="13" s="1"/>
  <c r="B46" i="4"/>
  <c r="B59" i="5"/>
  <c r="A34" i="5"/>
  <c r="A30" i="5"/>
  <c r="A26" i="5"/>
  <c r="A33" i="5"/>
  <c r="A29" i="5"/>
  <c r="A14" i="5"/>
  <c r="C21" i="2"/>
  <c r="C22" i="2" s="1"/>
  <c r="E10" i="3"/>
  <c r="E11" i="3"/>
  <c r="A27" i="5"/>
  <c r="A28" i="5"/>
  <c r="A35" i="5"/>
  <c r="AY5" i="13"/>
  <c r="AY4" i="13"/>
  <c r="AX5" i="13"/>
  <c r="AX4" i="13"/>
  <c r="B27" i="8"/>
  <c r="B28" i="8" s="1"/>
  <c r="B29" i="8" s="1"/>
  <c r="B25" i="8"/>
  <c r="B26" i="8"/>
  <c r="B18" i="9"/>
  <c r="B236" i="13"/>
  <c r="B188" i="13"/>
  <c r="B134" i="13"/>
  <c r="B293" i="13"/>
  <c r="B269" i="13"/>
  <c r="B245" i="13"/>
  <c r="B221" i="13"/>
  <c r="B197" i="13"/>
  <c r="B173" i="13"/>
  <c r="B149" i="13"/>
  <c r="B125" i="13"/>
  <c r="B266" i="13"/>
  <c r="B218" i="13"/>
  <c r="B170" i="13"/>
  <c r="B77" i="13"/>
  <c r="B35" i="13"/>
  <c r="B68" i="13"/>
  <c r="B128" i="13"/>
  <c r="B101" i="13"/>
  <c r="B95" i="13"/>
  <c r="B53" i="13"/>
  <c r="B104" i="13"/>
  <c r="B62" i="13"/>
  <c r="B23" i="13"/>
  <c r="B17" i="13"/>
  <c r="B5" i="13"/>
  <c r="B16" i="1"/>
  <c r="B18" i="1" s="1"/>
  <c r="E14" i="3"/>
  <c r="E16" i="3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0" i="12"/>
  <c r="E6" i="12"/>
  <c r="E75" i="12"/>
  <c r="E13" i="12"/>
  <c r="E9" i="12"/>
  <c r="E5" i="12"/>
  <c r="E12" i="12"/>
  <c r="E8" i="12"/>
  <c r="E4" i="12"/>
  <c r="E11" i="12"/>
  <c r="E7" i="12"/>
  <c r="E3" i="12"/>
  <c r="B18" i="2"/>
  <c r="I10" i="3"/>
  <c r="F6" i="3"/>
  <c r="E8" i="3"/>
  <c r="F9" i="3"/>
  <c r="F13" i="3"/>
  <c r="I13" i="3" s="1"/>
  <c r="F15" i="3"/>
  <c r="B60" i="5"/>
  <c r="B62" i="5" s="1"/>
  <c r="D75" i="12"/>
  <c r="B13" i="12"/>
  <c r="C12" i="12"/>
  <c r="D11" i="12"/>
  <c r="B9" i="12"/>
  <c r="C8" i="12"/>
  <c r="D7" i="12"/>
  <c r="B5" i="12"/>
  <c r="C4" i="12"/>
  <c r="D3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B12" i="12"/>
  <c r="C11" i="12"/>
  <c r="D10" i="12"/>
  <c r="B8" i="12"/>
  <c r="C7" i="12"/>
  <c r="D6" i="12"/>
  <c r="B4" i="12"/>
  <c r="C3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D13" i="12"/>
  <c r="B11" i="12"/>
  <c r="C10" i="12"/>
  <c r="D9" i="12"/>
  <c r="B7" i="12"/>
  <c r="C6" i="12"/>
  <c r="D5" i="12"/>
  <c r="B3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C13" i="12"/>
  <c r="D12" i="12"/>
  <c r="B10" i="12"/>
  <c r="C9" i="12"/>
  <c r="D8" i="12"/>
  <c r="B6" i="12"/>
  <c r="C5" i="12"/>
  <c r="D4" i="12"/>
  <c r="C18" i="2"/>
  <c r="F7" i="3"/>
  <c r="F12" i="3"/>
  <c r="E13" i="3"/>
  <c r="E15" i="3"/>
  <c r="A12" i="4"/>
  <c r="D149" i="13"/>
  <c r="D137" i="13"/>
  <c r="D125" i="13"/>
  <c r="D152" i="13"/>
  <c r="D140" i="13"/>
  <c r="D128" i="13"/>
  <c r="D155" i="13"/>
  <c r="D143" i="13"/>
  <c r="D131" i="13"/>
  <c r="D119" i="13"/>
  <c r="D113" i="13"/>
  <c r="D101" i="13"/>
  <c r="D95" i="13"/>
  <c r="D89" i="13"/>
  <c r="D83" i="13"/>
  <c r="D65" i="13"/>
  <c r="D53" i="13"/>
  <c r="D41" i="13"/>
  <c r="D122" i="13"/>
  <c r="D116" i="13"/>
  <c r="D104" i="13"/>
  <c r="D92" i="13"/>
  <c r="D80" i="13"/>
  <c r="D74" i="13"/>
  <c r="D62" i="13"/>
  <c r="D44" i="13"/>
  <c r="D32" i="13"/>
  <c r="D134" i="13"/>
  <c r="D107" i="13"/>
  <c r="D77" i="13"/>
  <c r="D71" i="13"/>
  <c r="D59" i="13"/>
  <c r="D47" i="13"/>
  <c r="D35" i="13"/>
  <c r="D146" i="13"/>
  <c r="D110" i="13"/>
  <c r="D98" i="13"/>
  <c r="D86" i="13"/>
  <c r="D68" i="13"/>
  <c r="D56" i="13"/>
  <c r="D50" i="13"/>
  <c r="D29" i="13"/>
  <c r="J14" i="13"/>
  <c r="L13" i="13"/>
  <c r="J9" i="13"/>
  <c r="L12" i="13"/>
  <c r="J11" i="13"/>
  <c r="L10" i="13"/>
  <c r="J8" i="13"/>
  <c r="J7" i="13"/>
  <c r="L6" i="13"/>
  <c r="D38" i="13"/>
  <c r="D26" i="13"/>
  <c r="D20" i="13"/>
  <c r="D17" i="13"/>
  <c r="L14" i="13"/>
  <c r="D14" i="13"/>
  <c r="J12" i="13"/>
  <c r="J10" i="13"/>
  <c r="L9" i="13"/>
  <c r="L11" i="13"/>
  <c r="D5" i="13"/>
  <c r="L4" i="13"/>
  <c r="D11" i="13"/>
  <c r="L8" i="13"/>
  <c r="L5" i="13"/>
  <c r="D23" i="13"/>
  <c r="J13" i="13"/>
  <c r="D8" i="13"/>
  <c r="L7" i="13"/>
  <c r="A31" i="5"/>
  <c r="A32" i="5"/>
  <c r="B61" i="5"/>
  <c r="BS5" i="13"/>
  <c r="BR5" i="13"/>
  <c r="BS4" i="13"/>
  <c r="A54" i="15"/>
  <c r="D50" i="15"/>
  <c r="D49" i="15"/>
  <c r="D46" i="15"/>
  <c r="D45" i="15"/>
  <c r="D23" i="15"/>
  <c r="D22" i="15"/>
  <c r="E22" i="15" s="1"/>
  <c r="D21" i="15"/>
  <c r="D20" i="15"/>
  <c r="E20" i="15" s="1"/>
  <c r="D19" i="15"/>
  <c r="D18" i="15"/>
  <c r="E18" i="15" s="1"/>
  <c r="D17" i="15"/>
  <c r="D16" i="15"/>
  <c r="D15" i="15"/>
  <c r="D14" i="15"/>
  <c r="E14" i="15" s="1"/>
  <c r="D13" i="15"/>
  <c r="D12" i="15"/>
  <c r="E12" i="15" s="1"/>
  <c r="E50" i="15"/>
  <c r="A28" i="15"/>
  <c r="B28" i="15" s="1"/>
  <c r="A24" i="15"/>
  <c r="A20" i="15"/>
  <c r="B20" i="15" s="1"/>
  <c r="A16" i="15"/>
  <c r="B16" i="15" s="1"/>
  <c r="A12" i="15"/>
  <c r="A11" i="15"/>
  <c r="B11" i="15" s="1"/>
  <c r="A10" i="15"/>
  <c r="B10" i="15" s="1"/>
  <c r="A9" i="15"/>
  <c r="A8" i="15"/>
  <c r="A7" i="15"/>
  <c r="B7" i="15" s="1"/>
  <c r="A6" i="15"/>
  <c r="B6" i="15" s="1"/>
  <c r="A5" i="15"/>
  <c r="A4" i="15"/>
  <c r="A25" i="15"/>
  <c r="B25" i="15" s="1"/>
  <c r="E23" i="15"/>
  <c r="A21" i="15"/>
  <c r="B21" i="15" s="1"/>
  <c r="E19" i="15"/>
  <c r="B18" i="15"/>
  <c r="A17" i="15"/>
  <c r="B17" i="15" s="1"/>
  <c r="E15" i="15"/>
  <c r="A13" i="15"/>
  <c r="B13" i="15" s="1"/>
  <c r="E10" i="15"/>
  <c r="E8" i="15"/>
  <c r="E6" i="15"/>
  <c r="E4" i="15"/>
  <c r="A26" i="15"/>
  <c r="B26" i="15" s="1"/>
  <c r="A22" i="15"/>
  <c r="B22" i="15" s="1"/>
  <c r="A18" i="15"/>
  <c r="E16" i="15"/>
  <c r="A14" i="15"/>
  <c r="B14" i="15" s="1"/>
  <c r="D11" i="15"/>
  <c r="E11" i="15" s="1"/>
  <c r="D10" i="15"/>
  <c r="D9" i="15"/>
  <c r="E9" i="15" s="1"/>
  <c r="D8" i="15"/>
  <c r="D7" i="15"/>
  <c r="E7" i="15" s="1"/>
  <c r="D6" i="15"/>
  <c r="D5" i="15"/>
  <c r="E5" i="15" s="1"/>
  <c r="D4" i="15"/>
  <c r="A27" i="15"/>
  <c r="B27" i="15" s="1"/>
  <c r="B24" i="15"/>
  <c r="A23" i="15"/>
  <c r="B23" i="15" s="1"/>
  <c r="E21" i="15"/>
  <c r="A19" i="15"/>
  <c r="B19" i="15" s="1"/>
  <c r="E17" i="15"/>
  <c r="A15" i="15"/>
  <c r="B15" i="15" s="1"/>
  <c r="E13" i="15"/>
  <c r="B12" i="15"/>
  <c r="B9" i="15"/>
  <c r="B8" i="15"/>
  <c r="B5" i="15"/>
  <c r="B4" i="15"/>
  <c r="E20" i="10"/>
  <c r="F36" i="10"/>
  <c r="F4" i="13"/>
  <c r="H14" i="13"/>
  <c r="H17" i="13"/>
  <c r="H26" i="13"/>
  <c r="B42" i="4"/>
  <c r="BI30" i="4" s="1"/>
  <c r="C20" i="8"/>
  <c r="C22" i="8" s="1"/>
  <c r="C23" i="8" s="1"/>
  <c r="E24" i="15"/>
  <c r="E25" i="15"/>
  <c r="E19" i="10"/>
  <c r="B20" i="10"/>
  <c r="F20" i="10"/>
  <c r="D23" i="10"/>
  <c r="D24" i="10"/>
  <c r="D25" i="10"/>
  <c r="D26" i="10"/>
  <c r="D27" i="10"/>
  <c r="D28" i="10"/>
  <c r="D31" i="10"/>
  <c r="C32" i="10"/>
  <c r="D35" i="10"/>
  <c r="C36" i="10"/>
  <c r="F10" i="13"/>
  <c r="F12" i="13"/>
  <c r="H20" i="13"/>
  <c r="H52" i="13"/>
  <c r="F49" i="13"/>
  <c r="H48" i="13"/>
  <c r="H47" i="13"/>
  <c r="F45" i="13"/>
  <c r="F44" i="13"/>
  <c r="H40" i="13"/>
  <c r="F39" i="13"/>
  <c r="H36" i="13"/>
  <c r="H35" i="13"/>
  <c r="F32" i="13"/>
  <c r="F31" i="13"/>
  <c r="H29" i="13"/>
  <c r="F52" i="13"/>
  <c r="H51" i="13"/>
  <c r="H50" i="13"/>
  <c r="F48" i="13"/>
  <c r="F47" i="13"/>
  <c r="H43" i="13"/>
  <c r="F40" i="13"/>
  <c r="H38" i="13"/>
  <c r="H37" i="13"/>
  <c r="F36" i="13"/>
  <c r="F35" i="13"/>
  <c r="H33" i="13"/>
  <c r="F29" i="13"/>
  <c r="H54" i="13"/>
  <c r="H53" i="13"/>
  <c r="F51" i="13"/>
  <c r="F50" i="13"/>
  <c r="H46" i="13"/>
  <c r="F43" i="13"/>
  <c r="H42" i="13"/>
  <c r="H41" i="13"/>
  <c r="F38" i="13"/>
  <c r="F37" i="13"/>
  <c r="H34" i="13"/>
  <c r="F33" i="13"/>
  <c r="F54" i="13"/>
  <c r="F53" i="13"/>
  <c r="H49" i="13"/>
  <c r="F46" i="13"/>
  <c r="H30" i="13"/>
  <c r="H27" i="13"/>
  <c r="H25" i="13"/>
  <c r="F23" i="13"/>
  <c r="H21" i="13"/>
  <c r="H19" i="13"/>
  <c r="H12" i="13"/>
  <c r="F11" i="13"/>
  <c r="F8" i="13"/>
  <c r="F7" i="13"/>
  <c r="H45" i="13"/>
  <c r="H44" i="13"/>
  <c r="F42" i="13"/>
  <c r="F41" i="13"/>
  <c r="H39" i="13"/>
  <c r="F34" i="13"/>
  <c r="H32" i="13"/>
  <c r="H28" i="13"/>
  <c r="F26" i="13"/>
  <c r="H24" i="13"/>
  <c r="H22" i="13"/>
  <c r="F20" i="13"/>
  <c r="H18" i="13"/>
  <c r="F17" i="13"/>
  <c r="H16" i="13"/>
  <c r="H15" i="13"/>
  <c r="F14" i="13"/>
  <c r="H13" i="13"/>
  <c r="F9" i="13"/>
  <c r="H31" i="13"/>
  <c r="F28" i="13"/>
  <c r="F24" i="13"/>
  <c r="H23" i="13"/>
  <c r="F22" i="13"/>
  <c r="F18" i="13"/>
  <c r="F16" i="13"/>
  <c r="F15" i="13"/>
  <c r="F13" i="13"/>
  <c r="H11" i="13"/>
  <c r="F5" i="13"/>
  <c r="B21" i="9"/>
  <c r="B15" i="10"/>
  <c r="E15" i="10" s="1"/>
  <c r="B19" i="10"/>
  <c r="C20" i="10"/>
  <c r="G20" i="10"/>
  <c r="E31" i="10"/>
  <c r="D32" i="10"/>
  <c r="E35" i="10"/>
  <c r="D36" i="10"/>
  <c r="F21" i="13"/>
  <c r="F25" i="13"/>
  <c r="BB85" i="13"/>
  <c r="BA85" i="13"/>
  <c r="A52" i="15"/>
  <c r="B52" i="15" s="1"/>
  <c r="D48" i="15"/>
  <c r="D47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A53" i="15"/>
  <c r="B53" i="15" s="1"/>
  <c r="A48" i="15"/>
  <c r="B48" i="15" s="1"/>
  <c r="A44" i="15"/>
  <c r="B44" i="15" s="1"/>
  <c r="A40" i="15"/>
  <c r="B40" i="15" s="1"/>
  <c r="A36" i="15"/>
  <c r="B36" i="15" s="1"/>
  <c r="A32" i="15"/>
  <c r="B32" i="15" s="1"/>
  <c r="A49" i="15"/>
  <c r="B49" i="15" s="1"/>
  <c r="A45" i="15"/>
  <c r="B45" i="15" s="1"/>
  <c r="A41" i="15"/>
  <c r="B41" i="15" s="1"/>
  <c r="A37" i="15"/>
  <c r="B37" i="15" s="1"/>
  <c r="A33" i="15"/>
  <c r="B33" i="15" s="1"/>
  <c r="A29" i="15"/>
  <c r="B29" i="15" s="1"/>
  <c r="A50" i="15"/>
  <c r="B50" i="15" s="1"/>
  <c r="A46" i="15"/>
  <c r="B46" i="15" s="1"/>
  <c r="A42" i="15"/>
  <c r="B42" i="15" s="1"/>
  <c r="A38" i="15"/>
  <c r="B38" i="15" s="1"/>
  <c r="A34" i="15"/>
  <c r="B34" i="15" s="1"/>
  <c r="A30" i="15"/>
  <c r="B30" i="15" s="1"/>
  <c r="A51" i="15"/>
  <c r="B51" i="15" s="1"/>
  <c r="A47" i="15"/>
  <c r="B47" i="15" s="1"/>
  <c r="A43" i="15"/>
  <c r="B43" i="15" s="1"/>
  <c r="A39" i="15"/>
  <c r="B39" i="15" s="1"/>
  <c r="A35" i="15"/>
  <c r="B35" i="15" s="1"/>
  <c r="A31" i="15"/>
  <c r="B31" i="15" s="1"/>
  <c r="BR4" i="13"/>
  <c r="F6" i="13"/>
  <c r="F19" i="13"/>
  <c r="F30" i="13"/>
  <c r="R21" i="16"/>
  <c r="N21" i="16"/>
  <c r="T21" i="16"/>
  <c r="P21" i="16"/>
  <c r="G6" i="16"/>
  <c r="B18" i="10" s="1"/>
  <c r="R27" i="16"/>
  <c r="N27" i="16"/>
  <c r="T27" i="16"/>
  <c r="P27" i="16"/>
  <c r="G7" i="16"/>
  <c r="R3" i="16"/>
  <c r="N3" i="16"/>
  <c r="T3" i="16"/>
  <c r="P3" i="16"/>
  <c r="R33" i="16"/>
  <c r="N33" i="16"/>
  <c r="T33" i="16"/>
  <c r="P33" i="16"/>
  <c r="G8" i="16"/>
  <c r="E4" i="16"/>
  <c r="F4" i="16" s="1"/>
  <c r="B12" i="16"/>
  <c r="D5" i="10" s="1"/>
  <c r="E5" i="16"/>
  <c r="F5" i="16" s="1"/>
  <c r="B64" i="5" l="1"/>
  <c r="A13" i="5" s="1"/>
  <c r="B26" i="13"/>
  <c r="B32" i="13"/>
  <c r="B74" i="13"/>
  <c r="B116" i="13"/>
  <c r="B65" i="13"/>
  <c r="B38" i="13"/>
  <c r="B86" i="13"/>
  <c r="B47" i="13"/>
  <c r="B107" i="13"/>
  <c r="B182" i="13"/>
  <c r="B230" i="13"/>
  <c r="B278" i="13"/>
  <c r="B137" i="13"/>
  <c r="B185" i="13"/>
  <c r="B233" i="13"/>
  <c r="B281" i="13"/>
  <c r="B146" i="13"/>
  <c r="B200" i="13"/>
  <c r="B248" i="13"/>
  <c r="B296" i="13"/>
  <c r="B155" i="13"/>
  <c r="B203" i="13"/>
  <c r="B251" i="13"/>
  <c r="B299" i="13"/>
  <c r="B284" i="13"/>
  <c r="B143" i="13"/>
  <c r="B191" i="13"/>
  <c r="B239" i="13"/>
  <c r="B287" i="13"/>
  <c r="B20" i="13"/>
  <c r="B8" i="13"/>
  <c r="B29" i="13"/>
  <c r="B80" i="13"/>
  <c r="B140" i="13"/>
  <c r="B83" i="13"/>
  <c r="B113" i="13"/>
  <c r="B50" i="13"/>
  <c r="B98" i="13"/>
  <c r="B59" i="13"/>
  <c r="B152" i="13"/>
  <c r="B194" i="13"/>
  <c r="B242" i="13"/>
  <c r="B290" i="13"/>
  <c r="B164" i="13"/>
  <c r="B212" i="13"/>
  <c r="B260" i="13"/>
  <c r="B119" i="13"/>
  <c r="B167" i="13"/>
  <c r="B215" i="13"/>
  <c r="B263" i="13"/>
  <c r="BI31" i="4"/>
  <c r="B14" i="13"/>
  <c r="B11" i="13"/>
  <c r="B44" i="13"/>
  <c r="B92" i="13"/>
  <c r="B41" i="13"/>
  <c r="B89" i="13"/>
  <c r="B122" i="13"/>
  <c r="B56" i="13"/>
  <c r="B110" i="13"/>
  <c r="B71" i="13"/>
  <c r="B158" i="13"/>
  <c r="B206" i="13"/>
  <c r="B254" i="13"/>
  <c r="B302" i="13"/>
  <c r="B161" i="13"/>
  <c r="B209" i="13"/>
  <c r="B257" i="13"/>
  <c r="B305" i="13"/>
  <c r="B176" i="13"/>
  <c r="B224" i="13"/>
  <c r="B272" i="13"/>
  <c r="B131" i="13"/>
  <c r="B179" i="13"/>
  <c r="B227" i="13"/>
  <c r="B47" i="4"/>
  <c r="B48" i="4"/>
  <c r="F18" i="10"/>
  <c r="D18" i="10"/>
  <c r="C18" i="10"/>
  <c r="G4" i="16"/>
  <c r="B16" i="10" s="1"/>
  <c r="T9" i="16"/>
  <c r="P9" i="16"/>
  <c r="R9" i="16"/>
  <c r="N9" i="16"/>
  <c r="N34" i="16"/>
  <c r="N37" i="16" s="1"/>
  <c r="P22" i="16"/>
  <c r="P25" i="16" s="1"/>
  <c r="I15" i="3"/>
  <c r="J10" i="3"/>
  <c r="R15" i="16"/>
  <c r="N15" i="16"/>
  <c r="T15" i="16"/>
  <c r="P15" i="16"/>
  <c r="G5" i="16"/>
  <c r="B17" i="10" s="1"/>
  <c r="D33" i="10"/>
  <c r="E33" i="10"/>
  <c r="P34" i="16"/>
  <c r="P37" i="16" s="1"/>
  <c r="P7" i="16"/>
  <c r="P4" i="16"/>
  <c r="P6" i="16" s="1"/>
  <c r="R31" i="16"/>
  <c r="R30" i="16"/>
  <c r="R28" i="16"/>
  <c r="N22" i="16"/>
  <c r="N25" i="16" s="1"/>
  <c r="F33" i="10"/>
  <c r="BH32" i="4"/>
  <c r="BH28" i="4"/>
  <c r="BH24" i="4"/>
  <c r="BI27" i="4"/>
  <c r="BH29" i="4"/>
  <c r="BI32" i="4"/>
  <c r="E32" i="10"/>
  <c r="T4" i="16"/>
  <c r="T7" i="16" s="1"/>
  <c r="T6" i="16"/>
  <c r="R22" i="16"/>
  <c r="R25" i="16" s="1"/>
  <c r="H13" i="12"/>
  <c r="H9" i="12"/>
  <c r="H5" i="12"/>
  <c r="H12" i="12"/>
  <c r="H8" i="12"/>
  <c r="H4" i="12"/>
  <c r="H11" i="12"/>
  <c r="H7" i="12"/>
  <c r="H3" i="12"/>
  <c r="C24" i="2"/>
  <c r="C25" i="2" s="1"/>
  <c r="H10" i="12"/>
  <c r="H6" i="12"/>
  <c r="C23" i="2"/>
  <c r="A27" i="2" s="1"/>
  <c r="BH26" i="4"/>
  <c r="C33" i="10"/>
  <c r="BH25" i="4"/>
  <c r="B46" i="5"/>
  <c r="B42" i="5"/>
  <c r="B53" i="5"/>
  <c r="B45" i="5"/>
  <c r="B41" i="5"/>
  <c r="B44" i="5"/>
  <c r="B49" i="5" s="1"/>
  <c r="B43" i="5"/>
  <c r="B48" i="5" s="1"/>
  <c r="B47" i="5"/>
  <c r="BI25" i="4"/>
  <c r="E18" i="10"/>
  <c r="G18" i="10" s="1"/>
  <c r="B58" i="5"/>
  <c r="BI24" i="4"/>
  <c r="BI29" i="4"/>
  <c r="BH27" i="4"/>
  <c r="T37" i="16"/>
  <c r="T36" i="16"/>
  <c r="T34" i="16"/>
  <c r="P28" i="16"/>
  <c r="P31" i="16" s="1"/>
  <c r="C15" i="10"/>
  <c r="D15" i="10"/>
  <c r="N6" i="16"/>
  <c r="N7" i="16"/>
  <c r="N4" i="16"/>
  <c r="T28" i="16"/>
  <c r="T30" i="16" s="1"/>
  <c r="E42" i="15"/>
  <c r="E38" i="15"/>
  <c r="E34" i="15"/>
  <c r="E30" i="15"/>
  <c r="E2" i="15" s="1"/>
  <c r="E26" i="15"/>
  <c r="E43" i="15"/>
  <c r="E39" i="15"/>
  <c r="E35" i="15"/>
  <c r="E31" i="15"/>
  <c r="E27" i="15"/>
  <c r="E44" i="15"/>
  <c r="E45" i="15" s="1"/>
  <c r="E40" i="15"/>
  <c r="E36" i="15"/>
  <c r="E32" i="15"/>
  <c r="E28" i="15"/>
  <c r="E41" i="15"/>
  <c r="E37" i="15"/>
  <c r="E33" i="15"/>
  <c r="E29" i="15"/>
  <c r="F32" i="10"/>
  <c r="B14" i="1"/>
  <c r="B15" i="1" s="1"/>
  <c r="F15" i="10"/>
  <c r="G15" i="10" s="1"/>
  <c r="R37" i="16"/>
  <c r="R36" i="16"/>
  <c r="R34" i="16"/>
  <c r="R4" i="16"/>
  <c r="R7" i="16" s="1"/>
  <c r="N28" i="16"/>
  <c r="N31" i="16" s="1"/>
  <c r="T25" i="16"/>
  <c r="T24" i="16"/>
  <c r="T22" i="16"/>
  <c r="G22" i="14"/>
  <c r="G6" i="14"/>
  <c r="G13" i="14"/>
  <c r="G24" i="14"/>
  <c r="G8" i="14"/>
  <c r="G19" i="14"/>
  <c r="C27" i="8"/>
  <c r="B2" i="15"/>
  <c r="BI26" i="4"/>
  <c r="B24" i="2"/>
  <c r="B25" i="2" s="1"/>
  <c r="B23" i="2"/>
  <c r="BH30" i="4"/>
  <c r="C25" i="8"/>
  <c r="B32" i="8" s="1"/>
  <c r="BH33" i="4"/>
  <c r="BI28" i="4"/>
  <c r="BI33" i="4"/>
  <c r="BH31" i="4"/>
  <c r="B63" i="4" l="1"/>
  <c r="F1" i="17"/>
  <c r="B49" i="4"/>
  <c r="C136" i="13" s="1"/>
  <c r="C137" i="13" s="1"/>
  <c r="B25" i="9"/>
  <c r="B23" i="9"/>
  <c r="T19" i="16"/>
  <c r="T18" i="16"/>
  <c r="T16" i="16"/>
  <c r="R10" i="16"/>
  <c r="R12" i="16" s="1"/>
  <c r="G26" i="14"/>
  <c r="P30" i="16"/>
  <c r="N24" i="16"/>
  <c r="N16" i="16"/>
  <c r="N19" i="16" s="1"/>
  <c r="N36" i="16"/>
  <c r="P10" i="16"/>
  <c r="P13" i="16" s="1"/>
  <c r="B22" i="9"/>
  <c r="B24" i="9"/>
  <c r="G11" i="14"/>
  <c r="G27" i="14"/>
  <c r="G16" i="14"/>
  <c r="G5" i="14"/>
  <c r="G21" i="14"/>
  <c r="G14" i="14"/>
  <c r="N30" i="16"/>
  <c r="R6" i="16"/>
  <c r="T31" i="16"/>
  <c r="R24" i="16"/>
  <c r="C148" i="13"/>
  <c r="C149" i="13" s="1"/>
  <c r="C124" i="13"/>
  <c r="C125" i="13" s="1"/>
  <c r="C151" i="13"/>
  <c r="C152" i="13" s="1"/>
  <c r="C139" i="13"/>
  <c r="C140" i="13" s="1"/>
  <c r="C127" i="13"/>
  <c r="C128" i="13" s="1"/>
  <c r="C154" i="13"/>
  <c r="C155" i="13" s="1"/>
  <c r="C142" i="13"/>
  <c r="C143" i="13" s="1"/>
  <c r="C130" i="13"/>
  <c r="C131" i="13" s="1"/>
  <c r="C118" i="13"/>
  <c r="C119" i="13" s="1"/>
  <c r="C145" i="13"/>
  <c r="C146" i="13" s="1"/>
  <c r="C112" i="13"/>
  <c r="C113" i="13" s="1"/>
  <c r="C100" i="13"/>
  <c r="C101" i="13" s="1"/>
  <c r="C88" i="13"/>
  <c r="C89" i="13" s="1"/>
  <c r="C82" i="13"/>
  <c r="C83" i="13" s="1"/>
  <c r="C76" i="13"/>
  <c r="C77" i="13" s="1"/>
  <c r="C64" i="13"/>
  <c r="C65" i="13" s="1"/>
  <c r="C46" i="13"/>
  <c r="C47" i="13" s="1"/>
  <c r="C34" i="13"/>
  <c r="C35" i="13" s="1"/>
  <c r="C115" i="13"/>
  <c r="C116" i="13" s="1"/>
  <c r="C103" i="13"/>
  <c r="C104" i="13" s="1"/>
  <c r="C97" i="13"/>
  <c r="C98" i="13" s="1"/>
  <c r="C85" i="13"/>
  <c r="C86" i="13" s="1"/>
  <c r="C73" i="13"/>
  <c r="C74" i="13" s="1"/>
  <c r="C61" i="13"/>
  <c r="C62" i="13" s="1"/>
  <c r="C49" i="13"/>
  <c r="C50" i="13" s="1"/>
  <c r="C31" i="13"/>
  <c r="C32" i="13" s="1"/>
  <c r="C106" i="13"/>
  <c r="C107" i="13" s="1"/>
  <c r="C94" i="13"/>
  <c r="C95" i="13" s="1"/>
  <c r="C70" i="13"/>
  <c r="C71" i="13" s="1"/>
  <c r="C58" i="13"/>
  <c r="C59" i="13" s="1"/>
  <c r="C52" i="13"/>
  <c r="C53" i="13" s="1"/>
  <c r="C40" i="13"/>
  <c r="C41" i="13" s="1"/>
  <c r="C133" i="13"/>
  <c r="C134" i="13" s="1"/>
  <c r="C121" i="13"/>
  <c r="C122" i="13" s="1"/>
  <c r="C109" i="13"/>
  <c r="C110" i="13" s="1"/>
  <c r="C91" i="13"/>
  <c r="C92" i="13" s="1"/>
  <c r="C79" i="13"/>
  <c r="C80" i="13" s="1"/>
  <c r="C67" i="13"/>
  <c r="C68" i="13" s="1"/>
  <c r="C55" i="13"/>
  <c r="C56" i="13" s="1"/>
  <c r="C28" i="13"/>
  <c r="C29" i="13" s="1"/>
  <c r="C22" i="13"/>
  <c r="C23" i="13" s="1"/>
  <c r="C16" i="13"/>
  <c r="C17" i="13" s="1"/>
  <c r="C13" i="13"/>
  <c r="C14" i="13" s="1"/>
  <c r="C37" i="13"/>
  <c r="C38" i="13" s="1"/>
  <c r="C43" i="13"/>
  <c r="C44" i="13" s="1"/>
  <c r="C25" i="13"/>
  <c r="C26" i="13" s="1"/>
  <c r="C19" i="13"/>
  <c r="C20" i="13" s="1"/>
  <c r="C10" i="13"/>
  <c r="C11" i="13" s="1"/>
  <c r="C7" i="13"/>
  <c r="C8" i="13" s="1"/>
  <c r="C4" i="13"/>
  <c r="C5" i="13" s="1"/>
  <c r="J6" i="13"/>
  <c r="J5" i="13"/>
  <c r="J4" i="13"/>
  <c r="P36" i="16"/>
  <c r="F17" i="10"/>
  <c r="C17" i="10"/>
  <c r="E17" i="10"/>
  <c r="D17" i="10"/>
  <c r="R19" i="16"/>
  <c r="R16" i="16"/>
  <c r="R18" i="16" s="1"/>
  <c r="P24" i="16"/>
  <c r="T13" i="16"/>
  <c r="T10" i="16"/>
  <c r="T12" i="16" s="1"/>
  <c r="C31" i="8"/>
  <c r="C28" i="8"/>
  <c r="C29" i="8" s="1"/>
  <c r="B31" i="8"/>
  <c r="G7" i="14"/>
  <c r="G23" i="14"/>
  <c r="G12" i="14"/>
  <c r="G3" i="14"/>
  <c r="G17" i="14"/>
  <c r="G10" i="14"/>
  <c r="BC29" i="5"/>
  <c r="BD29" i="5" s="1"/>
  <c r="BC28" i="5"/>
  <c r="BD28" i="5" s="1"/>
  <c r="BC35" i="5"/>
  <c r="BD35" i="5" s="1"/>
  <c r="BC32" i="5"/>
  <c r="BD32" i="5" s="1"/>
  <c r="BC33" i="5"/>
  <c r="BD33" i="5" s="1"/>
  <c r="BC26" i="5"/>
  <c r="BD26" i="5" s="1"/>
  <c r="BC27" i="5"/>
  <c r="BD27" i="5" s="1"/>
  <c r="BC30" i="5"/>
  <c r="BD30" i="5" s="1"/>
  <c r="BC31" i="5"/>
  <c r="BD31" i="5" s="1"/>
  <c r="BC34" i="5"/>
  <c r="BD34" i="5" s="1"/>
  <c r="C26" i="8"/>
  <c r="G15" i="14"/>
  <c r="G4" i="14"/>
  <c r="G20" i="14"/>
  <c r="G9" i="14"/>
  <c r="G25" i="14"/>
  <c r="G18" i="14"/>
  <c r="Q155" i="13"/>
  <c r="Q143" i="13"/>
  <c r="Q131" i="13"/>
  <c r="Q119" i="13"/>
  <c r="Q146" i="13"/>
  <c r="Q134" i="13"/>
  <c r="Q122" i="13"/>
  <c r="Q149" i="13"/>
  <c r="Q137" i="13"/>
  <c r="Q125" i="13"/>
  <c r="Q152" i="13"/>
  <c r="Q107" i="13"/>
  <c r="Q77" i="13"/>
  <c r="Q71" i="13"/>
  <c r="Q59" i="13"/>
  <c r="Q53" i="13"/>
  <c r="Q41" i="13"/>
  <c r="Q128" i="13"/>
  <c r="Q110" i="13"/>
  <c r="Q98" i="13"/>
  <c r="Q86" i="13"/>
  <c r="Q68" i="13"/>
  <c r="Q56" i="13"/>
  <c r="Q44" i="13"/>
  <c r="Q32" i="13"/>
  <c r="Q140" i="13"/>
  <c r="Q113" i="13"/>
  <c r="Q101" i="13"/>
  <c r="Q95" i="13"/>
  <c r="Q89" i="13"/>
  <c r="Q83" i="13"/>
  <c r="Q65" i="13"/>
  <c r="Q47" i="13"/>
  <c r="Q35" i="13"/>
  <c r="Q116" i="13"/>
  <c r="Q104" i="13"/>
  <c r="Q92" i="13"/>
  <c r="Q80" i="13"/>
  <c r="Q74" i="13"/>
  <c r="Q62" i="13"/>
  <c r="Q50" i="13"/>
  <c r="Q38" i="13"/>
  <c r="Q29" i="13"/>
  <c r="Q26" i="13"/>
  <c r="Q20" i="13"/>
  <c r="Q17" i="13"/>
  <c r="Q11" i="13"/>
  <c r="Q8" i="13"/>
  <c r="Q5" i="13"/>
  <c r="Q23" i="13"/>
  <c r="Q14" i="13"/>
  <c r="AE34" i="13"/>
  <c r="AE32" i="13"/>
  <c r="AE35" i="13"/>
  <c r="AD34" i="13"/>
  <c r="AD32" i="13"/>
  <c r="AE31" i="13"/>
  <c r="AE29" i="13"/>
  <c r="AE26" i="13"/>
  <c r="AE25" i="13"/>
  <c r="AE20" i="13"/>
  <c r="AE19" i="13"/>
  <c r="AE17" i="13"/>
  <c r="AE14" i="13"/>
  <c r="AE10" i="13"/>
  <c r="AI7" i="13"/>
  <c r="AD7" i="13"/>
  <c r="AG6" i="13"/>
  <c r="AD35" i="13"/>
  <c r="AD31" i="13"/>
  <c r="AD28" i="13"/>
  <c r="AE23" i="13"/>
  <c r="AE22" i="13"/>
  <c r="AE16" i="13"/>
  <c r="AE13" i="13"/>
  <c r="AE11" i="13"/>
  <c r="AE8" i="13"/>
  <c r="AG7" i="13"/>
  <c r="AI6" i="13"/>
  <c r="AD23" i="13"/>
  <c r="AD22" i="13"/>
  <c r="AD16" i="13"/>
  <c r="AD13" i="13"/>
  <c r="AD11" i="13"/>
  <c r="AI9" i="13"/>
  <c r="AI8" i="13"/>
  <c r="AD8" i="13"/>
  <c r="AE7" i="13"/>
  <c r="AI4" i="13"/>
  <c r="AD4" i="13"/>
  <c r="AD20" i="13"/>
  <c r="AD14" i="13"/>
  <c r="AG9" i="13"/>
  <c r="AG4" i="13"/>
  <c r="AD26" i="13"/>
  <c r="AD17" i="13"/>
  <c r="AG5" i="13"/>
  <c r="AE4" i="13"/>
  <c r="AD19" i="13"/>
  <c r="AE5" i="13"/>
  <c r="AD29" i="13"/>
  <c r="AE28" i="13"/>
  <c r="AD25" i="13"/>
  <c r="AD10" i="13"/>
  <c r="AG8" i="13"/>
  <c r="AI5" i="13"/>
  <c r="AD5" i="13"/>
  <c r="B50" i="5"/>
  <c r="B54" i="5" s="1"/>
  <c r="P19" i="16"/>
  <c r="P16" i="16"/>
  <c r="P18" i="16" s="1"/>
  <c r="N13" i="16"/>
  <c r="N12" i="16"/>
  <c r="N10" i="16"/>
  <c r="D16" i="10"/>
  <c r="E16" i="10"/>
  <c r="G16" i="10" s="1"/>
  <c r="C16" i="10"/>
  <c r="F16" i="10"/>
  <c r="B51" i="5" l="1"/>
  <c r="H8" i="13"/>
  <c r="H4" i="13"/>
  <c r="H9" i="13"/>
  <c r="H7" i="13"/>
  <c r="H10" i="13"/>
  <c r="H6" i="13"/>
  <c r="H5" i="13"/>
  <c r="T67" i="13"/>
  <c r="T65" i="13"/>
  <c r="T55" i="13"/>
  <c r="T49" i="13"/>
  <c r="T47" i="13"/>
  <c r="T35" i="13"/>
  <c r="T31" i="13"/>
  <c r="T29" i="13"/>
  <c r="T74" i="13"/>
  <c r="T64" i="13"/>
  <c r="T62" i="13"/>
  <c r="T52" i="13"/>
  <c r="T50" i="13"/>
  <c r="T40" i="13"/>
  <c r="T38" i="13"/>
  <c r="T73" i="13"/>
  <c r="T71" i="13"/>
  <c r="T61" i="13"/>
  <c r="T59" i="13"/>
  <c r="T53" i="13"/>
  <c r="T43" i="13"/>
  <c r="T41" i="13"/>
  <c r="T37" i="13"/>
  <c r="T70" i="13"/>
  <c r="T68" i="13"/>
  <c r="T58" i="13"/>
  <c r="T56" i="13"/>
  <c r="T46" i="13"/>
  <c r="T44" i="13"/>
  <c r="V26" i="13"/>
  <c r="W24" i="13"/>
  <c r="X23" i="13"/>
  <c r="X22" i="13"/>
  <c r="V19" i="13"/>
  <c r="W18" i="13"/>
  <c r="V17" i="13"/>
  <c r="X16" i="13"/>
  <c r="W15" i="13"/>
  <c r="X14" i="13"/>
  <c r="V13" i="13"/>
  <c r="W12" i="13"/>
  <c r="V11" i="13"/>
  <c r="X10" i="13"/>
  <c r="X9" i="13"/>
  <c r="V8" i="13"/>
  <c r="W7" i="13"/>
  <c r="W6" i="13"/>
  <c r="T34" i="13"/>
  <c r="W27" i="13"/>
  <c r="X26" i="13"/>
  <c r="X25" i="13"/>
  <c r="V23" i="13"/>
  <c r="V22" i="13"/>
  <c r="W21" i="13"/>
  <c r="X20" i="13"/>
  <c r="X19" i="13"/>
  <c r="X17" i="13"/>
  <c r="V16" i="13"/>
  <c r="V14" i="13"/>
  <c r="X13" i="13"/>
  <c r="X11" i="13"/>
  <c r="V9" i="13"/>
  <c r="X8" i="13"/>
  <c r="T7" i="13"/>
  <c r="T28" i="13"/>
  <c r="V27" i="13"/>
  <c r="W26" i="13"/>
  <c r="W25" i="13"/>
  <c r="X24" i="13"/>
  <c r="T23" i="13"/>
  <c r="T22" i="13"/>
  <c r="V21" i="13"/>
  <c r="W20" i="13"/>
  <c r="W19" i="13"/>
  <c r="X18" i="13"/>
  <c r="W17" i="13"/>
  <c r="T16" i="13"/>
  <c r="X15" i="13"/>
  <c r="T14" i="13"/>
  <c r="W13" i="13"/>
  <c r="X12" i="13"/>
  <c r="W11" i="13"/>
  <c r="T10" i="13"/>
  <c r="W8" i="13"/>
  <c r="X7" i="13"/>
  <c r="X6" i="13"/>
  <c r="W4" i="13"/>
  <c r="T25" i="13"/>
  <c r="X21" i="13"/>
  <c r="T11" i="13"/>
  <c r="W10" i="13"/>
  <c r="S5" i="13"/>
  <c r="X4" i="13"/>
  <c r="T32" i="13"/>
  <c r="X27" i="13"/>
  <c r="W23" i="13"/>
  <c r="T20" i="13"/>
  <c r="V18" i="13"/>
  <c r="W16" i="13"/>
  <c r="W14" i="13"/>
  <c r="V12" i="13"/>
  <c r="W9" i="13"/>
  <c r="T8" i="13"/>
  <c r="X5" i="13"/>
  <c r="V4" i="13"/>
  <c r="T26" i="13"/>
  <c r="V24" i="13"/>
  <c r="W22" i="13"/>
  <c r="T17" i="13"/>
  <c r="T13" i="13"/>
  <c r="V7" i="13"/>
  <c r="W5" i="13"/>
  <c r="T4" i="13"/>
  <c r="T19" i="13"/>
  <c r="V6" i="13"/>
  <c r="T5" i="13"/>
  <c r="S4" i="13"/>
  <c r="B52" i="5"/>
  <c r="S68" i="13" s="1"/>
  <c r="G17" i="10"/>
  <c r="P12" i="16"/>
  <c r="N18" i="16"/>
  <c r="R13" i="16"/>
  <c r="B26" i="9"/>
  <c r="J3" i="14"/>
  <c r="A35" i="8"/>
  <c r="S19" i="13" l="1"/>
  <c r="S28" i="13"/>
  <c r="S53" i="13"/>
  <c r="S61" i="13"/>
  <c r="S73" i="13"/>
  <c r="V10" i="13"/>
  <c r="S37" i="13"/>
  <c r="S52" i="13"/>
  <c r="S62" i="13"/>
  <c r="S74" i="13"/>
  <c r="S65" i="13"/>
  <c r="V15" i="13"/>
  <c r="V5" i="13"/>
  <c r="S8" i="13"/>
  <c r="S11" i="13"/>
  <c r="S25" i="13"/>
  <c r="V20" i="13"/>
  <c r="S40" i="13"/>
  <c r="S64" i="13"/>
  <c r="S29" i="13"/>
  <c r="S44" i="13"/>
  <c r="S14" i="13"/>
  <c r="S22" i="13"/>
  <c r="S59" i="13"/>
  <c r="S71" i="13"/>
  <c r="S7" i="13"/>
  <c r="S26" i="13"/>
  <c r="S43" i="13"/>
  <c r="V25" i="13"/>
  <c r="S41" i="13"/>
  <c r="S31" i="13"/>
  <c r="S47" i="13"/>
  <c r="S55" i="13"/>
  <c r="S67" i="13"/>
  <c r="S32" i="13"/>
  <c r="S46" i="13"/>
  <c r="S56" i="13"/>
  <c r="P152" i="13"/>
  <c r="P151" i="13"/>
  <c r="P140" i="13"/>
  <c r="P139" i="13"/>
  <c r="P128" i="13"/>
  <c r="P127" i="13"/>
  <c r="P155" i="13"/>
  <c r="P154" i="13"/>
  <c r="P143" i="13"/>
  <c r="P142" i="13"/>
  <c r="P131" i="13"/>
  <c r="P130" i="13"/>
  <c r="P146" i="13"/>
  <c r="P145" i="13"/>
  <c r="P134" i="13"/>
  <c r="P133" i="13"/>
  <c r="P122" i="13"/>
  <c r="P121" i="13"/>
  <c r="P137" i="13"/>
  <c r="P124" i="13"/>
  <c r="P119" i="13"/>
  <c r="P116" i="13"/>
  <c r="P115" i="13"/>
  <c r="P104" i="13"/>
  <c r="P103" i="13"/>
  <c r="P97" i="13"/>
  <c r="P92" i="13"/>
  <c r="P85" i="13"/>
  <c r="P80" i="13"/>
  <c r="P74" i="13"/>
  <c r="P73" i="13"/>
  <c r="P62" i="13"/>
  <c r="P61" i="13"/>
  <c r="P50" i="13"/>
  <c r="P43" i="13"/>
  <c r="P38" i="13"/>
  <c r="P37" i="13"/>
  <c r="P149" i="13"/>
  <c r="P136" i="13"/>
  <c r="P107" i="13"/>
  <c r="P106" i="13"/>
  <c r="P94" i="13"/>
  <c r="P77" i="13"/>
  <c r="P71" i="13"/>
  <c r="P70" i="13"/>
  <c r="P59" i="13"/>
  <c r="P58" i="13"/>
  <c r="P53" i="13"/>
  <c r="P46" i="13"/>
  <c r="P41" i="13"/>
  <c r="P34" i="13"/>
  <c r="P148" i="13"/>
  <c r="P118" i="13"/>
  <c r="P110" i="13"/>
  <c r="P109" i="13"/>
  <c r="P98" i="13"/>
  <c r="P91" i="13"/>
  <c r="P86" i="13"/>
  <c r="P79" i="13"/>
  <c r="P68" i="13"/>
  <c r="P67" i="13"/>
  <c r="P56" i="13"/>
  <c r="P55" i="13"/>
  <c r="P49" i="13"/>
  <c r="P44" i="13"/>
  <c r="P32" i="13"/>
  <c r="P31" i="13"/>
  <c r="P125" i="13"/>
  <c r="P113" i="13"/>
  <c r="P112" i="13"/>
  <c r="P101" i="13"/>
  <c r="P100" i="13"/>
  <c r="P95" i="13"/>
  <c r="P89" i="13"/>
  <c r="P88" i="13"/>
  <c r="P83" i="13"/>
  <c r="P82" i="13"/>
  <c r="P76" i="13"/>
  <c r="P65" i="13"/>
  <c r="P64" i="13"/>
  <c r="P52" i="13"/>
  <c r="P47" i="13"/>
  <c r="P40" i="13"/>
  <c r="P26" i="13"/>
  <c r="P20" i="13"/>
  <c r="P17" i="13"/>
  <c r="P11" i="13"/>
  <c r="P8" i="13"/>
  <c r="P7" i="13"/>
  <c r="P23" i="13"/>
  <c r="AK15" i="13"/>
  <c r="P14" i="13"/>
  <c r="AK8" i="13"/>
  <c r="P35" i="13"/>
  <c r="P29" i="13"/>
  <c r="P25" i="13"/>
  <c r="P19" i="13"/>
  <c r="AK17" i="13"/>
  <c r="AK14" i="13"/>
  <c r="P13" i="13"/>
  <c r="P5" i="13"/>
  <c r="P4" i="13"/>
  <c r="P28" i="13"/>
  <c r="AK16" i="13"/>
  <c r="AK13" i="13"/>
  <c r="P10" i="13"/>
  <c r="P16" i="13"/>
  <c r="AK11" i="13"/>
  <c r="AK5" i="13"/>
  <c r="P22" i="13"/>
  <c r="AB8" i="13"/>
  <c r="Z12" i="13"/>
  <c r="Z6" i="13"/>
  <c r="Z14" i="13"/>
  <c r="Z5" i="13"/>
  <c r="Z11" i="13"/>
  <c r="Z10" i="13"/>
  <c r="AB6" i="13"/>
  <c r="AB4" i="13"/>
  <c r="AB10" i="13"/>
  <c r="AB5" i="13"/>
  <c r="Z13" i="13"/>
  <c r="Z4" i="13"/>
  <c r="AB13" i="13"/>
  <c r="AB9" i="13"/>
  <c r="AB12" i="13"/>
  <c r="AB7" i="13"/>
  <c r="AB11" i="13"/>
  <c r="AB14" i="13"/>
  <c r="Z7" i="13"/>
  <c r="Z9" i="13"/>
  <c r="Z8" i="13"/>
  <c r="S13" i="13"/>
  <c r="S17" i="13"/>
  <c r="S20" i="13"/>
  <c r="S10" i="13"/>
  <c r="S16" i="13"/>
  <c r="S23" i="13"/>
  <c r="S38" i="13"/>
  <c r="S50" i="13"/>
  <c r="S35" i="13"/>
  <c r="S49" i="13"/>
  <c r="S34" i="13"/>
  <c r="S58" i="13"/>
  <c r="S70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Simulador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Distancia entre PMS y PMI. Valor de ejemplo de un motor 1,6 L.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Distancia entre el centro del pie y el de la cabeza de biela.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Régimen al que se quiere estudiar el pistón.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Simulador</author>
  </authors>
  <commentList>
    <comment ref="B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Calibre nominal.</t>
        </r>
      </text>
    </comment>
    <comment ref="B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Se mide con probeta y placa de vidrio (Unidad 1, clase 1.2).</t>
        </r>
      </text>
    </comment>
    <comment ref="B9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Dato del fabricante de la junta.</t>
        </r>
      </text>
    </comment>
    <comment ref="B1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Positivo si es rebaje (suma volumen), negativo si es cúpula.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Positivo si el pistón queda por debajo del plano del bloque.</t>
        </r>
      </text>
    </comment>
    <comment ref="B13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Material retirado al rectificar el plano de la culata.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Por ejemplo 0,25 · 0,50 · 0,75 · 1,00.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Simulador</author>
  </authors>
  <commentList>
    <comment ref="A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Ejemplo de un motor de gasolina 1,6 L. Sustituya por los puntos de la ficha técnica o del banco.</t>
        </r>
      </text>
    </comment>
    <comment ref="I5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Loja ≈ 2100 m.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Simulador</author>
  </authors>
  <commentList>
    <comment ref="B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Elija el tipo de instrumento en la lista.</t>
        </r>
      </text>
    </comment>
    <comment ref="B6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Cambie el número para obtener otra lectura. Las listas de práctica usan estos mismos números.</t>
        </r>
      </text>
    </comment>
    <comment ref="B9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Escriba la lectura con punto o coma decimal según su Excel. En fracciones de pulgada puede escribir, por ejemplo, 1 3/16.</t>
        </r>
      </text>
    </comment>
    <comment ref="B2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Cada lista tiene 10 ejercicios. Para ver el dibujo de un ejercicio, escriba su número en B6.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Simulador</author>
  </authors>
  <commentList>
    <comment ref="B5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Elija el tipo de instrumento en la lista.</t>
        </r>
      </text>
    </comment>
    <comment ref="B6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Cambie el número para obtener otra lectura. Las listas de práctica usan estos mismos números.</t>
        </r>
      </text>
    </comment>
    <comment ref="B7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Inicio del rango: 0, 25, 50, 75 mm o 0, 1, 2, 3 pulg. Se suma a la lectura.</t>
        </r>
      </text>
    </comment>
    <comment ref="B10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Escriba la lectura con punto o coma decimal según su Excel. En fracciones de pulgada puede escribir, por ejemplo, 1 3/16.</t>
        </r>
      </text>
    </comment>
    <comment ref="B23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Cada lista tiene 10 ejercicios. Para ver el dibujo de un ejercicio, escriba su número en B6.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Simulador</author>
  </authors>
  <commentList>
    <comment ref="B5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Elija el tipo de instrumento en la lista.</t>
        </r>
      </text>
    </comment>
    <comment ref="B6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Cambie el número para obtener otra lectura. Las listas de práctica usan estos mismos números.</t>
        </r>
      </text>
    </comment>
    <comment ref="B9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Escriba la lectura con punto o coma decimal según su Excel. En fracciones de pulgada puede escribir, por ejemplo, 1 3/16.</t>
        </r>
      </text>
    </comment>
    <comment ref="B2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Cada lista tiene 10 ejercicios. Para ver el dibujo de un ejercicio, escriba su número en B6.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Simulador</author>
  </authors>
  <commentList>
    <comment ref="B5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Elija el tipo de instrumento en la lista.</t>
        </r>
      </text>
    </comment>
    <comment ref="B6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Cambie el número para obtener otra lectura. Las listas de práctica usan estos mismos números.</t>
        </r>
      </text>
    </comment>
    <comment ref="B7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Diámetro nominal al que se puso a cero el alexómetro con el micrómetro.</t>
        </r>
      </text>
    </comment>
    <comment ref="B8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Se usa cuando el instrumento es en pulgadas.</t>
        </r>
      </text>
    </comment>
    <comment ref="B1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Escriba la lectura con punto o coma decimal según su Excel. En fracciones de pulgada puede escribir, por ejemplo, 1 3/16.</t>
        </r>
      </text>
    </comment>
    <comment ref="B24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Cada lista tiene 10 ejercicios. Para ver el dibujo de un ejercicio, escriba su número en B6.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Simulador</author>
  </authors>
  <commentList>
    <comment ref="B5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Medida STD del manual.</t>
        </r>
      </text>
    </comment>
    <comment ref="B6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Distancia PMS–PMI con el cigüeñal original.</t>
        </r>
      </text>
    </comment>
    <comment ref="B8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Dato de la ficha técnica.</t>
        </r>
      </text>
    </comment>
    <comment ref="B9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STD, 10, 20… = milésimas de pulgada (20 = 0,020 pulg ≈ 0,51 mm).</t>
        </r>
      </text>
    </comment>
    <comment ref="B10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0 si se conserva el cigüeñal original.</t>
        </r>
      </text>
    </comment>
    <comment ref="B11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Material retirado del plano de junta.</t>
        </r>
      </text>
    </comment>
    <comment ref="B13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Con reloj comparador sobre el plano del bloque, pistón en el PMS.</t>
        </r>
      </text>
    </comment>
    <comment ref="B14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Valor de la guía para motores de medianas prestaciones.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Simulador</author>
  </authors>
  <commentList>
    <comment ref="B5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Motor del ejemplo 1 de la guía (86 × 86 mm).</t>
        </r>
      </text>
    </comment>
    <comment ref="B7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Nivel del mar 1,033; en Loja (≈ 2100 m) unos 0,80.</t>
        </r>
      </text>
    </comment>
    <comment ref="B8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Aire: 1,4</t>
        </r>
      </text>
    </comment>
    <comment ref="B9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La guía usa 1,3 por las pérdidas de calor.</t>
        </r>
      </text>
    </comment>
    <comment ref="B10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La guía toma Pexp = 4·Pcom.</t>
        </r>
      </text>
    </comment>
    <comment ref="B11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La guía resta un 15 % a la presión teórica.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Simulador</author>
  </authors>
  <commentList>
    <comment ref="B5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4 o 6 cilindros en línea (cuatro tiempos).</t>
        </r>
      </text>
    </comment>
    <comment ref="B6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Escriba los cilindros separados por guiones. Ej.: 1-3-4-2, 1-2-4-3, 1-5-3-6-2-4.</t>
        </r>
      </text>
    </comment>
    <comment ref="B7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0° = cilindro 1 en el PMS al final de la compresión. Pruebe 0 a 720.</t>
        </r>
      </text>
    </comment>
    <comment ref="B8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Cotas de la distribución (ejemplo de la guía).</t>
        </r>
      </text>
    </comment>
    <comment ref="B12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Grados alejados de las rampas de la leva para considerar la válvula cerrada.</t>
        </r>
      </text>
    </comment>
  </commentList>
</comments>
</file>

<file path=xl/sharedStrings.xml><?xml version="1.0" encoding="utf-8"?>
<sst xmlns="http://schemas.openxmlformats.org/spreadsheetml/2006/main" count="2766" uniqueCount="1469">
  <si>
    <t>Simulador 1 · Cinemática del mecanismo biela-manivela</t>
  </si>
  <si>
    <t>Sistemas del Funcionamiento del Motor (MA.02.06) · Unidad 1 · Edite solo las celdas amarillas (texto azul); todo lo demás se recalcula.</t>
  </si>
  <si>
    <t>Datos de entrada</t>
  </si>
  <si>
    <t>Valor</t>
  </si>
  <si>
    <t>Carrera S (mm)</t>
  </si>
  <si>
    <t>Longitud de la biela L (entre centros, mm)</t>
  </si>
  <si>
    <t>Régimen de giro n (rpm)</t>
  </si>
  <si>
    <t>Resultados</t>
  </si>
  <si>
    <t>Cómo se obtiene</t>
  </si>
  <si>
    <t>Radio de la manivela r (mm)</t>
  </si>
  <si>
    <t>r = S / 2</t>
  </si>
  <si>
    <t>Relación biela-manivela λ = r / L</t>
  </si>
  <si>
    <t>Valores típicos 0,25 – 0,35</t>
  </si>
  <si>
    <t>Velocidad angular ω (rad/s)</t>
  </si>
  <si>
    <t>ω = 2π·n / 60</t>
  </si>
  <si>
    <t>Velocidad media del pistón (m/s)</t>
  </si>
  <si>
    <t>vm = 2·S·n / 60</t>
  </si>
  <si>
    <t>Velocidad máxima del pistón (m/s)</t>
  </si>
  <si>
    <t>Máximo de la tabla de la hoja Datos</t>
  </si>
  <si>
    <t>Ángulo de velocidad máxima (° después del PMS)</t>
  </si>
  <si>
    <t>Cerca de 75°, no a 90°: efecto de la oblicuidad de la biela</t>
  </si>
  <si>
    <t>Aceleración en el PMS (m/s²)</t>
  </si>
  <si>
    <t>a = r·ω²·(1 + λ): la mayor del ciclo</t>
  </si>
  <si>
    <t>Aceleración en el PMI (m/s²)</t>
  </si>
  <si>
    <t>a = r·ω²·(1 − λ)</t>
  </si>
  <si>
    <t>Aceleración en el PMS en número de gravedades (g)</t>
  </si>
  <si>
    <t>Fuerza de inercia por cada kg de pistón</t>
  </si>
  <si>
    <t>Modelo: x = r(1 − cos θ) + L(1 − √(1 − λ²·sen²θ)); v = dx/dt; a ≈ r·ω²(cos θ + λ·cos 2θ). θ = ángulo del cigüeñal desde el PMS.</t>
  </si>
  <si>
    <t>Simulador 2 · Cilindrada, relación de compresión y modificación del motor</t>
  </si>
  <si>
    <t>Diámetro del cilindro D (mm)</t>
  </si>
  <si>
    <t>Número de cilindros z</t>
  </si>
  <si>
    <t>Volumen de la cámara en la culata (cm³)</t>
  </si>
  <si>
    <t>Espesor comprimido de la junta (mm)</t>
  </si>
  <si>
    <t>Diámetro interior de la junta (mm)</t>
  </si>
  <si>
    <t>Volumen del rebaje o cúpula del pistón (cm³)</t>
  </si>
  <si>
    <t>Distancia del pistón al plano en el PMS (mm)</t>
  </si>
  <si>
    <t>Cepillado de la culata (mm)</t>
  </si>
  <si>
    <t>Sobremedida del rectificado del cilindro (mm)</t>
  </si>
  <si>
    <t>Original</t>
  </si>
  <si>
    <t>Modificado (cepillado + sobremedida)</t>
  </si>
  <si>
    <t>Área del pistón Ap (cm²)</t>
  </si>
  <si>
    <t>Cilindrada unitaria Vu (cm³)</t>
  </si>
  <si>
    <t>Volumen de la junta (cm³)</t>
  </si>
  <si>
    <t>Volumen sobre el pistón en el PMS (cm³)</t>
  </si>
  <si>
    <t>Volumen total de la cámara Vcc (cm³)</t>
  </si>
  <si>
    <t>El gráfico parte del motor con la sobremedida indicada y muestra cómo sube Rc al retirar material de la culata.</t>
  </si>
  <si>
    <t>Relación de compresión Rc</t>
  </si>
  <si>
    <t>Cilindrada total VT (cm³)</t>
  </si>
  <si>
    <t>Cilindrada comercial (L)</t>
  </si>
  <si>
    <t>Simplificación: el cepillado reduce el volumen de la cámara en el área del cilindro × espesor retirado (en la realidad el área es la de la cámara).</t>
  </si>
  <si>
    <t>Simulador 3 · Curvas características: par, potencia, consumo y corrección por altitud</t>
  </si>
  <si>
    <t>Régimen n (rpm)</t>
  </si>
  <si>
    <t>Par M (N·m)</t>
  </si>
  <si>
    <t>Consumo esp. (g/kWh)</t>
  </si>
  <si>
    <t>Potencia (kW)</t>
  </si>
  <si>
    <t>Potencia (CV)</t>
  </si>
  <si>
    <t>Potencia en la altitud (kW)</t>
  </si>
  <si>
    <t>Condiciones del lugar</t>
  </si>
  <si>
    <t>Altitud sobre el nivel del mar (m)</t>
  </si>
  <si>
    <t>Temperatura del aire (°C)</t>
  </si>
  <si>
    <t>Par máximo (N·m)</t>
  </si>
  <si>
    <t>Potencia máxima (kW)</t>
  </si>
  <si>
    <t>Presión atmosférica en el lugar (kPa)</t>
  </si>
  <si>
    <t>Atmósfera estándar</t>
  </si>
  <si>
    <t>Factor de corrección (DIN 70020)</t>
  </si>
  <si>
    <t>P_lugar = P_ref · (p/101,3) · √(293/T)</t>
  </si>
  <si>
    <t>Potencia máxima en el lugar (kW)</t>
  </si>
  <si>
    <t>Pérdida de potencia por altitud (%)</t>
  </si>
  <si>
    <t>Elasticidad de régimen n(Pmáx)/n(Mmáx)</t>
  </si>
  <si>
    <t>Consumo específico mínimo (g/kWh)</t>
  </si>
  <si>
    <t>Simulador · Pie de rey o calibre con nonio (milímetros y pulgadas)</t>
  </si>
  <si>
    <t>Sistemas del Funcionamiento del Motor (MA.02.06) · Unidad 1 · Metrología · Edite solo las celdas amarillas (texto azul).</t>
  </si>
  <si>
    <t>Parámetros de los instrumentos (no editar)</t>
  </si>
  <si>
    <t>Configuración</t>
  </si>
  <si>
    <t>Tipo</t>
  </si>
  <si>
    <t>inch</t>
  </si>
  <si>
    <t>m</t>
  </si>
  <si>
    <t>n</t>
  </si>
  <si>
    <t>k</t>
  </si>
  <si>
    <t>ap</t>
  </si>
  <si>
    <t>L</t>
  </si>
  <si>
    <t>M</t>
  </si>
  <si>
    <t>S</t>
  </si>
  <si>
    <t>lab</t>
  </si>
  <si>
    <t>maxdiv</t>
  </si>
  <si>
    <t>nlab</t>
  </si>
  <si>
    <t>dec</t>
  </si>
  <si>
    <t>labtype</t>
  </si>
  <si>
    <t>Instrumento y resolución (modo aleatorio)</t>
  </si>
  <si>
    <t>Milímetro · 0,1 mm (10 div.)</t>
  </si>
  <si>
    <t>Número de ejercicio (aleatorio: 1 – 999; guía: n.º de la tabla)</t>
  </si>
  <si>
    <t>Milímetro · 0,05 mm (20 div.)</t>
  </si>
  <si>
    <t>Ejercicio de la guía (elija el banco)</t>
  </si>
  <si>
    <t>Aleatorio (generado por el simulador)</t>
  </si>
  <si>
    <t>Milímetro · 0,02 mm (50 div.)</t>
  </si>
  <si>
    <t>Respuesta del estudiante</t>
  </si>
  <si>
    <t>Pulgada · 0,001" (25 div.)</t>
  </si>
  <si>
    <t>Su lectura (en la unidad del instrumento)</t>
  </si>
  <si>
    <t>Pulgada · 0,001" (50 div.)</t>
  </si>
  <si>
    <t>¿Mostrar el solucionario? (SI / NO)</t>
  </si>
  <si>
    <t>NO</t>
  </si>
  <si>
    <t>Pulgada · 1/128" (8 div.)</t>
  </si>
  <si>
    <t>Solucionario comentado</t>
  </si>
  <si>
    <t>Lista de práctica</t>
  </si>
  <si>
    <t>Número de lista (aleatorio: 1 – 99; guía: 1 – 2)</t>
  </si>
  <si>
    <t>Ejercicio (escríbalo en B6)</t>
  </si>
  <si>
    <t>Su lectura</t>
  </si>
  <si>
    <t>Resultado</t>
  </si>
  <si>
    <t>Solución</t>
  </si>
  <si>
    <t>Lectura (aux.)</t>
  </si>
  <si>
    <t>Solución (aux.)</t>
  </si>
  <si>
    <t>Cálculos internos (no editar)</t>
  </si>
  <si>
    <t>Sistema (0 = mm, 1 = pulgada)</t>
  </si>
  <si>
    <t>Valor de una división de la regla</t>
  </si>
  <si>
    <t>Divisiones del nonio</t>
  </si>
  <si>
    <t>Módulo del nonio</t>
  </si>
  <si>
    <t>Apreciación (resolución)</t>
  </si>
  <si>
    <t>Pasos de apreciación de la lectura</t>
  </si>
  <si>
    <t>Divisiones enteras de la regla</t>
  </si>
  <si>
    <t>Raya del nonio que coincide</t>
  </si>
  <si>
    <t>Lectura correcta</t>
  </si>
  <si>
    <t>Separación del nonio (div. de regla)</t>
  </si>
  <si>
    <t>Decimales a mostrar</t>
  </si>
  <si>
    <t>Trazo largo cada</t>
  </si>
  <si>
    <t>Trazo medio cada</t>
  </si>
  <si>
    <t>Trazo corto cada</t>
  </si>
  <si>
    <t>Rótulo cada</t>
  </si>
  <si>
    <t>Rótulo del nonio cada</t>
  </si>
  <si>
    <t>Tipo de rótulo</t>
  </si>
  <si>
    <t>Modo guía (1 = ejercicio de la guía)</t>
  </si>
  <si>
    <t>Instrumento efectivo</t>
  </si>
  <si>
    <t>Clave del ejercicio</t>
  </si>
  <si>
    <t>Lectura del banco</t>
  </si>
  <si>
    <t>¿El número existe en el banco?</t>
  </si>
  <si>
    <t>Desplazamiento del dibujo (div. de regla)</t>
  </si>
  <si>
    <t>Primer ejercicio del banco</t>
  </si>
  <si>
    <t>Simulador · Micrómetro de exteriores (milímetros y pulgadas)</t>
  </si>
  <si>
    <t>sd</t>
  </si>
  <si>
    <t>divs</t>
  </si>
  <si>
    <t>Nt</t>
  </si>
  <si>
    <t>apt</t>
  </si>
  <si>
    <t>vern</t>
  </si>
  <si>
    <t>Milímetro · 0,01 mm</t>
  </si>
  <si>
    <t>Milímetro · 0,001 mm (con nonio)</t>
  </si>
  <si>
    <t>Alcance inicial del micrómetro (modo aleatorio)</t>
  </si>
  <si>
    <t>Pulgada · 0,001"</t>
  </si>
  <si>
    <t>Pulgada · 0,0001" (con nonio)</t>
  </si>
  <si>
    <t>Valor de una división de la vaina</t>
  </si>
  <si>
    <t>Divisiones de la vaina en el rango</t>
  </si>
  <si>
    <t>Divisiones del tambor</t>
  </si>
  <si>
    <t>Valor de una división del tambor</t>
  </si>
  <si>
    <t>Tiene nonio (1 = sí)</t>
  </si>
  <si>
    <t>Resolución</t>
  </si>
  <si>
    <t>Divisiones visibles de la vaina</t>
  </si>
  <si>
    <t>División del tambor</t>
  </si>
  <si>
    <t>Línea del nonio</t>
  </si>
  <si>
    <t>Borde del tambor (div. de vaina)</t>
  </si>
  <si>
    <t>Decimales</t>
  </si>
  <si>
    <t>Tambor + nonio</t>
  </si>
  <si>
    <t>Alcance inicial efectivo (arco)</t>
  </si>
  <si>
    <t>Estimación de la siguiente cifra</t>
  </si>
  <si>
    <t>Unidades de resolución sobre el arco</t>
  </si>
  <si>
    <t>Simulador · Reloj comparador (milímetros y pulgadas)</t>
  </si>
  <si>
    <t>vuelta</t>
  </si>
  <si>
    <t>Instrumento y resolución</t>
  </si>
  <si>
    <t>Milímetro · 0,01 mm (1 mm por vuelta)</t>
  </si>
  <si>
    <t>Número de ejercicio (1 – 999)</t>
  </si>
  <si>
    <t>Pulgada · 0,001" (0,100" por vuelta)</t>
  </si>
  <si>
    <t>Número de lista (1 – 99)</t>
  </si>
  <si>
    <t>Valor de una división</t>
  </si>
  <si>
    <t>Recorrido por vuelta</t>
  </si>
  <si>
    <t>Vueltas completas</t>
  </si>
  <si>
    <t>Divisiones de la esfera</t>
  </si>
  <si>
    <t>Simulador · Alexómetro (comparador de interiores) en milímetros y pulgadas</t>
  </si>
  <si>
    <t>Convención del simulador: aguja en sentido antihorario = diámetro MAYOR que la referencia; horario = MENOR.</t>
  </si>
  <si>
    <t>Medida de referencia en mm (ajustada con micrómetro)</t>
  </si>
  <si>
    <t>Medida de referencia en pulgadas</t>
  </si>
  <si>
    <t>Medida de referencia usada</t>
  </si>
  <si>
    <t>Desviación en divisiones (+ = mayor)</t>
  </si>
  <si>
    <t>Diámetro correcto</t>
  </si>
  <si>
    <t>Simulador · Trucaje del motor: sobremedida, carrera, cepillado y junta</t>
  </si>
  <si>
    <t>Diámetro estándar del cilindro D (mm)</t>
  </si>
  <si>
    <t>Carrera estándar C (mm)</t>
  </si>
  <si>
    <t>Relación de compresión original Rc</t>
  </si>
  <si>
    <t>Medida de reparación del rectificado</t>
  </si>
  <si>
    <t>20</t>
  </si>
  <si>
    <t>Aumento de la carrera por cambio de cigüeñal (mm)</t>
  </si>
  <si>
    <t>Espesor original de la junta comprimida (mm)</t>
  </si>
  <si>
    <t>Sobrepasamiento del pistón medido (mm)</t>
  </si>
  <si>
    <t>Presión media efectiva PME (kg/cm²)</t>
  </si>
  <si>
    <t>Régimen de potencia máxima (rpm)</t>
  </si>
  <si>
    <t>Rc objetivo (para calcular el cepillado)</t>
  </si>
  <si>
    <t>Modificado</t>
  </si>
  <si>
    <t>Sobremedida del cilindro (mm)</t>
  </si>
  <si>
    <t>Medida «20» = 0,020 pulg × 25,4 = 0,508 mm</t>
  </si>
  <si>
    <t>Diámetro D (mm)</t>
  </si>
  <si>
    <t>Carrera C (mm)</t>
  </si>
  <si>
    <t>Área del pistón (cm²)</t>
  </si>
  <si>
    <t>A = π·D²/4</t>
  </si>
  <si>
    <t>Vu = A·C</t>
  </si>
  <si>
    <t>Espesor de la junta (mm)</t>
  </si>
  <si>
    <t>Según el sobrepasamiento (Tabla 2 de la guía)</t>
  </si>
  <si>
    <t>Volumen de la cámara Vc (cm³)</t>
  </si>
  <si>
    <t>Vc = Vu/(Rc−1); el cepillado resta A·x y la junta suma A·Δe</t>
  </si>
  <si>
    <t>Rc = (Vc + Vu)/Vc</t>
  </si>
  <si>
    <t>Potencia estimada (HP)</t>
  </si>
  <si>
    <t>P = PME·VT·rpm/900</t>
  </si>
  <si>
    <t>Potencia estimada (kW)</t>
  </si>
  <si>
    <t>Aumento de cilindrada (cm³)</t>
  </si>
  <si>
    <t>Cepillado necesario para la Rc objetivo (mm)</t>
  </si>
  <si>
    <t>Desde la culata sin cepillar, con la junta y el diámetro modificados</t>
  </si>
  <si>
    <t>Cepillado con la fórmula de la guía x = C/(Ea−1) − C/(En−1) (mm)</t>
  </si>
  <si>
    <t>Supone una cámara cilíndrica del diámetro del pistón</t>
  </si>
  <si>
    <t>Las cifras son estimaciones teóricas para el aula; las medidas finales se toman en el motor y prevalecen los datos del fabricante.</t>
  </si>
  <si>
    <t>Simulador · Ciclo Otto teórico frente al ciclo real (diagrama p–V)</t>
  </si>
  <si>
    <t>Presión atmosférica p1 (kg/cm²)</t>
  </si>
  <si>
    <t>Coeficiente adiabático γ (ciclo teórico)</t>
  </si>
  <si>
    <t>Exponente politrópico n (ciclo real)</t>
  </si>
  <si>
    <t>Relación de explosión α = p3/p2</t>
  </si>
  <si>
    <t>Pérdida de compresión real (%)</t>
  </si>
  <si>
    <t>Volumen de la cámara V2 = Vc (cm³)</t>
  </si>
  <si>
    <t>Vc = Vu/(Rc − 1)</t>
  </si>
  <si>
    <t>Volumen total V1 (cm³)</t>
  </si>
  <si>
    <t>V1 = Vu + Vc</t>
  </si>
  <si>
    <t>Presión final de compresión teórica p2 (kg/cm²)</t>
  </si>
  <si>
    <t>p2 = p1·Rc^γ</t>
  </si>
  <si>
    <t>Presión máxima teórica p3 (kg/cm²)</t>
  </si>
  <si>
    <t>p3 = α·p2</t>
  </si>
  <si>
    <t>Presión al final de la expansión p4 (kg/cm²)</t>
  </si>
  <si>
    <t>p4 = p3/Rc^γ</t>
  </si>
  <si>
    <t>Rendimiento térmico teórico η</t>
  </si>
  <si>
    <t>η = 1 − 1/Rc^(γ−1): solo depende de Rc</t>
  </si>
  <si>
    <t>Presión de compresión real Pcom (kg/cm²)</t>
  </si>
  <si>
    <t>Fórmula de la guía: p1·Rc^1,3 − 15 %</t>
  </si>
  <si>
    <t>Presión de explosión real Pexp (kg/cm²)</t>
  </si>
  <si>
    <t>Pexp = 4·Pcom</t>
  </si>
  <si>
    <t>Trabajo del ciclo teórico (J)</t>
  </si>
  <si>
    <t>Área encerrada del diagrama (fórmula del polígono)</t>
  </si>
  <si>
    <t>Trabajo neto del ciclo real (J)</t>
  </si>
  <si>
    <t>Incluye el lazo de bombeo (admisión–escape)</t>
  </si>
  <si>
    <t>Presión media indicada teórica (kg/cm²)</t>
  </si>
  <si>
    <t>pmi = W/Vu</t>
  </si>
  <si>
    <t>Presión media indicada real (kg/cm²)</t>
  </si>
  <si>
    <t>Relación real/teórico (factor de diagrama)</t>
  </si>
  <si>
    <t>Se pierde por calor, combustión no instantánea y bombeo</t>
  </si>
  <si>
    <t>El ciclo real se dibuja de forma aproximada: compresión politrópica con pérdidas, combustión progresiva después del PMS, apertura anticipada del escape y lazo de bombeo.</t>
  </si>
  <si>
    <t>Simulador · Orden de encendido, fases de cada cilindro y método del cruce</t>
  </si>
  <si>
    <t>Orden de encendido</t>
  </si>
  <si>
    <t>1-3-4-2</t>
  </si>
  <si>
    <t>Ángulo del cigüeñal θ (°)</t>
  </si>
  <si>
    <t>AAA (°)</t>
  </si>
  <si>
    <t>RCA (°)</t>
  </si>
  <si>
    <t>AAE (°)</t>
  </si>
  <si>
    <t>RCE (°)</t>
  </si>
  <si>
    <t>Margen de seguridad para calibrar (°)</t>
  </si>
  <si>
    <t>Cilindro</t>
  </si>
  <si>
    <t>φ (°)</t>
  </si>
  <si>
    <t>Tiempo del ciclo</t>
  </si>
  <si>
    <t>Pistón</t>
  </si>
  <si>
    <t>Válvula ADM</t>
  </si>
  <si>
    <t>Válvula ESC</t>
  </si>
  <si>
    <t>Situación</t>
  </si>
  <si>
    <t>Método del cruce</t>
  </si>
  <si>
    <t>Paso</t>
  </si>
  <si>
    <t>Calibrar ADM y ESC del cilindro</t>
  </si>
  <si>
    <t>Cilindro en cruce</t>
  </si>
  <si>
    <t>Giro desde el paso anterior</t>
  </si>
  <si>
    <t>Método de dos vueltas</t>
  </si>
  <si>
    <t>Vuelta 1 (θ = 0°): ADM</t>
  </si>
  <si>
    <t>Vuelta 1: ESC</t>
  </si>
  <si>
    <t>Vuelta 2 (θ = 360°): ADM</t>
  </si>
  <si>
    <t>Vuelta 2: ESC</t>
  </si>
  <si>
    <t>Calibrar = la leva está en su círculo base (válvula cerrada con margen). Compare el resultado con la Tabla 11 de la guía (1-3-4-2: vuelta 1 ADM 1-2, ESC 1-3).</t>
  </si>
  <si>
    <t>Simuladores de la Unidad 1 · El motor de combustión interna</t>
  </si>
  <si>
    <t>Cuatro simuladores alineados con los conocimientos del PEA de la Unidad 1: tren alternativo, cálculos del motor, modificación del motor, curvas características y metrología.</t>
  </si>
  <si>
    <t>Simulador 1 · Biela-manivela</t>
  </si>
  <si>
    <t>Cambie la carrera, la longitud de biela y el régimen. Observe que la velocidad máxima del pistón aparece antes de los 90° y que la aceleración en el PMS es mayor que en el PMI (efecto de λ). Actividad: duplique las rpm y compruebe que la aceleración se multiplica por cuatro.</t>
  </si>
  <si>
    <t>Simulador 2 · Cilindrada y relación de compresión</t>
  </si>
  <si>
    <t>Ingrese las medidas del motor del laboratorio. Pruebe cepillar 0,3 mm la culata o rectificar a +0,50 mm y lea cómo cambian la cilindrada y la Rc. Actividad: ¿qué espesor de junta habría que montar para recuperar la Rc original después del cepillado?</t>
  </si>
  <si>
    <t>Simulador 3 · Curvas de par y potencia</t>
  </si>
  <si>
    <t>Sustituya la tabla por los datos de la ficha técnica de un vehículo. La potencia se calcula con P[kW] = M·n/9550 y se corrige por altitud con la norma DIN 70020. Actividad: compare la potencia a nivel del mar con la de Loja.</t>
  </si>
  <si>
    <t>Simuladores de metrología · Pie de rey, micrómetro, reloj comparador y alexómetro</t>
  </si>
  <si>
    <t>Cada hoja permite elegir el instrumento en milímetros o pulgadas (pie de rey: 0,1 · 0,05 · 0,02 mm, 0,001" con 25 o 50 divisiones y 1/128"; micrómetro: 0,01 · 0,001 mm y 0,001 · 0,0001"; reloj comparador y alexómetro: 0,01 mm y 0,001"). Cambie el número de ejercicio para obtener otra lectura, escriba su respuesta y verifíquela.</t>
  </si>
  <si>
    <t>Solucionario: ponga SI en «¿Mostrar el solucionario?» para ver la solución comentada paso a paso (regla/vaina, nonio/tambor, lectura final), siguiendo el formato de los ejercicios resueltos de Stefanelli. La lista de práctica propone 10 ejercicios por lista con autocorrección: escriba el número de cada ejercicio en B6 para ver su dibujo.</t>
  </si>
  <si>
    <t>Inspirado en los simuladores y soluciones comentadas del Prof. Eduardo J. Stefanelli (stefanelli.eng.br), que el PEA declara como recurso de la Unidad 1.</t>
  </si>
  <si>
    <t>Fuentes</t>
  </si>
  <si>
    <t>González Calleja, D. (2018). Motores (2.ª ed.). Paraninfo. · Escudero, S., González, J., y Rivas, J. L. (2024). Cuaderno de prácticas: motores. Macmillan Iberia. · DIN 70020 (corrección de potencia por condiciones atmosféricas).</t>
  </si>
  <si>
    <t>Simuladores añadidos (octubre 2026)</t>
  </si>
  <si>
    <t>Simulador · Trucaje del motor</t>
  </si>
  <si>
    <t>Elija la medida de reparación (STD, 10, 20… milésimas de pulgada), el cepillado, la carrera y el sobrepasamiento del pistón. La hoja selecciona la junta de la Tabla 2 de la guía y compara cilindrada, Rc y potencia del motor original y modificado; calcula también el cepillado necesario para una Rc objetivo con dos métodos. Actividad: ¿qué Rc tendría el motor si se cepilla 0,5 mm y se monta la junta sugerida?</t>
  </si>
  <si>
    <t>Simulador · Ciclo Otto teórico y real</t>
  </si>
  <si>
    <t>Dibuja el diagrama p–V con las fórmulas de la guía (Pcom = p1·Rc^1,3 − 15 %, Pexp = 4·Pcom) y calcula el rendimiento teórico, el trabajo y la presión media indicada. Actividad: compare el ciclo a nivel del mar (1,033 kg/cm²) con Loja (0,80 kg/cm²) y explique la pérdida de potencia en altura.</t>
  </si>
  <si>
    <t>Simulador · Orden de encendido y método del cruce</t>
  </si>
  <si>
    <t>Escriba el orden de encendido y mueva el ángulo del cigüeñal: la hoja indica el tiempo, la posición del pistón y el estado de las válvulas de cada cilindro, y genera las tablas para calibrar válvulas por el método del cruce y por el de dos vueltas. Actividad: compruebe la Tabla 11 de la guía y prepare la tabla de un motor de 6 cilindros 1-5-3-6-2-4.</t>
  </si>
  <si>
    <t>Ejercicios de las guías de práctica (Guías 02 y 03)</t>
  </si>
  <si>
    <t>En las hojas «Pie de rey» y «Micrómetro», la celda «Ejercicio de la guía» permite elegir un banco de ejercicios de las Guías 02 (pie de rey) y 03 (micrómetro) y escribir en «Número de ejercicio» el mismo número de la tabla de la guía. El simulador dibuja esa lectura, corrige la respuesta del estudiante y, con «¿Mostrar el solucionario?» = SI, muestra la resolución paso a paso (regla o vaina, nonio o tambor, lectura total e interpretación), con el mismo valor del solucionario de Stefanelli. La «Lista de práctica» recorre el banco de 10 en 10 (lista 1 y 2). En pulgada fraccionaria escriba la lectura en decimal o como fórmula, por ejemplo =2+71/128. Elija «Aleatorio» para volver a los ejercicios generados por el simulador.</t>
  </si>
  <si>
    <t>Tabla del mecanismo biela-manivela (no editar)</t>
  </si>
  <si>
    <t>θ (°)</t>
  </si>
  <si>
    <t>Desplazamiento x (mm)</t>
  </si>
  <si>
    <t>Velocidad v (m/s)</t>
  </si>
  <si>
    <t>Aceleración a (m/s²)</t>
  </si>
  <si>
    <t>Velocidad media (m/s)</t>
  </si>
  <si>
    <t>Cepillado (mm)</t>
  </si>
  <si>
    <t>Rc</t>
  </si>
  <si>
    <t>Tablas de dibujo de los instrumentos (no editar)</t>
  </si>
  <si>
    <t>Regla x</t>
  </si>
  <si>
    <t>Regla y</t>
  </si>
  <si>
    <t>Nonio x</t>
  </si>
  <si>
    <t>Nonio y</t>
  </si>
  <si>
    <t>Rót x</t>
  </si>
  <si>
    <t>Rót y</t>
  </si>
  <si>
    <t>Texto</t>
  </si>
  <si>
    <t>Nonio rót x</t>
  </si>
  <si>
    <t>y</t>
  </si>
  <si>
    <t>Unidad</t>
  </si>
  <si>
    <t>Vaina x</t>
  </si>
  <si>
    <t>Vaina y</t>
  </si>
  <si>
    <t>Tambor x</t>
  </si>
  <si>
    <t>Tambor y</t>
  </si>
  <si>
    <t>Rót tambor x</t>
  </si>
  <si>
    <t>Rót vaina x</t>
  </si>
  <si>
    <t>Rót nonio x</t>
  </si>
  <si>
    <t>Contorno x</t>
  </si>
  <si>
    <t>Contorno y</t>
  </si>
  <si>
    <t>Esfera x</t>
  </si>
  <si>
    <t>Esfera y</t>
  </si>
  <si>
    <t>Bisel x</t>
  </si>
  <si>
    <t>Bisel y</t>
  </si>
  <si>
    <t>Aguja x</t>
  </si>
  <si>
    <t>Aguja y</t>
  </si>
  <si>
    <t>Cuentavueltas x</t>
  </si>
  <si>
    <t>Signo x</t>
  </si>
  <si>
    <t>0</t>
  </si>
  <si>
    <t>+ mayor ←</t>
  </si>
  <si>
    <t>10</t>
  </si>
  <si>
    <t>→ − menor</t>
  </si>
  <si>
    <t>30</t>
  </si>
  <si>
    <t>40</t>
  </si>
  <si>
    <t>50</t>
  </si>
  <si>
    <t>60</t>
  </si>
  <si>
    <t>70</t>
  </si>
  <si>
    <t>80</t>
  </si>
  <si>
    <t>90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</si>
  <si>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</si>
  <si>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</si>
  <si>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</si>
  <si>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</si>
  <si>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</si>
  <si>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</si>
  <si>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</si>
  <si>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</si>
  <si>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</si>
  <si>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Listas, Tabla 2 de la guía y curva Rc–cepillado (no editar)</t>
  </si>
  <si>
    <t>Medida</t>
  </si>
  <si>
    <t>Sobrepasamiento desde (mm)</t>
  </si>
  <si>
    <t>Junta sugerida (mm)</t>
  </si>
  <si>
    <t>Límite</t>
  </si>
  <si>
    <t>Actual x</t>
  </si>
  <si>
    <t>Actual Rc</t>
  </si>
  <si>
    <t>STD</t>
  </si>
  <si>
    <t>Puntos del diagrama p–V (no editar)</t>
  </si>
  <si>
    <t>Área teórica</t>
  </si>
  <si>
    <t>Área real</t>
  </si>
  <si>
    <t>V teórico</t>
  </si>
  <si>
    <t>p teórico</t>
  </si>
  <si>
    <t>V real</t>
  </si>
  <si>
    <t>p real</t>
  </si>
  <si>
    <t>Orden, fases y barras del diagrama (no editar)</t>
  </si>
  <si>
    <t>Posición</t>
  </si>
  <si>
    <t>Desfase (°)</t>
  </si>
  <si>
    <t>φ actual (°)</t>
  </si>
  <si>
    <t>Expansión x</t>
  </si>
  <si>
    <t>Escape x</t>
  </si>
  <si>
    <t>Admisión x</t>
  </si>
  <si>
    <t>Compresión x</t>
  </si>
  <si>
    <t>Validación</t>
  </si>
  <si>
    <t>Bancos de ejercicios de las guías de práctica (no editar)</t>
  </si>
  <si>
    <t>Lecturas tomadas de los solucionarios de E. J. Stefanelli (stefanelli.eng.br) que usan las Guías 02 y 03 de SFM.</t>
  </si>
  <si>
    <t>Clave</t>
  </si>
  <si>
    <t>Banco</t>
  </si>
  <si>
    <t>Ejercicio</t>
  </si>
  <si>
    <t>Instrumento</t>
  </si>
  <si>
    <t>Lectura</t>
  </si>
  <si>
    <t>Estimación</t>
  </si>
  <si>
    <t>Arco</t>
  </si>
  <si>
    <t>Bancos del pie de rey</t>
  </si>
  <si>
    <t>Primer ej.</t>
  </si>
  <si>
    <t>Bancos del micrómetro</t>
  </si>
  <si>
    <t>Guía 02 · Tablas 1-2 · 0,1 mm · ej. 21-40|21</t>
  </si>
  <si>
    <t>Guía 02 · Tablas 1-2 · 0,1 mm · ej. 21-40</t>
  </si>
  <si>
    <t>21,4 mm</t>
  </si>
  <si>
    <t>Guía 02 · Tablas 1-2 · 0,1 mm · ej. 21-40|22</t>
  </si>
  <si>
    <t>102,2 mm</t>
  </si>
  <si>
    <t>Guía 03 · Tablas 1-2 · 0,01 mm · ej. 21-40</t>
  </si>
  <si>
    <t>Guía 02 · Tablas 1-2 · 0,1 mm · ej. 21-40|23</t>
  </si>
  <si>
    <t>12,3 mm</t>
  </si>
  <si>
    <t>Guía 02 · Tablas 3-4 · 0,05 mm · ej. 21-40</t>
  </si>
  <si>
    <t>Guía 03 · Tablas 3-4 · 0,001 mm · ej. 1-20</t>
  </si>
  <si>
    <t>Guía 02 · Tablas 1-2 · 0,1 mm · ej. 21-40|24</t>
  </si>
  <si>
    <t>11,8 mm</t>
  </si>
  <si>
    <t>Guía 02 · Tablas 3 y 5 · 0,05 mm · ej. 41-60</t>
  </si>
  <si>
    <t>Guía 03 · Tablas 5-6 · 0,001" · ej. 1-20</t>
  </si>
  <si>
    <t>Guía 02 · Tablas 1-2 · 0,1 mm · ej. 21-40|25</t>
  </si>
  <si>
    <t>112,0 mm</t>
  </si>
  <si>
    <t>Guía 02 · Tablas 6-7 · 0,02 mm · ej. 21-40</t>
  </si>
  <si>
    <t>Guía 03 · Tablas 7-8 · 0,0001" · ej. 1-20</t>
  </si>
  <si>
    <t>Guía 02 · Tablas 1-2 · 0,1 mm · ej. 21-40|26</t>
  </si>
  <si>
    <t>122,2 mm</t>
  </si>
  <si>
    <t>Guía 02 · Tablas 8-9 · 1/128" · ej. 1-20</t>
  </si>
  <si>
    <t>Guía 03 · Tabla 13 · 0,01 mm · ej. 41-60</t>
  </si>
  <si>
    <t>Guía 02 · Tablas 1-2 · 0,1 mm · ej. 21-40|27</t>
  </si>
  <si>
    <t>52,2 mm</t>
  </si>
  <si>
    <t>Guía 02 · Tablas 10-11 · 0,001" · ej. 1-20</t>
  </si>
  <si>
    <t>Guía 03 · Tabla 14 · 0,001 mm · ej. 21-40</t>
  </si>
  <si>
    <t>Guía 02 · Tablas 1-2 · 0,1 mm · ej. 21-40|28</t>
  </si>
  <si>
    <t>81,1 mm</t>
  </si>
  <si>
    <t>Guía 02 · Tabla 15 · mm combinado · ej. 1-20</t>
  </si>
  <si>
    <t>Guía 03 · Tabla 15 · 0,001 mm · ej. 41-60</t>
  </si>
  <si>
    <t>Guía 02 · Tablas 1-2 · 0,1 mm · ej. 21-40|29</t>
  </si>
  <si>
    <t>81,8 mm</t>
  </si>
  <si>
    <t>Guía 02 · Tabla 16 · 0,1 mm · ej. 41-60</t>
  </si>
  <si>
    <t>Guía 03 · Tabla 16 · 0,001" · ej. 21-40</t>
  </si>
  <si>
    <t>Guía 02 · Tablas 1-2 · 0,1 mm · ej. 21-40|30</t>
  </si>
  <si>
    <t>41,8 mm</t>
  </si>
  <si>
    <t>Guía 02 · Tabla 17 · 0,1 mm · ej. 61-80</t>
  </si>
  <si>
    <t>Guía 03 · Tabla 17 · 0,001" · ej. 41-60</t>
  </si>
  <si>
    <t>Guía 02 · Tablas 1-2 · 0,1 mm · ej. 21-40|31</t>
  </si>
  <si>
    <t>101,6 mm</t>
  </si>
  <si>
    <t>Guía 02 · Tabla 18 · 0,05 mm · ej. 61-80</t>
  </si>
  <si>
    <t>Guía 03 · Tabla 18 · 0,0001" · ej. 21-40</t>
  </si>
  <si>
    <t>Guía 02 · Tablas 1-2 · 0,1 mm · ej. 21-40|32</t>
  </si>
  <si>
    <t>111,4 mm</t>
  </si>
  <si>
    <t>Guía 02 · Tabla 19 · 0,02 mm · ej. 41-60</t>
  </si>
  <si>
    <t>Guía 03 · Tabla 19 · 0,0001" · ej. 41-60</t>
  </si>
  <si>
    <t>Guía 02 · Tablas 1-2 · 0,1 mm · ej. 21-40|33</t>
  </si>
  <si>
    <t>112,9 mm</t>
  </si>
  <si>
    <t>Guía 02 · Tabla 20 · 0,02 mm · ej. 61-80</t>
  </si>
  <si>
    <t>Guía 02 · Tablas 1-2 · 0,1 mm · ej. 21-40|34</t>
  </si>
  <si>
    <t>72,8 mm</t>
  </si>
  <si>
    <t>Guía 02 · Tabla 21 · 1/128" · ej. 21-40</t>
  </si>
  <si>
    <t>Guía 02 · Tablas 1-2 · 0,1 mm · ej. 21-40|35</t>
  </si>
  <si>
    <t>21,8 mm</t>
  </si>
  <si>
    <t>Guía 02 · Tabla 22 · 1/128" · ej. 41-60</t>
  </si>
  <si>
    <t>Guía 02 · Tablas 1-2 · 0,1 mm · ej. 21-40|36</t>
  </si>
  <si>
    <t>101,0 mm</t>
  </si>
  <si>
    <t>Guía 02 · Tabla 23 · 0,001" · ej. 21-40</t>
  </si>
  <si>
    <t>Guía 02 · Tablas 1-2 · 0,1 mm · ej. 21-40|37</t>
  </si>
  <si>
    <t>90,9 mm</t>
  </si>
  <si>
    <t>Guía 02 · Tabla 24 · 0,001" · ej. 41-60</t>
  </si>
  <si>
    <t>Guía 02 · Tablas 1-2 · 0,1 mm · ej. 21-40|38</t>
  </si>
  <si>
    <t>10,8 mm</t>
  </si>
  <si>
    <t>Guía 02 · Tablas 1-2 · 0,1 mm · ej. 21-40|39</t>
  </si>
  <si>
    <t>70,3 mm</t>
  </si>
  <si>
    <t>Guía 02 · Tablas 1-2 · 0,1 mm · ej. 21-40|40</t>
  </si>
  <si>
    <t>81,7 mm</t>
  </si>
  <si>
    <t>Guía 02 · Tablas 3-4 · 0,05 mm · ej. 21-40|21</t>
  </si>
  <si>
    <t>21,45 mm</t>
  </si>
  <si>
    <t>Guía 02 · Tablas 3-4 · 0,05 mm · ej. 21-40|22</t>
  </si>
  <si>
    <t>102,20 mm</t>
  </si>
  <si>
    <t>Guía 02 · Tablas 3-4 · 0,05 mm · ej. 21-40|23</t>
  </si>
  <si>
    <t>12,30 mm</t>
  </si>
  <si>
    <t>Guía 02 · Tablas 3-4 · 0,05 mm · ej. 21-40|24</t>
  </si>
  <si>
    <t>11,80 mm</t>
  </si>
  <si>
    <t>Guía 02 · Tablas 3-4 · 0,05 mm · ej. 21-40|25</t>
  </si>
  <si>
    <t>112,05 mm</t>
  </si>
  <si>
    <t>Guía 02 · Tablas 3-4 · 0,05 mm · ej. 21-40|26</t>
  </si>
  <si>
    <t>122,25 mm</t>
  </si>
  <si>
    <t>Guía 02 · Tablas 3-4 · 0,05 mm · ej. 21-40|27</t>
  </si>
  <si>
    <t>52,25 mm</t>
  </si>
  <si>
    <t>Guía 02 · Tablas 3-4 · 0,05 mm · ej. 21-40|28</t>
  </si>
  <si>
    <t>81,15 mm</t>
  </si>
  <si>
    <t>Guía 02 · Tablas 3-4 · 0,05 mm · ej. 21-40|29</t>
  </si>
  <si>
    <t>81,80 mm</t>
  </si>
  <si>
    <t>Guía 02 · Tablas 3-4 · 0,05 mm · ej. 21-40|30</t>
  </si>
  <si>
    <t>41,80 mm</t>
  </si>
  <si>
    <t>Guía 02 · Tablas 3-4 · 0,05 mm · ej. 21-40|31</t>
  </si>
  <si>
    <t>101,60 mm</t>
  </si>
  <si>
    <t>Guía 02 · Tablas 3-4 · 0,05 mm · ej. 21-40|32</t>
  </si>
  <si>
    <t>111,40 mm</t>
  </si>
  <si>
    <t>Guía 02 · Tablas 3-4 · 0,05 mm · ej. 21-40|33</t>
  </si>
  <si>
    <t>112,90 mm</t>
  </si>
  <si>
    <t>Guía 02 · Tablas 3-4 · 0,05 mm · ej. 21-40|34</t>
  </si>
  <si>
    <t>72,85 mm</t>
  </si>
  <si>
    <t>Guía 02 · Tablas 3-4 · 0,05 mm · ej. 21-40|35</t>
  </si>
  <si>
    <t>21,85 mm</t>
  </si>
  <si>
    <t>Guía 02 · Tablas 3-4 · 0,05 mm · ej. 21-40|36</t>
  </si>
  <si>
    <t>101,05 mm</t>
  </si>
  <si>
    <t>Guía 02 · Tablas 3-4 · 0,05 mm · ej. 21-40|37</t>
  </si>
  <si>
    <t>90,95 mm</t>
  </si>
  <si>
    <t>Guía 02 · Tablas 3-4 · 0,05 mm · ej. 21-40|38</t>
  </si>
  <si>
    <t>10,80 mm</t>
  </si>
  <si>
    <t>Guía 02 · Tablas 3-4 · 0,05 mm · ej. 21-40|39</t>
  </si>
  <si>
    <t>70,35 mm</t>
  </si>
  <si>
    <t>Guía 02 · Tablas 3-4 · 0,05 mm · ej. 21-40|40</t>
  </si>
  <si>
    <t>81,70 mm</t>
  </si>
  <si>
    <t>Guía 02 · Tablas 3 y 5 · 0,05 mm · ej. 41-60|41</t>
  </si>
  <si>
    <t>80,00 mm</t>
  </si>
  <si>
    <t>Guía 02 · Tablas 3 y 5 · 0,05 mm · ej. 41-60|42</t>
  </si>
  <si>
    <t>20,50 mm</t>
  </si>
  <si>
    <t>Guía 02 · Tablas 3 y 5 · 0,05 mm · ej. 41-60|43</t>
  </si>
  <si>
    <t>72,45 mm</t>
  </si>
  <si>
    <t>Guía 02 · Tablas 3 y 5 · 0,05 mm · ej. 41-60|44</t>
  </si>
  <si>
    <t>92,65 mm</t>
  </si>
  <si>
    <t>Guía 02 · Tablas 3 y 5 · 0,05 mm · ej. 41-60|45</t>
  </si>
  <si>
    <t>0,00 mm</t>
  </si>
  <si>
    <t>Guía 02 · Tablas 3 y 5 · 0,05 mm · ej. 41-60|46</t>
  </si>
  <si>
    <t>102,10 mm</t>
  </si>
  <si>
    <t>Guía 02 · Tablas 3 y 5 · 0,05 mm · ej. 41-60|47</t>
  </si>
  <si>
    <t>42,60 mm</t>
  </si>
  <si>
    <t>Guía 02 · Tablas 3 y 5 · 0,05 mm · ej. 41-60|48</t>
  </si>
  <si>
    <t>41,55 mm</t>
  </si>
  <si>
    <t>Guía 02 · Tablas 3 y 5 · 0,05 mm · ej. 41-60|49</t>
  </si>
  <si>
    <t>21,35 mm</t>
  </si>
  <si>
    <t>Guía 02 · Tablas 3 y 5 · 0,05 mm · ej. 41-60|50</t>
  </si>
  <si>
    <t>120,35 mm</t>
  </si>
  <si>
    <t>Guía 02 · Tablas 3 y 5 · 0,05 mm · ej. 41-60|51</t>
  </si>
  <si>
    <t>112,85 mm</t>
  </si>
  <si>
    <t>Guía 02 · Tablas 3 y 5 · 0,05 mm · ej. 41-60|52</t>
  </si>
  <si>
    <t>92,95 mm</t>
  </si>
  <si>
    <t>Guía 02 · Tablas 3 y 5 · 0,05 mm · ej. 41-60|53</t>
  </si>
  <si>
    <t>42,65 mm</t>
  </si>
  <si>
    <t>Guía 02 · Tablas 3 y 5 · 0,05 mm · ej. 41-60|54</t>
  </si>
  <si>
    <t>62,75 mm</t>
  </si>
  <si>
    <t>Guía 02 · Tablas 3 y 5 · 0,05 mm · ej. 41-60|55</t>
  </si>
  <si>
    <t>82,15 mm</t>
  </si>
  <si>
    <t>Guía 02 · Tablas 3 y 5 · 0,05 mm · ej. 41-60|56</t>
  </si>
  <si>
    <t>120,10 mm</t>
  </si>
  <si>
    <t>Guía 02 · Tablas 3 y 5 · 0,05 mm · ej. 41-60|57</t>
  </si>
  <si>
    <t>40,70 mm</t>
  </si>
  <si>
    <t>Guía 02 · Tablas 3 y 5 · 0,05 mm · ej. 41-60|58</t>
  </si>
  <si>
    <t>50,55 mm</t>
  </si>
  <si>
    <t>Guía 02 · Tablas 3 y 5 · 0,05 mm · ej. 41-60|59</t>
  </si>
  <si>
    <t>Guía 02 · Tablas 3 y 5 · 0,05 mm · ej. 41-60|60</t>
  </si>
  <si>
    <t>32,15 mm</t>
  </si>
  <si>
    <t>Guía 02 · Tablas 6-7 · 0,02 mm · ej. 21-40|21</t>
  </si>
  <si>
    <t>21,48 mm</t>
  </si>
  <si>
    <t>Guía 02 · Tablas 6-7 · 0,02 mm · ej. 21-40|22</t>
  </si>
  <si>
    <t>Guía 02 · Tablas 6-7 · 0,02 mm · ej. 21-40|23</t>
  </si>
  <si>
    <t>12,32 mm</t>
  </si>
  <si>
    <t>Guía 02 · Tablas 6-7 · 0,02 mm · ej. 21-40|24</t>
  </si>
  <si>
    <t>Guía 02 · Tablas 6-7 · 0,02 mm · ej. 21-40|25</t>
  </si>
  <si>
    <t>112,08 mm</t>
  </si>
  <si>
    <t>Guía 02 · Tablas 6-7 · 0,02 mm · ej. 21-40|26</t>
  </si>
  <si>
    <t>122,26 mm</t>
  </si>
  <si>
    <t>Guía 02 · Tablas 6-7 · 0,02 mm · ej. 21-40|27</t>
  </si>
  <si>
    <t>52,28 mm</t>
  </si>
  <si>
    <t>Guía 02 · Tablas 6-7 · 0,02 mm · ej. 21-40|28</t>
  </si>
  <si>
    <t>81,18 mm</t>
  </si>
  <si>
    <t>Guía 02 · Tablas 6-7 · 0,02 mm · ej. 21-40|29</t>
  </si>
  <si>
    <t>81,84 mm</t>
  </si>
  <si>
    <t>Guía 02 · Tablas 6-7 · 0,02 mm · ej. 21-40|30</t>
  </si>
  <si>
    <t>41,82 mm</t>
  </si>
  <si>
    <t>Guía 02 · Tablas 6-7 · 0,02 mm · ej. 21-40|31</t>
  </si>
  <si>
    <t>101,62 mm</t>
  </si>
  <si>
    <t>Guía 02 · Tablas 6-7 · 0,02 mm · ej. 21-40|32</t>
  </si>
  <si>
    <t>Guía 02 · Tablas 6-7 · 0,02 mm · ej. 21-40|33</t>
  </si>
  <si>
    <t>112,92 mm</t>
  </si>
  <si>
    <t>Guía 02 · Tablas 6-7 · 0,02 mm · ej. 21-40|34</t>
  </si>
  <si>
    <t>72,86 mm</t>
  </si>
  <si>
    <t>Guía 02 · Tablas 6-7 · 0,02 mm · ej. 21-40|35</t>
  </si>
  <si>
    <t>21,86 mm</t>
  </si>
  <si>
    <t>Guía 02 · Tablas 6-7 · 0,02 mm · ej. 21-40|36</t>
  </si>
  <si>
    <t>101,04 mm</t>
  </si>
  <si>
    <t>Guía 02 · Tablas 6-7 · 0,02 mm · ej. 21-40|37</t>
  </si>
  <si>
    <t>90,94 mm</t>
  </si>
  <si>
    <t>Guía 02 · Tablas 6-7 · 0,02 mm · ej. 21-40|38</t>
  </si>
  <si>
    <t>Guía 02 · Tablas 6-7 · 0,02 mm · ej. 21-40|39</t>
  </si>
  <si>
    <t>70,38 mm</t>
  </si>
  <si>
    <t>Guía 02 · Tablas 6-7 · 0,02 mm · ej. 21-40|40</t>
  </si>
  <si>
    <t>Guía 02 · Tablas 8-9 · 1/128" · ej. 1-20|1</t>
  </si>
  <si>
    <t>2 71/128"  (= 2,5547 in)</t>
  </si>
  <si>
    <t>Guía 02 · Tablas 8-9 · 1/128" · ej. 1-20|2</t>
  </si>
  <si>
    <t>33/64"  (= 0,5156 in)</t>
  </si>
  <si>
    <t>Guía 02 · Tablas 8-9 · 1/128" · ej. 1-20|3</t>
  </si>
  <si>
    <t>5 127/128"  (= 5,9922 in)</t>
  </si>
  <si>
    <t>Guía 02 · Tablas 8-9 · 1/128" · ej. 1-20|4</t>
  </si>
  <si>
    <t>5 3/8"  (= 5,3750 in)</t>
  </si>
  <si>
    <t>Guía 02 · Tablas 8-9 · 1/128" · ej. 1-20|5</t>
  </si>
  <si>
    <t>4 53/64"  (= 4,8281 in)</t>
  </si>
  <si>
    <t>Guía 02 · Tablas 8-9 · 1/128" · ej. 1-20|6</t>
  </si>
  <si>
    <t>4 59/128"  (= 4,4609 in)</t>
  </si>
  <si>
    <t>Guía 02 · Tablas 8-9 · 1/128" · ej. 1-20|7</t>
  </si>
  <si>
    <t>4 13/128"  (= 4,1016 in)</t>
  </si>
  <si>
    <t>Guía 02 · Tablas 8-9 · 1/128" · ej. 1-20|8</t>
  </si>
  <si>
    <t>5 61/64"  (= 5,9531 in)</t>
  </si>
  <si>
    <t>Guía 02 · Tablas 8-9 · 1/128" · ej. 1-20|9</t>
  </si>
  <si>
    <t>4 55/64"  (= 4,8594 in)</t>
  </si>
  <si>
    <t>Guía 02 · Tablas 8-9 · 1/128" · ej. 1-20|10</t>
  </si>
  <si>
    <t>3 5/32"  (= 3,1562 in)</t>
  </si>
  <si>
    <t>Guía 02 · Tablas 8-9 · 1/128" · ej. 1-20|11</t>
  </si>
  <si>
    <t>4 59/64"  (= 4,9219 in)</t>
  </si>
  <si>
    <t>Guía 02 · Tablas 8-9 · 1/128" · ej. 1-20|12</t>
  </si>
  <si>
    <t>5 19/64"  (= 5,2969 in)</t>
  </si>
  <si>
    <t>Guía 02 · Tablas 8-9 · 1/128" · ej. 1-20|13</t>
  </si>
  <si>
    <t>27/64"  (= 0,4219 in)</t>
  </si>
  <si>
    <t>Guía 02 · Tablas 8-9 · 1/128" · ej. 1-20|14</t>
  </si>
  <si>
    <t>4 91/128"  (= 4,7109 in)</t>
  </si>
  <si>
    <t>Guía 02 · Tablas 8-9 · 1/128" · ej. 1-20|15</t>
  </si>
  <si>
    <t>5 53/64"  (= 5,8281 in)</t>
  </si>
  <si>
    <t>Guía 02 · Tablas 8-9 · 1/128" · ej. 1-20|16</t>
  </si>
  <si>
    <t>4 29/128"  (= 4,2266 in)</t>
  </si>
  <si>
    <t>Guía 02 · Tablas 8-9 · 1/128" · ej. 1-20|17</t>
  </si>
  <si>
    <t>5 85/128"  (= 5,6641 in)</t>
  </si>
  <si>
    <t>Guía 02 · Tablas 8-9 · 1/128" · ej. 1-20|18</t>
  </si>
  <si>
    <t>3 39/64"  (= 3,6094 in)</t>
  </si>
  <si>
    <t>Guía 02 · Tablas 8-9 · 1/128" · ej. 1-20|19</t>
  </si>
  <si>
    <t>2 103/128"  (= 2,8047 in)</t>
  </si>
  <si>
    <t>Guía 02 · Tablas 8-9 · 1/128" · ej. 1-20|20</t>
  </si>
  <si>
    <t>4 85/128"  (= 4,6641 in)</t>
  </si>
  <si>
    <t>Guía 02 · Tablas 10-11 · 0,001" · ej. 1-20|1</t>
  </si>
  <si>
    <t>0,825 in</t>
  </si>
  <si>
    <t>Guía 02 · Tablas 10-11 · 0,001" · ej. 1-20|2</t>
  </si>
  <si>
    <t>3,584 in</t>
  </si>
  <si>
    <t>Guía 02 · Tablas 10-11 · 0,001" · ej. 1-20|3</t>
  </si>
  <si>
    <t>5,253 in</t>
  </si>
  <si>
    <t>Guía 02 · Tablas 10-11 · 0,001" · ej. 1-20|4</t>
  </si>
  <si>
    <t>0,438 in</t>
  </si>
  <si>
    <t>Guía 02 · Tablas 10-11 · 0,001" · ej. 1-20|5</t>
  </si>
  <si>
    <t>4,848 in</t>
  </si>
  <si>
    <t>Guía 02 · Tablas 10-11 · 0,001" · ej. 1-20|6</t>
  </si>
  <si>
    <t>0,612 in</t>
  </si>
  <si>
    <t>Guía 02 · Tablas 10-11 · 0,001" · ej. 1-20|7</t>
  </si>
  <si>
    <t>1,209 in</t>
  </si>
  <si>
    <t>Guía 02 · Tablas 10-11 · 0,001" · ej. 1-20|8</t>
  </si>
  <si>
    <t>4,171 in</t>
  </si>
  <si>
    <t>Guía 02 · Tablas 10-11 · 0,001" · ej. 1-20|9</t>
  </si>
  <si>
    <t>1,799 in</t>
  </si>
  <si>
    <t>Guía 02 · Tablas 10-11 · 0,001" · ej. 1-20|10</t>
  </si>
  <si>
    <t>3,976 in</t>
  </si>
  <si>
    <t>Guía 02 · Tablas 10-11 · 0,001" · ej. 1-20|11</t>
  </si>
  <si>
    <t>2,345 in</t>
  </si>
  <si>
    <t>Guía 02 · Tablas 10-11 · 0,001" · ej. 1-20|12</t>
  </si>
  <si>
    <t>1,306 in</t>
  </si>
  <si>
    <t>Guía 02 · Tablas 10-11 · 0,001" · ej. 1-20|13</t>
  </si>
  <si>
    <t>3,247 in</t>
  </si>
  <si>
    <t>Guía 02 · Tablas 10-11 · 0,001" · ej. 1-20|14</t>
  </si>
  <si>
    <t>5,162 in</t>
  </si>
  <si>
    <t>Guía 02 · Tablas 10-11 · 0,001" · ej. 1-20|15</t>
  </si>
  <si>
    <t>1,975 in</t>
  </si>
  <si>
    <t>Guía 02 · Tablas 10-11 · 0,001" · ej. 1-20|16</t>
  </si>
  <si>
    <t>3,694 in</t>
  </si>
  <si>
    <t>Guía 02 · Tablas 10-11 · 0,001" · ej. 1-20|17</t>
  </si>
  <si>
    <t>4,113 in</t>
  </si>
  <si>
    <t>Guía 02 · Tablas 10-11 · 0,001" · ej. 1-20|18</t>
  </si>
  <si>
    <t>5,188 in</t>
  </si>
  <si>
    <t>Guía 02 · Tablas 10-11 · 0,001" · ej. 1-20|19</t>
  </si>
  <si>
    <t>4,523 in</t>
  </si>
  <si>
    <t>Guía 02 · Tablas 10-11 · 0,001" · ej. 1-20|20</t>
  </si>
  <si>
    <t>0,063 in</t>
  </si>
  <si>
    <t>Guía 02 · Tabla 15 · mm combinado · ej. 1-20|1</t>
  </si>
  <si>
    <t>0,3 mm</t>
  </si>
  <si>
    <t>Guía 02 · Tabla 15 · mm combinado · ej. 1-20|2</t>
  </si>
  <si>
    <t>2,5 mm</t>
  </si>
  <si>
    <t>Guía 02 · Tabla 15 · mm combinado · ej. 1-20|3</t>
  </si>
  <si>
    <t>7,0 mm</t>
  </si>
  <si>
    <t>Guía 02 · Tabla 15 · mm combinado · ej. 1-20|4</t>
  </si>
  <si>
    <t>14,8 mm</t>
  </si>
  <si>
    <t>Guía 02 · Tabla 15 · mm combinado · ej. 1-20|5</t>
  </si>
  <si>
    <t>4,4 mm</t>
  </si>
  <si>
    <t>Guía 02 · Tabla 15 · mm combinado · ej. 1-20|6</t>
  </si>
  <si>
    <t>20,9 mm</t>
  </si>
  <si>
    <t>Guía 02 · Tabla 15 · mm combinado · ej. 1-20|7</t>
  </si>
  <si>
    <t>71,40 mm</t>
  </si>
  <si>
    <t>Guía 02 · Tabla 15 · mm combinado · ej. 1-20|8</t>
  </si>
  <si>
    <t>120,25 mm</t>
  </si>
  <si>
    <t>Guía 02 · Tabla 15 · mm combinado · ej. 1-20|9</t>
  </si>
  <si>
    <t>12,10 mm</t>
  </si>
  <si>
    <t>Guía 02 · Tabla 15 · mm combinado · ej. 1-20|10</t>
  </si>
  <si>
    <t>34,75 mm</t>
  </si>
  <si>
    <t>Guía 02 · Tabla 15 · mm combinado · ej. 1-20|11</t>
  </si>
  <si>
    <t>110,30 mm</t>
  </si>
  <si>
    <t>Guía 02 · Tabla 15 · mm combinado · ej. 1-20|12</t>
  </si>
  <si>
    <t>5,05 mm</t>
  </si>
  <si>
    <t>Guía 02 · Tabla 15 · mm combinado · ej. 1-20|13</t>
  </si>
  <si>
    <t>1,02 mm</t>
  </si>
  <si>
    <t>Guía 02 · Tabla 15 · mm combinado · ej. 1-20|14</t>
  </si>
  <si>
    <t>123,14 mm</t>
  </si>
  <si>
    <t>Guía 02 · Tabla 15 · mm combinado · ej. 1-20|15</t>
  </si>
  <si>
    <t>110,00 mm</t>
  </si>
  <si>
    <t>Guía 02 · Tabla 15 · mm combinado · ej. 1-20|16</t>
  </si>
  <si>
    <t>41,90 mm</t>
  </si>
  <si>
    <t>Guía 02 · Tabla 15 · mm combinado · ej. 1-20|17</t>
  </si>
  <si>
    <t>52,00 mm</t>
  </si>
  <si>
    <t>Guía 02 · Tabla 15 · mm combinado · ej. 1-20|18</t>
  </si>
  <si>
    <t>21,74 mm</t>
  </si>
  <si>
    <t>Guía 02 · Tabla 15 · mm combinado · ej. 1-20|19</t>
  </si>
  <si>
    <t>20,92 mm</t>
  </si>
  <si>
    <t>Guía 02 · Tabla 15 · mm combinado · ej. 1-20|20</t>
  </si>
  <si>
    <t>Guía 02 · Tabla 16 · 0,1 mm · ej. 41-60|41</t>
  </si>
  <si>
    <t>80,0 mm</t>
  </si>
  <si>
    <t>Guía 02 · Tabla 16 · 0,1 mm · ej. 41-60|42</t>
  </si>
  <si>
    <t>20,5 mm</t>
  </si>
  <si>
    <t>Guía 02 · Tabla 16 · 0,1 mm · ej. 41-60|43</t>
  </si>
  <si>
    <t>72,4 mm</t>
  </si>
  <si>
    <t>Guía 02 · Tabla 16 · 0,1 mm · ej. 41-60|44</t>
  </si>
  <si>
    <t>92,6 mm</t>
  </si>
  <si>
    <t>Guía 02 · Tabla 16 · 0,1 mm · ej. 41-60|45</t>
  </si>
  <si>
    <t>0,0 mm</t>
  </si>
  <si>
    <t>Guía 02 · Tabla 16 · 0,1 mm · ej. 41-60|46</t>
  </si>
  <si>
    <t>102,1 mm</t>
  </si>
  <si>
    <t>Guía 02 · Tabla 16 · 0,1 mm · ej. 41-60|47</t>
  </si>
  <si>
    <t>42,6 mm</t>
  </si>
  <si>
    <t>Guía 02 · Tabla 16 · 0,1 mm · ej. 41-60|48</t>
  </si>
  <si>
    <t>41,5 mm</t>
  </si>
  <si>
    <t>Guía 02 · Tabla 16 · 0,1 mm · ej. 41-60|49</t>
  </si>
  <si>
    <t>21,3 mm</t>
  </si>
  <si>
    <t>Guía 02 · Tabla 16 · 0,1 mm · ej. 41-60|50</t>
  </si>
  <si>
    <t>120,3 mm</t>
  </si>
  <si>
    <t>Guía 02 · Tabla 16 · 0,1 mm · ej. 41-60|51</t>
  </si>
  <si>
    <t>112,8 mm</t>
  </si>
  <si>
    <t>Guía 02 · Tabla 16 · 0,1 mm · ej. 41-60|52</t>
  </si>
  <si>
    <t>92,9 mm</t>
  </si>
  <si>
    <t>Guía 02 · Tabla 16 · 0,1 mm · ej. 41-60|53</t>
  </si>
  <si>
    <t>Guía 02 · Tabla 16 · 0,1 mm · ej. 41-60|54</t>
  </si>
  <si>
    <t>62,7 mm</t>
  </si>
  <si>
    <t>Guía 02 · Tabla 16 · 0,1 mm · ej. 41-60|55</t>
  </si>
  <si>
    <t>82,1 mm</t>
  </si>
  <si>
    <t>Guía 02 · Tabla 16 · 0,1 mm · ej. 41-60|56</t>
  </si>
  <si>
    <t>120,1 mm</t>
  </si>
  <si>
    <t>Guía 02 · Tabla 16 · 0,1 mm · ej. 41-60|57</t>
  </si>
  <si>
    <t>40,7 mm</t>
  </si>
  <si>
    <t>Guía 02 · Tabla 16 · 0,1 mm · ej. 41-60|58</t>
  </si>
  <si>
    <t>50,5 mm</t>
  </si>
  <si>
    <t>Guía 02 · Tabla 16 · 0,1 mm · ej. 41-60|59</t>
  </si>
  <si>
    <t>Guía 02 · Tabla 16 · 0,1 mm · ej. 41-60|60</t>
  </si>
  <si>
    <t>32,1 mm</t>
  </si>
  <si>
    <t>Guía 02 · Tabla 17 · 0,1 mm · ej. 61-80|61</t>
  </si>
  <si>
    <t>51,4 mm</t>
  </si>
  <si>
    <t>Guía 02 · Tabla 17 · 0,1 mm · ej. 61-80|62</t>
  </si>
  <si>
    <t>2,1 mm</t>
  </si>
  <si>
    <t>Guía 02 · Tabla 17 · 0,1 mm · ej. 61-80|63</t>
  </si>
  <si>
    <t>42,1 mm</t>
  </si>
  <si>
    <t>Guía 02 · Tabla 17 · 0,1 mm · ej. 61-80|64</t>
  </si>
  <si>
    <t>Guía 02 · Tabla 17 · 0,1 mm · ej. 61-80|65</t>
  </si>
  <si>
    <t>70,7 mm</t>
  </si>
  <si>
    <t>Guía 02 · Tabla 17 · 0,1 mm · ej. 61-80|66</t>
  </si>
  <si>
    <t>Guía 02 · Tabla 17 · 0,1 mm · ej. 61-80|67</t>
  </si>
  <si>
    <t>61,1 mm</t>
  </si>
  <si>
    <t>Guía 02 · Tabla 17 · 0,1 mm · ej. 61-80|68</t>
  </si>
  <si>
    <t>72,3 mm</t>
  </si>
  <si>
    <t>Guía 02 · Tabla 17 · 0,1 mm · ej. 61-80|69</t>
  </si>
  <si>
    <t>100,0 mm</t>
  </si>
  <si>
    <t>Guía 02 · Tabla 17 · 0,1 mm · ej. 61-80|70</t>
  </si>
  <si>
    <t>50,6 mm</t>
  </si>
  <si>
    <t>Guía 02 · Tabla 17 · 0,1 mm · ej. 61-80|71</t>
  </si>
  <si>
    <t>50,4 mm</t>
  </si>
  <si>
    <t>Guía 02 · Tabla 17 · 0,1 mm · ej. 61-80|72</t>
  </si>
  <si>
    <t>Guía 02 · Tabla 17 · 0,1 mm · ej. 61-80|73</t>
  </si>
  <si>
    <t>12,0 mm</t>
  </si>
  <si>
    <t>Guía 02 · Tabla 17 · 0,1 mm · ej. 61-80|74</t>
  </si>
  <si>
    <t>61,3 mm</t>
  </si>
  <si>
    <t>Guía 02 · Tabla 17 · 0,1 mm · ej. 61-80|75</t>
  </si>
  <si>
    <t>112,7 mm</t>
  </si>
  <si>
    <t>Guía 02 · Tabla 17 · 0,1 mm · ej. 61-80|76</t>
  </si>
  <si>
    <t>60,7 mm</t>
  </si>
  <si>
    <t>Guía 02 · Tabla 17 · 0,1 mm · ej. 61-80|77</t>
  </si>
  <si>
    <t>Guía 02 · Tabla 17 · 0,1 mm · ej. 61-80|78</t>
  </si>
  <si>
    <t>12,6 mm</t>
  </si>
  <si>
    <t>Guía 02 · Tabla 17 · 0,1 mm · ej. 61-80|79</t>
  </si>
  <si>
    <t>91,3 mm</t>
  </si>
  <si>
    <t>Guía 02 · Tabla 17 · 0,1 mm · ej. 61-80|80</t>
  </si>
  <si>
    <t>22,8 mm</t>
  </si>
  <si>
    <t>Guía 02 · Tabla 18 · 0,05 mm · ej. 61-80|61</t>
  </si>
  <si>
    <t>51,40 mm</t>
  </si>
  <si>
    <t>Guía 02 · Tabla 18 · 0,05 mm · ej. 61-80|62</t>
  </si>
  <si>
    <t>2,15 mm</t>
  </si>
  <si>
    <t>Guía 02 · Tabla 18 · 0,05 mm · ej. 61-80|63</t>
  </si>
  <si>
    <t>42,10 mm</t>
  </si>
  <si>
    <t>Guía 02 · Tabla 18 · 0,05 mm · ej. 61-80|64</t>
  </si>
  <si>
    <t>Guía 02 · Tabla 18 · 0,05 mm · ej. 61-80|65</t>
  </si>
  <si>
    <t>70,70 mm</t>
  </si>
  <si>
    <t>Guía 02 · Tabla 18 · 0,05 mm · ej. 61-80|66</t>
  </si>
  <si>
    <t>41,85 mm</t>
  </si>
  <si>
    <t>Guía 02 · Tabla 18 · 0,05 mm · ej. 61-80|67</t>
  </si>
  <si>
    <t>61,15 mm</t>
  </si>
  <si>
    <t>Guía 02 · Tabla 18 · 0,05 mm · ej. 61-80|68</t>
  </si>
  <si>
    <t>72,35 mm</t>
  </si>
  <si>
    <t>Guía 02 · Tabla 18 · 0,05 mm · ej. 61-80|69</t>
  </si>
  <si>
    <t>100,00 mm</t>
  </si>
  <si>
    <t>Guía 02 · Tabla 18 · 0,05 mm · ej. 61-80|70</t>
  </si>
  <si>
    <t>50,65 mm</t>
  </si>
  <si>
    <t>Guía 02 · Tabla 18 · 0,05 mm · ej. 61-80|71</t>
  </si>
  <si>
    <t>50,45 mm</t>
  </si>
  <si>
    <t>Guía 02 · Tabla 18 · 0,05 mm · ej. 61-80|72</t>
  </si>
  <si>
    <t>Guía 02 · Tabla 18 · 0,05 mm · ej. 61-80|73</t>
  </si>
  <si>
    <t>12,05 mm</t>
  </si>
  <si>
    <t>Guía 02 · Tabla 18 · 0,05 mm · ej. 61-80|74</t>
  </si>
  <si>
    <t>61,30 mm</t>
  </si>
  <si>
    <t>Guía 02 · Tabla 18 · 0,05 mm · ej. 61-80|75</t>
  </si>
  <si>
    <t>112,75 mm</t>
  </si>
  <si>
    <t>Guía 02 · Tabla 18 · 0,05 mm · ej. 61-80|76</t>
  </si>
  <si>
    <t>60,75 mm</t>
  </si>
  <si>
    <t>Guía 02 · Tabla 18 · 0,05 mm · ej. 61-80|77</t>
  </si>
  <si>
    <t>92,90 mm</t>
  </si>
  <si>
    <t>Guía 02 · Tabla 18 · 0,05 mm · ej. 61-80|78</t>
  </si>
  <si>
    <t>12,65 mm</t>
  </si>
  <si>
    <t>Guía 02 · Tabla 18 · 0,05 mm · ej. 61-80|79</t>
  </si>
  <si>
    <t>91,30 mm</t>
  </si>
  <si>
    <t>Guía 02 · Tabla 18 · 0,05 mm · ej. 61-80|80</t>
  </si>
  <si>
    <t>22,80 mm</t>
  </si>
  <si>
    <t>Guía 02 · Tabla 19 · 0,02 mm · ej. 41-60|41</t>
  </si>
  <si>
    <t>Guía 02 · Tabla 19 · 0,02 mm · ej. 41-60|42</t>
  </si>
  <si>
    <t>Guía 02 · Tabla 19 · 0,02 mm · ej. 41-60|43</t>
  </si>
  <si>
    <t>72,48 mm</t>
  </si>
  <si>
    <t>Guía 02 · Tabla 19 · 0,02 mm · ej. 41-60|44</t>
  </si>
  <si>
    <t>92,64 mm</t>
  </si>
  <si>
    <t>Guía 02 · Tabla 19 · 0,02 mm · ej. 41-60|45</t>
  </si>
  <si>
    <t>0,04 mm</t>
  </si>
  <si>
    <t>Guía 02 · Tabla 19 · 0,02 mm · ej. 41-60|46</t>
  </si>
  <si>
    <t>102,12 mm</t>
  </si>
  <si>
    <t>Guía 02 · Tabla 19 · 0,02 mm · ej. 41-60|47</t>
  </si>
  <si>
    <t>42,62 mm</t>
  </si>
  <si>
    <t>Guía 02 · Tabla 19 · 0,02 mm · ej. 41-60|48</t>
  </si>
  <si>
    <t>41,58 mm</t>
  </si>
  <si>
    <t>Guía 02 · Tabla 19 · 0,02 mm · ej. 41-60|49</t>
  </si>
  <si>
    <t>21,38 mm</t>
  </si>
  <si>
    <t>Guía 02 · Tabla 19 · 0,02 mm · ej. 41-60|50</t>
  </si>
  <si>
    <t>120,38 mm</t>
  </si>
  <si>
    <t>Guía 02 · Tabla 19 · 0,02 mm · ej. 41-60|51</t>
  </si>
  <si>
    <t>112,86 mm</t>
  </si>
  <si>
    <t>Guía 02 · Tabla 19 · 0,02 mm · ej. 41-60|52</t>
  </si>
  <si>
    <t>92,96 mm</t>
  </si>
  <si>
    <t>Guía 02 · Tabla 19 · 0,02 mm · ej. 41-60|53</t>
  </si>
  <si>
    <t>42,64 mm</t>
  </si>
  <si>
    <t>Guía 02 · Tabla 19 · 0,02 mm · ej. 41-60|54</t>
  </si>
  <si>
    <t>62,74 mm</t>
  </si>
  <si>
    <t>Guía 02 · Tabla 19 · 0,02 mm · ej. 41-60|55</t>
  </si>
  <si>
    <t>82,16 mm</t>
  </si>
  <si>
    <t>Guía 02 · Tabla 19 · 0,02 mm · ej. 41-60|56</t>
  </si>
  <si>
    <t>120,12 mm</t>
  </si>
  <si>
    <t>Guía 02 · Tabla 19 · 0,02 mm · ej. 41-60|57</t>
  </si>
  <si>
    <t>40,74 mm</t>
  </si>
  <si>
    <t>Guía 02 · Tabla 19 · 0,02 mm · ej. 41-60|58</t>
  </si>
  <si>
    <t>50,58 mm</t>
  </si>
  <si>
    <t>Guía 02 · Tabla 19 · 0,02 mm · ej. 41-60|59</t>
  </si>
  <si>
    <t>120,36 mm</t>
  </si>
  <si>
    <t>Guía 02 · Tabla 19 · 0,02 mm · ej. 41-60|60</t>
  </si>
  <si>
    <t>32,16 mm</t>
  </si>
  <si>
    <t>Guía 02 · Tabla 20 · 0,02 mm · ej. 61-80|61</t>
  </si>
  <si>
    <t>51,44 mm</t>
  </si>
  <si>
    <t>Guía 02 · Tabla 20 · 0,02 mm · ej. 61-80|62</t>
  </si>
  <si>
    <t>2,16 mm</t>
  </si>
  <si>
    <t>Guía 02 · Tabla 20 · 0,02 mm · ej. 61-80|63</t>
  </si>
  <si>
    <t>42,12 mm</t>
  </si>
  <si>
    <t>Guía 02 · Tabla 20 · 0,02 mm · ej. 61-80|64</t>
  </si>
  <si>
    <t>Guía 02 · Tabla 20 · 0,02 mm · ej. 61-80|65</t>
  </si>
  <si>
    <t>70,72 mm</t>
  </si>
  <si>
    <t>Guía 02 · Tabla 20 · 0,02 mm · ej. 61-80|66</t>
  </si>
  <si>
    <t>41,86 mm</t>
  </si>
  <si>
    <t>Guía 02 · Tabla 20 · 0,02 mm · ej. 61-80|67</t>
  </si>
  <si>
    <t>61,14 mm</t>
  </si>
  <si>
    <t>Guía 02 · Tabla 20 · 0,02 mm · ej. 61-80|68</t>
  </si>
  <si>
    <t>72,38 mm</t>
  </si>
  <si>
    <t>Guía 02 · Tabla 20 · 0,02 mm · ej. 61-80|69</t>
  </si>
  <si>
    <t>Guía 02 · Tabla 20 · 0,02 mm · ej. 61-80|70</t>
  </si>
  <si>
    <t>50,66 mm</t>
  </si>
  <si>
    <t>Guía 02 · Tabla 20 · 0,02 mm · ej. 61-80|71</t>
  </si>
  <si>
    <t>50,48 mm</t>
  </si>
  <si>
    <t>Guía 02 · Tabla 20 · 0,02 mm · ej. 61-80|72</t>
  </si>
  <si>
    <t>Guía 02 · Tabla 20 · 0,02 mm · ej. 61-80|73</t>
  </si>
  <si>
    <t>12,04 mm</t>
  </si>
  <si>
    <t>Guía 02 · Tabla 20 · 0,02 mm · ej. 61-80|74</t>
  </si>
  <si>
    <t>61,34 mm</t>
  </si>
  <si>
    <t>Guía 02 · Tabla 20 · 0,02 mm · ej. 61-80|75</t>
  </si>
  <si>
    <t>112,76 mm</t>
  </si>
  <si>
    <t>Guía 02 · Tabla 20 · 0,02 mm · ej. 61-80|76</t>
  </si>
  <si>
    <t>60,78 mm</t>
  </si>
  <si>
    <t>Guía 02 · Tabla 20 · 0,02 mm · ej. 61-80|77</t>
  </si>
  <si>
    <t>Guía 02 · Tabla 20 · 0,02 mm · ej. 61-80|78</t>
  </si>
  <si>
    <t>12,64 mm</t>
  </si>
  <si>
    <t>Guía 02 · Tabla 20 · 0,02 mm · ej. 61-80|79</t>
  </si>
  <si>
    <t>91,34 mm</t>
  </si>
  <si>
    <t>Guía 02 · Tabla 20 · 0,02 mm · ej. 61-80|80</t>
  </si>
  <si>
    <t>Guía 02 · Tabla 21 · 1/128" · ej. 21-40|21</t>
  </si>
  <si>
    <t>4 33/128"  (= 4,2578 in)</t>
  </si>
  <si>
    <t>Guía 02 · Tabla 21 · 1/128" · ej. 21-40|22</t>
  </si>
  <si>
    <t>2 3/8"  (= 2,3750 in)</t>
  </si>
  <si>
    <t>Guía 02 · Tabla 21 · 1/128" · ej. 21-40|23</t>
  </si>
  <si>
    <t>1 11/32"  (= 1,3438 in)</t>
  </si>
  <si>
    <t>Guía 02 · Tabla 21 · 1/128" · ej. 21-40|24</t>
  </si>
  <si>
    <t>2 97/128"  (= 2,7578 in)</t>
  </si>
  <si>
    <t>Guía 02 · Tabla 21 · 1/128" · ej. 21-40|25</t>
  </si>
  <si>
    <t>4 31/64"  (= 4,4844 in)</t>
  </si>
  <si>
    <t>Guía 02 · Tabla 21 · 1/128" · ej. 21-40|26</t>
  </si>
  <si>
    <t>3 29/64"  (= 3,4531 in)</t>
  </si>
  <si>
    <t>Guía 02 · Tabla 21 · 1/128" · ej. 21-40|27</t>
  </si>
  <si>
    <t>5 1/64"  (= 5,0156 in)</t>
  </si>
  <si>
    <t>Guía 02 · Tabla 21 · 1/128" · ej. 21-40|28</t>
  </si>
  <si>
    <t>19/64"  (= 0,2969 in)</t>
  </si>
  <si>
    <t>Guía 02 · Tabla 21 · 1/128" · ej. 21-40|29</t>
  </si>
  <si>
    <t>9/32"  (= 0,2812 in)</t>
  </si>
  <si>
    <t>Guía 02 · Tabla 21 · 1/128" · ej. 21-40|30</t>
  </si>
  <si>
    <t>4 3/64"  (= 4,0469 in)</t>
  </si>
  <si>
    <t>Guía 02 · Tabla 21 · 1/128" · ej. 21-40|31</t>
  </si>
  <si>
    <t>5 1/2"  (= 5,5000 in)</t>
  </si>
  <si>
    <t>Guía 02 · Tabla 21 · 1/128" · ej. 21-40|32</t>
  </si>
  <si>
    <t>4 27/128"  (= 4,2109 in)</t>
  </si>
  <si>
    <t>Guía 02 · Tabla 21 · 1/128" · ej. 21-40|33</t>
  </si>
  <si>
    <t>27/32"  (= 0,8438 in)</t>
  </si>
  <si>
    <t>Guía 02 · Tabla 21 · 1/128" · ej. 21-40|34</t>
  </si>
  <si>
    <t>2 47/128"  (= 2,3672 in)</t>
  </si>
  <si>
    <t>Guía 02 · Tabla 21 · 1/128" · ej. 21-40|35</t>
  </si>
  <si>
    <t>5 35/64"  (= 5,5469 in)</t>
  </si>
  <si>
    <t>Guía 02 · Tabla 21 · 1/128" · ej. 21-40|36</t>
  </si>
  <si>
    <t>2 41/128"  (= 2,3203 in)</t>
  </si>
  <si>
    <t>Guía 02 · Tabla 21 · 1/128" · ej. 21-40|37</t>
  </si>
  <si>
    <t>31/32"  (= 0,9688 in)</t>
  </si>
  <si>
    <t>Guía 02 · Tabla 21 · 1/128" · ej. 21-40|38</t>
  </si>
  <si>
    <t>1 29/32"  (= 1,9062 in)</t>
  </si>
  <si>
    <t>Guía 02 · Tabla 21 · 1/128" · ej. 21-40|39</t>
  </si>
  <si>
    <t>1 7/8"  (= 1,8750 in)</t>
  </si>
  <si>
    <t>Guía 02 · Tabla 21 · 1/128" · ej. 21-40|40</t>
  </si>
  <si>
    <t>3 3/128"  (= 3,0234 in)</t>
  </si>
  <si>
    <t>Guía 02 · Tabla 22 · 1/128" · ej. 41-60|41</t>
  </si>
  <si>
    <t>3 75/128"  (= 3,5859 in)</t>
  </si>
  <si>
    <t>Guía 02 · Tabla 22 · 1/128" · ej. 41-60|42</t>
  </si>
  <si>
    <t>3 121/128"  (= 3,9453 in)</t>
  </si>
  <si>
    <t>Guía 02 · Tabla 22 · 1/128" · ej. 41-60|43</t>
  </si>
  <si>
    <t>1 35/64"  (= 1,5469 in)</t>
  </si>
  <si>
    <t>Guía 02 · Tabla 22 · 1/128" · ej. 41-60|44</t>
  </si>
  <si>
    <t>3/16"  (= 0,1875 in)</t>
  </si>
  <si>
    <t>Guía 02 · Tabla 22 · 1/128" · ej. 41-60|45</t>
  </si>
  <si>
    <t>7/32"  (= 0,2188 in)</t>
  </si>
  <si>
    <t>Guía 02 · Tabla 22 · 1/128" · ej. 41-60|46</t>
  </si>
  <si>
    <t>4 39/64"  (= 4,6094 in)</t>
  </si>
  <si>
    <t>Guía 02 · Tabla 22 · 1/128" · ej. 41-60|47</t>
  </si>
  <si>
    <t>5 7/128"  (= 5,0547 in)</t>
  </si>
  <si>
    <t>Guía 02 · Tabla 22 · 1/128" · ej. 41-60|48</t>
  </si>
  <si>
    <t>2 1/8"  (= 2,1250 in)</t>
  </si>
  <si>
    <t>Guía 02 · Tabla 22 · 1/128" · ej. 41-60|49</t>
  </si>
  <si>
    <t>Guía 02 · Tabla 22 · 1/128" · ej. 41-60|50</t>
  </si>
  <si>
    <t>5 107/128"  (= 5,8359 in)</t>
  </si>
  <si>
    <t>Guía 02 · Tabla 22 · 1/128" · ej. 41-60|51</t>
  </si>
  <si>
    <t>3 47/64"  (= 3,7344 in)</t>
  </si>
  <si>
    <t>Guía 02 · Tabla 22 · 1/128" · ej. 41-60|52</t>
  </si>
  <si>
    <t>Guía 02 · Tabla 22 · 1/128" · ej. 41-60|53</t>
  </si>
  <si>
    <t>3 35/64"  (= 3,5469 in)</t>
  </si>
  <si>
    <t>Guía 02 · Tabla 22 · 1/128" · ej. 41-60|54</t>
  </si>
  <si>
    <t>15/32"  (= 0,4688 in)</t>
  </si>
  <si>
    <t>Guía 02 · Tabla 22 · 1/128" · ej. 41-60|55</t>
  </si>
  <si>
    <t>Guía 02 · Tabla 22 · 1/128" · ej. 41-60|56</t>
  </si>
  <si>
    <t>5 29/128"  (= 5,2266 in)</t>
  </si>
  <si>
    <t>Guía 02 · Tabla 22 · 1/128" · ej. 41-60|57</t>
  </si>
  <si>
    <t>2 7/16"  (= 2,4375 in)</t>
  </si>
  <si>
    <t>Guía 02 · Tabla 22 · 1/128" · ej. 41-60|58</t>
  </si>
  <si>
    <t>3 103/128"  (= 3,8047 in)</t>
  </si>
  <si>
    <t>Guía 02 · Tabla 22 · 1/128" · ej. 41-60|59</t>
  </si>
  <si>
    <t>23/32"  (= 0,7188 in)</t>
  </si>
  <si>
    <t>Guía 02 · Tabla 22 · 1/128" · ej. 41-60|60</t>
  </si>
  <si>
    <t>2 57/128"  (= 2,4453 in)</t>
  </si>
  <si>
    <t>Guía 02 · Tabla 23 · 0,001" · ej. 21-40|21</t>
  </si>
  <si>
    <t>1,585 in</t>
  </si>
  <si>
    <t>Guía 02 · Tabla 23 · 0,001" · ej. 21-40|22</t>
  </si>
  <si>
    <t>5,503 in</t>
  </si>
  <si>
    <t>Guía 02 · Tabla 23 · 0,001" · ej. 21-40|23</t>
  </si>
  <si>
    <t>3,507 in</t>
  </si>
  <si>
    <t>Guía 02 · Tabla 23 · 0,001" · ej. 21-40|24</t>
  </si>
  <si>
    <t>0,764 in</t>
  </si>
  <si>
    <t>Guía 02 · Tabla 23 · 0,001" · ej. 21-40|25</t>
  </si>
  <si>
    <t>4,513 in</t>
  </si>
  <si>
    <t>Guía 02 · Tabla 23 · 0,001" · ej. 21-40|26</t>
  </si>
  <si>
    <t>4,360 in</t>
  </si>
  <si>
    <t>Guía 02 · Tabla 23 · 0,001" · ej. 21-40|27</t>
  </si>
  <si>
    <t>4,159 in</t>
  </si>
  <si>
    <t>Guía 02 · Tabla 23 · 0,001" · ej. 21-40|28</t>
  </si>
  <si>
    <t>5,778 in</t>
  </si>
  <si>
    <t>Guía 02 · Tabla 23 · 0,001" · ej. 21-40|29</t>
  </si>
  <si>
    <t>0,166 in</t>
  </si>
  <si>
    <t>Guía 02 · Tabla 23 · 0,001" · ej. 21-40|30</t>
  </si>
  <si>
    <t>1,153 in</t>
  </si>
  <si>
    <t>Guía 02 · Tabla 23 · 0,001" · ej. 21-40|31</t>
  </si>
  <si>
    <t>2,126 in</t>
  </si>
  <si>
    <t>Guía 02 · Tabla 23 · 0,001" · ej. 21-40|32</t>
  </si>
  <si>
    <t>2,476 in</t>
  </si>
  <si>
    <t>Guía 02 · Tabla 23 · 0,001" · ej. 21-40|33</t>
  </si>
  <si>
    <t>0,208 in</t>
  </si>
  <si>
    <t>Guía 02 · Tabla 23 · 0,001" · ej. 21-40|34</t>
  </si>
  <si>
    <t>2,169 in</t>
  </si>
  <si>
    <t>Guía 02 · Tabla 23 · 0,001" · ej. 21-40|35</t>
  </si>
  <si>
    <t>1,126 in</t>
  </si>
  <si>
    <t>Guía 02 · Tabla 23 · 0,001" · ej. 21-40|36</t>
  </si>
  <si>
    <t>3,991 in</t>
  </si>
  <si>
    <t>Guía 02 · Tabla 23 · 0,001" · ej. 21-40|37</t>
  </si>
  <si>
    <t>5,874 in</t>
  </si>
  <si>
    <t>Guía 02 · Tabla 23 · 0,001" · ej. 21-40|38</t>
  </si>
  <si>
    <t>1,040 in</t>
  </si>
  <si>
    <t>Guía 02 · Tabla 23 · 0,001" · ej. 21-40|39</t>
  </si>
  <si>
    <t>1,523 in</t>
  </si>
  <si>
    <t>Guía 02 · Tabla 23 · 0,001" · ej. 21-40|40</t>
  </si>
  <si>
    <t>0,045 in</t>
  </si>
  <si>
    <t>Guía 02 · Tabla 24 · 0,001" · ej. 41-60|41</t>
  </si>
  <si>
    <t>0,349 in</t>
  </si>
  <si>
    <t>Guía 02 · Tabla 24 · 0,001" · ej. 41-60|42</t>
  </si>
  <si>
    <t>3,663 in</t>
  </si>
  <si>
    <t>Guía 02 · Tabla 24 · 0,001" · ej. 41-60|43</t>
  </si>
  <si>
    <t>5,787 in</t>
  </si>
  <si>
    <t>Guía 02 · Tabla 24 · 0,001" · ej. 41-60|44</t>
  </si>
  <si>
    <t>0,367 in</t>
  </si>
  <si>
    <t>Guía 02 · Tabla 24 · 0,001" · ej. 41-60|45</t>
  </si>
  <si>
    <t>4,066 in</t>
  </si>
  <si>
    <t>Guía 02 · Tabla 24 · 0,001" · ej. 41-60|46</t>
  </si>
  <si>
    <t>0,651 in</t>
  </si>
  <si>
    <t>Guía 02 · Tabla 24 · 0,001" · ej. 41-60|47</t>
  </si>
  <si>
    <t>4,006 in</t>
  </si>
  <si>
    <t>Guía 02 · Tabla 24 · 0,001" · ej. 41-60|48</t>
  </si>
  <si>
    <t>5,175 in</t>
  </si>
  <si>
    <t>Guía 02 · Tabla 24 · 0,001" · ej. 41-60|49</t>
  </si>
  <si>
    <t>3,919 in</t>
  </si>
  <si>
    <t>Guía 02 · Tabla 24 · 0,001" · ej. 41-60|50</t>
  </si>
  <si>
    <t>2,511 in</t>
  </si>
  <si>
    <t>Guía 02 · Tabla 24 · 0,001" · ej. 41-60|51</t>
  </si>
  <si>
    <t>2,068 in</t>
  </si>
  <si>
    <t>Guía 02 · Tabla 24 · 0,001" · ej. 41-60|52</t>
  </si>
  <si>
    <t>1,364 in</t>
  </si>
  <si>
    <t>Guía 02 · Tabla 24 · 0,001" · ej. 41-60|53</t>
  </si>
  <si>
    <t>1,899 in</t>
  </si>
  <si>
    <t>Guía 02 · Tabla 24 · 0,001" · ej. 41-60|54</t>
  </si>
  <si>
    <t>2,381 in</t>
  </si>
  <si>
    <t>Guía 02 · Tabla 24 · 0,001" · ej. 41-60|55</t>
  </si>
  <si>
    <t>5,391 in</t>
  </si>
  <si>
    <t>Guía 02 · Tabla 24 · 0,001" · ej. 41-60|56</t>
  </si>
  <si>
    <t>3,769 in</t>
  </si>
  <si>
    <t>Guía 02 · Tabla 24 · 0,001" · ej. 41-60|57</t>
  </si>
  <si>
    <t>3,595 in</t>
  </si>
  <si>
    <t>Guía 02 · Tabla 24 · 0,001" · ej. 41-60|58</t>
  </si>
  <si>
    <t>0,422 in</t>
  </si>
  <si>
    <t>Guía 02 · Tabla 24 · 0,001" · ej. 41-60|59</t>
  </si>
  <si>
    <t>Guía 02 · Tabla 24 · 0,001" · ej. 41-60|60</t>
  </si>
  <si>
    <t>4,712 in</t>
  </si>
  <si>
    <t>Guía 03 · Tablas 1-2 · 0,01 mm · ej. 21-40|21</t>
  </si>
  <si>
    <t>94,18 mm</t>
  </si>
  <si>
    <t>Guía 03 · Tablas 1-2 · 0,01 mm · ej. 21-40|22</t>
  </si>
  <si>
    <t>1,64 mm</t>
  </si>
  <si>
    <t>Guía 03 · Tablas 1-2 · 0,01 mm · ej. 21-40|23</t>
  </si>
  <si>
    <t>43,01 mm</t>
  </si>
  <si>
    <t>Guía 03 · Tablas 1-2 · 0,01 mm · ej. 21-40|24</t>
  </si>
  <si>
    <t>178,20 mm</t>
  </si>
  <si>
    <t>Guía 03 · Tablas 1-2 · 0,01 mm · ej. 21-40|25</t>
  </si>
  <si>
    <t>57,06 mm</t>
  </si>
  <si>
    <t>Guía 03 · Tablas 1-2 · 0,01 mm · ej. 21-40|26</t>
  </si>
  <si>
    <t>259,75 mm</t>
  </si>
  <si>
    <t>Guía 03 · Tablas 1-2 · 0,01 mm · ej. 21-40|27</t>
  </si>
  <si>
    <t>159,69 mm</t>
  </si>
  <si>
    <t>Guía 03 · Tablas 1-2 · 0,01 mm · ej. 21-40|28</t>
  </si>
  <si>
    <t>329,32 mm</t>
  </si>
  <si>
    <t>Guía 03 · Tablas 1-2 · 0,01 mm · ej. 21-40|29</t>
  </si>
  <si>
    <t>206,43 mm</t>
  </si>
  <si>
    <t>Guía 03 · Tablas 1-2 · 0,01 mm · ej. 21-40|30</t>
  </si>
  <si>
    <t>136,78 mm</t>
  </si>
  <si>
    <t>Guía 03 · Tablas 1-2 · 0,01 mm · ej. 21-40|31</t>
  </si>
  <si>
    <t>83,56 mm</t>
  </si>
  <si>
    <t>Guía 03 · Tablas 1-2 · 0,01 mm · ej. 21-40|32</t>
  </si>
  <si>
    <t>129,44 mm</t>
  </si>
  <si>
    <t>Guía 03 · Tablas 1-2 · 0,01 mm · ej. 21-40|33</t>
  </si>
  <si>
    <t>390,93 mm</t>
  </si>
  <si>
    <t>Guía 03 · Tablas 1-2 · 0,01 mm · ej. 21-40|34</t>
  </si>
  <si>
    <t>263,48 mm</t>
  </si>
  <si>
    <t>Guía 03 · Tablas 1-2 · 0,01 mm · ej. 21-40|35</t>
  </si>
  <si>
    <t>254,99 mm</t>
  </si>
  <si>
    <t>Guía 03 · Tablas 1-2 · 0,01 mm · ej. 21-40|36</t>
  </si>
  <si>
    <t>2,03 mm</t>
  </si>
  <si>
    <t>Guía 03 · Tablas 1-2 · 0,01 mm · ej. 21-40|37</t>
  </si>
  <si>
    <t>21,11 mm  (con estimación de la siguiente cifra: 21,117 mm)</t>
  </si>
  <si>
    <t>Guía 03 · Tablas 1-2 · 0,01 mm · ej. 21-40|38</t>
  </si>
  <si>
    <t>317,24 mm  (con estimación de la siguiente cifra: 317,243 mm)</t>
  </si>
  <si>
    <t>Guía 03 · Tablas 1-2 · 0,01 mm · ej. 21-40|39</t>
  </si>
  <si>
    <t>Guía 03 · Tablas 1-2 · 0,01 mm · ej. 21-40|40</t>
  </si>
  <si>
    <t>285,97 mm  (con estimación de la siguiente cifra: 285,973 mm)</t>
  </si>
  <si>
    <t>Guía 03 · Tablas 3-4 · 0,001 mm · ej. 1-20|1</t>
  </si>
  <si>
    <t>40,063 mm</t>
  </si>
  <si>
    <t>Guía 03 · Tablas 3-4 · 0,001 mm · ej. 1-20|2</t>
  </si>
  <si>
    <t>167,894 mm</t>
  </si>
  <si>
    <t>Guía 03 · Tablas 3-4 · 0,001 mm · ej. 1-20|3</t>
  </si>
  <si>
    <t>38,387 mm</t>
  </si>
  <si>
    <t>Guía 03 · Tablas 3-4 · 0,001 mm · ej. 1-20|4</t>
  </si>
  <si>
    <t>196,901 mm</t>
  </si>
  <si>
    <t>Guía 03 · Tablas 3-4 · 0,001 mm · ej. 1-20|5</t>
  </si>
  <si>
    <t>296,158 mm</t>
  </si>
  <si>
    <t>Guía 03 · Tablas 3-4 · 0,001 mm · ej. 1-20|6</t>
  </si>
  <si>
    <t>36,036 mm</t>
  </si>
  <si>
    <t>Guía 03 · Tablas 3-4 · 0,001 mm · ej. 1-20|7</t>
  </si>
  <si>
    <t>140,395 mm</t>
  </si>
  <si>
    <t>Guía 03 · Tablas 3-4 · 0,001 mm · ej. 1-20|8</t>
  </si>
  <si>
    <t>21,678 mm</t>
  </si>
  <si>
    <t>Guía 03 · Tablas 3-4 · 0,001 mm · ej. 1-20|9</t>
  </si>
  <si>
    <t>145,594 mm</t>
  </si>
  <si>
    <t>Guía 03 · Tablas 3-4 · 0,001 mm · ej. 1-20|10</t>
  </si>
  <si>
    <t>353,840 mm</t>
  </si>
  <si>
    <t>Guía 03 · Tablas 3-4 · 0,001 mm · ej. 1-20|11</t>
  </si>
  <si>
    <t>7,325 mm</t>
  </si>
  <si>
    <t>Guía 03 · Tablas 3-4 · 0,001 mm · ej. 1-20|12</t>
  </si>
  <si>
    <t>124,190 mm</t>
  </si>
  <si>
    <t>Guía 03 · Tablas 3-4 · 0,001 mm · ej. 1-20|13</t>
  </si>
  <si>
    <t>170,877 mm</t>
  </si>
  <si>
    <t>Guía 03 · Tablas 3-4 · 0,001 mm · ej. 1-20|14</t>
  </si>
  <si>
    <t>282,536 mm</t>
  </si>
  <si>
    <t>Guía 03 · Tablas 3-4 · 0,001 mm · ej. 1-20|15</t>
  </si>
  <si>
    <t>285,400 mm</t>
  </si>
  <si>
    <t>Guía 03 · Tablas 3-4 · 0,001 mm · ej. 1-20|16</t>
  </si>
  <si>
    <t>142,247 mm</t>
  </si>
  <si>
    <t>Guía 03 · Tablas 3-4 · 0,001 mm · ej. 1-20|17</t>
  </si>
  <si>
    <t>126,229 mm</t>
  </si>
  <si>
    <t>Guía 03 · Tablas 3-4 · 0,001 mm · ej. 1-20|18</t>
  </si>
  <si>
    <t>43,539 mm</t>
  </si>
  <si>
    <t>Guía 03 · Tablas 3-4 · 0,001 mm · ej. 1-20|19</t>
  </si>
  <si>
    <t>135,936 mm</t>
  </si>
  <si>
    <t>Guía 03 · Tablas 3-4 · 0,001 mm · ej. 1-20|20</t>
  </si>
  <si>
    <t>200,082 mm</t>
  </si>
  <si>
    <t>Guía 03 · Tablas 5-6 · 0,001" · ej. 1-20|1</t>
  </si>
  <si>
    <t>0,864 in</t>
  </si>
  <si>
    <t>Guía 03 · Tablas 5-6 · 0,001" · ej. 1-20|2</t>
  </si>
  <si>
    <t>0,162 in</t>
  </si>
  <si>
    <t>Guía 03 · Tablas 5-6 · 0,001" · ej. 1-20|3</t>
  </si>
  <si>
    <t>0,503 in</t>
  </si>
  <si>
    <t>Guía 03 · Tablas 5-6 · 0,001" · ej. 1-20|4</t>
  </si>
  <si>
    <t>0,495 in</t>
  </si>
  <si>
    <t>Guía 03 · Tablas 5-6 · 0,001" · ej. 1-20|5</t>
  </si>
  <si>
    <t>0,416 in</t>
  </si>
  <si>
    <t>Guía 03 · Tablas 5-6 · 0,001" · ej. 1-20|6</t>
  </si>
  <si>
    <t>0,069 in</t>
  </si>
  <si>
    <t>Guía 03 · Tablas 5-6 · 0,001" · ej. 1-20|7</t>
  </si>
  <si>
    <t>0,547 in</t>
  </si>
  <si>
    <t>Guía 03 · Tablas 5-6 · 0,001" · ej. 1-20|8</t>
  </si>
  <si>
    <t>0,139 in</t>
  </si>
  <si>
    <t>Guía 03 · Tablas 5-6 · 0,001" · ej. 1-20|9</t>
  </si>
  <si>
    <t>0,406 in</t>
  </si>
  <si>
    <t>Guía 03 · Tablas 5-6 · 0,001" · ej. 1-20|10</t>
  </si>
  <si>
    <t>0,700 in</t>
  </si>
  <si>
    <t>Guía 03 · Tablas 5-6 · 0,001" · ej. 1-20|11</t>
  </si>
  <si>
    <t>0,014 in</t>
  </si>
  <si>
    <t>Guía 03 · Tablas 5-6 · 0,001" · ej. 1-20|12</t>
  </si>
  <si>
    <t>0,888 in</t>
  </si>
  <si>
    <t>Guía 03 · Tablas 5-6 · 0,001" · ej. 1-20|13</t>
  </si>
  <si>
    <t>0,745 in</t>
  </si>
  <si>
    <t>Guía 03 · Tablas 5-6 · 0,001" · ej. 1-20|14</t>
  </si>
  <si>
    <t>0,911 in</t>
  </si>
  <si>
    <t>Guía 03 · Tablas 5-6 · 0,001" · ej. 1-20|15</t>
  </si>
  <si>
    <t>3,466 in  (con estimación de la siguiente cifra: 3,4665 in)</t>
  </si>
  <si>
    <t>Guía 03 · Tablas 5-6 · 0,001" · ej. 1-20|16</t>
  </si>
  <si>
    <t>1,843 in</t>
  </si>
  <si>
    <t>Guía 03 · Tablas 5-6 · 0,001" · ej. 1-20|17</t>
  </si>
  <si>
    <t>9,433 in</t>
  </si>
  <si>
    <t>Guía 03 · Tablas 5-6 · 0,001" · ej. 1-20|18</t>
  </si>
  <si>
    <t>1,979 in</t>
  </si>
  <si>
    <t>Guía 03 · Tablas 5-6 · 0,001" · ej. 1-20|19</t>
  </si>
  <si>
    <t>1,152 in  (con estimación de la siguiente cifra: 1,1524 in)</t>
  </si>
  <si>
    <t>Guía 03 · Tablas 5-6 · 0,001" · ej. 1-20|20</t>
  </si>
  <si>
    <t>0,997 in</t>
  </si>
  <si>
    <t>Guía 03 · Tablas 7-8 · 0,0001" · ej. 1-20|1</t>
  </si>
  <si>
    <t>0,8530 in</t>
  </si>
  <si>
    <t>Guía 03 · Tablas 7-8 · 0,0001" · ej. 1-20|2</t>
  </si>
  <si>
    <t>0,1273 in</t>
  </si>
  <si>
    <t>Guía 03 · Tablas 7-8 · 0,0001" · ej. 1-20|3</t>
  </si>
  <si>
    <t>0,7582 in</t>
  </si>
  <si>
    <t>Guía 03 · Tablas 7-8 · 0,0001" · ej. 1-20|4</t>
  </si>
  <si>
    <t>0,8890 in</t>
  </si>
  <si>
    <t>Guía 03 · Tablas 7-8 · 0,0001" · ej. 1-20|5</t>
  </si>
  <si>
    <t>0,1178 in</t>
  </si>
  <si>
    <t>Guía 03 · Tablas 7-8 · 0,0001" · ej. 1-20|6</t>
  </si>
  <si>
    <t>0,7908 in</t>
  </si>
  <si>
    <t>Guía 03 · Tablas 7-8 · 0,0001" · ej. 1-20|7</t>
  </si>
  <si>
    <t>0,8592 in</t>
  </si>
  <si>
    <t>Guía 03 · Tablas 7-8 · 0,0001" · ej. 1-20|8</t>
  </si>
  <si>
    <t>0,0875 in</t>
  </si>
  <si>
    <t>Guía 03 · Tablas 7-8 · 0,0001" · ej. 1-20|9</t>
  </si>
  <si>
    <t>0,5673 in</t>
  </si>
  <si>
    <t>Guía 03 · Tablas 7-8 · 0,0001" · ej. 1-20|10</t>
  </si>
  <si>
    <t>0,0795 in</t>
  </si>
  <si>
    <t>Guía 03 · Tablas 7-8 · 0,0001" · ej. 1-20|11</t>
  </si>
  <si>
    <t>0,8899 in</t>
  </si>
  <si>
    <t>Guía 03 · Tablas 7-8 · 0,0001" · ej. 1-20|12</t>
  </si>
  <si>
    <t>0,8209 in</t>
  </si>
  <si>
    <t>Guía 03 · Tablas 7-8 · 0,0001" · ej. 1-20|13</t>
  </si>
  <si>
    <t>0,3609 in</t>
  </si>
  <si>
    <t>Guía 03 · Tablas 7-8 · 0,0001" · ej. 1-20|14</t>
  </si>
  <si>
    <t>0,2736 in</t>
  </si>
  <si>
    <t>Guía 03 · Tablas 7-8 · 0,0001" · ej. 1-20|15</t>
  </si>
  <si>
    <t>1,7253 in</t>
  </si>
  <si>
    <t>Guía 03 · Tablas 7-8 · 0,0001" · ej. 1-20|16</t>
  </si>
  <si>
    <t>9,0000 in</t>
  </si>
  <si>
    <t>Guía 03 · Tablas 7-8 · 0,0001" · ej. 1-20|17</t>
  </si>
  <si>
    <t>0,9352 in</t>
  </si>
  <si>
    <t>Guía 03 · Tablas 7-8 · 0,0001" · ej. 1-20|18</t>
  </si>
  <si>
    <t>0,6329 in</t>
  </si>
  <si>
    <t>Guía 03 · Tablas 7-8 · 0,0001" · ej. 1-20|19</t>
  </si>
  <si>
    <t>8,5572 in</t>
  </si>
  <si>
    <t>Guía 03 · Tablas 7-8 · 0,0001" · ej. 1-20|20</t>
  </si>
  <si>
    <t>8,7086 in</t>
  </si>
  <si>
    <t>Guía 03 · Tabla 13 · 0,01 mm · ej. 41-60|41</t>
  </si>
  <si>
    <t>259,74 mm</t>
  </si>
  <si>
    <t>Guía 03 · Tabla 13 · 0,01 mm · ej. 41-60|42</t>
  </si>
  <si>
    <t>198,84 mm</t>
  </si>
  <si>
    <t>Guía 03 · Tabla 13 · 0,01 mm · ej. 41-60|43</t>
  </si>
  <si>
    <t>124,21 mm</t>
  </si>
  <si>
    <t>Guía 03 · Tabla 13 · 0,01 mm · ej. 41-60|44</t>
  </si>
  <si>
    <t>180,46 mm</t>
  </si>
  <si>
    <t>Guía 03 · Tabla 13 · 0,01 mm · ej. 41-60|45</t>
  </si>
  <si>
    <t>284,64 mm</t>
  </si>
  <si>
    <t>Guía 03 · Tabla 13 · 0,01 mm · ej. 41-60|46</t>
  </si>
  <si>
    <t>58,95 mm</t>
  </si>
  <si>
    <t>Guía 03 · Tabla 13 · 0,01 mm · ej. 41-60|47</t>
  </si>
  <si>
    <t>283,21 mm</t>
  </si>
  <si>
    <t>Guía 03 · Tabla 13 · 0,01 mm · ej. 41-60|48</t>
  </si>
  <si>
    <t>156,16 mm</t>
  </si>
  <si>
    <t>Guía 03 · Tabla 13 · 0,01 mm · ej. 41-60|49</t>
  </si>
  <si>
    <t>71,00 mm</t>
  </si>
  <si>
    <t>Guía 03 · Tabla 13 · 0,01 mm · ej. 41-60|50</t>
  </si>
  <si>
    <t>223,01 mm  (con estimación de la siguiente cifra: 223,015 mm)</t>
  </si>
  <si>
    <t>Guía 03 · Tabla 13 · 0,01 mm · ej. 41-60|51</t>
  </si>
  <si>
    <t>274,62 mm  (con estimación de la siguiente cifra: 274,622 mm)</t>
  </si>
  <si>
    <t>Guía 03 · Tabla 13 · 0,01 mm · ej. 41-60|52</t>
  </si>
  <si>
    <t>287,90 mm  (con estimación de la siguiente cifra: 287,906 mm)</t>
  </si>
  <si>
    <t>Guía 03 · Tabla 13 · 0,01 mm · ej. 41-60|53</t>
  </si>
  <si>
    <t>174,61 mm  (con estimación de la siguiente cifra: 174,618 mm)</t>
  </si>
  <si>
    <t>Guía 03 · Tabla 13 · 0,01 mm · ej. 41-60|54</t>
  </si>
  <si>
    <t>69,71 mm  (con estimación de la siguiente cifra: 69,713 mm)</t>
  </si>
  <si>
    <t>Guía 03 · Tabla 13 · 0,01 mm · ej. 41-60|55</t>
  </si>
  <si>
    <t>29,34 mm  (con estimación de la siguiente cifra: 29,345 mm)</t>
  </si>
  <si>
    <t>Guía 03 · Tabla 13 · 0,01 mm · ej. 41-60|56</t>
  </si>
  <si>
    <t>103,35 mm  (con estimación de la siguiente cifra: 103,357 mm)</t>
  </si>
  <si>
    <t>Guía 03 · Tabla 13 · 0,01 mm · ej. 41-60|57</t>
  </si>
  <si>
    <t>148,87 mm</t>
  </si>
  <si>
    <t>Guía 03 · Tabla 13 · 0,01 mm · ej. 41-60|58</t>
  </si>
  <si>
    <t>17,57 mm</t>
  </si>
  <si>
    <t>Guía 03 · Tabla 13 · 0,01 mm · ej. 41-60|59</t>
  </si>
  <si>
    <t>66,01 mm  (con estimación de la siguiente cifra: 66,014 mm)</t>
  </si>
  <si>
    <t>Guía 03 · Tabla 13 · 0,01 mm · ej. 41-60|60</t>
  </si>
  <si>
    <t>250,62 mm  (con estimación de la siguiente cifra: 250,623 mm)</t>
  </si>
  <si>
    <t>Guía 03 · Tabla 14 · 0,001 mm · ej. 21-40|21</t>
  </si>
  <si>
    <t>56,005 mm</t>
  </si>
  <si>
    <t>Guía 03 · Tabla 14 · 0,001 mm · ej. 21-40|22</t>
  </si>
  <si>
    <t>59,112 mm</t>
  </si>
  <si>
    <t>Guía 03 · Tabla 14 · 0,001 mm · ej. 21-40|23</t>
  </si>
  <si>
    <t>291,584 mm</t>
  </si>
  <si>
    <t>Guía 03 · Tabla 14 · 0,001 mm · ej. 21-40|24</t>
  </si>
  <si>
    <t>240,191 mm</t>
  </si>
  <si>
    <t>Guía 03 · Tabla 14 · 0,001 mm · ej. 21-40|25</t>
  </si>
  <si>
    <t>79,374 mm</t>
  </si>
  <si>
    <t>Guía 03 · Tabla 14 · 0,001 mm · ej. 21-40|26</t>
  </si>
  <si>
    <t>103,079 mm</t>
  </si>
  <si>
    <t>Guía 03 · Tabla 14 · 0,001 mm · ej. 21-40|27</t>
  </si>
  <si>
    <t>7,957 mm</t>
  </si>
  <si>
    <t>Guía 03 · Tabla 14 · 0,001 mm · ej. 21-40|28</t>
  </si>
  <si>
    <t>296,147 mm</t>
  </si>
  <si>
    <t>Guía 03 · Tabla 14 · 0,001 mm · ej. 21-40|29</t>
  </si>
  <si>
    <t>131,580 mm</t>
  </si>
  <si>
    <t>Guía 03 · Tabla 14 · 0,001 mm · ej. 21-40|30</t>
  </si>
  <si>
    <t>293,305 mm</t>
  </si>
  <si>
    <t>Guía 03 · Tabla 14 · 0,001 mm · ej. 21-40|31</t>
  </si>
  <si>
    <t>2,481 mm</t>
  </si>
  <si>
    <t>Guía 03 · Tabla 14 · 0,001 mm · ej. 21-40|32</t>
  </si>
  <si>
    <t>52,644 mm</t>
  </si>
  <si>
    <t>Guía 03 · Tabla 14 · 0,001 mm · ej. 21-40|33</t>
  </si>
  <si>
    <t>142,446 mm</t>
  </si>
  <si>
    <t>Guía 03 · Tabla 14 · 0,001 mm · ej. 21-40|34</t>
  </si>
  <si>
    <t>249,729 mm</t>
  </si>
  <si>
    <t>Guía 03 · Tabla 14 · 0,001 mm · ej. 21-40|35</t>
  </si>
  <si>
    <t>141,521 mm</t>
  </si>
  <si>
    <t>Guía 03 · Tabla 14 · 0,001 mm · ej. 21-40|36</t>
  </si>
  <si>
    <t>284,642 mm</t>
  </si>
  <si>
    <t>Guía 03 · Tabla 14 · 0,001 mm · ej. 21-40|37</t>
  </si>
  <si>
    <t>193,608 mm</t>
  </si>
  <si>
    <t>Guía 03 · Tabla 14 · 0,001 mm · ej. 21-40|38</t>
  </si>
  <si>
    <t>216,174 mm</t>
  </si>
  <si>
    <t>Guía 03 · Tabla 14 · 0,001 mm · ej. 21-40|39</t>
  </si>
  <si>
    <t>226,831 mm</t>
  </si>
  <si>
    <t>Guía 03 · Tabla 14 · 0,001 mm · ej. 21-40|40</t>
  </si>
  <si>
    <t>93,780 mm</t>
  </si>
  <si>
    <t>Guía 03 · Tabla 15 · 0,001 mm · ej. 41-60|41</t>
  </si>
  <si>
    <t>44,856 mm</t>
  </si>
  <si>
    <t>Guía 03 · Tabla 15 · 0,001 mm · ej. 41-60|42</t>
  </si>
  <si>
    <t>153,894 mm</t>
  </si>
  <si>
    <t>Guía 03 · Tabla 15 · 0,001 mm · ej. 41-60|43</t>
  </si>
  <si>
    <t>162,230 mm</t>
  </si>
  <si>
    <t>Guía 03 · Tabla 15 · 0,001 mm · ej. 41-60|44</t>
  </si>
  <si>
    <t>139,405 mm</t>
  </si>
  <si>
    <t>Guía 03 · Tabla 15 · 0,001 mm · ej. 41-60|45</t>
  </si>
  <si>
    <t>93,927 mm</t>
  </si>
  <si>
    <t>Guía 03 · Tabla 15 · 0,001 mm · ej. 41-60|46</t>
  </si>
  <si>
    <t>257,923 mm</t>
  </si>
  <si>
    <t>Guía 03 · Tabla 15 · 0,001 mm · ej. 41-60|47</t>
  </si>
  <si>
    <t>244,556 mm</t>
  </si>
  <si>
    <t>Guía 03 · Tabla 15 · 0,001 mm · ej. 41-60|48</t>
  </si>
  <si>
    <t>16,894 mm</t>
  </si>
  <si>
    <t>Guía 03 · Tabla 15 · 0,001 mm · ej. 41-60|49</t>
  </si>
  <si>
    <t>107,161 mm</t>
  </si>
  <si>
    <t>Guía 03 · Tabla 15 · 0,001 mm · ej. 41-60|50</t>
  </si>
  <si>
    <t>90,729 mm</t>
  </si>
  <si>
    <t>Guía 03 · Tabla 15 · 0,001 mm · ej. 41-60|51</t>
  </si>
  <si>
    <t>196,133 mm</t>
  </si>
  <si>
    <t>Guía 03 · Tabla 15 · 0,001 mm · ej. 41-60|52</t>
  </si>
  <si>
    <t>177,974 mm</t>
  </si>
  <si>
    <t>Guía 03 · Tabla 15 · 0,001 mm · ej. 41-60|53</t>
  </si>
  <si>
    <t>123,996 mm</t>
  </si>
  <si>
    <t>Guía 03 · Tabla 15 · 0,001 mm · ej. 41-60|54</t>
  </si>
  <si>
    <t>126,591 mm</t>
  </si>
  <si>
    <t>Guía 03 · Tabla 15 · 0,001 mm · ej. 41-60|55</t>
  </si>
  <si>
    <t>75,491 mm</t>
  </si>
  <si>
    <t>Guía 03 · Tabla 15 · 0,001 mm · ej. 41-60|56</t>
  </si>
  <si>
    <t>250,480 mm</t>
  </si>
  <si>
    <t>Guía 03 · Tabla 15 · 0,001 mm · ej. 41-60|57</t>
  </si>
  <si>
    <t>52,168 mm</t>
  </si>
  <si>
    <t>Guía 03 · Tabla 15 · 0,001 mm · ej. 41-60|58</t>
  </si>
  <si>
    <t>142,648 mm</t>
  </si>
  <si>
    <t>Guía 03 · Tabla 15 · 0,001 mm · ej. 41-60|59</t>
  </si>
  <si>
    <t>60,876 mm</t>
  </si>
  <si>
    <t>Guía 03 · Tabla 15 · 0,001 mm · ej. 41-60|60</t>
  </si>
  <si>
    <t>286,767 mm</t>
  </si>
  <si>
    <t>Guía 03 · Tabla 16 · 0,001" · ej. 21-40|21</t>
  </si>
  <si>
    <t>6,174 in</t>
  </si>
  <si>
    <t>Guía 03 · Tabla 16 · 0,001" · ej. 21-40|22</t>
  </si>
  <si>
    <t>4,847 in  (con estimación de la siguiente cifra: 4,8473 in)</t>
  </si>
  <si>
    <t>Guía 03 · Tabla 16 · 0,001" · ej. 21-40|23</t>
  </si>
  <si>
    <t>2,542 in</t>
  </si>
  <si>
    <t>Guía 03 · Tabla 16 · 0,001" · ej. 21-40|24</t>
  </si>
  <si>
    <t>8,326 in  (con estimación de la siguiente cifra: 8,3263 in)</t>
  </si>
  <si>
    <t>Guía 03 · Tabla 16 · 0,001" · ej. 21-40|25</t>
  </si>
  <si>
    <t>8,245 in</t>
  </si>
  <si>
    <t>Guía 03 · Tabla 16 · 0,001" · ej. 21-40|26</t>
  </si>
  <si>
    <t>6,306 in  (con estimación de la siguiente cifra: 6,3063 in)</t>
  </si>
  <si>
    <t>Guía 03 · Tabla 16 · 0,001" · ej. 21-40|27</t>
  </si>
  <si>
    <t>3,500 in  (con estimación de la siguiente cifra: 3,5001 in)</t>
  </si>
  <si>
    <t>Guía 03 · Tabla 16 · 0,001" · ej. 21-40|28</t>
  </si>
  <si>
    <t>3,329 in  (con estimación de la siguiente cifra: 3,3293 in)</t>
  </si>
  <si>
    <t>Guía 03 · Tabla 16 · 0,001" · ej. 21-40|29</t>
  </si>
  <si>
    <t>2,121 in</t>
  </si>
  <si>
    <t>Guía 03 · Tabla 16 · 0,001" · ej. 21-40|30</t>
  </si>
  <si>
    <t>13,046 in  (con estimación de la siguiente cifra: 13,0465 in)</t>
  </si>
  <si>
    <t>Guía 03 · Tabla 16 · 0,001" · ej. 21-40|31</t>
  </si>
  <si>
    <t>24,518 in</t>
  </si>
  <si>
    <t>Guía 03 · Tabla 16 · 0,001" · ej. 21-40|32</t>
  </si>
  <si>
    <t>15,129 in</t>
  </si>
  <si>
    <t>Guía 03 · Tabla 16 · 0,001" · ej. 21-40|33</t>
  </si>
  <si>
    <t>5,283 in  (con estimación de la siguiente cifra: 5,2833 in)</t>
  </si>
  <si>
    <t>Guía 03 · Tabla 16 · 0,001" · ej. 21-40|34</t>
  </si>
  <si>
    <t>15,980 in  (con estimación de la siguiente cifra: 15,9808 in)</t>
  </si>
  <si>
    <t>Guía 03 · Tabla 16 · 0,001" · ej. 21-40|35</t>
  </si>
  <si>
    <t>2,689 in</t>
  </si>
  <si>
    <t>Guía 03 · Tabla 16 · 0,001" · ej. 21-40|36</t>
  </si>
  <si>
    <t>17,877 in</t>
  </si>
  <si>
    <t>Guía 03 · Tabla 16 · 0,001" · ej. 21-40|37</t>
  </si>
  <si>
    <t>14,962 in  (con estimación de la siguiente cifra: 14,9628 in)</t>
  </si>
  <si>
    <t>Guía 03 · Tabla 16 · 0,001" · ej. 21-40|38</t>
  </si>
  <si>
    <t>13,880 in  (con estimación de la siguiente cifra: 13,8806 in)</t>
  </si>
  <si>
    <t>Guía 03 · Tabla 16 · 0,001" · ej. 21-40|39</t>
  </si>
  <si>
    <t>16,346 in  (con estimación de la siguiente cifra: 16,3468 in)</t>
  </si>
  <si>
    <t>Guía 03 · Tabla 16 · 0,001" · ej. 21-40|40</t>
  </si>
  <si>
    <t>0,413 in  (con estimación de la siguiente cifra: 0,4135 in)</t>
  </si>
  <si>
    <t>Guía 03 · Tabla 17 · 0,001" · ej. 41-60|41</t>
  </si>
  <si>
    <t>3,442 in</t>
  </si>
  <si>
    <t>Guía 03 · Tabla 17 · 0,001" · ej. 41-60|42</t>
  </si>
  <si>
    <t>1,691 in</t>
  </si>
  <si>
    <t>Guía 03 · Tabla 17 · 0,001" · ej. 41-60|43</t>
  </si>
  <si>
    <t>8,817 in  (con estimación de la siguiente cifra: 8,8173 in)</t>
  </si>
  <si>
    <t>Guía 03 · Tabla 17 · 0,001" · ej. 41-60|44</t>
  </si>
  <si>
    <t>19,950 in  (con estimación de la siguiente cifra: 19,9507 in)</t>
  </si>
  <si>
    <t>Guía 03 · Tabla 17 · 0,001" · ej. 41-60|45</t>
  </si>
  <si>
    <t>13,747 in  (con estimación de la siguiente cifra: 13,7479 in)</t>
  </si>
  <si>
    <t>Guía 03 · Tabla 17 · 0,001" · ej. 41-60|46</t>
  </si>
  <si>
    <t>6,319 in  (con estimación de la siguiente cifra: 6,3193 in)</t>
  </si>
  <si>
    <t>Guía 03 · Tabla 17 · 0,001" · ej. 41-60|47</t>
  </si>
  <si>
    <t>12,862 in  (con estimación de la siguiente cifra: 12,8628 in)</t>
  </si>
  <si>
    <t>Guía 03 · Tabla 17 · 0,001" · ej. 41-60|48</t>
  </si>
  <si>
    <t>17,383 in  (con estimación de la siguiente cifra: 17,3834 in)</t>
  </si>
  <si>
    <t>Guía 03 · Tabla 17 · 0,001" · ej. 41-60|49</t>
  </si>
  <si>
    <t>27,050 in  (con estimación de la siguiente cifra: 27,0503 in)</t>
  </si>
  <si>
    <t>Guía 03 · Tabla 17 · 0,001" · ej. 41-60|50</t>
  </si>
  <si>
    <t>24,060 in  (con estimación de la siguiente cifra: 24,0603 in)</t>
  </si>
  <si>
    <t>Guía 03 · Tabla 17 · 0,001" · ej. 41-60|51</t>
  </si>
  <si>
    <t>19,336 in  (con estimación de la siguiente cifra: 19,3364 in)</t>
  </si>
  <si>
    <t>Guía 03 · Tabla 17 · 0,001" · ej. 41-60|52</t>
  </si>
  <si>
    <t>24,679 in</t>
  </si>
  <si>
    <t>Guía 03 · Tabla 17 · 0,001" · ej. 41-60|53</t>
  </si>
  <si>
    <t>22,383 in  (con estimación de la siguiente cifra: 22,3838 in)</t>
  </si>
  <si>
    <t>Guía 03 · Tabla 17 · 0,001" · ej. 41-60|54</t>
  </si>
  <si>
    <t>8,351 in  (con estimación de la siguiente cifra: 8,3517 in)</t>
  </si>
  <si>
    <t>Guía 03 · Tabla 17 · 0,001" · ej. 41-60|55</t>
  </si>
  <si>
    <t>4,787 in</t>
  </si>
  <si>
    <t>Guía 03 · Tabla 17 · 0,001" · ej. 41-60|56</t>
  </si>
  <si>
    <t>13,308 in  (con estimación de la siguiente cifra: 13,3082 in)</t>
  </si>
  <si>
    <t>Guía 03 · Tabla 17 · 0,001" · ej. 41-60|57</t>
  </si>
  <si>
    <t>15,013 in  (con estimación de la siguiente cifra: 15,0138 in)</t>
  </si>
  <si>
    <t>Guía 03 · Tabla 17 · 0,001" · ej. 41-60|58</t>
  </si>
  <si>
    <t>3,745 in  (con estimación de la siguiente cifra: 3,7452 in)</t>
  </si>
  <si>
    <t>Guía 03 · Tabla 17 · 0,001" · ej. 41-60|59</t>
  </si>
  <si>
    <t>21,585 in  (con estimación de la siguiente cifra: 21,5852 in)</t>
  </si>
  <si>
    <t>Guía 03 · Tabla 17 · 0,001" · ej. 41-60|60</t>
  </si>
  <si>
    <t>24,435 in</t>
  </si>
  <si>
    <t>Guía 03 · Tabla 18 · 0,0001" · ej. 21-40|21</t>
  </si>
  <si>
    <t>6,2355 in</t>
  </si>
  <si>
    <t>Guía 03 · Tabla 18 · 0,0001" · ej. 21-40|22</t>
  </si>
  <si>
    <t>5,1346 in</t>
  </si>
  <si>
    <t>Guía 03 · Tabla 18 · 0,0001" · ej. 21-40|23</t>
  </si>
  <si>
    <t>7,4466 in</t>
  </si>
  <si>
    <t>Guía 03 · Tabla 18 · 0,0001" · ej. 21-40|24</t>
  </si>
  <si>
    <t>6,1154 in</t>
  </si>
  <si>
    <t>Guía 03 · Tabla 18 · 0,0001" · ej. 21-40|25</t>
  </si>
  <si>
    <t>5,9695 in</t>
  </si>
  <si>
    <t>Guía 03 · Tabla 18 · 0,0001" · ej. 21-40|26</t>
  </si>
  <si>
    <t>3,9962 in</t>
  </si>
  <si>
    <t>Guía 03 · Tabla 18 · 0,0001" · ej. 21-40|27</t>
  </si>
  <si>
    <t>9,3910 in</t>
  </si>
  <si>
    <t>Guía 03 · Tabla 18 · 0,0001" · ej. 21-40|28</t>
  </si>
  <si>
    <t>2,8561 in</t>
  </si>
  <si>
    <t>Guía 03 · Tabla 18 · 0,0001" · ej. 21-40|29</t>
  </si>
  <si>
    <t>5,7137 in</t>
  </si>
  <si>
    <t>Guía 03 · Tabla 18 · 0,0001" · ej. 21-40|30</t>
  </si>
  <si>
    <t>12,8449 in</t>
  </si>
  <si>
    <t>Guía 03 · Tabla 18 · 0,0001" · ej. 21-40|31</t>
  </si>
  <si>
    <t>2,9611 in</t>
  </si>
  <si>
    <t>Guía 03 · Tabla 18 · 0,0001" · ej. 21-40|32</t>
  </si>
  <si>
    <t>20,5238 in</t>
  </si>
  <si>
    <t>Guía 03 · Tabla 18 · 0,0001" · ej. 21-40|33</t>
  </si>
  <si>
    <t>23,1183 in</t>
  </si>
  <si>
    <t>Guía 03 · Tabla 18 · 0,0001" · ej. 21-40|34</t>
  </si>
  <si>
    <t>27,6443 in</t>
  </si>
  <si>
    <t>Guía 03 · Tabla 18 · 0,0001" · ej. 21-40|35</t>
  </si>
  <si>
    <t>26,8798 in</t>
  </si>
  <si>
    <t>Guía 03 · Tabla 18 · 0,0001" · ej. 21-40|36</t>
  </si>
  <si>
    <t>7,6511 in</t>
  </si>
  <si>
    <t>Guía 03 · Tabla 18 · 0,0001" · ej. 21-40|37</t>
  </si>
  <si>
    <t>16,9607 in</t>
  </si>
  <si>
    <t>Guía 03 · Tabla 18 · 0,0001" · ej. 21-40|38</t>
  </si>
  <si>
    <t>27,6333 in</t>
  </si>
  <si>
    <t>Guía 03 · Tabla 18 · 0,0001" · ej. 21-40|39</t>
  </si>
  <si>
    <t>13,5944 in</t>
  </si>
  <si>
    <t>Guía 03 · Tabla 18 · 0,0001" · ej. 21-40|40</t>
  </si>
  <si>
    <t>26,5720 in</t>
  </si>
  <si>
    <t>Guía 03 · Tabla 19 · 0,0001" · ej. 41-60|41</t>
  </si>
  <si>
    <t>6,4181 in</t>
  </si>
  <si>
    <t>Guía 03 · Tabla 19 · 0,0001" · ej. 41-60|42</t>
  </si>
  <si>
    <t>19,6867 in</t>
  </si>
  <si>
    <t>Guía 03 · Tabla 19 · 0,0001" · ej. 41-60|43</t>
  </si>
  <si>
    <t>11,6159 in</t>
  </si>
  <si>
    <t>Guía 03 · Tabla 19 · 0,0001" · ej. 41-60|44</t>
  </si>
  <si>
    <t>28,6317 in</t>
  </si>
  <si>
    <t>Guía 03 · Tabla 19 · 0,0001" · ej. 41-60|45</t>
  </si>
  <si>
    <t>11,8251 in</t>
  </si>
  <si>
    <t>Guía 03 · Tabla 19 · 0,0001" · ej. 41-60|46</t>
  </si>
  <si>
    <t>1,5996 in</t>
  </si>
  <si>
    <t>Guía 03 · Tabla 19 · 0,0001" · ej. 41-60|47</t>
  </si>
  <si>
    <t>12,7951 in</t>
  </si>
  <si>
    <t>Guía 03 · Tabla 19 · 0,0001" · ej. 41-60|48</t>
  </si>
  <si>
    <t>3,2419 in</t>
  </si>
  <si>
    <t>Guía 03 · Tabla 19 · 0,0001" · ej. 41-60|49</t>
  </si>
  <si>
    <t>9,3004 in</t>
  </si>
  <si>
    <t>Guía 03 · Tabla 19 · 0,0001" · ej. 41-60|50</t>
  </si>
  <si>
    <t>27,4711 in</t>
  </si>
  <si>
    <t>Guía 03 · Tabla 19 · 0,0001" · ej. 41-60|51</t>
  </si>
  <si>
    <t>25,2127 in</t>
  </si>
  <si>
    <t>Guía 03 · Tabla 19 · 0,0001" · ej. 41-60|52</t>
  </si>
  <si>
    <t>28,7905 in</t>
  </si>
  <si>
    <t>Guía 03 · Tabla 19 · 0,0001" · ej. 41-60|53</t>
  </si>
  <si>
    <t>6,7665 in</t>
  </si>
  <si>
    <t>Guía 03 · Tabla 19 · 0,0001" · ej. 41-60|54</t>
  </si>
  <si>
    <t>13,9836 in</t>
  </si>
  <si>
    <t>Guía 03 · Tabla 19 · 0,0001" · ej. 41-60|55</t>
  </si>
  <si>
    <t>23,9690 in</t>
  </si>
  <si>
    <t>Guía 03 · Tabla 19 · 0,0001" · ej. 41-60|56</t>
  </si>
  <si>
    <t>14,5560 in</t>
  </si>
  <si>
    <t>Guía 03 · Tabla 19 · 0,0001" · ej. 41-60|57</t>
  </si>
  <si>
    <t>11,0565 in</t>
  </si>
  <si>
    <t>Guía 03 · Tabla 19 · 0,0001" · ej. 41-60|58</t>
  </si>
  <si>
    <t>5,6659 in</t>
  </si>
  <si>
    <t>Guía 03 · Tabla 19 · 0,0001" · ej. 41-60|59</t>
  </si>
  <si>
    <t>15,9073 in</t>
  </si>
  <si>
    <t>Guía 03 · Tabla 19 · 0,0001" · ej. 41-60|60</t>
  </si>
  <si>
    <t>0,1699 in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</si>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</sst>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"/>
    <numFmt numFmtId="166" formatCode="0.0%"/>
    <numFmt numFmtId="167" formatCode="0.0000"/>
    <numFmt numFmtId="168" formatCode="0.0000000"/>
    <numFmt numFmtId="169" formatCode=";;;"/>
    <numFmt numFmtId="170" formatCode="#,##0.0"/>
  </numFmts>
  <fonts count="24" x14ac:knownFonts="1">
    <font>
      <sz val="11"/>
      <color theme="1"/>
      <name val="Calibri"/>
      <family val="2"/>
      <scheme val="minor"/>
    </font>
    <font>
      <b/>
      <sz val="14"/>
      <color rgb="FF1F3A5F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1"/>
      <name val="Arial"/>
    </font>
    <font>
      <b/>
      <sz val="11"/>
      <color rgb="FF0000FF"/>
      <name val="Arial"/>
    </font>
    <font>
      <b/>
      <sz val="11"/>
      <name val="Arial"/>
    </font>
    <font>
      <sz val="9"/>
      <color rgb="FF595959"/>
      <name val="Arial"/>
    </font>
    <font>
      <sz val="9"/>
      <color rgb="FFC0392B"/>
      <name val="Arial"/>
    </font>
    <font>
      <sz val="11"/>
      <color rgb="FF0000FF"/>
      <name val="Arial"/>
    </font>
    <font>
      <b/>
      <sz val="9"/>
      <color rgb="FF595959"/>
      <name val="Arial"/>
    </font>
    <font>
      <b/>
      <sz val="8"/>
      <color rgb="FFFFFFFF"/>
      <name val="Arial"/>
    </font>
    <font>
      <sz val="8"/>
      <color rgb="FF595959"/>
      <name val="Arial"/>
    </font>
    <font>
      <b/>
      <sz val="12"/>
      <color rgb="FFC0392B"/>
      <name val="Arial"/>
    </font>
    <font>
      <b/>
      <sz val="9"/>
      <name val="Arial"/>
    </font>
    <font>
      <sz val="9"/>
      <name val="Arial"/>
    </font>
    <font>
      <b/>
      <sz val="11"/>
      <color rgb="FF2E9E44"/>
      <name val="Arial"/>
    </font>
    <font>
      <b/>
      <sz val="11"/>
      <color rgb="FF1F3A5F"/>
      <name val="Arial"/>
    </font>
    <font>
      <b/>
      <sz val="11"/>
      <color rgb="FFC0392B"/>
      <name val="Arial"/>
    </font>
    <font>
      <b/>
      <sz val="11"/>
      <color rgb="FF1F4FD8"/>
      <name val="Arial"/>
    </font>
    <font>
      <b/>
      <sz val="12"/>
      <color rgb="FF1F3A5F"/>
      <name val="Arial"/>
    </font>
    <font>
      <b/>
      <sz val="12"/>
      <color rgb="FF1F3864"/>
      <name val="Calibri"/>
    </font>
    <font>
      <b/>
      <sz val="11"/>
      <color rgb="FFFFFFFF"/>
      <name val="Calibri"/>
    </font>
    <font>
      <i/>
      <sz val="11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1F38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/>
    <xf numFmtId="164" fontId="6" fillId="4" borderId="1" xfId="0" applyNumberFormat="1" applyFont="1" applyFill="1" applyBorder="1" applyAlignment="1">
      <alignment horizontal="center"/>
    </xf>
    <xf numFmtId="0" fontId="7" fillId="0" borderId="0" xfId="0" applyFont="1"/>
    <xf numFmtId="165" fontId="6" fillId="4" borderId="1" xfId="0" applyNumberFormat="1" applyFont="1" applyFill="1" applyBorder="1" applyAlignment="1">
      <alignment horizontal="center"/>
    </xf>
    <xf numFmtId="2" fontId="6" fillId="4" borderId="1" xfId="0" applyNumberFormat="1" applyFont="1" applyFill="1" applyBorder="1" applyAlignment="1">
      <alignment horizontal="center"/>
    </xf>
    <xf numFmtId="1" fontId="6" fillId="4" borderId="1" xfId="0" applyNumberFormat="1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9" fillId="3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6" fontId="6" fillId="4" borderId="1" xfId="0" applyNumberFormat="1" applyFont="1" applyFill="1" applyBorder="1" applyAlignment="1">
      <alignment horizontal="center"/>
    </xf>
    <xf numFmtId="0" fontId="10" fillId="0" borderId="0" xfId="0" applyFont="1"/>
    <xf numFmtId="0" fontId="11" fillId="2" borderId="0" xfId="0" applyFont="1" applyFill="1"/>
    <xf numFmtId="0" fontId="5" fillId="3" borderId="1" xfId="0" applyFont="1" applyFill="1" applyBorder="1" applyAlignment="1">
      <alignment horizontal="left"/>
    </xf>
    <xf numFmtId="0" fontId="12" fillId="0" borderId="0" xfId="0" applyFont="1"/>
    <xf numFmtId="1" fontId="5" fillId="3" borderId="1" xfId="0" applyNumberFormat="1" applyFont="1" applyFill="1" applyBorder="1" applyAlignment="1">
      <alignment horizontal="center"/>
    </xf>
    <xf numFmtId="0" fontId="13" fillId="0" borderId="0" xfId="0" applyFont="1"/>
    <xf numFmtId="0" fontId="14" fillId="5" borderId="1" xfId="0" applyFont="1" applyFill="1" applyBorder="1" applyAlignment="1">
      <alignment vertical="top"/>
    </xf>
    <xf numFmtId="0" fontId="6" fillId="0" borderId="1" xfId="0" applyFont="1" applyBorder="1" applyAlignment="1">
      <alignment horizontal="center"/>
    </xf>
    <xf numFmtId="0" fontId="9" fillId="3" borderId="1" xfId="0" applyFont="1" applyFill="1" applyBorder="1"/>
    <xf numFmtId="0" fontId="4" fillId="0" borderId="1" xfId="0" applyFont="1" applyBorder="1" applyAlignment="1">
      <alignment horizontal="center"/>
    </xf>
    <xf numFmtId="0" fontId="16" fillId="0" borderId="0" xfId="0" applyFont="1"/>
    <xf numFmtId="0" fontId="7" fillId="0" borderId="1" xfId="0" applyFont="1" applyBorder="1"/>
    <xf numFmtId="1" fontId="7" fillId="0" borderId="1" xfId="0" applyNumberFormat="1" applyFont="1" applyBorder="1"/>
    <xf numFmtId="167" fontId="7" fillId="0" borderId="1" xfId="0" applyNumberFormat="1" applyFont="1" applyBorder="1"/>
    <xf numFmtId="168" fontId="7" fillId="0" borderId="1" xfId="0" applyNumberFormat="1" applyFont="1" applyBorder="1"/>
    <xf numFmtId="169" fontId="7" fillId="0" borderId="1" xfId="0" applyNumberFormat="1" applyFont="1" applyBorder="1"/>
    <xf numFmtId="165" fontId="7" fillId="0" borderId="1" xfId="0" applyNumberFormat="1" applyFont="1" applyBorder="1"/>
    <xf numFmtId="164" fontId="7" fillId="0" borderId="1" xfId="0" applyNumberFormat="1" applyFont="1" applyBorder="1"/>
    <xf numFmtId="2" fontId="5" fillId="3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170" fontId="6" fillId="4" borderId="1" xfId="0" applyNumberFormat="1" applyFont="1" applyFill="1" applyBorder="1" applyAlignment="1">
      <alignment horizontal="center"/>
    </xf>
    <xf numFmtId="0" fontId="18" fillId="0" borderId="0" xfId="0" applyFont="1"/>
    <xf numFmtId="0" fontId="19" fillId="0" borderId="0" xfId="0" applyFont="1"/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0" fontId="20" fillId="0" borderId="0" xfId="0" applyFont="1"/>
    <xf numFmtId="0" fontId="6" fillId="0" borderId="0" xfId="0" applyFont="1"/>
    <xf numFmtId="1" fontId="4" fillId="0" borderId="0" xfId="0" applyNumberFormat="1" applyFont="1"/>
    <xf numFmtId="2" fontId="4" fillId="0" borderId="0" xfId="0" applyNumberFormat="1" applyFont="1"/>
    <xf numFmtId="3" fontId="4" fillId="0" borderId="0" xfId="0" applyNumberFormat="1" applyFont="1"/>
    <xf numFmtId="164" fontId="4" fillId="0" borderId="0" xfId="0" applyNumberFormat="1" applyFont="1"/>
    <xf numFmtId="0" fontId="23" fillId="0" borderId="0" xfId="0" applyFont="1"/>
    <xf numFmtId="0" fontId="21" fillId="0" borderId="0" xfId="0" applyFont="1"/>
    <xf numFmtId="0" fontId="22" fillId="6" borderId="0" xfId="0" applyFont="1" applyFill="1"/>
    <xf numFmtId="0" fontId="4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5" fillId="5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t>Desplazamiento del pistón desde el PMS</a:t>
            </a:r>
          </a:p>
        </c:rich>
      </c:tx>
      <c:overlay val="1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v>Desplazamiento</c:v>
          </c:tx>
          <c:spPr>
            <a:ln w="28575">
              <a:solidFill>
                <a:srgbClr val="1F4FD8"/>
              </a:solidFill>
              <a:prstDash val="solid"/>
            </a:ln>
          </c:spPr>
          <c:marker>
            <c:symbol val="none"/>
          </c:marker>
          <c:xVal>
            <c:numRef>
              <c:f>Datos!$A$3:$A$75</c:f>
              <c:numCache>
                <c:formatCode>0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Datos!$B$3:$B$75</c:f>
              <c:numCache>
                <c:formatCode>0.00</c:formatCode>
                <c:ptCount val="73"/>
                <c:pt idx="0">
                  <c:v>0</c:v>
                </c:pt>
                <c:pt idx="1">
                  <c:v>0.1689799226194133</c:v>
                </c:pt>
                <c:pt idx="2">
                  <c:v>0.67387662848795327</c:v>
                </c:pt>
                <c:pt idx="3">
                  <c:v>1.5085933662943511</c:v>
                </c:pt>
                <c:pt idx="4">
                  <c:v>2.663076866411723</c:v>
                </c:pt>
                <c:pt idx="5">
                  <c:v>4.1234787975579206</c:v>
                </c:pt>
                <c:pt idx="6">
                  <c:v>5.8723805876621267</c:v>
                </c:pt>
                <c:pt idx="7">
                  <c:v>7.8890799703275398</c:v>
                </c:pt>
                <c:pt idx="8">
                  <c:v>10.149936576923423</c:v>
                </c:pt>
                <c:pt idx="9">
                  <c:v>12.628772477468651</c:v>
                </c:pt>
                <c:pt idx="10">
                  <c:v>15.29732177006084</c:v>
                </c:pt>
                <c:pt idx="11">
                  <c:v>18.125721173259862</c:v>
                </c:pt>
                <c:pt idx="12">
                  <c:v>21.083031202294677</c:v>
                </c:pt>
                <c:pt idx="13">
                  <c:v>24.137775098122475</c:v>
                </c:pt>
                <c:pt idx="14">
                  <c:v>27.258480489182318</c:v>
                </c:pt>
                <c:pt idx="15">
                  <c:v>30.41420710927941</c:v>
                </c:pt>
                <c:pt idx="16">
                  <c:v>33.57504309031517</c:v>
                </c:pt>
                <c:pt idx="17">
                  <c:v>36.71255266776511</c:v>
                </c:pt>
                <c:pt idx="18">
                  <c:v>39.800159744510843</c:v>
                </c:pt>
                <c:pt idx="19">
                  <c:v>42.813454660101186</c:v>
                </c:pt>
                <c:pt idx="20">
                  <c:v>45.730415527000297</c:v>
                </c:pt>
                <c:pt idx="21">
                  <c:v>48.531540266455856</c:v>
                </c:pt>
                <c:pt idx="22">
                  <c:v>51.199890521979135</c:v>
                </c:pt>
                <c:pt idx="23">
                  <c:v>53.721053419971433</c:v>
                </c:pt>
                <c:pt idx="24">
                  <c:v>56.08303120229467</c:v>
                </c:pt>
                <c:pt idx="25">
                  <c:v>58.276071717833091</c:v>
                </c:pt>
                <c:pt idx="26">
                  <c:v>60.29245444811859</c:v>
                </c:pt>
                <c:pt idx="27">
                  <c:v>62.126247160526979</c:v>
                </c:pt>
                <c:pt idx="28">
                  <c:v>63.773047595251882</c:v>
                </c:pt>
                <c:pt idx="29">
                  <c:v>65.229723070556972</c:v>
                </c:pt>
                <c:pt idx="30">
                  <c:v>66.494158852572838</c:v>
                </c:pt>
                <c:pt idx="31">
                  <c:v>67.565023890123413</c:v>
                </c:pt>
                <c:pt idx="32">
                  <c:v>68.441560321425314</c:v>
                </c:pt>
                <c:pt idx="33">
                  <c:v>69.123401206529124</c:v>
                </c:pt>
                <c:pt idx="34">
                  <c:v>69.610419339342528</c:v>
                </c:pt>
                <c:pt idx="35">
                  <c:v>69.902608789041594</c:v>
                </c:pt>
                <c:pt idx="36">
                  <c:v>70</c:v>
                </c:pt>
                <c:pt idx="37">
                  <c:v>69.902608789041594</c:v>
                </c:pt>
                <c:pt idx="38">
                  <c:v>69.610419339342528</c:v>
                </c:pt>
                <c:pt idx="39">
                  <c:v>69.123401206529124</c:v>
                </c:pt>
                <c:pt idx="40">
                  <c:v>68.441560321425314</c:v>
                </c:pt>
                <c:pt idx="41">
                  <c:v>67.565023890123399</c:v>
                </c:pt>
                <c:pt idx="42">
                  <c:v>66.494158852572824</c:v>
                </c:pt>
                <c:pt idx="43">
                  <c:v>65.229723070556972</c:v>
                </c:pt>
                <c:pt idx="44">
                  <c:v>63.773047595251882</c:v>
                </c:pt>
                <c:pt idx="45">
                  <c:v>62.126247160526987</c:v>
                </c:pt>
                <c:pt idx="46">
                  <c:v>60.292454448118598</c:v>
                </c:pt>
                <c:pt idx="47">
                  <c:v>58.276071717833105</c:v>
                </c:pt>
                <c:pt idx="48">
                  <c:v>56.083031202294691</c:v>
                </c:pt>
                <c:pt idx="49">
                  <c:v>53.721053419971433</c:v>
                </c:pt>
                <c:pt idx="50">
                  <c:v>51.199890521979128</c:v>
                </c:pt>
                <c:pt idx="51">
                  <c:v>48.531540266455856</c:v>
                </c:pt>
                <c:pt idx="52">
                  <c:v>45.730415527000297</c:v>
                </c:pt>
                <c:pt idx="53">
                  <c:v>42.813454660101186</c:v>
                </c:pt>
                <c:pt idx="54">
                  <c:v>39.800159744510857</c:v>
                </c:pt>
                <c:pt idx="55">
                  <c:v>36.712552667765124</c:v>
                </c:pt>
                <c:pt idx="56">
                  <c:v>33.575043090315184</c:v>
                </c:pt>
                <c:pt idx="57">
                  <c:v>30.414207109279442</c:v>
                </c:pt>
                <c:pt idx="58">
                  <c:v>27.258480489182311</c:v>
                </c:pt>
                <c:pt idx="59">
                  <c:v>24.137775098122471</c:v>
                </c:pt>
                <c:pt idx="60">
                  <c:v>21.083031202294677</c:v>
                </c:pt>
                <c:pt idx="61">
                  <c:v>18.125721173259866</c:v>
                </c:pt>
                <c:pt idx="62">
                  <c:v>15.297321770060844</c:v>
                </c:pt>
                <c:pt idx="63">
                  <c:v>12.628772477468658</c:v>
                </c:pt>
                <c:pt idx="64">
                  <c:v>10.149936576923434</c:v>
                </c:pt>
                <c:pt idx="65">
                  <c:v>7.8890799703275478</c:v>
                </c:pt>
                <c:pt idx="66">
                  <c:v>5.8723805876621382</c:v>
                </c:pt>
                <c:pt idx="67">
                  <c:v>4.1234787975579028</c:v>
                </c:pt>
                <c:pt idx="68">
                  <c:v>2.663076866411723</c:v>
                </c:pt>
                <c:pt idx="69">
                  <c:v>1.5085933662943511</c:v>
                </c:pt>
                <c:pt idx="70">
                  <c:v>0.67387662848795327</c:v>
                </c:pt>
                <c:pt idx="71">
                  <c:v>0.1689799226194133</c:v>
                </c:pt>
                <c:pt idx="7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7B-4A4F-A598-384FD4D2F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36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Ángulo del cigüeñal θ [°]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20"/>
        <c:crosses val="autoZero"/>
        <c:crossBetween val="midCat"/>
        <c:majorUnit val="45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 [mm]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t>Velocidad del pistón</a:t>
            </a:r>
          </a:p>
        </c:rich>
      </c:tx>
      <c:overlay val="1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v>Velocidad instantánea</c:v>
          </c:tx>
          <c:spPr>
            <a:ln w="28575">
              <a:solidFill>
                <a:srgbClr val="E8501E"/>
              </a:solidFill>
              <a:prstDash val="solid"/>
            </a:ln>
          </c:spPr>
          <c:marker>
            <c:symbol val="none"/>
          </c:marker>
          <c:xVal>
            <c:numRef>
              <c:f>Datos!$A$3:$A$75</c:f>
              <c:numCache>
                <c:formatCode>0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Datos!$C$3:$C$75</c:f>
              <c:numCache>
                <c:formatCode>0.00</c:formatCode>
                <c:ptCount val="73"/>
                <c:pt idx="0">
                  <c:v>0</c:v>
                </c:pt>
                <c:pt idx="1">
                  <c:v>1.6205702113617699</c:v>
                </c:pt>
                <c:pt idx="2">
                  <c:v>3.2215529853899931</c:v>
                </c:pt>
                <c:pt idx="3">
                  <c:v>4.7836721552607209</c:v>
                </c:pt>
                <c:pt idx="4">
                  <c:v>6.2882727770704978</c:v>
                </c:pt>
                <c:pt idx="5">
                  <c:v>7.7176279506602175</c:v>
                </c:pt>
                <c:pt idx="6">
                  <c:v>9.0552397277900738</c:v>
                </c:pt>
                <c:pt idx="7">
                  <c:v>10.286129940866877</c:v>
                </c:pt>
                <c:pt idx="8">
                  <c:v>11.397115079826571</c:v>
                </c:pt>
                <c:pt idx="9">
                  <c:v>12.37705747751796</c:v>
                </c:pt>
                <c:pt idx="10">
                  <c:v>13.217083265072983</c:v>
                </c:pt>
                <c:pt idx="11">
                  <c:v>13.910756130826465</c:v>
                </c:pt>
                <c:pt idx="12">
                  <c:v>14.454195215505939</c:v>
                </c:pt>
                <c:pt idx="13">
                  <c:v>14.846125867796619</c:v>
                </c:pt>
                <c:pt idx="14">
                  <c:v>15.087853771354167</c:v>
                </c:pt>
                <c:pt idx="15">
                  <c:v>15.183156290365064</c:v>
                </c:pt>
                <c:pt idx="16">
                  <c:v>15.138089684063543</c:v>
                </c:pt>
                <c:pt idx="17">
                  <c:v>14.960716740008335</c:v>
                </c:pt>
                <c:pt idx="18">
                  <c:v>14.660765716752369</c:v>
                </c:pt>
                <c:pt idx="19">
                  <c:v>14.249237413979543</c:v>
                </c:pt>
                <c:pt idx="20">
                  <c:v>13.737981801843086</c:v>
                </c:pt>
                <c:pt idx="21">
                  <c:v>13.139268187603891</c:v>
                </c:pt>
                <c:pt idx="22">
                  <c:v>12.465372946852295</c:v>
                </c:pt>
                <c:pt idx="23">
                  <c:v>11.728206398228631</c:v>
                </c:pt>
                <c:pt idx="24">
                  <c:v>10.938995883773114</c:v>
                </c:pt>
                <c:pt idx="25">
                  <c:v>10.10803628461287</c:v>
                </c:pt>
                <c:pt idx="26">
                  <c:v>9.2445129533017631</c:v>
                </c:pt>
                <c:pt idx="27">
                  <c:v>8.3563962338877502</c:v>
                </c:pt>
                <c:pt idx="28">
                  <c:v>7.4504020226646679</c:v>
                </c:pt>
                <c:pt idx="29">
                  <c:v>6.5320095671179486</c:v>
                </c:pt>
                <c:pt idx="30">
                  <c:v>5.6055259889622935</c:v>
                </c:pt>
                <c:pt idx="31">
                  <c:v>4.6741866953428337</c:v>
                </c:pt>
                <c:pt idx="32">
                  <c:v>3.7402816063448947</c:v>
                </c:pt>
                <c:pt idx="33">
                  <c:v>2.8052986113025242</c:v>
                </c:pt>
                <c:pt idx="34">
                  <c:v>1.8700775144417194</c:v>
                </c:pt>
                <c:pt idx="35">
                  <c:v>0.93496963922414189</c:v>
                </c:pt>
                <c:pt idx="36">
                  <c:v>1.3125795186441238E-15</c:v>
                </c:pt>
                <c:pt idx="37">
                  <c:v>-0.93496963922413912</c:v>
                </c:pt>
                <c:pt idx="38">
                  <c:v>-1.8700775144417214</c:v>
                </c:pt>
                <c:pt idx="39">
                  <c:v>-2.805298611302522</c:v>
                </c:pt>
                <c:pt idx="40">
                  <c:v>-3.7402816063448925</c:v>
                </c:pt>
                <c:pt idx="41">
                  <c:v>-4.6741866953428328</c:v>
                </c:pt>
                <c:pt idx="42">
                  <c:v>-5.6055259889622953</c:v>
                </c:pt>
                <c:pt idx="43">
                  <c:v>-6.5320095671179521</c:v>
                </c:pt>
                <c:pt idx="44">
                  <c:v>-7.4504020226646643</c:v>
                </c:pt>
                <c:pt idx="45">
                  <c:v>-8.3563962338877484</c:v>
                </c:pt>
                <c:pt idx="46">
                  <c:v>-9.2445129533017631</c:v>
                </c:pt>
                <c:pt idx="47">
                  <c:v>-10.108036284612869</c:v>
                </c:pt>
                <c:pt idx="48">
                  <c:v>-10.938995883773106</c:v>
                </c:pt>
                <c:pt idx="49">
                  <c:v>-11.728206398228632</c:v>
                </c:pt>
                <c:pt idx="50">
                  <c:v>-12.465372946852295</c:v>
                </c:pt>
                <c:pt idx="51">
                  <c:v>-13.139268187603891</c:v>
                </c:pt>
                <c:pt idx="52">
                  <c:v>-13.737981801843086</c:v>
                </c:pt>
                <c:pt idx="53">
                  <c:v>-14.249237413979543</c:v>
                </c:pt>
                <c:pt idx="54">
                  <c:v>-14.660765716752369</c:v>
                </c:pt>
                <c:pt idx="55">
                  <c:v>-14.960716740008335</c:v>
                </c:pt>
                <c:pt idx="56">
                  <c:v>-15.138089684063543</c:v>
                </c:pt>
                <c:pt idx="57">
                  <c:v>-15.183156290365064</c:v>
                </c:pt>
                <c:pt idx="58">
                  <c:v>-15.087853771354167</c:v>
                </c:pt>
                <c:pt idx="59">
                  <c:v>-14.846125867796619</c:v>
                </c:pt>
                <c:pt idx="60">
                  <c:v>-14.454195215505939</c:v>
                </c:pt>
                <c:pt idx="61">
                  <c:v>-13.910756130826465</c:v>
                </c:pt>
                <c:pt idx="62">
                  <c:v>-13.217083265072983</c:v>
                </c:pt>
                <c:pt idx="63">
                  <c:v>-12.377057477517964</c:v>
                </c:pt>
                <c:pt idx="64">
                  <c:v>-11.397115079826575</c:v>
                </c:pt>
                <c:pt idx="65">
                  <c:v>-10.286129940866882</c:v>
                </c:pt>
                <c:pt idx="66">
                  <c:v>-9.0552397277900827</c:v>
                </c:pt>
                <c:pt idx="67">
                  <c:v>-7.7176279506602121</c:v>
                </c:pt>
                <c:pt idx="68">
                  <c:v>-6.2882727770704951</c:v>
                </c:pt>
                <c:pt idx="69">
                  <c:v>-4.78367215526072</c:v>
                </c:pt>
                <c:pt idx="70">
                  <c:v>-3.221552985389994</c:v>
                </c:pt>
                <c:pt idx="71">
                  <c:v>-1.6205702113617728</c:v>
                </c:pt>
                <c:pt idx="72">
                  <c:v>-4.5594867489743255E-15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98-4327-BE20-AE620AD121B0}"/>
            </c:ext>
          </c:extLst>
        </c:ser>
        <c:ser>
          <c:idx val="1"/>
          <c:order val="1"/>
          <c:tx>
            <c:v>Velocidad media</c:v>
          </c:tx>
          <c:spPr>
            <a:ln w="15875">
              <a:solidFill>
                <a:srgbClr val="8C8C8C"/>
              </a:solidFill>
              <a:prstDash val="dash"/>
            </a:ln>
          </c:spPr>
          <c:marker>
            <c:symbol val="none"/>
          </c:marker>
          <c:xVal>
            <c:numRef>
              <c:f>Datos!$A$3:$A$75</c:f>
              <c:numCache>
                <c:formatCode>0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Datos!$E$3:$E$75</c:f>
              <c:numCache>
                <c:formatCode>0.00</c:formatCode>
                <c:ptCount val="73"/>
                <c:pt idx="0">
                  <c:v>9.3333333333333339</c:v>
                </c:pt>
                <c:pt idx="1">
                  <c:v>9.3333333333333339</c:v>
                </c:pt>
                <c:pt idx="2">
                  <c:v>9.3333333333333339</c:v>
                </c:pt>
                <c:pt idx="3">
                  <c:v>9.3333333333333339</c:v>
                </c:pt>
                <c:pt idx="4">
                  <c:v>9.3333333333333339</c:v>
                </c:pt>
                <c:pt idx="5">
                  <c:v>9.3333333333333339</c:v>
                </c:pt>
                <c:pt idx="6">
                  <c:v>9.3333333333333339</c:v>
                </c:pt>
                <c:pt idx="7">
                  <c:v>9.3333333333333339</c:v>
                </c:pt>
                <c:pt idx="8">
                  <c:v>9.3333333333333339</c:v>
                </c:pt>
                <c:pt idx="9">
                  <c:v>9.3333333333333339</c:v>
                </c:pt>
                <c:pt idx="10">
                  <c:v>9.3333333333333339</c:v>
                </c:pt>
                <c:pt idx="11">
                  <c:v>9.3333333333333339</c:v>
                </c:pt>
                <c:pt idx="12">
                  <c:v>9.3333333333333339</c:v>
                </c:pt>
                <c:pt idx="13">
                  <c:v>9.3333333333333339</c:v>
                </c:pt>
                <c:pt idx="14">
                  <c:v>9.3333333333333339</c:v>
                </c:pt>
                <c:pt idx="15">
                  <c:v>9.3333333333333339</c:v>
                </c:pt>
                <c:pt idx="16">
                  <c:v>9.3333333333333339</c:v>
                </c:pt>
                <c:pt idx="17">
                  <c:v>9.3333333333333339</c:v>
                </c:pt>
                <c:pt idx="18">
                  <c:v>9.3333333333333339</c:v>
                </c:pt>
                <c:pt idx="19">
                  <c:v>9.3333333333333339</c:v>
                </c:pt>
                <c:pt idx="20">
                  <c:v>9.3333333333333339</c:v>
                </c:pt>
                <c:pt idx="21">
                  <c:v>9.3333333333333339</c:v>
                </c:pt>
                <c:pt idx="22">
                  <c:v>9.3333333333333339</c:v>
                </c:pt>
                <c:pt idx="23">
                  <c:v>9.3333333333333339</c:v>
                </c:pt>
                <c:pt idx="24">
                  <c:v>9.3333333333333339</c:v>
                </c:pt>
                <c:pt idx="25">
                  <c:v>9.3333333333333339</c:v>
                </c:pt>
                <c:pt idx="26">
                  <c:v>9.3333333333333339</c:v>
                </c:pt>
                <c:pt idx="27">
                  <c:v>9.3333333333333339</c:v>
                </c:pt>
                <c:pt idx="28">
                  <c:v>9.3333333333333339</c:v>
                </c:pt>
                <c:pt idx="29">
                  <c:v>9.3333333333333339</c:v>
                </c:pt>
                <c:pt idx="30">
                  <c:v>9.3333333333333339</c:v>
                </c:pt>
                <c:pt idx="31">
                  <c:v>9.3333333333333339</c:v>
                </c:pt>
                <c:pt idx="32">
                  <c:v>9.3333333333333339</c:v>
                </c:pt>
                <c:pt idx="33">
                  <c:v>9.3333333333333339</c:v>
                </c:pt>
                <c:pt idx="34">
                  <c:v>9.3333333333333339</c:v>
                </c:pt>
                <c:pt idx="35">
                  <c:v>9.3333333333333339</c:v>
                </c:pt>
                <c:pt idx="36">
                  <c:v>9.3333333333333339</c:v>
                </c:pt>
                <c:pt idx="37">
                  <c:v>9.3333333333333339</c:v>
                </c:pt>
                <c:pt idx="38">
                  <c:v>9.3333333333333339</c:v>
                </c:pt>
                <c:pt idx="39">
                  <c:v>9.3333333333333339</c:v>
                </c:pt>
                <c:pt idx="40">
                  <c:v>9.3333333333333339</c:v>
                </c:pt>
                <c:pt idx="41">
                  <c:v>9.3333333333333339</c:v>
                </c:pt>
                <c:pt idx="42">
                  <c:v>9.3333333333333339</c:v>
                </c:pt>
                <c:pt idx="43">
                  <c:v>9.3333333333333339</c:v>
                </c:pt>
                <c:pt idx="44">
                  <c:v>9.3333333333333339</c:v>
                </c:pt>
                <c:pt idx="45">
                  <c:v>9.3333333333333339</c:v>
                </c:pt>
                <c:pt idx="46">
                  <c:v>9.3333333333333339</c:v>
                </c:pt>
                <c:pt idx="47">
                  <c:v>9.3333333333333339</c:v>
                </c:pt>
                <c:pt idx="48">
                  <c:v>9.3333333333333339</c:v>
                </c:pt>
                <c:pt idx="49">
                  <c:v>9.3333333333333339</c:v>
                </c:pt>
                <c:pt idx="50">
                  <c:v>9.3333333333333339</c:v>
                </c:pt>
                <c:pt idx="51">
                  <c:v>9.3333333333333339</c:v>
                </c:pt>
                <c:pt idx="52">
                  <c:v>9.3333333333333339</c:v>
                </c:pt>
                <c:pt idx="53">
                  <c:v>9.3333333333333339</c:v>
                </c:pt>
                <c:pt idx="54">
                  <c:v>9.3333333333333339</c:v>
                </c:pt>
                <c:pt idx="55">
                  <c:v>9.3333333333333339</c:v>
                </c:pt>
                <c:pt idx="56">
                  <c:v>9.3333333333333339</c:v>
                </c:pt>
                <c:pt idx="57">
                  <c:v>9.3333333333333339</c:v>
                </c:pt>
                <c:pt idx="58">
                  <c:v>9.3333333333333339</c:v>
                </c:pt>
                <c:pt idx="59">
                  <c:v>9.3333333333333339</c:v>
                </c:pt>
                <c:pt idx="60">
                  <c:v>9.3333333333333339</c:v>
                </c:pt>
                <c:pt idx="61">
                  <c:v>9.3333333333333339</c:v>
                </c:pt>
                <c:pt idx="62">
                  <c:v>9.3333333333333339</c:v>
                </c:pt>
                <c:pt idx="63">
                  <c:v>9.3333333333333339</c:v>
                </c:pt>
                <c:pt idx="64">
                  <c:v>9.3333333333333339</c:v>
                </c:pt>
                <c:pt idx="65">
                  <c:v>9.3333333333333339</c:v>
                </c:pt>
                <c:pt idx="66">
                  <c:v>9.3333333333333339</c:v>
                </c:pt>
                <c:pt idx="67">
                  <c:v>9.3333333333333339</c:v>
                </c:pt>
                <c:pt idx="68">
                  <c:v>9.3333333333333339</c:v>
                </c:pt>
                <c:pt idx="69">
                  <c:v>9.3333333333333339</c:v>
                </c:pt>
                <c:pt idx="70">
                  <c:v>9.3333333333333339</c:v>
                </c:pt>
                <c:pt idx="71">
                  <c:v>9.3333333333333339</c:v>
                </c:pt>
                <c:pt idx="72">
                  <c:v>9.3333333333333339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98-4327-BE20-AE620AD12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36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Ángulo del cigüeñal θ [°]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low"/>
        <c:crossAx val="20"/>
        <c:crosses val="autoZero"/>
        <c:crossBetween val="midCat"/>
        <c:majorUnit val="45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 [m/s]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t>Aceleración del pistón</a:t>
            </a:r>
          </a:p>
        </c:rich>
      </c:tx>
      <c:overlay val="1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v>Aceleración</c:v>
          </c:tx>
          <c:spPr>
            <a:ln w="28575">
              <a:solidFill>
                <a:srgbClr val="7B2FA8"/>
              </a:solidFill>
              <a:prstDash val="solid"/>
            </a:ln>
          </c:spPr>
          <c:marker>
            <c:symbol val="none"/>
          </c:marker>
          <c:xVal>
            <c:numRef>
              <c:f>Datos!$A$3:$A$75</c:f>
              <c:numCache>
                <c:formatCode>0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Datos!$D$3:$D$75</c:f>
              <c:numCache>
                <c:formatCode>#,##0</c:formatCode>
                <c:ptCount val="73"/>
                <c:pt idx="0">
                  <c:v>7794.4568090654402</c:v>
                </c:pt>
                <c:pt idx="1">
                  <c:v>7745.9697185667765</c:v>
                </c:pt>
                <c:pt idx="2">
                  <c:v>7601.449506783043</c:v>
                </c:pt>
                <c:pt idx="3">
                  <c:v>7363.6948095607459</c:v>
                </c:pt>
                <c:pt idx="4">
                  <c:v>7037.2889239197975</c:v>
                </c:pt>
                <c:pt idx="5">
                  <c:v>6628.480644664457</c:v>
                </c:pt>
                <c:pt idx="6">
                  <c:v>6145.0223203291507</c:v>
                </c:pt>
                <c:pt idx="7">
                  <c:v>5595.969836540894</c:v>
                </c:pt>
                <c:pt idx="8">
                  <c:v>4991.4503337632332</c:v>
                </c:pt>
                <c:pt idx="9">
                  <c:v>4342.4043908864132</c:v>
                </c:pt>
                <c:pt idx="10">
                  <c:v>3660.3101285794887</c:v>
                </c:pt>
                <c:pt idx="11">
                  <c:v>2956.8971851774963</c:v>
                </c:pt>
                <c:pt idx="12">
                  <c:v>2243.8587783673247</c:v>
                </c:pt>
                <c:pt idx="13">
                  <c:v>1532.5700805041231</c:v>
                </c:pt>
                <c:pt idx="14">
                  <c:v>833.82090392519717</c:v>
                </c:pt>
                <c:pt idx="15">
                  <c:v>157.57022246470467</c:v>
                </c:pt>
                <c:pt idx="16">
                  <c:v>-487.27063893484274</c:v>
                </c:pt>
                <c:pt idx="17">
                  <c:v>-1093.0202117388017</c:v>
                </c:pt>
                <c:pt idx="18">
                  <c:v>-1653.3696261653961</c:v>
                </c:pt>
                <c:pt idx="19">
                  <c:v>-2163.482241146356</c:v>
                </c:pt>
                <c:pt idx="20">
                  <c:v>-2620.0478353435146</c:v>
                </c:pt>
                <c:pt idx="21">
                  <c:v>-3021.2904186743331</c:v>
                </c:pt>
                <c:pt idx="22">
                  <c:v>-3366.930133016604</c:v>
                </c:pt>
                <c:pt idx="23">
                  <c:v>-3658.1011003664871</c:v>
                </c:pt>
                <c:pt idx="24">
                  <c:v>-3897.2284045327197</c:v>
                </c:pt>
                <c:pt idx="25">
                  <c:v>-4087.8686182002884</c:v>
                </c:pt>
                <c:pt idx="26">
                  <c:v>-4234.5193737664376</c:v>
                </c:pt>
                <c:pt idx="27">
                  <c:v>-4342.4043908864132</c:v>
                </c:pt>
                <c:pt idx="28">
                  <c:v>-4417.2410885762829</c:v>
                </c:pt>
                <c:pt idx="29">
                  <c:v>-4464.9984035181014</c:v>
                </c:pt>
                <c:pt idx="30">
                  <c:v>-4491.652694163753</c:v>
                </c:pt>
                <c:pt idx="31">
                  <c:v>-4502.9496248020914</c:v>
                </c:pt>
                <c:pt idx="32">
                  <c:v>-4504.17969482839</c:v>
                </c:pt>
                <c:pt idx="33">
                  <c:v>-4499.974613351118</c:v>
                </c:pt>
                <c:pt idx="34">
                  <c:v>-4494.1310325046834</c:v>
                </c:pt>
                <c:pt idx="35">
                  <c:v>-4489.4672656816192</c:v>
                </c:pt>
                <c:pt idx="36">
                  <c:v>-4487.7175567346485</c:v>
                </c:pt>
                <c:pt idx="37">
                  <c:v>-4489.4672656816192</c:v>
                </c:pt>
                <c:pt idx="38">
                  <c:v>-4494.1310325046843</c:v>
                </c:pt>
                <c:pt idx="39">
                  <c:v>-4499.974613351118</c:v>
                </c:pt>
                <c:pt idx="40">
                  <c:v>-4504.17969482839</c:v>
                </c:pt>
                <c:pt idx="41">
                  <c:v>-4502.9496248020914</c:v>
                </c:pt>
                <c:pt idx="42">
                  <c:v>-4491.652694163753</c:v>
                </c:pt>
                <c:pt idx="43">
                  <c:v>-4464.9984035181014</c:v>
                </c:pt>
                <c:pt idx="44">
                  <c:v>-4417.2410885762829</c:v>
                </c:pt>
                <c:pt idx="45">
                  <c:v>-4342.4043908864132</c:v>
                </c:pt>
                <c:pt idx="46">
                  <c:v>-4234.5193737664376</c:v>
                </c:pt>
                <c:pt idx="47">
                  <c:v>-4087.8686182002893</c:v>
                </c:pt>
                <c:pt idx="48">
                  <c:v>-3897.2284045327215</c:v>
                </c:pt>
                <c:pt idx="49">
                  <c:v>-3658.1011003664867</c:v>
                </c:pt>
                <c:pt idx="50">
                  <c:v>-3366.9301330166036</c:v>
                </c:pt>
                <c:pt idx="51">
                  <c:v>-3021.2904186743317</c:v>
                </c:pt>
                <c:pt idx="52">
                  <c:v>-2620.0478353435151</c:v>
                </c:pt>
                <c:pt idx="53">
                  <c:v>-2163.482241146356</c:v>
                </c:pt>
                <c:pt idx="54">
                  <c:v>-1653.3696261653974</c:v>
                </c:pt>
                <c:pt idx="55">
                  <c:v>-1093.0202117388033</c:v>
                </c:pt>
                <c:pt idx="56">
                  <c:v>-487.27063893484615</c:v>
                </c:pt>
                <c:pt idx="57">
                  <c:v>157.57022246470126</c:v>
                </c:pt>
                <c:pt idx="58">
                  <c:v>833.82090392519854</c:v>
                </c:pt>
                <c:pt idx="59">
                  <c:v>1532.5700805041247</c:v>
                </c:pt>
                <c:pt idx="60">
                  <c:v>2243.8587783673247</c:v>
                </c:pt>
                <c:pt idx="61">
                  <c:v>2956.8971851774959</c:v>
                </c:pt>
                <c:pt idx="62">
                  <c:v>3660.3101285794874</c:v>
                </c:pt>
                <c:pt idx="63">
                  <c:v>4342.4043908864114</c:v>
                </c:pt>
                <c:pt idx="64">
                  <c:v>4991.4503337632304</c:v>
                </c:pt>
                <c:pt idx="65">
                  <c:v>5595.9698365408904</c:v>
                </c:pt>
                <c:pt idx="66">
                  <c:v>6145.0223203291471</c:v>
                </c:pt>
                <c:pt idx="67">
                  <c:v>6628.4806446644579</c:v>
                </c:pt>
                <c:pt idx="68">
                  <c:v>7037.2889239197993</c:v>
                </c:pt>
                <c:pt idx="69">
                  <c:v>7363.6948095607459</c:v>
                </c:pt>
                <c:pt idx="70">
                  <c:v>7601.449506783043</c:v>
                </c:pt>
                <c:pt idx="71">
                  <c:v>7745.9697185667765</c:v>
                </c:pt>
                <c:pt idx="72">
                  <c:v>7794.4568090654402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E5-49AD-BEB0-7775FE855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36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Ángulo del cigüeñal θ [°]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low"/>
        <c:crossAx val="20"/>
        <c:crosses val="autoZero"/>
        <c:crossBetween val="midCat"/>
        <c:majorUnit val="45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 [m/s²]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t>Relación de compresión según el cepillado de la culata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Rc</c:v>
          </c:tx>
          <c:spPr>
            <a:ln w="28575">
              <a:solidFill>
                <a:srgbClr val="D7301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D7301F"/>
              </a:solidFill>
              <a:ln>
                <a:solidFill>
                  <a:srgbClr val="D7301F"/>
                </a:solidFill>
                <a:prstDash val="solid"/>
              </a:ln>
            </c:spPr>
          </c:marker>
          <c:xVal>
            <c:numRef>
              <c:f>Datos!$G$3:$G$13</c:f>
              <c:numCache>
                <c:formatCode>0.0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Datos!$H$3:$H$13</c:f>
              <c:numCache>
                <c:formatCode>0.00</c:formatCode>
                <c:ptCount val="11"/>
                <c:pt idx="0">
                  <c:v>9.3358029072410584</c:v>
                </c:pt>
                <c:pt idx="1">
                  <c:v>9.4362643889838367</c:v>
                </c:pt>
                <c:pt idx="2">
                  <c:v>9.5391768946228961</c:v>
                </c:pt>
                <c:pt idx="3">
                  <c:v>9.6446312307198934</c:v>
                </c:pt>
                <c:pt idx="4">
                  <c:v>9.7527227455773939</c:v>
                </c:pt>
                <c:pt idx="5">
                  <c:v>9.8635516167813968</c:v>
                </c:pt>
                <c:pt idx="6">
                  <c:v>9.9772231608695865</c:v>
                </c:pt>
                <c:pt idx="7">
                  <c:v>10.093848167137381</c:v>
                </c:pt>
                <c:pt idx="8">
                  <c:v>10.213543257805721</c:v>
                </c:pt>
                <c:pt idx="9">
                  <c:v>10.336431277011835</c:v>
                </c:pt>
                <c:pt idx="10">
                  <c:v>10.46264171135042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93-46B5-AAB9-A58ECA959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Material retirado de la culata [mm]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Rc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t>Curvas de par y potencia a plena carga</a:t>
            </a:r>
          </a:p>
        </c:rich>
      </c:tx>
      <c:overlay val="1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v>Par (N·m)</c:v>
          </c:tx>
          <c:spPr>
            <a:ln w="28575">
              <a:solidFill>
                <a:srgbClr val="1F4FD8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F4FD8"/>
              </a:solidFill>
              <a:ln>
                <a:solidFill>
                  <a:srgbClr val="1F4FD8"/>
                </a:solidFill>
                <a:prstDash val="solid"/>
              </a:ln>
            </c:spPr>
          </c:marker>
          <c:xVal>
            <c:numRef>
              <c:f>'Curvas par-potencia'!$A$5:$A$16</c:f>
              <c:numCache>
                <c:formatCode>General</c:formatCode>
                <c:ptCount val="12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</c:numCache>
            </c:numRef>
          </c:xVal>
          <c:yVal>
            <c:numRef>
              <c:f>'Curvas par-potencia'!$B$5:$B$16</c:f>
              <c:numCache>
                <c:formatCode>General</c:formatCode>
                <c:ptCount val="12"/>
                <c:pt idx="0">
                  <c:v>105</c:v>
                </c:pt>
                <c:pt idx="1">
                  <c:v>118</c:v>
                </c:pt>
                <c:pt idx="2">
                  <c:v>128</c:v>
                </c:pt>
                <c:pt idx="3">
                  <c:v>136</c:v>
                </c:pt>
                <c:pt idx="4">
                  <c:v>142</c:v>
                </c:pt>
                <c:pt idx="5">
                  <c:v>146</c:v>
                </c:pt>
                <c:pt idx="6">
                  <c:v>148</c:v>
                </c:pt>
                <c:pt idx="7">
                  <c:v>146</c:v>
                </c:pt>
                <c:pt idx="8">
                  <c:v>141</c:v>
                </c:pt>
                <c:pt idx="9">
                  <c:v>133</c:v>
                </c:pt>
                <c:pt idx="10">
                  <c:v>122</c:v>
                </c:pt>
                <c:pt idx="11">
                  <c:v>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E4-4163-B199-51BECA533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smoothMarker"/>
        <c:varyColors val="1"/>
        <c:ser>
          <c:idx val="1"/>
          <c:order val="1"/>
          <c:tx>
            <c:v>Potencia (kW)</c:v>
          </c:tx>
          <c:spPr>
            <a:ln w="28575">
              <a:solidFill>
                <a:srgbClr val="E8501E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E8501E"/>
              </a:solidFill>
              <a:ln>
                <a:solidFill>
                  <a:srgbClr val="E8501E"/>
                </a:solidFill>
                <a:prstDash val="solid"/>
              </a:ln>
            </c:spPr>
          </c:marker>
          <c:xVal>
            <c:numRef>
              <c:f>'Curvas par-potencia'!$A$5:$A$16</c:f>
              <c:numCache>
                <c:formatCode>General</c:formatCode>
                <c:ptCount val="12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</c:numCache>
            </c:numRef>
          </c:xVal>
          <c:yVal>
            <c:numRef>
              <c:f>'Curvas par-potencia'!$D$5:$D$16</c:f>
              <c:numCache>
                <c:formatCode>0.0</c:formatCode>
                <c:ptCount val="12"/>
                <c:pt idx="0">
                  <c:v>10.99476439790576</c:v>
                </c:pt>
                <c:pt idx="1">
                  <c:v>18.534031413612567</c:v>
                </c:pt>
                <c:pt idx="2">
                  <c:v>26.806282722513089</c:v>
                </c:pt>
                <c:pt idx="3">
                  <c:v>35.602094240837694</c:v>
                </c:pt>
                <c:pt idx="4">
                  <c:v>44.607329842931939</c:v>
                </c:pt>
                <c:pt idx="5">
                  <c:v>53.507853403141361</c:v>
                </c:pt>
                <c:pt idx="6">
                  <c:v>61.989528795811516</c:v>
                </c:pt>
                <c:pt idx="7">
                  <c:v>68.795811518324612</c:v>
                </c:pt>
                <c:pt idx="8">
                  <c:v>73.821989528795811</c:v>
                </c:pt>
                <c:pt idx="9">
                  <c:v>76.596858638743456</c:v>
                </c:pt>
                <c:pt idx="10">
                  <c:v>76.649214659685867</c:v>
                </c:pt>
                <c:pt idx="11">
                  <c:v>73.507853403141368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E4-4163-B199-51BECA5330A9}"/>
            </c:ext>
          </c:extLst>
        </c:ser>
        <c:ser>
          <c:idx val="2"/>
          <c:order val="2"/>
          <c:tx>
            <c:v>Potencia en la altitud (kW)</c:v>
          </c:tx>
          <c:spPr>
            <a:ln w="19050">
              <a:solidFill>
                <a:srgbClr val="E8501E"/>
              </a:solidFill>
              <a:prstDash val="dash"/>
            </a:ln>
          </c:spPr>
          <c:marker>
            <c:symbol val="none"/>
          </c:marker>
          <c:xVal>
            <c:numRef>
              <c:f>'Curvas par-potencia'!$A$5:$A$16</c:f>
              <c:numCache>
                <c:formatCode>General</c:formatCode>
                <c:ptCount val="12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</c:numCache>
            </c:numRef>
          </c:xVal>
          <c:yVal>
            <c:numRef>
              <c:f>'Curvas par-potencia'!$F$5:$F$16</c:f>
              <c:numCache>
                <c:formatCode>0.0</c:formatCode>
                <c:ptCount val="12"/>
                <c:pt idx="0">
                  <c:v>8.5507855641406412</c:v>
                </c:pt>
                <c:pt idx="1">
                  <c:v>14.414181379551367</c:v>
                </c:pt>
                <c:pt idx="2">
                  <c:v>20.8476295659048</c:v>
                </c:pt>
                <c:pt idx="3">
                  <c:v>27.688258017217311</c:v>
                </c:pt>
                <c:pt idx="4">
                  <c:v>34.691758574513457</c:v>
                </c:pt>
                <c:pt idx="5">
                  <c:v>41.613823078817788</c:v>
                </c:pt>
                <c:pt idx="6">
                  <c:v>48.210143371154849</c:v>
                </c:pt>
                <c:pt idx="7">
                  <c:v>53.503486815622871</c:v>
                </c:pt>
                <c:pt idx="8">
                  <c:v>57.412417359230012</c:v>
                </c:pt>
                <c:pt idx="9">
                  <c:v>59.570472763513131</c:v>
                </c:pt>
                <c:pt idx="10">
                  <c:v>59.61119079000904</c:v>
                </c:pt>
                <c:pt idx="11">
                  <c:v>57.168109200254577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E4-4163-B199-51BECA533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Régimen [rpm]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Par [N·m]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  <c:valAx>
        <c:axId val="200"/>
        <c:scaling>
          <c:orientation val="minMax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Potencia [kW]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max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t>Consumo específico de combustible</a:t>
            </a:r>
          </a:p>
        </c:rich>
      </c:tx>
      <c:overlay val="1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v>Consumo específico</c:v>
          </c:tx>
          <c:spPr>
            <a:ln w="28575">
              <a:solidFill>
                <a:srgbClr val="2E9E44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E9E44"/>
              </a:solidFill>
              <a:ln>
                <a:solidFill>
                  <a:srgbClr val="2E9E44"/>
                </a:solidFill>
                <a:prstDash val="solid"/>
              </a:ln>
            </c:spPr>
          </c:marker>
          <c:xVal>
            <c:numRef>
              <c:f>'Curvas par-potencia'!$A$5:$A$16</c:f>
              <c:numCache>
                <c:formatCode>General</c:formatCode>
                <c:ptCount val="12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</c:numCache>
            </c:numRef>
          </c:xVal>
          <c:yVal>
            <c:numRef>
              <c:f>'Curvas par-potencia'!$C$5:$C$16</c:f>
              <c:numCache>
                <c:formatCode>General</c:formatCode>
                <c:ptCount val="12"/>
                <c:pt idx="0">
                  <c:v>330</c:v>
                </c:pt>
                <c:pt idx="1">
                  <c:v>300</c:v>
                </c:pt>
                <c:pt idx="2">
                  <c:v>280</c:v>
                </c:pt>
                <c:pt idx="3">
                  <c:v>265</c:v>
                </c:pt>
                <c:pt idx="4">
                  <c:v>255</c:v>
                </c:pt>
                <c:pt idx="5">
                  <c:v>250</c:v>
                </c:pt>
                <c:pt idx="6">
                  <c:v>248</c:v>
                </c:pt>
                <c:pt idx="7">
                  <c:v>252</c:v>
                </c:pt>
                <c:pt idx="8">
                  <c:v>260</c:v>
                </c:pt>
                <c:pt idx="9">
                  <c:v>272</c:v>
                </c:pt>
                <c:pt idx="10">
                  <c:v>290</c:v>
                </c:pt>
                <c:pt idx="11">
                  <c:v>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77-4B21-BFE4-2E8C93751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Régimen [rpm]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ce [g/kWh]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EC"/>
              <a:t>Pie de rey: regla fija (arriba) y nonio (abajo)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trazo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'Datos metrología'!$A$4:$A$306</c:f>
              <c:numCache>
                <c:formatCode>General</c:formatCode>
                <c:ptCount val="303"/>
                <c:pt idx="0">
                  <c:v>0</c:v>
                </c:pt>
                <c:pt idx="1">
                  <c:v>0</c:v>
                </c:pt>
                <c:pt idx="3">
                  <c:v>1</c:v>
                </c:pt>
                <c:pt idx="4">
                  <c:v>1</c:v>
                </c:pt>
                <c:pt idx="6">
                  <c:v>2</c:v>
                </c:pt>
                <c:pt idx="7">
                  <c:v>2</c:v>
                </c:pt>
                <c:pt idx="9">
                  <c:v>3</c:v>
                </c:pt>
                <c:pt idx="10">
                  <c:v>3</c:v>
                </c:pt>
                <c:pt idx="12">
                  <c:v>4</c:v>
                </c:pt>
                <c:pt idx="13">
                  <c:v>4</c:v>
                </c:pt>
                <c:pt idx="15">
                  <c:v>5</c:v>
                </c:pt>
                <c:pt idx="16">
                  <c:v>5</c:v>
                </c:pt>
                <c:pt idx="18">
                  <c:v>6</c:v>
                </c:pt>
                <c:pt idx="19">
                  <c:v>6</c:v>
                </c:pt>
                <c:pt idx="21">
                  <c:v>7</c:v>
                </c:pt>
                <c:pt idx="22">
                  <c:v>7</c:v>
                </c:pt>
                <c:pt idx="24">
                  <c:v>8</c:v>
                </c:pt>
                <c:pt idx="25">
                  <c:v>8</c:v>
                </c:pt>
                <c:pt idx="27">
                  <c:v>9</c:v>
                </c:pt>
                <c:pt idx="28">
                  <c:v>9</c:v>
                </c:pt>
                <c:pt idx="30">
                  <c:v>10</c:v>
                </c:pt>
                <c:pt idx="31">
                  <c:v>10</c:v>
                </c:pt>
                <c:pt idx="33">
                  <c:v>11</c:v>
                </c:pt>
                <c:pt idx="34">
                  <c:v>11</c:v>
                </c:pt>
                <c:pt idx="36">
                  <c:v>12</c:v>
                </c:pt>
                <c:pt idx="37">
                  <c:v>12</c:v>
                </c:pt>
                <c:pt idx="39">
                  <c:v>13</c:v>
                </c:pt>
                <c:pt idx="40">
                  <c:v>13</c:v>
                </c:pt>
                <c:pt idx="42">
                  <c:v>14</c:v>
                </c:pt>
                <c:pt idx="43">
                  <c:v>14</c:v>
                </c:pt>
                <c:pt idx="45">
                  <c:v>15</c:v>
                </c:pt>
                <c:pt idx="46">
                  <c:v>15</c:v>
                </c:pt>
                <c:pt idx="48">
                  <c:v>16</c:v>
                </c:pt>
                <c:pt idx="49">
                  <c:v>16</c:v>
                </c:pt>
                <c:pt idx="51">
                  <c:v>17</c:v>
                </c:pt>
                <c:pt idx="52">
                  <c:v>17</c:v>
                </c:pt>
                <c:pt idx="54">
                  <c:v>18</c:v>
                </c:pt>
                <c:pt idx="55">
                  <c:v>18</c:v>
                </c:pt>
                <c:pt idx="57">
                  <c:v>19</c:v>
                </c:pt>
                <c:pt idx="58">
                  <c:v>19</c:v>
                </c:pt>
                <c:pt idx="60">
                  <c:v>20</c:v>
                </c:pt>
                <c:pt idx="61">
                  <c:v>20</c:v>
                </c:pt>
                <c:pt idx="63">
                  <c:v>21</c:v>
                </c:pt>
                <c:pt idx="64">
                  <c:v>21</c:v>
                </c:pt>
                <c:pt idx="66">
                  <c:v>22</c:v>
                </c:pt>
                <c:pt idx="67">
                  <c:v>22</c:v>
                </c:pt>
                <c:pt idx="69">
                  <c:v>23</c:v>
                </c:pt>
                <c:pt idx="70">
                  <c:v>23</c:v>
                </c:pt>
                <c:pt idx="72">
                  <c:v>24</c:v>
                </c:pt>
                <c:pt idx="73">
                  <c:v>24</c:v>
                </c:pt>
                <c:pt idx="75">
                  <c:v>25</c:v>
                </c:pt>
                <c:pt idx="76">
                  <c:v>25</c:v>
                </c:pt>
                <c:pt idx="78">
                  <c:v>26</c:v>
                </c:pt>
                <c:pt idx="79">
                  <c:v>26</c:v>
                </c:pt>
                <c:pt idx="81">
                  <c:v>27</c:v>
                </c:pt>
                <c:pt idx="82">
                  <c:v>27</c:v>
                </c:pt>
                <c:pt idx="84">
                  <c:v>28</c:v>
                </c:pt>
                <c:pt idx="85">
                  <c:v>28</c:v>
                </c:pt>
                <c:pt idx="87">
                  <c:v>29</c:v>
                </c:pt>
                <c:pt idx="88">
                  <c:v>29</c:v>
                </c:pt>
                <c:pt idx="90">
                  <c:v>30</c:v>
                </c:pt>
                <c:pt idx="91">
                  <c:v>30</c:v>
                </c:pt>
                <c:pt idx="93">
                  <c:v>31</c:v>
                </c:pt>
                <c:pt idx="94">
                  <c:v>31</c:v>
                </c:pt>
                <c:pt idx="96">
                  <c:v>32</c:v>
                </c:pt>
                <c:pt idx="97">
                  <c:v>32</c:v>
                </c:pt>
                <c:pt idx="99">
                  <c:v>33</c:v>
                </c:pt>
                <c:pt idx="100">
                  <c:v>33</c:v>
                </c:pt>
                <c:pt idx="102">
                  <c:v>34</c:v>
                </c:pt>
                <c:pt idx="103">
                  <c:v>34</c:v>
                </c:pt>
                <c:pt idx="105">
                  <c:v>35</c:v>
                </c:pt>
                <c:pt idx="106">
                  <c:v>35</c:v>
                </c:pt>
                <c:pt idx="108">
                  <c:v>36</c:v>
                </c:pt>
                <c:pt idx="109">
                  <c:v>36</c:v>
                </c:pt>
                <c:pt idx="111">
                  <c:v>37</c:v>
                </c:pt>
                <c:pt idx="112">
                  <c:v>37</c:v>
                </c:pt>
                <c:pt idx="114">
                  <c:v>38</c:v>
                </c:pt>
                <c:pt idx="115">
                  <c:v>38</c:v>
                </c:pt>
                <c:pt idx="117">
                  <c:v>39</c:v>
                </c:pt>
                <c:pt idx="118">
                  <c:v>39</c:v>
                </c:pt>
                <c:pt idx="120">
                  <c:v>40</c:v>
                </c:pt>
                <c:pt idx="121">
                  <c:v>40</c:v>
                </c:pt>
                <c:pt idx="123">
                  <c:v>41</c:v>
                </c:pt>
                <c:pt idx="124">
                  <c:v>41</c:v>
                </c:pt>
                <c:pt idx="126">
                  <c:v>42</c:v>
                </c:pt>
                <c:pt idx="127">
                  <c:v>42</c:v>
                </c:pt>
                <c:pt idx="129">
                  <c:v>43</c:v>
                </c:pt>
                <c:pt idx="130">
                  <c:v>43</c:v>
                </c:pt>
                <c:pt idx="132">
                  <c:v>44</c:v>
                </c:pt>
                <c:pt idx="133">
                  <c:v>44</c:v>
                </c:pt>
                <c:pt idx="135">
                  <c:v>45</c:v>
                </c:pt>
                <c:pt idx="136">
                  <c:v>45</c:v>
                </c:pt>
                <c:pt idx="138">
                  <c:v>46</c:v>
                </c:pt>
                <c:pt idx="139">
                  <c:v>46</c:v>
                </c:pt>
                <c:pt idx="141">
                  <c:v>47</c:v>
                </c:pt>
                <c:pt idx="142">
                  <c:v>47</c:v>
                </c:pt>
                <c:pt idx="144">
                  <c:v>48</c:v>
                </c:pt>
                <c:pt idx="145">
                  <c:v>48</c:v>
                </c:pt>
                <c:pt idx="147">
                  <c:v>49</c:v>
                </c:pt>
                <c:pt idx="148">
                  <c:v>49</c:v>
                </c:pt>
                <c:pt idx="150">
                  <c:v>50</c:v>
                </c:pt>
                <c:pt idx="151">
                  <c:v>50</c:v>
                </c:pt>
                <c:pt idx="153">
                  <c:v>51</c:v>
                </c:pt>
                <c:pt idx="154">
                  <c:v>51</c:v>
                </c:pt>
                <c:pt idx="156">
                  <c:v>52</c:v>
                </c:pt>
                <c:pt idx="157">
                  <c:v>52</c:v>
                </c:pt>
                <c:pt idx="159">
                  <c:v>53</c:v>
                </c:pt>
                <c:pt idx="160">
                  <c:v>53</c:v>
                </c:pt>
                <c:pt idx="162">
                  <c:v>54</c:v>
                </c:pt>
                <c:pt idx="163">
                  <c:v>54</c:v>
                </c:pt>
                <c:pt idx="165">
                  <c:v>55</c:v>
                </c:pt>
                <c:pt idx="166">
                  <c:v>55</c:v>
                </c:pt>
                <c:pt idx="168">
                  <c:v>56</c:v>
                </c:pt>
                <c:pt idx="169">
                  <c:v>56</c:v>
                </c:pt>
                <c:pt idx="171">
                  <c:v>57</c:v>
                </c:pt>
                <c:pt idx="172">
                  <c:v>57</c:v>
                </c:pt>
                <c:pt idx="174">
                  <c:v>58</c:v>
                </c:pt>
                <c:pt idx="175">
                  <c:v>58</c:v>
                </c:pt>
                <c:pt idx="177">
                  <c:v>59</c:v>
                </c:pt>
                <c:pt idx="178">
                  <c:v>59</c:v>
                </c:pt>
                <c:pt idx="180">
                  <c:v>60</c:v>
                </c:pt>
                <c:pt idx="181">
                  <c:v>60</c:v>
                </c:pt>
                <c:pt idx="183">
                  <c:v>61</c:v>
                </c:pt>
                <c:pt idx="184">
                  <c:v>61</c:v>
                </c:pt>
                <c:pt idx="186">
                  <c:v>62</c:v>
                </c:pt>
                <c:pt idx="187">
                  <c:v>62</c:v>
                </c:pt>
                <c:pt idx="189">
                  <c:v>63</c:v>
                </c:pt>
                <c:pt idx="190">
                  <c:v>63</c:v>
                </c:pt>
                <c:pt idx="192">
                  <c:v>64</c:v>
                </c:pt>
                <c:pt idx="193">
                  <c:v>64</c:v>
                </c:pt>
                <c:pt idx="195">
                  <c:v>65</c:v>
                </c:pt>
                <c:pt idx="196">
                  <c:v>65</c:v>
                </c:pt>
                <c:pt idx="198">
                  <c:v>66</c:v>
                </c:pt>
                <c:pt idx="199">
                  <c:v>66</c:v>
                </c:pt>
                <c:pt idx="201">
                  <c:v>67</c:v>
                </c:pt>
                <c:pt idx="202">
                  <c:v>67</c:v>
                </c:pt>
                <c:pt idx="204">
                  <c:v>68</c:v>
                </c:pt>
                <c:pt idx="205">
                  <c:v>68</c:v>
                </c:pt>
                <c:pt idx="207">
                  <c:v>69</c:v>
                </c:pt>
                <c:pt idx="208">
                  <c:v>69</c:v>
                </c:pt>
                <c:pt idx="210">
                  <c:v>70</c:v>
                </c:pt>
                <c:pt idx="211">
                  <c:v>70</c:v>
                </c:pt>
                <c:pt idx="213">
                  <c:v>71</c:v>
                </c:pt>
                <c:pt idx="214">
                  <c:v>71</c:v>
                </c:pt>
                <c:pt idx="216">
                  <c:v>72</c:v>
                </c:pt>
                <c:pt idx="217">
                  <c:v>72</c:v>
                </c:pt>
                <c:pt idx="219">
                  <c:v>73</c:v>
                </c:pt>
                <c:pt idx="220">
                  <c:v>73</c:v>
                </c:pt>
                <c:pt idx="222">
                  <c:v>74</c:v>
                </c:pt>
                <c:pt idx="223">
                  <c:v>74</c:v>
                </c:pt>
                <c:pt idx="225">
                  <c:v>75</c:v>
                </c:pt>
                <c:pt idx="226">
                  <c:v>75</c:v>
                </c:pt>
                <c:pt idx="228">
                  <c:v>76</c:v>
                </c:pt>
                <c:pt idx="229">
                  <c:v>76</c:v>
                </c:pt>
                <c:pt idx="231">
                  <c:v>77</c:v>
                </c:pt>
                <c:pt idx="232">
                  <c:v>77</c:v>
                </c:pt>
                <c:pt idx="234">
                  <c:v>78</c:v>
                </c:pt>
                <c:pt idx="235">
                  <c:v>78</c:v>
                </c:pt>
                <c:pt idx="237">
                  <c:v>79</c:v>
                </c:pt>
                <c:pt idx="238">
                  <c:v>79</c:v>
                </c:pt>
                <c:pt idx="240">
                  <c:v>80</c:v>
                </c:pt>
                <c:pt idx="241">
                  <c:v>80</c:v>
                </c:pt>
                <c:pt idx="243">
                  <c:v>81</c:v>
                </c:pt>
                <c:pt idx="244">
                  <c:v>81</c:v>
                </c:pt>
                <c:pt idx="246">
                  <c:v>82</c:v>
                </c:pt>
                <c:pt idx="247">
                  <c:v>82</c:v>
                </c:pt>
                <c:pt idx="249">
                  <c:v>83</c:v>
                </c:pt>
                <c:pt idx="250">
                  <c:v>83</c:v>
                </c:pt>
                <c:pt idx="252">
                  <c:v>84</c:v>
                </c:pt>
                <c:pt idx="253">
                  <c:v>84</c:v>
                </c:pt>
                <c:pt idx="255">
                  <c:v>85</c:v>
                </c:pt>
                <c:pt idx="256">
                  <c:v>85</c:v>
                </c:pt>
                <c:pt idx="258">
                  <c:v>86</c:v>
                </c:pt>
                <c:pt idx="259">
                  <c:v>86</c:v>
                </c:pt>
                <c:pt idx="261">
                  <c:v>87</c:v>
                </c:pt>
                <c:pt idx="262">
                  <c:v>87</c:v>
                </c:pt>
                <c:pt idx="264">
                  <c:v>88</c:v>
                </c:pt>
                <c:pt idx="265">
                  <c:v>88</c:v>
                </c:pt>
                <c:pt idx="267">
                  <c:v>89</c:v>
                </c:pt>
                <c:pt idx="268">
                  <c:v>89</c:v>
                </c:pt>
                <c:pt idx="270">
                  <c:v>90</c:v>
                </c:pt>
                <c:pt idx="271">
                  <c:v>90</c:v>
                </c:pt>
                <c:pt idx="273">
                  <c:v>91</c:v>
                </c:pt>
                <c:pt idx="274">
                  <c:v>91</c:v>
                </c:pt>
                <c:pt idx="276">
                  <c:v>92</c:v>
                </c:pt>
                <c:pt idx="277">
                  <c:v>92</c:v>
                </c:pt>
                <c:pt idx="279">
                  <c:v>93</c:v>
                </c:pt>
                <c:pt idx="280">
                  <c:v>93</c:v>
                </c:pt>
                <c:pt idx="282">
                  <c:v>94</c:v>
                </c:pt>
                <c:pt idx="283">
                  <c:v>94</c:v>
                </c:pt>
                <c:pt idx="285">
                  <c:v>95</c:v>
                </c:pt>
                <c:pt idx="286">
                  <c:v>95</c:v>
                </c:pt>
                <c:pt idx="288">
                  <c:v>96</c:v>
                </c:pt>
                <c:pt idx="289">
                  <c:v>96</c:v>
                </c:pt>
                <c:pt idx="291">
                  <c:v>97</c:v>
                </c:pt>
                <c:pt idx="292">
                  <c:v>97</c:v>
                </c:pt>
                <c:pt idx="294">
                  <c:v>98</c:v>
                </c:pt>
                <c:pt idx="295">
                  <c:v>98</c:v>
                </c:pt>
                <c:pt idx="297">
                  <c:v>99</c:v>
                </c:pt>
                <c:pt idx="298">
                  <c:v>99</c:v>
                </c:pt>
                <c:pt idx="300">
                  <c:v>100</c:v>
                </c:pt>
                <c:pt idx="301">
                  <c:v>100</c:v>
                </c:pt>
              </c:numCache>
            </c:numRef>
          </c:xVal>
          <c:yVal>
            <c:numRef>
              <c:f>'Datos metrología'!$B$4:$B$306</c:f>
              <c:numCache>
                <c:formatCode>General</c:formatCode>
                <c:ptCount val="303"/>
                <c:pt idx="0">
                  <c:v>0</c:v>
                </c:pt>
                <c:pt idx="1">
                  <c:v>2</c:v>
                </c:pt>
                <c:pt idx="3">
                  <c:v>0</c:v>
                </c:pt>
                <c:pt idx="4">
                  <c:v>0.75</c:v>
                </c:pt>
                <c:pt idx="6">
                  <c:v>0</c:v>
                </c:pt>
                <c:pt idx="7">
                  <c:v>0.75</c:v>
                </c:pt>
                <c:pt idx="9">
                  <c:v>0</c:v>
                </c:pt>
                <c:pt idx="10">
                  <c:v>0.75</c:v>
                </c:pt>
                <c:pt idx="12">
                  <c:v>0</c:v>
                </c:pt>
                <c:pt idx="13">
                  <c:v>1.1000000000000001</c:v>
                </c:pt>
                <c:pt idx="15">
                  <c:v>0</c:v>
                </c:pt>
                <c:pt idx="16">
                  <c:v>0.75</c:v>
                </c:pt>
                <c:pt idx="18">
                  <c:v>0</c:v>
                </c:pt>
                <c:pt idx="19">
                  <c:v>0.75</c:v>
                </c:pt>
                <c:pt idx="21">
                  <c:v>0</c:v>
                </c:pt>
                <c:pt idx="22">
                  <c:v>0.75</c:v>
                </c:pt>
                <c:pt idx="24">
                  <c:v>0</c:v>
                </c:pt>
                <c:pt idx="25">
                  <c:v>1.5</c:v>
                </c:pt>
                <c:pt idx="27">
                  <c:v>0</c:v>
                </c:pt>
                <c:pt idx="28">
                  <c:v>0.75</c:v>
                </c:pt>
                <c:pt idx="30">
                  <c:v>0</c:v>
                </c:pt>
                <c:pt idx="31">
                  <c:v>0.75</c:v>
                </c:pt>
                <c:pt idx="33">
                  <c:v>0</c:v>
                </c:pt>
                <c:pt idx="34">
                  <c:v>0.75</c:v>
                </c:pt>
                <c:pt idx="36">
                  <c:v>0</c:v>
                </c:pt>
                <c:pt idx="37">
                  <c:v>1.1000000000000001</c:v>
                </c:pt>
                <c:pt idx="39">
                  <c:v>0</c:v>
                </c:pt>
                <c:pt idx="40">
                  <c:v>0.75</c:v>
                </c:pt>
                <c:pt idx="42">
                  <c:v>0</c:v>
                </c:pt>
                <c:pt idx="43">
                  <c:v>0.75</c:v>
                </c:pt>
                <c:pt idx="45">
                  <c:v>0</c:v>
                </c:pt>
                <c:pt idx="46">
                  <c:v>0.75</c:v>
                </c:pt>
                <c:pt idx="48">
                  <c:v>0</c:v>
                </c:pt>
                <c:pt idx="49">
                  <c:v>2</c:v>
                </c:pt>
                <c:pt idx="51">
                  <c:v>0</c:v>
                </c:pt>
                <c:pt idx="52">
                  <c:v>0.75</c:v>
                </c:pt>
                <c:pt idx="54">
                  <c:v>0</c:v>
                </c:pt>
                <c:pt idx="55">
                  <c:v>0.75</c:v>
                </c:pt>
                <c:pt idx="57">
                  <c:v>0</c:v>
                </c:pt>
                <c:pt idx="58">
                  <c:v>0.75</c:v>
                </c:pt>
                <c:pt idx="60">
                  <c:v>0</c:v>
                </c:pt>
                <c:pt idx="61">
                  <c:v>1.1000000000000001</c:v>
                </c:pt>
                <c:pt idx="63">
                  <c:v>0</c:v>
                </c:pt>
                <c:pt idx="64">
                  <c:v>0.75</c:v>
                </c:pt>
                <c:pt idx="66">
                  <c:v>0</c:v>
                </c:pt>
                <c:pt idx="67">
                  <c:v>0.75</c:v>
                </c:pt>
                <c:pt idx="69">
                  <c:v>0</c:v>
                </c:pt>
                <c:pt idx="70">
                  <c:v>0.75</c:v>
                </c:pt>
                <c:pt idx="72">
                  <c:v>0</c:v>
                </c:pt>
                <c:pt idx="73">
                  <c:v>1.5</c:v>
                </c:pt>
                <c:pt idx="75">
                  <c:v>0</c:v>
                </c:pt>
                <c:pt idx="76">
                  <c:v>0.75</c:v>
                </c:pt>
                <c:pt idx="78">
                  <c:v>0</c:v>
                </c:pt>
                <c:pt idx="79">
                  <c:v>0.75</c:v>
                </c:pt>
                <c:pt idx="81">
                  <c:v>0</c:v>
                </c:pt>
                <c:pt idx="82">
                  <c:v>0.75</c:v>
                </c:pt>
                <c:pt idx="84">
                  <c:v>0</c:v>
                </c:pt>
                <c:pt idx="85">
                  <c:v>1.1000000000000001</c:v>
                </c:pt>
                <c:pt idx="87">
                  <c:v>0</c:v>
                </c:pt>
                <c:pt idx="88">
                  <c:v>0.75</c:v>
                </c:pt>
                <c:pt idx="90">
                  <c:v>0</c:v>
                </c:pt>
                <c:pt idx="91">
                  <c:v>0.75</c:v>
                </c:pt>
                <c:pt idx="93">
                  <c:v>0</c:v>
                </c:pt>
                <c:pt idx="94">
                  <c:v>0.75</c:v>
                </c:pt>
                <c:pt idx="96">
                  <c:v>0</c:v>
                </c:pt>
                <c:pt idx="97">
                  <c:v>2</c:v>
                </c:pt>
                <c:pt idx="99">
                  <c:v>0</c:v>
                </c:pt>
                <c:pt idx="100">
                  <c:v>0.75</c:v>
                </c:pt>
                <c:pt idx="102">
                  <c:v>0</c:v>
                </c:pt>
                <c:pt idx="103">
                  <c:v>0.75</c:v>
                </c:pt>
                <c:pt idx="105">
                  <c:v>0</c:v>
                </c:pt>
                <c:pt idx="106">
                  <c:v>0.75</c:v>
                </c:pt>
                <c:pt idx="108">
                  <c:v>0</c:v>
                </c:pt>
                <c:pt idx="109">
                  <c:v>1.1000000000000001</c:v>
                </c:pt>
                <c:pt idx="111">
                  <c:v>0</c:v>
                </c:pt>
                <c:pt idx="112">
                  <c:v>0.75</c:v>
                </c:pt>
                <c:pt idx="114">
                  <c:v>0</c:v>
                </c:pt>
                <c:pt idx="115">
                  <c:v>0.75</c:v>
                </c:pt>
                <c:pt idx="117">
                  <c:v>0</c:v>
                </c:pt>
                <c:pt idx="118">
                  <c:v>0.75</c:v>
                </c:pt>
                <c:pt idx="120">
                  <c:v>0</c:v>
                </c:pt>
                <c:pt idx="121">
                  <c:v>1.5</c:v>
                </c:pt>
                <c:pt idx="123">
                  <c:v>0</c:v>
                </c:pt>
                <c:pt idx="124">
                  <c:v>0.75</c:v>
                </c:pt>
                <c:pt idx="126">
                  <c:v>0</c:v>
                </c:pt>
                <c:pt idx="127">
                  <c:v>0.75</c:v>
                </c:pt>
                <c:pt idx="129">
                  <c:v>0</c:v>
                </c:pt>
                <c:pt idx="130">
                  <c:v>0.75</c:v>
                </c:pt>
                <c:pt idx="132">
                  <c:v>0</c:v>
                </c:pt>
                <c:pt idx="133">
                  <c:v>1.1000000000000001</c:v>
                </c:pt>
                <c:pt idx="135">
                  <c:v>0</c:v>
                </c:pt>
                <c:pt idx="136">
                  <c:v>0.75</c:v>
                </c:pt>
                <c:pt idx="138">
                  <c:v>0</c:v>
                </c:pt>
                <c:pt idx="139">
                  <c:v>0.75</c:v>
                </c:pt>
                <c:pt idx="141">
                  <c:v>0</c:v>
                </c:pt>
                <c:pt idx="142">
                  <c:v>0.75</c:v>
                </c:pt>
                <c:pt idx="144">
                  <c:v>0</c:v>
                </c:pt>
                <c:pt idx="145">
                  <c:v>2</c:v>
                </c:pt>
                <c:pt idx="147">
                  <c:v>0</c:v>
                </c:pt>
                <c:pt idx="148">
                  <c:v>0.75</c:v>
                </c:pt>
                <c:pt idx="150">
                  <c:v>0</c:v>
                </c:pt>
                <c:pt idx="151">
                  <c:v>0.75</c:v>
                </c:pt>
                <c:pt idx="153">
                  <c:v>0</c:v>
                </c:pt>
                <c:pt idx="154">
                  <c:v>0.75</c:v>
                </c:pt>
                <c:pt idx="156">
                  <c:v>0</c:v>
                </c:pt>
                <c:pt idx="157">
                  <c:v>1.1000000000000001</c:v>
                </c:pt>
                <c:pt idx="159">
                  <c:v>0</c:v>
                </c:pt>
                <c:pt idx="160">
                  <c:v>0.75</c:v>
                </c:pt>
                <c:pt idx="162">
                  <c:v>0</c:v>
                </c:pt>
                <c:pt idx="163">
                  <c:v>0.75</c:v>
                </c:pt>
                <c:pt idx="165">
                  <c:v>0</c:v>
                </c:pt>
                <c:pt idx="166">
                  <c:v>0.75</c:v>
                </c:pt>
                <c:pt idx="168">
                  <c:v>0</c:v>
                </c:pt>
                <c:pt idx="169">
                  <c:v>1.5</c:v>
                </c:pt>
                <c:pt idx="171">
                  <c:v>0</c:v>
                </c:pt>
                <c:pt idx="172">
                  <c:v>0.75</c:v>
                </c:pt>
                <c:pt idx="174">
                  <c:v>0</c:v>
                </c:pt>
                <c:pt idx="175">
                  <c:v>0.75</c:v>
                </c:pt>
                <c:pt idx="177">
                  <c:v>0</c:v>
                </c:pt>
                <c:pt idx="178">
                  <c:v>0.75</c:v>
                </c:pt>
                <c:pt idx="180">
                  <c:v>0</c:v>
                </c:pt>
                <c:pt idx="181">
                  <c:v>1.1000000000000001</c:v>
                </c:pt>
                <c:pt idx="183">
                  <c:v>0</c:v>
                </c:pt>
                <c:pt idx="184">
                  <c:v>0.75</c:v>
                </c:pt>
                <c:pt idx="186">
                  <c:v>0</c:v>
                </c:pt>
                <c:pt idx="187">
                  <c:v>0.75</c:v>
                </c:pt>
                <c:pt idx="189">
                  <c:v>0</c:v>
                </c:pt>
                <c:pt idx="190">
                  <c:v>0.75</c:v>
                </c:pt>
                <c:pt idx="192">
                  <c:v>0</c:v>
                </c:pt>
                <c:pt idx="193">
                  <c:v>2</c:v>
                </c:pt>
                <c:pt idx="195">
                  <c:v>0</c:v>
                </c:pt>
                <c:pt idx="196">
                  <c:v>0.75</c:v>
                </c:pt>
                <c:pt idx="198">
                  <c:v>0</c:v>
                </c:pt>
                <c:pt idx="199">
                  <c:v>0.75</c:v>
                </c:pt>
                <c:pt idx="201">
                  <c:v>0</c:v>
                </c:pt>
                <c:pt idx="202">
                  <c:v>0.75</c:v>
                </c:pt>
                <c:pt idx="204">
                  <c:v>0</c:v>
                </c:pt>
                <c:pt idx="205">
                  <c:v>1.1000000000000001</c:v>
                </c:pt>
                <c:pt idx="207">
                  <c:v>0</c:v>
                </c:pt>
                <c:pt idx="208">
                  <c:v>0.75</c:v>
                </c:pt>
                <c:pt idx="210">
                  <c:v>0</c:v>
                </c:pt>
                <c:pt idx="211">
                  <c:v>0.75</c:v>
                </c:pt>
                <c:pt idx="213">
                  <c:v>0</c:v>
                </c:pt>
                <c:pt idx="214">
                  <c:v>0.75</c:v>
                </c:pt>
                <c:pt idx="216">
                  <c:v>0</c:v>
                </c:pt>
                <c:pt idx="217">
                  <c:v>1.5</c:v>
                </c:pt>
                <c:pt idx="219">
                  <c:v>0</c:v>
                </c:pt>
                <c:pt idx="220">
                  <c:v>0.75</c:v>
                </c:pt>
                <c:pt idx="222">
                  <c:v>0</c:v>
                </c:pt>
                <c:pt idx="223">
                  <c:v>0.75</c:v>
                </c:pt>
                <c:pt idx="225">
                  <c:v>0</c:v>
                </c:pt>
                <c:pt idx="226">
                  <c:v>0.75</c:v>
                </c:pt>
                <c:pt idx="228">
                  <c:v>0</c:v>
                </c:pt>
                <c:pt idx="229">
                  <c:v>1.1000000000000001</c:v>
                </c:pt>
                <c:pt idx="231">
                  <c:v>0</c:v>
                </c:pt>
                <c:pt idx="232">
                  <c:v>0.75</c:v>
                </c:pt>
                <c:pt idx="234">
                  <c:v>0</c:v>
                </c:pt>
                <c:pt idx="235">
                  <c:v>0.75</c:v>
                </c:pt>
                <c:pt idx="237">
                  <c:v>0</c:v>
                </c:pt>
                <c:pt idx="238">
                  <c:v>0.75</c:v>
                </c:pt>
                <c:pt idx="240">
                  <c:v>0</c:v>
                </c:pt>
                <c:pt idx="241">
                  <c:v>2</c:v>
                </c:pt>
                <c:pt idx="243">
                  <c:v>0</c:v>
                </c:pt>
                <c:pt idx="244">
                  <c:v>0.75</c:v>
                </c:pt>
                <c:pt idx="246">
                  <c:v>0</c:v>
                </c:pt>
                <c:pt idx="247">
                  <c:v>0.75</c:v>
                </c:pt>
                <c:pt idx="249">
                  <c:v>0</c:v>
                </c:pt>
                <c:pt idx="250">
                  <c:v>0.75</c:v>
                </c:pt>
                <c:pt idx="252">
                  <c:v>0</c:v>
                </c:pt>
                <c:pt idx="253">
                  <c:v>1.1000000000000001</c:v>
                </c:pt>
                <c:pt idx="255">
                  <c:v>0</c:v>
                </c:pt>
                <c:pt idx="256">
                  <c:v>0.75</c:v>
                </c:pt>
                <c:pt idx="258">
                  <c:v>0</c:v>
                </c:pt>
                <c:pt idx="259">
                  <c:v>0.75</c:v>
                </c:pt>
                <c:pt idx="261">
                  <c:v>0</c:v>
                </c:pt>
                <c:pt idx="262">
                  <c:v>0.75</c:v>
                </c:pt>
                <c:pt idx="264">
                  <c:v>0</c:v>
                </c:pt>
                <c:pt idx="265">
                  <c:v>1.5</c:v>
                </c:pt>
                <c:pt idx="267">
                  <c:v>0</c:v>
                </c:pt>
                <c:pt idx="268">
                  <c:v>0.75</c:v>
                </c:pt>
                <c:pt idx="270">
                  <c:v>0</c:v>
                </c:pt>
                <c:pt idx="271">
                  <c:v>0.75</c:v>
                </c:pt>
                <c:pt idx="273">
                  <c:v>0</c:v>
                </c:pt>
                <c:pt idx="274">
                  <c:v>0.75</c:v>
                </c:pt>
                <c:pt idx="276">
                  <c:v>0</c:v>
                </c:pt>
                <c:pt idx="277">
                  <c:v>1.1000000000000001</c:v>
                </c:pt>
                <c:pt idx="279">
                  <c:v>0</c:v>
                </c:pt>
                <c:pt idx="280">
                  <c:v>0.75</c:v>
                </c:pt>
                <c:pt idx="282">
                  <c:v>0</c:v>
                </c:pt>
                <c:pt idx="283">
                  <c:v>0.75</c:v>
                </c:pt>
                <c:pt idx="285">
                  <c:v>0</c:v>
                </c:pt>
                <c:pt idx="286">
                  <c:v>0.75</c:v>
                </c:pt>
                <c:pt idx="288">
                  <c:v>0</c:v>
                </c:pt>
                <c:pt idx="289">
                  <c:v>2</c:v>
                </c:pt>
                <c:pt idx="291">
                  <c:v>0</c:v>
                </c:pt>
                <c:pt idx="292">
                  <c:v>0.75</c:v>
                </c:pt>
                <c:pt idx="294">
                  <c:v>0</c:v>
                </c:pt>
                <c:pt idx="295">
                  <c:v>0.75</c:v>
                </c:pt>
                <c:pt idx="297">
                  <c:v>0</c:v>
                </c:pt>
                <c:pt idx="298">
                  <c:v>0.75</c:v>
                </c:pt>
                <c:pt idx="300">
                  <c:v>0</c:v>
                </c:pt>
                <c:pt idx="301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7A-416E-A90E-50AA9713271E}"/>
            </c:ext>
          </c:extLst>
        </c:ser>
        <c:ser>
          <c:idx val="1"/>
          <c:order val="1"/>
          <c:tx>
            <c:v>trazo</c:v>
          </c:tx>
          <c:spPr>
            <a:ln w="15875">
              <a:solidFill>
                <a:srgbClr val="1F4FD8"/>
              </a:solidFill>
              <a:prstDash val="solid"/>
            </a:ln>
          </c:spPr>
          <c:marker>
            <c:symbol val="none"/>
          </c:marker>
          <c:xVal>
            <c:numRef>
              <c:f>'Datos metrología'!$C$4:$C$156</c:f>
              <c:numCache>
                <c:formatCode>General</c:formatCode>
                <c:ptCount val="153"/>
                <c:pt idx="0">
                  <c:v>11.75</c:v>
                </c:pt>
                <c:pt idx="1">
                  <c:v>11.75</c:v>
                </c:pt>
                <c:pt idx="3">
                  <c:v>12.625</c:v>
                </c:pt>
                <c:pt idx="4">
                  <c:v>12.625</c:v>
                </c:pt>
                <c:pt idx="6">
                  <c:v>13.5</c:v>
                </c:pt>
                <c:pt idx="7">
                  <c:v>13.5</c:v>
                </c:pt>
                <c:pt idx="9">
                  <c:v>14.375</c:v>
                </c:pt>
                <c:pt idx="10">
                  <c:v>14.375</c:v>
                </c:pt>
                <c:pt idx="12">
                  <c:v>15.25</c:v>
                </c:pt>
                <c:pt idx="13">
                  <c:v>15.25</c:v>
                </c:pt>
                <c:pt idx="15">
                  <c:v>16.125</c:v>
                </c:pt>
                <c:pt idx="16">
                  <c:v>16.125</c:v>
                </c:pt>
                <c:pt idx="18">
                  <c:v>17</c:v>
                </c:pt>
                <c:pt idx="19">
                  <c:v>17</c:v>
                </c:pt>
                <c:pt idx="21">
                  <c:v>17.875</c:v>
                </c:pt>
                <c:pt idx="22">
                  <c:v>17.875</c:v>
                </c:pt>
                <c:pt idx="24">
                  <c:v>18.75</c:v>
                </c:pt>
                <c:pt idx="25">
                  <c:v>18.75</c:v>
                </c:pt>
                <c:pt idx="27">
                  <c:v>18.75</c:v>
                </c:pt>
                <c:pt idx="28">
                  <c:v>18.75</c:v>
                </c:pt>
                <c:pt idx="30">
                  <c:v>18.75</c:v>
                </c:pt>
                <c:pt idx="31">
                  <c:v>18.75</c:v>
                </c:pt>
                <c:pt idx="33">
                  <c:v>18.75</c:v>
                </c:pt>
                <c:pt idx="34">
                  <c:v>18.75</c:v>
                </c:pt>
                <c:pt idx="36">
                  <c:v>18.75</c:v>
                </c:pt>
                <c:pt idx="37">
                  <c:v>18.75</c:v>
                </c:pt>
                <c:pt idx="39">
                  <c:v>18.75</c:v>
                </c:pt>
                <c:pt idx="40">
                  <c:v>18.75</c:v>
                </c:pt>
                <c:pt idx="42">
                  <c:v>18.75</c:v>
                </c:pt>
                <c:pt idx="43">
                  <c:v>18.75</c:v>
                </c:pt>
                <c:pt idx="45">
                  <c:v>18.75</c:v>
                </c:pt>
                <c:pt idx="46">
                  <c:v>18.75</c:v>
                </c:pt>
                <c:pt idx="48">
                  <c:v>18.75</c:v>
                </c:pt>
                <c:pt idx="49">
                  <c:v>18.75</c:v>
                </c:pt>
                <c:pt idx="51">
                  <c:v>18.75</c:v>
                </c:pt>
                <c:pt idx="52">
                  <c:v>18.75</c:v>
                </c:pt>
                <c:pt idx="54">
                  <c:v>18.75</c:v>
                </c:pt>
                <c:pt idx="55">
                  <c:v>18.75</c:v>
                </c:pt>
                <c:pt idx="57">
                  <c:v>18.75</c:v>
                </c:pt>
                <c:pt idx="58">
                  <c:v>18.75</c:v>
                </c:pt>
                <c:pt idx="60">
                  <c:v>18.75</c:v>
                </c:pt>
                <c:pt idx="61">
                  <c:v>18.75</c:v>
                </c:pt>
                <c:pt idx="63">
                  <c:v>18.75</c:v>
                </c:pt>
                <c:pt idx="64">
                  <c:v>18.75</c:v>
                </c:pt>
                <c:pt idx="66">
                  <c:v>18.75</c:v>
                </c:pt>
                <c:pt idx="67">
                  <c:v>18.75</c:v>
                </c:pt>
                <c:pt idx="69">
                  <c:v>18.75</c:v>
                </c:pt>
                <c:pt idx="70">
                  <c:v>18.75</c:v>
                </c:pt>
                <c:pt idx="72">
                  <c:v>18.75</c:v>
                </c:pt>
                <c:pt idx="73">
                  <c:v>18.75</c:v>
                </c:pt>
                <c:pt idx="75">
                  <c:v>18.75</c:v>
                </c:pt>
                <c:pt idx="76">
                  <c:v>18.75</c:v>
                </c:pt>
                <c:pt idx="78">
                  <c:v>18.75</c:v>
                </c:pt>
                <c:pt idx="79">
                  <c:v>18.75</c:v>
                </c:pt>
                <c:pt idx="81">
                  <c:v>18.75</c:v>
                </c:pt>
                <c:pt idx="82">
                  <c:v>18.75</c:v>
                </c:pt>
                <c:pt idx="84">
                  <c:v>18.75</c:v>
                </c:pt>
                <c:pt idx="85">
                  <c:v>18.75</c:v>
                </c:pt>
                <c:pt idx="87">
                  <c:v>18.75</c:v>
                </c:pt>
                <c:pt idx="88">
                  <c:v>18.75</c:v>
                </c:pt>
                <c:pt idx="90">
                  <c:v>18.75</c:v>
                </c:pt>
                <c:pt idx="91">
                  <c:v>18.75</c:v>
                </c:pt>
                <c:pt idx="93">
                  <c:v>18.75</c:v>
                </c:pt>
                <c:pt idx="94">
                  <c:v>18.75</c:v>
                </c:pt>
                <c:pt idx="96">
                  <c:v>18.75</c:v>
                </c:pt>
                <c:pt idx="97">
                  <c:v>18.75</c:v>
                </c:pt>
                <c:pt idx="99">
                  <c:v>18.75</c:v>
                </c:pt>
                <c:pt idx="100">
                  <c:v>18.75</c:v>
                </c:pt>
                <c:pt idx="102">
                  <c:v>18.75</c:v>
                </c:pt>
                <c:pt idx="103">
                  <c:v>18.75</c:v>
                </c:pt>
                <c:pt idx="105">
                  <c:v>18.75</c:v>
                </c:pt>
                <c:pt idx="106">
                  <c:v>18.75</c:v>
                </c:pt>
                <c:pt idx="108">
                  <c:v>18.75</c:v>
                </c:pt>
                <c:pt idx="109">
                  <c:v>18.75</c:v>
                </c:pt>
                <c:pt idx="111">
                  <c:v>18.75</c:v>
                </c:pt>
                <c:pt idx="112">
                  <c:v>18.75</c:v>
                </c:pt>
                <c:pt idx="114">
                  <c:v>18.75</c:v>
                </c:pt>
                <c:pt idx="115">
                  <c:v>18.75</c:v>
                </c:pt>
                <c:pt idx="117">
                  <c:v>18.75</c:v>
                </c:pt>
                <c:pt idx="118">
                  <c:v>18.75</c:v>
                </c:pt>
                <c:pt idx="120">
                  <c:v>18.75</c:v>
                </c:pt>
                <c:pt idx="121">
                  <c:v>18.75</c:v>
                </c:pt>
                <c:pt idx="123">
                  <c:v>18.75</c:v>
                </c:pt>
                <c:pt idx="124">
                  <c:v>18.75</c:v>
                </c:pt>
                <c:pt idx="126">
                  <c:v>18.75</c:v>
                </c:pt>
                <c:pt idx="127">
                  <c:v>18.75</c:v>
                </c:pt>
                <c:pt idx="129">
                  <c:v>18.75</c:v>
                </c:pt>
                <c:pt idx="130">
                  <c:v>18.75</c:v>
                </c:pt>
                <c:pt idx="132">
                  <c:v>18.75</c:v>
                </c:pt>
                <c:pt idx="133">
                  <c:v>18.75</c:v>
                </c:pt>
                <c:pt idx="135">
                  <c:v>18.75</c:v>
                </c:pt>
                <c:pt idx="136">
                  <c:v>18.75</c:v>
                </c:pt>
                <c:pt idx="138">
                  <c:v>18.75</c:v>
                </c:pt>
                <c:pt idx="139">
                  <c:v>18.75</c:v>
                </c:pt>
                <c:pt idx="141">
                  <c:v>18.75</c:v>
                </c:pt>
                <c:pt idx="142">
                  <c:v>18.75</c:v>
                </c:pt>
                <c:pt idx="144">
                  <c:v>18.75</c:v>
                </c:pt>
                <c:pt idx="145">
                  <c:v>18.75</c:v>
                </c:pt>
                <c:pt idx="147">
                  <c:v>18.75</c:v>
                </c:pt>
                <c:pt idx="148">
                  <c:v>18.75</c:v>
                </c:pt>
                <c:pt idx="150">
                  <c:v>18.75</c:v>
                </c:pt>
                <c:pt idx="151">
                  <c:v>18.75</c:v>
                </c:pt>
              </c:numCache>
            </c:numRef>
          </c:xVal>
          <c:yVal>
            <c:numRef>
              <c:f>'Datos metrología'!$D$4:$D$156</c:f>
              <c:numCache>
                <c:formatCode>General</c:formatCode>
                <c:ptCount val="153"/>
                <c:pt idx="0">
                  <c:v>0</c:v>
                </c:pt>
                <c:pt idx="1">
                  <c:v>-1.8</c:v>
                </c:pt>
                <c:pt idx="3">
                  <c:v>0</c:v>
                </c:pt>
                <c:pt idx="4">
                  <c:v>-1.1000000000000001</c:v>
                </c:pt>
                <c:pt idx="6">
                  <c:v>0</c:v>
                </c:pt>
                <c:pt idx="7">
                  <c:v>-1.1000000000000001</c:v>
                </c:pt>
                <c:pt idx="9">
                  <c:v>0</c:v>
                </c:pt>
                <c:pt idx="10">
                  <c:v>-1.1000000000000001</c:v>
                </c:pt>
                <c:pt idx="12">
                  <c:v>0</c:v>
                </c:pt>
                <c:pt idx="13">
                  <c:v>-1.8</c:v>
                </c:pt>
                <c:pt idx="15">
                  <c:v>0</c:v>
                </c:pt>
                <c:pt idx="16">
                  <c:v>-1.1000000000000001</c:v>
                </c:pt>
                <c:pt idx="18">
                  <c:v>0</c:v>
                </c:pt>
                <c:pt idx="19">
                  <c:v>-1.1000000000000001</c:v>
                </c:pt>
                <c:pt idx="21">
                  <c:v>0</c:v>
                </c:pt>
                <c:pt idx="22">
                  <c:v>-1.1000000000000001</c:v>
                </c:pt>
                <c:pt idx="24">
                  <c:v>0</c:v>
                </c:pt>
                <c:pt idx="25">
                  <c:v>-1.8</c:v>
                </c:pt>
                <c:pt idx="27">
                  <c:v>0</c:v>
                </c:pt>
                <c:pt idx="28">
                  <c:v>-1.8</c:v>
                </c:pt>
                <c:pt idx="30">
                  <c:v>0</c:v>
                </c:pt>
                <c:pt idx="31">
                  <c:v>-1.8</c:v>
                </c:pt>
                <c:pt idx="33">
                  <c:v>0</c:v>
                </c:pt>
                <c:pt idx="34">
                  <c:v>-1.8</c:v>
                </c:pt>
                <c:pt idx="36">
                  <c:v>0</c:v>
                </c:pt>
                <c:pt idx="37">
                  <c:v>-1.8</c:v>
                </c:pt>
                <c:pt idx="39">
                  <c:v>0</c:v>
                </c:pt>
                <c:pt idx="40">
                  <c:v>-1.8</c:v>
                </c:pt>
                <c:pt idx="42">
                  <c:v>0</c:v>
                </c:pt>
                <c:pt idx="43">
                  <c:v>-1.8</c:v>
                </c:pt>
                <c:pt idx="45">
                  <c:v>0</c:v>
                </c:pt>
                <c:pt idx="46">
                  <c:v>-1.8</c:v>
                </c:pt>
                <c:pt idx="48">
                  <c:v>0</c:v>
                </c:pt>
                <c:pt idx="49">
                  <c:v>-1.8</c:v>
                </c:pt>
                <c:pt idx="51">
                  <c:v>0</c:v>
                </c:pt>
                <c:pt idx="52">
                  <c:v>-1.8</c:v>
                </c:pt>
                <c:pt idx="54">
                  <c:v>0</c:v>
                </c:pt>
                <c:pt idx="55">
                  <c:v>-1.8</c:v>
                </c:pt>
                <c:pt idx="57">
                  <c:v>0</c:v>
                </c:pt>
                <c:pt idx="58">
                  <c:v>-1.8</c:v>
                </c:pt>
                <c:pt idx="60">
                  <c:v>0</c:v>
                </c:pt>
                <c:pt idx="61">
                  <c:v>-1.8</c:v>
                </c:pt>
                <c:pt idx="63">
                  <c:v>0</c:v>
                </c:pt>
                <c:pt idx="64">
                  <c:v>-1.8</c:v>
                </c:pt>
                <c:pt idx="66">
                  <c:v>0</c:v>
                </c:pt>
                <c:pt idx="67">
                  <c:v>-1.8</c:v>
                </c:pt>
                <c:pt idx="69">
                  <c:v>0</c:v>
                </c:pt>
                <c:pt idx="70">
                  <c:v>-1.8</c:v>
                </c:pt>
                <c:pt idx="72">
                  <c:v>0</c:v>
                </c:pt>
                <c:pt idx="73">
                  <c:v>-1.8</c:v>
                </c:pt>
                <c:pt idx="75">
                  <c:v>0</c:v>
                </c:pt>
                <c:pt idx="76">
                  <c:v>-1.8</c:v>
                </c:pt>
                <c:pt idx="78">
                  <c:v>0</c:v>
                </c:pt>
                <c:pt idx="79">
                  <c:v>-1.8</c:v>
                </c:pt>
                <c:pt idx="81">
                  <c:v>0</c:v>
                </c:pt>
                <c:pt idx="82">
                  <c:v>-1.8</c:v>
                </c:pt>
                <c:pt idx="84">
                  <c:v>0</c:v>
                </c:pt>
                <c:pt idx="85">
                  <c:v>-1.8</c:v>
                </c:pt>
                <c:pt idx="87">
                  <c:v>0</c:v>
                </c:pt>
                <c:pt idx="88">
                  <c:v>-1.8</c:v>
                </c:pt>
                <c:pt idx="90">
                  <c:v>0</c:v>
                </c:pt>
                <c:pt idx="91">
                  <c:v>-1.8</c:v>
                </c:pt>
                <c:pt idx="93">
                  <c:v>0</c:v>
                </c:pt>
                <c:pt idx="94">
                  <c:v>-1.8</c:v>
                </c:pt>
                <c:pt idx="96">
                  <c:v>0</c:v>
                </c:pt>
                <c:pt idx="97">
                  <c:v>-1.8</c:v>
                </c:pt>
                <c:pt idx="99">
                  <c:v>0</c:v>
                </c:pt>
                <c:pt idx="100">
                  <c:v>-1.8</c:v>
                </c:pt>
                <c:pt idx="102">
                  <c:v>0</c:v>
                </c:pt>
                <c:pt idx="103">
                  <c:v>-1.8</c:v>
                </c:pt>
                <c:pt idx="105">
                  <c:v>0</c:v>
                </c:pt>
                <c:pt idx="106">
                  <c:v>-1.8</c:v>
                </c:pt>
                <c:pt idx="108">
                  <c:v>0</c:v>
                </c:pt>
                <c:pt idx="109">
                  <c:v>-1.8</c:v>
                </c:pt>
                <c:pt idx="111">
                  <c:v>0</c:v>
                </c:pt>
                <c:pt idx="112">
                  <c:v>-1.8</c:v>
                </c:pt>
                <c:pt idx="114">
                  <c:v>0</c:v>
                </c:pt>
                <c:pt idx="115">
                  <c:v>-1.8</c:v>
                </c:pt>
                <c:pt idx="117">
                  <c:v>0</c:v>
                </c:pt>
                <c:pt idx="118">
                  <c:v>-1.8</c:v>
                </c:pt>
                <c:pt idx="120">
                  <c:v>0</c:v>
                </c:pt>
                <c:pt idx="121">
                  <c:v>-1.8</c:v>
                </c:pt>
                <c:pt idx="123">
                  <c:v>0</c:v>
                </c:pt>
                <c:pt idx="124">
                  <c:v>-1.8</c:v>
                </c:pt>
                <c:pt idx="126">
                  <c:v>0</c:v>
                </c:pt>
                <c:pt idx="127">
                  <c:v>-1.8</c:v>
                </c:pt>
                <c:pt idx="129">
                  <c:v>0</c:v>
                </c:pt>
                <c:pt idx="130">
                  <c:v>-1.8</c:v>
                </c:pt>
                <c:pt idx="132">
                  <c:v>0</c:v>
                </c:pt>
                <c:pt idx="133">
                  <c:v>-1.8</c:v>
                </c:pt>
                <c:pt idx="135">
                  <c:v>0</c:v>
                </c:pt>
                <c:pt idx="136">
                  <c:v>-1.8</c:v>
                </c:pt>
                <c:pt idx="138">
                  <c:v>0</c:v>
                </c:pt>
                <c:pt idx="139">
                  <c:v>-1.8</c:v>
                </c:pt>
                <c:pt idx="141">
                  <c:v>0</c:v>
                </c:pt>
                <c:pt idx="142">
                  <c:v>-1.8</c:v>
                </c:pt>
                <c:pt idx="144">
                  <c:v>0</c:v>
                </c:pt>
                <c:pt idx="145">
                  <c:v>-1.8</c:v>
                </c:pt>
                <c:pt idx="147">
                  <c:v>0</c:v>
                </c:pt>
                <c:pt idx="148">
                  <c:v>-1.8</c:v>
                </c:pt>
                <c:pt idx="150">
                  <c:v>0</c:v>
                </c:pt>
                <c:pt idx="151">
                  <c:v>-1.8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7A-416E-A90E-50AA9713271E}"/>
            </c:ext>
          </c:extLst>
        </c:ser>
        <c:ser>
          <c:idx val="2"/>
          <c:order val="2"/>
          <c:tx>
            <c:strRef>
              <c:f>'Datos metrología'!$H$4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'Datos metrología'!$G$4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7A-416E-A90E-50AA9713271E}"/>
            </c:ext>
          </c:extLst>
        </c:ser>
        <c:ser>
          <c:idx val="3"/>
          <c:order val="3"/>
          <c:tx>
            <c:strRef>
              <c:f>'Datos metrología'!$H$5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metrología'!$F$5</c:f>
              <c:numCache>
                <c:formatCode>General</c:formatCode>
                <c:ptCount val="1"/>
                <c:pt idx="0">
                  <c:v>16</c:v>
                </c:pt>
              </c:numCache>
            </c:numRef>
          </c:xVal>
          <c:yVal>
            <c:numRef>
              <c:f>'Datos metrología'!$G$5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7A-416E-A90E-50AA9713271E}"/>
            </c:ext>
          </c:extLst>
        </c:ser>
        <c:ser>
          <c:idx val="4"/>
          <c:order val="4"/>
          <c:tx>
            <c:strRef>
              <c:f>'Datos metrología'!$H$6</c:f>
              <c:strCache>
                <c:ptCount val="1"/>
                <c:pt idx="0">
                  <c:v>2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metrología'!$F$6</c:f>
              <c:numCache>
                <c:formatCode>General</c:formatCode>
                <c:ptCount val="1"/>
                <c:pt idx="0">
                  <c:v>32</c:v>
                </c:pt>
              </c:numCache>
            </c:numRef>
          </c:xVal>
          <c:yVal>
            <c:numRef>
              <c:f>'Datos metrología'!$G$6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7A-416E-A90E-50AA9713271E}"/>
            </c:ext>
          </c:extLst>
        </c:ser>
        <c:ser>
          <c:idx val="5"/>
          <c:order val="5"/>
          <c:tx>
            <c:strRef>
              <c:f>'Datos metrología'!$H$7</c:f>
              <c:strCache>
                <c:ptCount val="1"/>
                <c:pt idx="0">
                  <c:v>3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metrología'!$F$7</c:f>
              <c:numCache>
                <c:formatCode>General</c:formatCode>
                <c:ptCount val="1"/>
                <c:pt idx="0">
                  <c:v>48</c:v>
                </c:pt>
              </c:numCache>
            </c:numRef>
          </c:xVal>
          <c:yVal>
            <c:numRef>
              <c:f>'Datos metrología'!$G$7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7A-416E-A90E-50AA9713271E}"/>
            </c:ext>
          </c:extLst>
        </c:ser>
        <c:ser>
          <c:idx val="6"/>
          <c:order val="6"/>
          <c:tx>
            <c:strRef>
              <c:f>'Datos metrología'!$H$8</c:f>
              <c:strCache>
                <c:ptCount val="1"/>
                <c:pt idx="0">
                  <c:v>4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metrología'!$F$8</c:f>
              <c:numCache>
                <c:formatCode>General</c:formatCode>
                <c:ptCount val="1"/>
                <c:pt idx="0">
                  <c:v>64</c:v>
                </c:pt>
              </c:numCache>
            </c:numRef>
          </c:xVal>
          <c:yVal>
            <c:numRef>
              <c:f>'Datos metrología'!$G$8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A7A-416E-A90E-50AA9713271E}"/>
            </c:ext>
          </c:extLst>
        </c:ser>
        <c:ser>
          <c:idx val="7"/>
          <c:order val="7"/>
          <c:tx>
            <c:strRef>
              <c:f>'Datos metrología'!$H$9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metrología'!$F$9</c:f>
              <c:numCache>
                <c:formatCode>General</c:formatCode>
                <c:ptCount val="1"/>
                <c:pt idx="0">
                  <c:v>80</c:v>
                </c:pt>
              </c:numCache>
            </c:numRef>
          </c:xVal>
          <c:yVal>
            <c:numRef>
              <c:f>'Datos metrología'!$G$9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A7A-416E-A90E-50AA9713271E}"/>
            </c:ext>
          </c:extLst>
        </c:ser>
        <c:ser>
          <c:idx val="8"/>
          <c:order val="8"/>
          <c:tx>
            <c:strRef>
              <c:f>'Datos metrología'!$H$10</c:f>
              <c:strCache>
                <c:ptCount val="1"/>
                <c:pt idx="0">
                  <c:v>6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metrología'!$F$10</c:f>
              <c:numCache>
                <c:formatCode>General</c:formatCode>
                <c:ptCount val="1"/>
                <c:pt idx="0">
                  <c:v>96</c:v>
                </c:pt>
              </c:numCache>
            </c:numRef>
          </c:xVal>
          <c:yVal>
            <c:numRef>
              <c:f>'Datos metrología'!$G$10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A7A-416E-A90E-50AA9713271E}"/>
            </c:ext>
          </c:extLst>
        </c:ser>
        <c:ser>
          <c:idx val="9"/>
          <c:order val="9"/>
          <c:tx>
            <c:strRef>
              <c:f>'Datos metrología'!$H$11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metrología'!$F$11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metrología'!$G$11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A7A-416E-A90E-50AA9713271E}"/>
            </c:ext>
          </c:extLst>
        </c:ser>
        <c:ser>
          <c:idx val="10"/>
          <c:order val="10"/>
          <c:tx>
            <c:strRef>
              <c:f>'Datos metrología'!$H$12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metrología'!$F$12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metrología'!$G$12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A7A-416E-A90E-50AA9713271E}"/>
            </c:ext>
          </c:extLst>
        </c:ser>
        <c:ser>
          <c:idx val="11"/>
          <c:order val="11"/>
          <c:tx>
            <c:strRef>
              <c:f>'Datos metrología'!$H$13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metrología'!$F$13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metrología'!$G$13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A7A-416E-A90E-50AA9713271E}"/>
            </c:ext>
          </c:extLst>
        </c:ser>
        <c:ser>
          <c:idx val="12"/>
          <c:order val="12"/>
          <c:tx>
            <c:strRef>
              <c:f>'Datos metrología'!$H$14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metrología'!$F$14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metrología'!$G$14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A7A-416E-A90E-50AA9713271E}"/>
            </c:ext>
          </c:extLst>
        </c:ser>
        <c:ser>
          <c:idx val="13"/>
          <c:order val="13"/>
          <c:tx>
            <c:strRef>
              <c:f>'Datos metrología'!$H$15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metrología'!$F$15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metrología'!$G$15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A7A-416E-A90E-50AA9713271E}"/>
            </c:ext>
          </c:extLst>
        </c:ser>
        <c:ser>
          <c:idx val="14"/>
          <c:order val="14"/>
          <c:tx>
            <c:strRef>
              <c:f>'Datos metrología'!$H$16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metrología'!$F$16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metrología'!$G$16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A7A-416E-A90E-50AA9713271E}"/>
            </c:ext>
          </c:extLst>
        </c:ser>
        <c:ser>
          <c:idx val="15"/>
          <c:order val="15"/>
          <c:tx>
            <c:strRef>
              <c:f>'Datos metrología'!$H$17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metrología'!$F$17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metrología'!$G$17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A7A-416E-A90E-50AA9713271E}"/>
            </c:ext>
          </c:extLst>
        </c:ser>
        <c:ser>
          <c:idx val="16"/>
          <c:order val="16"/>
          <c:tx>
            <c:strRef>
              <c:f>'Datos metrología'!$H$18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metrología'!$F$18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metrología'!$G$18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A7A-416E-A90E-50AA9713271E}"/>
            </c:ext>
          </c:extLst>
        </c:ser>
        <c:ser>
          <c:idx val="17"/>
          <c:order val="17"/>
          <c:tx>
            <c:strRef>
              <c:f>'Datos metrología'!$H$19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metrología'!$F$19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metrología'!$G$19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A7A-416E-A90E-50AA9713271E}"/>
            </c:ext>
          </c:extLst>
        </c:ser>
        <c:ser>
          <c:idx val="18"/>
          <c:order val="18"/>
          <c:tx>
            <c:strRef>
              <c:f>'Datos metrología'!$H$20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metrología'!$F$20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metrología'!$G$20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A7A-416E-A90E-50AA9713271E}"/>
            </c:ext>
          </c:extLst>
        </c:ser>
        <c:ser>
          <c:idx val="19"/>
          <c:order val="19"/>
          <c:tx>
            <c:strRef>
              <c:f>'Datos metrología'!$H$21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metrología'!$F$21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metrología'!$G$21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A7A-416E-A90E-50AA9713271E}"/>
            </c:ext>
          </c:extLst>
        </c:ser>
        <c:ser>
          <c:idx val="20"/>
          <c:order val="20"/>
          <c:tx>
            <c:strRef>
              <c:f>'Datos metrología'!$H$22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metrología'!$F$22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metrología'!$G$22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A7A-416E-A90E-50AA9713271E}"/>
            </c:ext>
          </c:extLst>
        </c:ser>
        <c:ser>
          <c:idx val="21"/>
          <c:order val="21"/>
          <c:tx>
            <c:strRef>
              <c:f>'Datos metrología'!$H$23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metrología'!$F$23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metrología'!$G$23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A7A-416E-A90E-50AA9713271E}"/>
            </c:ext>
          </c:extLst>
        </c:ser>
        <c:ser>
          <c:idx val="22"/>
          <c:order val="22"/>
          <c:tx>
            <c:strRef>
              <c:f>'Datos metrología'!$H$24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metrología'!$F$24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metrología'!$G$24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A7A-416E-A90E-50AA9713271E}"/>
            </c:ext>
          </c:extLst>
        </c:ser>
        <c:ser>
          <c:idx val="23"/>
          <c:order val="23"/>
          <c:tx>
            <c:strRef>
              <c:f>'Datos metrología'!$H$25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metrología'!$F$25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metrología'!$G$25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A7A-416E-A90E-50AA9713271E}"/>
            </c:ext>
          </c:extLst>
        </c:ser>
        <c:ser>
          <c:idx val="24"/>
          <c:order val="24"/>
          <c:tx>
            <c:strRef>
              <c:f>'Datos metrología'!$H$26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metrología'!$F$26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metrología'!$G$26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A7A-416E-A90E-50AA9713271E}"/>
            </c:ext>
          </c:extLst>
        </c:ser>
        <c:ser>
          <c:idx val="25"/>
          <c:order val="25"/>
          <c:tx>
            <c:strRef>
              <c:f>'Datos metrología'!$H$27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metrología'!$F$27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metrología'!$G$27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A7A-416E-A90E-50AA9713271E}"/>
            </c:ext>
          </c:extLst>
        </c:ser>
        <c:ser>
          <c:idx val="26"/>
          <c:order val="26"/>
          <c:tx>
            <c:strRef>
              <c:f>'Datos metrología'!$H$28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metrología'!$F$28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metrología'!$G$28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A7A-416E-A90E-50AA9713271E}"/>
            </c:ext>
          </c:extLst>
        </c:ser>
        <c:ser>
          <c:idx val="27"/>
          <c:order val="27"/>
          <c:tx>
            <c:strRef>
              <c:f>'Datos metrología'!$H$29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metrología'!$F$29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metrología'!$G$29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A7A-416E-A90E-50AA9713271E}"/>
            </c:ext>
          </c:extLst>
        </c:ser>
        <c:ser>
          <c:idx val="28"/>
          <c:order val="28"/>
          <c:tx>
            <c:strRef>
              <c:f>'Datos metrología'!$H$30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metrología'!$F$30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metrología'!$G$30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A7A-416E-A90E-50AA9713271E}"/>
            </c:ext>
          </c:extLst>
        </c:ser>
        <c:ser>
          <c:idx val="29"/>
          <c:order val="29"/>
          <c:tx>
            <c:strRef>
              <c:f>'Datos metrología'!$H$31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metrología'!$F$31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metrología'!$G$31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A7A-416E-A90E-50AA9713271E}"/>
            </c:ext>
          </c:extLst>
        </c:ser>
        <c:ser>
          <c:idx val="30"/>
          <c:order val="30"/>
          <c:tx>
            <c:strRef>
              <c:f>'Datos metrología'!$H$32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metrología'!$F$32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metrología'!$G$32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A7A-416E-A90E-50AA9713271E}"/>
            </c:ext>
          </c:extLst>
        </c:ser>
        <c:ser>
          <c:idx val="31"/>
          <c:order val="31"/>
          <c:tx>
            <c:strRef>
              <c:f>'Datos metrología'!$H$33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metrología'!$F$33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metrología'!$G$33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A7A-416E-A90E-50AA9713271E}"/>
            </c:ext>
          </c:extLst>
        </c:ser>
        <c:ser>
          <c:idx val="32"/>
          <c:order val="32"/>
          <c:tx>
            <c:strRef>
              <c:f>'Datos metrología'!$H$34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metrología'!$F$34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metrología'!$G$34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A7A-416E-A90E-50AA9713271E}"/>
            </c:ext>
          </c:extLst>
        </c:ser>
        <c:ser>
          <c:idx val="33"/>
          <c:order val="33"/>
          <c:tx>
            <c:strRef>
              <c:f>'Datos metrología'!$H$35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metrología'!$F$35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metrología'!$G$35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A7A-416E-A90E-50AA9713271E}"/>
            </c:ext>
          </c:extLst>
        </c:ser>
        <c:ser>
          <c:idx val="34"/>
          <c:order val="34"/>
          <c:tx>
            <c:strRef>
              <c:f>'Datos metrología'!$H$36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metrología'!$F$36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metrología'!$G$36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A7A-416E-A90E-50AA9713271E}"/>
            </c:ext>
          </c:extLst>
        </c:ser>
        <c:ser>
          <c:idx val="35"/>
          <c:order val="35"/>
          <c:tx>
            <c:strRef>
              <c:f>'Datos metrología'!$H$37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metrología'!$F$37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metrología'!$G$37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A7A-416E-A90E-50AA9713271E}"/>
            </c:ext>
          </c:extLst>
        </c:ser>
        <c:ser>
          <c:idx val="36"/>
          <c:order val="36"/>
          <c:tx>
            <c:strRef>
              <c:f>'Datos metrología'!$H$38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metrología'!$F$38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metrología'!$G$38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A7A-416E-A90E-50AA9713271E}"/>
            </c:ext>
          </c:extLst>
        </c:ser>
        <c:ser>
          <c:idx val="37"/>
          <c:order val="37"/>
          <c:tx>
            <c:strRef>
              <c:f>'Datos metrología'!$H$39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metrología'!$F$39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metrología'!$G$39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A7A-416E-A90E-50AA9713271E}"/>
            </c:ext>
          </c:extLst>
        </c:ser>
        <c:ser>
          <c:idx val="38"/>
          <c:order val="38"/>
          <c:tx>
            <c:strRef>
              <c:f>'Datos metrología'!$H$40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metrología'!$F$40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metrología'!$G$40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A7A-416E-A90E-50AA9713271E}"/>
            </c:ext>
          </c:extLst>
        </c:ser>
        <c:ser>
          <c:idx val="39"/>
          <c:order val="39"/>
          <c:tx>
            <c:strRef>
              <c:f>'Datos metrología'!$H$41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metrología'!$F$41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metrología'!$G$41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A7A-416E-A90E-50AA9713271E}"/>
            </c:ext>
          </c:extLst>
        </c:ser>
        <c:ser>
          <c:idx val="40"/>
          <c:order val="40"/>
          <c:tx>
            <c:strRef>
              <c:f>'Datos metrología'!$H$42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metrología'!$F$42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metrología'!$G$42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A7A-416E-A90E-50AA9713271E}"/>
            </c:ext>
          </c:extLst>
        </c:ser>
        <c:ser>
          <c:idx val="41"/>
          <c:order val="41"/>
          <c:tx>
            <c:strRef>
              <c:f>'Datos metrología'!$H$43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metrología'!$F$43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metrología'!$G$43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A7A-416E-A90E-50AA9713271E}"/>
            </c:ext>
          </c:extLst>
        </c:ser>
        <c:ser>
          <c:idx val="42"/>
          <c:order val="42"/>
          <c:tx>
            <c:strRef>
              <c:f>'Datos metrología'!$H$44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metrología'!$F$44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metrología'!$G$44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A7A-416E-A90E-50AA9713271E}"/>
            </c:ext>
          </c:extLst>
        </c:ser>
        <c:ser>
          <c:idx val="43"/>
          <c:order val="43"/>
          <c:tx>
            <c:strRef>
              <c:f>'Datos metrología'!$H$45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metrología'!$F$45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metrología'!$G$45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A7A-416E-A90E-50AA9713271E}"/>
            </c:ext>
          </c:extLst>
        </c:ser>
        <c:ser>
          <c:idx val="44"/>
          <c:order val="44"/>
          <c:tx>
            <c:strRef>
              <c:f>'Datos metrología'!$H$46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metrología'!$F$46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metrología'!$G$46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A7A-416E-A90E-50AA9713271E}"/>
            </c:ext>
          </c:extLst>
        </c:ser>
        <c:ser>
          <c:idx val="45"/>
          <c:order val="45"/>
          <c:tx>
            <c:strRef>
              <c:f>'Datos metrología'!$H$47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metrología'!$F$47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metrología'!$G$47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A7A-416E-A90E-50AA9713271E}"/>
            </c:ext>
          </c:extLst>
        </c:ser>
        <c:ser>
          <c:idx val="46"/>
          <c:order val="46"/>
          <c:tx>
            <c:strRef>
              <c:f>'Datos metrología'!$H$48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metrología'!$F$48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metrología'!$G$48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A7A-416E-A90E-50AA9713271E}"/>
            </c:ext>
          </c:extLst>
        </c:ser>
        <c:ser>
          <c:idx val="47"/>
          <c:order val="47"/>
          <c:tx>
            <c:strRef>
              <c:f>'Datos metrología'!$H$49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metrología'!$F$49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metrología'!$G$49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A7A-416E-A90E-50AA9713271E}"/>
            </c:ext>
          </c:extLst>
        </c:ser>
        <c:ser>
          <c:idx val="48"/>
          <c:order val="48"/>
          <c:tx>
            <c:strRef>
              <c:f>'Datos metrología'!$H$50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metrología'!$F$50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metrología'!$G$50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A7A-416E-A90E-50AA9713271E}"/>
            </c:ext>
          </c:extLst>
        </c:ser>
        <c:ser>
          <c:idx val="49"/>
          <c:order val="49"/>
          <c:tx>
            <c:strRef>
              <c:f>'Datos metrología'!$H$51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metrología'!$F$51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metrología'!$G$51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A7A-416E-A90E-50AA9713271E}"/>
            </c:ext>
          </c:extLst>
        </c:ser>
        <c:ser>
          <c:idx val="50"/>
          <c:order val="50"/>
          <c:tx>
            <c:strRef>
              <c:f>'Datos metrología'!$H$52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metrología'!$F$52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metrología'!$G$52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A7A-416E-A90E-50AA9713271E}"/>
            </c:ext>
          </c:extLst>
        </c:ser>
        <c:ser>
          <c:idx val="51"/>
          <c:order val="51"/>
          <c:tx>
            <c:strRef>
              <c:f>'Datos metrología'!$H$53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metrología'!$F$53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metrología'!$G$53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A7A-416E-A90E-50AA9713271E}"/>
            </c:ext>
          </c:extLst>
        </c:ser>
        <c:ser>
          <c:idx val="52"/>
          <c:order val="52"/>
          <c:tx>
            <c:strRef>
              <c:f>'Datos metrología'!$H$54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metrología'!$F$54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metrología'!$G$54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A7A-416E-A90E-50AA9713271E}"/>
            </c:ext>
          </c:extLst>
        </c:ser>
        <c:ser>
          <c:idx val="53"/>
          <c:order val="53"/>
          <c:tx>
            <c:strRef>
              <c:f>'Datos metrología'!$L$4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metrología'!$J$4</c:f>
              <c:numCache>
                <c:formatCode>General</c:formatCode>
                <c:ptCount val="1"/>
                <c:pt idx="0">
                  <c:v>11.75</c:v>
                </c:pt>
              </c:numCache>
            </c:numRef>
          </c:xVal>
          <c:yVal>
            <c:numRef>
              <c:f>'Datos metrología'!$K$4</c:f>
              <c:numCache>
                <c:formatCode>General</c:formatCode>
                <c:ptCount val="1"/>
                <c:pt idx="0">
                  <c:v>-2.6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A7A-416E-A90E-50AA9713271E}"/>
            </c:ext>
          </c:extLst>
        </c:ser>
        <c:ser>
          <c:idx val="54"/>
          <c:order val="54"/>
          <c:tx>
            <c:strRef>
              <c:f>'Datos metrología'!$L$5</c:f>
              <c:strCache>
                <c:ptCount val="1"/>
                <c:pt idx="0">
                  <c:v>4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metrología'!$J$5</c:f>
              <c:numCache>
                <c:formatCode>General</c:formatCode>
                <c:ptCount val="1"/>
                <c:pt idx="0">
                  <c:v>15.25</c:v>
                </c:pt>
              </c:numCache>
            </c:numRef>
          </c:xVal>
          <c:yVal>
            <c:numRef>
              <c:f>'Datos metrología'!$K$5</c:f>
              <c:numCache>
                <c:formatCode>General</c:formatCode>
                <c:ptCount val="1"/>
                <c:pt idx="0">
                  <c:v>-2.6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A7A-416E-A90E-50AA9713271E}"/>
            </c:ext>
          </c:extLst>
        </c:ser>
        <c:ser>
          <c:idx val="55"/>
          <c:order val="55"/>
          <c:tx>
            <c:strRef>
              <c:f>'Datos metrología'!$L$6</c:f>
              <c:strCache>
                <c:ptCount val="1"/>
                <c:pt idx="0">
                  <c:v>8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metrología'!$J$6</c:f>
              <c:numCache>
                <c:formatCode>General</c:formatCode>
                <c:ptCount val="1"/>
                <c:pt idx="0">
                  <c:v>18.75</c:v>
                </c:pt>
              </c:numCache>
            </c:numRef>
          </c:xVal>
          <c:yVal>
            <c:numRef>
              <c:f>'Datos metrología'!$K$6</c:f>
              <c:numCache>
                <c:formatCode>General</c:formatCode>
                <c:ptCount val="1"/>
                <c:pt idx="0">
                  <c:v>-2.6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A7A-416E-A90E-50AA9713271E}"/>
            </c:ext>
          </c:extLst>
        </c:ser>
        <c:ser>
          <c:idx val="56"/>
          <c:order val="56"/>
          <c:tx>
            <c:strRef>
              <c:f>'Datos metrología'!$L$7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metrología'!$J$7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metrología'!$K$7</c:f>
              <c:numCache>
                <c:formatCode>General</c:formatCode>
                <c:ptCount val="1"/>
                <c:pt idx="0">
                  <c:v>-2.6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A7A-416E-A90E-50AA9713271E}"/>
            </c:ext>
          </c:extLst>
        </c:ser>
        <c:ser>
          <c:idx val="57"/>
          <c:order val="57"/>
          <c:tx>
            <c:strRef>
              <c:f>'Datos metrología'!$L$8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metrología'!$J$8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metrología'!$K$8</c:f>
              <c:numCache>
                <c:formatCode>General</c:formatCode>
                <c:ptCount val="1"/>
                <c:pt idx="0">
                  <c:v>-2.6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A7A-416E-A90E-50AA9713271E}"/>
            </c:ext>
          </c:extLst>
        </c:ser>
        <c:ser>
          <c:idx val="58"/>
          <c:order val="58"/>
          <c:tx>
            <c:strRef>
              <c:f>'Datos metrología'!$L$9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metrología'!$J$9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metrología'!$K$9</c:f>
              <c:numCache>
                <c:formatCode>General</c:formatCode>
                <c:ptCount val="1"/>
                <c:pt idx="0">
                  <c:v>-2.6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A7A-416E-A90E-50AA9713271E}"/>
            </c:ext>
          </c:extLst>
        </c:ser>
        <c:ser>
          <c:idx val="59"/>
          <c:order val="59"/>
          <c:tx>
            <c:strRef>
              <c:f>'Datos metrología'!$L$10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metrología'!$J$10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metrología'!$K$10</c:f>
              <c:numCache>
                <c:formatCode>General</c:formatCode>
                <c:ptCount val="1"/>
                <c:pt idx="0">
                  <c:v>-2.6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A7A-416E-A90E-50AA9713271E}"/>
            </c:ext>
          </c:extLst>
        </c:ser>
        <c:ser>
          <c:idx val="60"/>
          <c:order val="60"/>
          <c:tx>
            <c:strRef>
              <c:f>'Datos metrología'!$L$11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metrología'!$J$11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metrología'!$K$11</c:f>
              <c:numCache>
                <c:formatCode>General</c:formatCode>
                <c:ptCount val="1"/>
                <c:pt idx="0">
                  <c:v>-2.6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3A7A-416E-A90E-50AA9713271E}"/>
            </c:ext>
          </c:extLst>
        </c:ser>
        <c:ser>
          <c:idx val="61"/>
          <c:order val="61"/>
          <c:tx>
            <c:strRef>
              <c:f>'Datos metrología'!$L$12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metrología'!$J$12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metrología'!$K$12</c:f>
              <c:numCache>
                <c:formatCode>General</c:formatCode>
                <c:ptCount val="1"/>
                <c:pt idx="0">
                  <c:v>-2.6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3A7A-416E-A90E-50AA9713271E}"/>
            </c:ext>
          </c:extLst>
        </c:ser>
        <c:ser>
          <c:idx val="62"/>
          <c:order val="62"/>
          <c:tx>
            <c:strRef>
              <c:f>'Datos metrología'!$L$13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metrología'!$J$13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metrología'!$K$13</c:f>
              <c:numCache>
                <c:formatCode>General</c:formatCode>
                <c:ptCount val="1"/>
                <c:pt idx="0">
                  <c:v>-2.6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3A7A-416E-A90E-50AA9713271E}"/>
            </c:ext>
          </c:extLst>
        </c:ser>
        <c:ser>
          <c:idx val="63"/>
          <c:order val="63"/>
          <c:tx>
            <c:strRef>
              <c:f>'Datos metrología'!$L$14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metrología'!$J$14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metrología'!$K$14</c:f>
              <c:numCache>
                <c:formatCode>General</c:formatCode>
                <c:ptCount val="1"/>
                <c:pt idx="0">
                  <c:v>-2.6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3A7A-416E-A90E-50AA97132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1"/>
          <c:min val="-1"/>
        </c:scaling>
        <c:delete val="1"/>
        <c:axPos val="b"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4"/>
          <c:min val="-3.4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EC"/>
              <a:t>Micrómetro: vaina con línea de referencia (izquierda) y tambor (derecha)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trazo</c:v>
          </c:tx>
          <c:spPr>
            <a:ln w="15875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'Datos metrología'!$AK$4:$AK$17</c:f>
              <c:numCache>
                <c:formatCode>General</c:formatCode>
                <c:ptCount val="14"/>
                <c:pt idx="0">
                  <c:v>-1</c:v>
                </c:pt>
                <c:pt idx="1">
                  <c:v>48.4</c:v>
                </c:pt>
                <c:pt idx="3">
                  <c:v>-1</c:v>
                </c:pt>
                <c:pt idx="4">
                  <c:v>48.4</c:v>
                </c:pt>
                <c:pt idx="6">
                  <c:v>-1</c:v>
                </c:pt>
                <c:pt idx="7">
                  <c:v>48.4</c:v>
                </c:pt>
                <c:pt idx="9">
                  <c:v>48.4</c:v>
                </c:pt>
                <c:pt idx="10">
                  <c:v>48.4</c:v>
                </c:pt>
                <c:pt idx="11">
                  <c:v>57.4</c:v>
                </c:pt>
                <c:pt idx="12">
                  <c:v>57.4</c:v>
                </c:pt>
                <c:pt idx="13">
                  <c:v>48.4</c:v>
                </c:pt>
              </c:numCache>
            </c:numRef>
          </c:xVal>
          <c:yVal>
            <c:numRef>
              <c:f>'Datos metrología'!$AL$4:$AL$17</c:f>
              <c:numCache>
                <c:formatCode>General</c:formatCode>
                <c:ptCount val="14"/>
                <c:pt idx="0">
                  <c:v>-2.4</c:v>
                </c:pt>
                <c:pt idx="1">
                  <c:v>-2.4</c:v>
                </c:pt>
                <c:pt idx="3">
                  <c:v>6.3</c:v>
                </c:pt>
                <c:pt idx="4">
                  <c:v>6.3</c:v>
                </c:pt>
                <c:pt idx="6">
                  <c:v>0</c:v>
                </c:pt>
                <c:pt idx="7">
                  <c:v>0</c:v>
                </c:pt>
                <c:pt idx="9">
                  <c:v>-7.6</c:v>
                </c:pt>
                <c:pt idx="10">
                  <c:v>7.6</c:v>
                </c:pt>
                <c:pt idx="11">
                  <c:v>7.6</c:v>
                </c:pt>
                <c:pt idx="12">
                  <c:v>-7.6</c:v>
                </c:pt>
                <c:pt idx="13">
                  <c:v>-7.6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67-45E5-AE83-F11D92C9B529}"/>
            </c:ext>
          </c:extLst>
        </c:ser>
        <c:ser>
          <c:idx val="1"/>
          <c:order val="1"/>
          <c:tx>
            <c:v>trazo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'Datos metrología'!$P$4:$P$156</c:f>
              <c:numCache>
                <c:formatCode>General</c:formatCode>
                <c:ptCount val="153"/>
                <c:pt idx="0">
                  <c:v>0</c:v>
                </c:pt>
                <c:pt idx="1">
                  <c:v>0</c:v>
                </c:pt>
                <c:pt idx="3">
                  <c:v>1</c:v>
                </c:pt>
                <c:pt idx="4">
                  <c:v>1</c:v>
                </c:pt>
                <c:pt idx="6">
                  <c:v>2</c:v>
                </c:pt>
                <c:pt idx="7">
                  <c:v>2</c:v>
                </c:pt>
                <c:pt idx="9">
                  <c:v>3</c:v>
                </c:pt>
                <c:pt idx="10">
                  <c:v>3</c:v>
                </c:pt>
                <c:pt idx="12">
                  <c:v>4</c:v>
                </c:pt>
                <c:pt idx="13">
                  <c:v>4</c:v>
                </c:pt>
                <c:pt idx="15">
                  <c:v>5</c:v>
                </c:pt>
                <c:pt idx="16">
                  <c:v>5</c:v>
                </c:pt>
                <c:pt idx="18">
                  <c:v>6</c:v>
                </c:pt>
                <c:pt idx="19">
                  <c:v>6</c:v>
                </c:pt>
                <c:pt idx="21">
                  <c:v>7</c:v>
                </c:pt>
                <c:pt idx="22">
                  <c:v>7</c:v>
                </c:pt>
                <c:pt idx="24">
                  <c:v>8</c:v>
                </c:pt>
                <c:pt idx="25">
                  <c:v>8</c:v>
                </c:pt>
                <c:pt idx="27">
                  <c:v>9</c:v>
                </c:pt>
                <c:pt idx="28">
                  <c:v>9</c:v>
                </c:pt>
                <c:pt idx="30">
                  <c:v>10</c:v>
                </c:pt>
                <c:pt idx="31">
                  <c:v>10</c:v>
                </c:pt>
                <c:pt idx="33">
                  <c:v>11</c:v>
                </c:pt>
                <c:pt idx="34">
                  <c:v>11</c:v>
                </c:pt>
                <c:pt idx="36">
                  <c:v>12</c:v>
                </c:pt>
                <c:pt idx="37">
                  <c:v>12</c:v>
                </c:pt>
                <c:pt idx="39">
                  <c:v>13</c:v>
                </c:pt>
                <c:pt idx="40">
                  <c:v>13</c:v>
                </c:pt>
                <c:pt idx="42">
                  <c:v>14</c:v>
                </c:pt>
                <c:pt idx="43">
                  <c:v>14</c:v>
                </c:pt>
                <c:pt idx="45">
                  <c:v>15</c:v>
                </c:pt>
                <c:pt idx="46">
                  <c:v>15</c:v>
                </c:pt>
                <c:pt idx="48">
                  <c:v>16</c:v>
                </c:pt>
                <c:pt idx="49">
                  <c:v>16</c:v>
                </c:pt>
                <c:pt idx="51">
                  <c:v>17</c:v>
                </c:pt>
                <c:pt idx="52">
                  <c:v>17</c:v>
                </c:pt>
                <c:pt idx="54">
                  <c:v>18</c:v>
                </c:pt>
                <c:pt idx="55">
                  <c:v>18</c:v>
                </c:pt>
                <c:pt idx="57">
                  <c:v>19</c:v>
                </c:pt>
                <c:pt idx="58">
                  <c:v>19</c:v>
                </c:pt>
                <c:pt idx="60">
                  <c:v>20</c:v>
                </c:pt>
                <c:pt idx="61">
                  <c:v>20</c:v>
                </c:pt>
                <c:pt idx="63">
                  <c:v>21</c:v>
                </c:pt>
                <c:pt idx="64">
                  <c:v>21</c:v>
                </c:pt>
                <c:pt idx="66">
                  <c:v>22</c:v>
                </c:pt>
                <c:pt idx="67">
                  <c:v>22</c:v>
                </c:pt>
                <c:pt idx="69">
                  <c:v>23</c:v>
                </c:pt>
                <c:pt idx="70">
                  <c:v>23</c:v>
                </c:pt>
                <c:pt idx="72">
                  <c:v>24</c:v>
                </c:pt>
                <c:pt idx="73">
                  <c:v>24</c:v>
                </c:pt>
                <c:pt idx="75">
                  <c:v>25</c:v>
                </c:pt>
                <c:pt idx="76">
                  <c:v>25</c:v>
                </c:pt>
                <c:pt idx="78">
                  <c:v>26</c:v>
                </c:pt>
                <c:pt idx="79">
                  <c:v>26</c:v>
                </c:pt>
                <c:pt idx="81">
                  <c:v>27</c:v>
                </c:pt>
                <c:pt idx="82">
                  <c:v>27</c:v>
                </c:pt>
                <c:pt idx="84">
                  <c:v>28</c:v>
                </c:pt>
                <c:pt idx="85">
                  <c:v>28</c:v>
                </c:pt>
                <c:pt idx="87">
                  <c:v>29</c:v>
                </c:pt>
                <c:pt idx="88">
                  <c:v>29</c:v>
                </c:pt>
                <c:pt idx="90">
                  <c:v>30</c:v>
                </c:pt>
                <c:pt idx="91">
                  <c:v>30</c:v>
                </c:pt>
                <c:pt idx="93">
                  <c:v>31</c:v>
                </c:pt>
                <c:pt idx="94">
                  <c:v>31</c:v>
                </c:pt>
                <c:pt idx="96">
                  <c:v>32</c:v>
                </c:pt>
                <c:pt idx="97">
                  <c:v>32</c:v>
                </c:pt>
                <c:pt idx="99">
                  <c:v>33</c:v>
                </c:pt>
                <c:pt idx="100">
                  <c:v>33</c:v>
                </c:pt>
                <c:pt idx="102">
                  <c:v>34</c:v>
                </c:pt>
                <c:pt idx="103">
                  <c:v>34</c:v>
                </c:pt>
                <c:pt idx="105">
                  <c:v>35</c:v>
                </c:pt>
                <c:pt idx="106">
                  <c:v>35</c:v>
                </c:pt>
                <c:pt idx="108">
                  <c:v>36</c:v>
                </c:pt>
                <c:pt idx="109">
                  <c:v>36</c:v>
                </c:pt>
                <c:pt idx="111">
                  <c:v>37</c:v>
                </c:pt>
                <c:pt idx="112">
                  <c:v>37</c:v>
                </c:pt>
                <c:pt idx="114">
                  <c:v>38</c:v>
                </c:pt>
                <c:pt idx="115">
                  <c:v>38</c:v>
                </c:pt>
                <c:pt idx="117">
                  <c:v>39</c:v>
                </c:pt>
                <c:pt idx="118">
                  <c:v>39</c:v>
                </c:pt>
                <c:pt idx="120">
                  <c:v>40</c:v>
                </c:pt>
                <c:pt idx="121">
                  <c:v>40</c:v>
                </c:pt>
                <c:pt idx="123">
                  <c:v>41</c:v>
                </c:pt>
                <c:pt idx="124">
                  <c:v>41</c:v>
                </c:pt>
                <c:pt idx="126">
                  <c:v>42</c:v>
                </c:pt>
                <c:pt idx="127">
                  <c:v>42</c:v>
                </c:pt>
                <c:pt idx="129">
                  <c:v>43</c:v>
                </c:pt>
                <c:pt idx="130">
                  <c:v>43</c:v>
                </c:pt>
                <c:pt idx="132">
                  <c:v>44</c:v>
                </c:pt>
                <c:pt idx="133">
                  <c:v>44</c:v>
                </c:pt>
                <c:pt idx="135">
                  <c:v>45</c:v>
                </c:pt>
                <c:pt idx="136">
                  <c:v>45</c:v>
                </c:pt>
                <c:pt idx="138">
                  <c:v>46</c:v>
                </c:pt>
                <c:pt idx="139">
                  <c:v>46</c:v>
                </c:pt>
                <c:pt idx="141">
                  <c:v>47</c:v>
                </c:pt>
                <c:pt idx="142">
                  <c:v>47</c:v>
                </c:pt>
                <c:pt idx="144">
                  <c:v>48</c:v>
                </c:pt>
                <c:pt idx="145">
                  <c:v>48</c:v>
                </c:pt>
                <c:pt idx="147">
                  <c:v>-50</c:v>
                </c:pt>
                <c:pt idx="148">
                  <c:v>-50</c:v>
                </c:pt>
                <c:pt idx="150">
                  <c:v>-50</c:v>
                </c:pt>
                <c:pt idx="151">
                  <c:v>-50</c:v>
                </c:pt>
              </c:numCache>
            </c:numRef>
          </c:xVal>
          <c:yVal>
            <c:numRef>
              <c:f>'Datos metrología'!$Q$4:$Q$156</c:f>
              <c:numCache>
                <c:formatCode>General</c:formatCode>
                <c:ptCount val="153"/>
                <c:pt idx="0">
                  <c:v>0</c:v>
                </c:pt>
                <c:pt idx="1">
                  <c:v>1.6</c:v>
                </c:pt>
                <c:pt idx="3">
                  <c:v>0</c:v>
                </c:pt>
                <c:pt idx="4">
                  <c:v>-1.1000000000000001</c:v>
                </c:pt>
                <c:pt idx="6">
                  <c:v>0</c:v>
                </c:pt>
                <c:pt idx="7">
                  <c:v>1</c:v>
                </c:pt>
                <c:pt idx="9">
                  <c:v>0</c:v>
                </c:pt>
                <c:pt idx="10">
                  <c:v>-1.1000000000000001</c:v>
                </c:pt>
                <c:pt idx="12">
                  <c:v>0</c:v>
                </c:pt>
                <c:pt idx="13">
                  <c:v>1</c:v>
                </c:pt>
                <c:pt idx="15">
                  <c:v>0</c:v>
                </c:pt>
                <c:pt idx="16">
                  <c:v>-1.1000000000000001</c:v>
                </c:pt>
                <c:pt idx="18">
                  <c:v>0</c:v>
                </c:pt>
                <c:pt idx="19">
                  <c:v>1</c:v>
                </c:pt>
                <c:pt idx="21">
                  <c:v>0</c:v>
                </c:pt>
                <c:pt idx="22">
                  <c:v>-1.1000000000000001</c:v>
                </c:pt>
                <c:pt idx="24">
                  <c:v>0</c:v>
                </c:pt>
                <c:pt idx="25">
                  <c:v>1</c:v>
                </c:pt>
                <c:pt idx="27">
                  <c:v>0</c:v>
                </c:pt>
                <c:pt idx="28">
                  <c:v>-1.1000000000000001</c:v>
                </c:pt>
                <c:pt idx="30">
                  <c:v>0</c:v>
                </c:pt>
                <c:pt idx="31">
                  <c:v>1.6</c:v>
                </c:pt>
                <c:pt idx="33">
                  <c:v>0</c:v>
                </c:pt>
                <c:pt idx="34">
                  <c:v>-1.1000000000000001</c:v>
                </c:pt>
                <c:pt idx="36">
                  <c:v>0</c:v>
                </c:pt>
                <c:pt idx="37">
                  <c:v>1</c:v>
                </c:pt>
                <c:pt idx="39">
                  <c:v>0</c:v>
                </c:pt>
                <c:pt idx="40">
                  <c:v>-1.1000000000000001</c:v>
                </c:pt>
                <c:pt idx="42">
                  <c:v>0</c:v>
                </c:pt>
                <c:pt idx="43">
                  <c:v>1</c:v>
                </c:pt>
                <c:pt idx="45">
                  <c:v>0</c:v>
                </c:pt>
                <c:pt idx="46">
                  <c:v>-1.1000000000000001</c:v>
                </c:pt>
                <c:pt idx="48">
                  <c:v>0</c:v>
                </c:pt>
                <c:pt idx="49">
                  <c:v>1</c:v>
                </c:pt>
                <c:pt idx="51">
                  <c:v>0</c:v>
                </c:pt>
                <c:pt idx="52">
                  <c:v>-1.1000000000000001</c:v>
                </c:pt>
                <c:pt idx="54">
                  <c:v>0</c:v>
                </c:pt>
                <c:pt idx="55">
                  <c:v>1</c:v>
                </c:pt>
                <c:pt idx="57">
                  <c:v>0</c:v>
                </c:pt>
                <c:pt idx="58">
                  <c:v>-1.1000000000000001</c:v>
                </c:pt>
                <c:pt idx="60">
                  <c:v>0</c:v>
                </c:pt>
                <c:pt idx="61">
                  <c:v>1.6</c:v>
                </c:pt>
                <c:pt idx="63">
                  <c:v>0</c:v>
                </c:pt>
                <c:pt idx="64">
                  <c:v>-1.1000000000000001</c:v>
                </c:pt>
                <c:pt idx="66">
                  <c:v>0</c:v>
                </c:pt>
                <c:pt idx="67">
                  <c:v>1</c:v>
                </c:pt>
                <c:pt idx="69">
                  <c:v>0</c:v>
                </c:pt>
                <c:pt idx="70">
                  <c:v>-1.1000000000000001</c:v>
                </c:pt>
                <c:pt idx="72">
                  <c:v>0</c:v>
                </c:pt>
                <c:pt idx="73">
                  <c:v>1</c:v>
                </c:pt>
                <c:pt idx="75">
                  <c:v>0</c:v>
                </c:pt>
                <c:pt idx="76">
                  <c:v>-1.1000000000000001</c:v>
                </c:pt>
                <c:pt idx="78">
                  <c:v>0</c:v>
                </c:pt>
                <c:pt idx="79">
                  <c:v>1</c:v>
                </c:pt>
                <c:pt idx="81">
                  <c:v>0</c:v>
                </c:pt>
                <c:pt idx="82">
                  <c:v>-1.1000000000000001</c:v>
                </c:pt>
                <c:pt idx="84">
                  <c:v>0</c:v>
                </c:pt>
                <c:pt idx="85">
                  <c:v>1</c:v>
                </c:pt>
                <c:pt idx="87">
                  <c:v>0</c:v>
                </c:pt>
                <c:pt idx="88">
                  <c:v>-1.1000000000000001</c:v>
                </c:pt>
                <c:pt idx="90">
                  <c:v>0</c:v>
                </c:pt>
                <c:pt idx="91">
                  <c:v>1.6</c:v>
                </c:pt>
                <c:pt idx="93">
                  <c:v>0</c:v>
                </c:pt>
                <c:pt idx="94">
                  <c:v>-1.1000000000000001</c:v>
                </c:pt>
                <c:pt idx="96">
                  <c:v>0</c:v>
                </c:pt>
                <c:pt idx="97">
                  <c:v>1</c:v>
                </c:pt>
                <c:pt idx="99">
                  <c:v>0</c:v>
                </c:pt>
                <c:pt idx="100">
                  <c:v>-1.1000000000000001</c:v>
                </c:pt>
                <c:pt idx="102">
                  <c:v>0</c:v>
                </c:pt>
                <c:pt idx="103">
                  <c:v>1</c:v>
                </c:pt>
                <c:pt idx="105">
                  <c:v>0</c:v>
                </c:pt>
                <c:pt idx="106">
                  <c:v>-1.1000000000000001</c:v>
                </c:pt>
                <c:pt idx="108">
                  <c:v>0</c:v>
                </c:pt>
                <c:pt idx="109">
                  <c:v>1</c:v>
                </c:pt>
                <c:pt idx="111">
                  <c:v>0</c:v>
                </c:pt>
                <c:pt idx="112">
                  <c:v>-1.1000000000000001</c:v>
                </c:pt>
                <c:pt idx="114">
                  <c:v>0</c:v>
                </c:pt>
                <c:pt idx="115">
                  <c:v>1</c:v>
                </c:pt>
                <c:pt idx="117">
                  <c:v>0</c:v>
                </c:pt>
                <c:pt idx="118">
                  <c:v>-1.1000000000000001</c:v>
                </c:pt>
                <c:pt idx="120">
                  <c:v>0</c:v>
                </c:pt>
                <c:pt idx="121">
                  <c:v>1.6</c:v>
                </c:pt>
                <c:pt idx="123">
                  <c:v>0</c:v>
                </c:pt>
                <c:pt idx="124">
                  <c:v>-1.1000000000000001</c:v>
                </c:pt>
                <c:pt idx="126">
                  <c:v>0</c:v>
                </c:pt>
                <c:pt idx="127">
                  <c:v>1</c:v>
                </c:pt>
                <c:pt idx="129">
                  <c:v>0</c:v>
                </c:pt>
                <c:pt idx="130">
                  <c:v>-1.1000000000000001</c:v>
                </c:pt>
                <c:pt idx="132">
                  <c:v>0</c:v>
                </c:pt>
                <c:pt idx="133">
                  <c:v>1</c:v>
                </c:pt>
                <c:pt idx="135">
                  <c:v>0</c:v>
                </c:pt>
                <c:pt idx="136">
                  <c:v>-1.1000000000000001</c:v>
                </c:pt>
                <c:pt idx="138">
                  <c:v>0</c:v>
                </c:pt>
                <c:pt idx="139">
                  <c:v>1</c:v>
                </c:pt>
                <c:pt idx="141">
                  <c:v>0</c:v>
                </c:pt>
                <c:pt idx="142">
                  <c:v>-1.1000000000000001</c:v>
                </c:pt>
                <c:pt idx="144">
                  <c:v>0</c:v>
                </c:pt>
                <c:pt idx="145">
                  <c:v>1</c:v>
                </c:pt>
                <c:pt idx="147">
                  <c:v>0</c:v>
                </c:pt>
                <c:pt idx="148">
                  <c:v>-1.1000000000000001</c:v>
                </c:pt>
                <c:pt idx="150">
                  <c:v>0</c:v>
                </c:pt>
                <c:pt idx="151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67-45E5-AE83-F11D92C9B529}"/>
            </c:ext>
          </c:extLst>
        </c:ser>
        <c:ser>
          <c:idx val="2"/>
          <c:order val="2"/>
          <c:tx>
            <c:v>trazo</c:v>
          </c:tx>
          <c:spPr>
            <a:ln w="12700">
              <a:solidFill>
                <a:srgbClr val="1F4FD8"/>
              </a:solidFill>
              <a:prstDash val="solid"/>
            </a:ln>
          </c:spPr>
          <c:marker>
            <c:symbol val="none"/>
          </c:marker>
          <c:xVal>
            <c:numRef>
              <c:f>'Datos metrología'!$S$4:$S$75</c:f>
              <c:numCache>
                <c:formatCode>General</c:formatCode>
                <c:ptCount val="72"/>
                <c:pt idx="0">
                  <c:v>48.4</c:v>
                </c:pt>
                <c:pt idx="1">
                  <c:v>49.6</c:v>
                </c:pt>
                <c:pt idx="3">
                  <c:v>48.4</c:v>
                </c:pt>
                <c:pt idx="4">
                  <c:v>50.4</c:v>
                </c:pt>
                <c:pt idx="6">
                  <c:v>48.4</c:v>
                </c:pt>
                <c:pt idx="7">
                  <c:v>49.6</c:v>
                </c:pt>
                <c:pt idx="9">
                  <c:v>48.4</c:v>
                </c:pt>
                <c:pt idx="10">
                  <c:v>49.6</c:v>
                </c:pt>
                <c:pt idx="12">
                  <c:v>48.4</c:v>
                </c:pt>
                <c:pt idx="13">
                  <c:v>49.6</c:v>
                </c:pt>
                <c:pt idx="15">
                  <c:v>48.4</c:v>
                </c:pt>
                <c:pt idx="16">
                  <c:v>49.6</c:v>
                </c:pt>
                <c:pt idx="18">
                  <c:v>48.4</c:v>
                </c:pt>
                <c:pt idx="19">
                  <c:v>50.4</c:v>
                </c:pt>
                <c:pt idx="21">
                  <c:v>48.4</c:v>
                </c:pt>
                <c:pt idx="22">
                  <c:v>49.6</c:v>
                </c:pt>
                <c:pt idx="24">
                  <c:v>48.4</c:v>
                </c:pt>
                <c:pt idx="25">
                  <c:v>49.6</c:v>
                </c:pt>
                <c:pt idx="27">
                  <c:v>48.4</c:v>
                </c:pt>
                <c:pt idx="28">
                  <c:v>49.6</c:v>
                </c:pt>
                <c:pt idx="30">
                  <c:v>48.4</c:v>
                </c:pt>
                <c:pt idx="31">
                  <c:v>49.6</c:v>
                </c:pt>
                <c:pt idx="33">
                  <c:v>48.4</c:v>
                </c:pt>
                <c:pt idx="34">
                  <c:v>50.4</c:v>
                </c:pt>
                <c:pt idx="36">
                  <c:v>48.4</c:v>
                </c:pt>
                <c:pt idx="37">
                  <c:v>49.6</c:v>
                </c:pt>
                <c:pt idx="39">
                  <c:v>48.4</c:v>
                </c:pt>
                <c:pt idx="40">
                  <c:v>49.6</c:v>
                </c:pt>
                <c:pt idx="42">
                  <c:v>48.4</c:v>
                </c:pt>
                <c:pt idx="43">
                  <c:v>49.6</c:v>
                </c:pt>
                <c:pt idx="45">
                  <c:v>48.4</c:v>
                </c:pt>
                <c:pt idx="46">
                  <c:v>49.6</c:v>
                </c:pt>
                <c:pt idx="48">
                  <c:v>48.4</c:v>
                </c:pt>
                <c:pt idx="49">
                  <c:v>50.4</c:v>
                </c:pt>
                <c:pt idx="51">
                  <c:v>48.4</c:v>
                </c:pt>
                <c:pt idx="52">
                  <c:v>49.6</c:v>
                </c:pt>
                <c:pt idx="54">
                  <c:v>48.4</c:v>
                </c:pt>
                <c:pt idx="55">
                  <c:v>49.6</c:v>
                </c:pt>
                <c:pt idx="57">
                  <c:v>48.4</c:v>
                </c:pt>
                <c:pt idx="58">
                  <c:v>49.6</c:v>
                </c:pt>
                <c:pt idx="60">
                  <c:v>48.4</c:v>
                </c:pt>
                <c:pt idx="61">
                  <c:v>49.6</c:v>
                </c:pt>
                <c:pt idx="63">
                  <c:v>48.4</c:v>
                </c:pt>
                <c:pt idx="64">
                  <c:v>50.4</c:v>
                </c:pt>
                <c:pt idx="66">
                  <c:v>48.4</c:v>
                </c:pt>
                <c:pt idx="67">
                  <c:v>49.6</c:v>
                </c:pt>
                <c:pt idx="69">
                  <c:v>48.4</c:v>
                </c:pt>
                <c:pt idx="70">
                  <c:v>49.6</c:v>
                </c:pt>
              </c:numCache>
            </c:numRef>
          </c:xVal>
          <c:yVal>
            <c:numRef>
              <c:f>'Datos metrología'!$T$4:$T$75</c:f>
              <c:numCache>
                <c:formatCode>General</c:formatCode>
                <c:ptCount val="72"/>
                <c:pt idx="0">
                  <c:v>-6.6</c:v>
                </c:pt>
                <c:pt idx="1">
                  <c:v>-6.6</c:v>
                </c:pt>
                <c:pt idx="3">
                  <c:v>-6</c:v>
                </c:pt>
                <c:pt idx="4">
                  <c:v>-6</c:v>
                </c:pt>
                <c:pt idx="6">
                  <c:v>-5.3999999999999995</c:v>
                </c:pt>
                <c:pt idx="7">
                  <c:v>-5.3999999999999995</c:v>
                </c:pt>
                <c:pt idx="9">
                  <c:v>-4.8</c:v>
                </c:pt>
                <c:pt idx="10">
                  <c:v>-4.8</c:v>
                </c:pt>
                <c:pt idx="12">
                  <c:v>-4.2</c:v>
                </c:pt>
                <c:pt idx="13">
                  <c:v>-4.2</c:v>
                </c:pt>
                <c:pt idx="15">
                  <c:v>-3.5999999999999996</c:v>
                </c:pt>
                <c:pt idx="16">
                  <c:v>-3.5999999999999996</c:v>
                </c:pt>
                <c:pt idx="18">
                  <c:v>-3</c:v>
                </c:pt>
                <c:pt idx="19">
                  <c:v>-3</c:v>
                </c:pt>
                <c:pt idx="21">
                  <c:v>-2.4</c:v>
                </c:pt>
                <c:pt idx="22">
                  <c:v>-2.4</c:v>
                </c:pt>
                <c:pt idx="24">
                  <c:v>-1.7999999999999998</c:v>
                </c:pt>
                <c:pt idx="25">
                  <c:v>-1.7999999999999998</c:v>
                </c:pt>
                <c:pt idx="27">
                  <c:v>-1.2</c:v>
                </c:pt>
                <c:pt idx="28">
                  <c:v>-1.2</c:v>
                </c:pt>
                <c:pt idx="30">
                  <c:v>-0.6</c:v>
                </c:pt>
                <c:pt idx="31">
                  <c:v>-0.6</c:v>
                </c:pt>
                <c:pt idx="33">
                  <c:v>0</c:v>
                </c:pt>
                <c:pt idx="34">
                  <c:v>0</c:v>
                </c:pt>
                <c:pt idx="36">
                  <c:v>0.6</c:v>
                </c:pt>
                <c:pt idx="37">
                  <c:v>0.6</c:v>
                </c:pt>
                <c:pt idx="39">
                  <c:v>1.2</c:v>
                </c:pt>
                <c:pt idx="40">
                  <c:v>1.2</c:v>
                </c:pt>
                <c:pt idx="42">
                  <c:v>1.7999999999999998</c:v>
                </c:pt>
                <c:pt idx="43">
                  <c:v>1.7999999999999998</c:v>
                </c:pt>
                <c:pt idx="45">
                  <c:v>2.4</c:v>
                </c:pt>
                <c:pt idx="46">
                  <c:v>2.4</c:v>
                </c:pt>
                <c:pt idx="48">
                  <c:v>3</c:v>
                </c:pt>
                <c:pt idx="49">
                  <c:v>3</c:v>
                </c:pt>
                <c:pt idx="51">
                  <c:v>3.5999999999999996</c:v>
                </c:pt>
                <c:pt idx="52">
                  <c:v>3.5999999999999996</c:v>
                </c:pt>
                <c:pt idx="54">
                  <c:v>4.2</c:v>
                </c:pt>
                <c:pt idx="55">
                  <c:v>4.2</c:v>
                </c:pt>
                <c:pt idx="57">
                  <c:v>4.8</c:v>
                </c:pt>
                <c:pt idx="58">
                  <c:v>4.8</c:v>
                </c:pt>
                <c:pt idx="60">
                  <c:v>5.3999999999999995</c:v>
                </c:pt>
                <c:pt idx="61">
                  <c:v>5.3999999999999995</c:v>
                </c:pt>
                <c:pt idx="63">
                  <c:v>6</c:v>
                </c:pt>
                <c:pt idx="64">
                  <c:v>6</c:v>
                </c:pt>
                <c:pt idx="66">
                  <c:v>6.6</c:v>
                </c:pt>
                <c:pt idx="67">
                  <c:v>6.6</c:v>
                </c:pt>
                <c:pt idx="69">
                  <c:v>7.1999999999999993</c:v>
                </c:pt>
                <c:pt idx="70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67-45E5-AE83-F11D92C9B529}"/>
            </c:ext>
          </c:extLst>
        </c:ser>
        <c:ser>
          <c:idx val="3"/>
          <c:order val="3"/>
          <c:tx>
            <c:v>trazo</c:v>
          </c:tx>
          <c:spPr>
            <a:ln w="12700">
              <a:solidFill>
                <a:srgbClr val="D7301F"/>
              </a:solidFill>
              <a:prstDash val="solid"/>
            </a:ln>
          </c:spPr>
          <c:marker>
            <c:symbol val="none"/>
          </c:marker>
          <c:xVal>
            <c:numRef>
              <c:f>'Datos metrología'!$AD$4:$AD$36</c:f>
              <c:numCache>
                <c:formatCode>General</c:formatCode>
                <c:ptCount val="33"/>
                <c:pt idx="0">
                  <c:v>-50</c:v>
                </c:pt>
                <c:pt idx="1">
                  <c:v>-50</c:v>
                </c:pt>
                <c:pt idx="3">
                  <c:v>-50</c:v>
                </c:pt>
                <c:pt idx="4">
                  <c:v>-50</c:v>
                </c:pt>
                <c:pt idx="6">
                  <c:v>-50</c:v>
                </c:pt>
                <c:pt idx="7">
                  <c:v>-50</c:v>
                </c:pt>
                <c:pt idx="9">
                  <c:v>-50</c:v>
                </c:pt>
                <c:pt idx="10">
                  <c:v>-50</c:v>
                </c:pt>
                <c:pt idx="12">
                  <c:v>-50</c:v>
                </c:pt>
                <c:pt idx="13">
                  <c:v>-50</c:v>
                </c:pt>
                <c:pt idx="15">
                  <c:v>-50</c:v>
                </c:pt>
                <c:pt idx="16">
                  <c:v>-50</c:v>
                </c:pt>
                <c:pt idx="18">
                  <c:v>-50</c:v>
                </c:pt>
                <c:pt idx="19">
                  <c:v>-50</c:v>
                </c:pt>
                <c:pt idx="21">
                  <c:v>-50</c:v>
                </c:pt>
                <c:pt idx="22">
                  <c:v>-50</c:v>
                </c:pt>
                <c:pt idx="24">
                  <c:v>-50</c:v>
                </c:pt>
                <c:pt idx="25">
                  <c:v>-50</c:v>
                </c:pt>
                <c:pt idx="27">
                  <c:v>-50</c:v>
                </c:pt>
                <c:pt idx="28">
                  <c:v>-50</c:v>
                </c:pt>
                <c:pt idx="30">
                  <c:v>-50</c:v>
                </c:pt>
                <c:pt idx="31">
                  <c:v>-50</c:v>
                </c:pt>
              </c:numCache>
            </c:numRef>
          </c:xVal>
          <c:yVal>
            <c:numRef>
              <c:f>'Datos metrología'!$AE$4:$AE$36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67-45E5-AE83-F11D92C9B529}"/>
            </c:ext>
          </c:extLst>
        </c:ser>
        <c:ser>
          <c:idx val="4"/>
          <c:order val="4"/>
          <c:tx>
            <c:strRef>
              <c:f>'Datos metrología'!$X$4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metrología'!$V$4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metrología'!$W$4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67-45E5-AE83-F11D92C9B529}"/>
            </c:ext>
          </c:extLst>
        </c:ser>
        <c:ser>
          <c:idx val="5"/>
          <c:order val="5"/>
          <c:tx>
            <c:strRef>
              <c:f>'Datos metrología'!$X$5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metrología'!$V$5</c:f>
              <c:numCache>
                <c:formatCode>General</c:formatCode>
                <c:ptCount val="1"/>
                <c:pt idx="0">
                  <c:v>51.699999999999996</c:v>
                </c:pt>
              </c:numCache>
            </c:numRef>
          </c:xVal>
          <c:yVal>
            <c:numRef>
              <c:f>'Datos metrología'!$W$5</c:f>
              <c:numCache>
                <c:formatCode>General</c:formatCode>
                <c:ptCount val="1"/>
                <c:pt idx="0">
                  <c:v>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67-45E5-AE83-F11D92C9B529}"/>
            </c:ext>
          </c:extLst>
        </c:ser>
        <c:ser>
          <c:idx val="6"/>
          <c:order val="6"/>
          <c:tx>
            <c:strRef>
              <c:f>'Datos metrología'!$X$6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metrología'!$V$6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metrología'!$W$6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D67-45E5-AE83-F11D92C9B529}"/>
            </c:ext>
          </c:extLst>
        </c:ser>
        <c:ser>
          <c:idx val="7"/>
          <c:order val="7"/>
          <c:tx>
            <c:strRef>
              <c:f>'Datos metrología'!$X$7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metrología'!$V$7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metrología'!$W$7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D67-45E5-AE83-F11D92C9B529}"/>
            </c:ext>
          </c:extLst>
        </c:ser>
        <c:ser>
          <c:idx val="8"/>
          <c:order val="8"/>
          <c:tx>
            <c:strRef>
              <c:f>'Datos metrología'!$X$8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metrología'!$V$8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metrología'!$W$8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D67-45E5-AE83-F11D92C9B529}"/>
            </c:ext>
          </c:extLst>
        </c:ser>
        <c:ser>
          <c:idx val="9"/>
          <c:order val="9"/>
          <c:tx>
            <c:strRef>
              <c:f>'Datos metrología'!$X$9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metrología'!$V$9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metrología'!$W$9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D67-45E5-AE83-F11D92C9B529}"/>
            </c:ext>
          </c:extLst>
        </c:ser>
        <c:ser>
          <c:idx val="10"/>
          <c:order val="10"/>
          <c:tx>
            <c:strRef>
              <c:f>'Datos metrología'!$X$10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metrología'!$V$10</c:f>
              <c:numCache>
                <c:formatCode>General</c:formatCode>
                <c:ptCount val="1"/>
                <c:pt idx="0">
                  <c:v>51.699999999999996</c:v>
                </c:pt>
              </c:numCache>
            </c:numRef>
          </c:xVal>
          <c:yVal>
            <c:numRef>
              <c:f>'Datos metrología'!$W$10</c:f>
              <c:numCache>
                <c:formatCode>General</c:formatCode>
                <c:ptCount val="1"/>
                <c:pt idx="0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D67-45E5-AE83-F11D92C9B529}"/>
            </c:ext>
          </c:extLst>
        </c:ser>
        <c:ser>
          <c:idx val="11"/>
          <c:order val="11"/>
          <c:tx>
            <c:strRef>
              <c:f>'Datos metrología'!$X$11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metrología'!$V$11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metrología'!$W$11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D67-45E5-AE83-F11D92C9B529}"/>
            </c:ext>
          </c:extLst>
        </c:ser>
        <c:ser>
          <c:idx val="12"/>
          <c:order val="12"/>
          <c:tx>
            <c:strRef>
              <c:f>'Datos metrología'!$X$12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metrología'!$V$12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metrología'!$W$12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D67-45E5-AE83-F11D92C9B529}"/>
            </c:ext>
          </c:extLst>
        </c:ser>
        <c:ser>
          <c:idx val="13"/>
          <c:order val="13"/>
          <c:tx>
            <c:strRef>
              <c:f>'Datos metrología'!$X$13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metrología'!$V$13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metrología'!$W$13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D67-45E5-AE83-F11D92C9B529}"/>
            </c:ext>
          </c:extLst>
        </c:ser>
        <c:ser>
          <c:idx val="14"/>
          <c:order val="14"/>
          <c:tx>
            <c:strRef>
              <c:f>'Datos metrología'!$X$14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metrología'!$V$14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metrología'!$W$14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D67-45E5-AE83-F11D92C9B529}"/>
            </c:ext>
          </c:extLst>
        </c:ser>
        <c:ser>
          <c:idx val="15"/>
          <c:order val="15"/>
          <c:tx>
            <c:strRef>
              <c:f>'Datos metrología'!$X$15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metrología'!$V$15</c:f>
              <c:numCache>
                <c:formatCode>General</c:formatCode>
                <c:ptCount val="1"/>
                <c:pt idx="0">
                  <c:v>51.699999999999996</c:v>
                </c:pt>
              </c:numCache>
            </c:numRef>
          </c:xVal>
          <c:yVal>
            <c:numRef>
              <c:f>'Datos metrología'!$W$15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D67-45E5-AE83-F11D92C9B529}"/>
            </c:ext>
          </c:extLst>
        </c:ser>
        <c:ser>
          <c:idx val="16"/>
          <c:order val="16"/>
          <c:tx>
            <c:strRef>
              <c:f>'Datos metrología'!$X$16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metrología'!$V$16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metrología'!$W$16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D67-45E5-AE83-F11D92C9B529}"/>
            </c:ext>
          </c:extLst>
        </c:ser>
        <c:ser>
          <c:idx val="17"/>
          <c:order val="17"/>
          <c:tx>
            <c:strRef>
              <c:f>'Datos metrología'!$X$17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metrología'!$V$17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metrología'!$W$17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D67-45E5-AE83-F11D92C9B529}"/>
            </c:ext>
          </c:extLst>
        </c:ser>
        <c:ser>
          <c:idx val="18"/>
          <c:order val="18"/>
          <c:tx>
            <c:strRef>
              <c:f>'Datos metrología'!$X$18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metrología'!$V$18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metrología'!$W$18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D67-45E5-AE83-F11D92C9B529}"/>
            </c:ext>
          </c:extLst>
        </c:ser>
        <c:ser>
          <c:idx val="19"/>
          <c:order val="19"/>
          <c:tx>
            <c:strRef>
              <c:f>'Datos metrología'!$X$19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metrología'!$V$19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metrología'!$W$19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D67-45E5-AE83-F11D92C9B529}"/>
            </c:ext>
          </c:extLst>
        </c:ser>
        <c:ser>
          <c:idx val="20"/>
          <c:order val="20"/>
          <c:tx>
            <c:strRef>
              <c:f>'Datos metrología'!$X$20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metrología'!$V$20</c:f>
              <c:numCache>
                <c:formatCode>General</c:formatCode>
                <c:ptCount val="1"/>
                <c:pt idx="0">
                  <c:v>51.699999999999996</c:v>
                </c:pt>
              </c:numCache>
            </c:numRef>
          </c:xVal>
          <c:yVal>
            <c:numRef>
              <c:f>'Datos metrología'!$W$20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D67-45E5-AE83-F11D92C9B529}"/>
            </c:ext>
          </c:extLst>
        </c:ser>
        <c:ser>
          <c:idx val="21"/>
          <c:order val="21"/>
          <c:tx>
            <c:strRef>
              <c:f>'Datos metrología'!$X$21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metrología'!$V$21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metrología'!$W$21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D67-45E5-AE83-F11D92C9B529}"/>
            </c:ext>
          </c:extLst>
        </c:ser>
        <c:ser>
          <c:idx val="22"/>
          <c:order val="22"/>
          <c:tx>
            <c:strRef>
              <c:f>'Datos metrología'!$X$22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metrología'!$V$22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metrología'!$W$22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D67-45E5-AE83-F11D92C9B529}"/>
            </c:ext>
          </c:extLst>
        </c:ser>
        <c:ser>
          <c:idx val="23"/>
          <c:order val="23"/>
          <c:tx>
            <c:strRef>
              <c:f>'Datos metrología'!$X$23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metrología'!$V$23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metrología'!$W$23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D67-45E5-AE83-F11D92C9B529}"/>
            </c:ext>
          </c:extLst>
        </c:ser>
        <c:ser>
          <c:idx val="24"/>
          <c:order val="24"/>
          <c:tx>
            <c:strRef>
              <c:f>'Datos metrología'!$X$24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metrología'!$V$24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metrología'!$W$24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D67-45E5-AE83-F11D92C9B529}"/>
            </c:ext>
          </c:extLst>
        </c:ser>
        <c:ser>
          <c:idx val="25"/>
          <c:order val="25"/>
          <c:tx>
            <c:strRef>
              <c:f>'Datos metrología'!$X$25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metrología'!$V$25</c:f>
              <c:numCache>
                <c:formatCode>General</c:formatCode>
                <c:ptCount val="1"/>
                <c:pt idx="0">
                  <c:v>51.699999999999996</c:v>
                </c:pt>
              </c:numCache>
            </c:numRef>
          </c:xVal>
          <c:yVal>
            <c:numRef>
              <c:f>'Datos metrología'!$W$25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D67-45E5-AE83-F11D92C9B529}"/>
            </c:ext>
          </c:extLst>
        </c:ser>
        <c:ser>
          <c:idx val="26"/>
          <c:order val="26"/>
          <c:tx>
            <c:strRef>
              <c:f>'Datos metrología'!$X$26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metrología'!$V$26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metrología'!$W$26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D67-45E5-AE83-F11D92C9B529}"/>
            </c:ext>
          </c:extLst>
        </c:ser>
        <c:ser>
          <c:idx val="27"/>
          <c:order val="27"/>
          <c:tx>
            <c:strRef>
              <c:f>'Datos metrología'!$X$27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metrología'!$V$27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metrología'!$W$27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D67-45E5-AE83-F11D92C9B529}"/>
            </c:ext>
          </c:extLst>
        </c:ser>
        <c:ser>
          <c:idx val="28"/>
          <c:order val="28"/>
          <c:tx>
            <c:strRef>
              <c:f>'Datos metrología'!$AB$4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metrología'!$Z$4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'Datos metrología'!$AA$4</c:f>
              <c:numCache>
                <c:formatCode>General</c:formatCode>
                <c:ptCount val="1"/>
                <c:pt idx="0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D67-45E5-AE83-F11D92C9B529}"/>
            </c:ext>
          </c:extLst>
        </c:ser>
        <c:ser>
          <c:idx val="29"/>
          <c:order val="29"/>
          <c:tx>
            <c:strRef>
              <c:f>'Datos metrología'!$AB$5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metrología'!$Z$5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'Datos metrología'!$AA$5</c:f>
              <c:numCache>
                <c:formatCode>General</c:formatCode>
                <c:ptCount val="1"/>
                <c:pt idx="0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D67-45E5-AE83-F11D92C9B529}"/>
            </c:ext>
          </c:extLst>
        </c:ser>
        <c:ser>
          <c:idx val="30"/>
          <c:order val="30"/>
          <c:tx>
            <c:strRef>
              <c:f>'Datos metrología'!$AB$6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metrología'!$Z$6</c:f>
              <c:numCache>
                <c:formatCode>General</c:formatCode>
                <c:ptCount val="1"/>
                <c:pt idx="0">
                  <c:v>20</c:v>
                </c:pt>
              </c:numCache>
            </c:numRef>
          </c:xVal>
          <c:yVal>
            <c:numRef>
              <c:f>'Datos metrología'!$AA$6</c:f>
              <c:numCache>
                <c:formatCode>General</c:formatCode>
                <c:ptCount val="1"/>
                <c:pt idx="0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BD67-45E5-AE83-F11D92C9B529}"/>
            </c:ext>
          </c:extLst>
        </c:ser>
        <c:ser>
          <c:idx val="31"/>
          <c:order val="31"/>
          <c:tx>
            <c:strRef>
              <c:f>'Datos metrología'!$AB$7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metrología'!$Z$7</c:f>
              <c:numCache>
                <c:formatCode>General</c:formatCode>
                <c:ptCount val="1"/>
                <c:pt idx="0">
                  <c:v>30</c:v>
                </c:pt>
              </c:numCache>
            </c:numRef>
          </c:xVal>
          <c:yVal>
            <c:numRef>
              <c:f>'Datos metrología'!$AA$7</c:f>
              <c:numCache>
                <c:formatCode>General</c:formatCode>
                <c:ptCount val="1"/>
                <c:pt idx="0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D67-45E5-AE83-F11D92C9B529}"/>
            </c:ext>
          </c:extLst>
        </c:ser>
        <c:ser>
          <c:idx val="32"/>
          <c:order val="32"/>
          <c:tx>
            <c:strRef>
              <c:f>'Datos metrología'!$AB$8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metrología'!$Z$8</c:f>
              <c:numCache>
                <c:formatCode>General</c:formatCode>
                <c:ptCount val="1"/>
                <c:pt idx="0">
                  <c:v>40</c:v>
                </c:pt>
              </c:numCache>
            </c:numRef>
          </c:xVal>
          <c:yVal>
            <c:numRef>
              <c:f>'Datos metrología'!$AA$8</c:f>
              <c:numCache>
                <c:formatCode>General</c:formatCode>
                <c:ptCount val="1"/>
                <c:pt idx="0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BD67-45E5-AE83-F11D92C9B529}"/>
            </c:ext>
          </c:extLst>
        </c:ser>
        <c:ser>
          <c:idx val="33"/>
          <c:order val="33"/>
          <c:tx>
            <c:strRef>
              <c:f>'Datos metrología'!$AB$9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metrología'!$Z$9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metrología'!$AA$9</c:f>
              <c:numCache>
                <c:formatCode>General</c:formatCode>
                <c:ptCount val="1"/>
                <c:pt idx="0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D67-45E5-AE83-F11D92C9B529}"/>
            </c:ext>
          </c:extLst>
        </c:ser>
        <c:ser>
          <c:idx val="34"/>
          <c:order val="34"/>
          <c:tx>
            <c:strRef>
              <c:f>'Datos metrología'!$AB$10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metrología'!$Z$10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metrología'!$AA$10</c:f>
              <c:numCache>
                <c:formatCode>General</c:formatCode>
                <c:ptCount val="1"/>
                <c:pt idx="0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BD67-45E5-AE83-F11D92C9B529}"/>
            </c:ext>
          </c:extLst>
        </c:ser>
        <c:ser>
          <c:idx val="35"/>
          <c:order val="35"/>
          <c:tx>
            <c:strRef>
              <c:f>'Datos metrología'!$AB$11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metrología'!$Z$11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metrología'!$AA$11</c:f>
              <c:numCache>
                <c:formatCode>General</c:formatCode>
                <c:ptCount val="1"/>
                <c:pt idx="0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BD67-45E5-AE83-F11D92C9B529}"/>
            </c:ext>
          </c:extLst>
        </c:ser>
        <c:ser>
          <c:idx val="36"/>
          <c:order val="36"/>
          <c:tx>
            <c:strRef>
              <c:f>'Datos metrología'!$AB$12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metrología'!$Z$12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metrología'!$AA$12</c:f>
              <c:numCache>
                <c:formatCode>General</c:formatCode>
                <c:ptCount val="1"/>
                <c:pt idx="0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BD67-45E5-AE83-F11D92C9B529}"/>
            </c:ext>
          </c:extLst>
        </c:ser>
        <c:ser>
          <c:idx val="37"/>
          <c:order val="37"/>
          <c:tx>
            <c:strRef>
              <c:f>'Datos metrología'!$AB$13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metrología'!$Z$13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metrología'!$AA$13</c:f>
              <c:numCache>
                <c:formatCode>General</c:formatCode>
                <c:ptCount val="1"/>
                <c:pt idx="0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BD67-45E5-AE83-F11D92C9B529}"/>
            </c:ext>
          </c:extLst>
        </c:ser>
        <c:ser>
          <c:idx val="38"/>
          <c:order val="38"/>
          <c:tx>
            <c:strRef>
              <c:f>'Datos metrología'!$AB$14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metrología'!$Z$14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metrología'!$AA$14</c:f>
              <c:numCache>
                <c:formatCode>General</c:formatCode>
                <c:ptCount val="1"/>
                <c:pt idx="0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BD67-45E5-AE83-F11D92C9B529}"/>
            </c:ext>
          </c:extLst>
        </c:ser>
        <c:ser>
          <c:idx val="39"/>
          <c:order val="39"/>
          <c:tx>
            <c:strRef>
              <c:f>'Datos metrología'!$AI$4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>
                    <a:solidFill>
                      <a:srgbClr val="D7301F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metrología'!$AG$4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metrología'!$AH$4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BD67-45E5-AE83-F11D92C9B529}"/>
            </c:ext>
          </c:extLst>
        </c:ser>
        <c:ser>
          <c:idx val="40"/>
          <c:order val="40"/>
          <c:tx>
            <c:strRef>
              <c:f>'Datos metrología'!$AI$5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>
                    <a:solidFill>
                      <a:srgbClr val="D7301F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metrología'!$AG$5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metrología'!$AH$5</c:f>
              <c:numCache>
                <c:formatCode>General</c:formatCode>
                <c:ptCount val="1"/>
                <c:pt idx="0">
                  <c:v>1.08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BD67-45E5-AE83-F11D92C9B529}"/>
            </c:ext>
          </c:extLst>
        </c:ser>
        <c:ser>
          <c:idx val="41"/>
          <c:order val="41"/>
          <c:tx>
            <c:strRef>
              <c:f>'Datos metrología'!$AI$6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>
                    <a:solidFill>
                      <a:srgbClr val="D7301F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metrología'!$AG$6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metrología'!$AH$6</c:f>
              <c:numCache>
                <c:formatCode>General</c:formatCode>
                <c:ptCount val="1"/>
                <c:pt idx="0">
                  <c:v>2.16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BD67-45E5-AE83-F11D92C9B529}"/>
            </c:ext>
          </c:extLst>
        </c:ser>
        <c:ser>
          <c:idx val="42"/>
          <c:order val="42"/>
          <c:tx>
            <c:strRef>
              <c:f>'Datos metrología'!$AI$7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>
                    <a:solidFill>
                      <a:srgbClr val="D7301F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metrología'!$AG$7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metrología'!$AH$7</c:f>
              <c:numCache>
                <c:formatCode>General</c:formatCode>
                <c:ptCount val="1"/>
                <c:pt idx="0">
                  <c:v>3.24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BD67-45E5-AE83-F11D92C9B529}"/>
            </c:ext>
          </c:extLst>
        </c:ser>
        <c:ser>
          <c:idx val="43"/>
          <c:order val="43"/>
          <c:tx>
            <c:strRef>
              <c:f>'Datos metrología'!$AI$8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>
                    <a:solidFill>
                      <a:srgbClr val="D7301F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metrología'!$AG$8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metrología'!$AH$8</c:f>
              <c:numCache>
                <c:formatCode>General</c:formatCode>
                <c:ptCount val="1"/>
                <c:pt idx="0">
                  <c:v>4.32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BD67-45E5-AE83-F11D92C9B529}"/>
            </c:ext>
          </c:extLst>
        </c:ser>
        <c:ser>
          <c:idx val="44"/>
          <c:order val="44"/>
          <c:tx>
            <c:strRef>
              <c:f>'Datos metrología'!$AI$9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>
                    <a:solidFill>
                      <a:srgbClr val="D7301F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metrología'!$AG$9</c:f>
              <c:numCache>
                <c:formatCode>General</c:formatCode>
                <c:ptCount val="1"/>
                <c:pt idx="0">
                  <c:v>-50</c:v>
                </c:pt>
              </c:numCache>
            </c:numRef>
          </c:xVal>
          <c:yVal>
            <c:numRef>
              <c:f>'Datos metrología'!$AH$9</c:f>
              <c:numCache>
                <c:formatCode>General</c:formatCode>
                <c:ptCount val="1"/>
                <c:pt idx="0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BD67-45E5-AE83-F11D92C9B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64"/>
          <c:min val="-2"/>
        </c:scaling>
        <c:delete val="1"/>
        <c:axPos val="b"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8.5"/>
          <c:min val="-8.5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EC"/>
              <a:t>Reloj comparador: aguja grande y cuentavueltas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06"/>
          <c:y val="0.1"/>
          <c:w val="0.88"/>
          <c:h val="0.88"/>
        </c:manualLayout>
      </c:layout>
      <c:scatterChart>
        <c:scatterStyle val="lineMarker"/>
        <c:varyColors val="0"/>
        <c:ser>
          <c:idx val="0"/>
          <c:order val="0"/>
          <c:tx>
            <c:v>trazo</c:v>
          </c:tx>
          <c:spPr>
            <a:ln w="28575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'Datos metrología'!$AQ$4:$AQ$124</c:f>
              <c:numCache>
                <c:formatCode>General</c:formatCode>
                <c:ptCount val="121"/>
                <c:pt idx="0">
                  <c:v>0</c:v>
                </c:pt>
                <c:pt idx="1">
                  <c:v>0.53382675367802712</c:v>
                </c:pt>
                <c:pt idx="2">
                  <c:v>1.0661903253300653</c:v>
                </c:pt>
                <c:pt idx="3">
                  <c:v>1.5956315434103547</c:v>
                </c:pt>
                <c:pt idx="4">
                  <c:v>2.1206992463411449</c:v>
                </c:pt>
                <c:pt idx="5">
                  <c:v>2.6399542600457115</c:v>
                </c:pt>
                <c:pt idx="6">
                  <c:v>3.1519733426244634</c:v>
                </c:pt>
                <c:pt idx="7">
                  <c:v>3.6553530853620626</c:v>
                </c:pt>
                <c:pt idx="8">
                  <c:v>4.1487137593731616</c:v>
                </c:pt>
                <c:pt idx="9">
                  <c:v>4.6307030973433765</c:v>
                </c:pt>
                <c:pt idx="10">
                  <c:v>5.0999999999999988</c:v>
                </c:pt>
                <c:pt idx="11">
                  <c:v>5.5553181571532759</c:v>
                </c:pt>
                <c:pt idx="12">
                  <c:v>5.9954095733832258</c:v>
                </c:pt>
                <c:pt idx="13">
                  <c:v>6.4190679887083411</c:v>
                </c:pt>
                <c:pt idx="14">
                  <c:v>6.8251321848603537</c:v>
                </c:pt>
                <c:pt idx="15">
                  <c:v>7.2124891681027838</c:v>
                </c:pt>
                <c:pt idx="16">
                  <c:v>7.5800772198694206</c:v>
                </c:pt>
                <c:pt idx="17">
                  <c:v>7.9268888068611023</c:v>
                </c:pt>
                <c:pt idx="18">
                  <c:v>8.2519733426244635</c:v>
                </c:pt>
                <c:pt idx="19">
                  <c:v>8.5544397930433256</c:v>
                </c:pt>
                <c:pt idx="20">
                  <c:v>8.8334591186012723</c:v>
                </c:pt>
                <c:pt idx="21">
                  <c:v>9.0882665467213499</c:v>
                </c:pt>
                <c:pt idx="22">
                  <c:v>9.3181636679545274</c:v>
                </c:pt>
                <c:pt idx="23">
                  <c:v>9.5225203502714564</c:v>
                </c:pt>
                <c:pt idx="24">
                  <c:v>9.7007764662105647</c:v>
                </c:pt>
                <c:pt idx="25">
                  <c:v>9.8524434281484954</c:v>
                </c:pt>
                <c:pt idx="26">
                  <c:v>9.9771055274848166</c:v>
                </c:pt>
                <c:pt idx="27">
                  <c:v>10.074421074070404</c:v>
                </c:pt>
                <c:pt idx="28">
                  <c:v>10.144123332756386</c:v>
                </c:pt>
                <c:pt idx="29">
                  <c:v>10.186021254496652</c:v>
                </c:pt>
                <c:pt idx="30">
                  <c:v>10.199999999999999</c:v>
                </c:pt>
                <c:pt idx="31">
                  <c:v>10.186021254496652</c:v>
                </c:pt>
                <c:pt idx="32">
                  <c:v>10.144123332756386</c:v>
                </c:pt>
                <c:pt idx="33">
                  <c:v>10.074421074070404</c:v>
                </c:pt>
                <c:pt idx="34">
                  <c:v>9.9771055274848166</c:v>
                </c:pt>
                <c:pt idx="35">
                  <c:v>9.8524434281484954</c:v>
                </c:pt>
                <c:pt idx="36">
                  <c:v>9.7007764662105664</c:v>
                </c:pt>
                <c:pt idx="37">
                  <c:v>9.5225203502714564</c:v>
                </c:pt>
                <c:pt idx="38">
                  <c:v>9.3181636679545274</c:v>
                </c:pt>
                <c:pt idx="39">
                  <c:v>9.0882665467213517</c:v>
                </c:pt>
                <c:pt idx="40">
                  <c:v>8.8334591186012741</c:v>
                </c:pt>
                <c:pt idx="41">
                  <c:v>8.5544397930433238</c:v>
                </c:pt>
                <c:pt idx="42">
                  <c:v>8.2519733426244635</c:v>
                </c:pt>
                <c:pt idx="43">
                  <c:v>7.9268888068611041</c:v>
                </c:pt>
                <c:pt idx="44">
                  <c:v>7.5800772198694206</c:v>
                </c:pt>
                <c:pt idx="45">
                  <c:v>7.2124891681027847</c:v>
                </c:pt>
                <c:pt idx="46">
                  <c:v>6.8251321848603546</c:v>
                </c:pt>
                <c:pt idx="47">
                  <c:v>6.4190679887083411</c:v>
                </c:pt>
                <c:pt idx="48">
                  <c:v>5.9954095733832267</c:v>
                </c:pt>
                <c:pt idx="49">
                  <c:v>5.5553181571532777</c:v>
                </c:pt>
                <c:pt idx="50">
                  <c:v>5.0999999999999988</c:v>
                </c:pt>
                <c:pt idx="51">
                  <c:v>4.6307030973433774</c:v>
                </c:pt>
                <c:pt idx="52">
                  <c:v>4.1487137593731642</c:v>
                </c:pt>
                <c:pt idx="53">
                  <c:v>3.6553530853620617</c:v>
                </c:pt>
                <c:pt idx="54">
                  <c:v>3.1519733426244643</c:v>
                </c:pt>
                <c:pt idx="55">
                  <c:v>2.6399542600457142</c:v>
                </c:pt>
                <c:pt idx="56">
                  <c:v>2.1206992463411449</c:v>
                </c:pt>
                <c:pt idx="57">
                  <c:v>1.5956315434103558</c:v>
                </c:pt>
                <c:pt idx="58">
                  <c:v>1.066190325330068</c:v>
                </c:pt>
                <c:pt idx="59">
                  <c:v>0.53382675367802679</c:v>
                </c:pt>
                <c:pt idx="60">
                  <c:v>1.2496514240067924E-15</c:v>
                </c:pt>
                <c:pt idx="61">
                  <c:v>-0.53382675367802424</c:v>
                </c:pt>
                <c:pt idx="62">
                  <c:v>-1.0661903253300655</c:v>
                </c:pt>
                <c:pt idx="63">
                  <c:v>-1.5956315434103534</c:v>
                </c:pt>
                <c:pt idx="64">
                  <c:v>-2.1206992463411467</c:v>
                </c:pt>
                <c:pt idx="65">
                  <c:v>-2.639954260045712</c:v>
                </c:pt>
                <c:pt idx="66">
                  <c:v>-3.151973342624462</c:v>
                </c:pt>
                <c:pt idx="67">
                  <c:v>-3.6553530853620644</c:v>
                </c:pt>
                <c:pt idx="68">
                  <c:v>-4.1487137593731616</c:v>
                </c:pt>
                <c:pt idx="69">
                  <c:v>-4.6307030973433756</c:v>
                </c:pt>
                <c:pt idx="70">
                  <c:v>-5.1000000000000005</c:v>
                </c:pt>
                <c:pt idx="71">
                  <c:v>-5.5553181571532759</c:v>
                </c:pt>
                <c:pt idx="72">
                  <c:v>-5.9954095733832249</c:v>
                </c:pt>
                <c:pt idx="73">
                  <c:v>-6.4190679887083428</c:v>
                </c:pt>
                <c:pt idx="74">
                  <c:v>-6.8251321848603537</c:v>
                </c:pt>
                <c:pt idx="75">
                  <c:v>-7.2124891681027838</c:v>
                </c:pt>
                <c:pt idx="76">
                  <c:v>-7.5800772198694215</c:v>
                </c:pt>
                <c:pt idx="77">
                  <c:v>-7.9268888068610996</c:v>
                </c:pt>
                <c:pt idx="78">
                  <c:v>-8.2519733426244617</c:v>
                </c:pt>
                <c:pt idx="79">
                  <c:v>-8.5544397930433256</c:v>
                </c:pt>
                <c:pt idx="80">
                  <c:v>-8.8334591186012705</c:v>
                </c:pt>
                <c:pt idx="81">
                  <c:v>-9.0882665467213499</c:v>
                </c:pt>
                <c:pt idx="82">
                  <c:v>-9.3181636679545292</c:v>
                </c:pt>
                <c:pt idx="83">
                  <c:v>-9.5225203502714564</c:v>
                </c:pt>
                <c:pt idx="84">
                  <c:v>-9.7007764662105647</c:v>
                </c:pt>
                <c:pt idx="85">
                  <c:v>-9.8524434281484954</c:v>
                </c:pt>
                <c:pt idx="86">
                  <c:v>-9.9771055274848166</c:v>
                </c:pt>
                <c:pt idx="87">
                  <c:v>-10.074421074070404</c:v>
                </c:pt>
                <c:pt idx="88">
                  <c:v>-10.144123332756388</c:v>
                </c:pt>
                <c:pt idx="89">
                  <c:v>-10.186021254496652</c:v>
                </c:pt>
                <c:pt idx="90">
                  <c:v>-10.199999999999999</c:v>
                </c:pt>
                <c:pt idx="91">
                  <c:v>-10.186021254496652</c:v>
                </c:pt>
                <c:pt idx="92">
                  <c:v>-10.144123332756388</c:v>
                </c:pt>
                <c:pt idx="93">
                  <c:v>-10.074421074070404</c:v>
                </c:pt>
                <c:pt idx="94">
                  <c:v>-9.9771055274848166</c:v>
                </c:pt>
                <c:pt idx="95">
                  <c:v>-9.8524434281484972</c:v>
                </c:pt>
                <c:pt idx="96">
                  <c:v>-9.7007764662105664</c:v>
                </c:pt>
                <c:pt idx="97">
                  <c:v>-9.5225203502714564</c:v>
                </c:pt>
                <c:pt idx="98">
                  <c:v>-9.318163667954531</c:v>
                </c:pt>
                <c:pt idx="99">
                  <c:v>-9.0882665467213517</c:v>
                </c:pt>
                <c:pt idx="100">
                  <c:v>-8.8334591186012723</c:v>
                </c:pt>
                <c:pt idx="101">
                  <c:v>-8.5544397930433274</c:v>
                </c:pt>
                <c:pt idx="102">
                  <c:v>-8.2519733426244652</c:v>
                </c:pt>
                <c:pt idx="103">
                  <c:v>-7.9268888068611014</c:v>
                </c:pt>
                <c:pt idx="104">
                  <c:v>-7.5800772198694242</c:v>
                </c:pt>
                <c:pt idx="105">
                  <c:v>-7.2124891681027856</c:v>
                </c:pt>
                <c:pt idx="106">
                  <c:v>-6.8251321848603528</c:v>
                </c:pt>
                <c:pt idx="107">
                  <c:v>-6.4190679887083455</c:v>
                </c:pt>
                <c:pt idx="108">
                  <c:v>-5.9954095733832276</c:v>
                </c:pt>
                <c:pt idx="109">
                  <c:v>-5.555318157153275</c:v>
                </c:pt>
                <c:pt idx="110">
                  <c:v>-5.1000000000000041</c:v>
                </c:pt>
                <c:pt idx="111">
                  <c:v>-4.6307030973433791</c:v>
                </c:pt>
                <c:pt idx="112">
                  <c:v>-4.1487137593731616</c:v>
                </c:pt>
                <c:pt idx="113">
                  <c:v>-3.6553530853620675</c:v>
                </c:pt>
                <c:pt idx="114">
                  <c:v>-3.1519733426244656</c:v>
                </c:pt>
                <c:pt idx="115">
                  <c:v>-2.6399542600457107</c:v>
                </c:pt>
                <c:pt idx="116">
                  <c:v>-2.1206992463411507</c:v>
                </c:pt>
                <c:pt idx="117">
                  <c:v>-1.5956315434103574</c:v>
                </c:pt>
                <c:pt idx="118">
                  <c:v>-1.0661903253300649</c:v>
                </c:pt>
                <c:pt idx="119">
                  <c:v>-0.53382675367803256</c:v>
                </c:pt>
                <c:pt idx="120">
                  <c:v>-2.4993028480135848E-15</c:v>
                </c:pt>
              </c:numCache>
            </c:numRef>
          </c:xVal>
          <c:yVal>
            <c:numRef>
              <c:f>'Datos metrología'!$AR$4:$AR$124</c:f>
              <c:numCache>
                <c:formatCode>General</c:formatCode>
                <c:ptCount val="121"/>
                <c:pt idx="0">
                  <c:v>10.199999999999999</c:v>
                </c:pt>
                <c:pt idx="1">
                  <c:v>10.186021254496652</c:v>
                </c:pt>
                <c:pt idx="2">
                  <c:v>10.144123332756386</c:v>
                </c:pt>
                <c:pt idx="3">
                  <c:v>10.074421074070404</c:v>
                </c:pt>
                <c:pt idx="4">
                  <c:v>9.9771055274848166</c:v>
                </c:pt>
                <c:pt idx="5">
                  <c:v>9.8524434281484954</c:v>
                </c:pt>
                <c:pt idx="6">
                  <c:v>9.7007764662105647</c:v>
                </c:pt>
                <c:pt idx="7">
                  <c:v>9.5225203502714564</c:v>
                </c:pt>
                <c:pt idx="8">
                  <c:v>9.3181636679545274</c:v>
                </c:pt>
                <c:pt idx="9">
                  <c:v>9.0882665467213517</c:v>
                </c:pt>
                <c:pt idx="10">
                  <c:v>8.8334591186012741</c:v>
                </c:pt>
                <c:pt idx="11">
                  <c:v>8.5544397930433256</c:v>
                </c:pt>
                <c:pt idx="12">
                  <c:v>8.2519733426244635</c:v>
                </c:pt>
                <c:pt idx="13">
                  <c:v>7.9268888068611023</c:v>
                </c:pt>
                <c:pt idx="14">
                  <c:v>7.5800772198694206</c:v>
                </c:pt>
                <c:pt idx="15">
                  <c:v>7.2124891681027847</c:v>
                </c:pt>
                <c:pt idx="16">
                  <c:v>6.8251321848603537</c:v>
                </c:pt>
                <c:pt idx="17">
                  <c:v>6.4190679887083419</c:v>
                </c:pt>
                <c:pt idx="18">
                  <c:v>5.9954095733832258</c:v>
                </c:pt>
                <c:pt idx="19">
                  <c:v>5.5553181571532759</c:v>
                </c:pt>
                <c:pt idx="20">
                  <c:v>5.1000000000000005</c:v>
                </c:pt>
                <c:pt idx="21">
                  <c:v>4.6307030973433774</c:v>
                </c:pt>
                <c:pt idx="22">
                  <c:v>4.1487137593731616</c:v>
                </c:pt>
                <c:pt idx="23">
                  <c:v>3.6553530853620635</c:v>
                </c:pt>
                <c:pt idx="24">
                  <c:v>3.1519733426244638</c:v>
                </c:pt>
                <c:pt idx="25">
                  <c:v>2.6399542600457115</c:v>
                </c:pt>
                <c:pt idx="26">
                  <c:v>2.1206992463411463</c:v>
                </c:pt>
                <c:pt idx="27">
                  <c:v>1.5956315434103554</c:v>
                </c:pt>
                <c:pt idx="28">
                  <c:v>1.0661903253300651</c:v>
                </c:pt>
                <c:pt idx="29">
                  <c:v>0.53382675367802845</c:v>
                </c:pt>
                <c:pt idx="30">
                  <c:v>6.2482571200339621E-16</c:v>
                </c:pt>
                <c:pt idx="31">
                  <c:v>-0.53382675367802712</c:v>
                </c:pt>
                <c:pt idx="32">
                  <c:v>-1.0661903253300662</c:v>
                </c:pt>
                <c:pt idx="33">
                  <c:v>-1.5956315434103543</c:v>
                </c:pt>
                <c:pt idx="34">
                  <c:v>-2.1206992463411449</c:v>
                </c:pt>
                <c:pt idx="35">
                  <c:v>-2.6399542600457124</c:v>
                </c:pt>
                <c:pt idx="36">
                  <c:v>-3.1519733426244625</c:v>
                </c:pt>
                <c:pt idx="37">
                  <c:v>-3.6553530853620626</c:v>
                </c:pt>
                <c:pt idx="38">
                  <c:v>-4.1487137593731624</c:v>
                </c:pt>
                <c:pt idx="39">
                  <c:v>-4.6307030973433756</c:v>
                </c:pt>
                <c:pt idx="40">
                  <c:v>-5.099999999999997</c:v>
                </c:pt>
                <c:pt idx="41">
                  <c:v>-5.5553181571532759</c:v>
                </c:pt>
                <c:pt idx="42">
                  <c:v>-5.9954095733832249</c:v>
                </c:pt>
                <c:pt idx="43">
                  <c:v>-6.4190679887083402</c:v>
                </c:pt>
                <c:pt idx="44">
                  <c:v>-6.8251321848603537</c:v>
                </c:pt>
                <c:pt idx="45">
                  <c:v>-7.2124891681027838</c:v>
                </c:pt>
                <c:pt idx="46">
                  <c:v>-7.5800772198694188</c:v>
                </c:pt>
                <c:pt idx="47">
                  <c:v>-7.9268888068611023</c:v>
                </c:pt>
                <c:pt idx="48">
                  <c:v>-8.2519733426244617</c:v>
                </c:pt>
                <c:pt idx="49">
                  <c:v>-8.5544397930433238</c:v>
                </c:pt>
                <c:pt idx="50">
                  <c:v>-8.8334591186012741</c:v>
                </c:pt>
                <c:pt idx="51">
                  <c:v>-9.0882665467213499</c:v>
                </c:pt>
                <c:pt idx="52">
                  <c:v>-9.3181636679545274</c:v>
                </c:pt>
                <c:pt idx="53">
                  <c:v>-9.5225203502714564</c:v>
                </c:pt>
                <c:pt idx="54">
                  <c:v>-9.7007764662105647</c:v>
                </c:pt>
                <c:pt idx="55">
                  <c:v>-9.8524434281484954</c:v>
                </c:pt>
                <c:pt idx="56">
                  <c:v>-9.9771055274848166</c:v>
                </c:pt>
                <c:pt idx="57">
                  <c:v>-10.074421074070404</c:v>
                </c:pt>
                <c:pt idx="58">
                  <c:v>-10.144123332756386</c:v>
                </c:pt>
                <c:pt idx="59">
                  <c:v>-10.186021254496652</c:v>
                </c:pt>
                <c:pt idx="60">
                  <c:v>-10.199999999999999</c:v>
                </c:pt>
                <c:pt idx="61">
                  <c:v>-10.186021254496652</c:v>
                </c:pt>
                <c:pt idx="62">
                  <c:v>-10.144123332756386</c:v>
                </c:pt>
                <c:pt idx="63">
                  <c:v>-10.074421074070404</c:v>
                </c:pt>
                <c:pt idx="64">
                  <c:v>-9.9771055274848166</c:v>
                </c:pt>
                <c:pt idx="65">
                  <c:v>-9.8524434281484954</c:v>
                </c:pt>
                <c:pt idx="66">
                  <c:v>-9.7007764662105664</c:v>
                </c:pt>
                <c:pt idx="67">
                  <c:v>-9.5225203502714564</c:v>
                </c:pt>
                <c:pt idx="68">
                  <c:v>-9.3181636679545274</c:v>
                </c:pt>
                <c:pt idx="69">
                  <c:v>-9.0882665467213517</c:v>
                </c:pt>
                <c:pt idx="70">
                  <c:v>-8.8334591186012723</c:v>
                </c:pt>
                <c:pt idx="71">
                  <c:v>-8.5544397930433256</c:v>
                </c:pt>
                <c:pt idx="72">
                  <c:v>-8.2519733426244652</c:v>
                </c:pt>
                <c:pt idx="73">
                  <c:v>-7.9268888068611014</c:v>
                </c:pt>
                <c:pt idx="74">
                  <c:v>-7.5800772198694206</c:v>
                </c:pt>
                <c:pt idx="75">
                  <c:v>-7.2124891681027856</c:v>
                </c:pt>
                <c:pt idx="76">
                  <c:v>-6.8251321848603528</c:v>
                </c:pt>
                <c:pt idx="77">
                  <c:v>-6.4190679887083455</c:v>
                </c:pt>
                <c:pt idx="78">
                  <c:v>-5.9954095733832267</c:v>
                </c:pt>
                <c:pt idx="79">
                  <c:v>-5.555318157153275</c:v>
                </c:pt>
                <c:pt idx="80">
                  <c:v>-5.1000000000000041</c:v>
                </c:pt>
                <c:pt idx="81">
                  <c:v>-4.6307030973433783</c:v>
                </c:pt>
                <c:pt idx="82">
                  <c:v>-4.1487137593731607</c:v>
                </c:pt>
                <c:pt idx="83">
                  <c:v>-3.655353085362067</c:v>
                </c:pt>
                <c:pt idx="84">
                  <c:v>-3.1519733426244647</c:v>
                </c:pt>
                <c:pt idx="85">
                  <c:v>-2.6399542600457102</c:v>
                </c:pt>
                <c:pt idx="86">
                  <c:v>-2.1206992463411498</c:v>
                </c:pt>
                <c:pt idx="87">
                  <c:v>-1.5956315434103565</c:v>
                </c:pt>
                <c:pt idx="88">
                  <c:v>-1.0661903253300642</c:v>
                </c:pt>
                <c:pt idx="89">
                  <c:v>-0.5338267536780319</c:v>
                </c:pt>
                <c:pt idx="90">
                  <c:v>-1.8744771360101886E-15</c:v>
                </c:pt>
                <c:pt idx="91">
                  <c:v>0.53382675367802823</c:v>
                </c:pt>
                <c:pt idx="92">
                  <c:v>1.0661903253300604</c:v>
                </c:pt>
                <c:pt idx="93">
                  <c:v>1.5956315434103527</c:v>
                </c:pt>
                <c:pt idx="94">
                  <c:v>2.1206992463411458</c:v>
                </c:pt>
                <c:pt idx="95">
                  <c:v>2.6399542600457067</c:v>
                </c:pt>
                <c:pt idx="96">
                  <c:v>3.1519733426244616</c:v>
                </c:pt>
                <c:pt idx="97">
                  <c:v>3.6553530853620635</c:v>
                </c:pt>
                <c:pt idx="98">
                  <c:v>4.1487137593731571</c:v>
                </c:pt>
                <c:pt idx="99">
                  <c:v>4.6307030973433756</c:v>
                </c:pt>
                <c:pt idx="100">
                  <c:v>5.1000000000000005</c:v>
                </c:pt>
                <c:pt idx="101">
                  <c:v>5.5553181571532715</c:v>
                </c:pt>
                <c:pt idx="102">
                  <c:v>5.9954095733832231</c:v>
                </c:pt>
                <c:pt idx="103">
                  <c:v>6.4190679887083419</c:v>
                </c:pt>
                <c:pt idx="104">
                  <c:v>6.8251321848603492</c:v>
                </c:pt>
                <c:pt idx="105">
                  <c:v>7.2124891681027821</c:v>
                </c:pt>
                <c:pt idx="106">
                  <c:v>7.5800772198694206</c:v>
                </c:pt>
                <c:pt idx="107">
                  <c:v>7.9268888068610996</c:v>
                </c:pt>
                <c:pt idx="108">
                  <c:v>8.2519733426244617</c:v>
                </c:pt>
                <c:pt idx="109">
                  <c:v>8.5544397930433256</c:v>
                </c:pt>
                <c:pt idx="110">
                  <c:v>8.8334591186012705</c:v>
                </c:pt>
                <c:pt idx="111">
                  <c:v>9.0882665467213499</c:v>
                </c:pt>
                <c:pt idx="112">
                  <c:v>9.3181636679545292</c:v>
                </c:pt>
                <c:pt idx="113">
                  <c:v>9.5225203502714546</c:v>
                </c:pt>
                <c:pt idx="114">
                  <c:v>9.7007764662105647</c:v>
                </c:pt>
                <c:pt idx="115">
                  <c:v>9.8524434281484954</c:v>
                </c:pt>
                <c:pt idx="116">
                  <c:v>9.9771055274848166</c:v>
                </c:pt>
                <c:pt idx="117">
                  <c:v>10.074421074070404</c:v>
                </c:pt>
                <c:pt idx="118">
                  <c:v>10.144123332756386</c:v>
                </c:pt>
                <c:pt idx="119">
                  <c:v>10.186021254496652</c:v>
                </c:pt>
                <c:pt idx="120">
                  <c:v>10.199999999999999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64-4946-9CCB-81C72B7B75C2}"/>
            </c:ext>
          </c:extLst>
        </c:ser>
        <c:ser>
          <c:idx val="1"/>
          <c:order val="1"/>
          <c:tx>
            <c:v>trazo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'Datos metrología'!$AN$4:$AN$303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3">
                  <c:v>0.55883562381088903</c:v>
                </c:pt>
                <c:pt idx="4">
                  <c:v>0.60278898748140841</c:v>
                </c:pt>
                <c:pt idx="6">
                  <c:v>1.1154657787223079</c:v>
                </c:pt>
                <c:pt idx="7">
                  <c:v>1.2031990422173209</c:v>
                </c:pt>
                <c:pt idx="9">
                  <c:v>1.6676936998129492</c:v>
                </c:pt>
                <c:pt idx="10">
                  <c:v>1.7988606200229564</c:v>
                </c:pt>
                <c:pt idx="12">
                  <c:v>2.2133399957672077</c:v>
                </c:pt>
                <c:pt idx="13">
                  <c:v>2.3874229167826058</c:v>
                </c:pt>
                <c:pt idx="15">
                  <c:v>2.6266444521870529</c:v>
                </c:pt>
                <c:pt idx="16">
                  <c:v>2.966563145999495</c:v>
                </c:pt>
                <c:pt idx="18">
                  <c:v>3.2763085188936341</c:v>
                </c:pt>
                <c:pt idx="19">
                  <c:v>3.5339957057729086</c:v>
                </c:pt>
                <c:pt idx="21">
                  <c:v>3.7894356949291468</c:v>
                </c:pt>
                <c:pt idx="22">
                  <c:v>4.0874811990246975</c:v>
                </c:pt>
                <c:pt idx="24">
                  <c:v>4.2876076995052665</c:v>
                </c:pt>
                <c:pt idx="25">
                  <c:v>4.6248352713764671</c:v>
                </c:pt>
                <c:pt idx="27">
                  <c:v>4.7688584753130705</c:v>
                </c:pt>
                <c:pt idx="28">
                  <c:v>5.1439372317983674</c:v>
                </c:pt>
                <c:pt idx="30">
                  <c:v>4.6435034931105381</c:v>
                </c:pt>
                <c:pt idx="31">
                  <c:v>5.6427384220077421</c:v>
                </c:pt>
                <c:pt idx="33">
                  <c:v>5.6730735087633386</c:v>
                </c:pt>
                <c:pt idx="34">
                  <c:v>6.119270301587421</c:v>
                </c:pt>
                <c:pt idx="36">
                  <c:v>6.09246924276533</c:v>
                </c:pt>
                <c:pt idx="37">
                  <c:v>6.5716522169154112</c:v>
                </c:pt>
                <c:pt idx="39">
                  <c:v>6.4878207840505633</c:v>
                </c:pt>
                <c:pt idx="40">
                  <c:v>6.9980988232455505</c:v>
                </c:pt>
                <c:pt idx="42">
                  <c:v>6.857567860704525</c:v>
                </c:pt>
                <c:pt idx="43">
                  <c:v>7.3969271306475761</c:v>
                </c:pt>
                <c:pt idx="45">
                  <c:v>6.8766444521870529</c:v>
                </c:pt>
                <c:pt idx="46">
                  <c:v>7.7665631459994948</c:v>
                </c:pt>
                <c:pt idx="48">
                  <c:v>7.5145185369679348</c:v>
                </c:pt>
                <c:pt idx="49">
                  <c:v>8.1055480848193451</c:v>
                </c:pt>
                <c:pt idx="51">
                  <c:v>7.7991294523903871</c:v>
                </c:pt>
                <c:pt idx="52">
                  <c:v>8.4125441284210911</c:v>
                </c:pt>
                <c:pt idx="54">
                  <c:v>8.0529607669475745</c:v>
                </c:pt>
                <c:pt idx="55">
                  <c:v>8.6863397036737879</c:v>
                </c:pt>
                <c:pt idx="57">
                  <c:v>8.2750107244054387</c:v>
                </c:pt>
                <c:pt idx="58">
                  <c:v>8.9258542645272136</c:v>
                </c:pt>
                <c:pt idx="60">
                  <c:v>7.5133464787317132</c:v>
                </c:pt>
                <c:pt idx="61">
                  <c:v>9.1301425564334728</c:v>
                </c:pt>
                <c:pt idx="63">
                  <c:v>8.6203901340448166</c:v>
                </c:pt>
                <c:pt idx="64">
                  <c:v>9.2983983468348583</c:v>
                </c:pt>
                <c:pt idx="66">
                  <c:v>8.7423565314853295</c:v>
                </c:pt>
                <c:pt idx="67">
                  <c:v>9.4299576069954121</c:v>
                </c:pt>
                <c:pt idx="69">
                  <c:v>8.8298208416988526</c:v>
                </c:pt>
                <c:pt idx="70">
                  <c:v>9.5243011326189873</c:v>
                </c:pt>
                <c:pt idx="72">
                  <c:v>8.8824378830116171</c:v>
                </c:pt>
                <c:pt idx="73">
                  <c:v>9.5810565929114073</c:v>
                </c:pt>
                <c:pt idx="75">
                  <c:v>8.5</c:v>
                </c:pt>
                <c:pt idx="76">
                  <c:v>9.6</c:v>
                </c:pt>
                <c:pt idx="78">
                  <c:v>8.8824378830116171</c:v>
                </c:pt>
                <c:pt idx="79">
                  <c:v>9.5810565929114073</c:v>
                </c:pt>
                <c:pt idx="81">
                  <c:v>8.8298208416988526</c:v>
                </c:pt>
                <c:pt idx="82">
                  <c:v>9.5243011326189855</c:v>
                </c:pt>
                <c:pt idx="84">
                  <c:v>8.7423565314853295</c:v>
                </c:pt>
                <c:pt idx="85">
                  <c:v>9.4299576069954121</c:v>
                </c:pt>
                <c:pt idx="87">
                  <c:v>8.6203901340448166</c:v>
                </c:pt>
                <c:pt idx="88">
                  <c:v>9.2983983468348583</c:v>
                </c:pt>
                <c:pt idx="90">
                  <c:v>7.5133464787317141</c:v>
                </c:pt>
                <c:pt idx="91">
                  <c:v>9.1301425564334746</c:v>
                </c:pt>
                <c:pt idx="93">
                  <c:v>8.2750107244054369</c:v>
                </c:pt>
                <c:pt idx="94">
                  <c:v>8.9258542645272119</c:v>
                </c:pt>
                <c:pt idx="96">
                  <c:v>8.0529607669475727</c:v>
                </c:pt>
                <c:pt idx="97">
                  <c:v>8.6863397036737862</c:v>
                </c:pt>
                <c:pt idx="99">
                  <c:v>7.7991294523903871</c:v>
                </c:pt>
                <c:pt idx="100">
                  <c:v>8.4125441284210911</c:v>
                </c:pt>
                <c:pt idx="102">
                  <c:v>7.5145185369679339</c:v>
                </c:pt>
                <c:pt idx="103">
                  <c:v>8.1055480848193433</c:v>
                </c:pt>
                <c:pt idx="105">
                  <c:v>6.8766444521870529</c:v>
                </c:pt>
                <c:pt idx="106">
                  <c:v>7.7665631459994948</c:v>
                </c:pt>
                <c:pt idx="108">
                  <c:v>6.857567860704525</c:v>
                </c:pt>
                <c:pt idx="109">
                  <c:v>7.3969271306475761</c:v>
                </c:pt>
                <c:pt idx="111">
                  <c:v>6.4878207840505624</c:v>
                </c:pt>
                <c:pt idx="112">
                  <c:v>6.9980988232455497</c:v>
                </c:pt>
                <c:pt idx="114">
                  <c:v>6.0924692427653282</c:v>
                </c:pt>
                <c:pt idx="115">
                  <c:v>6.5716522169154095</c:v>
                </c:pt>
                <c:pt idx="117">
                  <c:v>5.6730735087633368</c:v>
                </c:pt>
                <c:pt idx="118">
                  <c:v>6.1192703015874192</c:v>
                </c:pt>
                <c:pt idx="120">
                  <c:v>4.643503493110539</c:v>
                </c:pt>
                <c:pt idx="121">
                  <c:v>5.642738422007743</c:v>
                </c:pt>
                <c:pt idx="123">
                  <c:v>4.7688584753130705</c:v>
                </c:pt>
                <c:pt idx="124">
                  <c:v>5.1439372317983674</c:v>
                </c:pt>
                <c:pt idx="126">
                  <c:v>4.2876076995052657</c:v>
                </c:pt>
                <c:pt idx="127">
                  <c:v>4.6248352713764662</c:v>
                </c:pt>
                <c:pt idx="129">
                  <c:v>3.7894356949291454</c:v>
                </c:pt>
                <c:pt idx="130">
                  <c:v>4.0874811990246958</c:v>
                </c:pt>
                <c:pt idx="132">
                  <c:v>3.2763085188936323</c:v>
                </c:pt>
                <c:pt idx="133">
                  <c:v>3.5339957057729063</c:v>
                </c:pt>
                <c:pt idx="135">
                  <c:v>2.6266444521870538</c:v>
                </c:pt>
                <c:pt idx="136">
                  <c:v>2.9665631459994959</c:v>
                </c:pt>
                <c:pt idx="138">
                  <c:v>2.2133399957672082</c:v>
                </c:pt>
                <c:pt idx="139">
                  <c:v>2.3874229167826062</c:v>
                </c:pt>
                <c:pt idx="141">
                  <c:v>1.6676936998129488</c:v>
                </c:pt>
                <c:pt idx="142">
                  <c:v>1.7988606200229558</c:v>
                </c:pt>
                <c:pt idx="144">
                  <c:v>1.1154657787223066</c:v>
                </c:pt>
                <c:pt idx="145">
                  <c:v>1.2031990422173193</c:v>
                </c:pt>
                <c:pt idx="147">
                  <c:v>0.55883562381088692</c:v>
                </c:pt>
                <c:pt idx="148">
                  <c:v>0.60278898748140608</c:v>
                </c:pt>
                <c:pt idx="150">
                  <c:v>9.6786727937780981E-16</c:v>
                </c:pt>
                <c:pt idx="151">
                  <c:v>1.1761425167122752E-15</c:v>
                </c:pt>
                <c:pt idx="153">
                  <c:v>-0.5588356238108888</c:v>
                </c:pt>
                <c:pt idx="154">
                  <c:v>-0.60278898748140808</c:v>
                </c:pt>
                <c:pt idx="156">
                  <c:v>-1.1154657787223081</c:v>
                </c:pt>
                <c:pt idx="157">
                  <c:v>-1.2031990422173211</c:v>
                </c:pt>
                <c:pt idx="159">
                  <c:v>-1.6676936998129506</c:v>
                </c:pt>
                <c:pt idx="160">
                  <c:v>-1.7988606200229578</c:v>
                </c:pt>
                <c:pt idx="162">
                  <c:v>-2.2133399957672095</c:v>
                </c:pt>
                <c:pt idx="163">
                  <c:v>-2.387422916782608</c:v>
                </c:pt>
                <c:pt idx="165">
                  <c:v>-2.626644452187052</c:v>
                </c:pt>
                <c:pt idx="166">
                  <c:v>-2.9665631459994937</c:v>
                </c:pt>
                <c:pt idx="168">
                  <c:v>-3.2763085188936336</c:v>
                </c:pt>
                <c:pt idx="169">
                  <c:v>-3.5339957057729081</c:v>
                </c:pt>
                <c:pt idx="171">
                  <c:v>-3.7894356949291468</c:v>
                </c:pt>
                <c:pt idx="172">
                  <c:v>-4.0874811990246975</c:v>
                </c:pt>
                <c:pt idx="174">
                  <c:v>-4.2876076995052674</c:v>
                </c:pt>
                <c:pt idx="175">
                  <c:v>-4.6248352713764671</c:v>
                </c:pt>
                <c:pt idx="177">
                  <c:v>-4.7688584753130714</c:v>
                </c:pt>
                <c:pt idx="178">
                  <c:v>-5.1439372317983691</c:v>
                </c:pt>
                <c:pt idx="180">
                  <c:v>-4.6435034931105372</c:v>
                </c:pt>
                <c:pt idx="181">
                  <c:v>-5.6427384220077412</c:v>
                </c:pt>
                <c:pt idx="183">
                  <c:v>-5.6730735087633377</c:v>
                </c:pt>
                <c:pt idx="184">
                  <c:v>-6.1192703015874201</c:v>
                </c:pt>
                <c:pt idx="186">
                  <c:v>-6.09246924276533</c:v>
                </c:pt>
                <c:pt idx="187">
                  <c:v>-6.5716522169154112</c:v>
                </c:pt>
                <c:pt idx="189">
                  <c:v>-6.4878207840505633</c:v>
                </c:pt>
                <c:pt idx="190">
                  <c:v>-6.9980988232455505</c:v>
                </c:pt>
                <c:pt idx="192">
                  <c:v>-6.8575678607045258</c:v>
                </c:pt>
                <c:pt idx="193">
                  <c:v>-7.3969271306475779</c:v>
                </c:pt>
                <c:pt idx="195">
                  <c:v>-6.876644452187052</c:v>
                </c:pt>
                <c:pt idx="196">
                  <c:v>-7.7665631459994939</c:v>
                </c:pt>
                <c:pt idx="198">
                  <c:v>-7.5145185369679321</c:v>
                </c:pt>
                <c:pt idx="199">
                  <c:v>-8.1055480848193415</c:v>
                </c:pt>
                <c:pt idx="201">
                  <c:v>-7.7991294523903862</c:v>
                </c:pt>
                <c:pt idx="202">
                  <c:v>-8.4125441284210893</c:v>
                </c:pt>
                <c:pt idx="204">
                  <c:v>-8.0529607669475762</c:v>
                </c:pt>
                <c:pt idx="205">
                  <c:v>-8.6863397036737897</c:v>
                </c:pt>
                <c:pt idx="207">
                  <c:v>-8.2750107244054387</c:v>
                </c:pt>
                <c:pt idx="208">
                  <c:v>-8.9258542645272136</c:v>
                </c:pt>
                <c:pt idx="210">
                  <c:v>-7.5133464787317132</c:v>
                </c:pt>
                <c:pt idx="211">
                  <c:v>-9.1301425564334728</c:v>
                </c:pt>
                <c:pt idx="213">
                  <c:v>-8.6203901340448166</c:v>
                </c:pt>
                <c:pt idx="214">
                  <c:v>-9.2983983468348566</c:v>
                </c:pt>
                <c:pt idx="216">
                  <c:v>-8.7423565314853295</c:v>
                </c:pt>
                <c:pt idx="217">
                  <c:v>-9.4299576069954121</c:v>
                </c:pt>
                <c:pt idx="219">
                  <c:v>-8.8298208416988526</c:v>
                </c:pt>
                <c:pt idx="220">
                  <c:v>-9.5243011326189873</c:v>
                </c:pt>
                <c:pt idx="222">
                  <c:v>-8.8824378830116171</c:v>
                </c:pt>
                <c:pt idx="223">
                  <c:v>-9.5810565929114073</c:v>
                </c:pt>
                <c:pt idx="225">
                  <c:v>-8.5</c:v>
                </c:pt>
                <c:pt idx="226">
                  <c:v>-9.6</c:v>
                </c:pt>
                <c:pt idx="228">
                  <c:v>-8.8824378830116171</c:v>
                </c:pt>
                <c:pt idx="229">
                  <c:v>-9.5810565929114073</c:v>
                </c:pt>
                <c:pt idx="231">
                  <c:v>-8.8298208416988526</c:v>
                </c:pt>
                <c:pt idx="232">
                  <c:v>-9.5243011326189873</c:v>
                </c:pt>
                <c:pt idx="234">
                  <c:v>-8.7423565314853295</c:v>
                </c:pt>
                <c:pt idx="235">
                  <c:v>-9.4299576069954103</c:v>
                </c:pt>
                <c:pt idx="237">
                  <c:v>-8.6203901340448166</c:v>
                </c:pt>
                <c:pt idx="238">
                  <c:v>-9.2983983468348583</c:v>
                </c:pt>
                <c:pt idx="240">
                  <c:v>-7.5133464787317141</c:v>
                </c:pt>
                <c:pt idx="241">
                  <c:v>-9.1301425564334746</c:v>
                </c:pt>
                <c:pt idx="243">
                  <c:v>-8.2750107244054369</c:v>
                </c:pt>
                <c:pt idx="244">
                  <c:v>-8.9258542645272119</c:v>
                </c:pt>
                <c:pt idx="246">
                  <c:v>-8.0529607669475745</c:v>
                </c:pt>
                <c:pt idx="247">
                  <c:v>-8.6863397036737879</c:v>
                </c:pt>
                <c:pt idx="249">
                  <c:v>-7.7991294523903845</c:v>
                </c:pt>
                <c:pt idx="250">
                  <c:v>-8.4125441284210876</c:v>
                </c:pt>
                <c:pt idx="252">
                  <c:v>-7.5145185369679339</c:v>
                </c:pt>
                <c:pt idx="253">
                  <c:v>-8.1055480848193433</c:v>
                </c:pt>
                <c:pt idx="255">
                  <c:v>-6.8766444521870547</c:v>
                </c:pt>
                <c:pt idx="256">
                  <c:v>-7.7665631459994966</c:v>
                </c:pt>
                <c:pt idx="258">
                  <c:v>-6.8575678607045223</c:v>
                </c:pt>
                <c:pt idx="259">
                  <c:v>-7.3969271306475743</c:v>
                </c:pt>
                <c:pt idx="261">
                  <c:v>-6.4878207840505633</c:v>
                </c:pt>
                <c:pt idx="262">
                  <c:v>-6.9980988232455505</c:v>
                </c:pt>
                <c:pt idx="264">
                  <c:v>-6.0924692427653255</c:v>
                </c:pt>
                <c:pt idx="265">
                  <c:v>-6.5716522169154077</c:v>
                </c:pt>
                <c:pt idx="267">
                  <c:v>-5.6730735087633377</c:v>
                </c:pt>
                <c:pt idx="268">
                  <c:v>-6.1192703015874201</c:v>
                </c:pt>
                <c:pt idx="270">
                  <c:v>-4.6435034931105399</c:v>
                </c:pt>
                <c:pt idx="271">
                  <c:v>-5.6427384220077439</c:v>
                </c:pt>
                <c:pt idx="273">
                  <c:v>-4.7688584753130678</c:v>
                </c:pt>
                <c:pt idx="274">
                  <c:v>-5.1439372317983647</c:v>
                </c:pt>
                <c:pt idx="276">
                  <c:v>-4.2876076995052665</c:v>
                </c:pt>
                <c:pt idx="277">
                  <c:v>-4.6248352713764671</c:v>
                </c:pt>
                <c:pt idx="279">
                  <c:v>-3.7894356949291428</c:v>
                </c:pt>
                <c:pt idx="280">
                  <c:v>-4.0874811990246931</c:v>
                </c:pt>
                <c:pt idx="282">
                  <c:v>-3.2763085188936332</c:v>
                </c:pt>
                <c:pt idx="283">
                  <c:v>-3.5339957057729072</c:v>
                </c:pt>
                <c:pt idx="285">
                  <c:v>-2.6266444521870547</c:v>
                </c:pt>
                <c:pt idx="286">
                  <c:v>-2.9665631459994972</c:v>
                </c:pt>
                <c:pt idx="288">
                  <c:v>-2.2133399957672051</c:v>
                </c:pt>
                <c:pt idx="289">
                  <c:v>-2.3874229167826031</c:v>
                </c:pt>
                <c:pt idx="291">
                  <c:v>-1.6676936998129497</c:v>
                </c:pt>
                <c:pt idx="292">
                  <c:v>-1.7988606200229569</c:v>
                </c:pt>
                <c:pt idx="294">
                  <c:v>-1.1154657787223037</c:v>
                </c:pt>
                <c:pt idx="295">
                  <c:v>-1.2031990422173162</c:v>
                </c:pt>
                <c:pt idx="297">
                  <c:v>-0.55883562381088803</c:v>
                </c:pt>
                <c:pt idx="298">
                  <c:v>-0.6027889874814073</c:v>
                </c:pt>
              </c:numCache>
            </c:numRef>
          </c:xVal>
          <c:yVal>
            <c:numRef>
              <c:f>'Datos metrología'!$AO$4:$AO$303</c:f>
              <c:numCache>
                <c:formatCode>General</c:formatCode>
                <c:ptCount val="300"/>
                <c:pt idx="0">
                  <c:v>7.9</c:v>
                </c:pt>
                <c:pt idx="1">
                  <c:v>9.6</c:v>
                </c:pt>
                <c:pt idx="3">
                  <c:v>8.8824378830116171</c:v>
                </c:pt>
                <c:pt idx="4">
                  <c:v>9.5810565929114073</c:v>
                </c:pt>
                <c:pt idx="6">
                  <c:v>8.8298208416988526</c:v>
                </c:pt>
                <c:pt idx="7">
                  <c:v>9.5243011326189873</c:v>
                </c:pt>
                <c:pt idx="9">
                  <c:v>8.7423565314853295</c:v>
                </c:pt>
                <c:pt idx="10">
                  <c:v>9.4299576069954121</c:v>
                </c:pt>
                <c:pt idx="12">
                  <c:v>8.6203901340448166</c:v>
                </c:pt>
                <c:pt idx="13">
                  <c:v>9.2983983468348583</c:v>
                </c:pt>
                <c:pt idx="15">
                  <c:v>8.0839803885088042</c:v>
                </c:pt>
                <c:pt idx="16">
                  <c:v>9.1301425564334728</c:v>
                </c:pt>
                <c:pt idx="18">
                  <c:v>8.2750107244054369</c:v>
                </c:pt>
                <c:pt idx="19">
                  <c:v>8.9258542645272119</c:v>
                </c:pt>
                <c:pt idx="21">
                  <c:v>8.0529607669475745</c:v>
                </c:pt>
                <c:pt idx="22">
                  <c:v>8.6863397036737879</c:v>
                </c:pt>
                <c:pt idx="24">
                  <c:v>7.7991294523903862</c:v>
                </c:pt>
                <c:pt idx="25">
                  <c:v>8.4125441284210893</c:v>
                </c:pt>
                <c:pt idx="27">
                  <c:v>7.5145185369679348</c:v>
                </c:pt>
                <c:pt idx="28">
                  <c:v>8.1055480848193451</c:v>
                </c:pt>
                <c:pt idx="30">
                  <c:v>6.3912342555620851</c:v>
                </c:pt>
                <c:pt idx="31">
                  <c:v>7.7665631459994948</c:v>
                </c:pt>
                <c:pt idx="33">
                  <c:v>6.8575678607045241</c:v>
                </c:pt>
                <c:pt idx="34">
                  <c:v>7.3969271306475752</c:v>
                </c:pt>
                <c:pt idx="36">
                  <c:v>6.4878207840505633</c:v>
                </c:pt>
                <c:pt idx="37">
                  <c:v>6.9980988232455505</c:v>
                </c:pt>
                <c:pt idx="39">
                  <c:v>6.0924692427653291</c:v>
                </c:pt>
                <c:pt idx="40">
                  <c:v>6.5716522169154103</c:v>
                </c:pt>
                <c:pt idx="42">
                  <c:v>5.6730735087633386</c:v>
                </c:pt>
                <c:pt idx="43">
                  <c:v>6.119270301587421</c:v>
                </c:pt>
                <c:pt idx="45">
                  <c:v>4.9961746444860218</c:v>
                </c:pt>
                <c:pt idx="46">
                  <c:v>5.6427384220077421</c:v>
                </c:pt>
                <c:pt idx="48">
                  <c:v>4.7688584753130696</c:v>
                </c:pt>
                <c:pt idx="49">
                  <c:v>5.1439372317983665</c:v>
                </c:pt>
                <c:pt idx="51">
                  <c:v>4.2876076995052648</c:v>
                </c:pt>
                <c:pt idx="52">
                  <c:v>4.6248352713764653</c:v>
                </c:pt>
                <c:pt idx="54">
                  <c:v>3.7894356949291468</c:v>
                </c:pt>
                <c:pt idx="55">
                  <c:v>4.0874811990246975</c:v>
                </c:pt>
                <c:pt idx="57">
                  <c:v>3.2763085188936332</c:v>
                </c:pt>
                <c:pt idx="58">
                  <c:v>3.5339957057729072</c:v>
                </c:pt>
                <c:pt idx="60">
                  <c:v>2.441234255562085</c:v>
                </c:pt>
                <c:pt idx="61">
                  <c:v>2.9665631459994954</c:v>
                </c:pt>
                <c:pt idx="63">
                  <c:v>2.2133399957672073</c:v>
                </c:pt>
                <c:pt idx="64">
                  <c:v>2.3874229167826053</c:v>
                </c:pt>
                <c:pt idx="66">
                  <c:v>1.6676936998129483</c:v>
                </c:pt>
                <c:pt idx="67">
                  <c:v>1.7988606200229553</c:v>
                </c:pt>
                <c:pt idx="69">
                  <c:v>1.1154657787223079</c:v>
                </c:pt>
                <c:pt idx="70">
                  <c:v>1.2031990422173209</c:v>
                </c:pt>
                <c:pt idx="72">
                  <c:v>0.55883562381088847</c:v>
                </c:pt>
                <c:pt idx="73">
                  <c:v>0.60278898748140775</c:v>
                </c:pt>
                <c:pt idx="75">
                  <c:v>5.206880933361635E-16</c:v>
                </c:pt>
                <c:pt idx="76">
                  <c:v>5.8807125835613761E-16</c:v>
                </c:pt>
                <c:pt idx="78">
                  <c:v>-0.55883562381088925</c:v>
                </c:pt>
                <c:pt idx="79">
                  <c:v>-0.60278898748140863</c:v>
                </c:pt>
                <c:pt idx="81">
                  <c:v>-1.115465778722309</c:v>
                </c:pt>
                <c:pt idx="82">
                  <c:v>-1.203199042217322</c:v>
                </c:pt>
                <c:pt idx="84">
                  <c:v>-1.667693699812949</c:v>
                </c:pt>
                <c:pt idx="85">
                  <c:v>-1.798860620022956</c:v>
                </c:pt>
                <c:pt idx="87">
                  <c:v>-2.2133399957672082</c:v>
                </c:pt>
                <c:pt idx="88">
                  <c:v>-2.3874229167826067</c:v>
                </c:pt>
                <c:pt idx="90">
                  <c:v>-2.4412342555620841</c:v>
                </c:pt>
                <c:pt idx="91">
                  <c:v>-2.9665631459994946</c:v>
                </c:pt>
                <c:pt idx="93">
                  <c:v>-3.2763085188936341</c:v>
                </c:pt>
                <c:pt idx="94">
                  <c:v>-3.5339957057729086</c:v>
                </c:pt>
                <c:pt idx="96">
                  <c:v>-3.7894356949291472</c:v>
                </c:pt>
                <c:pt idx="97">
                  <c:v>-4.0874811990246975</c:v>
                </c:pt>
                <c:pt idx="99">
                  <c:v>-4.2876076995052639</c:v>
                </c:pt>
                <c:pt idx="100">
                  <c:v>-4.6248352713764644</c:v>
                </c:pt>
                <c:pt idx="102">
                  <c:v>-4.7688584753130723</c:v>
                </c:pt>
                <c:pt idx="103">
                  <c:v>-5.14393723179837</c:v>
                </c:pt>
                <c:pt idx="105">
                  <c:v>-4.9961746444860209</c:v>
                </c:pt>
                <c:pt idx="106">
                  <c:v>-5.6427384220077412</c:v>
                </c:pt>
                <c:pt idx="108">
                  <c:v>-5.6730735087633386</c:v>
                </c:pt>
                <c:pt idx="109">
                  <c:v>-6.119270301587421</c:v>
                </c:pt>
                <c:pt idx="111">
                  <c:v>-6.09246924276533</c:v>
                </c:pt>
                <c:pt idx="112">
                  <c:v>-6.5716522169154112</c:v>
                </c:pt>
                <c:pt idx="114">
                  <c:v>-6.4878207840505642</c:v>
                </c:pt>
                <c:pt idx="115">
                  <c:v>-6.9980988232455514</c:v>
                </c:pt>
                <c:pt idx="117">
                  <c:v>-6.8575678607045258</c:v>
                </c:pt>
                <c:pt idx="118">
                  <c:v>-7.3969271306475779</c:v>
                </c:pt>
                <c:pt idx="120">
                  <c:v>-6.3912342555620842</c:v>
                </c:pt>
                <c:pt idx="121">
                  <c:v>-7.7665631459994939</c:v>
                </c:pt>
                <c:pt idx="123">
                  <c:v>-7.5145185369679348</c:v>
                </c:pt>
                <c:pt idx="124">
                  <c:v>-8.1055480848193451</c:v>
                </c:pt>
                <c:pt idx="126">
                  <c:v>-7.7991294523903862</c:v>
                </c:pt>
                <c:pt idx="127">
                  <c:v>-8.4125441284210893</c:v>
                </c:pt>
                <c:pt idx="129">
                  <c:v>-8.0529607669475745</c:v>
                </c:pt>
                <c:pt idx="130">
                  <c:v>-8.6863397036737879</c:v>
                </c:pt>
                <c:pt idx="132">
                  <c:v>-8.2750107244054387</c:v>
                </c:pt>
                <c:pt idx="133">
                  <c:v>-8.9258542645272136</c:v>
                </c:pt>
                <c:pt idx="135">
                  <c:v>-8.0839803885088042</c:v>
                </c:pt>
                <c:pt idx="136">
                  <c:v>-9.1301425564334728</c:v>
                </c:pt>
                <c:pt idx="138">
                  <c:v>-8.6203901340448166</c:v>
                </c:pt>
                <c:pt idx="139">
                  <c:v>-9.2983983468348583</c:v>
                </c:pt>
                <c:pt idx="141">
                  <c:v>-8.7423565314853295</c:v>
                </c:pt>
                <c:pt idx="142">
                  <c:v>-9.4299576069954121</c:v>
                </c:pt>
                <c:pt idx="144">
                  <c:v>-8.8298208416988526</c:v>
                </c:pt>
                <c:pt idx="145">
                  <c:v>-9.5243011326189873</c:v>
                </c:pt>
                <c:pt idx="147">
                  <c:v>-8.8824378830116171</c:v>
                </c:pt>
                <c:pt idx="148">
                  <c:v>-9.5810565929114073</c:v>
                </c:pt>
                <c:pt idx="150">
                  <c:v>-7.9</c:v>
                </c:pt>
                <c:pt idx="151">
                  <c:v>-9.6</c:v>
                </c:pt>
                <c:pt idx="153">
                  <c:v>-8.8824378830116171</c:v>
                </c:pt>
                <c:pt idx="154">
                  <c:v>-9.5810565929114073</c:v>
                </c:pt>
                <c:pt idx="156">
                  <c:v>-8.8298208416988526</c:v>
                </c:pt>
                <c:pt idx="157">
                  <c:v>-9.5243011326189873</c:v>
                </c:pt>
                <c:pt idx="159">
                  <c:v>-8.7423565314853295</c:v>
                </c:pt>
                <c:pt idx="160">
                  <c:v>-9.4299576069954103</c:v>
                </c:pt>
                <c:pt idx="162">
                  <c:v>-8.6203901340448166</c:v>
                </c:pt>
                <c:pt idx="163">
                  <c:v>-9.2983983468348583</c:v>
                </c:pt>
                <c:pt idx="165">
                  <c:v>-8.083980388508806</c:v>
                </c:pt>
                <c:pt idx="166">
                  <c:v>-9.1301425564334746</c:v>
                </c:pt>
                <c:pt idx="168">
                  <c:v>-8.2750107244054387</c:v>
                </c:pt>
                <c:pt idx="169">
                  <c:v>-8.9258542645272136</c:v>
                </c:pt>
                <c:pt idx="171">
                  <c:v>-8.0529607669475727</c:v>
                </c:pt>
                <c:pt idx="172">
                  <c:v>-8.6863397036737862</c:v>
                </c:pt>
                <c:pt idx="174">
                  <c:v>-7.7991294523903854</c:v>
                </c:pt>
                <c:pt idx="175">
                  <c:v>-8.4125441284210893</c:v>
                </c:pt>
                <c:pt idx="177">
                  <c:v>-7.5145185369679339</c:v>
                </c:pt>
                <c:pt idx="178">
                  <c:v>-8.1055480848193433</c:v>
                </c:pt>
                <c:pt idx="180">
                  <c:v>-6.391234255562086</c:v>
                </c:pt>
                <c:pt idx="181">
                  <c:v>-7.7665631459994966</c:v>
                </c:pt>
                <c:pt idx="183">
                  <c:v>-6.857567860704525</c:v>
                </c:pt>
                <c:pt idx="184">
                  <c:v>-7.3969271306475761</c:v>
                </c:pt>
                <c:pt idx="186">
                  <c:v>-6.4878207840505633</c:v>
                </c:pt>
                <c:pt idx="187">
                  <c:v>-6.9980988232455505</c:v>
                </c:pt>
                <c:pt idx="189">
                  <c:v>-6.0924692427653291</c:v>
                </c:pt>
                <c:pt idx="190">
                  <c:v>-6.5716522169154103</c:v>
                </c:pt>
                <c:pt idx="192">
                  <c:v>-5.6730735087633368</c:v>
                </c:pt>
                <c:pt idx="193">
                  <c:v>-6.1192703015874192</c:v>
                </c:pt>
                <c:pt idx="195">
                  <c:v>-4.9961746444860227</c:v>
                </c:pt>
                <c:pt idx="196">
                  <c:v>-5.642738422007743</c:v>
                </c:pt>
                <c:pt idx="198">
                  <c:v>-4.7688584753130741</c:v>
                </c:pt>
                <c:pt idx="199">
                  <c:v>-5.1439372317983718</c:v>
                </c:pt>
                <c:pt idx="201">
                  <c:v>-4.2876076995052657</c:v>
                </c:pt>
                <c:pt idx="202">
                  <c:v>-4.6248352713764662</c:v>
                </c:pt>
                <c:pt idx="204">
                  <c:v>-3.7894356949291423</c:v>
                </c:pt>
                <c:pt idx="205">
                  <c:v>-4.0874811990246922</c:v>
                </c:pt>
                <c:pt idx="207">
                  <c:v>-3.2763085188936327</c:v>
                </c:pt>
                <c:pt idx="208">
                  <c:v>-3.5339957057729068</c:v>
                </c:pt>
                <c:pt idx="210">
                  <c:v>-2.4412342555620858</c:v>
                </c:pt>
                <c:pt idx="211">
                  <c:v>-2.9665631459994963</c:v>
                </c:pt>
                <c:pt idx="213">
                  <c:v>-2.2133399957672122</c:v>
                </c:pt>
                <c:pt idx="214">
                  <c:v>-2.3874229167826106</c:v>
                </c:pt>
                <c:pt idx="216">
                  <c:v>-1.6676936998129492</c:v>
                </c:pt>
                <c:pt idx="217">
                  <c:v>-1.7988606200229564</c:v>
                </c:pt>
                <c:pt idx="219">
                  <c:v>-1.1154657787223032</c:v>
                </c:pt>
                <c:pt idx="220">
                  <c:v>-1.2031990422173158</c:v>
                </c:pt>
                <c:pt idx="222">
                  <c:v>-0.55883562381088758</c:v>
                </c:pt>
                <c:pt idx="223">
                  <c:v>-0.60278898748140675</c:v>
                </c:pt>
                <c:pt idx="225">
                  <c:v>-1.5620642800084905E-15</c:v>
                </c:pt>
                <c:pt idx="226">
                  <c:v>-1.7642137750684128E-15</c:v>
                </c:pt>
                <c:pt idx="228">
                  <c:v>0.55883562381089213</c:v>
                </c:pt>
                <c:pt idx="229">
                  <c:v>0.60278898748141174</c:v>
                </c:pt>
                <c:pt idx="231">
                  <c:v>1.1154657787223077</c:v>
                </c:pt>
                <c:pt idx="232">
                  <c:v>1.2031990422173207</c:v>
                </c:pt>
                <c:pt idx="234">
                  <c:v>1.6676936998129537</c:v>
                </c:pt>
                <c:pt idx="235">
                  <c:v>1.7988606200229611</c:v>
                </c:pt>
                <c:pt idx="237">
                  <c:v>2.2133399957672091</c:v>
                </c:pt>
                <c:pt idx="238">
                  <c:v>2.3874229167826071</c:v>
                </c:pt>
                <c:pt idx="240">
                  <c:v>2.4412342555620832</c:v>
                </c:pt>
                <c:pt idx="241">
                  <c:v>2.9665631459994932</c:v>
                </c:pt>
                <c:pt idx="243">
                  <c:v>3.2763085188936367</c:v>
                </c:pt>
                <c:pt idx="244">
                  <c:v>3.5339957057729112</c:v>
                </c:pt>
                <c:pt idx="246">
                  <c:v>3.7894356949291463</c:v>
                </c:pt>
                <c:pt idx="247">
                  <c:v>4.0874811990246966</c:v>
                </c:pt>
                <c:pt idx="249">
                  <c:v>4.2876076995052701</c:v>
                </c:pt>
                <c:pt idx="250">
                  <c:v>4.6248352713764707</c:v>
                </c:pt>
                <c:pt idx="252">
                  <c:v>4.7688584753130714</c:v>
                </c:pt>
                <c:pt idx="253">
                  <c:v>5.1439372317983691</c:v>
                </c:pt>
                <c:pt idx="255">
                  <c:v>4.99617464448602</c:v>
                </c:pt>
                <c:pt idx="256">
                  <c:v>5.6427384220077395</c:v>
                </c:pt>
                <c:pt idx="258">
                  <c:v>5.6730735087633413</c:v>
                </c:pt>
                <c:pt idx="259">
                  <c:v>6.1192703015874237</c:v>
                </c:pt>
                <c:pt idx="261">
                  <c:v>6.0924692427653291</c:v>
                </c:pt>
                <c:pt idx="262">
                  <c:v>6.5716522169154103</c:v>
                </c:pt>
                <c:pt idx="264">
                  <c:v>6.4878207840505659</c:v>
                </c:pt>
                <c:pt idx="265">
                  <c:v>6.9980988232455541</c:v>
                </c:pt>
                <c:pt idx="267">
                  <c:v>6.8575678607045258</c:v>
                </c:pt>
                <c:pt idx="268">
                  <c:v>7.3969271306475779</c:v>
                </c:pt>
                <c:pt idx="270">
                  <c:v>6.3912342555620842</c:v>
                </c:pt>
                <c:pt idx="271">
                  <c:v>7.7665631459994939</c:v>
                </c:pt>
                <c:pt idx="273">
                  <c:v>7.5145185369679366</c:v>
                </c:pt>
                <c:pt idx="274">
                  <c:v>8.1055480848193469</c:v>
                </c:pt>
                <c:pt idx="276">
                  <c:v>7.7991294523903862</c:v>
                </c:pt>
                <c:pt idx="277">
                  <c:v>8.4125441284210893</c:v>
                </c:pt>
                <c:pt idx="279">
                  <c:v>8.0529607669475762</c:v>
                </c:pt>
                <c:pt idx="280">
                  <c:v>8.6863397036737879</c:v>
                </c:pt>
                <c:pt idx="282">
                  <c:v>8.2750107244054387</c:v>
                </c:pt>
                <c:pt idx="283">
                  <c:v>8.9258542645272136</c:v>
                </c:pt>
                <c:pt idx="285">
                  <c:v>8.0839803885088042</c:v>
                </c:pt>
                <c:pt idx="286">
                  <c:v>9.1301425564334728</c:v>
                </c:pt>
                <c:pt idx="288">
                  <c:v>8.6203901340448184</c:v>
                </c:pt>
                <c:pt idx="289">
                  <c:v>9.2983983468348583</c:v>
                </c:pt>
                <c:pt idx="291">
                  <c:v>8.7423565314853295</c:v>
                </c:pt>
                <c:pt idx="292">
                  <c:v>9.4299576069954121</c:v>
                </c:pt>
                <c:pt idx="294">
                  <c:v>8.8298208416988526</c:v>
                </c:pt>
                <c:pt idx="295">
                  <c:v>9.5243011326189873</c:v>
                </c:pt>
                <c:pt idx="297">
                  <c:v>8.8824378830116171</c:v>
                </c:pt>
                <c:pt idx="298">
                  <c:v>9.5810565929114073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64-4946-9CCB-81C72B7B75C2}"/>
            </c:ext>
          </c:extLst>
        </c:ser>
        <c:ser>
          <c:idx val="2"/>
          <c:order val="2"/>
          <c:tx>
            <c:v>trazo</c:v>
          </c:tx>
          <c:spPr>
            <a:ln w="952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'Datos metrología'!$BA$4:$BA$33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3">
                  <c:v>0.91106714105333342</c:v>
                </c:pt>
                <c:pt idx="4">
                  <c:v>1.2049597671995698</c:v>
                </c:pt>
                <c:pt idx="6">
                  <c:v>1.474137600257488</c:v>
                </c:pt>
                <c:pt idx="7">
                  <c:v>1.9496658584050646</c:v>
                </c:pt>
                <c:pt idx="9">
                  <c:v>1.4741376002574882</c:v>
                </c:pt>
                <c:pt idx="10">
                  <c:v>1.9496658584050648</c:v>
                </c:pt>
                <c:pt idx="12">
                  <c:v>0.91106714105333353</c:v>
                </c:pt>
                <c:pt idx="13">
                  <c:v>1.20495976719957</c:v>
                </c:pt>
                <c:pt idx="15">
                  <c:v>1.898980105108361E-16</c:v>
                </c:pt>
                <c:pt idx="16">
                  <c:v>2.511554332562671E-16</c:v>
                </c:pt>
                <c:pt idx="18">
                  <c:v>-0.9110671410533332</c:v>
                </c:pt>
                <c:pt idx="19">
                  <c:v>-1.2049597671995695</c:v>
                </c:pt>
                <c:pt idx="21">
                  <c:v>-1.474137600257488</c:v>
                </c:pt>
                <c:pt idx="22">
                  <c:v>-1.9496658584050646</c:v>
                </c:pt>
                <c:pt idx="24">
                  <c:v>-1.4741376002574882</c:v>
                </c:pt>
                <c:pt idx="25">
                  <c:v>-1.9496658584050648</c:v>
                </c:pt>
                <c:pt idx="27">
                  <c:v>-0.91106714105333375</c:v>
                </c:pt>
                <c:pt idx="28">
                  <c:v>-1.2049597671995702</c:v>
                </c:pt>
              </c:numCache>
            </c:numRef>
          </c:xVal>
          <c:yVal>
            <c:numRef>
              <c:f>'Datos metrología'!$BB$4:$BB$33</c:f>
              <c:numCache>
                <c:formatCode>General</c:formatCode>
                <c:ptCount val="30"/>
                <c:pt idx="0">
                  <c:v>5.15</c:v>
                </c:pt>
                <c:pt idx="1">
                  <c:v>5.65</c:v>
                </c:pt>
                <c:pt idx="3">
                  <c:v>4.8539763412811689</c:v>
                </c:pt>
                <c:pt idx="4">
                  <c:v>5.2584848384686422</c:v>
                </c:pt>
                <c:pt idx="6">
                  <c:v>4.0789763412811686</c:v>
                </c:pt>
                <c:pt idx="7">
                  <c:v>4.2334848384686428</c:v>
                </c:pt>
                <c:pt idx="9">
                  <c:v>3.1210236587188316</c:v>
                </c:pt>
                <c:pt idx="10">
                  <c:v>2.9665151615313583</c:v>
                </c:pt>
                <c:pt idx="12">
                  <c:v>2.3460236587188317</c:v>
                </c:pt>
                <c:pt idx="13">
                  <c:v>1.9415151615313582</c:v>
                </c:pt>
                <c:pt idx="15">
                  <c:v>2.0499999999999998</c:v>
                </c:pt>
                <c:pt idx="16">
                  <c:v>1.5500000000000003</c:v>
                </c:pt>
                <c:pt idx="18">
                  <c:v>2.3460236587188312</c:v>
                </c:pt>
                <c:pt idx="19">
                  <c:v>1.9415151615313577</c:v>
                </c:pt>
                <c:pt idx="21">
                  <c:v>3.1210236587188316</c:v>
                </c:pt>
                <c:pt idx="22">
                  <c:v>2.9665151615313574</c:v>
                </c:pt>
                <c:pt idx="24">
                  <c:v>4.0789763412811686</c:v>
                </c:pt>
                <c:pt idx="25">
                  <c:v>4.2334848384686419</c:v>
                </c:pt>
                <c:pt idx="27">
                  <c:v>4.8539763412811681</c:v>
                </c:pt>
                <c:pt idx="28">
                  <c:v>5.2584848384686422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64-4946-9CCB-81C72B7B75C2}"/>
            </c:ext>
          </c:extLst>
        </c:ser>
        <c:ser>
          <c:idx val="3"/>
          <c:order val="3"/>
          <c:tx>
            <c:v>trazo</c:v>
          </c:tx>
          <c:spPr>
            <a:ln w="9525">
              <a:solidFill>
                <a:srgbClr val="595959"/>
              </a:solidFill>
              <a:prstDash val="solid"/>
            </a:ln>
          </c:spPr>
          <c:marker>
            <c:symbol val="none"/>
          </c:marker>
          <c:xVal>
            <c:numRef>
              <c:f>'Datos metrología'!$BA$40:$BA$80</c:f>
              <c:numCache>
                <c:formatCode>General</c:formatCode>
                <c:ptCount val="41"/>
                <c:pt idx="0">
                  <c:v>0</c:v>
                </c:pt>
                <c:pt idx="1">
                  <c:v>0.34415582308850795</c:v>
                </c:pt>
                <c:pt idx="2">
                  <c:v>0.67983738762488433</c:v>
                </c:pt>
                <c:pt idx="3">
                  <c:v>0.99877909942700294</c:v>
                </c:pt>
                <c:pt idx="4">
                  <c:v>1.2931275550434409</c:v>
                </c:pt>
                <c:pt idx="5">
                  <c:v>1.5556349186104046</c:v>
                </c:pt>
                <c:pt idx="6">
                  <c:v>1.7798373876248845</c:v>
                </c:pt>
                <c:pt idx="7">
                  <c:v>1.9602143532144094</c:v>
                </c:pt>
                <c:pt idx="8">
                  <c:v>2.0923243358493377</c:v>
                </c:pt>
                <c:pt idx="9">
                  <c:v>2.1729143493093033</c:v>
                </c:pt>
                <c:pt idx="10">
                  <c:v>2.2000000000000002</c:v>
                </c:pt>
                <c:pt idx="11">
                  <c:v>2.1729143493093033</c:v>
                </c:pt>
                <c:pt idx="12">
                  <c:v>2.0923243358493382</c:v>
                </c:pt>
                <c:pt idx="13">
                  <c:v>1.9602143532144096</c:v>
                </c:pt>
                <c:pt idx="14">
                  <c:v>1.7798373876248845</c:v>
                </c:pt>
                <c:pt idx="15">
                  <c:v>1.5556349186104048</c:v>
                </c:pt>
                <c:pt idx="16">
                  <c:v>1.2931275550434413</c:v>
                </c:pt>
                <c:pt idx="17">
                  <c:v>0.99877909942700316</c:v>
                </c:pt>
                <c:pt idx="18">
                  <c:v>0.67983738762488455</c:v>
                </c:pt>
                <c:pt idx="19">
                  <c:v>0.34415582308850817</c:v>
                </c:pt>
                <c:pt idx="20">
                  <c:v>2.695326600798964E-16</c:v>
                </c:pt>
                <c:pt idx="21">
                  <c:v>-0.34415582308850762</c:v>
                </c:pt>
                <c:pt idx="22">
                  <c:v>-0.6798373876248841</c:v>
                </c:pt>
                <c:pt idx="23">
                  <c:v>-0.99877909942700283</c:v>
                </c:pt>
                <c:pt idx="24">
                  <c:v>-1.2931275550434407</c:v>
                </c:pt>
                <c:pt idx="25">
                  <c:v>-1.5556349186104046</c:v>
                </c:pt>
                <c:pt idx="26">
                  <c:v>-1.7798373876248843</c:v>
                </c:pt>
                <c:pt idx="27">
                  <c:v>-1.9602143532144094</c:v>
                </c:pt>
                <c:pt idx="28">
                  <c:v>-2.0923243358493377</c:v>
                </c:pt>
                <c:pt idx="29">
                  <c:v>-2.1729143493093028</c:v>
                </c:pt>
                <c:pt idx="30">
                  <c:v>-2.2000000000000002</c:v>
                </c:pt>
                <c:pt idx="31">
                  <c:v>-2.1729143493093033</c:v>
                </c:pt>
                <c:pt idx="32">
                  <c:v>-2.0923243358493382</c:v>
                </c:pt>
                <c:pt idx="33">
                  <c:v>-1.9602143532144096</c:v>
                </c:pt>
                <c:pt idx="34">
                  <c:v>-1.7798373876248847</c:v>
                </c:pt>
                <c:pt idx="35">
                  <c:v>-1.555634918610405</c:v>
                </c:pt>
                <c:pt idx="36">
                  <c:v>-1.2931275550434416</c:v>
                </c:pt>
                <c:pt idx="37">
                  <c:v>-0.99877909942700338</c:v>
                </c:pt>
                <c:pt idx="38">
                  <c:v>-0.67983738762488477</c:v>
                </c:pt>
                <c:pt idx="39">
                  <c:v>-0.34415582308850851</c:v>
                </c:pt>
                <c:pt idx="40">
                  <c:v>-5.390653201597928E-16</c:v>
                </c:pt>
              </c:numCache>
            </c:numRef>
          </c:xVal>
          <c:yVal>
            <c:numRef>
              <c:f>'Datos metrología'!$BB$40:$BB$80</c:f>
              <c:numCache>
                <c:formatCode>General</c:formatCode>
                <c:ptCount val="41"/>
                <c:pt idx="0">
                  <c:v>5.8000000000000007</c:v>
                </c:pt>
                <c:pt idx="1">
                  <c:v>5.7729143493093034</c:v>
                </c:pt>
                <c:pt idx="2">
                  <c:v>5.6923243358493378</c:v>
                </c:pt>
                <c:pt idx="3">
                  <c:v>5.5602143532144099</c:v>
                </c:pt>
                <c:pt idx="4">
                  <c:v>5.3798373876248844</c:v>
                </c:pt>
                <c:pt idx="5">
                  <c:v>5.1556349186104047</c:v>
                </c:pt>
                <c:pt idx="6">
                  <c:v>4.8931275550434412</c:v>
                </c:pt>
                <c:pt idx="7">
                  <c:v>4.598779099427003</c:v>
                </c:pt>
                <c:pt idx="8">
                  <c:v>4.2798373876248847</c:v>
                </c:pt>
                <c:pt idx="9">
                  <c:v>3.9441558230885083</c:v>
                </c:pt>
                <c:pt idx="10">
                  <c:v>3.6</c:v>
                </c:pt>
                <c:pt idx="11">
                  <c:v>3.2558441769114923</c:v>
                </c:pt>
                <c:pt idx="12">
                  <c:v>2.9201626123751159</c:v>
                </c:pt>
                <c:pt idx="13">
                  <c:v>2.6012209005729972</c:v>
                </c:pt>
                <c:pt idx="14">
                  <c:v>2.3068724449565594</c:v>
                </c:pt>
                <c:pt idx="15">
                  <c:v>2.0443650813895955</c:v>
                </c:pt>
                <c:pt idx="16">
                  <c:v>1.8201626123751158</c:v>
                </c:pt>
                <c:pt idx="17">
                  <c:v>1.6397856467855907</c:v>
                </c:pt>
                <c:pt idx="18">
                  <c:v>1.5076756641506623</c:v>
                </c:pt>
                <c:pt idx="19">
                  <c:v>1.4270856506906973</c:v>
                </c:pt>
                <c:pt idx="20">
                  <c:v>1.4</c:v>
                </c:pt>
                <c:pt idx="21">
                  <c:v>1.4270856506906968</c:v>
                </c:pt>
                <c:pt idx="22">
                  <c:v>1.5076756641506619</c:v>
                </c:pt>
                <c:pt idx="23">
                  <c:v>1.6397856467855905</c:v>
                </c:pt>
                <c:pt idx="24">
                  <c:v>1.8201626123751153</c:v>
                </c:pt>
                <c:pt idx="25">
                  <c:v>2.0443650813895951</c:v>
                </c:pt>
                <c:pt idx="26">
                  <c:v>2.306872444956559</c:v>
                </c:pt>
                <c:pt idx="27">
                  <c:v>2.6012209005729967</c:v>
                </c:pt>
                <c:pt idx="28">
                  <c:v>2.9201626123751154</c:v>
                </c:pt>
                <c:pt idx="29">
                  <c:v>3.2558441769114919</c:v>
                </c:pt>
                <c:pt idx="30">
                  <c:v>3.5999999999999996</c:v>
                </c:pt>
                <c:pt idx="31">
                  <c:v>3.9441558230885074</c:v>
                </c:pt>
                <c:pt idx="32">
                  <c:v>4.2798373876248839</c:v>
                </c:pt>
                <c:pt idx="33">
                  <c:v>4.598779099427003</c:v>
                </c:pt>
                <c:pt idx="34">
                  <c:v>4.8931275550434403</c:v>
                </c:pt>
                <c:pt idx="35">
                  <c:v>5.1556349186104047</c:v>
                </c:pt>
                <c:pt idx="36">
                  <c:v>5.3798373876248844</c:v>
                </c:pt>
                <c:pt idx="37">
                  <c:v>5.560214353214409</c:v>
                </c:pt>
                <c:pt idx="38">
                  <c:v>5.6923243358493378</c:v>
                </c:pt>
                <c:pt idx="39">
                  <c:v>5.7729143493093034</c:v>
                </c:pt>
                <c:pt idx="40">
                  <c:v>5.8000000000000007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64-4946-9CCB-81C72B7B75C2}"/>
            </c:ext>
          </c:extLst>
        </c:ser>
        <c:ser>
          <c:idx val="4"/>
          <c:order val="4"/>
          <c:tx>
            <c:v>trazo</c:v>
          </c:tx>
          <c:spPr>
            <a:ln w="22225">
              <a:solidFill>
                <a:srgbClr val="2E9E44"/>
              </a:solidFill>
              <a:prstDash val="solid"/>
            </a:ln>
          </c:spPr>
          <c:marker>
            <c:symbol val="none"/>
          </c:marker>
          <c:xVal>
            <c:numRef>
              <c:f>'Datos metrología'!$BA$84:$BA$85</c:f>
              <c:numCache>
                <c:formatCode>General</c:formatCode>
                <c:ptCount val="2"/>
                <c:pt idx="0">
                  <c:v>0</c:v>
                </c:pt>
                <c:pt idx="1">
                  <c:v>0.38126029361394792</c:v>
                </c:pt>
              </c:numCache>
            </c:numRef>
          </c:xVal>
          <c:yVal>
            <c:numRef>
              <c:f>'Datos metrología'!$BB$84:$BB$85</c:f>
              <c:numCache>
                <c:formatCode>General</c:formatCode>
                <c:ptCount val="2"/>
                <c:pt idx="0">
                  <c:v>3.6</c:v>
                </c:pt>
                <c:pt idx="1">
                  <c:v>5.2566956837371812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864-4946-9CCB-81C72B7B75C2}"/>
            </c:ext>
          </c:extLst>
        </c:ser>
        <c:ser>
          <c:idx val="5"/>
          <c:order val="5"/>
          <c:tx>
            <c:strRef>
              <c:f>'Datos metrología'!$BC$90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00" b="1">
                    <a:solidFill>
                      <a:srgbClr val="595959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metrología'!$BA$90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'Datos metrología'!$BB$90</c:f>
              <c:numCache>
                <c:formatCode>General</c:formatCode>
                <c:ptCount val="1"/>
                <c:pt idx="0">
                  <c:v>4.6500000000000004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864-4946-9CCB-81C72B7B75C2}"/>
            </c:ext>
          </c:extLst>
        </c:ser>
        <c:ser>
          <c:idx val="6"/>
          <c:order val="6"/>
          <c:tx>
            <c:strRef>
              <c:f>'Datos metrología'!$BC$91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00" b="1">
                    <a:solidFill>
                      <a:srgbClr val="595959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metrología'!$BA$91</c:f>
              <c:numCache>
                <c:formatCode>General</c:formatCode>
                <c:ptCount val="1"/>
                <c:pt idx="0">
                  <c:v>0.61717451490709685</c:v>
                </c:pt>
              </c:numCache>
            </c:numRef>
          </c:xVal>
          <c:yVal>
            <c:numRef>
              <c:f>'Datos metrología'!$BB$91</c:f>
              <c:numCache>
                <c:formatCode>General</c:formatCode>
                <c:ptCount val="1"/>
                <c:pt idx="0">
                  <c:v>4.4494678440936948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864-4946-9CCB-81C72B7B75C2}"/>
            </c:ext>
          </c:extLst>
        </c:ser>
        <c:ser>
          <c:idx val="7"/>
          <c:order val="7"/>
          <c:tx>
            <c:strRef>
              <c:f>'Datos metrología'!$BC$92</c:f>
              <c:strCache>
                <c:ptCount val="1"/>
                <c:pt idx="0">
                  <c:v>2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00" b="1">
                    <a:solidFill>
                      <a:srgbClr val="595959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metrología'!$BA$92</c:f>
              <c:numCache>
                <c:formatCode>General</c:formatCode>
                <c:ptCount val="1"/>
                <c:pt idx="0">
                  <c:v>0.99860934210991126</c:v>
                </c:pt>
              </c:numCache>
            </c:numRef>
          </c:xVal>
          <c:yVal>
            <c:numRef>
              <c:f>'Datos metrología'!$BB$92</c:f>
              <c:numCache>
                <c:formatCode>General</c:formatCode>
                <c:ptCount val="1"/>
                <c:pt idx="0">
                  <c:v>3.9244678440936949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864-4946-9CCB-81C72B7B75C2}"/>
            </c:ext>
          </c:extLst>
        </c:ser>
        <c:ser>
          <c:idx val="8"/>
          <c:order val="8"/>
          <c:tx>
            <c:strRef>
              <c:f>'Datos metrología'!$BC$93</c:f>
              <c:strCache>
                <c:ptCount val="1"/>
                <c:pt idx="0">
                  <c:v>3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00" b="1">
                    <a:solidFill>
                      <a:srgbClr val="595959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metrología'!$BA$93</c:f>
              <c:numCache>
                <c:formatCode>General</c:formatCode>
                <c:ptCount val="1"/>
                <c:pt idx="0">
                  <c:v>0.99860934210991137</c:v>
                </c:pt>
              </c:numCache>
            </c:numRef>
          </c:xVal>
          <c:yVal>
            <c:numRef>
              <c:f>'Datos metrología'!$BB$93</c:f>
              <c:numCache>
                <c:formatCode>General</c:formatCode>
                <c:ptCount val="1"/>
                <c:pt idx="0">
                  <c:v>3.2755321559063053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864-4946-9CCB-81C72B7B75C2}"/>
            </c:ext>
          </c:extLst>
        </c:ser>
        <c:ser>
          <c:idx val="9"/>
          <c:order val="9"/>
          <c:tx>
            <c:strRef>
              <c:f>'Datos metrología'!$BC$94</c:f>
              <c:strCache>
                <c:ptCount val="1"/>
                <c:pt idx="0">
                  <c:v>4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00" b="1">
                    <a:solidFill>
                      <a:srgbClr val="595959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metrología'!$BA$94</c:f>
              <c:numCache>
                <c:formatCode>General</c:formatCode>
                <c:ptCount val="1"/>
                <c:pt idx="0">
                  <c:v>0.61717451490709696</c:v>
                </c:pt>
              </c:numCache>
            </c:numRef>
          </c:xVal>
          <c:yVal>
            <c:numRef>
              <c:f>'Datos metrología'!$BB$94</c:f>
              <c:numCache>
                <c:formatCode>General</c:formatCode>
                <c:ptCount val="1"/>
                <c:pt idx="0">
                  <c:v>2.7505321559063054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864-4946-9CCB-81C72B7B75C2}"/>
            </c:ext>
          </c:extLst>
        </c:ser>
        <c:ser>
          <c:idx val="10"/>
          <c:order val="10"/>
          <c:tx>
            <c:strRef>
              <c:f>'Datos metrología'!$BC$95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00" b="1">
                    <a:solidFill>
                      <a:srgbClr val="595959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metrología'!$BA$95</c:f>
              <c:numCache>
                <c:formatCode>General</c:formatCode>
                <c:ptCount val="1"/>
                <c:pt idx="0">
                  <c:v>1.286405877654051E-16</c:v>
                </c:pt>
              </c:numCache>
            </c:numRef>
          </c:xVal>
          <c:yVal>
            <c:numRef>
              <c:f>'Datos metrología'!$BB$95</c:f>
              <c:numCache>
                <c:formatCode>General</c:formatCode>
                <c:ptCount val="1"/>
                <c:pt idx="0">
                  <c:v>2.5499999999999998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864-4946-9CCB-81C72B7B75C2}"/>
            </c:ext>
          </c:extLst>
        </c:ser>
        <c:ser>
          <c:idx val="11"/>
          <c:order val="11"/>
          <c:tx>
            <c:strRef>
              <c:f>'Datos metrología'!$BC$96</c:f>
              <c:strCache>
                <c:ptCount val="1"/>
                <c:pt idx="0">
                  <c:v>6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00" b="1">
                    <a:solidFill>
                      <a:srgbClr val="595959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metrología'!$BA$96</c:f>
              <c:numCache>
                <c:formatCode>General</c:formatCode>
                <c:ptCount val="1"/>
                <c:pt idx="0">
                  <c:v>-0.61717451490709674</c:v>
                </c:pt>
              </c:numCache>
            </c:numRef>
          </c:xVal>
          <c:yVal>
            <c:numRef>
              <c:f>'Datos metrología'!$BB$96</c:f>
              <c:numCache>
                <c:formatCode>General</c:formatCode>
                <c:ptCount val="1"/>
                <c:pt idx="0">
                  <c:v>2.750532155906305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864-4946-9CCB-81C72B7B75C2}"/>
            </c:ext>
          </c:extLst>
        </c:ser>
        <c:ser>
          <c:idx val="12"/>
          <c:order val="12"/>
          <c:tx>
            <c:strRef>
              <c:f>'Datos metrología'!$BC$97</c:f>
              <c:strCache>
                <c:ptCount val="1"/>
                <c:pt idx="0">
                  <c:v>7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00" b="1">
                    <a:solidFill>
                      <a:srgbClr val="595959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metrología'!$BA$97</c:f>
              <c:numCache>
                <c:formatCode>General</c:formatCode>
                <c:ptCount val="1"/>
                <c:pt idx="0">
                  <c:v>-0.99860934210991126</c:v>
                </c:pt>
              </c:numCache>
            </c:numRef>
          </c:xVal>
          <c:yVal>
            <c:numRef>
              <c:f>'Datos metrología'!$BB$97</c:f>
              <c:numCache>
                <c:formatCode>General</c:formatCode>
                <c:ptCount val="1"/>
                <c:pt idx="0">
                  <c:v>3.2755321559063053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864-4946-9CCB-81C72B7B75C2}"/>
            </c:ext>
          </c:extLst>
        </c:ser>
        <c:ser>
          <c:idx val="13"/>
          <c:order val="13"/>
          <c:tx>
            <c:strRef>
              <c:f>'Datos metrología'!$BC$98</c:f>
              <c:strCache>
                <c:ptCount val="1"/>
                <c:pt idx="0">
                  <c:v>8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00" b="1">
                    <a:solidFill>
                      <a:srgbClr val="595959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metrología'!$BA$98</c:f>
              <c:numCache>
                <c:formatCode>General</c:formatCode>
                <c:ptCount val="1"/>
                <c:pt idx="0">
                  <c:v>-0.99860934210991137</c:v>
                </c:pt>
              </c:numCache>
            </c:numRef>
          </c:xVal>
          <c:yVal>
            <c:numRef>
              <c:f>'Datos metrología'!$BB$98</c:f>
              <c:numCache>
                <c:formatCode>General</c:formatCode>
                <c:ptCount val="1"/>
                <c:pt idx="0">
                  <c:v>3.9244678440936949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864-4946-9CCB-81C72B7B75C2}"/>
            </c:ext>
          </c:extLst>
        </c:ser>
        <c:ser>
          <c:idx val="14"/>
          <c:order val="14"/>
          <c:tx>
            <c:strRef>
              <c:f>'Datos metrología'!$BC$99</c:f>
              <c:strCache>
                <c:ptCount val="1"/>
                <c:pt idx="0">
                  <c:v>9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00" b="1">
                    <a:solidFill>
                      <a:srgbClr val="595959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metrología'!$BA$99</c:f>
              <c:numCache>
                <c:formatCode>General</c:formatCode>
                <c:ptCount val="1"/>
                <c:pt idx="0">
                  <c:v>-0.61717451490709707</c:v>
                </c:pt>
              </c:numCache>
            </c:numRef>
          </c:xVal>
          <c:yVal>
            <c:numRef>
              <c:f>'Datos metrología'!$BB$99</c:f>
              <c:numCache>
                <c:formatCode>General</c:formatCode>
                <c:ptCount val="1"/>
                <c:pt idx="0">
                  <c:v>4.4494678440936948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864-4946-9CCB-81C72B7B75C2}"/>
            </c:ext>
          </c:extLst>
        </c:ser>
        <c:ser>
          <c:idx val="15"/>
          <c:order val="15"/>
          <c:tx>
            <c:strRef>
              <c:f>'Datos metrología'!$AV$4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metrología'!$AT$4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'Datos metrología'!$AU$4</c:f>
              <c:numCache>
                <c:formatCode>General</c:formatCode>
                <c:ptCount val="1"/>
                <c:pt idx="0">
                  <c:v>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864-4946-9CCB-81C72B7B75C2}"/>
            </c:ext>
          </c:extLst>
        </c:ser>
        <c:ser>
          <c:idx val="16"/>
          <c:order val="16"/>
          <c:tx>
            <c:strRef>
              <c:f>'Datos metrología'!$AV$5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metrología'!$AT$5</c:f>
              <c:numCache>
                <c:formatCode>General</c:formatCode>
                <c:ptCount val="1"/>
                <c:pt idx="0">
                  <c:v>3.8793826651303225</c:v>
                </c:pt>
              </c:numCache>
            </c:numRef>
          </c:xVal>
          <c:yVal>
            <c:numRef>
              <c:f>'Datos metrología'!$AU$5</c:f>
              <c:numCache>
                <c:formatCode>General</c:formatCode>
                <c:ptCount val="1"/>
                <c:pt idx="0">
                  <c:v>5.3395121628746525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864-4946-9CCB-81C72B7B75C2}"/>
            </c:ext>
          </c:extLst>
        </c:ser>
        <c:ser>
          <c:idx val="17"/>
          <c:order val="17"/>
          <c:tx>
            <c:strRef>
              <c:f>'Datos metrología'!$AV$6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metrología'!$AT$6</c:f>
              <c:numCache>
                <c:formatCode>General</c:formatCode>
                <c:ptCount val="1"/>
                <c:pt idx="0">
                  <c:v>6.2769730075480128</c:v>
                </c:pt>
              </c:numCache>
            </c:numRef>
          </c:xVal>
          <c:yVal>
            <c:numRef>
              <c:f>'Datos metrología'!$AU$6</c:f>
              <c:numCache>
                <c:formatCode>General</c:formatCode>
                <c:ptCount val="1"/>
                <c:pt idx="0">
                  <c:v>2.0395121628746531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864-4946-9CCB-81C72B7B75C2}"/>
            </c:ext>
          </c:extLst>
        </c:ser>
        <c:ser>
          <c:idx val="18"/>
          <c:order val="18"/>
          <c:tx>
            <c:strRef>
              <c:f>'Datos metrología'!$AV$7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metrología'!$AT$7</c:f>
              <c:numCache>
                <c:formatCode>General</c:formatCode>
                <c:ptCount val="1"/>
                <c:pt idx="0">
                  <c:v>6.2769730075480137</c:v>
                </c:pt>
              </c:numCache>
            </c:numRef>
          </c:xVal>
          <c:yVal>
            <c:numRef>
              <c:f>'Datos metrología'!$AU$7</c:f>
              <c:numCache>
                <c:formatCode>General</c:formatCode>
                <c:ptCount val="1"/>
                <c:pt idx="0">
                  <c:v>-2.0395121628746522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864-4946-9CCB-81C72B7B75C2}"/>
            </c:ext>
          </c:extLst>
        </c:ser>
        <c:ser>
          <c:idx val="19"/>
          <c:order val="19"/>
          <c:tx>
            <c:strRef>
              <c:f>'Datos metrología'!$AV$8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metrología'!$AT$8</c:f>
              <c:numCache>
                <c:formatCode>General</c:formatCode>
                <c:ptCount val="1"/>
                <c:pt idx="0">
                  <c:v>3.8793826651303234</c:v>
                </c:pt>
              </c:numCache>
            </c:numRef>
          </c:xVal>
          <c:yVal>
            <c:numRef>
              <c:f>'Datos metrología'!$AU$8</c:f>
              <c:numCache>
                <c:formatCode>General</c:formatCode>
                <c:ptCount val="1"/>
                <c:pt idx="0">
                  <c:v>-5.3395121628746525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864-4946-9CCB-81C72B7B75C2}"/>
            </c:ext>
          </c:extLst>
        </c:ser>
        <c:ser>
          <c:idx val="20"/>
          <c:order val="20"/>
          <c:tx>
            <c:strRef>
              <c:f>'Datos metrología'!$AV$9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metrología'!$AT$9</c:f>
              <c:numCache>
                <c:formatCode>General</c:formatCode>
                <c:ptCount val="1"/>
                <c:pt idx="0">
                  <c:v>8.0859798023968921E-16</c:v>
                </c:pt>
              </c:numCache>
            </c:numRef>
          </c:xVal>
          <c:yVal>
            <c:numRef>
              <c:f>'Datos metrología'!$AU$9</c:f>
              <c:numCache>
                <c:formatCode>General</c:formatCode>
                <c:ptCount val="1"/>
                <c:pt idx="0">
                  <c:v>-6.6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4864-4946-9CCB-81C72B7B75C2}"/>
            </c:ext>
          </c:extLst>
        </c:ser>
        <c:ser>
          <c:idx val="21"/>
          <c:order val="21"/>
          <c:tx>
            <c:strRef>
              <c:f>'Datos metrología'!$AV$10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metrología'!$AT$10</c:f>
              <c:numCache>
                <c:formatCode>General</c:formatCode>
                <c:ptCount val="1"/>
                <c:pt idx="0">
                  <c:v>-3.8793826651303216</c:v>
                </c:pt>
              </c:numCache>
            </c:numRef>
          </c:xVal>
          <c:yVal>
            <c:numRef>
              <c:f>'Datos metrología'!$AU$10</c:f>
              <c:numCache>
                <c:formatCode>General</c:formatCode>
                <c:ptCount val="1"/>
                <c:pt idx="0">
                  <c:v>-5.3395121628746534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864-4946-9CCB-81C72B7B75C2}"/>
            </c:ext>
          </c:extLst>
        </c:ser>
        <c:ser>
          <c:idx val="22"/>
          <c:order val="22"/>
          <c:tx>
            <c:strRef>
              <c:f>'Datos metrología'!$AV$11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metrología'!$AT$11</c:f>
              <c:numCache>
                <c:formatCode>General</c:formatCode>
                <c:ptCount val="1"/>
                <c:pt idx="0">
                  <c:v>-6.2769730075480128</c:v>
                </c:pt>
              </c:numCache>
            </c:numRef>
          </c:xVal>
          <c:yVal>
            <c:numRef>
              <c:f>'Datos metrología'!$AU$11</c:f>
              <c:numCache>
                <c:formatCode>General</c:formatCode>
                <c:ptCount val="1"/>
                <c:pt idx="0">
                  <c:v>-2.039512162874654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4864-4946-9CCB-81C72B7B75C2}"/>
            </c:ext>
          </c:extLst>
        </c:ser>
        <c:ser>
          <c:idx val="23"/>
          <c:order val="23"/>
          <c:tx>
            <c:strRef>
              <c:f>'Datos metrología'!$AV$12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metrología'!$AT$12</c:f>
              <c:numCache>
                <c:formatCode>General</c:formatCode>
                <c:ptCount val="1"/>
                <c:pt idx="0">
                  <c:v>-6.2769730075480137</c:v>
                </c:pt>
              </c:numCache>
            </c:numRef>
          </c:xVal>
          <c:yVal>
            <c:numRef>
              <c:f>'Datos metrología'!$AU$12</c:f>
              <c:numCache>
                <c:formatCode>General</c:formatCode>
                <c:ptCount val="1"/>
                <c:pt idx="0">
                  <c:v>2.0395121628746518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4864-4946-9CCB-81C72B7B75C2}"/>
            </c:ext>
          </c:extLst>
        </c:ser>
        <c:ser>
          <c:idx val="24"/>
          <c:order val="24"/>
          <c:tx>
            <c:strRef>
              <c:f>'Datos metrología'!$AV$13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metrología'!$AT$13</c:f>
              <c:numCache>
                <c:formatCode>General</c:formatCode>
                <c:ptCount val="1"/>
                <c:pt idx="0">
                  <c:v>-3.8793826651303238</c:v>
                </c:pt>
              </c:numCache>
            </c:numRef>
          </c:xVal>
          <c:yVal>
            <c:numRef>
              <c:f>'Datos metrología'!$AU$13</c:f>
              <c:numCache>
                <c:formatCode>General</c:formatCode>
                <c:ptCount val="1"/>
                <c:pt idx="0">
                  <c:v>5.3395121628746525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4864-4946-9CCB-81C72B7B75C2}"/>
            </c:ext>
          </c:extLst>
        </c:ser>
        <c:ser>
          <c:idx val="25"/>
          <c:order val="25"/>
          <c:tx>
            <c:v>trazo</c:v>
          </c:tx>
          <c:spPr>
            <a:ln w="34925">
              <a:solidFill>
                <a:srgbClr val="D7301F"/>
              </a:solidFill>
              <a:prstDash val="solid"/>
            </a:ln>
          </c:spPr>
          <c:marker>
            <c:symbol val="none"/>
          </c:marker>
          <c:xVal>
            <c:numRef>
              <c:f>'Datos metrología'!$AX$4:$AX$5</c:f>
              <c:numCache>
                <c:formatCode>General</c:formatCode>
                <c:ptCount val="2"/>
                <c:pt idx="0">
                  <c:v>-1.232821188441263</c:v>
                </c:pt>
                <c:pt idx="1">
                  <c:v>7.0887218335372602</c:v>
                </c:pt>
              </c:numCache>
            </c:numRef>
          </c:xVal>
          <c:yVal>
            <c:numRef>
              <c:f>'Datos metrología'!$AY$4:$AY$5</c:f>
              <c:numCache>
                <c:formatCode>General</c:formatCode>
                <c:ptCount val="2"/>
                <c:pt idx="0">
                  <c:v>1.0198783835979037</c:v>
                </c:pt>
                <c:pt idx="1">
                  <c:v>-5.8643007056879455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4864-4946-9CCB-81C72B7B75C2}"/>
            </c:ext>
          </c:extLst>
        </c:ser>
        <c:ser>
          <c:idx val="26"/>
          <c:order val="26"/>
          <c:tx>
            <c:v>trazo</c:v>
          </c:tx>
          <c:spPr>
            <a:ln w="12700">
              <a:solidFill>
                <a:srgbClr val="D7301F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404040"/>
              </a:solidFill>
              <a:ln>
                <a:prstDash val="solid"/>
              </a:ln>
            </c:spPr>
          </c:marker>
          <c:xVal>
            <c:numRef>
              <c:f>'Datos metrología'!$AX$7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'Datos metrología'!$AY$7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4864-4946-9CCB-81C72B7B7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2"/>
          <c:min val="-12"/>
        </c:scaling>
        <c:delete val="1"/>
        <c:axPos val="b"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2"/>
          <c:min val="-12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t>Alexómetro: esfera centesimal con cero arriba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06"/>
          <c:y val="0.1"/>
          <c:w val="0.88"/>
          <c:h val="0.88"/>
        </c:manualLayout>
      </c:layout>
      <c:scatterChart>
        <c:scatterStyle val="lineMarker"/>
        <c:varyColors val="0"/>
        <c:ser>
          <c:idx val="0"/>
          <c:order val="0"/>
          <c:tx>
            <c:v>trazo</c:v>
          </c:tx>
          <c:spPr>
            <a:ln w="28575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'Datos metrología'!$BK$4:$BK$124</c:f>
              <c:numCache>
                <c:formatCode>General</c:formatCode>
                <c:ptCount val="121"/>
                <c:pt idx="0">
                  <c:v>0</c:v>
                </c:pt>
                <c:pt idx="1">
                  <c:v>0.53382675367802712</c:v>
                </c:pt>
                <c:pt idx="2">
                  <c:v>1.0661903253300653</c:v>
                </c:pt>
                <c:pt idx="3">
                  <c:v>1.5956315434103547</c:v>
                </c:pt>
                <c:pt idx="4">
                  <c:v>2.1206992463411449</c:v>
                </c:pt>
                <c:pt idx="5">
                  <c:v>2.6399542600457115</c:v>
                </c:pt>
                <c:pt idx="6">
                  <c:v>3.1519733426244634</c:v>
                </c:pt>
                <c:pt idx="7">
                  <c:v>3.6553530853620626</c:v>
                </c:pt>
                <c:pt idx="8">
                  <c:v>4.1487137593731616</c:v>
                </c:pt>
                <c:pt idx="9">
                  <c:v>4.6307030973433765</c:v>
                </c:pt>
                <c:pt idx="10">
                  <c:v>5.0999999999999988</c:v>
                </c:pt>
                <c:pt idx="11">
                  <c:v>5.5553181571532759</c:v>
                </c:pt>
                <c:pt idx="12">
                  <c:v>5.9954095733832258</c:v>
                </c:pt>
                <c:pt idx="13">
                  <c:v>6.4190679887083411</c:v>
                </c:pt>
                <c:pt idx="14">
                  <c:v>6.8251321848603537</c:v>
                </c:pt>
                <c:pt idx="15">
                  <c:v>7.2124891681027838</c:v>
                </c:pt>
                <c:pt idx="16">
                  <c:v>7.5800772198694206</c:v>
                </c:pt>
                <c:pt idx="17">
                  <c:v>7.9268888068611023</c:v>
                </c:pt>
                <c:pt idx="18">
                  <c:v>8.2519733426244635</c:v>
                </c:pt>
                <c:pt idx="19">
                  <c:v>8.5544397930433256</c:v>
                </c:pt>
                <c:pt idx="20">
                  <c:v>8.8334591186012723</c:v>
                </c:pt>
                <c:pt idx="21">
                  <c:v>9.0882665467213499</c:v>
                </c:pt>
                <c:pt idx="22">
                  <c:v>9.3181636679545274</c:v>
                </c:pt>
                <c:pt idx="23">
                  <c:v>9.5225203502714564</c:v>
                </c:pt>
                <c:pt idx="24">
                  <c:v>9.7007764662105647</c:v>
                </c:pt>
                <c:pt idx="25">
                  <c:v>9.8524434281484954</c:v>
                </c:pt>
                <c:pt idx="26">
                  <c:v>9.9771055274848166</c:v>
                </c:pt>
                <c:pt idx="27">
                  <c:v>10.074421074070404</c:v>
                </c:pt>
                <c:pt idx="28">
                  <c:v>10.144123332756386</c:v>
                </c:pt>
                <c:pt idx="29">
                  <c:v>10.186021254496652</c:v>
                </c:pt>
                <c:pt idx="30">
                  <c:v>10.199999999999999</c:v>
                </c:pt>
                <c:pt idx="31">
                  <c:v>10.186021254496652</c:v>
                </c:pt>
                <c:pt idx="32">
                  <c:v>10.144123332756386</c:v>
                </c:pt>
                <c:pt idx="33">
                  <c:v>10.074421074070404</c:v>
                </c:pt>
                <c:pt idx="34">
                  <c:v>9.9771055274848166</c:v>
                </c:pt>
                <c:pt idx="35">
                  <c:v>9.8524434281484954</c:v>
                </c:pt>
                <c:pt idx="36">
                  <c:v>9.7007764662105664</c:v>
                </c:pt>
                <c:pt idx="37">
                  <c:v>9.5225203502714564</c:v>
                </c:pt>
                <c:pt idx="38">
                  <c:v>9.3181636679545274</c:v>
                </c:pt>
                <c:pt idx="39">
                  <c:v>9.0882665467213517</c:v>
                </c:pt>
                <c:pt idx="40">
                  <c:v>8.8334591186012741</c:v>
                </c:pt>
                <c:pt idx="41">
                  <c:v>8.5544397930433238</c:v>
                </c:pt>
                <c:pt idx="42">
                  <c:v>8.2519733426244635</c:v>
                </c:pt>
                <c:pt idx="43">
                  <c:v>7.9268888068611041</c:v>
                </c:pt>
                <c:pt idx="44">
                  <c:v>7.5800772198694206</c:v>
                </c:pt>
                <c:pt idx="45">
                  <c:v>7.2124891681027847</c:v>
                </c:pt>
                <c:pt idx="46">
                  <c:v>6.8251321848603546</c:v>
                </c:pt>
                <c:pt idx="47">
                  <c:v>6.4190679887083411</c:v>
                </c:pt>
                <c:pt idx="48">
                  <c:v>5.9954095733832267</c:v>
                </c:pt>
                <c:pt idx="49">
                  <c:v>5.5553181571532777</c:v>
                </c:pt>
                <c:pt idx="50">
                  <c:v>5.0999999999999988</c:v>
                </c:pt>
                <c:pt idx="51">
                  <c:v>4.6307030973433774</c:v>
                </c:pt>
                <c:pt idx="52">
                  <c:v>4.1487137593731642</c:v>
                </c:pt>
                <c:pt idx="53">
                  <c:v>3.6553530853620617</c:v>
                </c:pt>
                <c:pt idx="54">
                  <c:v>3.1519733426244643</c:v>
                </c:pt>
                <c:pt idx="55">
                  <c:v>2.6399542600457142</c:v>
                </c:pt>
                <c:pt idx="56">
                  <c:v>2.1206992463411449</c:v>
                </c:pt>
                <c:pt idx="57">
                  <c:v>1.5956315434103558</c:v>
                </c:pt>
                <c:pt idx="58">
                  <c:v>1.066190325330068</c:v>
                </c:pt>
                <c:pt idx="59">
                  <c:v>0.53382675367802679</c:v>
                </c:pt>
                <c:pt idx="60">
                  <c:v>1.2496514240067924E-15</c:v>
                </c:pt>
                <c:pt idx="61">
                  <c:v>-0.53382675367802424</c:v>
                </c:pt>
                <c:pt idx="62">
                  <c:v>-1.0661903253300655</c:v>
                </c:pt>
                <c:pt idx="63">
                  <c:v>-1.5956315434103534</c:v>
                </c:pt>
                <c:pt idx="64">
                  <c:v>-2.1206992463411467</c:v>
                </c:pt>
                <c:pt idx="65">
                  <c:v>-2.639954260045712</c:v>
                </c:pt>
                <c:pt idx="66">
                  <c:v>-3.151973342624462</c:v>
                </c:pt>
                <c:pt idx="67">
                  <c:v>-3.6553530853620644</c:v>
                </c:pt>
                <c:pt idx="68">
                  <c:v>-4.1487137593731616</c:v>
                </c:pt>
                <c:pt idx="69">
                  <c:v>-4.6307030973433756</c:v>
                </c:pt>
                <c:pt idx="70">
                  <c:v>-5.1000000000000005</c:v>
                </c:pt>
                <c:pt idx="71">
                  <c:v>-5.5553181571532759</c:v>
                </c:pt>
                <c:pt idx="72">
                  <c:v>-5.9954095733832249</c:v>
                </c:pt>
                <c:pt idx="73">
                  <c:v>-6.4190679887083428</c:v>
                </c:pt>
                <c:pt idx="74">
                  <c:v>-6.8251321848603537</c:v>
                </c:pt>
                <c:pt idx="75">
                  <c:v>-7.2124891681027838</c:v>
                </c:pt>
                <c:pt idx="76">
                  <c:v>-7.5800772198694215</c:v>
                </c:pt>
                <c:pt idx="77">
                  <c:v>-7.9268888068610996</c:v>
                </c:pt>
                <c:pt idx="78">
                  <c:v>-8.2519733426244617</c:v>
                </c:pt>
                <c:pt idx="79">
                  <c:v>-8.5544397930433256</c:v>
                </c:pt>
                <c:pt idx="80">
                  <c:v>-8.8334591186012705</c:v>
                </c:pt>
                <c:pt idx="81">
                  <c:v>-9.0882665467213499</c:v>
                </c:pt>
                <c:pt idx="82">
                  <c:v>-9.3181636679545292</c:v>
                </c:pt>
                <c:pt idx="83">
                  <c:v>-9.5225203502714564</c:v>
                </c:pt>
                <c:pt idx="84">
                  <c:v>-9.7007764662105647</c:v>
                </c:pt>
                <c:pt idx="85">
                  <c:v>-9.8524434281484954</c:v>
                </c:pt>
                <c:pt idx="86">
                  <c:v>-9.9771055274848166</c:v>
                </c:pt>
                <c:pt idx="87">
                  <c:v>-10.074421074070404</c:v>
                </c:pt>
                <c:pt idx="88">
                  <c:v>-10.144123332756388</c:v>
                </c:pt>
                <c:pt idx="89">
                  <c:v>-10.186021254496652</c:v>
                </c:pt>
                <c:pt idx="90">
                  <c:v>-10.199999999999999</c:v>
                </c:pt>
                <c:pt idx="91">
                  <c:v>-10.186021254496652</c:v>
                </c:pt>
                <c:pt idx="92">
                  <c:v>-10.144123332756388</c:v>
                </c:pt>
                <c:pt idx="93">
                  <c:v>-10.074421074070404</c:v>
                </c:pt>
                <c:pt idx="94">
                  <c:v>-9.9771055274848166</c:v>
                </c:pt>
                <c:pt idx="95">
                  <c:v>-9.8524434281484972</c:v>
                </c:pt>
                <c:pt idx="96">
                  <c:v>-9.7007764662105664</c:v>
                </c:pt>
                <c:pt idx="97">
                  <c:v>-9.5225203502714564</c:v>
                </c:pt>
                <c:pt idx="98">
                  <c:v>-9.318163667954531</c:v>
                </c:pt>
                <c:pt idx="99">
                  <c:v>-9.0882665467213517</c:v>
                </c:pt>
                <c:pt idx="100">
                  <c:v>-8.8334591186012723</c:v>
                </c:pt>
                <c:pt idx="101">
                  <c:v>-8.5544397930433274</c:v>
                </c:pt>
                <c:pt idx="102">
                  <c:v>-8.2519733426244652</c:v>
                </c:pt>
                <c:pt idx="103">
                  <c:v>-7.9268888068611014</c:v>
                </c:pt>
                <c:pt idx="104">
                  <c:v>-7.5800772198694242</c:v>
                </c:pt>
                <c:pt idx="105">
                  <c:v>-7.2124891681027856</c:v>
                </c:pt>
                <c:pt idx="106">
                  <c:v>-6.8251321848603528</c:v>
                </c:pt>
                <c:pt idx="107">
                  <c:v>-6.4190679887083455</c:v>
                </c:pt>
                <c:pt idx="108">
                  <c:v>-5.9954095733832276</c:v>
                </c:pt>
                <c:pt idx="109">
                  <c:v>-5.555318157153275</c:v>
                </c:pt>
                <c:pt idx="110">
                  <c:v>-5.1000000000000041</c:v>
                </c:pt>
                <c:pt idx="111">
                  <c:v>-4.6307030973433791</c:v>
                </c:pt>
                <c:pt idx="112">
                  <c:v>-4.1487137593731616</c:v>
                </c:pt>
                <c:pt idx="113">
                  <c:v>-3.6553530853620675</c:v>
                </c:pt>
                <c:pt idx="114">
                  <c:v>-3.1519733426244656</c:v>
                </c:pt>
                <c:pt idx="115">
                  <c:v>-2.6399542600457107</c:v>
                </c:pt>
                <c:pt idx="116">
                  <c:v>-2.1206992463411507</c:v>
                </c:pt>
                <c:pt idx="117">
                  <c:v>-1.5956315434103574</c:v>
                </c:pt>
                <c:pt idx="118">
                  <c:v>-1.0661903253300649</c:v>
                </c:pt>
                <c:pt idx="119">
                  <c:v>-0.53382675367803256</c:v>
                </c:pt>
                <c:pt idx="120">
                  <c:v>-2.4993028480135848E-15</c:v>
                </c:pt>
              </c:numCache>
            </c:numRef>
          </c:xVal>
          <c:yVal>
            <c:numRef>
              <c:f>'Datos metrología'!$BL$4:$BL$124</c:f>
              <c:numCache>
                <c:formatCode>General</c:formatCode>
                <c:ptCount val="121"/>
                <c:pt idx="0">
                  <c:v>10.199999999999999</c:v>
                </c:pt>
                <c:pt idx="1">
                  <c:v>10.186021254496652</c:v>
                </c:pt>
                <c:pt idx="2">
                  <c:v>10.144123332756386</c:v>
                </c:pt>
                <c:pt idx="3">
                  <c:v>10.074421074070404</c:v>
                </c:pt>
                <c:pt idx="4">
                  <c:v>9.9771055274848166</c:v>
                </c:pt>
                <c:pt idx="5">
                  <c:v>9.8524434281484954</c:v>
                </c:pt>
                <c:pt idx="6">
                  <c:v>9.7007764662105647</c:v>
                </c:pt>
                <c:pt idx="7">
                  <c:v>9.5225203502714564</c:v>
                </c:pt>
                <c:pt idx="8">
                  <c:v>9.3181636679545274</c:v>
                </c:pt>
                <c:pt idx="9">
                  <c:v>9.0882665467213517</c:v>
                </c:pt>
                <c:pt idx="10">
                  <c:v>8.8334591186012741</c:v>
                </c:pt>
                <c:pt idx="11">
                  <c:v>8.5544397930433256</c:v>
                </c:pt>
                <c:pt idx="12">
                  <c:v>8.2519733426244635</c:v>
                </c:pt>
                <c:pt idx="13">
                  <c:v>7.9268888068611023</c:v>
                </c:pt>
                <c:pt idx="14">
                  <c:v>7.5800772198694206</c:v>
                </c:pt>
                <c:pt idx="15">
                  <c:v>7.2124891681027847</c:v>
                </c:pt>
                <c:pt idx="16">
                  <c:v>6.8251321848603537</c:v>
                </c:pt>
                <c:pt idx="17">
                  <c:v>6.4190679887083419</c:v>
                </c:pt>
                <c:pt idx="18">
                  <c:v>5.9954095733832258</c:v>
                </c:pt>
                <c:pt idx="19">
                  <c:v>5.5553181571532759</c:v>
                </c:pt>
                <c:pt idx="20">
                  <c:v>5.1000000000000005</c:v>
                </c:pt>
                <c:pt idx="21">
                  <c:v>4.6307030973433774</c:v>
                </c:pt>
                <c:pt idx="22">
                  <c:v>4.1487137593731616</c:v>
                </c:pt>
                <c:pt idx="23">
                  <c:v>3.6553530853620635</c:v>
                </c:pt>
                <c:pt idx="24">
                  <c:v>3.1519733426244638</c:v>
                </c:pt>
                <c:pt idx="25">
                  <c:v>2.6399542600457115</c:v>
                </c:pt>
                <c:pt idx="26">
                  <c:v>2.1206992463411463</c:v>
                </c:pt>
                <c:pt idx="27">
                  <c:v>1.5956315434103554</c:v>
                </c:pt>
                <c:pt idx="28">
                  <c:v>1.0661903253300651</c:v>
                </c:pt>
                <c:pt idx="29">
                  <c:v>0.53382675367802845</c:v>
                </c:pt>
                <c:pt idx="30">
                  <c:v>6.2482571200339621E-16</c:v>
                </c:pt>
                <c:pt idx="31">
                  <c:v>-0.53382675367802712</c:v>
                </c:pt>
                <c:pt idx="32">
                  <c:v>-1.0661903253300662</c:v>
                </c:pt>
                <c:pt idx="33">
                  <c:v>-1.5956315434103543</c:v>
                </c:pt>
                <c:pt idx="34">
                  <c:v>-2.1206992463411449</c:v>
                </c:pt>
                <c:pt idx="35">
                  <c:v>-2.6399542600457124</c:v>
                </c:pt>
                <c:pt idx="36">
                  <c:v>-3.1519733426244625</c:v>
                </c:pt>
                <c:pt idx="37">
                  <c:v>-3.6553530853620626</c:v>
                </c:pt>
                <c:pt idx="38">
                  <c:v>-4.1487137593731624</c:v>
                </c:pt>
                <c:pt idx="39">
                  <c:v>-4.6307030973433756</c:v>
                </c:pt>
                <c:pt idx="40">
                  <c:v>-5.099999999999997</c:v>
                </c:pt>
                <c:pt idx="41">
                  <c:v>-5.5553181571532759</c:v>
                </c:pt>
                <c:pt idx="42">
                  <c:v>-5.9954095733832249</c:v>
                </c:pt>
                <c:pt idx="43">
                  <c:v>-6.4190679887083402</c:v>
                </c:pt>
                <c:pt idx="44">
                  <c:v>-6.8251321848603537</c:v>
                </c:pt>
                <c:pt idx="45">
                  <c:v>-7.2124891681027838</c:v>
                </c:pt>
                <c:pt idx="46">
                  <c:v>-7.5800772198694188</c:v>
                </c:pt>
                <c:pt idx="47">
                  <c:v>-7.9268888068611023</c:v>
                </c:pt>
                <c:pt idx="48">
                  <c:v>-8.2519733426244617</c:v>
                </c:pt>
                <c:pt idx="49">
                  <c:v>-8.5544397930433238</c:v>
                </c:pt>
                <c:pt idx="50">
                  <c:v>-8.8334591186012741</c:v>
                </c:pt>
                <c:pt idx="51">
                  <c:v>-9.0882665467213499</c:v>
                </c:pt>
                <c:pt idx="52">
                  <c:v>-9.3181636679545274</c:v>
                </c:pt>
                <c:pt idx="53">
                  <c:v>-9.5225203502714564</c:v>
                </c:pt>
                <c:pt idx="54">
                  <c:v>-9.7007764662105647</c:v>
                </c:pt>
                <c:pt idx="55">
                  <c:v>-9.8524434281484954</c:v>
                </c:pt>
                <c:pt idx="56">
                  <c:v>-9.9771055274848166</c:v>
                </c:pt>
                <c:pt idx="57">
                  <c:v>-10.074421074070404</c:v>
                </c:pt>
                <c:pt idx="58">
                  <c:v>-10.144123332756386</c:v>
                </c:pt>
                <c:pt idx="59">
                  <c:v>-10.186021254496652</c:v>
                </c:pt>
                <c:pt idx="60">
                  <c:v>-10.199999999999999</c:v>
                </c:pt>
                <c:pt idx="61">
                  <c:v>-10.186021254496652</c:v>
                </c:pt>
                <c:pt idx="62">
                  <c:v>-10.144123332756386</c:v>
                </c:pt>
                <c:pt idx="63">
                  <c:v>-10.074421074070404</c:v>
                </c:pt>
                <c:pt idx="64">
                  <c:v>-9.9771055274848166</c:v>
                </c:pt>
                <c:pt idx="65">
                  <c:v>-9.8524434281484954</c:v>
                </c:pt>
                <c:pt idx="66">
                  <c:v>-9.7007764662105664</c:v>
                </c:pt>
                <c:pt idx="67">
                  <c:v>-9.5225203502714564</c:v>
                </c:pt>
                <c:pt idx="68">
                  <c:v>-9.3181636679545274</c:v>
                </c:pt>
                <c:pt idx="69">
                  <c:v>-9.0882665467213517</c:v>
                </c:pt>
                <c:pt idx="70">
                  <c:v>-8.8334591186012723</c:v>
                </c:pt>
                <c:pt idx="71">
                  <c:v>-8.5544397930433256</c:v>
                </c:pt>
                <c:pt idx="72">
                  <c:v>-8.2519733426244652</c:v>
                </c:pt>
                <c:pt idx="73">
                  <c:v>-7.9268888068611014</c:v>
                </c:pt>
                <c:pt idx="74">
                  <c:v>-7.5800772198694206</c:v>
                </c:pt>
                <c:pt idx="75">
                  <c:v>-7.2124891681027856</c:v>
                </c:pt>
                <c:pt idx="76">
                  <c:v>-6.8251321848603528</c:v>
                </c:pt>
                <c:pt idx="77">
                  <c:v>-6.4190679887083455</c:v>
                </c:pt>
                <c:pt idx="78">
                  <c:v>-5.9954095733832267</c:v>
                </c:pt>
                <c:pt idx="79">
                  <c:v>-5.555318157153275</c:v>
                </c:pt>
                <c:pt idx="80">
                  <c:v>-5.1000000000000041</c:v>
                </c:pt>
                <c:pt idx="81">
                  <c:v>-4.6307030973433783</c:v>
                </c:pt>
                <c:pt idx="82">
                  <c:v>-4.1487137593731607</c:v>
                </c:pt>
                <c:pt idx="83">
                  <c:v>-3.655353085362067</c:v>
                </c:pt>
                <c:pt idx="84">
                  <c:v>-3.1519733426244647</c:v>
                </c:pt>
                <c:pt idx="85">
                  <c:v>-2.6399542600457102</c:v>
                </c:pt>
                <c:pt idx="86">
                  <c:v>-2.1206992463411498</c:v>
                </c:pt>
                <c:pt idx="87">
                  <c:v>-1.5956315434103565</c:v>
                </c:pt>
                <c:pt idx="88">
                  <c:v>-1.0661903253300642</c:v>
                </c:pt>
                <c:pt idx="89">
                  <c:v>-0.5338267536780319</c:v>
                </c:pt>
                <c:pt idx="90">
                  <c:v>-1.8744771360101886E-15</c:v>
                </c:pt>
                <c:pt idx="91">
                  <c:v>0.53382675367802823</c:v>
                </c:pt>
                <c:pt idx="92">
                  <c:v>1.0661903253300604</c:v>
                </c:pt>
                <c:pt idx="93">
                  <c:v>1.5956315434103527</c:v>
                </c:pt>
                <c:pt idx="94">
                  <c:v>2.1206992463411458</c:v>
                </c:pt>
                <c:pt idx="95">
                  <c:v>2.6399542600457067</c:v>
                </c:pt>
                <c:pt idx="96">
                  <c:v>3.1519733426244616</c:v>
                </c:pt>
                <c:pt idx="97">
                  <c:v>3.6553530853620635</c:v>
                </c:pt>
                <c:pt idx="98">
                  <c:v>4.1487137593731571</c:v>
                </c:pt>
                <c:pt idx="99">
                  <c:v>4.6307030973433756</c:v>
                </c:pt>
                <c:pt idx="100">
                  <c:v>5.1000000000000005</c:v>
                </c:pt>
                <c:pt idx="101">
                  <c:v>5.5553181571532715</c:v>
                </c:pt>
                <c:pt idx="102">
                  <c:v>5.9954095733832231</c:v>
                </c:pt>
                <c:pt idx="103">
                  <c:v>6.4190679887083419</c:v>
                </c:pt>
                <c:pt idx="104">
                  <c:v>6.8251321848603492</c:v>
                </c:pt>
                <c:pt idx="105">
                  <c:v>7.2124891681027821</c:v>
                </c:pt>
                <c:pt idx="106">
                  <c:v>7.5800772198694206</c:v>
                </c:pt>
                <c:pt idx="107">
                  <c:v>7.9268888068610996</c:v>
                </c:pt>
                <c:pt idx="108">
                  <c:v>8.2519733426244617</c:v>
                </c:pt>
                <c:pt idx="109">
                  <c:v>8.5544397930433256</c:v>
                </c:pt>
                <c:pt idx="110">
                  <c:v>8.8334591186012705</c:v>
                </c:pt>
                <c:pt idx="111">
                  <c:v>9.0882665467213499</c:v>
                </c:pt>
                <c:pt idx="112">
                  <c:v>9.3181636679545292</c:v>
                </c:pt>
                <c:pt idx="113">
                  <c:v>9.5225203502714546</c:v>
                </c:pt>
                <c:pt idx="114">
                  <c:v>9.7007764662105647</c:v>
                </c:pt>
                <c:pt idx="115">
                  <c:v>9.8524434281484954</c:v>
                </c:pt>
                <c:pt idx="116">
                  <c:v>9.9771055274848166</c:v>
                </c:pt>
                <c:pt idx="117">
                  <c:v>10.074421074070404</c:v>
                </c:pt>
                <c:pt idx="118">
                  <c:v>10.144123332756386</c:v>
                </c:pt>
                <c:pt idx="119">
                  <c:v>10.186021254496652</c:v>
                </c:pt>
                <c:pt idx="120">
                  <c:v>10.199999999999999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65-448F-A82F-A63D11C140B0}"/>
            </c:ext>
          </c:extLst>
        </c:ser>
        <c:ser>
          <c:idx val="1"/>
          <c:order val="1"/>
          <c:tx>
            <c:v>trazo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'Datos metrología'!$BH$4:$BH$303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3">
                  <c:v>0.55883562381088903</c:v>
                </c:pt>
                <c:pt idx="4">
                  <c:v>0.60278898748140841</c:v>
                </c:pt>
                <c:pt idx="6">
                  <c:v>1.1154657787223079</c:v>
                </c:pt>
                <c:pt idx="7">
                  <c:v>1.2031990422173209</c:v>
                </c:pt>
                <c:pt idx="9">
                  <c:v>1.6676936998129492</c:v>
                </c:pt>
                <c:pt idx="10">
                  <c:v>1.7988606200229564</c:v>
                </c:pt>
                <c:pt idx="12">
                  <c:v>2.2133399957672077</c:v>
                </c:pt>
                <c:pt idx="13">
                  <c:v>2.3874229167826058</c:v>
                </c:pt>
                <c:pt idx="15">
                  <c:v>2.6266444521870529</c:v>
                </c:pt>
                <c:pt idx="16">
                  <c:v>2.966563145999495</c:v>
                </c:pt>
                <c:pt idx="18">
                  <c:v>3.2763085188936341</c:v>
                </c:pt>
                <c:pt idx="19">
                  <c:v>3.5339957057729086</c:v>
                </c:pt>
                <c:pt idx="21">
                  <c:v>3.7894356949291468</c:v>
                </c:pt>
                <c:pt idx="22">
                  <c:v>4.0874811990246975</c:v>
                </c:pt>
                <c:pt idx="24">
                  <c:v>4.2876076995052665</c:v>
                </c:pt>
                <c:pt idx="25">
                  <c:v>4.6248352713764671</c:v>
                </c:pt>
                <c:pt idx="27">
                  <c:v>4.7688584753130705</c:v>
                </c:pt>
                <c:pt idx="28">
                  <c:v>5.1439372317983674</c:v>
                </c:pt>
                <c:pt idx="30">
                  <c:v>4.6435034931105381</c:v>
                </c:pt>
                <c:pt idx="31">
                  <c:v>5.6427384220077421</c:v>
                </c:pt>
                <c:pt idx="33">
                  <c:v>5.6730735087633386</c:v>
                </c:pt>
                <c:pt idx="34">
                  <c:v>6.119270301587421</c:v>
                </c:pt>
                <c:pt idx="36">
                  <c:v>6.09246924276533</c:v>
                </c:pt>
                <c:pt idx="37">
                  <c:v>6.5716522169154112</c:v>
                </c:pt>
                <c:pt idx="39">
                  <c:v>6.4878207840505633</c:v>
                </c:pt>
                <c:pt idx="40">
                  <c:v>6.9980988232455505</c:v>
                </c:pt>
                <c:pt idx="42">
                  <c:v>6.857567860704525</c:v>
                </c:pt>
                <c:pt idx="43">
                  <c:v>7.3969271306475761</c:v>
                </c:pt>
                <c:pt idx="45">
                  <c:v>6.8766444521870529</c:v>
                </c:pt>
                <c:pt idx="46">
                  <c:v>7.7665631459994948</c:v>
                </c:pt>
                <c:pt idx="48">
                  <c:v>7.5145185369679348</c:v>
                </c:pt>
                <c:pt idx="49">
                  <c:v>8.1055480848193451</c:v>
                </c:pt>
                <c:pt idx="51">
                  <c:v>7.7991294523903871</c:v>
                </c:pt>
                <c:pt idx="52">
                  <c:v>8.4125441284210911</c:v>
                </c:pt>
                <c:pt idx="54">
                  <c:v>8.0529607669475745</c:v>
                </c:pt>
                <c:pt idx="55">
                  <c:v>8.6863397036737879</c:v>
                </c:pt>
                <c:pt idx="57">
                  <c:v>8.2750107244054387</c:v>
                </c:pt>
                <c:pt idx="58">
                  <c:v>8.9258542645272136</c:v>
                </c:pt>
                <c:pt idx="60">
                  <c:v>7.5133464787317132</c:v>
                </c:pt>
                <c:pt idx="61">
                  <c:v>9.1301425564334728</c:v>
                </c:pt>
                <c:pt idx="63">
                  <c:v>8.6203901340448166</c:v>
                </c:pt>
                <c:pt idx="64">
                  <c:v>9.2983983468348583</c:v>
                </c:pt>
                <c:pt idx="66">
                  <c:v>8.7423565314853295</c:v>
                </c:pt>
                <c:pt idx="67">
                  <c:v>9.4299576069954121</c:v>
                </c:pt>
                <c:pt idx="69">
                  <c:v>8.8298208416988526</c:v>
                </c:pt>
                <c:pt idx="70">
                  <c:v>9.5243011326189873</c:v>
                </c:pt>
                <c:pt idx="72">
                  <c:v>8.8824378830116171</c:v>
                </c:pt>
                <c:pt idx="73">
                  <c:v>9.5810565929114073</c:v>
                </c:pt>
                <c:pt idx="75">
                  <c:v>8.5</c:v>
                </c:pt>
                <c:pt idx="76">
                  <c:v>9.6</c:v>
                </c:pt>
                <c:pt idx="78">
                  <c:v>8.8824378830116171</c:v>
                </c:pt>
                <c:pt idx="79">
                  <c:v>9.5810565929114073</c:v>
                </c:pt>
                <c:pt idx="81">
                  <c:v>8.8298208416988526</c:v>
                </c:pt>
                <c:pt idx="82">
                  <c:v>9.5243011326189855</c:v>
                </c:pt>
                <c:pt idx="84">
                  <c:v>8.7423565314853295</c:v>
                </c:pt>
                <c:pt idx="85">
                  <c:v>9.4299576069954121</c:v>
                </c:pt>
                <c:pt idx="87">
                  <c:v>8.6203901340448166</c:v>
                </c:pt>
                <c:pt idx="88">
                  <c:v>9.2983983468348583</c:v>
                </c:pt>
                <c:pt idx="90">
                  <c:v>7.5133464787317141</c:v>
                </c:pt>
                <c:pt idx="91">
                  <c:v>9.1301425564334746</c:v>
                </c:pt>
                <c:pt idx="93">
                  <c:v>8.2750107244054369</c:v>
                </c:pt>
                <c:pt idx="94">
                  <c:v>8.9258542645272119</c:v>
                </c:pt>
                <c:pt idx="96">
                  <c:v>8.0529607669475727</c:v>
                </c:pt>
                <c:pt idx="97">
                  <c:v>8.6863397036737862</c:v>
                </c:pt>
                <c:pt idx="99">
                  <c:v>7.7991294523903871</c:v>
                </c:pt>
                <c:pt idx="100">
                  <c:v>8.4125441284210911</c:v>
                </c:pt>
                <c:pt idx="102">
                  <c:v>7.5145185369679339</c:v>
                </c:pt>
                <c:pt idx="103">
                  <c:v>8.1055480848193433</c:v>
                </c:pt>
                <c:pt idx="105">
                  <c:v>6.8766444521870529</c:v>
                </c:pt>
                <c:pt idx="106">
                  <c:v>7.7665631459994948</c:v>
                </c:pt>
                <c:pt idx="108">
                  <c:v>6.857567860704525</c:v>
                </c:pt>
                <c:pt idx="109">
                  <c:v>7.3969271306475761</c:v>
                </c:pt>
                <c:pt idx="111">
                  <c:v>6.4878207840505624</c:v>
                </c:pt>
                <c:pt idx="112">
                  <c:v>6.9980988232455497</c:v>
                </c:pt>
                <c:pt idx="114">
                  <c:v>6.0924692427653282</c:v>
                </c:pt>
                <c:pt idx="115">
                  <c:v>6.5716522169154095</c:v>
                </c:pt>
                <c:pt idx="117">
                  <c:v>5.6730735087633368</c:v>
                </c:pt>
                <c:pt idx="118">
                  <c:v>6.1192703015874192</c:v>
                </c:pt>
                <c:pt idx="120">
                  <c:v>4.643503493110539</c:v>
                </c:pt>
                <c:pt idx="121">
                  <c:v>5.642738422007743</c:v>
                </c:pt>
                <c:pt idx="123">
                  <c:v>4.7688584753130705</c:v>
                </c:pt>
                <c:pt idx="124">
                  <c:v>5.1439372317983674</c:v>
                </c:pt>
                <c:pt idx="126">
                  <c:v>4.2876076995052657</c:v>
                </c:pt>
                <c:pt idx="127">
                  <c:v>4.6248352713764662</c:v>
                </c:pt>
                <c:pt idx="129">
                  <c:v>3.7894356949291454</c:v>
                </c:pt>
                <c:pt idx="130">
                  <c:v>4.0874811990246958</c:v>
                </c:pt>
                <c:pt idx="132">
                  <c:v>3.2763085188936323</c:v>
                </c:pt>
                <c:pt idx="133">
                  <c:v>3.5339957057729063</c:v>
                </c:pt>
                <c:pt idx="135">
                  <c:v>2.6266444521870538</c:v>
                </c:pt>
                <c:pt idx="136">
                  <c:v>2.9665631459994959</c:v>
                </c:pt>
                <c:pt idx="138">
                  <c:v>2.2133399957672082</c:v>
                </c:pt>
                <c:pt idx="139">
                  <c:v>2.3874229167826062</c:v>
                </c:pt>
                <c:pt idx="141">
                  <c:v>1.6676936998129488</c:v>
                </c:pt>
                <c:pt idx="142">
                  <c:v>1.7988606200229558</c:v>
                </c:pt>
                <c:pt idx="144">
                  <c:v>1.1154657787223066</c:v>
                </c:pt>
                <c:pt idx="145">
                  <c:v>1.2031990422173193</c:v>
                </c:pt>
                <c:pt idx="147">
                  <c:v>0.55883562381088692</c:v>
                </c:pt>
                <c:pt idx="148">
                  <c:v>0.60278898748140608</c:v>
                </c:pt>
                <c:pt idx="150">
                  <c:v>9.6786727937780981E-16</c:v>
                </c:pt>
                <c:pt idx="151">
                  <c:v>1.1761425167122752E-15</c:v>
                </c:pt>
                <c:pt idx="153">
                  <c:v>-0.5588356238108888</c:v>
                </c:pt>
                <c:pt idx="154">
                  <c:v>-0.60278898748140808</c:v>
                </c:pt>
                <c:pt idx="156">
                  <c:v>-1.1154657787223081</c:v>
                </c:pt>
                <c:pt idx="157">
                  <c:v>-1.2031990422173211</c:v>
                </c:pt>
                <c:pt idx="159">
                  <c:v>-1.6676936998129506</c:v>
                </c:pt>
                <c:pt idx="160">
                  <c:v>-1.7988606200229578</c:v>
                </c:pt>
                <c:pt idx="162">
                  <c:v>-2.2133399957672095</c:v>
                </c:pt>
                <c:pt idx="163">
                  <c:v>-2.387422916782608</c:v>
                </c:pt>
                <c:pt idx="165">
                  <c:v>-2.626644452187052</c:v>
                </c:pt>
                <c:pt idx="166">
                  <c:v>-2.9665631459994937</c:v>
                </c:pt>
                <c:pt idx="168">
                  <c:v>-3.2763085188936336</c:v>
                </c:pt>
                <c:pt idx="169">
                  <c:v>-3.5339957057729081</c:v>
                </c:pt>
                <c:pt idx="171">
                  <c:v>-3.7894356949291468</c:v>
                </c:pt>
                <c:pt idx="172">
                  <c:v>-4.0874811990246975</c:v>
                </c:pt>
                <c:pt idx="174">
                  <c:v>-4.2876076995052674</c:v>
                </c:pt>
                <c:pt idx="175">
                  <c:v>-4.6248352713764671</c:v>
                </c:pt>
                <c:pt idx="177">
                  <c:v>-4.7688584753130714</c:v>
                </c:pt>
                <c:pt idx="178">
                  <c:v>-5.1439372317983691</c:v>
                </c:pt>
                <c:pt idx="180">
                  <c:v>-4.6435034931105372</c:v>
                </c:pt>
                <c:pt idx="181">
                  <c:v>-5.6427384220077412</c:v>
                </c:pt>
                <c:pt idx="183">
                  <c:v>-5.6730735087633377</c:v>
                </c:pt>
                <c:pt idx="184">
                  <c:v>-6.1192703015874201</c:v>
                </c:pt>
                <c:pt idx="186">
                  <c:v>-6.09246924276533</c:v>
                </c:pt>
                <c:pt idx="187">
                  <c:v>-6.5716522169154112</c:v>
                </c:pt>
                <c:pt idx="189">
                  <c:v>-6.4878207840505633</c:v>
                </c:pt>
                <c:pt idx="190">
                  <c:v>-6.9980988232455505</c:v>
                </c:pt>
                <c:pt idx="192">
                  <c:v>-6.8575678607045258</c:v>
                </c:pt>
                <c:pt idx="193">
                  <c:v>-7.3969271306475779</c:v>
                </c:pt>
                <c:pt idx="195">
                  <c:v>-6.876644452187052</c:v>
                </c:pt>
                <c:pt idx="196">
                  <c:v>-7.7665631459994939</c:v>
                </c:pt>
                <c:pt idx="198">
                  <c:v>-7.5145185369679321</c:v>
                </c:pt>
                <c:pt idx="199">
                  <c:v>-8.1055480848193415</c:v>
                </c:pt>
                <c:pt idx="201">
                  <c:v>-7.7991294523903862</c:v>
                </c:pt>
                <c:pt idx="202">
                  <c:v>-8.4125441284210893</c:v>
                </c:pt>
                <c:pt idx="204">
                  <c:v>-8.0529607669475762</c:v>
                </c:pt>
                <c:pt idx="205">
                  <c:v>-8.6863397036737897</c:v>
                </c:pt>
                <c:pt idx="207">
                  <c:v>-8.2750107244054387</c:v>
                </c:pt>
                <c:pt idx="208">
                  <c:v>-8.9258542645272136</c:v>
                </c:pt>
                <c:pt idx="210">
                  <c:v>-7.5133464787317132</c:v>
                </c:pt>
                <c:pt idx="211">
                  <c:v>-9.1301425564334728</c:v>
                </c:pt>
                <c:pt idx="213">
                  <c:v>-8.6203901340448166</c:v>
                </c:pt>
                <c:pt idx="214">
                  <c:v>-9.2983983468348566</c:v>
                </c:pt>
                <c:pt idx="216">
                  <c:v>-8.7423565314853295</c:v>
                </c:pt>
                <c:pt idx="217">
                  <c:v>-9.4299576069954121</c:v>
                </c:pt>
                <c:pt idx="219">
                  <c:v>-8.8298208416988526</c:v>
                </c:pt>
                <c:pt idx="220">
                  <c:v>-9.5243011326189873</c:v>
                </c:pt>
                <c:pt idx="222">
                  <c:v>-8.8824378830116171</c:v>
                </c:pt>
                <c:pt idx="223">
                  <c:v>-9.5810565929114073</c:v>
                </c:pt>
                <c:pt idx="225">
                  <c:v>-8.5</c:v>
                </c:pt>
                <c:pt idx="226">
                  <c:v>-9.6</c:v>
                </c:pt>
                <c:pt idx="228">
                  <c:v>-8.8824378830116171</c:v>
                </c:pt>
                <c:pt idx="229">
                  <c:v>-9.5810565929114073</c:v>
                </c:pt>
                <c:pt idx="231">
                  <c:v>-8.8298208416988526</c:v>
                </c:pt>
                <c:pt idx="232">
                  <c:v>-9.5243011326189873</c:v>
                </c:pt>
                <c:pt idx="234">
                  <c:v>-8.7423565314853295</c:v>
                </c:pt>
                <c:pt idx="235">
                  <c:v>-9.4299576069954103</c:v>
                </c:pt>
                <c:pt idx="237">
                  <c:v>-8.6203901340448166</c:v>
                </c:pt>
                <c:pt idx="238">
                  <c:v>-9.2983983468348583</c:v>
                </c:pt>
                <c:pt idx="240">
                  <c:v>-7.5133464787317141</c:v>
                </c:pt>
                <c:pt idx="241">
                  <c:v>-9.1301425564334746</c:v>
                </c:pt>
                <c:pt idx="243">
                  <c:v>-8.2750107244054369</c:v>
                </c:pt>
                <c:pt idx="244">
                  <c:v>-8.9258542645272119</c:v>
                </c:pt>
                <c:pt idx="246">
                  <c:v>-8.0529607669475745</c:v>
                </c:pt>
                <c:pt idx="247">
                  <c:v>-8.6863397036737879</c:v>
                </c:pt>
                <c:pt idx="249">
                  <c:v>-7.7991294523903845</c:v>
                </c:pt>
                <c:pt idx="250">
                  <c:v>-8.4125441284210876</c:v>
                </c:pt>
                <c:pt idx="252">
                  <c:v>-7.5145185369679339</c:v>
                </c:pt>
                <c:pt idx="253">
                  <c:v>-8.1055480848193433</c:v>
                </c:pt>
                <c:pt idx="255">
                  <c:v>-6.8766444521870547</c:v>
                </c:pt>
                <c:pt idx="256">
                  <c:v>-7.7665631459994966</c:v>
                </c:pt>
                <c:pt idx="258">
                  <c:v>-6.8575678607045223</c:v>
                </c:pt>
                <c:pt idx="259">
                  <c:v>-7.3969271306475743</c:v>
                </c:pt>
                <c:pt idx="261">
                  <c:v>-6.4878207840505633</c:v>
                </c:pt>
                <c:pt idx="262">
                  <c:v>-6.9980988232455505</c:v>
                </c:pt>
                <c:pt idx="264">
                  <c:v>-6.0924692427653255</c:v>
                </c:pt>
                <c:pt idx="265">
                  <c:v>-6.5716522169154077</c:v>
                </c:pt>
                <c:pt idx="267">
                  <c:v>-5.6730735087633377</c:v>
                </c:pt>
                <c:pt idx="268">
                  <c:v>-6.1192703015874201</c:v>
                </c:pt>
                <c:pt idx="270">
                  <c:v>-4.6435034931105399</c:v>
                </c:pt>
                <c:pt idx="271">
                  <c:v>-5.6427384220077439</c:v>
                </c:pt>
                <c:pt idx="273">
                  <c:v>-4.7688584753130678</c:v>
                </c:pt>
                <c:pt idx="274">
                  <c:v>-5.1439372317983647</c:v>
                </c:pt>
                <c:pt idx="276">
                  <c:v>-4.2876076995052665</c:v>
                </c:pt>
                <c:pt idx="277">
                  <c:v>-4.6248352713764671</c:v>
                </c:pt>
                <c:pt idx="279">
                  <c:v>-3.7894356949291428</c:v>
                </c:pt>
                <c:pt idx="280">
                  <c:v>-4.0874811990246931</c:v>
                </c:pt>
                <c:pt idx="282">
                  <c:v>-3.2763085188936332</c:v>
                </c:pt>
                <c:pt idx="283">
                  <c:v>-3.5339957057729072</c:v>
                </c:pt>
                <c:pt idx="285">
                  <c:v>-2.6266444521870547</c:v>
                </c:pt>
                <c:pt idx="286">
                  <c:v>-2.9665631459994972</c:v>
                </c:pt>
                <c:pt idx="288">
                  <c:v>-2.2133399957672051</c:v>
                </c:pt>
                <c:pt idx="289">
                  <c:v>-2.3874229167826031</c:v>
                </c:pt>
                <c:pt idx="291">
                  <c:v>-1.6676936998129497</c:v>
                </c:pt>
                <c:pt idx="292">
                  <c:v>-1.7988606200229569</c:v>
                </c:pt>
                <c:pt idx="294">
                  <c:v>-1.1154657787223037</c:v>
                </c:pt>
                <c:pt idx="295">
                  <c:v>-1.2031990422173162</c:v>
                </c:pt>
                <c:pt idx="297">
                  <c:v>-0.55883562381088803</c:v>
                </c:pt>
                <c:pt idx="298">
                  <c:v>-0.6027889874814073</c:v>
                </c:pt>
              </c:numCache>
            </c:numRef>
          </c:xVal>
          <c:yVal>
            <c:numRef>
              <c:f>'Datos metrología'!$BI$4:$BI$303</c:f>
              <c:numCache>
                <c:formatCode>General</c:formatCode>
                <c:ptCount val="300"/>
                <c:pt idx="0">
                  <c:v>7.9</c:v>
                </c:pt>
                <c:pt idx="1">
                  <c:v>9.6</c:v>
                </c:pt>
                <c:pt idx="3">
                  <c:v>8.8824378830116171</c:v>
                </c:pt>
                <c:pt idx="4">
                  <c:v>9.5810565929114073</c:v>
                </c:pt>
                <c:pt idx="6">
                  <c:v>8.8298208416988526</c:v>
                </c:pt>
                <c:pt idx="7">
                  <c:v>9.5243011326189873</c:v>
                </c:pt>
                <c:pt idx="9">
                  <c:v>8.7423565314853295</c:v>
                </c:pt>
                <c:pt idx="10">
                  <c:v>9.4299576069954121</c:v>
                </c:pt>
                <c:pt idx="12">
                  <c:v>8.6203901340448166</c:v>
                </c:pt>
                <c:pt idx="13">
                  <c:v>9.2983983468348583</c:v>
                </c:pt>
                <c:pt idx="15">
                  <c:v>8.0839803885088042</c:v>
                </c:pt>
                <c:pt idx="16">
                  <c:v>9.1301425564334728</c:v>
                </c:pt>
                <c:pt idx="18">
                  <c:v>8.2750107244054369</c:v>
                </c:pt>
                <c:pt idx="19">
                  <c:v>8.9258542645272119</c:v>
                </c:pt>
                <c:pt idx="21">
                  <c:v>8.0529607669475745</c:v>
                </c:pt>
                <c:pt idx="22">
                  <c:v>8.6863397036737879</c:v>
                </c:pt>
                <c:pt idx="24">
                  <c:v>7.7991294523903862</c:v>
                </c:pt>
                <c:pt idx="25">
                  <c:v>8.4125441284210893</c:v>
                </c:pt>
                <c:pt idx="27">
                  <c:v>7.5145185369679348</c:v>
                </c:pt>
                <c:pt idx="28">
                  <c:v>8.1055480848193451</c:v>
                </c:pt>
                <c:pt idx="30">
                  <c:v>6.3912342555620851</c:v>
                </c:pt>
                <c:pt idx="31">
                  <c:v>7.7665631459994948</c:v>
                </c:pt>
                <c:pt idx="33">
                  <c:v>6.8575678607045241</c:v>
                </c:pt>
                <c:pt idx="34">
                  <c:v>7.3969271306475752</c:v>
                </c:pt>
                <c:pt idx="36">
                  <c:v>6.4878207840505633</c:v>
                </c:pt>
                <c:pt idx="37">
                  <c:v>6.9980988232455505</c:v>
                </c:pt>
                <c:pt idx="39">
                  <c:v>6.0924692427653291</c:v>
                </c:pt>
                <c:pt idx="40">
                  <c:v>6.5716522169154103</c:v>
                </c:pt>
                <c:pt idx="42">
                  <c:v>5.6730735087633386</c:v>
                </c:pt>
                <c:pt idx="43">
                  <c:v>6.119270301587421</c:v>
                </c:pt>
                <c:pt idx="45">
                  <c:v>4.9961746444860218</c:v>
                </c:pt>
                <c:pt idx="46">
                  <c:v>5.6427384220077421</c:v>
                </c:pt>
                <c:pt idx="48">
                  <c:v>4.7688584753130696</c:v>
                </c:pt>
                <c:pt idx="49">
                  <c:v>5.1439372317983665</c:v>
                </c:pt>
                <c:pt idx="51">
                  <c:v>4.2876076995052648</c:v>
                </c:pt>
                <c:pt idx="52">
                  <c:v>4.6248352713764653</c:v>
                </c:pt>
                <c:pt idx="54">
                  <c:v>3.7894356949291468</c:v>
                </c:pt>
                <c:pt idx="55">
                  <c:v>4.0874811990246975</c:v>
                </c:pt>
                <c:pt idx="57">
                  <c:v>3.2763085188936332</c:v>
                </c:pt>
                <c:pt idx="58">
                  <c:v>3.5339957057729072</c:v>
                </c:pt>
                <c:pt idx="60">
                  <c:v>2.441234255562085</c:v>
                </c:pt>
                <c:pt idx="61">
                  <c:v>2.9665631459994954</c:v>
                </c:pt>
                <c:pt idx="63">
                  <c:v>2.2133399957672073</c:v>
                </c:pt>
                <c:pt idx="64">
                  <c:v>2.3874229167826053</c:v>
                </c:pt>
                <c:pt idx="66">
                  <c:v>1.6676936998129483</c:v>
                </c:pt>
                <c:pt idx="67">
                  <c:v>1.7988606200229553</c:v>
                </c:pt>
                <c:pt idx="69">
                  <c:v>1.1154657787223079</c:v>
                </c:pt>
                <c:pt idx="70">
                  <c:v>1.2031990422173209</c:v>
                </c:pt>
                <c:pt idx="72">
                  <c:v>0.55883562381088847</c:v>
                </c:pt>
                <c:pt idx="73">
                  <c:v>0.60278898748140775</c:v>
                </c:pt>
                <c:pt idx="75">
                  <c:v>5.206880933361635E-16</c:v>
                </c:pt>
                <c:pt idx="76">
                  <c:v>5.8807125835613761E-16</c:v>
                </c:pt>
                <c:pt idx="78">
                  <c:v>-0.55883562381088925</c:v>
                </c:pt>
                <c:pt idx="79">
                  <c:v>-0.60278898748140863</c:v>
                </c:pt>
                <c:pt idx="81">
                  <c:v>-1.115465778722309</c:v>
                </c:pt>
                <c:pt idx="82">
                  <c:v>-1.203199042217322</c:v>
                </c:pt>
                <c:pt idx="84">
                  <c:v>-1.667693699812949</c:v>
                </c:pt>
                <c:pt idx="85">
                  <c:v>-1.798860620022956</c:v>
                </c:pt>
                <c:pt idx="87">
                  <c:v>-2.2133399957672082</c:v>
                </c:pt>
                <c:pt idx="88">
                  <c:v>-2.3874229167826067</c:v>
                </c:pt>
                <c:pt idx="90">
                  <c:v>-2.4412342555620841</c:v>
                </c:pt>
                <c:pt idx="91">
                  <c:v>-2.9665631459994946</c:v>
                </c:pt>
                <c:pt idx="93">
                  <c:v>-3.2763085188936341</c:v>
                </c:pt>
                <c:pt idx="94">
                  <c:v>-3.5339957057729086</c:v>
                </c:pt>
                <c:pt idx="96">
                  <c:v>-3.7894356949291472</c:v>
                </c:pt>
                <c:pt idx="97">
                  <c:v>-4.0874811990246975</c:v>
                </c:pt>
                <c:pt idx="99">
                  <c:v>-4.2876076995052639</c:v>
                </c:pt>
                <c:pt idx="100">
                  <c:v>-4.6248352713764644</c:v>
                </c:pt>
                <c:pt idx="102">
                  <c:v>-4.7688584753130723</c:v>
                </c:pt>
                <c:pt idx="103">
                  <c:v>-5.14393723179837</c:v>
                </c:pt>
                <c:pt idx="105">
                  <c:v>-4.9961746444860209</c:v>
                </c:pt>
                <c:pt idx="106">
                  <c:v>-5.6427384220077412</c:v>
                </c:pt>
                <c:pt idx="108">
                  <c:v>-5.6730735087633386</c:v>
                </c:pt>
                <c:pt idx="109">
                  <c:v>-6.119270301587421</c:v>
                </c:pt>
                <c:pt idx="111">
                  <c:v>-6.09246924276533</c:v>
                </c:pt>
                <c:pt idx="112">
                  <c:v>-6.5716522169154112</c:v>
                </c:pt>
                <c:pt idx="114">
                  <c:v>-6.4878207840505642</c:v>
                </c:pt>
                <c:pt idx="115">
                  <c:v>-6.9980988232455514</c:v>
                </c:pt>
                <c:pt idx="117">
                  <c:v>-6.8575678607045258</c:v>
                </c:pt>
                <c:pt idx="118">
                  <c:v>-7.3969271306475779</c:v>
                </c:pt>
                <c:pt idx="120">
                  <c:v>-6.3912342555620842</c:v>
                </c:pt>
                <c:pt idx="121">
                  <c:v>-7.7665631459994939</c:v>
                </c:pt>
                <c:pt idx="123">
                  <c:v>-7.5145185369679348</c:v>
                </c:pt>
                <c:pt idx="124">
                  <c:v>-8.1055480848193451</c:v>
                </c:pt>
                <c:pt idx="126">
                  <c:v>-7.7991294523903862</c:v>
                </c:pt>
                <c:pt idx="127">
                  <c:v>-8.4125441284210893</c:v>
                </c:pt>
                <c:pt idx="129">
                  <c:v>-8.0529607669475745</c:v>
                </c:pt>
                <c:pt idx="130">
                  <c:v>-8.6863397036737879</c:v>
                </c:pt>
                <c:pt idx="132">
                  <c:v>-8.2750107244054387</c:v>
                </c:pt>
                <c:pt idx="133">
                  <c:v>-8.9258542645272136</c:v>
                </c:pt>
                <c:pt idx="135">
                  <c:v>-8.0839803885088042</c:v>
                </c:pt>
                <c:pt idx="136">
                  <c:v>-9.1301425564334728</c:v>
                </c:pt>
                <c:pt idx="138">
                  <c:v>-8.6203901340448166</c:v>
                </c:pt>
                <c:pt idx="139">
                  <c:v>-9.2983983468348583</c:v>
                </c:pt>
                <c:pt idx="141">
                  <c:v>-8.7423565314853295</c:v>
                </c:pt>
                <c:pt idx="142">
                  <c:v>-9.4299576069954121</c:v>
                </c:pt>
                <c:pt idx="144">
                  <c:v>-8.8298208416988526</c:v>
                </c:pt>
                <c:pt idx="145">
                  <c:v>-9.5243011326189873</c:v>
                </c:pt>
                <c:pt idx="147">
                  <c:v>-8.8824378830116171</c:v>
                </c:pt>
                <c:pt idx="148">
                  <c:v>-9.5810565929114073</c:v>
                </c:pt>
                <c:pt idx="150">
                  <c:v>-7.9</c:v>
                </c:pt>
                <c:pt idx="151">
                  <c:v>-9.6</c:v>
                </c:pt>
                <c:pt idx="153">
                  <c:v>-8.8824378830116171</c:v>
                </c:pt>
                <c:pt idx="154">
                  <c:v>-9.5810565929114073</c:v>
                </c:pt>
                <c:pt idx="156">
                  <c:v>-8.8298208416988526</c:v>
                </c:pt>
                <c:pt idx="157">
                  <c:v>-9.5243011326189873</c:v>
                </c:pt>
                <c:pt idx="159">
                  <c:v>-8.7423565314853295</c:v>
                </c:pt>
                <c:pt idx="160">
                  <c:v>-9.4299576069954103</c:v>
                </c:pt>
                <c:pt idx="162">
                  <c:v>-8.6203901340448166</c:v>
                </c:pt>
                <c:pt idx="163">
                  <c:v>-9.2983983468348583</c:v>
                </c:pt>
                <c:pt idx="165">
                  <c:v>-8.083980388508806</c:v>
                </c:pt>
                <c:pt idx="166">
                  <c:v>-9.1301425564334746</c:v>
                </c:pt>
                <c:pt idx="168">
                  <c:v>-8.2750107244054387</c:v>
                </c:pt>
                <c:pt idx="169">
                  <c:v>-8.9258542645272136</c:v>
                </c:pt>
                <c:pt idx="171">
                  <c:v>-8.0529607669475727</c:v>
                </c:pt>
                <c:pt idx="172">
                  <c:v>-8.6863397036737862</c:v>
                </c:pt>
                <c:pt idx="174">
                  <c:v>-7.7991294523903854</c:v>
                </c:pt>
                <c:pt idx="175">
                  <c:v>-8.4125441284210893</c:v>
                </c:pt>
                <c:pt idx="177">
                  <c:v>-7.5145185369679339</c:v>
                </c:pt>
                <c:pt idx="178">
                  <c:v>-8.1055480848193433</c:v>
                </c:pt>
                <c:pt idx="180">
                  <c:v>-6.391234255562086</c:v>
                </c:pt>
                <c:pt idx="181">
                  <c:v>-7.7665631459994966</c:v>
                </c:pt>
                <c:pt idx="183">
                  <c:v>-6.857567860704525</c:v>
                </c:pt>
                <c:pt idx="184">
                  <c:v>-7.3969271306475761</c:v>
                </c:pt>
                <c:pt idx="186">
                  <c:v>-6.4878207840505633</c:v>
                </c:pt>
                <c:pt idx="187">
                  <c:v>-6.9980988232455505</c:v>
                </c:pt>
                <c:pt idx="189">
                  <c:v>-6.0924692427653291</c:v>
                </c:pt>
                <c:pt idx="190">
                  <c:v>-6.5716522169154103</c:v>
                </c:pt>
                <c:pt idx="192">
                  <c:v>-5.6730735087633368</c:v>
                </c:pt>
                <c:pt idx="193">
                  <c:v>-6.1192703015874192</c:v>
                </c:pt>
                <c:pt idx="195">
                  <c:v>-4.9961746444860227</c:v>
                </c:pt>
                <c:pt idx="196">
                  <c:v>-5.642738422007743</c:v>
                </c:pt>
                <c:pt idx="198">
                  <c:v>-4.7688584753130741</c:v>
                </c:pt>
                <c:pt idx="199">
                  <c:v>-5.1439372317983718</c:v>
                </c:pt>
                <c:pt idx="201">
                  <c:v>-4.2876076995052657</c:v>
                </c:pt>
                <c:pt idx="202">
                  <c:v>-4.6248352713764662</c:v>
                </c:pt>
                <c:pt idx="204">
                  <c:v>-3.7894356949291423</c:v>
                </c:pt>
                <c:pt idx="205">
                  <c:v>-4.0874811990246922</c:v>
                </c:pt>
                <c:pt idx="207">
                  <c:v>-3.2763085188936327</c:v>
                </c:pt>
                <c:pt idx="208">
                  <c:v>-3.5339957057729068</c:v>
                </c:pt>
                <c:pt idx="210">
                  <c:v>-2.4412342555620858</c:v>
                </c:pt>
                <c:pt idx="211">
                  <c:v>-2.9665631459994963</c:v>
                </c:pt>
                <c:pt idx="213">
                  <c:v>-2.2133399957672122</c:v>
                </c:pt>
                <c:pt idx="214">
                  <c:v>-2.3874229167826106</c:v>
                </c:pt>
                <c:pt idx="216">
                  <c:v>-1.6676936998129492</c:v>
                </c:pt>
                <c:pt idx="217">
                  <c:v>-1.7988606200229564</c:v>
                </c:pt>
                <c:pt idx="219">
                  <c:v>-1.1154657787223032</c:v>
                </c:pt>
                <c:pt idx="220">
                  <c:v>-1.2031990422173158</c:v>
                </c:pt>
                <c:pt idx="222">
                  <c:v>-0.55883562381088758</c:v>
                </c:pt>
                <c:pt idx="223">
                  <c:v>-0.60278898748140675</c:v>
                </c:pt>
                <c:pt idx="225">
                  <c:v>-1.5620642800084905E-15</c:v>
                </c:pt>
                <c:pt idx="226">
                  <c:v>-1.7642137750684128E-15</c:v>
                </c:pt>
                <c:pt idx="228">
                  <c:v>0.55883562381089213</c:v>
                </c:pt>
                <c:pt idx="229">
                  <c:v>0.60278898748141174</c:v>
                </c:pt>
                <c:pt idx="231">
                  <c:v>1.1154657787223077</c:v>
                </c:pt>
                <c:pt idx="232">
                  <c:v>1.2031990422173207</c:v>
                </c:pt>
                <c:pt idx="234">
                  <c:v>1.6676936998129537</c:v>
                </c:pt>
                <c:pt idx="235">
                  <c:v>1.7988606200229611</c:v>
                </c:pt>
                <c:pt idx="237">
                  <c:v>2.2133399957672091</c:v>
                </c:pt>
                <c:pt idx="238">
                  <c:v>2.3874229167826071</c:v>
                </c:pt>
                <c:pt idx="240">
                  <c:v>2.4412342555620832</c:v>
                </c:pt>
                <c:pt idx="241">
                  <c:v>2.9665631459994932</c:v>
                </c:pt>
                <c:pt idx="243">
                  <c:v>3.2763085188936367</c:v>
                </c:pt>
                <c:pt idx="244">
                  <c:v>3.5339957057729112</c:v>
                </c:pt>
                <c:pt idx="246">
                  <c:v>3.7894356949291463</c:v>
                </c:pt>
                <c:pt idx="247">
                  <c:v>4.0874811990246966</c:v>
                </c:pt>
                <c:pt idx="249">
                  <c:v>4.2876076995052701</c:v>
                </c:pt>
                <c:pt idx="250">
                  <c:v>4.6248352713764707</c:v>
                </c:pt>
                <c:pt idx="252">
                  <c:v>4.7688584753130714</c:v>
                </c:pt>
                <c:pt idx="253">
                  <c:v>5.1439372317983691</c:v>
                </c:pt>
                <c:pt idx="255">
                  <c:v>4.99617464448602</c:v>
                </c:pt>
                <c:pt idx="256">
                  <c:v>5.6427384220077395</c:v>
                </c:pt>
                <c:pt idx="258">
                  <c:v>5.6730735087633413</c:v>
                </c:pt>
                <c:pt idx="259">
                  <c:v>6.1192703015874237</c:v>
                </c:pt>
                <c:pt idx="261">
                  <c:v>6.0924692427653291</c:v>
                </c:pt>
                <c:pt idx="262">
                  <c:v>6.5716522169154103</c:v>
                </c:pt>
                <c:pt idx="264">
                  <c:v>6.4878207840505659</c:v>
                </c:pt>
                <c:pt idx="265">
                  <c:v>6.9980988232455541</c:v>
                </c:pt>
                <c:pt idx="267">
                  <c:v>6.8575678607045258</c:v>
                </c:pt>
                <c:pt idx="268">
                  <c:v>7.3969271306475779</c:v>
                </c:pt>
                <c:pt idx="270">
                  <c:v>6.3912342555620842</c:v>
                </c:pt>
                <c:pt idx="271">
                  <c:v>7.7665631459994939</c:v>
                </c:pt>
                <c:pt idx="273">
                  <c:v>7.5145185369679366</c:v>
                </c:pt>
                <c:pt idx="274">
                  <c:v>8.1055480848193469</c:v>
                </c:pt>
                <c:pt idx="276">
                  <c:v>7.7991294523903862</c:v>
                </c:pt>
                <c:pt idx="277">
                  <c:v>8.4125441284210893</c:v>
                </c:pt>
                <c:pt idx="279">
                  <c:v>8.0529607669475762</c:v>
                </c:pt>
                <c:pt idx="280">
                  <c:v>8.6863397036737879</c:v>
                </c:pt>
                <c:pt idx="282">
                  <c:v>8.2750107244054387</c:v>
                </c:pt>
                <c:pt idx="283">
                  <c:v>8.9258542645272136</c:v>
                </c:pt>
                <c:pt idx="285">
                  <c:v>8.0839803885088042</c:v>
                </c:pt>
                <c:pt idx="286">
                  <c:v>9.1301425564334728</c:v>
                </c:pt>
                <c:pt idx="288">
                  <c:v>8.6203901340448184</c:v>
                </c:pt>
                <c:pt idx="289">
                  <c:v>9.2983983468348583</c:v>
                </c:pt>
                <c:pt idx="291">
                  <c:v>8.7423565314853295</c:v>
                </c:pt>
                <c:pt idx="292">
                  <c:v>9.4299576069954121</c:v>
                </c:pt>
                <c:pt idx="294">
                  <c:v>8.8298208416988526</c:v>
                </c:pt>
                <c:pt idx="295">
                  <c:v>9.5243011326189873</c:v>
                </c:pt>
                <c:pt idx="297">
                  <c:v>8.8824378830116171</c:v>
                </c:pt>
                <c:pt idx="298">
                  <c:v>9.5810565929114073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65-448F-A82F-A63D11C140B0}"/>
            </c:ext>
          </c:extLst>
        </c:ser>
        <c:ser>
          <c:idx val="2"/>
          <c:order val="2"/>
          <c:tx>
            <c:strRef>
              <c:f>'Datos metrología'!$BP$4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metrología'!$BN$4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'Datos metrología'!$BO$4</c:f>
              <c:numCache>
                <c:formatCode>General</c:formatCode>
                <c:ptCount val="1"/>
                <c:pt idx="0">
                  <c:v>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65-448F-A82F-A63D11C140B0}"/>
            </c:ext>
          </c:extLst>
        </c:ser>
        <c:ser>
          <c:idx val="3"/>
          <c:order val="3"/>
          <c:tx>
            <c:strRef>
              <c:f>'Datos metrología'!$BP$5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metrología'!$BN$5</c:f>
              <c:numCache>
                <c:formatCode>General</c:formatCode>
                <c:ptCount val="1"/>
                <c:pt idx="0">
                  <c:v>3.8793826651303225</c:v>
                </c:pt>
              </c:numCache>
            </c:numRef>
          </c:xVal>
          <c:yVal>
            <c:numRef>
              <c:f>'Datos metrología'!$BO$5</c:f>
              <c:numCache>
                <c:formatCode>General</c:formatCode>
                <c:ptCount val="1"/>
                <c:pt idx="0">
                  <c:v>5.3395121628746525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65-448F-A82F-A63D11C140B0}"/>
            </c:ext>
          </c:extLst>
        </c:ser>
        <c:ser>
          <c:idx val="4"/>
          <c:order val="4"/>
          <c:tx>
            <c:strRef>
              <c:f>'Datos metrología'!$BP$6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metrología'!$BN$6</c:f>
              <c:numCache>
                <c:formatCode>General</c:formatCode>
                <c:ptCount val="1"/>
                <c:pt idx="0">
                  <c:v>6.2769730075480128</c:v>
                </c:pt>
              </c:numCache>
            </c:numRef>
          </c:xVal>
          <c:yVal>
            <c:numRef>
              <c:f>'Datos metrología'!$BO$6</c:f>
              <c:numCache>
                <c:formatCode>General</c:formatCode>
                <c:ptCount val="1"/>
                <c:pt idx="0">
                  <c:v>2.0395121628746531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65-448F-A82F-A63D11C140B0}"/>
            </c:ext>
          </c:extLst>
        </c:ser>
        <c:ser>
          <c:idx val="5"/>
          <c:order val="5"/>
          <c:tx>
            <c:strRef>
              <c:f>'Datos metrología'!$BP$7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metrología'!$BN$7</c:f>
              <c:numCache>
                <c:formatCode>General</c:formatCode>
                <c:ptCount val="1"/>
                <c:pt idx="0">
                  <c:v>6.2769730075480137</c:v>
                </c:pt>
              </c:numCache>
            </c:numRef>
          </c:xVal>
          <c:yVal>
            <c:numRef>
              <c:f>'Datos metrología'!$BO$7</c:f>
              <c:numCache>
                <c:formatCode>General</c:formatCode>
                <c:ptCount val="1"/>
                <c:pt idx="0">
                  <c:v>-2.0395121628746522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65-448F-A82F-A63D11C140B0}"/>
            </c:ext>
          </c:extLst>
        </c:ser>
        <c:ser>
          <c:idx val="6"/>
          <c:order val="6"/>
          <c:tx>
            <c:strRef>
              <c:f>'Datos metrología'!$BP$8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metrología'!$BN$8</c:f>
              <c:numCache>
                <c:formatCode>General</c:formatCode>
                <c:ptCount val="1"/>
                <c:pt idx="0">
                  <c:v>3.8793826651303234</c:v>
                </c:pt>
              </c:numCache>
            </c:numRef>
          </c:xVal>
          <c:yVal>
            <c:numRef>
              <c:f>'Datos metrología'!$BO$8</c:f>
              <c:numCache>
                <c:formatCode>General</c:formatCode>
                <c:ptCount val="1"/>
                <c:pt idx="0">
                  <c:v>-5.3395121628746525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165-448F-A82F-A63D11C140B0}"/>
            </c:ext>
          </c:extLst>
        </c:ser>
        <c:ser>
          <c:idx val="7"/>
          <c:order val="7"/>
          <c:tx>
            <c:strRef>
              <c:f>'Datos metrología'!$BP$9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metrología'!$BN$9</c:f>
              <c:numCache>
                <c:formatCode>General</c:formatCode>
                <c:ptCount val="1"/>
                <c:pt idx="0">
                  <c:v>8.0859798023968921E-16</c:v>
                </c:pt>
              </c:numCache>
            </c:numRef>
          </c:xVal>
          <c:yVal>
            <c:numRef>
              <c:f>'Datos metrología'!$BO$9</c:f>
              <c:numCache>
                <c:formatCode>General</c:formatCode>
                <c:ptCount val="1"/>
                <c:pt idx="0">
                  <c:v>-6.6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165-448F-A82F-A63D11C140B0}"/>
            </c:ext>
          </c:extLst>
        </c:ser>
        <c:ser>
          <c:idx val="8"/>
          <c:order val="8"/>
          <c:tx>
            <c:strRef>
              <c:f>'Datos metrología'!$BP$10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metrología'!$BN$10</c:f>
              <c:numCache>
                <c:formatCode>General</c:formatCode>
                <c:ptCount val="1"/>
                <c:pt idx="0">
                  <c:v>-3.8793826651303216</c:v>
                </c:pt>
              </c:numCache>
            </c:numRef>
          </c:xVal>
          <c:yVal>
            <c:numRef>
              <c:f>'Datos metrología'!$BO$10</c:f>
              <c:numCache>
                <c:formatCode>General</c:formatCode>
                <c:ptCount val="1"/>
                <c:pt idx="0">
                  <c:v>-5.3395121628746534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165-448F-A82F-A63D11C140B0}"/>
            </c:ext>
          </c:extLst>
        </c:ser>
        <c:ser>
          <c:idx val="9"/>
          <c:order val="9"/>
          <c:tx>
            <c:strRef>
              <c:f>'Datos metrología'!$BP$11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metrología'!$BN$11</c:f>
              <c:numCache>
                <c:formatCode>General</c:formatCode>
                <c:ptCount val="1"/>
                <c:pt idx="0">
                  <c:v>-6.2769730075480128</c:v>
                </c:pt>
              </c:numCache>
            </c:numRef>
          </c:xVal>
          <c:yVal>
            <c:numRef>
              <c:f>'Datos metrología'!$BO$11</c:f>
              <c:numCache>
                <c:formatCode>General</c:formatCode>
                <c:ptCount val="1"/>
                <c:pt idx="0">
                  <c:v>-2.039512162874654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165-448F-A82F-A63D11C140B0}"/>
            </c:ext>
          </c:extLst>
        </c:ser>
        <c:ser>
          <c:idx val="10"/>
          <c:order val="10"/>
          <c:tx>
            <c:strRef>
              <c:f>'Datos metrología'!$BP$12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metrología'!$BN$12</c:f>
              <c:numCache>
                <c:formatCode>General</c:formatCode>
                <c:ptCount val="1"/>
                <c:pt idx="0">
                  <c:v>-6.2769730075480137</c:v>
                </c:pt>
              </c:numCache>
            </c:numRef>
          </c:xVal>
          <c:yVal>
            <c:numRef>
              <c:f>'Datos metrología'!$BO$12</c:f>
              <c:numCache>
                <c:formatCode>General</c:formatCode>
                <c:ptCount val="1"/>
                <c:pt idx="0">
                  <c:v>2.0395121628746518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165-448F-A82F-A63D11C140B0}"/>
            </c:ext>
          </c:extLst>
        </c:ser>
        <c:ser>
          <c:idx val="11"/>
          <c:order val="11"/>
          <c:tx>
            <c:strRef>
              <c:f>'Datos metrología'!$BP$13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metrología'!$BN$13</c:f>
              <c:numCache>
                <c:formatCode>General</c:formatCode>
                <c:ptCount val="1"/>
                <c:pt idx="0">
                  <c:v>-3.8793826651303238</c:v>
                </c:pt>
              </c:numCache>
            </c:numRef>
          </c:xVal>
          <c:yVal>
            <c:numRef>
              <c:f>'Datos metrología'!$BO$13</c:f>
              <c:numCache>
                <c:formatCode>General</c:formatCode>
                <c:ptCount val="1"/>
                <c:pt idx="0">
                  <c:v>5.3395121628746525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165-448F-A82F-A63D11C140B0}"/>
            </c:ext>
          </c:extLst>
        </c:ser>
        <c:ser>
          <c:idx val="12"/>
          <c:order val="12"/>
          <c:tx>
            <c:strRef>
              <c:f>'Datos metrología'!$CD$4</c:f>
              <c:strCache>
                <c:ptCount val="1"/>
                <c:pt idx="0">
                  <c:v>+ mayor ←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D7301F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metrología'!$CB$4</c:f>
              <c:numCache>
                <c:formatCode>General</c:formatCode>
                <c:ptCount val="1"/>
                <c:pt idx="0">
                  <c:v>-8.6</c:v>
                </c:pt>
              </c:numCache>
            </c:numRef>
          </c:xVal>
          <c:yVal>
            <c:numRef>
              <c:f>'Datos metrología'!$CC$4</c:f>
              <c:numCache>
                <c:formatCode>General</c:formatCode>
                <c:ptCount val="1"/>
                <c:pt idx="0">
                  <c:v>10.9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165-448F-A82F-A63D11C140B0}"/>
            </c:ext>
          </c:extLst>
        </c:ser>
        <c:ser>
          <c:idx val="13"/>
          <c:order val="13"/>
          <c:tx>
            <c:strRef>
              <c:f>'Datos metrología'!$CD$5</c:f>
              <c:strCache>
                <c:ptCount val="1"/>
                <c:pt idx="0">
                  <c:v>→ − menor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D7301F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metrología'!$CB$5</c:f>
              <c:numCache>
                <c:formatCode>General</c:formatCode>
                <c:ptCount val="1"/>
                <c:pt idx="0">
                  <c:v>8.6</c:v>
                </c:pt>
              </c:numCache>
            </c:numRef>
          </c:xVal>
          <c:yVal>
            <c:numRef>
              <c:f>'Datos metrología'!$CC$5</c:f>
              <c:numCache>
                <c:formatCode>General</c:formatCode>
                <c:ptCount val="1"/>
                <c:pt idx="0">
                  <c:v>10.9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165-448F-A82F-A63D11C140B0}"/>
            </c:ext>
          </c:extLst>
        </c:ser>
        <c:ser>
          <c:idx val="14"/>
          <c:order val="14"/>
          <c:tx>
            <c:v>trazo</c:v>
          </c:tx>
          <c:spPr>
            <a:ln w="34925">
              <a:solidFill>
                <a:srgbClr val="D7301F"/>
              </a:solidFill>
              <a:prstDash val="solid"/>
            </a:ln>
          </c:spPr>
          <c:marker>
            <c:symbol val="none"/>
          </c:marker>
          <c:xVal>
            <c:numRef>
              <c:f>'Datos metrología'!$BR$4:$BR$5</c:f>
              <c:numCache>
                <c:formatCode>General</c:formatCode>
                <c:ptCount val="2"/>
                <c:pt idx="0">
                  <c:v>-1.0198783835979037</c:v>
                </c:pt>
                <c:pt idx="1">
                  <c:v>5.8643007056879455</c:v>
                </c:pt>
              </c:numCache>
            </c:numRef>
          </c:xVal>
          <c:yVal>
            <c:numRef>
              <c:f>'Datos metrología'!$BS$4:$BS$5</c:f>
              <c:numCache>
                <c:formatCode>General</c:formatCode>
                <c:ptCount val="2"/>
                <c:pt idx="0">
                  <c:v>-1.2328211884412628</c:v>
                </c:pt>
                <c:pt idx="1">
                  <c:v>7.0887218335372593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165-448F-A82F-A63D11C140B0}"/>
            </c:ext>
          </c:extLst>
        </c:ser>
        <c:ser>
          <c:idx val="15"/>
          <c:order val="15"/>
          <c:tx>
            <c:v>trazo</c:v>
          </c:tx>
          <c:spPr>
            <a:ln w="12700">
              <a:solidFill>
                <a:srgbClr val="D7301F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404040"/>
              </a:solidFill>
              <a:ln>
                <a:prstDash val="solid"/>
              </a:ln>
            </c:spPr>
          </c:marker>
          <c:xVal>
            <c:numRef>
              <c:f>'Datos metrología'!$BR$7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'Datos metrología'!$BS$7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165-448F-A82F-A63D11C14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2"/>
          <c:min val="-12"/>
        </c:scaling>
        <c:delete val="1"/>
        <c:axPos val="b"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2"/>
          <c:min val="-12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t>Relación de compresión según el cepillado de la culata</a:t>
            </a:r>
          </a:p>
        </c:rich>
      </c:tx>
      <c:overlay val="1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v>Rc modificada</c:v>
          </c:tx>
          <c:spPr>
            <a:ln w="28575">
              <a:solidFill>
                <a:srgbClr val="1F4FD8"/>
              </a:solidFill>
              <a:prstDash val="solid"/>
            </a:ln>
          </c:spPr>
          <c:marker>
            <c:symbol val="none"/>
          </c:marker>
          <c:xVal>
            <c:numRef>
              <c:f>'Datos trucaje'!$F$3:$F$27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</c:numCache>
            </c:numRef>
          </c:xVal>
          <c:yVal>
            <c:numRef>
              <c:f>'Datos trucaje'!$G$3:$G$27</c:f>
              <c:numCache>
                <c:formatCode>General</c:formatCode>
                <c:ptCount val="25"/>
                <c:pt idx="0">
                  <c:v>10.058677917899464</c:v>
                </c:pt>
                <c:pt idx="1">
                  <c:v>10.106639612763658</c:v>
                </c:pt>
                <c:pt idx="2">
                  <c:v>10.155111882840142</c:v>
                </c:pt>
                <c:pt idx="3">
                  <c:v>10.204102924733814</c:v>
                </c:pt>
                <c:pt idx="4">
                  <c:v>10.253621111440903</c:v>
                </c:pt>
                <c:pt idx="5">
                  <c:v>10.303674997119582</c:v>
                </c:pt>
                <c:pt idx="6">
                  <c:v>10.354273322016249</c:v>
                </c:pt>
                <c:pt idx="7">
                  <c:v>10.405425017553414</c:v>
                </c:pt>
                <c:pt idx="8">
                  <c:v>10.457139211585467</c:v>
                </c:pt>
                <c:pt idx="9">
                  <c:v>10.509425233828772</c:v>
                </c:pt>
                <c:pt idx="10">
                  <c:v>10.562292621472892</c:v>
                </c:pt>
                <c:pt idx="11">
                  <c:v>10.615751124980052</c:v>
                </c:pt>
                <c:pt idx="12">
                  <c:v>10.669810714080205</c:v>
                </c:pt>
                <c:pt idx="13">
                  <c:v>10.724481583969473</c:v>
                </c:pt>
                <c:pt idx="14">
                  <c:v>10.77977416172007</c:v>
                </c:pt>
                <c:pt idx="15">
                  <c:v>10.835699112910124</c:v>
                </c:pt>
                <c:pt idx="16">
                  <c:v>10.892267348482296</c:v>
                </c:pt>
                <c:pt idx="17">
                  <c:v>10.949490031840451</c:v>
                </c:pt>
                <c:pt idx="18">
                  <c:v>11.007378586194049</c:v>
                </c:pt>
                <c:pt idx="19">
                  <c:v>11.065944702160454</c:v>
                </c:pt>
                <c:pt idx="20">
                  <c:v>11.125200345635726</c:v>
                </c:pt>
                <c:pt idx="21">
                  <c:v>11.185157765945085</c:v>
                </c:pt>
                <c:pt idx="22">
                  <c:v>11.245829504284687</c:v>
                </c:pt>
                <c:pt idx="23">
                  <c:v>11.307228402466896</c:v>
                </c:pt>
                <c:pt idx="24">
                  <c:v>11.369367611981918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F3-4215-99DE-0EFD25671D4B}"/>
            </c:ext>
          </c:extLst>
        </c:ser>
        <c:ser>
          <c:idx val="1"/>
          <c:order val="1"/>
          <c:tx>
            <c:v>Rc 11 (precaución)</c:v>
          </c:tx>
          <c:spPr>
            <a:ln w="19050">
              <a:solidFill>
                <a:srgbClr val="D7301F"/>
              </a:solidFill>
              <a:prstDash val="dash"/>
            </a:ln>
          </c:spPr>
          <c:marker>
            <c:symbol val="none"/>
          </c:marker>
          <c:xVal>
            <c:numRef>
              <c:f>'Datos trucaje'!$F$3:$F$27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</c:numCache>
            </c:numRef>
          </c:xVal>
          <c:yVal>
            <c:numRef>
              <c:f>'Datos trucaje'!$H$3:$H$27</c:f>
              <c:numCache>
                <c:formatCode>General</c:formatCode>
                <c:ptCount val="25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F3-4215-99DE-0EFD25671D4B}"/>
            </c:ext>
          </c:extLst>
        </c:ser>
        <c:ser>
          <c:idx val="2"/>
          <c:order val="2"/>
          <c:tx>
            <c:v>Cepillado actual</c:v>
          </c:tx>
          <c:spPr>
            <a:ln w="28575">
              <a:solidFill>
                <a:srgbClr val="E8501E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E8501E"/>
              </a:solidFill>
              <a:ln>
                <a:solidFill>
                  <a:srgbClr val="E8501E"/>
                </a:solidFill>
                <a:prstDash val="solid"/>
              </a:ln>
            </c:spPr>
          </c:marker>
          <c:xVal>
            <c:numRef>
              <c:f>'Datos trucaje'!$I$3</c:f>
              <c:numCache>
                <c:formatCode>General</c:formatCode>
                <c:ptCount val="1"/>
                <c:pt idx="0">
                  <c:v>0.2</c:v>
                </c:pt>
              </c:numCache>
            </c:numRef>
          </c:xVal>
          <c:yVal>
            <c:numRef>
              <c:f>'Datos trucaje'!$J$3</c:f>
              <c:numCache>
                <c:formatCode>General</c:formatCode>
                <c:ptCount val="1"/>
                <c:pt idx="0">
                  <c:v>10.253621111440903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F3-4215-99DE-0EFD25671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Cepillado (mm)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t>Diagrama p–V: ciclo teórico y ciclo real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Ciclo teórico (Otto)</c:v>
          </c:tx>
          <c:spPr>
            <a:ln w="25400">
              <a:solidFill>
                <a:srgbClr val="1F4FD8"/>
              </a:solidFill>
              <a:prstDash val="solid"/>
            </a:ln>
          </c:spPr>
          <c:marker>
            <c:symbol val="none"/>
          </c:marker>
          <c:xVal>
            <c:numRef>
              <c:f>'Datos Otto'!$A$4:$A$54</c:f>
              <c:numCache>
                <c:formatCode>General</c:formatCode>
                <c:ptCount val="51"/>
                <c:pt idx="0">
                  <c:v>555.11111111111109</c:v>
                </c:pt>
                <c:pt idx="1">
                  <c:v>504.3282008839808</c:v>
                </c:pt>
                <c:pt idx="2">
                  <c:v>458.19103439989112</c:v>
                </c:pt>
                <c:pt idx="3">
                  <c:v>416.2746077583277</c:v>
                </c:pt>
                <c:pt idx="4">
                  <c:v>378.19279744595275</c:v>
                </c:pt>
                <c:pt idx="5">
                  <c:v>343.59480346452642</c:v>
                </c:pt>
                <c:pt idx="6">
                  <c:v>312.16191785010932</c:v>
                </c:pt>
                <c:pt idx="7">
                  <c:v>283.60458881596236</c:v>
                </c:pt>
                <c:pt idx="8">
                  <c:v>257.65975347477161</c:v>
                </c:pt>
                <c:pt idx="9">
                  <c:v>234.08841456991078</c:v>
                </c:pt>
                <c:pt idx="10">
                  <c:v>212.6734388932023</c:v>
                </c:pt>
                <c:pt idx="11">
                  <c:v>193.21755710875937</c:v>
                </c:pt>
                <c:pt idx="12">
                  <c:v>175.54154655779138</c:v>
                </c:pt>
                <c:pt idx="13">
                  <c:v>159.48258030483234</c:v>
                </c:pt>
                <c:pt idx="14">
                  <c:v>144.8927272172217</c:v>
                </c:pt>
                <c:pt idx="15">
                  <c:v>131.63758926095147</c:v>
                </c:pt>
                <c:pt idx="16">
                  <c:v>119.59506345999216</c:v>
                </c:pt>
                <c:pt idx="17">
                  <c:v>108.65421711458168</c:v>
                </c:pt>
                <c:pt idx="18">
                  <c:v>98.71426591727176</c:v>
                </c:pt>
                <c:pt idx="19">
                  <c:v>89.683645553395692</c:v>
                </c:pt>
                <c:pt idx="20">
                  <c:v>81.479168233776221</c:v>
                </c:pt>
                <c:pt idx="21">
                  <c:v>74.025256389866328</c:v>
                </c:pt>
                <c:pt idx="22">
                  <c:v>67.253246472315894</c:v>
                </c:pt>
                <c:pt idx="23">
                  <c:v>61.100756439733772</c:v>
                </c:pt>
                <c:pt idx="24">
                  <c:v>55.511111111111113</c:v>
                </c:pt>
                <c:pt idx="25">
                  <c:v>55.511111111111113</c:v>
                </c:pt>
                <c:pt idx="26">
                  <c:v>61.100756439733772</c:v>
                </c:pt>
                <c:pt idx="27">
                  <c:v>67.25324647231588</c:v>
                </c:pt>
                <c:pt idx="28">
                  <c:v>74.0252563898663</c:v>
                </c:pt>
                <c:pt idx="29">
                  <c:v>81.479168233776221</c:v>
                </c:pt>
                <c:pt idx="30">
                  <c:v>89.683645553395678</c:v>
                </c:pt>
                <c:pt idx="31">
                  <c:v>98.714265917271774</c:v>
                </c:pt>
                <c:pt idx="32">
                  <c:v>108.65421711458168</c:v>
                </c:pt>
                <c:pt idx="33">
                  <c:v>119.59506345999213</c:v>
                </c:pt>
                <c:pt idx="34">
                  <c:v>131.63758926095147</c:v>
                </c:pt>
                <c:pt idx="35">
                  <c:v>144.89272721722173</c:v>
                </c:pt>
                <c:pt idx="36">
                  <c:v>159.48258030483231</c:v>
                </c:pt>
                <c:pt idx="37">
                  <c:v>175.54154655779138</c:v>
                </c:pt>
                <c:pt idx="38">
                  <c:v>193.21755710875934</c:v>
                </c:pt>
                <c:pt idx="39">
                  <c:v>212.67343889320236</c:v>
                </c:pt>
                <c:pt idx="40">
                  <c:v>234.08841456991081</c:v>
                </c:pt>
                <c:pt idx="41">
                  <c:v>257.65975347477161</c:v>
                </c:pt>
                <c:pt idx="42">
                  <c:v>283.60458881596242</c:v>
                </c:pt>
                <c:pt idx="43">
                  <c:v>312.16191785010943</c:v>
                </c:pt>
                <c:pt idx="44">
                  <c:v>343.59480346452648</c:v>
                </c:pt>
                <c:pt idx="45">
                  <c:v>378.19279744595281</c:v>
                </c:pt>
                <c:pt idx="46">
                  <c:v>416.27460775832776</c:v>
                </c:pt>
                <c:pt idx="47">
                  <c:v>458.19103439989107</c:v>
                </c:pt>
                <c:pt idx="48">
                  <c:v>504.32820088398091</c:v>
                </c:pt>
                <c:pt idx="49">
                  <c:v>555.11111111111109</c:v>
                </c:pt>
                <c:pt idx="50">
                  <c:v>555.11111111111109</c:v>
                </c:pt>
              </c:numCache>
            </c:numRef>
          </c:xVal>
          <c:yVal>
            <c:numRef>
              <c:f>'Datos Otto'!$B$4:$B$54</c:f>
              <c:numCache>
                <c:formatCode>General</c:formatCode>
                <c:ptCount val="51"/>
                <c:pt idx="0">
                  <c:v>1.0329999999999999</c:v>
                </c:pt>
                <c:pt idx="1">
                  <c:v>1.1814998065301729</c:v>
                </c:pt>
                <c:pt idx="2">
                  <c:v>1.3513473309107802</c:v>
                </c:pt>
                <c:pt idx="3">
                  <c:v>1.5456114327455495</c:v>
                </c:pt>
                <c:pt idx="4">
                  <c:v>1.7678021381991189</c:v>
                </c:pt>
                <c:pt idx="5">
                  <c:v>2.0219340602767524</c:v>
                </c:pt>
                <c:pt idx="6">
                  <c:v>2.3125989361410944</c:v>
                </c:pt>
                <c:pt idx="7">
                  <c:v>2.6450485920935014</c:v>
                </c:pt>
                <c:pt idx="8">
                  <c:v>3.0252898352578677</c:v>
                </c:pt>
                <c:pt idx="9">
                  <c:v>3.4601929865003589</c:v>
                </c:pt>
                <c:pt idx="10">
                  <c:v>3.9576160155926776</c:v>
                </c:pt>
                <c:pt idx="11">
                  <c:v>4.5265465215328762</c:v>
                </c:pt>
                <c:pt idx="12">
                  <c:v>5.1772641233697216</c:v>
                </c:pt>
                <c:pt idx="13">
                  <c:v>5.921526195660145</c:v>
                </c:pt>
                <c:pt idx="14">
                  <c:v>6.7727803044877222</c:v>
                </c:pt>
                <c:pt idx="15">
                  <c:v>7.7464071824042655</c:v>
                </c:pt>
                <c:pt idx="16">
                  <c:v>8.8599986324439293</c:v>
                </c:pt>
                <c:pt idx="17">
                  <c:v>10.13367538246864</c:v>
                </c:pt>
                <c:pt idx="18">
                  <c:v>11.590450632939278</c:v>
                </c:pt>
                <c:pt idx="19">
                  <c:v>13.256645866810532</c:v>
                </c:pt>
                <c:pt idx="20">
                  <c:v>15.162366434535976</c:v>
                </c:pt>
                <c:pt idx="21">
                  <c:v>17.342045507206038</c:v>
                </c:pt>
                <c:pt idx="22">
                  <c:v>19.8350662261388</c:v>
                </c:pt>
                <c:pt idx="23">
                  <c:v>22.686473290122141</c:v>
                </c:pt>
                <c:pt idx="24">
                  <c:v>25.947786837493958</c:v>
                </c:pt>
                <c:pt idx="25">
                  <c:v>103.79114734997583</c:v>
                </c:pt>
                <c:pt idx="26">
                  <c:v>90.745893160488592</c:v>
                </c:pt>
                <c:pt idx="27">
                  <c:v>79.340264904555255</c:v>
                </c:pt>
                <c:pt idx="28">
                  <c:v>69.368182028824179</c:v>
                </c:pt>
                <c:pt idx="29">
                  <c:v>60.649465738143896</c:v>
                </c:pt>
                <c:pt idx="30">
                  <c:v>53.026583467242141</c:v>
                </c:pt>
                <c:pt idx="31">
                  <c:v>46.361802531757114</c:v>
                </c:pt>
                <c:pt idx="32">
                  <c:v>40.53470152987456</c:v>
                </c:pt>
                <c:pt idx="33">
                  <c:v>35.439994529775738</c:v>
                </c:pt>
                <c:pt idx="34">
                  <c:v>30.985628729617066</c:v>
                </c:pt>
                <c:pt idx="35">
                  <c:v>27.091121217950878</c:v>
                </c:pt>
                <c:pt idx="36">
                  <c:v>23.686104782640591</c:v>
                </c:pt>
                <c:pt idx="37">
                  <c:v>20.70905649347889</c:v>
                </c:pt>
                <c:pt idx="38">
                  <c:v>18.106186086131512</c:v>
                </c:pt>
                <c:pt idx="39">
                  <c:v>15.830464062370709</c:v>
                </c:pt>
                <c:pt idx="40">
                  <c:v>13.840771946001436</c:v>
                </c:pt>
                <c:pt idx="41">
                  <c:v>12.101159341031472</c:v>
                </c:pt>
                <c:pt idx="42">
                  <c:v>10.580194368374004</c:v>
                </c:pt>
                <c:pt idx="43">
                  <c:v>9.2503957445643756</c:v>
                </c:pt>
                <c:pt idx="44">
                  <c:v>8.0877362411070131</c:v>
                </c:pt>
                <c:pt idx="45">
                  <c:v>7.0712085527964756</c:v>
                </c:pt>
                <c:pt idx="46">
                  <c:v>6.1824457309821987</c:v>
                </c:pt>
                <c:pt idx="47">
                  <c:v>5.4053893236431216</c:v>
                </c:pt>
                <c:pt idx="48">
                  <c:v>4.7259992261206891</c:v>
                </c:pt>
                <c:pt idx="49">
                  <c:v>4.1320000000000014</c:v>
                </c:pt>
                <c:pt idx="50">
                  <c:v>1.0329999999999999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B3-4FC3-9066-D3EA8B0B70B4}"/>
            </c:ext>
          </c:extLst>
        </c:ser>
        <c:ser>
          <c:idx val="1"/>
          <c:order val="1"/>
          <c:tx>
            <c:v>Ciclo real aproximado</c:v>
          </c:tx>
          <c:spPr>
            <a:ln w="25400">
              <a:solidFill>
                <a:srgbClr val="E8501E"/>
              </a:solidFill>
              <a:prstDash val="solid"/>
            </a:ln>
          </c:spPr>
          <c:marker>
            <c:symbol val="none"/>
          </c:marker>
          <c:xVal>
            <c:numRef>
              <c:f>'Datos Otto'!$D$4:$D$50</c:f>
              <c:numCache>
                <c:formatCode>General</c:formatCode>
                <c:ptCount val="47"/>
                <c:pt idx="0">
                  <c:v>555.11111111111109</c:v>
                </c:pt>
                <c:pt idx="1">
                  <c:v>491.75449832097473</c:v>
                </c:pt>
                <c:pt idx="2">
                  <c:v>435.62897909732226</c:v>
                </c:pt>
                <c:pt idx="3">
                  <c:v>385.90924552256587</c:v>
                </c:pt>
                <c:pt idx="4">
                  <c:v>341.86418472065196</c:v>
                </c:pt>
                <c:pt idx="5">
                  <c:v>302.84612807464362</c:v>
                </c:pt>
                <c:pt idx="6">
                  <c:v>268.28132746560533</c:v>
                </c:pt>
                <c:pt idx="7">
                  <c:v>237.66151848891215</c:v>
                </c:pt>
                <c:pt idx="8">
                  <c:v>210.53644658775912</c:v>
                </c:pt>
                <c:pt idx="9">
                  <c:v>186.50724620304197</c:v>
                </c:pt>
                <c:pt idx="10">
                  <c:v>165.22057558211185</c:v>
                </c:pt>
                <c:pt idx="11">
                  <c:v>146.36342100063192</c:v>
                </c:pt>
                <c:pt idx="12">
                  <c:v>129.65849399526948</c:v>
                </c:pt>
                <c:pt idx="13">
                  <c:v>114.86015392499434</c:v>
                </c:pt>
                <c:pt idx="14">
                  <c:v>101.75079590354281</c:v>
                </c:pt>
                <c:pt idx="15">
                  <c:v>90.137650988742834</c:v>
                </c:pt>
                <c:pt idx="16">
                  <c:v>79.849951576501823</c:v>
                </c:pt>
                <c:pt idx="17">
                  <c:v>70.736420317476217</c:v>
                </c:pt>
                <c:pt idx="18">
                  <c:v>62.663045631741213</c:v>
                </c:pt>
                <c:pt idx="19">
                  <c:v>55.511111111111113</c:v>
                </c:pt>
                <c:pt idx="20">
                  <c:v>56.62133333333334</c:v>
                </c:pt>
                <c:pt idx="21">
                  <c:v>58.841777777777786</c:v>
                </c:pt>
                <c:pt idx="22">
                  <c:v>62.172444444444452</c:v>
                </c:pt>
                <c:pt idx="23">
                  <c:v>69.582173926386474</c:v>
                </c:pt>
                <c:pt idx="24">
                  <c:v>77.874997059964173</c:v>
                </c:pt>
                <c:pt idx="25">
                  <c:v>87.156161195901987</c:v>
                </c:pt>
                <c:pt idx="26">
                  <c:v>97.543457093898056</c:v>
                </c:pt>
                <c:pt idx="27">
                  <c:v>109.16871384964698</c:v>
                </c:pt>
                <c:pt idx="28">
                  <c:v>122.17947198768736</c:v>
                </c:pt>
                <c:pt idx="29">
                  <c:v>136.74085595392734</c:v>
                </c:pt>
                <c:pt idx="30">
                  <c:v>153.03766977235745</c:v>
                </c:pt>
                <c:pt idx="31">
                  <c:v>171.27674246272312</c:v>
                </c:pt>
                <c:pt idx="32">
                  <c:v>191.68955298573664</c:v>
                </c:pt>
                <c:pt idx="33">
                  <c:v>214.53516803000116</c:v>
                </c:pt>
                <c:pt idx="34">
                  <c:v>240.10352992520936</c:v>
                </c:pt>
                <c:pt idx="35">
                  <c:v>268.71913640976584</c:v>
                </c:pt>
                <c:pt idx="36">
                  <c:v>300.74515895415311</c:v>
                </c:pt>
                <c:pt idx="37">
                  <c:v>336.58805190723939</c:v>
                </c:pt>
                <c:pt idx="38">
                  <c:v>376.70271096194477</c:v>
                </c:pt>
                <c:pt idx="39">
                  <c:v>421.59824640830158</c:v>
                </c:pt>
                <c:pt idx="40">
                  <c:v>471.84444444444443</c:v>
                </c:pt>
                <c:pt idx="41">
                  <c:v>516.25333333333333</c:v>
                </c:pt>
                <c:pt idx="42">
                  <c:v>555.11111111111109</c:v>
                </c:pt>
                <c:pt idx="43">
                  <c:v>55.511111111111113</c:v>
                </c:pt>
                <c:pt idx="44">
                  <c:v>55.511111111111113</c:v>
                </c:pt>
                <c:pt idx="45">
                  <c:v>555.11111111111109</c:v>
                </c:pt>
                <c:pt idx="46">
                  <c:v>555.11111111111109</c:v>
                </c:pt>
              </c:numCache>
            </c:numRef>
          </c:xVal>
          <c:yVal>
            <c:numRef>
              <c:f>'Datos Otto'!$E$4:$E$50</c:f>
              <c:numCache>
                <c:formatCode>General</c:formatCode>
                <c:ptCount val="47"/>
                <c:pt idx="0">
                  <c:v>1.0329999999999999</c:v>
                </c:pt>
                <c:pt idx="1">
                  <c:v>1.1997178698598621</c:v>
                </c:pt>
                <c:pt idx="2">
                  <c:v>1.3932544292002882</c:v>
                </c:pt>
                <c:pt idx="3">
                  <c:v>1.617907888098211</c:v>
                </c:pt>
                <c:pt idx="4">
                  <c:v>1.8786624463658772</c:v>
                </c:pt>
                <c:pt idx="5">
                  <c:v>2.1812972533954782</c:v>
                </c:pt>
                <c:pt idx="6">
                  <c:v>2.5325125792645355</c:v>
                </c:pt>
                <c:pt idx="7">
                  <c:v>2.9400758982844843</c:v>
                </c:pt>
                <c:pt idx="8">
                  <c:v>3.4129910068797438</c:v>
                </c:pt>
                <c:pt idx="9">
                  <c:v>3.9616937833149168</c:v>
                </c:pt>
                <c:pt idx="10">
                  <c:v>4.5982787572516228</c:v>
                </c:pt>
                <c:pt idx="11">
                  <c:v>5.3367613038122395</c:v>
                </c:pt>
                <c:pt idx="12">
                  <c:v>6.1933810228655037</c:v>
                </c:pt>
                <c:pt idx="13">
                  <c:v>7.1869527247014595</c:v>
                </c:pt>
                <c:pt idx="14">
                  <c:v>8.3392724354550527</c:v>
                </c:pt>
                <c:pt idx="15">
                  <c:v>9.6755869794746694</c:v>
                </c:pt>
                <c:pt idx="16">
                  <c:v>11.2251370141762</c:v>
                </c:pt>
                <c:pt idx="17">
                  <c:v>13.021784912026366</c:v>
                </c:pt>
                <c:pt idx="18">
                  <c:v>15.10474063428639</c:v>
                </c:pt>
                <c:pt idx="19">
                  <c:v>17.519400756584254</c:v>
                </c:pt>
                <c:pt idx="20">
                  <c:v>31.534921361851659</c:v>
                </c:pt>
                <c:pt idx="21">
                  <c:v>56.062082421069618</c:v>
                </c:pt>
                <c:pt idx="22">
                  <c:v>70.077603026337016</c:v>
                </c:pt>
                <c:pt idx="23">
                  <c:v>60.535366114140636</c:v>
                </c:pt>
                <c:pt idx="24">
                  <c:v>52.292464244186817</c:v>
                </c:pt>
                <c:pt idx="25">
                  <c:v>45.171971233701626</c:v>
                </c:pt>
                <c:pt idx="26">
                  <c:v>39.021052356797348</c:v>
                </c:pt>
                <c:pt idx="27">
                  <c:v>33.707683889958652</c:v>
                </c:pt>
                <c:pt idx="28">
                  <c:v>29.1178193462395</c:v>
                </c:pt>
                <c:pt idx="29">
                  <c:v>25.152941574037019</c:v>
                </c:pt>
                <c:pt idx="30">
                  <c:v>21.727948178531033</c:v>
                </c:pt>
                <c:pt idx="31">
                  <c:v>18.769324878336995</c:v>
                </c:pt>
                <c:pt idx="32">
                  <c:v>16.213567590180862</c:v>
                </c:pt>
                <c:pt idx="33">
                  <c:v>14.005819373118285</c:v>
                </c:pt>
                <c:pt idx="34">
                  <c:v>12.098692975580169</c:v>
                </c:pt>
                <c:pt idx="35">
                  <c:v>10.451253712317646</c:v>
                </c:pt>
                <c:pt idx="36">
                  <c:v>9.0281408396509484</c:v>
                </c:pt>
                <c:pt idx="37">
                  <c:v>7.7988085701632492</c:v>
                </c:pt>
                <c:pt idx="38">
                  <c:v>6.7368704359294505</c:v>
                </c:pt>
                <c:pt idx="39">
                  <c:v>5.819532927649516</c:v>
                </c:pt>
                <c:pt idx="40">
                  <c:v>5.0271062532798254</c:v>
                </c:pt>
                <c:pt idx="41">
                  <c:v>2.4860225013119304</c:v>
                </c:pt>
                <c:pt idx="42">
                  <c:v>1.1879499999999998</c:v>
                </c:pt>
                <c:pt idx="43">
                  <c:v>1.1363000000000001</c:v>
                </c:pt>
                <c:pt idx="44">
                  <c:v>0.92969999999999997</c:v>
                </c:pt>
                <c:pt idx="45">
                  <c:v>0.92969999999999997</c:v>
                </c:pt>
                <c:pt idx="46">
                  <c:v>1.0329999999999999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B3-4FC3-9066-D3EA8B0B7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Volumen del cilindro V [cm³]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Presión p [kg/cm²]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t>Fases de cada cilindro en dos vueltas del cigüeñal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Expansión</c:v>
          </c:tx>
          <c:spPr>
            <a:ln w="152400">
              <a:solidFill>
                <a:srgbClr val="D7301F"/>
              </a:solidFill>
              <a:prstDash val="solid"/>
            </a:ln>
          </c:spPr>
          <c:marker>
            <c:symbol val="none"/>
          </c:marker>
          <c:xVal>
            <c:numRef>
              <c:f>'Datos orden'!$N$3:$N$38</c:f>
              <c:numCache>
                <c:formatCode>General</c:formatCode>
                <c:ptCount val="36"/>
                <c:pt idx="0">
                  <c:v>0</c:v>
                </c:pt>
                <c:pt idx="1">
                  <c:v>180</c:v>
                </c:pt>
                <c:pt idx="3">
                  <c:v>180</c:v>
                </c:pt>
                <c:pt idx="4">
                  <c:v>180</c:v>
                </c:pt>
                <c:pt idx="6">
                  <c:v>540</c:v>
                </c:pt>
                <c:pt idx="7">
                  <c:v>720</c:v>
                </c:pt>
                <c:pt idx="9">
                  <c:v>720</c:v>
                </c:pt>
                <c:pt idx="10">
                  <c:v>720</c:v>
                </c:pt>
                <c:pt idx="12">
                  <c:v>180</c:v>
                </c:pt>
                <c:pt idx="13">
                  <c:v>360</c:v>
                </c:pt>
                <c:pt idx="15">
                  <c:v>360</c:v>
                </c:pt>
                <c:pt idx="16">
                  <c:v>360</c:v>
                </c:pt>
                <c:pt idx="18">
                  <c:v>360</c:v>
                </c:pt>
                <c:pt idx="19">
                  <c:v>540</c:v>
                </c:pt>
                <c:pt idx="21">
                  <c:v>540</c:v>
                </c:pt>
                <c:pt idx="22">
                  <c:v>540</c:v>
                </c:pt>
                <c:pt idx="24">
                  <c:v>0</c:v>
                </c:pt>
                <c:pt idx="25">
                  <c:v>180</c:v>
                </c:pt>
                <c:pt idx="27">
                  <c:v>180</c:v>
                </c:pt>
                <c:pt idx="28">
                  <c:v>180</c:v>
                </c:pt>
                <c:pt idx="30">
                  <c:v>0</c:v>
                </c:pt>
                <c:pt idx="31">
                  <c:v>180</c:v>
                </c:pt>
                <c:pt idx="33">
                  <c:v>180</c:v>
                </c:pt>
                <c:pt idx="34">
                  <c:v>180</c:v>
                </c:pt>
              </c:numCache>
            </c:numRef>
          </c:xVal>
          <c:yVal>
            <c:numRef>
              <c:f>'Datos orden'!$O$3:$O$38</c:f>
              <c:numCache>
                <c:formatCode>General</c:formatCode>
                <c:ptCount val="36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2</c:v>
                </c:pt>
                <c:pt idx="7">
                  <c:v>2</c:v>
                </c:pt>
                <c:pt idx="9">
                  <c:v>2</c:v>
                </c:pt>
                <c:pt idx="10">
                  <c:v>2</c:v>
                </c:pt>
                <c:pt idx="12">
                  <c:v>3</c:v>
                </c:pt>
                <c:pt idx="13">
                  <c:v>3</c:v>
                </c:pt>
                <c:pt idx="15">
                  <c:v>3</c:v>
                </c:pt>
                <c:pt idx="16">
                  <c:v>3</c:v>
                </c:pt>
                <c:pt idx="18">
                  <c:v>4</c:v>
                </c:pt>
                <c:pt idx="19">
                  <c:v>4</c:v>
                </c:pt>
                <c:pt idx="21">
                  <c:v>4</c:v>
                </c:pt>
                <c:pt idx="22">
                  <c:v>4</c:v>
                </c:pt>
                <c:pt idx="24">
                  <c:v>-5</c:v>
                </c:pt>
                <c:pt idx="25">
                  <c:v>-5</c:v>
                </c:pt>
                <c:pt idx="27">
                  <c:v>-5</c:v>
                </c:pt>
                <c:pt idx="28">
                  <c:v>-5</c:v>
                </c:pt>
                <c:pt idx="30">
                  <c:v>-5</c:v>
                </c:pt>
                <c:pt idx="31">
                  <c:v>-5</c:v>
                </c:pt>
                <c:pt idx="33">
                  <c:v>-5</c:v>
                </c:pt>
                <c:pt idx="34">
                  <c:v>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75-4AAC-9883-E33937C29668}"/>
            </c:ext>
          </c:extLst>
        </c:ser>
        <c:ser>
          <c:idx val="1"/>
          <c:order val="1"/>
          <c:tx>
            <c:v>Escape</c:v>
          </c:tx>
          <c:spPr>
            <a:ln w="152400">
              <a:solidFill>
                <a:srgbClr val="8C8C8C"/>
              </a:solidFill>
              <a:prstDash val="solid"/>
            </a:ln>
          </c:spPr>
          <c:marker>
            <c:symbol val="none"/>
          </c:marker>
          <c:xVal>
            <c:numRef>
              <c:f>'Datos orden'!$P$3:$P$38</c:f>
              <c:numCache>
                <c:formatCode>General</c:formatCode>
                <c:ptCount val="36"/>
                <c:pt idx="0">
                  <c:v>180</c:v>
                </c:pt>
                <c:pt idx="1">
                  <c:v>360</c:v>
                </c:pt>
                <c:pt idx="3">
                  <c:v>360</c:v>
                </c:pt>
                <c:pt idx="4">
                  <c:v>360</c:v>
                </c:pt>
                <c:pt idx="6">
                  <c:v>0</c:v>
                </c:pt>
                <c:pt idx="7">
                  <c:v>180</c:v>
                </c:pt>
                <c:pt idx="9">
                  <c:v>180</c:v>
                </c:pt>
                <c:pt idx="10">
                  <c:v>180</c:v>
                </c:pt>
                <c:pt idx="12">
                  <c:v>360</c:v>
                </c:pt>
                <c:pt idx="13">
                  <c:v>540</c:v>
                </c:pt>
                <c:pt idx="15">
                  <c:v>540</c:v>
                </c:pt>
                <c:pt idx="16">
                  <c:v>540</c:v>
                </c:pt>
                <c:pt idx="18">
                  <c:v>540</c:v>
                </c:pt>
                <c:pt idx="19">
                  <c:v>720</c:v>
                </c:pt>
                <c:pt idx="21">
                  <c:v>720</c:v>
                </c:pt>
                <c:pt idx="22">
                  <c:v>720</c:v>
                </c:pt>
                <c:pt idx="24">
                  <c:v>0</c:v>
                </c:pt>
                <c:pt idx="25">
                  <c:v>180</c:v>
                </c:pt>
                <c:pt idx="27">
                  <c:v>180</c:v>
                </c:pt>
                <c:pt idx="28">
                  <c:v>180</c:v>
                </c:pt>
                <c:pt idx="30">
                  <c:v>0</c:v>
                </c:pt>
                <c:pt idx="31">
                  <c:v>180</c:v>
                </c:pt>
                <c:pt idx="33">
                  <c:v>180</c:v>
                </c:pt>
                <c:pt idx="34">
                  <c:v>180</c:v>
                </c:pt>
              </c:numCache>
            </c:numRef>
          </c:xVal>
          <c:yVal>
            <c:numRef>
              <c:f>'Datos orden'!$Q$3:$Q$38</c:f>
              <c:numCache>
                <c:formatCode>General</c:formatCode>
                <c:ptCount val="36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2</c:v>
                </c:pt>
                <c:pt idx="7">
                  <c:v>2</c:v>
                </c:pt>
                <c:pt idx="9">
                  <c:v>2</c:v>
                </c:pt>
                <c:pt idx="10">
                  <c:v>2</c:v>
                </c:pt>
                <c:pt idx="12">
                  <c:v>3</c:v>
                </c:pt>
                <c:pt idx="13">
                  <c:v>3</c:v>
                </c:pt>
                <c:pt idx="15">
                  <c:v>3</c:v>
                </c:pt>
                <c:pt idx="16">
                  <c:v>3</c:v>
                </c:pt>
                <c:pt idx="18">
                  <c:v>4</c:v>
                </c:pt>
                <c:pt idx="19">
                  <c:v>4</c:v>
                </c:pt>
                <c:pt idx="21">
                  <c:v>4</c:v>
                </c:pt>
                <c:pt idx="22">
                  <c:v>4</c:v>
                </c:pt>
                <c:pt idx="24">
                  <c:v>-5</c:v>
                </c:pt>
                <c:pt idx="25">
                  <c:v>-5</c:v>
                </c:pt>
                <c:pt idx="27">
                  <c:v>-5</c:v>
                </c:pt>
                <c:pt idx="28">
                  <c:v>-5</c:v>
                </c:pt>
                <c:pt idx="30">
                  <c:v>-5</c:v>
                </c:pt>
                <c:pt idx="31">
                  <c:v>-5</c:v>
                </c:pt>
                <c:pt idx="33">
                  <c:v>-5</c:v>
                </c:pt>
                <c:pt idx="34">
                  <c:v>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75-4AAC-9883-E33937C29668}"/>
            </c:ext>
          </c:extLst>
        </c:ser>
        <c:ser>
          <c:idx val="2"/>
          <c:order val="2"/>
          <c:tx>
            <c:v>Admisión</c:v>
          </c:tx>
          <c:spPr>
            <a:ln w="152400">
              <a:solidFill>
                <a:srgbClr val="1F4FD8"/>
              </a:solidFill>
              <a:prstDash val="solid"/>
            </a:ln>
          </c:spPr>
          <c:marker>
            <c:symbol val="none"/>
          </c:marker>
          <c:xVal>
            <c:numRef>
              <c:f>'Datos orden'!$R$3:$R$38</c:f>
              <c:numCache>
                <c:formatCode>General</c:formatCode>
                <c:ptCount val="36"/>
                <c:pt idx="0">
                  <c:v>360</c:v>
                </c:pt>
                <c:pt idx="1">
                  <c:v>540</c:v>
                </c:pt>
                <c:pt idx="3">
                  <c:v>540</c:v>
                </c:pt>
                <c:pt idx="4">
                  <c:v>540</c:v>
                </c:pt>
                <c:pt idx="6">
                  <c:v>180</c:v>
                </c:pt>
                <c:pt idx="7">
                  <c:v>360</c:v>
                </c:pt>
                <c:pt idx="9">
                  <c:v>360</c:v>
                </c:pt>
                <c:pt idx="10">
                  <c:v>360</c:v>
                </c:pt>
                <c:pt idx="12">
                  <c:v>540</c:v>
                </c:pt>
                <c:pt idx="13">
                  <c:v>720</c:v>
                </c:pt>
                <c:pt idx="15">
                  <c:v>720</c:v>
                </c:pt>
                <c:pt idx="16">
                  <c:v>720</c:v>
                </c:pt>
                <c:pt idx="18">
                  <c:v>0</c:v>
                </c:pt>
                <c:pt idx="19">
                  <c:v>180</c:v>
                </c:pt>
                <c:pt idx="21">
                  <c:v>180</c:v>
                </c:pt>
                <c:pt idx="22">
                  <c:v>180</c:v>
                </c:pt>
                <c:pt idx="24">
                  <c:v>0</c:v>
                </c:pt>
                <c:pt idx="25">
                  <c:v>180</c:v>
                </c:pt>
                <c:pt idx="27">
                  <c:v>180</c:v>
                </c:pt>
                <c:pt idx="28">
                  <c:v>180</c:v>
                </c:pt>
                <c:pt idx="30">
                  <c:v>0</c:v>
                </c:pt>
                <c:pt idx="31">
                  <c:v>180</c:v>
                </c:pt>
                <c:pt idx="33">
                  <c:v>180</c:v>
                </c:pt>
                <c:pt idx="34">
                  <c:v>180</c:v>
                </c:pt>
              </c:numCache>
            </c:numRef>
          </c:xVal>
          <c:yVal>
            <c:numRef>
              <c:f>'Datos orden'!$S$3:$S$38</c:f>
              <c:numCache>
                <c:formatCode>General</c:formatCode>
                <c:ptCount val="36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2</c:v>
                </c:pt>
                <c:pt idx="7">
                  <c:v>2</c:v>
                </c:pt>
                <c:pt idx="9">
                  <c:v>2</c:v>
                </c:pt>
                <c:pt idx="10">
                  <c:v>2</c:v>
                </c:pt>
                <c:pt idx="12">
                  <c:v>3</c:v>
                </c:pt>
                <c:pt idx="13">
                  <c:v>3</c:v>
                </c:pt>
                <c:pt idx="15">
                  <c:v>3</c:v>
                </c:pt>
                <c:pt idx="16">
                  <c:v>3</c:v>
                </c:pt>
                <c:pt idx="18">
                  <c:v>4</c:v>
                </c:pt>
                <c:pt idx="19">
                  <c:v>4</c:v>
                </c:pt>
                <c:pt idx="21">
                  <c:v>4</c:v>
                </c:pt>
                <c:pt idx="22">
                  <c:v>4</c:v>
                </c:pt>
                <c:pt idx="24">
                  <c:v>-5</c:v>
                </c:pt>
                <c:pt idx="25">
                  <c:v>-5</c:v>
                </c:pt>
                <c:pt idx="27">
                  <c:v>-5</c:v>
                </c:pt>
                <c:pt idx="28">
                  <c:v>-5</c:v>
                </c:pt>
                <c:pt idx="30">
                  <c:v>-5</c:v>
                </c:pt>
                <c:pt idx="31">
                  <c:v>-5</c:v>
                </c:pt>
                <c:pt idx="33">
                  <c:v>-5</c:v>
                </c:pt>
                <c:pt idx="34">
                  <c:v>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75-4AAC-9883-E33937C29668}"/>
            </c:ext>
          </c:extLst>
        </c:ser>
        <c:ser>
          <c:idx val="3"/>
          <c:order val="3"/>
          <c:tx>
            <c:v>Compresión</c:v>
          </c:tx>
          <c:spPr>
            <a:ln w="152400">
              <a:solidFill>
                <a:srgbClr val="2E9E44"/>
              </a:solidFill>
              <a:prstDash val="solid"/>
            </a:ln>
          </c:spPr>
          <c:marker>
            <c:symbol val="none"/>
          </c:marker>
          <c:xVal>
            <c:numRef>
              <c:f>'Datos orden'!$T$3:$T$38</c:f>
              <c:numCache>
                <c:formatCode>General</c:formatCode>
                <c:ptCount val="36"/>
                <c:pt idx="0">
                  <c:v>540</c:v>
                </c:pt>
                <c:pt idx="1">
                  <c:v>720</c:v>
                </c:pt>
                <c:pt idx="3">
                  <c:v>720</c:v>
                </c:pt>
                <c:pt idx="4">
                  <c:v>720</c:v>
                </c:pt>
                <c:pt idx="6">
                  <c:v>360</c:v>
                </c:pt>
                <c:pt idx="7">
                  <c:v>540</c:v>
                </c:pt>
                <c:pt idx="9">
                  <c:v>540</c:v>
                </c:pt>
                <c:pt idx="10">
                  <c:v>540</c:v>
                </c:pt>
                <c:pt idx="12">
                  <c:v>0</c:v>
                </c:pt>
                <c:pt idx="13">
                  <c:v>180</c:v>
                </c:pt>
                <c:pt idx="15">
                  <c:v>180</c:v>
                </c:pt>
                <c:pt idx="16">
                  <c:v>180</c:v>
                </c:pt>
                <c:pt idx="18">
                  <c:v>180</c:v>
                </c:pt>
                <c:pt idx="19">
                  <c:v>360</c:v>
                </c:pt>
                <c:pt idx="21">
                  <c:v>360</c:v>
                </c:pt>
                <c:pt idx="22">
                  <c:v>360</c:v>
                </c:pt>
                <c:pt idx="24">
                  <c:v>0</c:v>
                </c:pt>
                <c:pt idx="25">
                  <c:v>180</c:v>
                </c:pt>
                <c:pt idx="27">
                  <c:v>180</c:v>
                </c:pt>
                <c:pt idx="28">
                  <c:v>180</c:v>
                </c:pt>
                <c:pt idx="30">
                  <c:v>0</c:v>
                </c:pt>
                <c:pt idx="31">
                  <c:v>180</c:v>
                </c:pt>
                <c:pt idx="33">
                  <c:v>180</c:v>
                </c:pt>
                <c:pt idx="34">
                  <c:v>180</c:v>
                </c:pt>
              </c:numCache>
            </c:numRef>
          </c:xVal>
          <c:yVal>
            <c:numRef>
              <c:f>'Datos orden'!$U$3:$U$38</c:f>
              <c:numCache>
                <c:formatCode>General</c:formatCode>
                <c:ptCount val="36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2</c:v>
                </c:pt>
                <c:pt idx="7">
                  <c:v>2</c:v>
                </c:pt>
                <c:pt idx="9">
                  <c:v>2</c:v>
                </c:pt>
                <c:pt idx="10">
                  <c:v>2</c:v>
                </c:pt>
                <c:pt idx="12">
                  <c:v>3</c:v>
                </c:pt>
                <c:pt idx="13">
                  <c:v>3</c:v>
                </c:pt>
                <c:pt idx="15">
                  <c:v>3</c:v>
                </c:pt>
                <c:pt idx="16">
                  <c:v>3</c:v>
                </c:pt>
                <c:pt idx="18">
                  <c:v>4</c:v>
                </c:pt>
                <c:pt idx="19">
                  <c:v>4</c:v>
                </c:pt>
                <c:pt idx="21">
                  <c:v>4</c:v>
                </c:pt>
                <c:pt idx="22">
                  <c:v>4</c:v>
                </c:pt>
                <c:pt idx="24">
                  <c:v>-5</c:v>
                </c:pt>
                <c:pt idx="25">
                  <c:v>-5</c:v>
                </c:pt>
                <c:pt idx="27">
                  <c:v>-5</c:v>
                </c:pt>
                <c:pt idx="28">
                  <c:v>-5</c:v>
                </c:pt>
                <c:pt idx="30">
                  <c:v>-5</c:v>
                </c:pt>
                <c:pt idx="31">
                  <c:v>-5</c:v>
                </c:pt>
                <c:pt idx="33">
                  <c:v>-5</c:v>
                </c:pt>
                <c:pt idx="34">
                  <c:v>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75-4AAC-9883-E33937C29668}"/>
            </c:ext>
          </c:extLst>
        </c:ser>
        <c:ser>
          <c:idx val="4"/>
          <c:order val="4"/>
          <c:tx>
            <c:v>Ángulo actual θ</c:v>
          </c:tx>
          <c:spPr>
            <a:ln w="254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'Datos orden'!$W$3:$W$4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'Datos orden'!$X$3:$X$4</c:f>
              <c:numCache>
                <c:formatCode>General</c:formatCode>
                <c:ptCount val="2"/>
                <c:pt idx="0">
                  <c:v>0</c:v>
                </c:pt>
                <c:pt idx="1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75-4AAC-9883-E33937C29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720"/>
          <c:min val="0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Ángulo del cigüeñal θ [°]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  <c:majorUnit val="90"/>
      </c:valAx>
      <c:valAx>
        <c:axId val="20"/>
        <c:scaling>
          <c:orientation val="maxMin"/>
          <c:max val="7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Cilindro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  <c:majorUnit val="1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20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54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18</xdr:row>
      <xdr:rowOff>0</xdr:rowOff>
    </xdr:from>
    <xdr:ext cx="468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122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93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50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50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684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baseColWidth="10" defaultColWidth="9.140625" defaultRowHeight="15" x14ac:dyDescent="0.25"/>
  <cols>
    <col min="1" max="1" width="52" customWidth="1"/>
    <col min="2" max="2" width="13" customWidth="1"/>
    <col min="3" max="3" width="40" customWidth="1"/>
    <col min="4" max="4" width="3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  <c r="B4" s="3" t="s">
        <v>3</v>
      </c>
    </row>
    <row r="5" spans="1:3" x14ac:dyDescent="0.25">
      <c r="A5" s="4" t="s">
        <v>4</v>
      </c>
      <c r="B5" s="5">
        <v>70</v>
      </c>
    </row>
    <row r="6" spans="1:3" x14ac:dyDescent="0.25">
      <c r="A6" s="4" t="s">
        <v>5</v>
      </c>
      <c r="B6" s="5">
        <v>130</v>
      </c>
    </row>
    <row r="7" spans="1:3" x14ac:dyDescent="0.25">
      <c r="A7" s="4" t="s">
        <v>6</v>
      </c>
      <c r="B7" s="5">
        <v>4000</v>
      </c>
    </row>
    <row r="9" spans="1:3" x14ac:dyDescent="0.25">
      <c r="A9" s="3" t="s">
        <v>7</v>
      </c>
      <c r="B9" s="3" t="s">
        <v>3</v>
      </c>
      <c r="C9" s="3" t="s">
        <v>8</v>
      </c>
    </row>
    <row r="10" spans="1:3" x14ac:dyDescent="0.25">
      <c r="A10" s="6" t="s">
        <v>9</v>
      </c>
      <c r="B10" s="7">
        <f>B5/2</f>
        <v>35</v>
      </c>
      <c r="C10" s="8" t="s">
        <v>10</v>
      </c>
    </row>
    <row r="11" spans="1:3" x14ac:dyDescent="0.25">
      <c r="A11" s="6" t="s">
        <v>11</v>
      </c>
      <c r="B11" s="9">
        <f>B10/B6</f>
        <v>0.26923076923076922</v>
      </c>
      <c r="C11" s="8" t="s">
        <v>12</v>
      </c>
    </row>
    <row r="12" spans="1:3" x14ac:dyDescent="0.25">
      <c r="A12" s="6" t="s">
        <v>13</v>
      </c>
      <c r="B12" s="7">
        <f>2*PI()*B7/60</f>
        <v>418.87902047863906</v>
      </c>
      <c r="C12" s="8" t="s">
        <v>14</v>
      </c>
    </row>
    <row r="13" spans="1:3" x14ac:dyDescent="0.25">
      <c r="A13" s="6" t="s">
        <v>15</v>
      </c>
      <c r="B13" s="10">
        <f>2*B5*B7/60/1000</f>
        <v>9.3333333333333339</v>
      </c>
      <c r="C13" s="8" t="s">
        <v>16</v>
      </c>
    </row>
    <row r="14" spans="1:3" x14ac:dyDescent="0.25">
      <c r="A14" s="6" t="s">
        <v>17</v>
      </c>
      <c r="B14" s="10">
        <f>MAX(Datos!C3:C75)</f>
        <v>15.183156290365064</v>
      </c>
      <c r="C14" s="8" t="s">
        <v>18</v>
      </c>
    </row>
    <row r="15" spans="1:3" x14ac:dyDescent="0.25">
      <c r="A15" s="6" t="s">
        <v>19</v>
      </c>
      <c r="B15" s="11">
        <f>INDEX(Datos!A3:A75,MATCH(B14,Datos!C3:C75,0))</f>
        <v>75</v>
      </c>
      <c r="C15" s="8" t="s">
        <v>20</v>
      </c>
    </row>
    <row r="16" spans="1:3" x14ac:dyDescent="0.25">
      <c r="A16" s="6" t="s">
        <v>21</v>
      </c>
      <c r="B16" s="12">
        <f>B10/1000*B12^2*(1+B11)</f>
        <v>7794.4568090654402</v>
      </c>
      <c r="C16" s="8" t="s">
        <v>22</v>
      </c>
    </row>
    <row r="17" spans="1:3" x14ac:dyDescent="0.25">
      <c r="A17" s="6" t="s">
        <v>23</v>
      </c>
      <c r="B17" s="12">
        <f>B10/1000*B12^2*(1-B11)</f>
        <v>4487.7175567346485</v>
      </c>
      <c r="C17" s="8" t="s">
        <v>24</v>
      </c>
    </row>
    <row r="18" spans="1:3" x14ac:dyDescent="0.25">
      <c r="A18" s="6" t="s">
        <v>25</v>
      </c>
      <c r="B18" s="12">
        <f>B16/9.81</f>
        <v>794.54197849800607</v>
      </c>
      <c r="C18" s="8" t="s">
        <v>26</v>
      </c>
    </row>
    <row r="20" spans="1:3" x14ac:dyDescent="0.25">
      <c r="A20" s="2" t="s">
        <v>27</v>
      </c>
    </row>
  </sheetData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/>
  </sheetViews>
  <sheetFormatPr baseColWidth="10" defaultColWidth="9.140625" defaultRowHeight="15" x14ac:dyDescent="0.25"/>
  <cols>
    <col min="1" max="1" width="52" customWidth="1"/>
    <col min="2" max="2" width="13" customWidth="1"/>
    <col min="3" max="3" width="40" customWidth="1"/>
    <col min="4" max="4" width="3" customWidth="1"/>
  </cols>
  <sheetData>
    <row r="1" spans="1:3" ht="18" x14ac:dyDescent="0.25">
      <c r="A1" s="1" t="s">
        <v>28</v>
      </c>
    </row>
    <row r="2" spans="1:3" x14ac:dyDescent="0.25">
      <c r="A2" s="2" t="s">
        <v>1</v>
      </c>
    </row>
    <row r="4" spans="1:3" x14ac:dyDescent="0.25">
      <c r="A4" s="3" t="s">
        <v>2</v>
      </c>
      <c r="B4" s="3" t="s">
        <v>3</v>
      </c>
    </row>
    <row r="5" spans="1:3" x14ac:dyDescent="0.25">
      <c r="A5" s="4" t="s">
        <v>29</v>
      </c>
      <c r="B5" s="5">
        <v>76</v>
      </c>
    </row>
    <row r="6" spans="1:3" x14ac:dyDescent="0.25">
      <c r="A6" s="4" t="s">
        <v>4</v>
      </c>
      <c r="B6" s="5">
        <v>70</v>
      </c>
    </row>
    <row r="7" spans="1:3" x14ac:dyDescent="0.25">
      <c r="A7" s="4" t="s">
        <v>30</v>
      </c>
      <c r="B7" s="5">
        <v>4</v>
      </c>
    </row>
    <row r="8" spans="1:3" x14ac:dyDescent="0.25">
      <c r="A8" s="4" t="s">
        <v>31</v>
      </c>
      <c r="B8" s="5">
        <v>28</v>
      </c>
    </row>
    <row r="9" spans="1:3" x14ac:dyDescent="0.25">
      <c r="A9" s="4" t="s">
        <v>32</v>
      </c>
      <c r="B9" s="5">
        <v>1.2</v>
      </c>
    </row>
    <row r="10" spans="1:3" x14ac:dyDescent="0.25">
      <c r="A10" s="4" t="s">
        <v>33</v>
      </c>
      <c r="B10" s="5">
        <v>78</v>
      </c>
    </row>
    <row r="11" spans="1:3" x14ac:dyDescent="0.25">
      <c r="A11" s="4" t="s">
        <v>34</v>
      </c>
      <c r="B11" s="5">
        <v>3</v>
      </c>
    </row>
    <row r="12" spans="1:3" x14ac:dyDescent="0.25">
      <c r="A12" s="4" t="s">
        <v>35</v>
      </c>
      <c r="B12" s="5">
        <v>0.3</v>
      </c>
    </row>
    <row r="13" spans="1:3" x14ac:dyDescent="0.25">
      <c r="A13" s="4" t="s">
        <v>36</v>
      </c>
      <c r="B13" s="5">
        <v>0</v>
      </c>
    </row>
    <row r="14" spans="1:3" x14ac:dyDescent="0.25">
      <c r="A14" s="4" t="s">
        <v>37</v>
      </c>
      <c r="B14" s="5">
        <v>0</v>
      </c>
    </row>
    <row r="16" spans="1:3" x14ac:dyDescent="0.25">
      <c r="A16" s="3" t="s">
        <v>7</v>
      </c>
      <c r="B16" s="3" t="s">
        <v>38</v>
      </c>
      <c r="C16" s="3" t="s">
        <v>39</v>
      </c>
    </row>
    <row r="17" spans="1:5" x14ac:dyDescent="0.25">
      <c r="A17" s="6" t="s">
        <v>40</v>
      </c>
      <c r="B17" s="10">
        <f>PI()/4*(B5/10)^2</f>
        <v>45.364597917836612</v>
      </c>
      <c r="C17" s="10">
        <f>PI()/4*((B5+B14)/10)^2</f>
        <v>45.364597917836612</v>
      </c>
    </row>
    <row r="18" spans="1:5" x14ac:dyDescent="0.25">
      <c r="A18" s="6" t="s">
        <v>41</v>
      </c>
      <c r="B18" s="7">
        <f>B17*B6/10</f>
        <v>317.55218542485625</v>
      </c>
      <c r="C18" s="7">
        <f>C17*B6/10</f>
        <v>317.55218542485625</v>
      </c>
    </row>
    <row r="19" spans="1:5" x14ac:dyDescent="0.25">
      <c r="A19" s="6" t="s">
        <v>42</v>
      </c>
      <c r="B19" s="10">
        <f>PI()/4*(B10/10)^2*B9/10</f>
        <v>5.7340349113320901</v>
      </c>
      <c r="C19" s="10">
        <f>B19</f>
        <v>5.7340349113320901</v>
      </c>
    </row>
    <row r="20" spans="1:5" x14ac:dyDescent="0.25">
      <c r="A20" s="6" t="s">
        <v>43</v>
      </c>
      <c r="B20" s="10">
        <f>B17*B12/10</f>
        <v>1.3609379375350983</v>
      </c>
      <c r="C20" s="10">
        <f>C17*B12/10</f>
        <v>1.3609379375350983</v>
      </c>
    </row>
    <row r="21" spans="1:5" x14ac:dyDescent="0.25">
      <c r="A21" s="6" t="s">
        <v>31</v>
      </c>
      <c r="B21" s="10">
        <f>B8</f>
        <v>28</v>
      </c>
      <c r="C21" s="10">
        <f>B8-B17*B13/10</f>
        <v>28</v>
      </c>
    </row>
    <row r="22" spans="1:5" x14ac:dyDescent="0.25">
      <c r="A22" s="6" t="s">
        <v>44</v>
      </c>
      <c r="B22" s="10">
        <f>B21+B19+B11+B20</f>
        <v>38.094972848867187</v>
      </c>
      <c r="C22" s="10">
        <f>C21+C19+B11+C20</f>
        <v>38.094972848867187</v>
      </c>
      <c r="E22" s="2" t="s">
        <v>45</v>
      </c>
    </row>
    <row r="23" spans="1:5" x14ac:dyDescent="0.25">
      <c r="A23" s="6" t="s">
        <v>46</v>
      </c>
      <c r="B23" s="10">
        <f>(B18+B22)/B22</f>
        <v>9.3358029072410584</v>
      </c>
      <c r="C23" s="10">
        <f>(C18+C22)/C22</f>
        <v>9.3358029072410584</v>
      </c>
    </row>
    <row r="24" spans="1:5" x14ac:dyDescent="0.25">
      <c r="A24" s="6" t="s">
        <v>47</v>
      </c>
      <c r="B24" s="12">
        <f>B18*B7</f>
        <v>1270.208741699425</v>
      </c>
      <c r="C24" s="12">
        <f>C18*B7</f>
        <v>1270.208741699425</v>
      </c>
    </row>
    <row r="25" spans="1:5" x14ac:dyDescent="0.25">
      <c r="A25" s="6" t="s">
        <v>48</v>
      </c>
      <c r="B25" s="7">
        <f>ROUND(B24/1000,1)</f>
        <v>1.3</v>
      </c>
      <c r="C25" s="7">
        <f>ROUND(C24/1000,1)</f>
        <v>1.3</v>
      </c>
    </row>
    <row r="27" spans="1:5" x14ac:dyDescent="0.25">
      <c r="A27" s="13" t="str">
        <f>IF(C23&gt;11,"Atención: Rc modificada mayor a 11 — riesgo de detonación con gasolina de bajo octanaje","Rc modificada dentro de un rango habitual para gasolina")</f>
        <v>Rc modificada dentro de un rango habitual para gasolina</v>
      </c>
    </row>
    <row r="28" spans="1:5" x14ac:dyDescent="0.25">
      <c r="A28" s="2" t="s">
        <v>49</v>
      </c>
    </row>
  </sheetData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/>
  </sheetViews>
  <sheetFormatPr baseColWidth="10" defaultColWidth="9.140625" defaultRowHeight="15" x14ac:dyDescent="0.25"/>
  <cols>
    <col min="1" max="4" width="13" customWidth="1"/>
    <col min="5" max="6" width="15" customWidth="1"/>
    <col min="7" max="7" width="3" customWidth="1"/>
    <col min="8" max="8" width="40" customWidth="1"/>
    <col min="9" max="9" width="13" customWidth="1"/>
    <col min="10" max="10" width="30" customWidth="1"/>
  </cols>
  <sheetData>
    <row r="1" spans="1:10" ht="18" x14ac:dyDescent="0.25">
      <c r="A1" s="1" t="s">
        <v>50</v>
      </c>
    </row>
    <row r="2" spans="1:10" x14ac:dyDescent="0.25">
      <c r="A2" s="2" t="s">
        <v>1</v>
      </c>
    </row>
    <row r="4" spans="1:10" ht="32.1" customHeight="1" x14ac:dyDescent="0.25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H4" s="3" t="s">
        <v>57</v>
      </c>
      <c r="I4" s="3" t="s">
        <v>3</v>
      </c>
    </row>
    <row r="5" spans="1:10" x14ac:dyDescent="0.25">
      <c r="A5" s="14">
        <v>1000</v>
      </c>
      <c r="B5" s="14">
        <v>105</v>
      </c>
      <c r="C5" s="14">
        <v>330</v>
      </c>
      <c r="D5" s="15">
        <f t="shared" ref="D5:D16" si="0">B5*A5/9550</f>
        <v>10.99476439790576</v>
      </c>
      <c r="E5" s="15">
        <f t="shared" ref="E5:E16" si="1">D5/0.7355</f>
        <v>14.948693946846715</v>
      </c>
      <c r="F5" s="15">
        <f t="shared" ref="F5:F16" si="2">D5*$I$12</f>
        <v>8.5507855641406412</v>
      </c>
      <c r="H5" s="4" t="s">
        <v>58</v>
      </c>
      <c r="I5" s="5">
        <v>2100</v>
      </c>
    </row>
    <row r="6" spans="1:10" x14ac:dyDescent="0.25">
      <c r="A6" s="14">
        <v>1500</v>
      </c>
      <c r="B6" s="14">
        <v>118</v>
      </c>
      <c r="C6" s="14">
        <v>300</v>
      </c>
      <c r="D6" s="15">
        <f t="shared" si="0"/>
        <v>18.534031413612567</v>
      </c>
      <c r="E6" s="15">
        <f t="shared" si="1"/>
        <v>25.199226938970178</v>
      </c>
      <c r="F6" s="15">
        <f t="shared" si="2"/>
        <v>14.414181379551367</v>
      </c>
      <c r="H6" s="4" t="s">
        <v>59</v>
      </c>
      <c r="I6" s="5">
        <v>18</v>
      </c>
    </row>
    <row r="7" spans="1:10" x14ac:dyDescent="0.25">
      <c r="A7" s="14">
        <v>2000</v>
      </c>
      <c r="B7" s="14">
        <v>128</v>
      </c>
      <c r="C7" s="14">
        <v>280</v>
      </c>
      <c r="D7" s="15">
        <f t="shared" si="0"/>
        <v>26.806282722513089</v>
      </c>
      <c r="E7" s="15">
        <f t="shared" si="1"/>
        <v>36.446339527550087</v>
      </c>
      <c r="F7" s="15">
        <f t="shared" si="2"/>
        <v>20.8476295659048</v>
      </c>
    </row>
    <row r="8" spans="1:10" x14ac:dyDescent="0.25">
      <c r="A8" s="14">
        <v>2500</v>
      </c>
      <c r="B8" s="14">
        <v>136</v>
      </c>
      <c r="C8" s="14">
        <v>265</v>
      </c>
      <c r="D8" s="15">
        <f t="shared" si="0"/>
        <v>35.602094240837694</v>
      </c>
      <c r="E8" s="15">
        <f t="shared" si="1"/>
        <v>48.405294685027457</v>
      </c>
      <c r="F8" s="15">
        <f t="shared" si="2"/>
        <v>27.688258017217311</v>
      </c>
      <c r="H8" s="3" t="s">
        <v>7</v>
      </c>
      <c r="I8" s="3" t="s">
        <v>3</v>
      </c>
      <c r="J8" s="3" t="s">
        <v>8</v>
      </c>
    </row>
    <row r="9" spans="1:10" x14ac:dyDescent="0.25">
      <c r="A9" s="14">
        <v>3000</v>
      </c>
      <c r="B9" s="14">
        <v>142</v>
      </c>
      <c r="C9" s="14">
        <v>255</v>
      </c>
      <c r="D9" s="15">
        <f t="shared" si="0"/>
        <v>44.607329842931939</v>
      </c>
      <c r="E9" s="15">
        <f t="shared" si="1"/>
        <v>60.648986870063816</v>
      </c>
      <c r="F9" s="15">
        <f t="shared" si="2"/>
        <v>34.691758574513457</v>
      </c>
      <c r="H9" s="6" t="s">
        <v>60</v>
      </c>
      <c r="I9" s="11">
        <f>MAX(B5:B16)</f>
        <v>148</v>
      </c>
      <c r="J9" s="8" t="str">
        <f>" a "&amp;INDEX(A5:A16,MATCH(I9,B5:B16,0))&amp;" rpm"</f>
        <v xml:space="preserve"> a 4000 rpm</v>
      </c>
    </row>
    <row r="10" spans="1:10" x14ac:dyDescent="0.25">
      <c r="A10" s="14">
        <v>3500</v>
      </c>
      <c r="B10" s="14">
        <v>146</v>
      </c>
      <c r="C10" s="14">
        <v>250</v>
      </c>
      <c r="D10" s="15">
        <f t="shared" si="0"/>
        <v>53.507853403141361</v>
      </c>
      <c r="E10" s="15">
        <f t="shared" si="1"/>
        <v>72.750310541320673</v>
      </c>
      <c r="F10" s="15">
        <f t="shared" si="2"/>
        <v>41.613823078817788</v>
      </c>
      <c r="H10" s="6" t="s">
        <v>61</v>
      </c>
      <c r="I10" s="7">
        <f>MAX(D5:D16)</f>
        <v>76.649214659685867</v>
      </c>
      <c r="J10" s="8" t="str">
        <f>" a "&amp;INDEX(A5:A16,MATCH(I10,D5:D16,0))&amp;" rpm  ·  "&amp;TEXT(I10/0.7355,"0")&amp;" CV"</f>
        <v xml:space="preserve"> a 6000 rpm  ·  104 CV</v>
      </c>
    </row>
    <row r="11" spans="1:10" x14ac:dyDescent="0.25">
      <c r="A11" s="14">
        <v>4000</v>
      </c>
      <c r="B11" s="14">
        <v>148</v>
      </c>
      <c r="C11" s="14">
        <v>248</v>
      </c>
      <c r="D11" s="15">
        <f t="shared" si="0"/>
        <v>61.989528795811516</v>
      </c>
      <c r="E11" s="15">
        <f t="shared" si="1"/>
        <v>84.282160157459572</v>
      </c>
      <c r="F11" s="15">
        <f t="shared" si="2"/>
        <v>48.210143371154849</v>
      </c>
      <c r="H11" s="6" t="s">
        <v>62</v>
      </c>
      <c r="I11" s="7">
        <f>101.325*(1-0.0000225577*I5)^5.25588</f>
        <v>78.51311667582182</v>
      </c>
      <c r="J11" s="8" t="s">
        <v>63</v>
      </c>
    </row>
    <row r="12" spans="1:10" x14ac:dyDescent="0.25">
      <c r="A12" s="14">
        <v>4500</v>
      </c>
      <c r="B12" s="14">
        <v>146</v>
      </c>
      <c r="C12" s="14">
        <v>252</v>
      </c>
      <c r="D12" s="15">
        <f t="shared" si="0"/>
        <v>68.795811518324612</v>
      </c>
      <c r="E12" s="15">
        <f t="shared" si="1"/>
        <v>93.536113553126597</v>
      </c>
      <c r="F12" s="15">
        <f t="shared" si="2"/>
        <v>53.503486815622871</v>
      </c>
      <c r="H12" s="6" t="s">
        <v>64</v>
      </c>
      <c r="I12" s="9">
        <f>(I11/101.3)*SQRT(293/(I6+273))</f>
        <v>0.77771430607183922</v>
      </c>
      <c r="J12" s="8" t="s">
        <v>65</v>
      </c>
    </row>
    <row r="13" spans="1:10" x14ac:dyDescent="0.25">
      <c r="A13" s="14">
        <v>5000</v>
      </c>
      <c r="B13" s="14">
        <v>141</v>
      </c>
      <c r="C13" s="14">
        <v>260</v>
      </c>
      <c r="D13" s="15">
        <f t="shared" si="0"/>
        <v>73.821989528795811</v>
      </c>
      <c r="E13" s="15">
        <f t="shared" si="1"/>
        <v>100.36980221454222</v>
      </c>
      <c r="F13" s="15">
        <f t="shared" si="2"/>
        <v>57.412417359230012</v>
      </c>
      <c r="H13" s="6" t="s">
        <v>66</v>
      </c>
      <c r="I13" s="7">
        <f>MAX(F5:F16)</f>
        <v>59.61119079000904</v>
      </c>
      <c r="J13" s="8"/>
    </row>
    <row r="14" spans="1:10" x14ac:dyDescent="0.25">
      <c r="A14" s="14">
        <v>5500</v>
      </c>
      <c r="B14" s="14">
        <v>133</v>
      </c>
      <c r="C14" s="14">
        <v>272</v>
      </c>
      <c r="D14" s="15">
        <f t="shared" si="0"/>
        <v>76.596858638743456</v>
      </c>
      <c r="E14" s="15">
        <f t="shared" si="1"/>
        <v>104.14256782969878</v>
      </c>
      <c r="F14" s="15">
        <f t="shared" si="2"/>
        <v>59.570472763513131</v>
      </c>
      <c r="H14" s="6" t="s">
        <v>67</v>
      </c>
      <c r="I14" s="16">
        <f>1-I12</f>
        <v>0.22228569392816078</v>
      </c>
      <c r="J14" s="8"/>
    </row>
    <row r="15" spans="1:10" x14ac:dyDescent="0.25">
      <c r="A15" s="14">
        <v>6000</v>
      </c>
      <c r="B15" s="14">
        <v>122</v>
      </c>
      <c r="C15" s="14">
        <v>290</v>
      </c>
      <c r="D15" s="15">
        <f t="shared" si="0"/>
        <v>76.649214659685867</v>
      </c>
      <c r="E15" s="15">
        <f t="shared" si="1"/>
        <v>104.21375208658853</v>
      </c>
      <c r="F15" s="15">
        <f t="shared" si="2"/>
        <v>59.61119079000904</v>
      </c>
      <c r="H15" s="6" t="s">
        <v>68</v>
      </c>
      <c r="I15" s="10">
        <f>INDEX(A5:A16,MATCH(I10,D5:D16,0))/INDEX(A5:A16,MATCH(I9,B5:B16,0))</f>
        <v>1.5</v>
      </c>
      <c r="J15" s="8"/>
    </row>
    <row r="16" spans="1:10" x14ac:dyDescent="0.25">
      <c r="A16" s="14">
        <v>6500</v>
      </c>
      <c r="B16" s="14">
        <v>108</v>
      </c>
      <c r="C16" s="14">
        <v>315</v>
      </c>
      <c r="D16" s="15">
        <f t="shared" si="0"/>
        <v>73.507853403141368</v>
      </c>
      <c r="E16" s="15">
        <f t="shared" si="1"/>
        <v>99.942696673203756</v>
      </c>
      <c r="F16" s="15">
        <f t="shared" si="2"/>
        <v>57.168109200254577</v>
      </c>
      <c r="H16" s="6" t="s">
        <v>69</v>
      </c>
      <c r="I16" s="11">
        <f>MIN(C5:C16)</f>
        <v>248</v>
      </c>
      <c r="J16" s="8"/>
    </row>
  </sheetData>
  <pageMargins left="0.75" right="0.75" top="1" bottom="1" header="0.5" footer="0.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4"/>
  <sheetViews>
    <sheetView workbookViewId="0">
      <selection activeCell="J28" sqref="J28"/>
    </sheetView>
  </sheetViews>
  <sheetFormatPr baseColWidth="10" defaultColWidth="9.140625" defaultRowHeight="15" x14ac:dyDescent="0.25"/>
  <cols>
    <col min="1" max="1" width="44" customWidth="1"/>
    <col min="2" max="2" width="30" customWidth="1"/>
    <col min="3" max="6" width="13" customWidth="1"/>
    <col min="7" max="7" width="2" customWidth="1"/>
    <col min="45" max="45" width="30" customWidth="1"/>
    <col min="46" max="58" width="9" customWidth="1"/>
  </cols>
  <sheetData>
    <row r="1" spans="1:58" ht="18" x14ac:dyDescent="0.25">
      <c r="A1" s="1" t="s">
        <v>70</v>
      </c>
    </row>
    <row r="2" spans="1:58" x14ac:dyDescent="0.25">
      <c r="A2" s="2" t="s">
        <v>71</v>
      </c>
    </row>
    <row r="3" spans="1:58" x14ac:dyDescent="0.25">
      <c r="AS3" s="17" t="s">
        <v>72</v>
      </c>
    </row>
    <row r="4" spans="1:58" x14ac:dyDescent="0.25">
      <c r="A4" s="3" t="s">
        <v>73</v>
      </c>
      <c r="B4" s="3" t="s">
        <v>3</v>
      </c>
      <c r="AS4" s="18" t="s">
        <v>74</v>
      </c>
      <c r="AT4" s="18" t="s">
        <v>75</v>
      </c>
      <c r="AU4" s="18" t="s">
        <v>76</v>
      </c>
      <c r="AV4" s="18" t="s">
        <v>77</v>
      </c>
      <c r="AW4" s="18" t="s">
        <v>78</v>
      </c>
      <c r="AX4" s="18" t="s">
        <v>79</v>
      </c>
      <c r="AY4" s="18" t="s">
        <v>80</v>
      </c>
      <c r="AZ4" s="18" t="s">
        <v>81</v>
      </c>
      <c r="BA4" s="18" t="s">
        <v>82</v>
      </c>
      <c r="BB4" s="18" t="s">
        <v>83</v>
      </c>
      <c r="BC4" s="18" t="s">
        <v>84</v>
      </c>
      <c r="BD4" s="18" t="s">
        <v>85</v>
      </c>
      <c r="BE4" s="18" t="s">
        <v>86</v>
      </c>
      <c r="BF4" s="18" t="s">
        <v>87</v>
      </c>
    </row>
    <row r="5" spans="1:58" x14ac:dyDescent="0.25">
      <c r="A5" s="4" t="s">
        <v>88</v>
      </c>
      <c r="B5" s="19" t="s">
        <v>101</v>
      </c>
      <c r="AS5" s="20" t="s">
        <v>89</v>
      </c>
      <c r="AT5" s="20">
        <v>0</v>
      </c>
      <c r="AU5" s="20">
        <v>1</v>
      </c>
      <c r="AV5" s="20">
        <v>10</v>
      </c>
      <c r="AW5" s="20">
        <v>1</v>
      </c>
      <c r="AX5" s="20">
        <v>0.1</v>
      </c>
      <c r="AY5" s="20">
        <v>10</v>
      </c>
      <c r="AZ5" s="20">
        <v>5</v>
      </c>
      <c r="BA5" s="20">
        <v>1</v>
      </c>
      <c r="BB5" s="20">
        <v>10</v>
      </c>
      <c r="BC5" s="20">
        <v>40</v>
      </c>
      <c r="BD5" s="20">
        <v>5</v>
      </c>
      <c r="BE5" s="20">
        <v>1</v>
      </c>
      <c r="BF5" s="20">
        <v>1</v>
      </c>
    </row>
    <row r="6" spans="1:58" x14ac:dyDescent="0.25">
      <c r="A6" s="4" t="s">
        <v>90</v>
      </c>
      <c r="B6" s="21">
        <v>1</v>
      </c>
      <c r="AS6" s="20" t="s">
        <v>91</v>
      </c>
      <c r="AT6" s="20">
        <v>0</v>
      </c>
      <c r="AU6" s="20">
        <v>1</v>
      </c>
      <c r="AV6" s="20">
        <v>20</v>
      </c>
      <c r="AW6" s="20">
        <v>2</v>
      </c>
      <c r="AX6" s="20">
        <v>0.05</v>
      </c>
      <c r="AY6" s="20">
        <v>10</v>
      </c>
      <c r="AZ6" s="20">
        <v>5</v>
      </c>
      <c r="BA6" s="20">
        <v>1</v>
      </c>
      <c r="BB6" s="20">
        <v>10</v>
      </c>
      <c r="BC6" s="20">
        <v>40</v>
      </c>
      <c r="BD6" s="20">
        <v>4</v>
      </c>
      <c r="BE6" s="20">
        <v>2</v>
      </c>
      <c r="BF6" s="20">
        <v>1</v>
      </c>
    </row>
    <row r="7" spans="1:58" x14ac:dyDescent="0.25">
      <c r="A7" s="4" t="s">
        <v>92</v>
      </c>
      <c r="B7" s="19" t="s">
        <v>93</v>
      </c>
      <c r="AS7" s="20" t="s">
        <v>94</v>
      </c>
      <c r="AT7" s="20">
        <v>0</v>
      </c>
      <c r="AU7" s="20">
        <v>1</v>
      </c>
      <c r="AV7" s="20">
        <v>50</v>
      </c>
      <c r="AW7" s="20">
        <v>1</v>
      </c>
      <c r="AX7" s="20">
        <v>0.02</v>
      </c>
      <c r="AY7" s="20">
        <v>10</v>
      </c>
      <c r="AZ7" s="20">
        <v>5</v>
      </c>
      <c r="BA7" s="20">
        <v>1</v>
      </c>
      <c r="BB7" s="20">
        <v>10</v>
      </c>
      <c r="BC7" s="20">
        <v>40</v>
      </c>
      <c r="BD7" s="20">
        <v>10</v>
      </c>
      <c r="BE7" s="20">
        <v>2</v>
      </c>
      <c r="BF7" s="20">
        <v>1</v>
      </c>
    </row>
    <row r="8" spans="1:58" x14ac:dyDescent="0.25">
      <c r="A8" s="3" t="s">
        <v>95</v>
      </c>
      <c r="B8" s="3" t="s">
        <v>3</v>
      </c>
      <c r="AS8" s="20" t="s">
        <v>96</v>
      </c>
      <c r="AT8" s="20">
        <v>1</v>
      </c>
      <c r="AU8" s="20">
        <v>2.5000000000000001E-2</v>
      </c>
      <c r="AV8" s="20">
        <v>25</v>
      </c>
      <c r="AW8" s="20">
        <v>1</v>
      </c>
      <c r="AX8" s="20">
        <v>1E-3</v>
      </c>
      <c r="AY8" s="20">
        <v>40</v>
      </c>
      <c r="AZ8" s="20">
        <v>4</v>
      </c>
      <c r="BA8" s="20">
        <v>2</v>
      </c>
      <c r="BB8" s="20">
        <v>4</v>
      </c>
      <c r="BC8" s="20">
        <v>60</v>
      </c>
      <c r="BD8" s="20">
        <v>5</v>
      </c>
      <c r="BE8" s="20">
        <v>3</v>
      </c>
      <c r="BF8" s="20">
        <v>2</v>
      </c>
    </row>
    <row r="9" spans="1:58" x14ac:dyDescent="0.25">
      <c r="A9" s="4" t="s">
        <v>97</v>
      </c>
      <c r="B9" s="5"/>
      <c r="AS9" s="20" t="s">
        <v>98</v>
      </c>
      <c r="AT9" s="20">
        <v>1</v>
      </c>
      <c r="AU9" s="20">
        <v>0.05</v>
      </c>
      <c r="AV9" s="20">
        <v>50</v>
      </c>
      <c r="AW9" s="20">
        <v>1</v>
      </c>
      <c r="AX9" s="20">
        <v>1E-3</v>
      </c>
      <c r="AY9" s="20">
        <v>20</v>
      </c>
      <c r="AZ9" s="20">
        <v>2</v>
      </c>
      <c r="BA9" s="20">
        <v>1</v>
      </c>
      <c r="BB9" s="20">
        <v>2</v>
      </c>
      <c r="BC9" s="20">
        <v>40</v>
      </c>
      <c r="BD9" s="20">
        <v>10</v>
      </c>
      <c r="BE9" s="20">
        <v>3</v>
      </c>
      <c r="BF9" s="20">
        <v>3</v>
      </c>
    </row>
    <row r="10" spans="1:58" x14ac:dyDescent="0.25">
      <c r="A10" s="4" t="s">
        <v>99</v>
      </c>
      <c r="B10" s="5" t="s">
        <v>1468</v>
      </c>
      <c r="AS10" s="20" t="s">
        <v>101</v>
      </c>
      <c r="AT10" s="20">
        <v>1</v>
      </c>
      <c r="AU10" s="20">
        <v>6.25E-2</v>
      </c>
      <c r="AV10" s="20">
        <v>8</v>
      </c>
      <c r="AW10" s="20">
        <v>1</v>
      </c>
      <c r="AX10" s="20">
        <v>7.8125E-3</v>
      </c>
      <c r="AY10" s="20">
        <v>16</v>
      </c>
      <c r="AZ10" s="20">
        <v>8</v>
      </c>
      <c r="BA10" s="20">
        <v>4</v>
      </c>
      <c r="BB10" s="20">
        <v>16</v>
      </c>
      <c r="BC10" s="20">
        <v>60</v>
      </c>
      <c r="BD10" s="20">
        <v>4</v>
      </c>
      <c r="BE10" s="20">
        <v>4</v>
      </c>
      <c r="BF10" s="20">
        <v>4</v>
      </c>
    </row>
    <row r="12" spans="1:58" ht="15.75" x14ac:dyDescent="0.25">
      <c r="A12" s="22" t="str">
        <f>IF($B$62=0,"Ese número no está en el banco elegido: use del "&amp;$B$64&amp;" al "&amp;($B$64+19),IF(B9="","Escriba su lectura en la celda B9",IF(ABS(B9-$B$49)&lt;$B$45/2,"¡Correcto! Lectura bien hecha","Revise la lectura: siga los pasos del solucionario")))</f>
        <v>Escriba su lectura en la celda B9</v>
      </c>
    </row>
    <row r="13" spans="1:58" x14ac:dyDescent="0.25">
      <c r="A13" s="49" t="str">
        <f>IF($B$58=1,"Ejercicio "&amp;$B$6&amp;" · "&amp;$B$7&amp;" (mismo valor que el solucionario de la guía)","Ejercicio aleatorio n.º "&amp;$B$6)</f>
        <v>Ejercicio aleatorio n.º 1</v>
      </c>
    </row>
    <row r="14" spans="1:58" x14ac:dyDescent="0.25">
      <c r="A14" s="56" t="s">
        <v>102</v>
      </c>
      <c r="B14" s="53"/>
      <c r="C14" s="53"/>
      <c r="D14" s="53"/>
      <c r="E14" s="53"/>
      <c r="F14" s="54"/>
    </row>
    <row r="15" spans="1:58" ht="30" customHeight="1" x14ac:dyDescent="0.25">
      <c r="A15" s="23" t="str">
        <f>IF($B$10="SI","1. Regla fija","")</f>
        <v>1. Regla fija</v>
      </c>
      <c r="B15" s="55" t="str">
        <f>IF($B$10="SI","El cero del nonio pasó "&amp;'Pie de rey'!$B$47&amp;" divisiones de "&amp;IF('Pie de rey'!$B$57=4,"1/16",FIXED('Pie de rey'!$B$42,IF('Pie de rey'!$B$41=1,3,0),TRUE))&amp;IF('Pie de rey'!$B$41=1," pulg"," mm")&amp;" → "&amp;IF('Pie de rey'!$B$57=4,'Pie de rey'!$B$47&amp;"/16 = "&amp;IF(('Pie de rey'!$B$47*8)=0,"0",IF(INT(('Pie de rey'!$B$47*8)/128)&gt;0,INT(('Pie de rey'!$B$47*8)/128)&amp;" ","")&amp;IF(MOD(('Pie de rey'!$B$47*8),128)=0,"",MOD(('Pie de rey'!$B$47*8),128)/GCD(MOD(('Pie de rey'!$B$47*8),128),128)&amp;"/"&amp;128/GCD(MOD(('Pie de rey'!$B$47*8),128),128))),FIXED('Pie de rey'!$B$47*'Pie de rey'!$B$42,'Pie de rey'!$B$51,TRUE))&amp;IF('Pie de rey'!$B$41=1," pulg"," mm"),"")</f>
        <v>El cero del nonio pasó 11 divisiones de 1/16 pulg → 11/16 = 11/16 pulg</v>
      </c>
      <c r="C15" s="53"/>
      <c r="D15" s="53"/>
      <c r="E15" s="53"/>
      <c r="F15" s="54"/>
    </row>
    <row r="16" spans="1:58" ht="30" customHeight="1" x14ac:dyDescent="0.25">
      <c r="A16" s="23" t="str">
        <f>IF($B$10="SI","2. Nonio","")</f>
        <v>2. Nonio</v>
      </c>
      <c r="B16" s="55" t="str">
        <f>IF($B$10="SI","Coincide la raya "&amp;'Pie de rey'!$B$48&amp;" del nonio con una raya de la regla → "&amp;'Pie de rey'!$B$48&amp;" × "&amp;IF('Pie de rey'!$B$57=4,"1/128",FIXED('Pie de rey'!$B$45,'Pie de rey'!$B$51,TRUE))&amp;" = "&amp;IF('Pie de rey'!$B$57=4,IF(('Pie de rey'!$B$48)=0,"0",IF(INT(('Pie de rey'!$B$48)/128)&gt;0,INT(('Pie de rey'!$B$48)/128)&amp;" ","")&amp;IF(MOD(('Pie de rey'!$B$48),128)=0,"",MOD(('Pie de rey'!$B$48),128)/GCD(MOD(('Pie de rey'!$B$48),128),128)&amp;"/"&amp;128/GCD(MOD(('Pie de rey'!$B$48),128),128))),FIXED('Pie de rey'!$B$48*'Pie de rey'!$B$45,'Pie de rey'!$B$51,TRUE))&amp;IF('Pie de rey'!$B$41=1," pulg"," mm"),"")</f>
        <v>Coincide la raya 6 del nonio con una raya de la regla → 6 × 1/128 = 3/64 pulg</v>
      </c>
      <c r="C16" s="53"/>
      <c r="D16" s="53"/>
      <c r="E16" s="53"/>
      <c r="F16" s="54"/>
    </row>
    <row r="17" spans="1:61" ht="30" customHeight="1" x14ac:dyDescent="0.25">
      <c r="A17" s="23" t="str">
        <f>IF($B$10="SI","3. Lectura","")</f>
        <v>3. Lectura</v>
      </c>
      <c r="B17" s="55" t="str">
        <f>IF($B$10="SI",IF('Pie de rey'!$B$57=4,IF(('Pie de rey'!$B$47*8)=0,"0",IF(INT(('Pie de rey'!$B$47*8)/128)&gt;0,INT(('Pie de rey'!$B$47*8)/128)&amp;" ","")&amp;IF(MOD(('Pie de rey'!$B$47*8),128)=0,"",MOD(('Pie de rey'!$B$47*8),128)/GCD(MOD(('Pie de rey'!$B$47*8),128),128)&amp;"/"&amp;128/GCD(MOD(('Pie de rey'!$B$47*8),128),128)))&amp;" + "&amp;IF(('Pie de rey'!$B$48)=0,"0",IF(INT(('Pie de rey'!$B$48)/128)&gt;0,INT(('Pie de rey'!$B$48)/128)&amp;" ","")&amp;IF(MOD(('Pie de rey'!$B$48),128)=0,"",MOD(('Pie de rey'!$B$48),128)/GCD(MOD(('Pie de rey'!$B$48),128),128)&amp;"/"&amp;128/GCD(MOD(('Pie de rey'!$B$48),128),128)))&amp;" = "&amp;IF(('Pie de rey'!$B$47*8+'Pie de rey'!$B$48)=0,"0",IF(INT(('Pie de rey'!$B$47*8+'Pie de rey'!$B$48)/128)&gt;0,INT(('Pie de rey'!$B$47*8+'Pie de rey'!$B$48)/128)&amp;" ","")&amp;IF(MOD(('Pie de rey'!$B$47*8+'Pie de rey'!$B$48),128)=0,"",MOD(('Pie de rey'!$B$47*8+'Pie de rey'!$B$48),128)/GCD(MOD(('Pie de rey'!$B$47*8+'Pie de rey'!$B$48),128),128)&amp;"/"&amp;128/GCD(MOD(('Pie de rey'!$B$47*8+'Pie de rey'!$B$48),128),128)))&amp;IF('Pie de rey'!$B$41=1," pulg"," mm")&amp;"  (= "&amp;FIXED('Pie de rey'!$B$49,4,TRUE)&amp;" pulg en decimal)",FIXED('Pie de rey'!$B$47*'Pie de rey'!$B$42,'Pie de rey'!$B$51,TRUE)&amp;" + "&amp;FIXED('Pie de rey'!$B$48*'Pie de rey'!$B$45,'Pie de rey'!$B$51,TRUE)&amp;" = "&amp;FIXED('Pie de rey'!$B$49,'Pie de rey'!$B$51,TRUE)&amp;IF('Pie de rey'!$B$41=1," pulg"," mm")),"")</f>
        <v>11/16 + 3/64 = 47/64 pulg  (= 0.7344 pulg en decimal)</v>
      </c>
      <c r="C17" s="53"/>
      <c r="D17" s="53"/>
      <c r="E17" s="53"/>
      <c r="F17" s="54"/>
    </row>
    <row r="18" spans="1:61" ht="30" customHeight="1" x14ac:dyDescent="0.25">
      <c r="A18" s="23" t="str">
        <f>IF($B$10="SI","4. Interpretación","")</f>
        <v>4. Interpretación</v>
      </c>
      <c r="B18" s="55" t="str">
        <f>IF($B$10="SI","El cero del nonio pasó "&amp;$B$47&amp;IF($B$57=4," marcas de 1/16"""," marcas de la regla")&amp;" y la raya "&amp;$B$48&amp;" del nonio está alineada con una raya de la regla. Lectura: "&amp;IF($B$57=4,'Datos guía'!$F$1,FIXED($B$49,$B$51,TRUE)&amp;IF($B$41=1," in"," mm")),"")</f>
        <v>El cero del nonio pasó 11 marcas de 1/16" y la raya 6 del nonio está alineada con una raya de la regla. Lectura: 47/64"</v>
      </c>
      <c r="C18" s="53"/>
      <c r="D18" s="53"/>
      <c r="E18" s="53"/>
      <c r="F18" s="54"/>
    </row>
    <row r="20" spans="1:61" x14ac:dyDescent="0.25">
      <c r="A20" s="3" t="s">
        <v>103</v>
      </c>
      <c r="B20" s="3" t="s">
        <v>3</v>
      </c>
    </row>
    <row r="21" spans="1:61" x14ac:dyDescent="0.25">
      <c r="A21" s="4" t="s">
        <v>104</v>
      </c>
      <c r="B21" s="21">
        <v>1</v>
      </c>
    </row>
    <row r="23" spans="1:61" x14ac:dyDescent="0.25">
      <c r="A23" s="3" t="s">
        <v>105</v>
      </c>
      <c r="B23" s="3" t="s">
        <v>106</v>
      </c>
      <c r="C23" s="3" t="s">
        <v>107</v>
      </c>
      <c r="D23" s="56" t="s">
        <v>108</v>
      </c>
      <c r="E23" s="53"/>
      <c r="F23" s="54"/>
      <c r="BH23" t="s">
        <v>109</v>
      </c>
      <c r="BI23" t="s">
        <v>110</v>
      </c>
    </row>
    <row r="24" spans="1:61" x14ac:dyDescent="0.25">
      <c r="A24" s="24">
        <f>IF($B$58=1,$B$64+($B$21-1)*10+0,($B$21-1)*10+1)</f>
        <v>1</v>
      </c>
      <c r="B24" s="25"/>
      <c r="C24" s="24" t="str">
        <f t="shared" ref="C24:C33" si="0">IF(B24="","",IF(BH24="","—",IF(ABS(B24-BH24)&lt;$B$45/2,"Correcto","Incorrecto")))</f>
        <v/>
      </c>
      <c r="D24" s="52" t="str">
        <f t="shared" ref="D24:D33" si="1">IF($B$10="SI",BI24,"")</f>
        <v>47/64 pulg</v>
      </c>
      <c r="E24" s="53"/>
      <c r="F24" s="54"/>
      <c r="BH24">
        <f>IF($B$58=1,IFERROR(INDEX('Datos guía'!$E$5:$E$544,MATCH($B$7&amp;"|"&amp;$A24,'Datos guía'!$A$5:$A$544,0)),""),INT(MOD($A24*7919+104729,INDEX($BC$5:$BC$10,MATCH($B$59,$AS$5:$AS$10,0))*INDEX($AV$5:$AV$10,MATCH($B$59,$AS$5:$AS$10,0))+1)/$B$43)*$B$42+MOD(MOD($A24*7919+104729,INDEX($BC$5:$BC$10,MATCH($B$59,$AS$5:$AS$10,0))*INDEX($AV$5:$AV$10,MATCH($B$59,$AS$5:$AS$10,0))+1),$B$43)*$B$45)</f>
        <v>0.734375</v>
      </c>
      <c r="BI24" t="str">
        <f>IF($B$58=1,IFERROR(INDEX('Datos guía'!$F$5:$F$544,MATCH($B$7&amp;"|"&amp;$A24,'Datos guía'!$A$5:$A$544,0)),"No está en el banco"),IF($B$57=4,IF((ROUND((INT(MOD($A24*7919+104729,INDEX($BC$5:$BC$10,MATCH($B$59,$AS$5:$AS$10,0))*INDEX($AV$5:$AV$10,MATCH($B$59,$AS$5:$AS$10,0))+1)/$B$43)*$B$42+MOD(MOD($A24*7919+104729,INDEX($BC$5:$BC$10,MATCH($B$59,$AS$5:$AS$10,0))*INDEX($AV$5:$AV$10,MATCH($B$59,$AS$5:$AS$10,0))+1),$B$43)*$B$45)*128,0))=0,"0",IF(INT((ROUND((INT(MOD($A24*7919+104729,INDEX($BC$5:$BC$10,MATCH($B$59,$AS$5:$AS$10,0))*INDEX($AV$5:$AV$10,MATCH($B$59,$AS$5:$AS$10,0))+1)/$B$43)*$B$42+MOD(MOD($A24*7919+104729,INDEX($BC$5:$BC$10,MATCH($B$59,$AS$5:$AS$10,0))*INDEX($AV$5:$AV$10,MATCH($B$59,$AS$5:$AS$10,0))+1),$B$43)*$B$45)*128,0))/128)&gt;0,INT((ROUND((INT(MOD($A24*7919+104729,INDEX($BC$5:$BC$10,MATCH($B$59,$AS$5:$AS$10,0))*INDEX($AV$5:$AV$10,MATCH($B$59,$AS$5:$AS$10,0))+1)/$B$43)*$B$42+MOD(MOD($A24*7919+104729,INDEX($BC$5:$BC$10,MATCH($B$59,$AS$5:$AS$10,0))*INDEX($AV$5:$AV$10,MATCH($B$59,$AS$5:$AS$10,0))+1),$B$43)*$B$45)*128,0))/128)&amp;" ","")&amp;IF(MOD((ROUND((INT(MOD($A24*7919+104729,INDEX($BC$5:$BC$10,MATCH($B$59,$AS$5:$AS$10,0))*INDEX($AV$5:$AV$10,MATCH($B$59,$AS$5:$AS$10,0))+1)/$B$43)*$B$42+MOD(MOD($A24*7919+104729,INDEX($BC$5:$BC$10,MATCH($B$59,$AS$5:$AS$10,0))*INDEX($AV$5:$AV$10,MATCH($B$59,$AS$5:$AS$10,0))+1),$B$43)*$B$45)*128,0)),128)=0,"",MOD((ROUND((INT(MOD($A24*7919+104729,INDEX($BC$5:$BC$10,MATCH($B$59,$AS$5:$AS$10,0))*INDEX($AV$5:$AV$10,MATCH($B$59,$AS$5:$AS$10,0))+1)/$B$43)*$B$42+MOD(MOD($A24*7919+104729,INDEX($BC$5:$BC$10,MATCH($B$59,$AS$5:$AS$10,0))*INDEX($AV$5:$AV$10,MATCH($B$59,$AS$5:$AS$10,0))+1),$B$43)*$B$45)*128,0)),128)/GCD(MOD((ROUND((INT(MOD($A24*7919+104729,INDEX($BC$5:$BC$10,MATCH($B$59,$AS$5:$AS$10,0))*INDEX($AV$5:$AV$10,MATCH($B$59,$AS$5:$AS$10,0))+1)/$B$43)*$B$42+MOD(MOD($A24*7919+104729,INDEX($BC$5:$BC$10,MATCH($B$59,$AS$5:$AS$10,0))*INDEX($AV$5:$AV$10,MATCH($B$59,$AS$5:$AS$10,0))+1),$B$43)*$B$45)*128,0)),128),128)&amp;"/"&amp;128/GCD(MOD((ROUND((INT(MOD($A24*7919+104729,INDEX($BC$5:$BC$10,MATCH($B$59,$AS$5:$AS$10,0))*INDEX($AV$5:$AV$10,MATCH($B$59,$AS$5:$AS$10,0))+1)/$B$43)*$B$42+MOD(MOD($A24*7919+104729,INDEX($BC$5:$BC$10,MATCH($B$59,$AS$5:$AS$10,0))*INDEX($AV$5:$AV$10,MATCH($B$59,$AS$5:$AS$10,0))+1),$B$43)*$B$45)*128,0)),128),128))),FIXED(INT(MOD($A24*7919+104729,INDEX($BC$5:$BC$10,MATCH($B$59,$AS$5:$AS$10,0))*INDEX($AV$5:$AV$10,MATCH($B$59,$AS$5:$AS$10,0))+1)/$B$43)*$B$42+MOD(MOD($A24*7919+104729,INDEX($BC$5:$BC$10,MATCH($B$59,$AS$5:$AS$10,0))*INDEX($AV$5:$AV$10,MATCH($B$59,$AS$5:$AS$10,0))+1),$B$43)*$B$45,$B$51,TRUE))&amp;IF('Pie de rey'!$B$41=1," pulg"," mm"))</f>
        <v>47/64 pulg</v>
      </c>
    </row>
    <row r="25" spans="1:61" x14ac:dyDescent="0.25">
      <c r="A25" s="24">
        <f>IF($B$58=1,$B$64+($B$21-1)*10+1,($B$21-1)*10+2)</f>
        <v>2</v>
      </c>
      <c r="B25" s="25"/>
      <c r="C25" s="24" t="str">
        <f t="shared" si="0"/>
        <v/>
      </c>
      <c r="D25" s="52" t="str">
        <f t="shared" si="1"/>
        <v>2 61/128 pulg</v>
      </c>
      <c r="E25" s="53"/>
      <c r="F25" s="54"/>
      <c r="BH25">
        <f>IF($B$58=1,IFERROR(INDEX('Datos guía'!$E$5:$E$544,MATCH($B$7&amp;"|"&amp;$A25,'Datos guía'!$A$5:$A$544,0)),""),INT(MOD($A25*7919+104729,INDEX($BC$5:$BC$10,MATCH($B$59,$AS$5:$AS$10,0))*INDEX($AV$5:$AV$10,MATCH($B$59,$AS$5:$AS$10,0))+1)/$B$43)*$B$42+MOD(MOD($A25*7919+104729,INDEX($BC$5:$BC$10,MATCH($B$59,$AS$5:$AS$10,0))*INDEX($AV$5:$AV$10,MATCH($B$59,$AS$5:$AS$10,0))+1),$B$43)*$B$45)</f>
        <v>2.4765625</v>
      </c>
      <c r="BI25" t="str">
        <f>IF($B$58=1,IFERROR(INDEX('Datos guía'!$F$5:$F$544,MATCH($B$7&amp;"|"&amp;$A25,'Datos guía'!$A$5:$A$544,0)),"No está en el banco"),IF($B$57=4,IF((ROUND((INT(MOD($A25*7919+104729,INDEX($BC$5:$BC$10,MATCH($B$59,$AS$5:$AS$10,0))*INDEX($AV$5:$AV$10,MATCH($B$59,$AS$5:$AS$10,0))+1)/$B$43)*$B$42+MOD(MOD($A25*7919+104729,INDEX($BC$5:$BC$10,MATCH($B$59,$AS$5:$AS$10,0))*INDEX($AV$5:$AV$10,MATCH($B$59,$AS$5:$AS$10,0))+1),$B$43)*$B$45)*128,0))=0,"0",IF(INT((ROUND((INT(MOD($A25*7919+104729,INDEX($BC$5:$BC$10,MATCH($B$59,$AS$5:$AS$10,0))*INDEX($AV$5:$AV$10,MATCH($B$59,$AS$5:$AS$10,0))+1)/$B$43)*$B$42+MOD(MOD($A25*7919+104729,INDEX($BC$5:$BC$10,MATCH($B$59,$AS$5:$AS$10,0))*INDEX($AV$5:$AV$10,MATCH($B$59,$AS$5:$AS$10,0))+1),$B$43)*$B$45)*128,0))/128)&gt;0,INT((ROUND((INT(MOD($A25*7919+104729,INDEX($BC$5:$BC$10,MATCH($B$59,$AS$5:$AS$10,0))*INDEX($AV$5:$AV$10,MATCH($B$59,$AS$5:$AS$10,0))+1)/$B$43)*$B$42+MOD(MOD($A25*7919+104729,INDEX($BC$5:$BC$10,MATCH($B$59,$AS$5:$AS$10,0))*INDEX($AV$5:$AV$10,MATCH($B$59,$AS$5:$AS$10,0))+1),$B$43)*$B$45)*128,0))/128)&amp;" ","")&amp;IF(MOD((ROUND((INT(MOD($A25*7919+104729,INDEX($BC$5:$BC$10,MATCH($B$59,$AS$5:$AS$10,0))*INDEX($AV$5:$AV$10,MATCH($B$59,$AS$5:$AS$10,0))+1)/$B$43)*$B$42+MOD(MOD($A25*7919+104729,INDEX($BC$5:$BC$10,MATCH($B$59,$AS$5:$AS$10,0))*INDEX($AV$5:$AV$10,MATCH($B$59,$AS$5:$AS$10,0))+1),$B$43)*$B$45)*128,0)),128)=0,"",MOD((ROUND((INT(MOD($A25*7919+104729,INDEX($BC$5:$BC$10,MATCH($B$59,$AS$5:$AS$10,0))*INDEX($AV$5:$AV$10,MATCH($B$59,$AS$5:$AS$10,0))+1)/$B$43)*$B$42+MOD(MOD($A25*7919+104729,INDEX($BC$5:$BC$10,MATCH($B$59,$AS$5:$AS$10,0))*INDEX($AV$5:$AV$10,MATCH($B$59,$AS$5:$AS$10,0))+1),$B$43)*$B$45)*128,0)),128)/GCD(MOD((ROUND((INT(MOD($A25*7919+104729,INDEX($BC$5:$BC$10,MATCH($B$59,$AS$5:$AS$10,0))*INDEX($AV$5:$AV$10,MATCH($B$59,$AS$5:$AS$10,0))+1)/$B$43)*$B$42+MOD(MOD($A25*7919+104729,INDEX($BC$5:$BC$10,MATCH($B$59,$AS$5:$AS$10,0))*INDEX($AV$5:$AV$10,MATCH($B$59,$AS$5:$AS$10,0))+1),$B$43)*$B$45)*128,0)),128),128)&amp;"/"&amp;128/GCD(MOD((ROUND((INT(MOD($A25*7919+104729,INDEX($BC$5:$BC$10,MATCH($B$59,$AS$5:$AS$10,0))*INDEX($AV$5:$AV$10,MATCH($B$59,$AS$5:$AS$10,0))+1)/$B$43)*$B$42+MOD(MOD($A25*7919+104729,INDEX($BC$5:$BC$10,MATCH($B$59,$AS$5:$AS$10,0))*INDEX($AV$5:$AV$10,MATCH($B$59,$AS$5:$AS$10,0))+1),$B$43)*$B$45)*128,0)),128),128))),FIXED(INT(MOD($A25*7919+104729,INDEX($BC$5:$BC$10,MATCH($B$59,$AS$5:$AS$10,0))*INDEX($AV$5:$AV$10,MATCH($B$59,$AS$5:$AS$10,0))+1)/$B$43)*$B$42+MOD(MOD($A25*7919+104729,INDEX($BC$5:$BC$10,MATCH($B$59,$AS$5:$AS$10,0))*INDEX($AV$5:$AV$10,MATCH($B$59,$AS$5:$AS$10,0))+1),$B$43)*$B$45,$B$51,TRUE))&amp;IF('Pie de rey'!$B$41=1," pulg"," mm"))</f>
        <v>2 61/128 pulg</v>
      </c>
    </row>
    <row r="26" spans="1:61" x14ac:dyDescent="0.25">
      <c r="A26" s="24">
        <f>IF($B$58=1,$B$64+($B$21-1)*10+2,($B$21-1)*10+3)</f>
        <v>3</v>
      </c>
      <c r="B26" s="25"/>
      <c r="C26" s="24" t="str">
        <f t="shared" si="0"/>
        <v/>
      </c>
      <c r="D26" s="52" t="str">
        <f t="shared" si="1"/>
        <v>59/128 pulg</v>
      </c>
      <c r="E26" s="53"/>
      <c r="F26" s="54"/>
      <c r="BH26">
        <f>IF($B$58=1,IFERROR(INDEX('Datos guía'!$E$5:$E$544,MATCH($B$7&amp;"|"&amp;$A26,'Datos guía'!$A$5:$A$544,0)),""),INT(MOD($A26*7919+104729,INDEX($BC$5:$BC$10,MATCH($B$59,$AS$5:$AS$10,0))*INDEX($AV$5:$AV$10,MATCH($B$59,$AS$5:$AS$10,0))+1)/$B$43)*$B$42+MOD(MOD($A26*7919+104729,INDEX($BC$5:$BC$10,MATCH($B$59,$AS$5:$AS$10,0))*INDEX($AV$5:$AV$10,MATCH($B$59,$AS$5:$AS$10,0))+1),$B$43)*$B$45)</f>
        <v>0.4609375</v>
      </c>
      <c r="BI26" t="str">
        <f>IF($B$58=1,IFERROR(INDEX('Datos guía'!$F$5:$F$544,MATCH($B$7&amp;"|"&amp;$A26,'Datos guía'!$A$5:$A$544,0)),"No está en el banco"),IF($B$57=4,IF((ROUND((INT(MOD($A26*7919+104729,INDEX($BC$5:$BC$10,MATCH($B$59,$AS$5:$AS$10,0))*INDEX($AV$5:$AV$10,MATCH($B$59,$AS$5:$AS$10,0))+1)/$B$43)*$B$42+MOD(MOD($A26*7919+104729,INDEX($BC$5:$BC$10,MATCH($B$59,$AS$5:$AS$10,0))*INDEX($AV$5:$AV$10,MATCH($B$59,$AS$5:$AS$10,0))+1),$B$43)*$B$45)*128,0))=0,"0",IF(INT((ROUND((INT(MOD($A26*7919+104729,INDEX($BC$5:$BC$10,MATCH($B$59,$AS$5:$AS$10,0))*INDEX($AV$5:$AV$10,MATCH($B$59,$AS$5:$AS$10,0))+1)/$B$43)*$B$42+MOD(MOD($A26*7919+104729,INDEX($BC$5:$BC$10,MATCH($B$59,$AS$5:$AS$10,0))*INDEX($AV$5:$AV$10,MATCH($B$59,$AS$5:$AS$10,0))+1),$B$43)*$B$45)*128,0))/128)&gt;0,INT((ROUND((INT(MOD($A26*7919+104729,INDEX($BC$5:$BC$10,MATCH($B$59,$AS$5:$AS$10,0))*INDEX($AV$5:$AV$10,MATCH($B$59,$AS$5:$AS$10,0))+1)/$B$43)*$B$42+MOD(MOD($A26*7919+104729,INDEX($BC$5:$BC$10,MATCH($B$59,$AS$5:$AS$10,0))*INDEX($AV$5:$AV$10,MATCH($B$59,$AS$5:$AS$10,0))+1),$B$43)*$B$45)*128,0))/128)&amp;" ","")&amp;IF(MOD((ROUND((INT(MOD($A26*7919+104729,INDEX($BC$5:$BC$10,MATCH($B$59,$AS$5:$AS$10,0))*INDEX($AV$5:$AV$10,MATCH($B$59,$AS$5:$AS$10,0))+1)/$B$43)*$B$42+MOD(MOD($A26*7919+104729,INDEX($BC$5:$BC$10,MATCH($B$59,$AS$5:$AS$10,0))*INDEX($AV$5:$AV$10,MATCH($B$59,$AS$5:$AS$10,0))+1),$B$43)*$B$45)*128,0)),128)=0,"",MOD((ROUND((INT(MOD($A26*7919+104729,INDEX($BC$5:$BC$10,MATCH($B$59,$AS$5:$AS$10,0))*INDEX($AV$5:$AV$10,MATCH($B$59,$AS$5:$AS$10,0))+1)/$B$43)*$B$42+MOD(MOD($A26*7919+104729,INDEX($BC$5:$BC$10,MATCH($B$59,$AS$5:$AS$10,0))*INDEX($AV$5:$AV$10,MATCH($B$59,$AS$5:$AS$10,0))+1),$B$43)*$B$45)*128,0)),128)/GCD(MOD((ROUND((INT(MOD($A26*7919+104729,INDEX($BC$5:$BC$10,MATCH($B$59,$AS$5:$AS$10,0))*INDEX($AV$5:$AV$10,MATCH($B$59,$AS$5:$AS$10,0))+1)/$B$43)*$B$42+MOD(MOD($A26*7919+104729,INDEX($BC$5:$BC$10,MATCH($B$59,$AS$5:$AS$10,0))*INDEX($AV$5:$AV$10,MATCH($B$59,$AS$5:$AS$10,0))+1),$B$43)*$B$45)*128,0)),128),128)&amp;"/"&amp;128/GCD(MOD((ROUND((INT(MOD($A26*7919+104729,INDEX($BC$5:$BC$10,MATCH($B$59,$AS$5:$AS$10,0))*INDEX($AV$5:$AV$10,MATCH($B$59,$AS$5:$AS$10,0))+1)/$B$43)*$B$42+MOD(MOD($A26*7919+104729,INDEX($BC$5:$BC$10,MATCH($B$59,$AS$5:$AS$10,0))*INDEX($AV$5:$AV$10,MATCH($B$59,$AS$5:$AS$10,0))+1),$B$43)*$B$45)*128,0)),128),128))),FIXED(INT(MOD($A26*7919+104729,INDEX($BC$5:$BC$10,MATCH($B$59,$AS$5:$AS$10,0))*INDEX($AV$5:$AV$10,MATCH($B$59,$AS$5:$AS$10,0))+1)/$B$43)*$B$42+MOD(MOD($A26*7919+104729,INDEX($BC$5:$BC$10,MATCH($B$59,$AS$5:$AS$10,0))*INDEX($AV$5:$AV$10,MATCH($B$59,$AS$5:$AS$10,0))+1),$B$43)*$B$45,$B$51,TRUE))&amp;IF('Pie de rey'!$B$41=1," pulg"," mm"))</f>
        <v>59/128 pulg</v>
      </c>
    </row>
    <row r="27" spans="1:61" x14ac:dyDescent="0.25">
      <c r="A27" s="24">
        <f>IF($B$58=1,$B$64+($B$21-1)*10+3,($B$21-1)*10+4)</f>
        <v>4</v>
      </c>
      <c r="B27" s="25"/>
      <c r="C27" s="24" t="str">
        <f t="shared" si="0"/>
        <v/>
      </c>
      <c r="D27" s="52" t="str">
        <f t="shared" si="1"/>
        <v>2 13/64 pulg</v>
      </c>
      <c r="E27" s="53"/>
      <c r="F27" s="54"/>
      <c r="BH27">
        <f>IF($B$58=1,IFERROR(INDEX('Datos guía'!$E$5:$E$544,MATCH($B$7&amp;"|"&amp;$A27,'Datos guía'!$A$5:$A$544,0)),""),INT(MOD($A27*7919+104729,INDEX($BC$5:$BC$10,MATCH($B$59,$AS$5:$AS$10,0))*INDEX($AV$5:$AV$10,MATCH($B$59,$AS$5:$AS$10,0))+1)/$B$43)*$B$42+MOD(MOD($A27*7919+104729,INDEX($BC$5:$BC$10,MATCH($B$59,$AS$5:$AS$10,0))*INDEX($AV$5:$AV$10,MATCH($B$59,$AS$5:$AS$10,0))+1),$B$43)*$B$45)</f>
        <v>2.203125</v>
      </c>
      <c r="BI27" t="str">
        <f>IF($B$58=1,IFERROR(INDEX('Datos guía'!$F$5:$F$544,MATCH($B$7&amp;"|"&amp;$A27,'Datos guía'!$A$5:$A$544,0)),"No está en el banco"),IF($B$57=4,IF((ROUND((INT(MOD($A27*7919+104729,INDEX($BC$5:$BC$10,MATCH($B$59,$AS$5:$AS$10,0))*INDEX($AV$5:$AV$10,MATCH($B$59,$AS$5:$AS$10,0))+1)/$B$43)*$B$42+MOD(MOD($A27*7919+104729,INDEX($BC$5:$BC$10,MATCH($B$59,$AS$5:$AS$10,0))*INDEX($AV$5:$AV$10,MATCH($B$59,$AS$5:$AS$10,0))+1),$B$43)*$B$45)*128,0))=0,"0",IF(INT((ROUND((INT(MOD($A27*7919+104729,INDEX($BC$5:$BC$10,MATCH($B$59,$AS$5:$AS$10,0))*INDEX($AV$5:$AV$10,MATCH($B$59,$AS$5:$AS$10,0))+1)/$B$43)*$B$42+MOD(MOD($A27*7919+104729,INDEX($BC$5:$BC$10,MATCH($B$59,$AS$5:$AS$10,0))*INDEX($AV$5:$AV$10,MATCH($B$59,$AS$5:$AS$10,0))+1),$B$43)*$B$45)*128,0))/128)&gt;0,INT((ROUND((INT(MOD($A27*7919+104729,INDEX($BC$5:$BC$10,MATCH($B$59,$AS$5:$AS$10,0))*INDEX($AV$5:$AV$10,MATCH($B$59,$AS$5:$AS$10,0))+1)/$B$43)*$B$42+MOD(MOD($A27*7919+104729,INDEX($BC$5:$BC$10,MATCH($B$59,$AS$5:$AS$10,0))*INDEX($AV$5:$AV$10,MATCH($B$59,$AS$5:$AS$10,0))+1),$B$43)*$B$45)*128,0))/128)&amp;" ","")&amp;IF(MOD((ROUND((INT(MOD($A27*7919+104729,INDEX($BC$5:$BC$10,MATCH($B$59,$AS$5:$AS$10,0))*INDEX($AV$5:$AV$10,MATCH($B$59,$AS$5:$AS$10,0))+1)/$B$43)*$B$42+MOD(MOD($A27*7919+104729,INDEX($BC$5:$BC$10,MATCH($B$59,$AS$5:$AS$10,0))*INDEX($AV$5:$AV$10,MATCH($B$59,$AS$5:$AS$10,0))+1),$B$43)*$B$45)*128,0)),128)=0,"",MOD((ROUND((INT(MOD($A27*7919+104729,INDEX($BC$5:$BC$10,MATCH($B$59,$AS$5:$AS$10,0))*INDEX($AV$5:$AV$10,MATCH($B$59,$AS$5:$AS$10,0))+1)/$B$43)*$B$42+MOD(MOD($A27*7919+104729,INDEX($BC$5:$BC$10,MATCH($B$59,$AS$5:$AS$10,0))*INDEX($AV$5:$AV$10,MATCH($B$59,$AS$5:$AS$10,0))+1),$B$43)*$B$45)*128,0)),128)/GCD(MOD((ROUND((INT(MOD($A27*7919+104729,INDEX($BC$5:$BC$10,MATCH($B$59,$AS$5:$AS$10,0))*INDEX($AV$5:$AV$10,MATCH($B$59,$AS$5:$AS$10,0))+1)/$B$43)*$B$42+MOD(MOD($A27*7919+104729,INDEX($BC$5:$BC$10,MATCH($B$59,$AS$5:$AS$10,0))*INDEX($AV$5:$AV$10,MATCH($B$59,$AS$5:$AS$10,0))+1),$B$43)*$B$45)*128,0)),128),128)&amp;"/"&amp;128/GCD(MOD((ROUND((INT(MOD($A27*7919+104729,INDEX($BC$5:$BC$10,MATCH($B$59,$AS$5:$AS$10,0))*INDEX($AV$5:$AV$10,MATCH($B$59,$AS$5:$AS$10,0))+1)/$B$43)*$B$42+MOD(MOD($A27*7919+104729,INDEX($BC$5:$BC$10,MATCH($B$59,$AS$5:$AS$10,0))*INDEX($AV$5:$AV$10,MATCH($B$59,$AS$5:$AS$10,0))+1),$B$43)*$B$45)*128,0)),128),128))),FIXED(INT(MOD($A27*7919+104729,INDEX($BC$5:$BC$10,MATCH($B$59,$AS$5:$AS$10,0))*INDEX($AV$5:$AV$10,MATCH($B$59,$AS$5:$AS$10,0))+1)/$B$43)*$B$42+MOD(MOD($A27*7919+104729,INDEX($BC$5:$BC$10,MATCH($B$59,$AS$5:$AS$10,0))*INDEX($AV$5:$AV$10,MATCH($B$59,$AS$5:$AS$10,0))+1),$B$43)*$B$45,$B$51,TRUE))&amp;IF('Pie de rey'!$B$41=1," pulg"," mm"))</f>
        <v>2 13/64 pulg</v>
      </c>
    </row>
    <row r="28" spans="1:61" x14ac:dyDescent="0.25">
      <c r="A28" s="24">
        <f>IF($B$58=1,$B$64+($B$21-1)*10+4,($B$21-1)*10+5)</f>
        <v>5</v>
      </c>
      <c r="B28" s="25"/>
      <c r="C28" s="24" t="str">
        <f t="shared" si="0"/>
        <v/>
      </c>
      <c r="D28" s="52" t="str">
        <f t="shared" si="1"/>
        <v>3/16 pulg</v>
      </c>
      <c r="E28" s="53"/>
      <c r="F28" s="54"/>
      <c r="BH28">
        <f>IF($B$58=1,IFERROR(INDEX('Datos guía'!$E$5:$E$544,MATCH($B$7&amp;"|"&amp;$A28,'Datos guía'!$A$5:$A$544,0)),""),INT(MOD($A28*7919+104729,INDEX($BC$5:$BC$10,MATCH($B$59,$AS$5:$AS$10,0))*INDEX($AV$5:$AV$10,MATCH($B$59,$AS$5:$AS$10,0))+1)/$B$43)*$B$42+MOD(MOD($A28*7919+104729,INDEX($BC$5:$BC$10,MATCH($B$59,$AS$5:$AS$10,0))*INDEX($AV$5:$AV$10,MATCH($B$59,$AS$5:$AS$10,0))+1),$B$43)*$B$45)</f>
        <v>0.1875</v>
      </c>
      <c r="BI28" t="str">
        <f>IF($B$58=1,IFERROR(INDEX('Datos guía'!$F$5:$F$544,MATCH($B$7&amp;"|"&amp;$A28,'Datos guía'!$A$5:$A$544,0)),"No está en el banco"),IF($B$57=4,IF((ROUND((INT(MOD($A28*7919+104729,INDEX($BC$5:$BC$10,MATCH($B$59,$AS$5:$AS$10,0))*INDEX($AV$5:$AV$10,MATCH($B$59,$AS$5:$AS$10,0))+1)/$B$43)*$B$42+MOD(MOD($A28*7919+104729,INDEX($BC$5:$BC$10,MATCH($B$59,$AS$5:$AS$10,0))*INDEX($AV$5:$AV$10,MATCH($B$59,$AS$5:$AS$10,0))+1),$B$43)*$B$45)*128,0))=0,"0",IF(INT((ROUND((INT(MOD($A28*7919+104729,INDEX($BC$5:$BC$10,MATCH($B$59,$AS$5:$AS$10,0))*INDEX($AV$5:$AV$10,MATCH($B$59,$AS$5:$AS$10,0))+1)/$B$43)*$B$42+MOD(MOD($A28*7919+104729,INDEX($BC$5:$BC$10,MATCH($B$59,$AS$5:$AS$10,0))*INDEX($AV$5:$AV$10,MATCH($B$59,$AS$5:$AS$10,0))+1),$B$43)*$B$45)*128,0))/128)&gt;0,INT((ROUND((INT(MOD($A28*7919+104729,INDEX($BC$5:$BC$10,MATCH($B$59,$AS$5:$AS$10,0))*INDEX($AV$5:$AV$10,MATCH($B$59,$AS$5:$AS$10,0))+1)/$B$43)*$B$42+MOD(MOD($A28*7919+104729,INDEX($BC$5:$BC$10,MATCH($B$59,$AS$5:$AS$10,0))*INDEX($AV$5:$AV$10,MATCH($B$59,$AS$5:$AS$10,0))+1),$B$43)*$B$45)*128,0))/128)&amp;" ","")&amp;IF(MOD((ROUND((INT(MOD($A28*7919+104729,INDEX($BC$5:$BC$10,MATCH($B$59,$AS$5:$AS$10,0))*INDEX($AV$5:$AV$10,MATCH($B$59,$AS$5:$AS$10,0))+1)/$B$43)*$B$42+MOD(MOD($A28*7919+104729,INDEX($BC$5:$BC$10,MATCH($B$59,$AS$5:$AS$10,0))*INDEX($AV$5:$AV$10,MATCH($B$59,$AS$5:$AS$10,0))+1),$B$43)*$B$45)*128,0)),128)=0,"",MOD((ROUND((INT(MOD($A28*7919+104729,INDEX($BC$5:$BC$10,MATCH($B$59,$AS$5:$AS$10,0))*INDEX($AV$5:$AV$10,MATCH($B$59,$AS$5:$AS$10,0))+1)/$B$43)*$B$42+MOD(MOD($A28*7919+104729,INDEX($BC$5:$BC$10,MATCH($B$59,$AS$5:$AS$10,0))*INDEX($AV$5:$AV$10,MATCH($B$59,$AS$5:$AS$10,0))+1),$B$43)*$B$45)*128,0)),128)/GCD(MOD((ROUND((INT(MOD($A28*7919+104729,INDEX($BC$5:$BC$10,MATCH($B$59,$AS$5:$AS$10,0))*INDEX($AV$5:$AV$10,MATCH($B$59,$AS$5:$AS$10,0))+1)/$B$43)*$B$42+MOD(MOD($A28*7919+104729,INDEX($BC$5:$BC$10,MATCH($B$59,$AS$5:$AS$10,0))*INDEX($AV$5:$AV$10,MATCH($B$59,$AS$5:$AS$10,0))+1),$B$43)*$B$45)*128,0)),128),128)&amp;"/"&amp;128/GCD(MOD((ROUND((INT(MOD($A28*7919+104729,INDEX($BC$5:$BC$10,MATCH($B$59,$AS$5:$AS$10,0))*INDEX($AV$5:$AV$10,MATCH($B$59,$AS$5:$AS$10,0))+1)/$B$43)*$B$42+MOD(MOD($A28*7919+104729,INDEX($BC$5:$BC$10,MATCH($B$59,$AS$5:$AS$10,0))*INDEX($AV$5:$AV$10,MATCH($B$59,$AS$5:$AS$10,0))+1),$B$43)*$B$45)*128,0)),128),128))),FIXED(INT(MOD($A28*7919+104729,INDEX($BC$5:$BC$10,MATCH($B$59,$AS$5:$AS$10,0))*INDEX($AV$5:$AV$10,MATCH($B$59,$AS$5:$AS$10,0))+1)/$B$43)*$B$42+MOD(MOD($A28*7919+104729,INDEX($BC$5:$BC$10,MATCH($B$59,$AS$5:$AS$10,0))*INDEX($AV$5:$AV$10,MATCH($B$59,$AS$5:$AS$10,0))+1),$B$43)*$B$45,$B$51,TRUE))&amp;IF('Pie de rey'!$B$41=1," pulg"," mm"))</f>
        <v>3/16 pulg</v>
      </c>
    </row>
    <row r="29" spans="1:61" x14ac:dyDescent="0.25">
      <c r="A29" s="24">
        <f>IF($B$58=1,$B$64+($B$21-1)*10+5,($B$21-1)*10+6)</f>
        <v>6</v>
      </c>
      <c r="B29" s="25"/>
      <c r="C29" s="24" t="str">
        <f t="shared" si="0"/>
        <v/>
      </c>
      <c r="D29" s="52" t="str">
        <f t="shared" si="1"/>
        <v>1 119/128 pulg</v>
      </c>
      <c r="E29" s="53"/>
      <c r="F29" s="54"/>
      <c r="BH29">
        <f>IF($B$58=1,IFERROR(INDEX('Datos guía'!$E$5:$E$544,MATCH($B$7&amp;"|"&amp;$A29,'Datos guía'!$A$5:$A$544,0)),""),INT(MOD($A29*7919+104729,INDEX($BC$5:$BC$10,MATCH($B$59,$AS$5:$AS$10,0))*INDEX($AV$5:$AV$10,MATCH($B$59,$AS$5:$AS$10,0))+1)/$B$43)*$B$42+MOD(MOD($A29*7919+104729,INDEX($BC$5:$BC$10,MATCH($B$59,$AS$5:$AS$10,0))*INDEX($AV$5:$AV$10,MATCH($B$59,$AS$5:$AS$10,0))+1),$B$43)*$B$45)</f>
        <v>1.9296875</v>
      </c>
      <c r="BI29" t="str">
        <f>IF($B$58=1,IFERROR(INDEX('Datos guía'!$F$5:$F$544,MATCH($B$7&amp;"|"&amp;$A29,'Datos guía'!$A$5:$A$544,0)),"No está en el banco"),IF($B$57=4,IF((ROUND((INT(MOD($A29*7919+104729,INDEX($BC$5:$BC$10,MATCH($B$59,$AS$5:$AS$10,0))*INDEX($AV$5:$AV$10,MATCH($B$59,$AS$5:$AS$10,0))+1)/$B$43)*$B$42+MOD(MOD($A29*7919+104729,INDEX($BC$5:$BC$10,MATCH($B$59,$AS$5:$AS$10,0))*INDEX($AV$5:$AV$10,MATCH($B$59,$AS$5:$AS$10,0))+1),$B$43)*$B$45)*128,0))=0,"0",IF(INT((ROUND((INT(MOD($A29*7919+104729,INDEX($BC$5:$BC$10,MATCH($B$59,$AS$5:$AS$10,0))*INDEX($AV$5:$AV$10,MATCH($B$59,$AS$5:$AS$10,0))+1)/$B$43)*$B$42+MOD(MOD($A29*7919+104729,INDEX($BC$5:$BC$10,MATCH($B$59,$AS$5:$AS$10,0))*INDEX($AV$5:$AV$10,MATCH($B$59,$AS$5:$AS$10,0))+1),$B$43)*$B$45)*128,0))/128)&gt;0,INT((ROUND((INT(MOD($A29*7919+104729,INDEX($BC$5:$BC$10,MATCH($B$59,$AS$5:$AS$10,0))*INDEX($AV$5:$AV$10,MATCH($B$59,$AS$5:$AS$10,0))+1)/$B$43)*$B$42+MOD(MOD($A29*7919+104729,INDEX($BC$5:$BC$10,MATCH($B$59,$AS$5:$AS$10,0))*INDEX($AV$5:$AV$10,MATCH($B$59,$AS$5:$AS$10,0))+1),$B$43)*$B$45)*128,0))/128)&amp;" ","")&amp;IF(MOD((ROUND((INT(MOD($A29*7919+104729,INDEX($BC$5:$BC$10,MATCH($B$59,$AS$5:$AS$10,0))*INDEX($AV$5:$AV$10,MATCH($B$59,$AS$5:$AS$10,0))+1)/$B$43)*$B$42+MOD(MOD($A29*7919+104729,INDEX($BC$5:$BC$10,MATCH($B$59,$AS$5:$AS$10,0))*INDEX($AV$5:$AV$10,MATCH($B$59,$AS$5:$AS$10,0))+1),$B$43)*$B$45)*128,0)),128)=0,"",MOD((ROUND((INT(MOD($A29*7919+104729,INDEX($BC$5:$BC$10,MATCH($B$59,$AS$5:$AS$10,0))*INDEX($AV$5:$AV$10,MATCH($B$59,$AS$5:$AS$10,0))+1)/$B$43)*$B$42+MOD(MOD($A29*7919+104729,INDEX($BC$5:$BC$10,MATCH($B$59,$AS$5:$AS$10,0))*INDEX($AV$5:$AV$10,MATCH($B$59,$AS$5:$AS$10,0))+1),$B$43)*$B$45)*128,0)),128)/GCD(MOD((ROUND((INT(MOD($A29*7919+104729,INDEX($BC$5:$BC$10,MATCH($B$59,$AS$5:$AS$10,0))*INDEX($AV$5:$AV$10,MATCH($B$59,$AS$5:$AS$10,0))+1)/$B$43)*$B$42+MOD(MOD($A29*7919+104729,INDEX($BC$5:$BC$10,MATCH($B$59,$AS$5:$AS$10,0))*INDEX($AV$5:$AV$10,MATCH($B$59,$AS$5:$AS$10,0))+1),$B$43)*$B$45)*128,0)),128),128)&amp;"/"&amp;128/GCD(MOD((ROUND((INT(MOD($A29*7919+104729,INDEX($BC$5:$BC$10,MATCH($B$59,$AS$5:$AS$10,0))*INDEX($AV$5:$AV$10,MATCH($B$59,$AS$5:$AS$10,0))+1)/$B$43)*$B$42+MOD(MOD($A29*7919+104729,INDEX($BC$5:$BC$10,MATCH($B$59,$AS$5:$AS$10,0))*INDEX($AV$5:$AV$10,MATCH($B$59,$AS$5:$AS$10,0))+1),$B$43)*$B$45)*128,0)),128),128))),FIXED(INT(MOD($A29*7919+104729,INDEX($BC$5:$BC$10,MATCH($B$59,$AS$5:$AS$10,0))*INDEX($AV$5:$AV$10,MATCH($B$59,$AS$5:$AS$10,0))+1)/$B$43)*$B$42+MOD(MOD($A29*7919+104729,INDEX($BC$5:$BC$10,MATCH($B$59,$AS$5:$AS$10,0))*INDEX($AV$5:$AV$10,MATCH($B$59,$AS$5:$AS$10,0))+1),$B$43)*$B$45,$B$51,TRUE))&amp;IF('Pie de rey'!$B$41=1," pulg"," mm"))</f>
        <v>1 119/128 pulg</v>
      </c>
    </row>
    <row r="30" spans="1:61" x14ac:dyDescent="0.25">
      <c r="A30" s="24">
        <f>IF($B$58=1,$B$64+($B$21-1)*10+6,($B$21-1)*10+7)</f>
        <v>7</v>
      </c>
      <c r="B30" s="25"/>
      <c r="C30" s="24" t="str">
        <f t="shared" si="0"/>
        <v/>
      </c>
      <c r="D30" s="52" t="str">
        <f t="shared" si="1"/>
        <v>3 43/64 pulg</v>
      </c>
      <c r="E30" s="53"/>
      <c r="F30" s="54"/>
      <c r="BH30">
        <f>IF($B$58=1,IFERROR(INDEX('Datos guía'!$E$5:$E$544,MATCH($B$7&amp;"|"&amp;$A30,'Datos guía'!$A$5:$A$544,0)),""),INT(MOD($A30*7919+104729,INDEX($BC$5:$BC$10,MATCH($B$59,$AS$5:$AS$10,0))*INDEX($AV$5:$AV$10,MATCH($B$59,$AS$5:$AS$10,0))+1)/$B$43)*$B$42+MOD(MOD($A30*7919+104729,INDEX($BC$5:$BC$10,MATCH($B$59,$AS$5:$AS$10,0))*INDEX($AV$5:$AV$10,MATCH($B$59,$AS$5:$AS$10,0))+1),$B$43)*$B$45)</f>
        <v>3.671875</v>
      </c>
      <c r="BI30" t="str">
        <f>IF($B$58=1,IFERROR(INDEX('Datos guía'!$F$5:$F$544,MATCH($B$7&amp;"|"&amp;$A30,'Datos guía'!$A$5:$A$544,0)),"No está en el banco"),IF($B$57=4,IF((ROUND((INT(MOD($A30*7919+104729,INDEX($BC$5:$BC$10,MATCH($B$59,$AS$5:$AS$10,0))*INDEX($AV$5:$AV$10,MATCH($B$59,$AS$5:$AS$10,0))+1)/$B$43)*$B$42+MOD(MOD($A30*7919+104729,INDEX($BC$5:$BC$10,MATCH($B$59,$AS$5:$AS$10,0))*INDEX($AV$5:$AV$10,MATCH($B$59,$AS$5:$AS$10,0))+1),$B$43)*$B$45)*128,0))=0,"0",IF(INT((ROUND((INT(MOD($A30*7919+104729,INDEX($BC$5:$BC$10,MATCH($B$59,$AS$5:$AS$10,0))*INDEX($AV$5:$AV$10,MATCH($B$59,$AS$5:$AS$10,0))+1)/$B$43)*$B$42+MOD(MOD($A30*7919+104729,INDEX($BC$5:$BC$10,MATCH($B$59,$AS$5:$AS$10,0))*INDEX($AV$5:$AV$10,MATCH($B$59,$AS$5:$AS$10,0))+1),$B$43)*$B$45)*128,0))/128)&gt;0,INT((ROUND((INT(MOD($A30*7919+104729,INDEX($BC$5:$BC$10,MATCH($B$59,$AS$5:$AS$10,0))*INDEX($AV$5:$AV$10,MATCH($B$59,$AS$5:$AS$10,0))+1)/$B$43)*$B$42+MOD(MOD($A30*7919+104729,INDEX($BC$5:$BC$10,MATCH($B$59,$AS$5:$AS$10,0))*INDEX($AV$5:$AV$10,MATCH($B$59,$AS$5:$AS$10,0))+1),$B$43)*$B$45)*128,0))/128)&amp;" ","")&amp;IF(MOD((ROUND((INT(MOD($A30*7919+104729,INDEX($BC$5:$BC$10,MATCH($B$59,$AS$5:$AS$10,0))*INDEX($AV$5:$AV$10,MATCH($B$59,$AS$5:$AS$10,0))+1)/$B$43)*$B$42+MOD(MOD($A30*7919+104729,INDEX($BC$5:$BC$10,MATCH($B$59,$AS$5:$AS$10,0))*INDEX($AV$5:$AV$10,MATCH($B$59,$AS$5:$AS$10,0))+1),$B$43)*$B$45)*128,0)),128)=0,"",MOD((ROUND((INT(MOD($A30*7919+104729,INDEX($BC$5:$BC$10,MATCH($B$59,$AS$5:$AS$10,0))*INDEX($AV$5:$AV$10,MATCH($B$59,$AS$5:$AS$10,0))+1)/$B$43)*$B$42+MOD(MOD($A30*7919+104729,INDEX($BC$5:$BC$10,MATCH($B$59,$AS$5:$AS$10,0))*INDEX($AV$5:$AV$10,MATCH($B$59,$AS$5:$AS$10,0))+1),$B$43)*$B$45)*128,0)),128)/GCD(MOD((ROUND((INT(MOD($A30*7919+104729,INDEX($BC$5:$BC$10,MATCH($B$59,$AS$5:$AS$10,0))*INDEX($AV$5:$AV$10,MATCH($B$59,$AS$5:$AS$10,0))+1)/$B$43)*$B$42+MOD(MOD($A30*7919+104729,INDEX($BC$5:$BC$10,MATCH($B$59,$AS$5:$AS$10,0))*INDEX($AV$5:$AV$10,MATCH($B$59,$AS$5:$AS$10,0))+1),$B$43)*$B$45)*128,0)),128),128)&amp;"/"&amp;128/GCD(MOD((ROUND((INT(MOD($A30*7919+104729,INDEX($BC$5:$BC$10,MATCH($B$59,$AS$5:$AS$10,0))*INDEX($AV$5:$AV$10,MATCH($B$59,$AS$5:$AS$10,0))+1)/$B$43)*$B$42+MOD(MOD($A30*7919+104729,INDEX($BC$5:$BC$10,MATCH($B$59,$AS$5:$AS$10,0))*INDEX($AV$5:$AV$10,MATCH($B$59,$AS$5:$AS$10,0))+1),$B$43)*$B$45)*128,0)),128),128))),FIXED(INT(MOD($A30*7919+104729,INDEX($BC$5:$BC$10,MATCH($B$59,$AS$5:$AS$10,0))*INDEX($AV$5:$AV$10,MATCH($B$59,$AS$5:$AS$10,0))+1)/$B$43)*$B$42+MOD(MOD($A30*7919+104729,INDEX($BC$5:$BC$10,MATCH($B$59,$AS$5:$AS$10,0))*INDEX($AV$5:$AV$10,MATCH($B$59,$AS$5:$AS$10,0))+1),$B$43)*$B$45,$B$51,TRUE))&amp;IF('Pie de rey'!$B$41=1," pulg"," mm"))</f>
        <v>3 43/64 pulg</v>
      </c>
    </row>
    <row r="31" spans="1:61" x14ac:dyDescent="0.25">
      <c r="A31" s="24">
        <f>IF($B$58=1,$B$64+($B$21-1)*10+7,($B$21-1)*10+8)</f>
        <v>8</v>
      </c>
      <c r="B31" s="25"/>
      <c r="C31" s="24" t="str">
        <f t="shared" si="0"/>
        <v/>
      </c>
      <c r="D31" s="52" t="str">
        <f t="shared" si="1"/>
        <v>1 21/32 pulg</v>
      </c>
      <c r="E31" s="53"/>
      <c r="F31" s="54"/>
      <c r="BH31">
        <f>IF($B$58=1,IFERROR(INDEX('Datos guía'!$E$5:$E$544,MATCH($B$7&amp;"|"&amp;$A31,'Datos guía'!$A$5:$A$544,0)),""),INT(MOD($A31*7919+104729,INDEX($BC$5:$BC$10,MATCH($B$59,$AS$5:$AS$10,0))*INDEX($AV$5:$AV$10,MATCH($B$59,$AS$5:$AS$10,0))+1)/$B$43)*$B$42+MOD(MOD($A31*7919+104729,INDEX($BC$5:$BC$10,MATCH($B$59,$AS$5:$AS$10,0))*INDEX($AV$5:$AV$10,MATCH($B$59,$AS$5:$AS$10,0))+1),$B$43)*$B$45)</f>
        <v>1.65625</v>
      </c>
      <c r="BI31" t="str">
        <f>IF($B$58=1,IFERROR(INDEX('Datos guía'!$F$5:$F$544,MATCH($B$7&amp;"|"&amp;$A31,'Datos guía'!$A$5:$A$544,0)),"No está en el banco"),IF($B$57=4,IF((ROUND((INT(MOD($A31*7919+104729,INDEX($BC$5:$BC$10,MATCH($B$59,$AS$5:$AS$10,0))*INDEX($AV$5:$AV$10,MATCH($B$59,$AS$5:$AS$10,0))+1)/$B$43)*$B$42+MOD(MOD($A31*7919+104729,INDEX($BC$5:$BC$10,MATCH($B$59,$AS$5:$AS$10,0))*INDEX($AV$5:$AV$10,MATCH($B$59,$AS$5:$AS$10,0))+1),$B$43)*$B$45)*128,0))=0,"0",IF(INT((ROUND((INT(MOD($A31*7919+104729,INDEX($BC$5:$BC$10,MATCH($B$59,$AS$5:$AS$10,0))*INDEX($AV$5:$AV$10,MATCH($B$59,$AS$5:$AS$10,0))+1)/$B$43)*$B$42+MOD(MOD($A31*7919+104729,INDEX($BC$5:$BC$10,MATCH($B$59,$AS$5:$AS$10,0))*INDEX($AV$5:$AV$10,MATCH($B$59,$AS$5:$AS$10,0))+1),$B$43)*$B$45)*128,0))/128)&gt;0,INT((ROUND((INT(MOD($A31*7919+104729,INDEX($BC$5:$BC$10,MATCH($B$59,$AS$5:$AS$10,0))*INDEX($AV$5:$AV$10,MATCH($B$59,$AS$5:$AS$10,0))+1)/$B$43)*$B$42+MOD(MOD($A31*7919+104729,INDEX($BC$5:$BC$10,MATCH($B$59,$AS$5:$AS$10,0))*INDEX($AV$5:$AV$10,MATCH($B$59,$AS$5:$AS$10,0))+1),$B$43)*$B$45)*128,0))/128)&amp;" ","")&amp;IF(MOD((ROUND((INT(MOD($A31*7919+104729,INDEX($BC$5:$BC$10,MATCH($B$59,$AS$5:$AS$10,0))*INDEX($AV$5:$AV$10,MATCH($B$59,$AS$5:$AS$10,0))+1)/$B$43)*$B$42+MOD(MOD($A31*7919+104729,INDEX($BC$5:$BC$10,MATCH($B$59,$AS$5:$AS$10,0))*INDEX($AV$5:$AV$10,MATCH($B$59,$AS$5:$AS$10,0))+1),$B$43)*$B$45)*128,0)),128)=0,"",MOD((ROUND((INT(MOD($A31*7919+104729,INDEX($BC$5:$BC$10,MATCH($B$59,$AS$5:$AS$10,0))*INDEX($AV$5:$AV$10,MATCH($B$59,$AS$5:$AS$10,0))+1)/$B$43)*$B$42+MOD(MOD($A31*7919+104729,INDEX($BC$5:$BC$10,MATCH($B$59,$AS$5:$AS$10,0))*INDEX($AV$5:$AV$10,MATCH($B$59,$AS$5:$AS$10,0))+1),$B$43)*$B$45)*128,0)),128)/GCD(MOD((ROUND((INT(MOD($A31*7919+104729,INDEX($BC$5:$BC$10,MATCH($B$59,$AS$5:$AS$10,0))*INDEX($AV$5:$AV$10,MATCH($B$59,$AS$5:$AS$10,0))+1)/$B$43)*$B$42+MOD(MOD($A31*7919+104729,INDEX($BC$5:$BC$10,MATCH($B$59,$AS$5:$AS$10,0))*INDEX($AV$5:$AV$10,MATCH($B$59,$AS$5:$AS$10,0))+1),$B$43)*$B$45)*128,0)),128),128)&amp;"/"&amp;128/GCD(MOD((ROUND((INT(MOD($A31*7919+104729,INDEX($BC$5:$BC$10,MATCH($B$59,$AS$5:$AS$10,0))*INDEX($AV$5:$AV$10,MATCH($B$59,$AS$5:$AS$10,0))+1)/$B$43)*$B$42+MOD(MOD($A31*7919+104729,INDEX($BC$5:$BC$10,MATCH($B$59,$AS$5:$AS$10,0))*INDEX($AV$5:$AV$10,MATCH($B$59,$AS$5:$AS$10,0))+1),$B$43)*$B$45)*128,0)),128),128))),FIXED(INT(MOD($A31*7919+104729,INDEX($BC$5:$BC$10,MATCH($B$59,$AS$5:$AS$10,0))*INDEX($AV$5:$AV$10,MATCH($B$59,$AS$5:$AS$10,0))+1)/$B$43)*$B$42+MOD(MOD($A31*7919+104729,INDEX($BC$5:$BC$10,MATCH($B$59,$AS$5:$AS$10,0))*INDEX($AV$5:$AV$10,MATCH($B$59,$AS$5:$AS$10,0))+1),$B$43)*$B$45,$B$51,TRUE))&amp;IF('Pie de rey'!$B$41=1," pulg"," mm"))</f>
        <v>1 21/32 pulg</v>
      </c>
    </row>
    <row r="32" spans="1:61" x14ac:dyDescent="0.25">
      <c r="A32" s="24">
        <f>IF($B$58=1,$B$64+($B$21-1)*10+8,($B$21-1)*10+9)</f>
        <v>9</v>
      </c>
      <c r="B32" s="25"/>
      <c r="C32" s="24" t="str">
        <f t="shared" si="0"/>
        <v/>
      </c>
      <c r="D32" s="52" t="str">
        <f t="shared" si="1"/>
        <v>3 51/128 pulg</v>
      </c>
      <c r="E32" s="53"/>
      <c r="F32" s="54"/>
      <c r="BH32">
        <f>IF($B$58=1,IFERROR(INDEX('Datos guía'!$E$5:$E$544,MATCH($B$7&amp;"|"&amp;$A32,'Datos guía'!$A$5:$A$544,0)),""),INT(MOD($A32*7919+104729,INDEX($BC$5:$BC$10,MATCH($B$59,$AS$5:$AS$10,0))*INDEX($AV$5:$AV$10,MATCH($B$59,$AS$5:$AS$10,0))+1)/$B$43)*$B$42+MOD(MOD($A32*7919+104729,INDEX($BC$5:$BC$10,MATCH($B$59,$AS$5:$AS$10,0))*INDEX($AV$5:$AV$10,MATCH($B$59,$AS$5:$AS$10,0))+1),$B$43)*$B$45)</f>
        <v>3.3984375</v>
      </c>
      <c r="BI32" t="str">
        <f>IF($B$58=1,IFERROR(INDEX('Datos guía'!$F$5:$F$544,MATCH($B$7&amp;"|"&amp;$A32,'Datos guía'!$A$5:$A$544,0)),"No está en el banco"),IF($B$57=4,IF((ROUND((INT(MOD($A32*7919+104729,INDEX($BC$5:$BC$10,MATCH($B$59,$AS$5:$AS$10,0))*INDEX($AV$5:$AV$10,MATCH($B$59,$AS$5:$AS$10,0))+1)/$B$43)*$B$42+MOD(MOD($A32*7919+104729,INDEX($BC$5:$BC$10,MATCH($B$59,$AS$5:$AS$10,0))*INDEX($AV$5:$AV$10,MATCH($B$59,$AS$5:$AS$10,0))+1),$B$43)*$B$45)*128,0))=0,"0",IF(INT((ROUND((INT(MOD($A32*7919+104729,INDEX($BC$5:$BC$10,MATCH($B$59,$AS$5:$AS$10,0))*INDEX($AV$5:$AV$10,MATCH($B$59,$AS$5:$AS$10,0))+1)/$B$43)*$B$42+MOD(MOD($A32*7919+104729,INDEX($BC$5:$BC$10,MATCH($B$59,$AS$5:$AS$10,0))*INDEX($AV$5:$AV$10,MATCH($B$59,$AS$5:$AS$10,0))+1),$B$43)*$B$45)*128,0))/128)&gt;0,INT((ROUND((INT(MOD($A32*7919+104729,INDEX($BC$5:$BC$10,MATCH($B$59,$AS$5:$AS$10,0))*INDEX($AV$5:$AV$10,MATCH($B$59,$AS$5:$AS$10,0))+1)/$B$43)*$B$42+MOD(MOD($A32*7919+104729,INDEX($BC$5:$BC$10,MATCH($B$59,$AS$5:$AS$10,0))*INDEX($AV$5:$AV$10,MATCH($B$59,$AS$5:$AS$10,0))+1),$B$43)*$B$45)*128,0))/128)&amp;" ","")&amp;IF(MOD((ROUND((INT(MOD($A32*7919+104729,INDEX($BC$5:$BC$10,MATCH($B$59,$AS$5:$AS$10,0))*INDEX($AV$5:$AV$10,MATCH($B$59,$AS$5:$AS$10,0))+1)/$B$43)*$B$42+MOD(MOD($A32*7919+104729,INDEX($BC$5:$BC$10,MATCH($B$59,$AS$5:$AS$10,0))*INDEX($AV$5:$AV$10,MATCH($B$59,$AS$5:$AS$10,0))+1),$B$43)*$B$45)*128,0)),128)=0,"",MOD((ROUND((INT(MOD($A32*7919+104729,INDEX($BC$5:$BC$10,MATCH($B$59,$AS$5:$AS$10,0))*INDEX($AV$5:$AV$10,MATCH($B$59,$AS$5:$AS$10,0))+1)/$B$43)*$B$42+MOD(MOD($A32*7919+104729,INDEX($BC$5:$BC$10,MATCH($B$59,$AS$5:$AS$10,0))*INDEX($AV$5:$AV$10,MATCH($B$59,$AS$5:$AS$10,0))+1),$B$43)*$B$45)*128,0)),128)/GCD(MOD((ROUND((INT(MOD($A32*7919+104729,INDEX($BC$5:$BC$10,MATCH($B$59,$AS$5:$AS$10,0))*INDEX($AV$5:$AV$10,MATCH($B$59,$AS$5:$AS$10,0))+1)/$B$43)*$B$42+MOD(MOD($A32*7919+104729,INDEX($BC$5:$BC$10,MATCH($B$59,$AS$5:$AS$10,0))*INDEX($AV$5:$AV$10,MATCH($B$59,$AS$5:$AS$10,0))+1),$B$43)*$B$45)*128,0)),128),128)&amp;"/"&amp;128/GCD(MOD((ROUND((INT(MOD($A32*7919+104729,INDEX($BC$5:$BC$10,MATCH($B$59,$AS$5:$AS$10,0))*INDEX($AV$5:$AV$10,MATCH($B$59,$AS$5:$AS$10,0))+1)/$B$43)*$B$42+MOD(MOD($A32*7919+104729,INDEX($BC$5:$BC$10,MATCH($B$59,$AS$5:$AS$10,0))*INDEX($AV$5:$AV$10,MATCH($B$59,$AS$5:$AS$10,0))+1),$B$43)*$B$45)*128,0)),128),128))),FIXED(INT(MOD($A32*7919+104729,INDEX($BC$5:$BC$10,MATCH($B$59,$AS$5:$AS$10,0))*INDEX($AV$5:$AV$10,MATCH($B$59,$AS$5:$AS$10,0))+1)/$B$43)*$B$42+MOD(MOD($A32*7919+104729,INDEX($BC$5:$BC$10,MATCH($B$59,$AS$5:$AS$10,0))*INDEX($AV$5:$AV$10,MATCH($B$59,$AS$5:$AS$10,0))+1),$B$43)*$B$45,$B$51,TRUE))&amp;IF('Pie de rey'!$B$41=1," pulg"," mm"))</f>
        <v>3 51/128 pulg</v>
      </c>
    </row>
    <row r="33" spans="1:61" x14ac:dyDescent="0.25">
      <c r="A33" s="24">
        <f>IF($B$58=1,$B$64+($B$21-1)*10+9,($B$21-1)*10+10)</f>
        <v>10</v>
      </c>
      <c r="B33" s="25"/>
      <c r="C33" s="24" t="str">
        <f t="shared" si="0"/>
        <v/>
      </c>
      <c r="D33" s="52" t="str">
        <f t="shared" si="1"/>
        <v>1 49/128 pulg</v>
      </c>
      <c r="E33" s="53"/>
      <c r="F33" s="54"/>
      <c r="BH33">
        <f>IF($B$58=1,IFERROR(INDEX('Datos guía'!$E$5:$E$544,MATCH($B$7&amp;"|"&amp;$A33,'Datos guía'!$A$5:$A$544,0)),""),INT(MOD($A33*7919+104729,INDEX($BC$5:$BC$10,MATCH($B$59,$AS$5:$AS$10,0))*INDEX($AV$5:$AV$10,MATCH($B$59,$AS$5:$AS$10,0))+1)/$B$43)*$B$42+MOD(MOD($A33*7919+104729,INDEX($BC$5:$BC$10,MATCH($B$59,$AS$5:$AS$10,0))*INDEX($AV$5:$AV$10,MATCH($B$59,$AS$5:$AS$10,0))+1),$B$43)*$B$45)</f>
        <v>1.3828125</v>
      </c>
      <c r="BI33" t="str">
        <f>IF($B$58=1,IFERROR(INDEX('Datos guía'!$F$5:$F$544,MATCH($B$7&amp;"|"&amp;$A33,'Datos guía'!$A$5:$A$544,0)),"No está en el banco"),IF($B$57=4,IF((ROUND((INT(MOD($A33*7919+104729,INDEX($BC$5:$BC$10,MATCH($B$59,$AS$5:$AS$10,0))*INDEX($AV$5:$AV$10,MATCH($B$59,$AS$5:$AS$10,0))+1)/$B$43)*$B$42+MOD(MOD($A33*7919+104729,INDEX($BC$5:$BC$10,MATCH($B$59,$AS$5:$AS$10,0))*INDEX($AV$5:$AV$10,MATCH($B$59,$AS$5:$AS$10,0))+1),$B$43)*$B$45)*128,0))=0,"0",IF(INT((ROUND((INT(MOD($A33*7919+104729,INDEX($BC$5:$BC$10,MATCH($B$59,$AS$5:$AS$10,0))*INDEX($AV$5:$AV$10,MATCH($B$59,$AS$5:$AS$10,0))+1)/$B$43)*$B$42+MOD(MOD($A33*7919+104729,INDEX($BC$5:$BC$10,MATCH($B$59,$AS$5:$AS$10,0))*INDEX($AV$5:$AV$10,MATCH($B$59,$AS$5:$AS$10,0))+1),$B$43)*$B$45)*128,0))/128)&gt;0,INT((ROUND((INT(MOD($A33*7919+104729,INDEX($BC$5:$BC$10,MATCH($B$59,$AS$5:$AS$10,0))*INDEX($AV$5:$AV$10,MATCH($B$59,$AS$5:$AS$10,0))+1)/$B$43)*$B$42+MOD(MOD($A33*7919+104729,INDEX($BC$5:$BC$10,MATCH($B$59,$AS$5:$AS$10,0))*INDEX($AV$5:$AV$10,MATCH($B$59,$AS$5:$AS$10,0))+1),$B$43)*$B$45)*128,0))/128)&amp;" ","")&amp;IF(MOD((ROUND((INT(MOD($A33*7919+104729,INDEX($BC$5:$BC$10,MATCH($B$59,$AS$5:$AS$10,0))*INDEX($AV$5:$AV$10,MATCH($B$59,$AS$5:$AS$10,0))+1)/$B$43)*$B$42+MOD(MOD($A33*7919+104729,INDEX($BC$5:$BC$10,MATCH($B$59,$AS$5:$AS$10,0))*INDEX($AV$5:$AV$10,MATCH($B$59,$AS$5:$AS$10,0))+1),$B$43)*$B$45)*128,0)),128)=0,"",MOD((ROUND((INT(MOD($A33*7919+104729,INDEX($BC$5:$BC$10,MATCH($B$59,$AS$5:$AS$10,0))*INDEX($AV$5:$AV$10,MATCH($B$59,$AS$5:$AS$10,0))+1)/$B$43)*$B$42+MOD(MOD($A33*7919+104729,INDEX($BC$5:$BC$10,MATCH($B$59,$AS$5:$AS$10,0))*INDEX($AV$5:$AV$10,MATCH($B$59,$AS$5:$AS$10,0))+1),$B$43)*$B$45)*128,0)),128)/GCD(MOD((ROUND((INT(MOD($A33*7919+104729,INDEX($BC$5:$BC$10,MATCH($B$59,$AS$5:$AS$10,0))*INDEX($AV$5:$AV$10,MATCH($B$59,$AS$5:$AS$10,0))+1)/$B$43)*$B$42+MOD(MOD($A33*7919+104729,INDEX($BC$5:$BC$10,MATCH($B$59,$AS$5:$AS$10,0))*INDEX($AV$5:$AV$10,MATCH($B$59,$AS$5:$AS$10,0))+1),$B$43)*$B$45)*128,0)),128),128)&amp;"/"&amp;128/GCD(MOD((ROUND((INT(MOD($A33*7919+104729,INDEX($BC$5:$BC$10,MATCH($B$59,$AS$5:$AS$10,0))*INDEX($AV$5:$AV$10,MATCH($B$59,$AS$5:$AS$10,0))+1)/$B$43)*$B$42+MOD(MOD($A33*7919+104729,INDEX($BC$5:$BC$10,MATCH($B$59,$AS$5:$AS$10,0))*INDEX($AV$5:$AV$10,MATCH($B$59,$AS$5:$AS$10,0))+1),$B$43)*$B$45)*128,0)),128),128))),FIXED(INT(MOD($A33*7919+104729,INDEX($BC$5:$BC$10,MATCH($B$59,$AS$5:$AS$10,0))*INDEX($AV$5:$AV$10,MATCH($B$59,$AS$5:$AS$10,0))+1)/$B$43)*$B$42+MOD(MOD($A33*7919+104729,INDEX($BC$5:$BC$10,MATCH($B$59,$AS$5:$AS$10,0))*INDEX($AV$5:$AV$10,MATCH($B$59,$AS$5:$AS$10,0))+1),$B$43)*$B$45,$B$51,TRUE))&amp;IF('Pie de rey'!$B$41=1," pulg"," mm"))</f>
        <v>1 49/128 pulg</v>
      </c>
    </row>
    <row r="35" spans="1:61" x14ac:dyDescent="0.25">
      <c r="A35" s="27" t="str">
        <f>COUNTIF(C24:C33,"Correcto")&amp;" de 10 correctas"</f>
        <v>0 de 10 correctas</v>
      </c>
    </row>
    <row r="40" spans="1:61" x14ac:dyDescent="0.25">
      <c r="A40" s="3" t="s">
        <v>111</v>
      </c>
      <c r="B40" s="3" t="s">
        <v>3</v>
      </c>
    </row>
    <row r="41" spans="1:61" x14ac:dyDescent="0.25">
      <c r="A41" s="28" t="s">
        <v>112</v>
      </c>
      <c r="B41" s="29">
        <f>INDEX($AT$5:$AT$10,MATCH($B$59,$AS$5:$AS$10,0))</f>
        <v>1</v>
      </c>
    </row>
    <row r="42" spans="1:61" x14ac:dyDescent="0.25">
      <c r="A42" s="28" t="s">
        <v>113</v>
      </c>
      <c r="B42" s="30">
        <f>INDEX($AU$5:$AU$10,MATCH($B$59,$AS$5:$AS$10,0))</f>
        <v>6.25E-2</v>
      </c>
    </row>
    <row r="43" spans="1:61" x14ac:dyDescent="0.25">
      <c r="A43" s="28" t="s">
        <v>114</v>
      </c>
      <c r="B43" s="29">
        <f>INDEX($AV$5:$AV$10,MATCH($B$59,$AS$5:$AS$10,0))</f>
        <v>8</v>
      </c>
    </row>
    <row r="44" spans="1:61" x14ac:dyDescent="0.25">
      <c r="A44" s="28" t="s">
        <v>115</v>
      </c>
      <c r="B44" s="29">
        <f>INDEX($AW$5:$AW$10,MATCH($B$59,$AS$5:$AS$10,0))</f>
        <v>1</v>
      </c>
    </row>
    <row r="45" spans="1:61" x14ac:dyDescent="0.25">
      <c r="A45" s="28" t="s">
        <v>116</v>
      </c>
      <c r="B45" s="31">
        <f>INDEX($AX$5:$AX$10,MATCH($B$59,$AS$5:$AS$10,0))</f>
        <v>7.8125E-3</v>
      </c>
    </row>
    <row r="46" spans="1:61" x14ac:dyDescent="0.25">
      <c r="A46" s="28" t="s">
        <v>117</v>
      </c>
      <c r="B46" s="32">
        <f>IF(AND($B$58=1,$B$62=1),ROUND($B$61/$B$45,0),MOD($B$6*7919+104729,INDEX($BC$5:$BC$10,MATCH($B$59,$AS$5:$AS$10,0))*INDEX($AV$5:$AV$10,MATCH($B$59,$AS$5:$AS$10,0))+1))</f>
        <v>94</v>
      </c>
    </row>
    <row r="47" spans="1:61" x14ac:dyDescent="0.25">
      <c r="A47" s="28" t="s">
        <v>118</v>
      </c>
      <c r="B47" s="32">
        <f>INT(B46/B43)</f>
        <v>11</v>
      </c>
    </row>
    <row r="48" spans="1:61" x14ac:dyDescent="0.25">
      <c r="A48" s="28" t="s">
        <v>119</v>
      </c>
      <c r="B48" s="32">
        <f>MOD(B46,B43)</f>
        <v>6</v>
      </c>
    </row>
    <row r="49" spans="1:2" x14ac:dyDescent="0.25">
      <c r="A49" s="28" t="s">
        <v>120</v>
      </c>
      <c r="B49" s="32">
        <f>B47*B42+B48*B45</f>
        <v>0.734375</v>
      </c>
    </row>
    <row r="50" spans="1:2" x14ac:dyDescent="0.25">
      <c r="A50" s="28" t="s">
        <v>121</v>
      </c>
      <c r="B50" s="33">
        <f>(B44*B43-1)/B43</f>
        <v>0.875</v>
      </c>
    </row>
    <row r="51" spans="1:2" x14ac:dyDescent="0.25">
      <c r="A51" s="28" t="s">
        <v>122</v>
      </c>
      <c r="B51" s="29">
        <f>INDEX($BE$5:$BE$10,MATCH($B$59,$AS$5:$AS$10,0))</f>
        <v>4</v>
      </c>
    </row>
    <row r="52" spans="1:2" x14ac:dyDescent="0.25">
      <c r="A52" s="28" t="s">
        <v>123</v>
      </c>
      <c r="B52" s="29">
        <f>INDEX($AY$5:$AY$10,MATCH($B$59,$AS$5:$AS$10,0))</f>
        <v>16</v>
      </c>
    </row>
    <row r="53" spans="1:2" x14ac:dyDescent="0.25">
      <c r="A53" s="28" t="s">
        <v>124</v>
      </c>
      <c r="B53" s="29">
        <f>INDEX($AZ$5:$AZ$10,MATCH($B$59,$AS$5:$AS$10,0))</f>
        <v>8</v>
      </c>
    </row>
    <row r="54" spans="1:2" x14ac:dyDescent="0.25">
      <c r="A54" s="28" t="s">
        <v>125</v>
      </c>
      <c r="B54" s="29">
        <f>INDEX($BA$5:$BA$10,MATCH($B$59,$AS$5:$AS$10,0))</f>
        <v>4</v>
      </c>
    </row>
    <row r="55" spans="1:2" x14ac:dyDescent="0.25">
      <c r="A55" s="28" t="s">
        <v>126</v>
      </c>
      <c r="B55" s="29">
        <f>INDEX($BB$5:$BB$10,MATCH($B$59,$AS$5:$AS$10,0))</f>
        <v>16</v>
      </c>
    </row>
    <row r="56" spans="1:2" x14ac:dyDescent="0.25">
      <c r="A56" s="28" t="s">
        <v>127</v>
      </c>
      <c r="B56" s="29">
        <f>INDEX($BD$5:$BD$10,MATCH($B$59,$AS$5:$AS$10,0))</f>
        <v>4</v>
      </c>
    </row>
    <row r="57" spans="1:2" x14ac:dyDescent="0.25">
      <c r="A57" s="28" t="s">
        <v>128</v>
      </c>
      <c r="B57" s="29">
        <f>INDEX($BF$5:$BF$10,MATCH($B$59,$AS$5:$AS$10,0))</f>
        <v>4</v>
      </c>
    </row>
    <row r="58" spans="1:2" x14ac:dyDescent="0.25">
      <c r="A58" s="28" t="s">
        <v>129</v>
      </c>
      <c r="B58" s="29">
        <f>IF($B$7="Aleatorio (generado por el simulador)",0,1)</f>
        <v>0</v>
      </c>
    </row>
    <row r="59" spans="1:2" x14ac:dyDescent="0.25">
      <c r="A59" s="28" t="s">
        <v>130</v>
      </c>
      <c r="B59" s="29" t="str">
        <f>IF($B$58=1,IFERROR(INDEX('Datos guía'!$D$5:$D$544,MATCH($B$60,'Datos guía'!$A$5:$A$544,0)),$B$5),$B$5)</f>
        <v>Pulgada · 1/128" (8 div.)</v>
      </c>
    </row>
    <row r="60" spans="1:2" x14ac:dyDescent="0.25">
      <c r="A60" s="28" t="s">
        <v>131</v>
      </c>
      <c r="B60" s="29" t="str">
        <f>$B$7&amp;"|"&amp;$B$6</f>
        <v>Aleatorio (generado por el simulador)|1</v>
      </c>
    </row>
    <row r="61" spans="1:2" x14ac:dyDescent="0.25">
      <c r="A61" s="28" t="s">
        <v>132</v>
      </c>
      <c r="B61" s="29" t="str">
        <f>IF($B$58=1,IFERROR(INDEX('Datos guía'!$E$5:$E$544,MATCH($B$60,'Datos guía'!$A$5:$A$544,0)),""),"")</f>
        <v/>
      </c>
    </row>
    <row r="62" spans="1:2" x14ac:dyDescent="0.25">
      <c r="A62" s="28" t="s">
        <v>133</v>
      </c>
      <c r="B62" s="29">
        <f>IF($B$58=0,1,IF(ISNUMBER($B$61),1,0))</f>
        <v>1</v>
      </c>
    </row>
    <row r="63" spans="1:2" x14ac:dyDescent="0.25">
      <c r="A63" s="28" t="s">
        <v>134</v>
      </c>
      <c r="B63" s="29">
        <f>MAX(0,INT(($B$47-20)/$B$52)*$B$52)</f>
        <v>0</v>
      </c>
    </row>
    <row r="64" spans="1:2" x14ac:dyDescent="0.25">
      <c r="A64" s="28" t="s">
        <v>135</v>
      </c>
      <c r="B64" s="29">
        <f>INDEX('Datos guía'!$L$5:$L$21,MATCH($B$7,'Datos guía'!$K$5:$K$21,0))</f>
        <v>1</v>
      </c>
    </row>
  </sheetData>
  <mergeCells count="16">
    <mergeCell ref="A14:F14"/>
    <mergeCell ref="B15:F15"/>
    <mergeCell ref="D23:F23"/>
    <mergeCell ref="D31:F31"/>
    <mergeCell ref="D32:F32"/>
    <mergeCell ref="D26:F26"/>
    <mergeCell ref="D30:F30"/>
    <mergeCell ref="D25:F25"/>
    <mergeCell ref="B17:F17"/>
    <mergeCell ref="B18:F18"/>
    <mergeCell ref="D24:F24"/>
    <mergeCell ref="D28:F28"/>
    <mergeCell ref="D29:F29"/>
    <mergeCell ref="D27:F27"/>
    <mergeCell ref="D33:F33"/>
    <mergeCell ref="B16:F16"/>
  </mergeCells>
  <dataValidations count="2">
    <dataValidation type="list" sqref="B5" xr:uid="{00000000-0002-0000-0300-000000000000}">
      <formula1>$AS$5:$AS$10</formula1>
    </dataValidation>
    <dataValidation type="list" sqref="B10" xr:uid="{00000000-0002-0000-0300-000001000000}">
      <formula1>"SI,NO"</formula1>
    </dataValidation>
  </dataValidations>
  <pageMargins left="0.75" right="0.75" top="1" bottom="1" header="0.5" footer="0.5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2000000}">
          <x14:formula1>
            <xm:f>'Datos guía'!$K$5:$K$21</xm:f>
          </x14:formula1>
          <xm:sqref>B7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64"/>
  <sheetViews>
    <sheetView topLeftCell="A70" workbookViewId="0">
      <selection activeCell="B8" sqref="B8"/>
    </sheetView>
  </sheetViews>
  <sheetFormatPr baseColWidth="10" defaultColWidth="9.140625" defaultRowHeight="15" x14ac:dyDescent="0.25"/>
  <cols>
    <col min="1" max="1" width="44" customWidth="1"/>
    <col min="2" max="2" width="30" customWidth="1"/>
    <col min="3" max="6" width="13" customWidth="1"/>
    <col min="7" max="7" width="2" customWidth="1"/>
    <col min="45" max="45" width="30" customWidth="1"/>
    <col min="46" max="53" width="9" customWidth="1"/>
  </cols>
  <sheetData>
    <row r="1" spans="1:53" ht="18" x14ac:dyDescent="0.25">
      <c r="A1" s="1" t="s">
        <v>136</v>
      </c>
    </row>
    <row r="2" spans="1:53" x14ac:dyDescent="0.25">
      <c r="A2" s="2" t="s">
        <v>71</v>
      </c>
    </row>
    <row r="3" spans="1:53" x14ac:dyDescent="0.25">
      <c r="AS3" s="17" t="s">
        <v>72</v>
      </c>
    </row>
    <row r="4" spans="1:53" x14ac:dyDescent="0.25">
      <c r="A4" s="3" t="s">
        <v>73</v>
      </c>
      <c r="B4" s="3" t="s">
        <v>3</v>
      </c>
      <c r="AS4" s="18" t="s">
        <v>74</v>
      </c>
      <c r="AT4" s="18" t="s">
        <v>75</v>
      </c>
      <c r="AU4" s="18" t="s">
        <v>137</v>
      </c>
      <c r="AV4" s="18" t="s">
        <v>138</v>
      </c>
      <c r="AW4" s="18" t="s">
        <v>139</v>
      </c>
      <c r="AX4" s="18" t="s">
        <v>140</v>
      </c>
      <c r="AY4" s="18" t="s">
        <v>141</v>
      </c>
      <c r="AZ4" s="18" t="s">
        <v>79</v>
      </c>
      <c r="BA4" s="18" t="s">
        <v>86</v>
      </c>
    </row>
    <row r="5" spans="1:53" x14ac:dyDescent="0.25">
      <c r="A5" s="4" t="s">
        <v>88</v>
      </c>
      <c r="B5" s="19" t="s">
        <v>142</v>
      </c>
      <c r="AS5" s="20" t="s">
        <v>142</v>
      </c>
      <c r="AT5" s="20">
        <v>0</v>
      </c>
      <c r="AU5" s="20">
        <v>0.5</v>
      </c>
      <c r="AV5" s="20">
        <v>50</v>
      </c>
      <c r="AW5" s="20">
        <v>50</v>
      </c>
      <c r="AX5" s="20">
        <v>0.01</v>
      </c>
      <c r="AY5" s="20">
        <v>0</v>
      </c>
      <c r="AZ5" s="20">
        <v>0.01</v>
      </c>
      <c r="BA5" s="20">
        <v>2</v>
      </c>
    </row>
    <row r="6" spans="1:53" x14ac:dyDescent="0.25">
      <c r="A6" s="4" t="s">
        <v>90</v>
      </c>
      <c r="B6" s="21">
        <v>1</v>
      </c>
      <c r="AS6" s="20" t="s">
        <v>143</v>
      </c>
      <c r="AT6" s="20">
        <v>0</v>
      </c>
      <c r="AU6" s="20">
        <v>0.5</v>
      </c>
      <c r="AV6" s="20">
        <v>50</v>
      </c>
      <c r="AW6" s="20">
        <v>50</v>
      </c>
      <c r="AX6" s="20">
        <v>0.01</v>
      </c>
      <c r="AY6" s="20">
        <v>1</v>
      </c>
      <c r="AZ6" s="20">
        <v>1E-3</v>
      </c>
      <c r="BA6" s="20">
        <v>3</v>
      </c>
    </row>
    <row r="7" spans="1:53" x14ac:dyDescent="0.25">
      <c r="A7" s="4" t="s">
        <v>144</v>
      </c>
      <c r="B7" s="21">
        <v>0</v>
      </c>
      <c r="AS7" s="20" t="s">
        <v>145</v>
      </c>
      <c r="AT7" s="20">
        <v>1</v>
      </c>
      <c r="AU7" s="20">
        <v>2.5000000000000001E-2</v>
      </c>
      <c r="AV7" s="20">
        <v>40</v>
      </c>
      <c r="AW7" s="20">
        <v>25</v>
      </c>
      <c r="AX7" s="20">
        <v>1E-3</v>
      </c>
      <c r="AY7" s="20">
        <v>0</v>
      </c>
      <c r="AZ7" s="20">
        <v>1E-3</v>
      </c>
      <c r="BA7" s="20">
        <v>3</v>
      </c>
    </row>
    <row r="8" spans="1:53" x14ac:dyDescent="0.25">
      <c r="A8" s="4" t="s">
        <v>92</v>
      </c>
      <c r="B8" s="19" t="s">
        <v>433</v>
      </c>
      <c r="AS8" s="20" t="s">
        <v>146</v>
      </c>
      <c r="AT8" s="20">
        <v>1</v>
      </c>
      <c r="AU8" s="20">
        <v>2.5000000000000001E-2</v>
      </c>
      <c r="AV8" s="20">
        <v>40</v>
      </c>
      <c r="AW8" s="20">
        <v>25</v>
      </c>
      <c r="AX8" s="20">
        <v>1E-3</v>
      </c>
      <c r="AY8" s="20">
        <v>1</v>
      </c>
      <c r="AZ8" s="20">
        <v>1E-4</v>
      </c>
      <c r="BA8" s="20">
        <v>4</v>
      </c>
    </row>
    <row r="9" spans="1:53" x14ac:dyDescent="0.25">
      <c r="A9" s="3" t="s">
        <v>95</v>
      </c>
      <c r="B9" s="3" t="s">
        <v>3</v>
      </c>
    </row>
    <row r="10" spans="1:53" x14ac:dyDescent="0.25">
      <c r="A10" s="4" t="s">
        <v>97</v>
      </c>
      <c r="B10" s="5"/>
    </row>
    <row r="11" spans="1:53" x14ac:dyDescent="0.25">
      <c r="A11" s="4" t="s">
        <v>99</v>
      </c>
      <c r="B11" s="5" t="s">
        <v>100</v>
      </c>
    </row>
    <row r="13" spans="1:53" ht="15.75" x14ac:dyDescent="0.25">
      <c r="A13" s="22" t="str">
        <f>IF($B$64=0,"Ese número no está en el banco elegido: use del "&amp;$B$63&amp;" al "&amp;($B$63+19),IF(B10="","Escriba su lectura en la celda B10",IF(OR(ABS(B10-$B$51)&lt;$B$47/2,ABS(ROUNDDOWN(B10,$B$53)-$B$51)&lt;$B$47/100),"¡Correcto! Lectura bien hecha","Revise la lectura: siga los pasos del solucionario")))</f>
        <v>Ese número no está en el banco elegido: use del 41 al 60</v>
      </c>
    </row>
    <row r="14" spans="1:53" x14ac:dyDescent="0.25">
      <c r="A14" s="49" t="str">
        <f>IF($B$56=1,"Ejercicio "&amp;$B$6&amp;" · "&amp;$B$8&amp;" (mismo valor que el solucionario de la guía)","Ejercicio aleatorio n.º "&amp;$B$6)</f>
        <v>Ejercicio 1 · Guía 03 · Tabla 19 · 0,0001" · ej. 41-60 (mismo valor que el solucionario de la guía)</v>
      </c>
    </row>
    <row r="15" spans="1:53" x14ac:dyDescent="0.25">
      <c r="A15" s="56" t="s">
        <v>102</v>
      </c>
      <c r="B15" s="53"/>
      <c r="C15" s="53"/>
      <c r="D15" s="53"/>
      <c r="E15" s="53"/>
      <c r="F15" s="54"/>
    </row>
    <row r="16" spans="1:53" ht="30" customHeight="1" x14ac:dyDescent="0.25">
      <c r="A16" s="23" t="str">
        <f>IF($B$11="SI","1. Alcance inicial","")</f>
        <v/>
      </c>
      <c r="B16" s="55" t="str">
        <f>IF($B$11="SI","El micrómetro empieza en "&amp;Micrómetro!$B$58&amp;IF(Micrómetro!$B$41=1," pulg"," mm"),"")</f>
        <v/>
      </c>
      <c r="C16" s="53"/>
      <c r="D16" s="53"/>
      <c r="E16" s="53"/>
      <c r="F16" s="54"/>
    </row>
    <row r="17" spans="1:56" ht="30" customHeight="1" x14ac:dyDescent="0.25">
      <c r="A17" s="23" t="str">
        <f>IF($B$11="SI","2. Vaina (cilindro)","")</f>
        <v/>
      </c>
      <c r="B17" s="55" t="str">
        <f>IF($B$11="SI","Se ven "&amp;Micrómetro!$B$48&amp;" divisiones de "&amp;FIXED(Micrómetro!$B$42,IF(Micrómetro!$B$41=1,3,1),TRUE)&amp;IF(Micrómetro!$B$41=1," pulg"," mm")&amp;" → "&amp;FIXED(Micrómetro!$B$48*Micrómetro!$B$42,IF(Micrómetro!$B$41=1,3,1),TRUE)&amp;IF(Micrómetro!$B$41=1," pulg"," mm")&amp;IF(Micrómetro!$B$41=0," (enteros arriba y medios milímetros abajo de la línea)"," (cada número de la vaina = 0,100 pulg)"),"")</f>
        <v/>
      </c>
      <c r="C17" s="53"/>
      <c r="D17" s="53"/>
      <c r="E17" s="53"/>
      <c r="F17" s="54"/>
    </row>
    <row r="18" spans="1:56" ht="30" customHeight="1" x14ac:dyDescent="0.25">
      <c r="A18" s="23" t="str">
        <f>IF($B$11="SI","3. Tambor","")</f>
        <v/>
      </c>
      <c r="B18" s="55" t="str">
        <f>IF($B$11="SI","La línea "&amp;Micrómetro!$B$49&amp;" del tambor coincide con la línea de referencia → "&amp;Micrómetro!$B$49&amp;" × "&amp;FIXED(Micrómetro!$B$45,IF(Micrómetro!$B$41=1,3,2),TRUE)&amp;" = "&amp;FIXED(Micrómetro!$B$49*Micrómetro!$B$45,IF(Micrómetro!$B$41=1,3,2),TRUE)&amp;IF(Micrómetro!$B$41=1," pulg"," mm"),"")</f>
        <v/>
      </c>
      <c r="C18" s="53"/>
      <c r="D18" s="53"/>
      <c r="E18" s="53"/>
      <c r="F18" s="54"/>
    </row>
    <row r="19" spans="1:56" ht="30" customHeight="1" x14ac:dyDescent="0.25">
      <c r="A19" s="23" t="str">
        <f>IF($B$11="SI","4. Nonio","")</f>
        <v/>
      </c>
      <c r="B19" s="55" t="str">
        <f>IF($B$11="SI",IF(Micrómetro!$B$46=0,"Este micrómetro no tiene nonio","La línea "&amp;Micrómetro!$B$50&amp;" del nonio coincide con una línea del tambor → "&amp;Micrómetro!$B$50&amp;" × "&amp;FIXED(Micrómetro!$B$47,Micrómetro!$B$53,TRUE)&amp;" = "&amp;FIXED(Micrómetro!$B$50*Micrómetro!$B$47,Micrómetro!$B$53,TRUE)&amp;IF(Micrómetro!$B$41=1," pulg"," mm")),"")</f>
        <v/>
      </c>
      <c r="C19" s="53"/>
      <c r="D19" s="53"/>
      <c r="E19" s="53"/>
      <c r="F19" s="54"/>
    </row>
    <row r="20" spans="1:56" ht="30" customHeight="1" x14ac:dyDescent="0.25">
      <c r="A20" s="23" t="str">
        <f>IF($B$11="SI","5. Lectura","")</f>
        <v/>
      </c>
      <c r="B20" s="55" t="str">
        <f>IF($B$11="SI",Micrómetro!$B$58&amp;" + "&amp;FIXED(Micrómetro!$B$48*Micrómetro!$B$42,IF(Micrómetro!$B$41=1,3,1),TRUE)&amp;" + "&amp;FIXED(Micrómetro!$B$49*Micrómetro!$B$45,IF(Micrómetro!$B$41=1,3,2),TRUE)&amp;IF(Micrómetro!$B$46=1," + "&amp;FIXED(Micrómetro!$B$50*Micrómetro!$B$47,Micrómetro!$B$53,TRUE),"")&amp;" = "&amp;FIXED(Micrómetro!$B$51,Micrómetro!$B$53,TRUE)&amp;IF(Micrómetro!$B$41=1," pulg"," mm"),"")</f>
        <v/>
      </c>
      <c r="C20" s="53"/>
      <c r="D20" s="53"/>
      <c r="E20" s="53"/>
      <c r="F20" s="54"/>
    </row>
    <row r="21" spans="1:56" ht="30" customHeight="1" x14ac:dyDescent="0.25">
      <c r="A21" s="23" t="str">
        <f>IF($B$11="SI","6. Interpretación","")</f>
        <v/>
      </c>
      <c r="B21" s="55" t="str">
        <f>IF($B$11="SI","El alcance de este micrómetro es "&amp;$B$58&amp;"–"&amp;($B$58+IF($B$41=1,1,25))&amp;IF($B$41=1," in"," mm")&amp;"; el tambor dejó a la vista "&amp;$B$48&amp;" divisiones de la vaina, la marca "&amp;$B$49&amp;" del tambor coincide con la línea de referencia"&amp;IF($B$46=1," y la línea "&amp;$B$50&amp;" del nonio coincide con una línea del tambor","")&amp;". Lectura: "&amp;FIXED($B$51,$B$53,TRUE)&amp;IF($B$41=1," in"," mm")&amp;IF(ISNUMBER($B$61)," (Stefanelli estima además la cifra siguiente: "&amp;FIXED($B$61,$B$53+1,TRUE)&amp;")",""),"")</f>
        <v/>
      </c>
      <c r="C21" s="53"/>
      <c r="D21" s="53"/>
      <c r="E21" s="53"/>
      <c r="F21" s="54"/>
    </row>
    <row r="22" spans="1:56" x14ac:dyDescent="0.25">
      <c r="A22" s="3" t="s">
        <v>103</v>
      </c>
      <c r="B22" s="3" t="s">
        <v>3</v>
      </c>
    </row>
    <row r="23" spans="1:56" x14ac:dyDescent="0.25">
      <c r="A23" s="4" t="s">
        <v>104</v>
      </c>
      <c r="B23" s="21">
        <v>1</v>
      </c>
    </row>
    <row r="25" spans="1:56" x14ac:dyDescent="0.25">
      <c r="A25" s="3" t="s">
        <v>105</v>
      </c>
      <c r="B25" s="3" t="s">
        <v>106</v>
      </c>
      <c r="C25" s="3" t="s">
        <v>107</v>
      </c>
      <c r="D25" s="56" t="s">
        <v>108</v>
      </c>
      <c r="E25" s="53"/>
      <c r="F25" s="54"/>
      <c r="BC25" t="s">
        <v>109</v>
      </c>
      <c r="BD25" t="s">
        <v>110</v>
      </c>
    </row>
    <row r="26" spans="1:56" x14ac:dyDescent="0.25">
      <c r="A26" s="24">
        <f>IF($B$56=1,$B$63+($B$23-1)*10+0,($B$23-1)*10+1)</f>
        <v>41</v>
      </c>
      <c r="B26" s="25"/>
      <c r="C26" s="24" t="str">
        <f t="shared" ref="C26:C35" si="0">IF(B26="","",IF(BC26="","—",IF(OR(ABS(B26-BC26)&lt;$B$47/2,ABS(ROUNDDOWN(B26,$B$53)-BC26)&lt;$B$47/100),"Correcto","Incorrecto")))</f>
        <v/>
      </c>
      <c r="D26" s="52" t="str">
        <f t="shared" ref="D26:D35" si="1">IF($B$11="SI",BD26,"")</f>
        <v/>
      </c>
      <c r="E26" s="53"/>
      <c r="F26" s="54"/>
      <c r="BC26">
        <f>IF($B$56=1,IFERROR(INDEX('Datos guía'!$E$5:$E$544,MATCH($B$8&amp;"|"&amp;$A26,'Datos guía'!$A$5:$A$544,0)),""),$B$58+MOD($A26*7919+104729,$B$43)*$B$42+MOD($A26*15485863+7,$B$44)*$B$45+$B$46*MOD($A26*31+17,10)*$B$45/10)</f>
        <v>6.4180999999999999</v>
      </c>
      <c r="BD26" t="str">
        <f>IF($B$56=1,IFERROR(INDEX('Datos guía'!$F$5:$F$544,MATCH($B$8&amp;"|"&amp;$A26,'Datos guía'!$A$5:$A$544,0)),"No está en el banco"),FIXED(BC26,$B$53,TRUE)&amp;IF($B$41=1," pulg"," mm"))</f>
        <v>6,4181 in</v>
      </c>
    </row>
    <row r="27" spans="1:56" x14ac:dyDescent="0.25">
      <c r="A27" s="24">
        <f>IF($B$56=1,$B$63+($B$23-1)*10+1,($B$23-1)*10+2)</f>
        <v>42</v>
      </c>
      <c r="B27" s="25"/>
      <c r="C27" s="24" t="str">
        <f t="shared" si="0"/>
        <v/>
      </c>
      <c r="D27" s="52" t="str">
        <f t="shared" si="1"/>
        <v/>
      </c>
      <c r="E27" s="53"/>
      <c r="F27" s="54"/>
      <c r="BC27">
        <f>IF($B$56=1,IFERROR(INDEX('Datos guía'!$E$5:$E$544,MATCH($B$8&amp;"|"&amp;$A27,'Datos guía'!$A$5:$A$544,0)),""),$B$58+MOD($A27*7919+104729,$B$43)*$B$42+MOD($A27*15485863+7,$B$44)*$B$45+$B$46*MOD($A27*31+17,10)*$B$45/10)</f>
        <v>19.686699999999998</v>
      </c>
      <c r="BD27" t="str">
        <f>IF($B$56=1,IFERROR(INDEX('Datos guía'!$F$5:$F$544,MATCH($B$8&amp;"|"&amp;$A27,'Datos guía'!$A$5:$A$544,0)),"No está en el banco"),FIXED(BC27,$B$53,TRUE)&amp;IF($B$41=1," pulg"," mm"))</f>
        <v>19,6867 in</v>
      </c>
    </row>
    <row r="28" spans="1:56" x14ac:dyDescent="0.25">
      <c r="A28" s="24">
        <f>IF($B$56=1,$B$63+($B$23-1)*10+2,($B$23-1)*10+3)</f>
        <v>43</v>
      </c>
      <c r="B28" s="25"/>
      <c r="C28" s="24" t="str">
        <f t="shared" si="0"/>
        <v/>
      </c>
      <c r="D28" s="52" t="str">
        <f t="shared" si="1"/>
        <v/>
      </c>
      <c r="E28" s="53"/>
      <c r="F28" s="54"/>
      <c r="BC28">
        <f>IF($B$56=1,IFERROR(INDEX('Datos guía'!$E$5:$E$544,MATCH($B$8&amp;"|"&amp;$A28,'Datos guía'!$A$5:$A$544,0)),""),$B$58+MOD($A28*7919+104729,$B$43)*$B$42+MOD($A28*15485863+7,$B$44)*$B$45+$B$46*MOD($A28*31+17,10)*$B$45/10)</f>
        <v>11.6159</v>
      </c>
      <c r="BD28" t="str">
        <f>IF($B$56=1,IFERROR(INDEX('Datos guía'!$F$5:$F$544,MATCH($B$8&amp;"|"&amp;$A28,'Datos guía'!$A$5:$A$544,0)),"No está en el banco"),FIXED(BC28,$B$53,TRUE)&amp;IF($B$41=1," pulg"," mm"))</f>
        <v>11,6159 in</v>
      </c>
    </row>
    <row r="29" spans="1:56" x14ac:dyDescent="0.25">
      <c r="A29" s="24">
        <f>IF($B$56=1,$B$63+($B$23-1)*10+3,($B$23-1)*10+4)</f>
        <v>44</v>
      </c>
      <c r="B29" s="25"/>
      <c r="C29" s="24" t="str">
        <f t="shared" si="0"/>
        <v/>
      </c>
      <c r="D29" s="52" t="str">
        <f t="shared" si="1"/>
        <v/>
      </c>
      <c r="E29" s="53"/>
      <c r="F29" s="54"/>
      <c r="BC29">
        <f>IF($B$56=1,IFERROR(INDEX('Datos guía'!$E$5:$E$544,MATCH($B$8&amp;"|"&amp;$A29,'Datos guía'!$A$5:$A$544,0)),""),$B$58+MOD($A29*7919+104729,$B$43)*$B$42+MOD($A29*15485863+7,$B$44)*$B$45+$B$46*MOD($A29*31+17,10)*$B$45/10)</f>
        <v>28.631699999999999</v>
      </c>
      <c r="BD29" t="str">
        <f>IF($B$56=1,IFERROR(INDEX('Datos guía'!$F$5:$F$544,MATCH($B$8&amp;"|"&amp;$A29,'Datos guía'!$A$5:$A$544,0)),"No está en el banco"),FIXED(BC29,$B$53,TRUE)&amp;IF($B$41=1," pulg"," mm"))</f>
        <v>28,6317 in</v>
      </c>
    </row>
    <row r="30" spans="1:56" x14ac:dyDescent="0.25">
      <c r="A30" s="24">
        <f>IF($B$56=1,$B$63+($B$23-1)*10+4,($B$23-1)*10+5)</f>
        <v>45</v>
      </c>
      <c r="B30" s="25"/>
      <c r="C30" s="24" t="str">
        <f t="shared" si="0"/>
        <v/>
      </c>
      <c r="D30" s="52" t="str">
        <f t="shared" si="1"/>
        <v/>
      </c>
      <c r="E30" s="53"/>
      <c r="F30" s="54"/>
      <c r="BC30">
        <f>IF($B$56=1,IFERROR(INDEX('Datos guía'!$E$5:$E$544,MATCH($B$8&amp;"|"&amp;$A30,'Datos guía'!$A$5:$A$544,0)),""),$B$58+MOD($A30*7919+104729,$B$43)*$B$42+MOD($A30*15485863+7,$B$44)*$B$45+$B$46*MOD($A30*31+17,10)*$B$45/10)</f>
        <v>11.825100000000001</v>
      </c>
      <c r="BD30" t="str">
        <f>IF($B$56=1,IFERROR(INDEX('Datos guía'!$F$5:$F$544,MATCH($B$8&amp;"|"&amp;$A30,'Datos guía'!$A$5:$A$544,0)),"No está en el banco"),FIXED(BC30,$B$53,TRUE)&amp;IF($B$41=1," pulg"," mm"))</f>
        <v>11,8251 in</v>
      </c>
    </row>
    <row r="31" spans="1:56" x14ac:dyDescent="0.25">
      <c r="A31" s="24">
        <f>IF($B$56=1,$B$63+($B$23-1)*10+5,($B$23-1)*10+6)</f>
        <v>46</v>
      </c>
      <c r="B31" s="25"/>
      <c r="C31" s="24" t="str">
        <f t="shared" si="0"/>
        <v/>
      </c>
      <c r="D31" s="52" t="str">
        <f t="shared" si="1"/>
        <v/>
      </c>
      <c r="E31" s="53"/>
      <c r="F31" s="54"/>
      <c r="BC31">
        <f>IF($B$56=1,IFERROR(INDEX('Datos guía'!$E$5:$E$544,MATCH($B$8&amp;"|"&amp;$A31,'Datos guía'!$A$5:$A$544,0)),""),$B$58+MOD($A31*7919+104729,$B$43)*$B$42+MOD($A31*15485863+7,$B$44)*$B$45+$B$46*MOD($A31*31+17,10)*$B$45/10)</f>
        <v>1.5995999999999999</v>
      </c>
      <c r="BD31" t="str">
        <f>IF($B$56=1,IFERROR(INDEX('Datos guía'!$F$5:$F$544,MATCH($B$8&amp;"|"&amp;$A31,'Datos guía'!$A$5:$A$544,0)),"No está en el banco"),FIXED(BC31,$B$53,TRUE)&amp;IF($B$41=1," pulg"," mm"))</f>
        <v>1,5996 in</v>
      </c>
    </row>
    <row r="32" spans="1:56" x14ac:dyDescent="0.25">
      <c r="A32" s="24">
        <f>IF($B$56=1,$B$63+($B$23-1)*10+6,($B$23-1)*10+7)</f>
        <v>47</v>
      </c>
      <c r="B32" s="25"/>
      <c r="C32" s="24" t="str">
        <f t="shared" si="0"/>
        <v/>
      </c>
      <c r="D32" s="52" t="str">
        <f t="shared" si="1"/>
        <v/>
      </c>
      <c r="E32" s="53"/>
      <c r="F32" s="54"/>
      <c r="BC32">
        <f>IF($B$56=1,IFERROR(INDEX('Datos guía'!$E$5:$E$544,MATCH($B$8&amp;"|"&amp;$A32,'Datos guía'!$A$5:$A$544,0)),""),$B$58+MOD($A32*7919+104729,$B$43)*$B$42+MOD($A32*15485863+7,$B$44)*$B$45+$B$46*MOD($A32*31+17,10)*$B$45/10)</f>
        <v>12.7951</v>
      </c>
      <c r="BD32" t="str">
        <f>IF($B$56=1,IFERROR(INDEX('Datos guía'!$F$5:$F$544,MATCH($B$8&amp;"|"&amp;$A32,'Datos guía'!$A$5:$A$544,0)),"No está en el banco"),FIXED(BC32,$B$53,TRUE)&amp;IF($B$41=1," pulg"," mm"))</f>
        <v>12,7951 in</v>
      </c>
    </row>
    <row r="33" spans="1:56" x14ac:dyDescent="0.25">
      <c r="A33" s="24">
        <f>IF($B$56=1,$B$63+($B$23-1)*10+7,($B$23-1)*10+8)</f>
        <v>48</v>
      </c>
      <c r="B33" s="25"/>
      <c r="C33" s="24" t="str">
        <f t="shared" si="0"/>
        <v/>
      </c>
      <c r="D33" s="52" t="str">
        <f t="shared" si="1"/>
        <v/>
      </c>
      <c r="E33" s="53"/>
      <c r="F33" s="54"/>
      <c r="BC33">
        <f>IF($B$56=1,IFERROR(INDEX('Datos guía'!$E$5:$E$544,MATCH($B$8&amp;"|"&amp;$A33,'Datos guía'!$A$5:$A$544,0)),""),$B$58+MOD($A33*7919+104729,$B$43)*$B$42+MOD($A33*15485863+7,$B$44)*$B$45+$B$46*MOD($A33*31+17,10)*$B$45/10)</f>
        <v>3.2418999999999998</v>
      </c>
      <c r="BD33" t="str">
        <f>IF($B$56=1,IFERROR(INDEX('Datos guía'!$F$5:$F$544,MATCH($B$8&amp;"|"&amp;$A33,'Datos guía'!$A$5:$A$544,0)),"No está en el banco"),FIXED(BC33,$B$53,TRUE)&amp;IF($B$41=1," pulg"," mm"))</f>
        <v>3,2419 in</v>
      </c>
    </row>
    <row r="34" spans="1:56" x14ac:dyDescent="0.25">
      <c r="A34" s="24">
        <f>IF($B$56=1,$B$63+($B$23-1)*10+8,($B$23-1)*10+9)</f>
        <v>49</v>
      </c>
      <c r="B34" s="25"/>
      <c r="C34" s="24" t="str">
        <f t="shared" si="0"/>
        <v/>
      </c>
      <c r="D34" s="52" t="str">
        <f t="shared" si="1"/>
        <v/>
      </c>
      <c r="E34" s="53"/>
      <c r="F34" s="54"/>
      <c r="BC34">
        <f>IF($B$56=1,IFERROR(INDEX('Datos guía'!$E$5:$E$544,MATCH($B$8&amp;"|"&amp;$A34,'Datos guía'!$A$5:$A$544,0)),""),$B$58+MOD($A34*7919+104729,$B$43)*$B$42+MOD($A34*15485863+7,$B$44)*$B$45+$B$46*MOD($A34*31+17,10)*$B$45/10)</f>
        <v>9.3003999999999998</v>
      </c>
      <c r="BD34" t="str">
        <f>IF($B$56=1,IFERROR(INDEX('Datos guía'!$F$5:$F$544,MATCH($B$8&amp;"|"&amp;$A34,'Datos guía'!$A$5:$A$544,0)),"No está en el banco"),FIXED(BC34,$B$53,TRUE)&amp;IF($B$41=1," pulg"," mm"))</f>
        <v>9,3004 in</v>
      </c>
    </row>
    <row r="35" spans="1:56" x14ac:dyDescent="0.25">
      <c r="A35" s="24">
        <f>IF($B$56=1,$B$63+($B$23-1)*10+9,($B$23-1)*10+10)</f>
        <v>50</v>
      </c>
      <c r="B35" s="25"/>
      <c r="C35" s="24" t="str">
        <f t="shared" si="0"/>
        <v/>
      </c>
      <c r="D35" s="52" t="str">
        <f t="shared" si="1"/>
        <v/>
      </c>
      <c r="E35" s="53"/>
      <c r="F35" s="54"/>
      <c r="BC35">
        <f>IF($B$56=1,IFERROR(INDEX('Datos guía'!$E$5:$E$544,MATCH($B$8&amp;"|"&amp;$A35,'Datos guía'!$A$5:$A$544,0)),""),$B$58+MOD($A35*7919+104729,$B$43)*$B$42+MOD($A35*15485863+7,$B$44)*$B$45+$B$46*MOD($A35*31+17,10)*$B$45/10)</f>
        <v>27.4711</v>
      </c>
      <c r="BD35" t="str">
        <f>IF($B$56=1,IFERROR(INDEX('Datos guía'!$F$5:$F$544,MATCH($B$8&amp;"|"&amp;$A35,'Datos guía'!$A$5:$A$544,0)),"No está en el banco"),FIXED(BC35,$B$53,TRUE)&amp;IF($B$41=1," pulg"," mm"))</f>
        <v>27,4711 in</v>
      </c>
    </row>
    <row r="37" spans="1:56" x14ac:dyDescent="0.25">
      <c r="A37" s="27" t="str">
        <f>COUNTIF(C26:C35,"Correcto")&amp;" de 10 correctas"</f>
        <v>0 de 10 correctas</v>
      </c>
    </row>
    <row r="40" spans="1:56" x14ac:dyDescent="0.25">
      <c r="A40" s="3" t="s">
        <v>111</v>
      </c>
      <c r="B40" s="3" t="s">
        <v>3</v>
      </c>
    </row>
    <row r="41" spans="1:56" x14ac:dyDescent="0.25">
      <c r="A41" s="28" t="s">
        <v>112</v>
      </c>
      <c r="B41" s="29">
        <f>INDEX($AT$5:$AT$8,MATCH($B$59,$AS$5:$AS$8,0))</f>
        <v>0</v>
      </c>
    </row>
    <row r="42" spans="1:56" x14ac:dyDescent="0.25">
      <c r="A42" s="28" t="s">
        <v>147</v>
      </c>
      <c r="B42" s="33">
        <f>INDEX($AU$5:$AU$8,MATCH($B$59,$AS$5:$AS$8,0))</f>
        <v>0.5</v>
      </c>
    </row>
    <row r="43" spans="1:56" x14ac:dyDescent="0.25">
      <c r="A43" s="28" t="s">
        <v>148</v>
      </c>
      <c r="B43" s="29">
        <f>INDEX($AV$5:$AV$8,MATCH($B$59,$AS$5:$AS$8,0))</f>
        <v>50</v>
      </c>
    </row>
    <row r="44" spans="1:56" x14ac:dyDescent="0.25">
      <c r="A44" s="28" t="s">
        <v>149</v>
      </c>
      <c r="B44" s="29">
        <f>INDEX($AW$5:$AW$8,MATCH($B$59,$AS$5:$AS$8,0))</f>
        <v>50</v>
      </c>
    </row>
    <row r="45" spans="1:56" x14ac:dyDescent="0.25">
      <c r="A45" s="28" t="s">
        <v>150</v>
      </c>
      <c r="B45" s="33">
        <f>INDEX($AX$5:$AX$8,MATCH($B$59,$AS$5:$AS$8,0))</f>
        <v>0.01</v>
      </c>
    </row>
    <row r="46" spans="1:56" x14ac:dyDescent="0.25">
      <c r="A46" s="28" t="s">
        <v>151</v>
      </c>
      <c r="B46" s="29">
        <f>INDEX($AY$5:$AY$8,MATCH($B$59,$AS$5:$AS$8,0))</f>
        <v>0</v>
      </c>
    </row>
    <row r="47" spans="1:56" x14ac:dyDescent="0.25">
      <c r="A47" s="28" t="s">
        <v>152</v>
      </c>
      <c r="B47" s="30">
        <f>INDEX($AZ$5:$AZ$8,MATCH($B$59,$AS$5:$AS$8,0))</f>
        <v>0.01</v>
      </c>
    </row>
    <row r="48" spans="1:56" x14ac:dyDescent="0.25">
      <c r="A48" s="28" t="s">
        <v>153</v>
      </c>
      <c r="B48" s="32">
        <f>IF(AND($B$56=1,$B$64=1),INT($B$62/ROUND($B$42/$B$47,0)),MOD($B$6*7919+104729,B43))</f>
        <v>48</v>
      </c>
    </row>
    <row r="49" spans="1:2" x14ac:dyDescent="0.25">
      <c r="A49" s="28" t="s">
        <v>154</v>
      </c>
      <c r="B49" s="32">
        <f>IF(AND($B$56=1,$B$64=1),INT(MOD($B$62,ROUND($B$42/$B$47,0))/ROUND($B$45/$B$47,0)),MOD($B$6*15485863+7,B44))</f>
        <v>20</v>
      </c>
    </row>
    <row r="50" spans="1:2" x14ac:dyDescent="0.25">
      <c r="A50" s="28" t="s">
        <v>155</v>
      </c>
      <c r="B50" s="32">
        <f>IF(AND($B$56=1,$B$64=1),$B$46*MOD($B$62,ROUND($B$45/$B$47,0)),B46*MOD($B$6*31+17,10))</f>
        <v>0</v>
      </c>
    </row>
    <row r="51" spans="1:2" x14ac:dyDescent="0.25">
      <c r="A51" s="28" t="s">
        <v>120</v>
      </c>
      <c r="B51" s="32">
        <f>$B$58+B48*B42+B49*B45+B50*B45/10</f>
        <v>24.2</v>
      </c>
    </row>
    <row r="52" spans="1:2" x14ac:dyDescent="0.25">
      <c r="A52" s="28" t="s">
        <v>156</v>
      </c>
      <c r="B52" s="33">
        <f>B48+(B49+B50/10)/B44</f>
        <v>48.4</v>
      </c>
    </row>
    <row r="53" spans="1:2" x14ac:dyDescent="0.25">
      <c r="A53" s="28" t="s">
        <v>157</v>
      </c>
      <c r="B53" s="29">
        <f>INDEX($BA$5:$BA$8,MATCH($B$59,$AS$5:$AS$8,0))</f>
        <v>2</v>
      </c>
    </row>
    <row r="54" spans="1:2" x14ac:dyDescent="0.25">
      <c r="A54" s="28" t="s">
        <v>158</v>
      </c>
      <c r="B54" s="34">
        <f>B49+B50/10</f>
        <v>20</v>
      </c>
    </row>
    <row r="56" spans="1:2" x14ac:dyDescent="0.25">
      <c r="A56" s="28" t="s">
        <v>129</v>
      </c>
      <c r="B56" s="34">
        <f>IF($B$8="Aleatorio (generado por el simulador)",0,1)</f>
        <v>1</v>
      </c>
    </row>
    <row r="57" spans="1:2" x14ac:dyDescent="0.25">
      <c r="A57" s="28" t="s">
        <v>131</v>
      </c>
      <c r="B57" s="34" t="str">
        <f>$B$8&amp;"|"&amp;$B$6</f>
        <v>Guía 03 · Tabla 19 · 0,0001" · ej. 41-60|1</v>
      </c>
    </row>
    <row r="58" spans="1:2" x14ac:dyDescent="0.25">
      <c r="A58" s="28" t="s">
        <v>159</v>
      </c>
      <c r="B58" s="34">
        <f>IF(AND($B$56=1,ISNUMBER($B$60)),INDEX('Datos guía'!$H$5:$H$544,MATCH($B$57,'Datos guía'!$A$5:$A$544,0)),$B$7)</f>
        <v>0</v>
      </c>
    </row>
    <row r="59" spans="1:2" x14ac:dyDescent="0.25">
      <c r="A59" s="28" t="s">
        <v>130</v>
      </c>
      <c r="B59" s="34" t="str">
        <f>IF($B$56=1,IFERROR(INDEX('Datos guía'!$D$5:$D$544,MATCH($B$57,'Datos guía'!$A$5:$A$544,0)),$B$5),$B$5)</f>
        <v>Milímetro · 0,01 mm</v>
      </c>
    </row>
    <row r="60" spans="1:2" x14ac:dyDescent="0.25">
      <c r="A60" s="28" t="s">
        <v>132</v>
      </c>
      <c r="B60" s="34" t="str">
        <f>IF($B$56=1,IFERROR(INDEX('Datos guía'!$E$5:$E$544,MATCH($B$57,'Datos guía'!$A$5:$A$544,0)),""),"")</f>
        <v/>
      </c>
    </row>
    <row r="61" spans="1:2" x14ac:dyDescent="0.25">
      <c r="A61" s="28" t="s">
        <v>160</v>
      </c>
      <c r="B61" s="34" t="str">
        <f>IF($B$56=1,IFERROR(1/(1/INDEX('Datos guía'!$G$5:$G$544,MATCH($B$57,'Datos guía'!$A$5:$A$544,0))),""),"")</f>
        <v/>
      </c>
    </row>
    <row r="62" spans="1:2" x14ac:dyDescent="0.25">
      <c r="A62" s="28" t="s">
        <v>161</v>
      </c>
      <c r="B62" s="34">
        <f>IF(ISNUMBER($B$60),ROUND(($B$60-$B$58)/$B$47,0),0)</f>
        <v>0</v>
      </c>
    </row>
    <row r="63" spans="1:2" x14ac:dyDescent="0.25">
      <c r="A63" s="28" t="s">
        <v>135</v>
      </c>
      <c r="B63" s="34">
        <f>INDEX('Datos guía'!$O$5:$O$16,MATCH($B$8,'Datos guía'!$N$5:$N$16,0))</f>
        <v>41</v>
      </c>
    </row>
    <row r="64" spans="1:2" x14ac:dyDescent="0.25">
      <c r="A64" s="28" t="s">
        <v>133</v>
      </c>
      <c r="B64" s="34">
        <f>IF($B$56=0,1,IF(ISNUMBER($B$60),1,0))</f>
        <v>0</v>
      </c>
    </row>
  </sheetData>
  <mergeCells count="18">
    <mergeCell ref="D35:F35"/>
    <mergeCell ref="A15:F15"/>
    <mergeCell ref="D26:F26"/>
    <mergeCell ref="D30:F30"/>
    <mergeCell ref="D25:F25"/>
    <mergeCell ref="B17:F17"/>
    <mergeCell ref="B18:F18"/>
    <mergeCell ref="D34:F34"/>
    <mergeCell ref="B16:F16"/>
    <mergeCell ref="B20:F20"/>
    <mergeCell ref="D31:F31"/>
    <mergeCell ref="D32:F32"/>
    <mergeCell ref="B19:F19"/>
    <mergeCell ref="B21:F21"/>
    <mergeCell ref="D28:F28"/>
    <mergeCell ref="D29:F29"/>
    <mergeCell ref="D27:F27"/>
    <mergeCell ref="D33:F33"/>
  </mergeCells>
  <dataValidations count="2">
    <dataValidation type="list" sqref="B5" xr:uid="{00000000-0002-0000-0400-000000000000}">
      <formula1>$AS$5:$AS$8</formula1>
    </dataValidation>
    <dataValidation type="list" sqref="B11" xr:uid="{00000000-0002-0000-0400-000001000000}">
      <formula1>"SI,NO"</formula1>
    </dataValidation>
  </dataValidations>
  <pageMargins left="0.75" right="0.75" top="1" bottom="1" header="0.5" footer="0.5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2000000}">
          <x14:formula1>
            <xm:f>'Datos guía'!$N$5:$N$16</xm:f>
          </x14:formula1>
          <xm:sqref>B8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47"/>
  <sheetViews>
    <sheetView tabSelected="1" workbookViewId="0"/>
  </sheetViews>
  <sheetFormatPr baseColWidth="10" defaultColWidth="9.140625" defaultRowHeight="15" x14ac:dyDescent="0.25"/>
  <cols>
    <col min="1" max="1" width="44" customWidth="1"/>
    <col min="2" max="2" width="30" customWidth="1"/>
    <col min="3" max="6" width="13" customWidth="1"/>
    <col min="7" max="7" width="2" customWidth="1"/>
    <col min="45" max="45" width="30" customWidth="1"/>
    <col min="46" max="49" width="9" customWidth="1"/>
  </cols>
  <sheetData>
    <row r="1" spans="1:49" ht="18" x14ac:dyDescent="0.25">
      <c r="A1" s="1" t="s">
        <v>162</v>
      </c>
    </row>
    <row r="2" spans="1:49" x14ac:dyDescent="0.25">
      <c r="A2" s="2" t="s">
        <v>71</v>
      </c>
    </row>
    <row r="3" spans="1:49" x14ac:dyDescent="0.25">
      <c r="AS3" s="17" t="s">
        <v>72</v>
      </c>
    </row>
    <row r="4" spans="1:49" x14ac:dyDescent="0.25">
      <c r="A4" s="3" t="s">
        <v>73</v>
      </c>
      <c r="B4" s="3" t="s">
        <v>3</v>
      </c>
      <c r="AS4" s="18" t="s">
        <v>74</v>
      </c>
      <c r="AT4" s="18" t="s">
        <v>75</v>
      </c>
      <c r="AU4" s="18" t="s">
        <v>79</v>
      </c>
      <c r="AV4" s="18" t="s">
        <v>163</v>
      </c>
      <c r="AW4" s="18" t="s">
        <v>86</v>
      </c>
    </row>
    <row r="5" spans="1:49" x14ac:dyDescent="0.25">
      <c r="A5" s="4" t="s">
        <v>164</v>
      </c>
      <c r="B5" s="19" t="s">
        <v>165</v>
      </c>
      <c r="AS5" s="20" t="s">
        <v>165</v>
      </c>
      <c r="AT5" s="20">
        <v>0</v>
      </c>
      <c r="AU5" s="20">
        <v>0.01</v>
      </c>
      <c r="AV5" s="20">
        <v>1</v>
      </c>
      <c r="AW5" s="20">
        <v>2</v>
      </c>
    </row>
    <row r="6" spans="1:49" x14ac:dyDescent="0.25">
      <c r="A6" s="4" t="s">
        <v>166</v>
      </c>
      <c r="B6" s="21">
        <v>1</v>
      </c>
      <c r="AS6" s="20" t="s">
        <v>167</v>
      </c>
      <c r="AT6" s="20">
        <v>1</v>
      </c>
      <c r="AU6" s="20">
        <v>1E-3</v>
      </c>
      <c r="AV6" s="20">
        <v>0.1</v>
      </c>
      <c r="AW6" s="20">
        <v>3</v>
      </c>
    </row>
    <row r="8" spans="1:49" x14ac:dyDescent="0.25">
      <c r="A8" s="3" t="s">
        <v>95</v>
      </c>
      <c r="B8" s="3" t="s">
        <v>3</v>
      </c>
    </row>
    <row r="9" spans="1:49" x14ac:dyDescent="0.25">
      <c r="A9" s="4" t="s">
        <v>97</v>
      </c>
      <c r="B9" s="5"/>
    </row>
    <row r="10" spans="1:49" x14ac:dyDescent="0.25">
      <c r="A10" s="4" t="s">
        <v>99</v>
      </c>
      <c r="B10" s="5" t="s">
        <v>100</v>
      </c>
    </row>
    <row r="12" spans="1:49" ht="15.75" x14ac:dyDescent="0.25">
      <c r="A12" s="22" t="str">
        <f>IF(B9="","Escriba su lectura en la celda B9",IF(ABS(B9-$B$46)&lt;$B$42/2,"¡Correcto! Lectura bien hecha","Revise la lectura: siga los pasos del solucionario"))</f>
        <v>Escriba su lectura en la celda B9</v>
      </c>
    </row>
    <row r="14" spans="1:49" x14ac:dyDescent="0.25">
      <c r="A14" s="56" t="s">
        <v>102</v>
      </c>
      <c r="B14" s="53"/>
      <c r="C14" s="53"/>
      <c r="D14" s="53"/>
      <c r="E14" s="53"/>
      <c r="F14" s="54"/>
    </row>
    <row r="15" spans="1:49" ht="30" customHeight="1" x14ac:dyDescent="0.25">
      <c r="A15" s="23" t="str">
        <f>IF($B$10="SI","1. Cuentavueltas","")</f>
        <v/>
      </c>
      <c r="B15" s="55" t="str">
        <f>IF($B$10="SI","La aguja pequeña pasó "&amp;'Reloj comparador'!$B$44&amp;" vueltas de "&amp;FIXED('Reloj comparador'!$B$43,IF('Reloj comparador'!$B$41=1,3,0),TRUE)&amp;IF('Reloj comparador'!$B$41=1," pulg"," mm")&amp;" → "&amp;FIXED('Reloj comparador'!$B$44*'Reloj comparador'!$B$43,'Reloj comparador'!$B$47,TRUE)&amp;IF('Reloj comparador'!$B$41=1," pulg"," mm"),"")</f>
        <v/>
      </c>
      <c r="C15" s="53"/>
      <c r="D15" s="53"/>
      <c r="E15" s="53"/>
      <c r="F15" s="54"/>
    </row>
    <row r="16" spans="1:49" ht="30" customHeight="1" x14ac:dyDescent="0.25">
      <c r="A16" s="23" t="str">
        <f>IF($B$10="SI","2. Aguja grande","")</f>
        <v/>
      </c>
      <c r="B16" s="55" t="str">
        <f>IF($B$10="SI","La aguja grande marca "&amp;'Reloj comparador'!$B$45&amp;" divisiones × "&amp;FIXED('Reloj comparador'!$B$42,'Reloj comparador'!$B$47,TRUE)&amp;" = "&amp;FIXED('Reloj comparador'!$B$45*'Reloj comparador'!$B$42,'Reloj comparador'!$B$47,TRUE)&amp;IF('Reloj comparador'!$B$41=1," pulg"," mm"),"")</f>
        <v/>
      </c>
      <c r="C16" s="53"/>
      <c r="D16" s="53"/>
      <c r="E16" s="53"/>
      <c r="F16" s="54"/>
    </row>
    <row r="17" spans="1:6" ht="30" customHeight="1" x14ac:dyDescent="0.25">
      <c r="A17" s="23" t="str">
        <f>IF($B$10="SI","3. Lectura","")</f>
        <v/>
      </c>
      <c r="B17" s="55" t="str">
        <f>IF($B$10="SI",FIXED('Reloj comparador'!$B$44*'Reloj comparador'!$B$43,'Reloj comparador'!$B$47,TRUE)&amp;" + "&amp;FIXED('Reloj comparador'!$B$45*'Reloj comparador'!$B$42,'Reloj comparador'!$B$47,TRUE)&amp;" = "&amp;FIXED('Reloj comparador'!$B$46,'Reloj comparador'!$B$47,TRUE)&amp;IF('Reloj comparador'!$B$41=1," pulg"," mm"),"")</f>
        <v/>
      </c>
      <c r="C17" s="53"/>
      <c r="D17" s="53"/>
      <c r="E17" s="53"/>
      <c r="F17" s="54"/>
    </row>
    <row r="18" spans="1:6" ht="30" customHeight="1" x14ac:dyDescent="0.25">
      <c r="A18" s="23" t="str">
        <f>IF($B$10="SI","Recuerde","")</f>
        <v/>
      </c>
      <c r="B18" s="55" t="str">
        <f>IF($B$10="SI","El reloj mide desplazamientos respecto al cero ajustado: excentricidad, juego axial, saliente o planitud","")</f>
        <v/>
      </c>
      <c r="C18" s="53"/>
      <c r="D18" s="53"/>
      <c r="E18" s="53"/>
      <c r="F18" s="54"/>
    </row>
    <row r="20" spans="1:6" x14ac:dyDescent="0.25">
      <c r="A20" s="3" t="s">
        <v>103</v>
      </c>
      <c r="B20" s="3" t="s">
        <v>3</v>
      </c>
    </row>
    <row r="21" spans="1:6" x14ac:dyDescent="0.25">
      <c r="A21" s="4" t="s">
        <v>168</v>
      </c>
      <c r="B21" s="21">
        <v>1</v>
      </c>
    </row>
    <row r="23" spans="1:6" x14ac:dyDescent="0.25">
      <c r="A23" s="3" t="s">
        <v>105</v>
      </c>
      <c r="B23" s="3" t="s">
        <v>106</v>
      </c>
      <c r="C23" s="3" t="s">
        <v>107</v>
      </c>
      <c r="D23" s="56" t="s">
        <v>108</v>
      </c>
      <c r="E23" s="53"/>
      <c r="F23" s="54"/>
    </row>
    <row r="24" spans="1:6" x14ac:dyDescent="0.25">
      <c r="A24" s="24">
        <f>($B$21-1)*10+1</f>
        <v>1</v>
      </c>
      <c r="B24" s="25"/>
      <c r="C24" s="24" t="str">
        <f t="shared" ref="C24:C33" si="0">IF(B24="","",IF(ABS(B24-(MOD($A24*7919+11,10)*$B$43+MOD($A24*104729+7,100)*$B$42))&lt;$B$42/2,"Correcto","Incorrecto"))</f>
        <v/>
      </c>
      <c r="D24" s="52" t="str">
        <f>IF($B$10="SI",FIXED(MOD($A24*7919+11,10)*$B$43+MOD($A24*104729+7,100)*$B$42,$B$47,TRUE)&amp;IF('Reloj comparador'!$B$41=1," pulg"," mm"),"")</f>
        <v/>
      </c>
      <c r="E24" s="53"/>
      <c r="F24" s="54"/>
    </row>
    <row r="25" spans="1:6" x14ac:dyDescent="0.25">
      <c r="A25" s="24">
        <f>($B$21-1)*10+2</f>
        <v>2</v>
      </c>
      <c r="B25" s="25"/>
      <c r="C25" s="24" t="str">
        <f t="shared" si="0"/>
        <v/>
      </c>
      <c r="D25" s="52" t="str">
        <f>IF($B$10="SI",FIXED(MOD($A25*7919+11,10)*$B$43+MOD($A25*104729+7,100)*$B$42,$B$47,TRUE)&amp;IF('Reloj comparador'!$B$41=1," pulg"," mm"),"")</f>
        <v/>
      </c>
      <c r="E25" s="53"/>
      <c r="F25" s="54"/>
    </row>
    <row r="26" spans="1:6" x14ac:dyDescent="0.25">
      <c r="A26" s="24">
        <f>($B$21-1)*10+3</f>
        <v>3</v>
      </c>
      <c r="B26" s="25"/>
      <c r="C26" s="24" t="str">
        <f t="shared" si="0"/>
        <v/>
      </c>
      <c r="D26" s="52" t="str">
        <f>IF($B$10="SI",FIXED(MOD($A26*7919+11,10)*$B$43+MOD($A26*104729+7,100)*$B$42,$B$47,TRUE)&amp;IF('Reloj comparador'!$B$41=1," pulg"," mm"),"")</f>
        <v/>
      </c>
      <c r="E26" s="53"/>
      <c r="F26" s="54"/>
    </row>
    <row r="27" spans="1:6" x14ac:dyDescent="0.25">
      <c r="A27" s="24">
        <f>($B$21-1)*10+4</f>
        <v>4</v>
      </c>
      <c r="B27" s="25"/>
      <c r="C27" s="24" t="str">
        <f t="shared" si="0"/>
        <v/>
      </c>
      <c r="D27" s="52" t="str">
        <f>IF($B$10="SI",FIXED(MOD($A27*7919+11,10)*$B$43+MOD($A27*104729+7,100)*$B$42,$B$47,TRUE)&amp;IF('Reloj comparador'!$B$41=1," pulg"," mm"),"")</f>
        <v/>
      </c>
      <c r="E27" s="53"/>
      <c r="F27" s="54"/>
    </row>
    <row r="28" spans="1:6" x14ac:dyDescent="0.25">
      <c r="A28" s="24">
        <f>($B$21-1)*10+5</f>
        <v>5</v>
      </c>
      <c r="B28" s="25"/>
      <c r="C28" s="24" t="str">
        <f t="shared" si="0"/>
        <v/>
      </c>
      <c r="D28" s="52" t="str">
        <f>IF($B$10="SI",FIXED(MOD($A28*7919+11,10)*$B$43+MOD($A28*104729+7,100)*$B$42,$B$47,TRUE)&amp;IF('Reloj comparador'!$B$41=1," pulg"," mm"),"")</f>
        <v/>
      </c>
      <c r="E28" s="53"/>
      <c r="F28" s="54"/>
    </row>
    <row r="29" spans="1:6" x14ac:dyDescent="0.25">
      <c r="A29" s="24">
        <f>($B$21-1)*10+6</f>
        <v>6</v>
      </c>
      <c r="B29" s="25"/>
      <c r="C29" s="24" t="str">
        <f t="shared" si="0"/>
        <v/>
      </c>
      <c r="D29" s="52" t="str">
        <f>IF($B$10="SI",FIXED(MOD($A29*7919+11,10)*$B$43+MOD($A29*104729+7,100)*$B$42,$B$47,TRUE)&amp;IF('Reloj comparador'!$B$41=1," pulg"," mm"),"")</f>
        <v/>
      </c>
      <c r="E29" s="53"/>
      <c r="F29" s="54"/>
    </row>
    <row r="30" spans="1:6" x14ac:dyDescent="0.25">
      <c r="A30" s="24">
        <f>($B$21-1)*10+7</f>
        <v>7</v>
      </c>
      <c r="B30" s="25"/>
      <c r="C30" s="24" t="str">
        <f t="shared" si="0"/>
        <v/>
      </c>
      <c r="D30" s="52" t="str">
        <f>IF($B$10="SI",FIXED(MOD($A30*7919+11,10)*$B$43+MOD($A30*104729+7,100)*$B$42,$B$47,TRUE)&amp;IF('Reloj comparador'!$B$41=1," pulg"," mm"),"")</f>
        <v/>
      </c>
      <c r="E30" s="53"/>
      <c r="F30" s="54"/>
    </row>
    <row r="31" spans="1:6" x14ac:dyDescent="0.25">
      <c r="A31" s="24">
        <f>($B$21-1)*10+8</f>
        <v>8</v>
      </c>
      <c r="B31" s="25"/>
      <c r="C31" s="24" t="str">
        <f t="shared" si="0"/>
        <v/>
      </c>
      <c r="D31" s="52" t="str">
        <f>IF($B$10="SI",FIXED(MOD($A31*7919+11,10)*$B$43+MOD($A31*104729+7,100)*$B$42,$B$47,TRUE)&amp;IF('Reloj comparador'!$B$41=1," pulg"," mm"),"")</f>
        <v/>
      </c>
      <c r="E31" s="53"/>
      <c r="F31" s="54"/>
    </row>
    <row r="32" spans="1:6" x14ac:dyDescent="0.25">
      <c r="A32" s="24">
        <f>($B$21-1)*10+9</f>
        <v>9</v>
      </c>
      <c r="B32" s="25"/>
      <c r="C32" s="24" t="str">
        <f t="shared" si="0"/>
        <v/>
      </c>
      <c r="D32" s="52" t="str">
        <f>IF($B$10="SI",FIXED(MOD($A32*7919+11,10)*$B$43+MOD($A32*104729+7,100)*$B$42,$B$47,TRUE)&amp;IF('Reloj comparador'!$B$41=1," pulg"," mm"),"")</f>
        <v/>
      </c>
      <c r="E32" s="53"/>
      <c r="F32" s="54"/>
    </row>
    <row r="33" spans="1:6" x14ac:dyDescent="0.25">
      <c r="A33" s="24">
        <f>($B$21-1)*10+10</f>
        <v>10</v>
      </c>
      <c r="B33" s="25"/>
      <c r="C33" s="24" t="str">
        <f t="shared" si="0"/>
        <v/>
      </c>
      <c r="D33" s="52" t="str">
        <f>IF($B$10="SI",FIXED(MOD($A33*7919+11,10)*$B$43+MOD($A33*104729+7,100)*$B$42,$B$47,TRUE)&amp;IF('Reloj comparador'!$B$41=1," pulg"," mm"),"")</f>
        <v/>
      </c>
      <c r="E33" s="53"/>
      <c r="F33" s="54"/>
    </row>
    <row r="35" spans="1:6" x14ac:dyDescent="0.25">
      <c r="A35" s="27" t="str">
        <f>COUNTIF(C24:C33,"Correcto")&amp;" de 10 correctas"</f>
        <v>0 de 10 correctas</v>
      </c>
    </row>
    <row r="40" spans="1:6" x14ac:dyDescent="0.25">
      <c r="A40" s="3" t="s">
        <v>111</v>
      </c>
      <c r="B40" s="3" t="s">
        <v>3</v>
      </c>
    </row>
    <row r="41" spans="1:6" x14ac:dyDescent="0.25">
      <c r="A41" s="28" t="s">
        <v>112</v>
      </c>
      <c r="B41" s="29">
        <f>INDEX($AT$5:$AT$6,MATCH($B$5,$AS$5:$AS$6,0))</f>
        <v>0</v>
      </c>
    </row>
    <row r="42" spans="1:6" x14ac:dyDescent="0.25">
      <c r="A42" s="28" t="s">
        <v>169</v>
      </c>
      <c r="B42" s="33">
        <f>INDEX($AU$5:$AU$6,MATCH($B$5,$AS$5:$AS$6,0))</f>
        <v>0.01</v>
      </c>
    </row>
    <row r="43" spans="1:6" x14ac:dyDescent="0.25">
      <c r="A43" s="28" t="s">
        <v>170</v>
      </c>
      <c r="B43" s="34">
        <f>INDEX($AV$5:$AV$6,MATCH($B$5,$AS$5:$AS$6,0))</f>
        <v>1</v>
      </c>
    </row>
    <row r="44" spans="1:6" x14ac:dyDescent="0.25">
      <c r="A44" s="28" t="s">
        <v>171</v>
      </c>
      <c r="B44" s="32">
        <f>MOD($B$6*7919+11,10)</f>
        <v>0</v>
      </c>
    </row>
    <row r="45" spans="1:6" x14ac:dyDescent="0.25">
      <c r="A45" s="28" t="s">
        <v>172</v>
      </c>
      <c r="B45" s="32">
        <f>MOD($B$6*104729+7,100)</f>
        <v>36</v>
      </c>
    </row>
    <row r="46" spans="1:6" x14ac:dyDescent="0.25">
      <c r="A46" s="28" t="s">
        <v>120</v>
      </c>
      <c r="B46" s="32">
        <f>B44*B43+B45*B42</f>
        <v>0.36</v>
      </c>
    </row>
    <row r="47" spans="1:6" x14ac:dyDescent="0.25">
      <c r="A47" s="28" t="s">
        <v>157</v>
      </c>
      <c r="B47" s="29">
        <f>INDEX($AW$5:$AW$6,MATCH($B$5,$AS$5:$AS$6,0))</f>
        <v>2</v>
      </c>
    </row>
  </sheetData>
  <mergeCells count="16">
    <mergeCell ref="A14:F14"/>
    <mergeCell ref="B15:F15"/>
    <mergeCell ref="D23:F23"/>
    <mergeCell ref="D31:F31"/>
    <mergeCell ref="D32:F32"/>
    <mergeCell ref="D26:F26"/>
    <mergeCell ref="D30:F30"/>
    <mergeCell ref="D25:F25"/>
    <mergeCell ref="B17:F17"/>
    <mergeCell ref="B18:F18"/>
    <mergeCell ref="D24:F24"/>
    <mergeCell ref="D28:F28"/>
    <mergeCell ref="D29:F29"/>
    <mergeCell ref="D27:F27"/>
    <mergeCell ref="D33:F33"/>
    <mergeCell ref="B16:F16"/>
  </mergeCells>
  <dataValidations count="2">
    <dataValidation type="list" sqref="B5" xr:uid="{00000000-0002-0000-0500-000000000000}">
      <formula1>$AS$5:$AS$6</formula1>
    </dataValidation>
    <dataValidation type="list" sqref="B10" xr:uid="{00000000-0002-0000-0500-000001000000}">
      <formula1>"SI,NO"</formula1>
    </dataValidation>
  </dataValidations>
  <pageMargins left="0.75" right="0.75" top="1" bottom="1" header="0.5" footer="0.5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46"/>
  <sheetViews>
    <sheetView workbookViewId="0"/>
  </sheetViews>
  <sheetFormatPr baseColWidth="10" defaultColWidth="9.140625" defaultRowHeight="15" x14ac:dyDescent="0.25"/>
  <cols>
    <col min="1" max="1" width="44" customWidth="1"/>
    <col min="2" max="2" width="30" customWidth="1"/>
    <col min="3" max="6" width="13" customWidth="1"/>
    <col min="7" max="7" width="2" customWidth="1"/>
    <col min="45" max="45" width="30" customWidth="1"/>
    <col min="46" max="48" width="9" customWidth="1"/>
  </cols>
  <sheetData>
    <row r="1" spans="1:48" ht="18" x14ac:dyDescent="0.25">
      <c r="A1" s="1" t="s">
        <v>173</v>
      </c>
    </row>
    <row r="2" spans="1:48" x14ac:dyDescent="0.25">
      <c r="A2" s="2" t="s">
        <v>71</v>
      </c>
    </row>
    <row r="3" spans="1:48" x14ac:dyDescent="0.25">
      <c r="A3" s="13" t="s">
        <v>174</v>
      </c>
      <c r="AS3" s="17" t="s">
        <v>72</v>
      </c>
    </row>
    <row r="4" spans="1:48" x14ac:dyDescent="0.25">
      <c r="A4" s="3" t="s">
        <v>73</v>
      </c>
      <c r="B4" s="3" t="s">
        <v>3</v>
      </c>
      <c r="AS4" s="18" t="s">
        <v>74</v>
      </c>
      <c r="AT4" s="18" t="s">
        <v>75</v>
      </c>
      <c r="AU4" s="18" t="s">
        <v>79</v>
      </c>
      <c r="AV4" s="18" t="s">
        <v>86</v>
      </c>
    </row>
    <row r="5" spans="1:48" x14ac:dyDescent="0.25">
      <c r="A5" s="4" t="s">
        <v>164</v>
      </c>
      <c r="B5" s="19" t="s">
        <v>142</v>
      </c>
      <c r="AS5" s="20" t="s">
        <v>142</v>
      </c>
      <c r="AT5" s="20">
        <v>0</v>
      </c>
      <c r="AU5" s="20">
        <v>0.01</v>
      </c>
      <c r="AV5" s="20">
        <v>2</v>
      </c>
    </row>
    <row r="6" spans="1:48" x14ac:dyDescent="0.25">
      <c r="A6" s="4" t="s">
        <v>166</v>
      </c>
      <c r="B6" s="21">
        <v>1</v>
      </c>
      <c r="AS6" s="20" t="s">
        <v>145</v>
      </c>
      <c r="AT6" s="20">
        <v>1</v>
      </c>
      <c r="AU6" s="20">
        <v>1E-3</v>
      </c>
      <c r="AV6" s="20">
        <v>3</v>
      </c>
    </row>
    <row r="7" spans="1:48" x14ac:dyDescent="0.25">
      <c r="A7" s="4" t="s">
        <v>175</v>
      </c>
      <c r="B7" s="35">
        <v>74</v>
      </c>
    </row>
    <row r="8" spans="1:48" x14ac:dyDescent="0.25">
      <c r="A8" s="4" t="s">
        <v>176</v>
      </c>
      <c r="B8" s="36">
        <v>2.9129999999999998</v>
      </c>
    </row>
    <row r="10" spans="1:48" x14ac:dyDescent="0.25">
      <c r="A10" s="3" t="s">
        <v>95</v>
      </c>
      <c r="B10" s="3" t="s">
        <v>3</v>
      </c>
    </row>
    <row r="11" spans="1:48" x14ac:dyDescent="0.25">
      <c r="A11" s="4" t="s">
        <v>97</v>
      </c>
      <c r="B11" s="5"/>
    </row>
    <row r="12" spans="1:48" x14ac:dyDescent="0.25">
      <c r="A12" s="4" t="s">
        <v>99</v>
      </c>
      <c r="B12" s="5" t="s">
        <v>100</v>
      </c>
    </row>
    <row r="14" spans="1:48" ht="15.75" x14ac:dyDescent="0.25">
      <c r="A14" s="22" t="str">
        <f>IF(B11="","Escriba su lectura en la celda B11",IF(ABS(B11-$B$45)&lt;$B$42/2,"¡Correcto! Lectura bien hecha","Revise la lectura: siga los pasos del solucionario"))</f>
        <v>Escriba su lectura en la celda B11</v>
      </c>
    </row>
    <row r="16" spans="1:48" x14ac:dyDescent="0.25">
      <c r="A16" s="56" t="s">
        <v>102</v>
      </c>
      <c r="B16" s="53"/>
      <c r="C16" s="53"/>
      <c r="D16" s="53"/>
      <c r="E16" s="53"/>
      <c r="F16" s="54"/>
    </row>
    <row r="17" spans="1:6" ht="30" customHeight="1" x14ac:dyDescent="0.25">
      <c r="A17" s="23" t="str">
        <f>IF($B$12="SI","1. Referencia","")</f>
        <v/>
      </c>
      <c r="B17" s="55" t="str">
        <f>IF($B$12="SI","El alexómetro se puso a cero con el micrómetro en "&amp;FIXED(Alexómetro!$B$43,Alexómetro!$B$46,TRUE)&amp;IF(Alexómetro!$B$41=1," pulg"," mm"),"")</f>
        <v/>
      </c>
      <c r="C17" s="53"/>
      <c r="D17" s="53"/>
      <c r="E17" s="53"/>
      <c r="F17" s="54"/>
    </row>
    <row r="18" spans="1:6" ht="30" customHeight="1" x14ac:dyDescent="0.25">
      <c r="A18" s="23" t="str">
        <f>IF($B$12="SI","2. Sentido de la aguja","")</f>
        <v/>
      </c>
      <c r="B18" s="55" t="str">
        <f>IF($B$12="SI",IF(Alexómetro!$B$44&gt;=0,"La aguja giró en sentido ANTIHORARIO: el cilindro es MAYOR que la referencia","La aguja giró en sentido HORARIO: el cilindro es MENOR que la referencia"),"")</f>
        <v/>
      </c>
      <c r="C18" s="53"/>
      <c r="D18" s="53"/>
      <c r="E18" s="53"/>
      <c r="F18" s="54"/>
    </row>
    <row r="19" spans="1:6" ht="30" customHeight="1" x14ac:dyDescent="0.25">
      <c r="A19" s="23" t="str">
        <f>IF($B$12="SI","3. Desviación","")</f>
        <v/>
      </c>
      <c r="B19" s="55" t="str">
        <f>IF($B$12="SI",ABS(Alexómetro!$B$44)&amp;" divisiones × "&amp;FIXED(Alexómetro!$B$42,Alexómetro!$B$46,TRUE)&amp;" = "&amp;IF(Alexómetro!$B$44&gt;=0,"+","−")&amp;FIXED(ABS(Alexómetro!$B$44)*Alexómetro!$B$42,Alexómetro!$B$46,TRUE)&amp;IF(Alexómetro!$B$41=1," pulg"," mm"),"")</f>
        <v/>
      </c>
      <c r="C19" s="53"/>
      <c r="D19" s="53"/>
      <c r="E19" s="53"/>
      <c r="F19" s="54"/>
    </row>
    <row r="20" spans="1:6" ht="30" customHeight="1" x14ac:dyDescent="0.25">
      <c r="A20" s="23" t="str">
        <f>IF($B$12="SI","4. Diámetro","")</f>
        <v/>
      </c>
      <c r="B20" s="55" t="str">
        <f>IF($B$12="SI",FIXED(Alexómetro!$B$43,Alexómetro!$B$46,TRUE)&amp;IF(Alexómetro!$B$44&gt;=0," + "," − ")&amp;FIXED(ABS(Alexómetro!$B$44)*Alexómetro!$B$42,Alexómetro!$B$46,TRUE)&amp;" = "&amp;FIXED(Alexómetro!$B$45,Alexómetro!$B$46,TRUE)&amp;IF(Alexómetro!$B$41=1," pulg"," mm"),"")</f>
        <v/>
      </c>
      <c r="C20" s="53"/>
      <c r="D20" s="53"/>
      <c r="E20" s="53"/>
      <c r="F20" s="54"/>
    </row>
    <row r="21" spans="1:6" ht="30" customHeight="1" x14ac:dyDescent="0.25">
      <c r="A21" s="23" t="str">
        <f>IF($B$12="SI","Recuerde","")</f>
        <v/>
      </c>
      <c r="B21" s="55" t="str">
        <f>IF($B$12="SI","Balancee el alexómetro y lea el punto de retorno de la aguja (lectura mínima): es la medida perpendicular al eje del cilindro","")</f>
        <v/>
      </c>
      <c r="C21" s="53"/>
      <c r="D21" s="53"/>
      <c r="E21" s="53"/>
      <c r="F21" s="54"/>
    </row>
    <row r="23" spans="1:6" x14ac:dyDescent="0.25">
      <c r="A23" s="3" t="s">
        <v>103</v>
      </c>
      <c r="B23" s="3" t="s">
        <v>3</v>
      </c>
    </row>
    <row r="24" spans="1:6" x14ac:dyDescent="0.25">
      <c r="A24" s="4" t="s">
        <v>168</v>
      </c>
      <c r="B24" s="21">
        <v>1</v>
      </c>
    </row>
    <row r="26" spans="1:6" x14ac:dyDescent="0.25">
      <c r="A26" s="3" t="s">
        <v>105</v>
      </c>
      <c r="B26" s="3" t="s">
        <v>106</v>
      </c>
      <c r="C26" s="3" t="s">
        <v>107</v>
      </c>
      <c r="D26" s="56" t="s">
        <v>108</v>
      </c>
      <c r="E26" s="53"/>
      <c r="F26" s="54"/>
    </row>
    <row r="27" spans="1:6" x14ac:dyDescent="0.25">
      <c r="A27" s="24">
        <f>($B$24-1)*10+1</f>
        <v>1</v>
      </c>
      <c r="B27" s="25"/>
      <c r="C27" s="24" t="str">
        <f t="shared" ref="C27:C36" si="0">IF(B27="","",IF(ABS(B27-($B$43+(MOD($A27*7919+3,41)-20)*$B$42))&lt;$B$42/2,"Correcto","Incorrecto"))</f>
        <v/>
      </c>
      <c r="D27" s="52" t="str">
        <f>IF($B$12="SI",FIXED($B$43+(MOD($A27*7919+3,41)-20)*$B$42,$B$46,TRUE)&amp;IF(Alexómetro!$B$41=1," pulg"," mm"),"")</f>
        <v/>
      </c>
      <c r="E27" s="53"/>
      <c r="F27" s="54"/>
    </row>
    <row r="28" spans="1:6" x14ac:dyDescent="0.25">
      <c r="A28" s="24">
        <f>($B$24-1)*10+2</f>
        <v>2</v>
      </c>
      <c r="B28" s="25"/>
      <c r="C28" s="24" t="str">
        <f t="shared" si="0"/>
        <v/>
      </c>
      <c r="D28" s="52" t="str">
        <f>IF($B$12="SI",FIXED($B$43+(MOD($A28*7919+3,41)-20)*$B$42,$B$46,TRUE)&amp;IF(Alexómetro!$B$41=1," pulg"," mm"),"")</f>
        <v/>
      </c>
      <c r="E28" s="53"/>
      <c r="F28" s="54"/>
    </row>
    <row r="29" spans="1:6" x14ac:dyDescent="0.25">
      <c r="A29" s="24">
        <f>($B$24-1)*10+3</f>
        <v>3</v>
      </c>
      <c r="B29" s="25"/>
      <c r="C29" s="24" t="str">
        <f t="shared" si="0"/>
        <v/>
      </c>
      <c r="D29" s="52" t="str">
        <f>IF($B$12="SI",FIXED($B$43+(MOD($A29*7919+3,41)-20)*$B$42,$B$46,TRUE)&amp;IF(Alexómetro!$B$41=1," pulg"," mm"),"")</f>
        <v/>
      </c>
      <c r="E29" s="53"/>
      <c r="F29" s="54"/>
    </row>
    <row r="30" spans="1:6" x14ac:dyDescent="0.25">
      <c r="A30" s="24">
        <f>($B$24-1)*10+4</f>
        <v>4</v>
      </c>
      <c r="B30" s="25"/>
      <c r="C30" s="24" t="str">
        <f t="shared" si="0"/>
        <v/>
      </c>
      <c r="D30" s="52" t="str">
        <f>IF($B$12="SI",FIXED($B$43+(MOD($A30*7919+3,41)-20)*$B$42,$B$46,TRUE)&amp;IF(Alexómetro!$B$41=1," pulg"," mm"),"")</f>
        <v/>
      </c>
      <c r="E30" s="53"/>
      <c r="F30" s="54"/>
    </row>
    <row r="31" spans="1:6" x14ac:dyDescent="0.25">
      <c r="A31" s="24">
        <f>($B$24-1)*10+5</f>
        <v>5</v>
      </c>
      <c r="B31" s="25"/>
      <c r="C31" s="24" t="str">
        <f t="shared" si="0"/>
        <v/>
      </c>
      <c r="D31" s="52" t="str">
        <f>IF($B$12="SI",FIXED($B$43+(MOD($A31*7919+3,41)-20)*$B$42,$B$46,TRUE)&amp;IF(Alexómetro!$B$41=1," pulg"," mm"),"")</f>
        <v/>
      </c>
      <c r="E31" s="53"/>
      <c r="F31" s="54"/>
    </row>
    <row r="32" spans="1:6" x14ac:dyDescent="0.25">
      <c r="A32" s="24">
        <f>($B$24-1)*10+6</f>
        <v>6</v>
      </c>
      <c r="B32" s="25"/>
      <c r="C32" s="24" t="str">
        <f t="shared" si="0"/>
        <v/>
      </c>
      <c r="D32" s="52" t="str">
        <f>IF($B$12="SI",FIXED($B$43+(MOD($A32*7919+3,41)-20)*$B$42,$B$46,TRUE)&amp;IF(Alexómetro!$B$41=1," pulg"," mm"),"")</f>
        <v/>
      </c>
      <c r="E32" s="53"/>
      <c r="F32" s="54"/>
    </row>
    <row r="33" spans="1:6" x14ac:dyDescent="0.25">
      <c r="A33" s="24">
        <f>($B$24-1)*10+7</f>
        <v>7</v>
      </c>
      <c r="B33" s="25"/>
      <c r="C33" s="24" t="str">
        <f t="shared" si="0"/>
        <v/>
      </c>
      <c r="D33" s="52" t="str">
        <f>IF($B$12="SI",FIXED($B$43+(MOD($A33*7919+3,41)-20)*$B$42,$B$46,TRUE)&amp;IF(Alexómetro!$B$41=1," pulg"," mm"),"")</f>
        <v/>
      </c>
      <c r="E33" s="53"/>
      <c r="F33" s="54"/>
    </row>
    <row r="34" spans="1:6" x14ac:dyDescent="0.25">
      <c r="A34" s="24">
        <f>($B$24-1)*10+8</f>
        <v>8</v>
      </c>
      <c r="B34" s="25"/>
      <c r="C34" s="24" t="str">
        <f t="shared" si="0"/>
        <v/>
      </c>
      <c r="D34" s="52" t="str">
        <f>IF($B$12="SI",FIXED($B$43+(MOD($A34*7919+3,41)-20)*$B$42,$B$46,TRUE)&amp;IF(Alexómetro!$B$41=1," pulg"," mm"),"")</f>
        <v/>
      </c>
      <c r="E34" s="53"/>
      <c r="F34" s="54"/>
    </row>
    <row r="35" spans="1:6" x14ac:dyDescent="0.25">
      <c r="A35" s="24">
        <f>($B$24-1)*10+9</f>
        <v>9</v>
      </c>
      <c r="B35" s="25"/>
      <c r="C35" s="24" t="str">
        <f t="shared" si="0"/>
        <v/>
      </c>
      <c r="D35" s="52" t="str">
        <f>IF($B$12="SI",FIXED($B$43+(MOD($A35*7919+3,41)-20)*$B$42,$B$46,TRUE)&amp;IF(Alexómetro!$B$41=1," pulg"," mm"),"")</f>
        <v/>
      </c>
      <c r="E35" s="53"/>
      <c r="F35" s="54"/>
    </row>
    <row r="36" spans="1:6" x14ac:dyDescent="0.25">
      <c r="A36" s="24">
        <f>($B$24-1)*10+10</f>
        <v>10</v>
      </c>
      <c r="B36" s="25"/>
      <c r="C36" s="24" t="str">
        <f t="shared" si="0"/>
        <v/>
      </c>
      <c r="D36" s="52" t="str">
        <f>IF($B$12="SI",FIXED($B$43+(MOD($A36*7919+3,41)-20)*$B$42,$B$46,TRUE)&amp;IF(Alexómetro!$B$41=1," pulg"," mm"),"")</f>
        <v/>
      </c>
      <c r="E36" s="53"/>
      <c r="F36" s="54"/>
    </row>
    <row r="38" spans="1:6" x14ac:dyDescent="0.25">
      <c r="A38" s="27" t="str">
        <f>COUNTIF(C27:C36,"Correcto")&amp;" de 10 correctas"</f>
        <v>0 de 10 correctas</v>
      </c>
    </row>
    <row r="40" spans="1:6" x14ac:dyDescent="0.25">
      <c r="A40" s="3" t="s">
        <v>111</v>
      </c>
      <c r="B40" s="3" t="s">
        <v>3</v>
      </c>
    </row>
    <row r="41" spans="1:6" x14ac:dyDescent="0.25">
      <c r="A41" s="28" t="s">
        <v>112</v>
      </c>
      <c r="B41" s="29">
        <f>INDEX($AT$5:$AT$6,MATCH($B$5,$AS$5:$AS$6,0))</f>
        <v>0</v>
      </c>
    </row>
    <row r="42" spans="1:6" x14ac:dyDescent="0.25">
      <c r="A42" s="28" t="s">
        <v>169</v>
      </c>
      <c r="B42" s="33">
        <f>INDEX($AU$5:$AU$6,MATCH($B$5,$AS$5:$AS$6,0))</f>
        <v>0.01</v>
      </c>
    </row>
    <row r="43" spans="1:6" x14ac:dyDescent="0.25">
      <c r="A43" s="28" t="s">
        <v>177</v>
      </c>
      <c r="B43" s="33">
        <f>IF(B41=1,$B$8,$B$7)</f>
        <v>74</v>
      </c>
    </row>
    <row r="44" spans="1:6" x14ac:dyDescent="0.25">
      <c r="A44" s="28" t="s">
        <v>178</v>
      </c>
      <c r="B44" s="32">
        <f>MOD($B$6*7919+3,41)-20</f>
        <v>-11</v>
      </c>
    </row>
    <row r="45" spans="1:6" x14ac:dyDescent="0.25">
      <c r="A45" s="28" t="s">
        <v>179</v>
      </c>
      <c r="B45" s="32">
        <f>B43+B44*B42</f>
        <v>73.89</v>
      </c>
    </row>
    <row r="46" spans="1:6" x14ac:dyDescent="0.25">
      <c r="A46" s="28" t="s">
        <v>157</v>
      </c>
      <c r="B46" s="29">
        <f>INDEX($AV$5:$AV$6,MATCH($B$5,$AS$5:$AS$6,0))</f>
        <v>2</v>
      </c>
    </row>
  </sheetData>
  <mergeCells count="17">
    <mergeCell ref="D35:F35"/>
    <mergeCell ref="D36:F36"/>
    <mergeCell ref="D26:F26"/>
    <mergeCell ref="D30:F30"/>
    <mergeCell ref="B17:F17"/>
    <mergeCell ref="B18:F18"/>
    <mergeCell ref="D34:F34"/>
    <mergeCell ref="D33:F33"/>
    <mergeCell ref="B20:F20"/>
    <mergeCell ref="D31:F31"/>
    <mergeCell ref="D32:F32"/>
    <mergeCell ref="B19:F19"/>
    <mergeCell ref="B21:F21"/>
    <mergeCell ref="A16:F16"/>
    <mergeCell ref="D28:F28"/>
    <mergeCell ref="D29:F29"/>
    <mergeCell ref="D27:F27"/>
  </mergeCells>
  <dataValidations count="2">
    <dataValidation type="list" sqref="B5" xr:uid="{00000000-0002-0000-0600-000000000000}">
      <formula1>$AS$5:$AS$6</formula1>
    </dataValidation>
    <dataValidation type="list" sqref="B12" xr:uid="{00000000-0002-0000-0600-000001000000}">
      <formula1>"SI,NO"</formula1>
    </dataValidation>
  </dataValidations>
  <pageMargins left="0.75" right="0.75" top="1" bottom="1" header="0.5" footer="0.5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8"/>
  <sheetViews>
    <sheetView workbookViewId="0"/>
  </sheetViews>
  <sheetFormatPr baseColWidth="10" defaultColWidth="9.140625" defaultRowHeight="15" x14ac:dyDescent="0.25"/>
  <cols>
    <col min="1" max="1" width="52" customWidth="1"/>
    <col min="2" max="2" width="14" customWidth="1"/>
    <col min="3" max="3" width="16" customWidth="1"/>
    <col min="4" max="4" width="58" customWidth="1"/>
  </cols>
  <sheetData>
    <row r="1" spans="1:2" ht="18" x14ac:dyDescent="0.25">
      <c r="A1" s="1" t="s">
        <v>180</v>
      </c>
    </row>
    <row r="2" spans="1:2" x14ac:dyDescent="0.25">
      <c r="A2" s="2" t="s">
        <v>1</v>
      </c>
    </row>
    <row r="4" spans="1:2" x14ac:dyDescent="0.25">
      <c r="A4" s="3" t="s">
        <v>2</v>
      </c>
      <c r="B4" s="3" t="s">
        <v>3</v>
      </c>
    </row>
    <row r="5" spans="1:2" x14ac:dyDescent="0.25">
      <c r="A5" s="4" t="s">
        <v>181</v>
      </c>
      <c r="B5" s="5">
        <v>86</v>
      </c>
    </row>
    <row r="6" spans="1:2" x14ac:dyDescent="0.25">
      <c r="A6" s="4" t="s">
        <v>182</v>
      </c>
      <c r="B6" s="5">
        <v>86</v>
      </c>
    </row>
    <row r="7" spans="1:2" x14ac:dyDescent="0.25">
      <c r="A7" s="4" t="s">
        <v>30</v>
      </c>
      <c r="B7" s="5">
        <v>4</v>
      </c>
    </row>
    <row r="8" spans="1:2" x14ac:dyDescent="0.25">
      <c r="A8" s="4" t="s">
        <v>183</v>
      </c>
      <c r="B8" s="5">
        <v>10</v>
      </c>
    </row>
    <row r="9" spans="1:2" x14ac:dyDescent="0.25">
      <c r="A9" s="4" t="s">
        <v>184</v>
      </c>
      <c r="B9" s="5" t="s">
        <v>185</v>
      </c>
    </row>
    <row r="10" spans="1:2" x14ac:dyDescent="0.25">
      <c r="A10" s="4" t="s">
        <v>186</v>
      </c>
      <c r="B10" s="5">
        <v>0</v>
      </c>
    </row>
    <row r="11" spans="1:2" x14ac:dyDescent="0.25">
      <c r="A11" s="4" t="s">
        <v>36</v>
      </c>
      <c r="B11" s="5">
        <v>0.2</v>
      </c>
    </row>
    <row r="12" spans="1:2" x14ac:dyDescent="0.25">
      <c r="A12" s="4" t="s">
        <v>187</v>
      </c>
      <c r="B12" s="5">
        <v>1.25</v>
      </c>
    </row>
    <row r="13" spans="1:2" x14ac:dyDescent="0.25">
      <c r="A13" s="4" t="s">
        <v>188</v>
      </c>
      <c r="B13" s="5">
        <v>0.52</v>
      </c>
    </row>
    <row r="14" spans="1:2" x14ac:dyDescent="0.25">
      <c r="A14" s="4" t="s">
        <v>189</v>
      </c>
      <c r="B14" s="5">
        <v>10</v>
      </c>
    </row>
    <row r="15" spans="1:2" x14ac:dyDescent="0.25">
      <c r="A15" s="4" t="s">
        <v>190</v>
      </c>
      <c r="B15" s="5">
        <v>6000</v>
      </c>
    </row>
    <row r="16" spans="1:2" x14ac:dyDescent="0.25">
      <c r="A16" s="4" t="s">
        <v>191</v>
      </c>
      <c r="B16" s="5">
        <v>10.5</v>
      </c>
    </row>
    <row r="18" spans="1:4" x14ac:dyDescent="0.25">
      <c r="A18" s="3" t="s">
        <v>7</v>
      </c>
      <c r="B18" s="3" t="s">
        <v>38</v>
      </c>
      <c r="C18" s="3" t="s">
        <v>192</v>
      </c>
      <c r="D18" s="3" t="s">
        <v>8</v>
      </c>
    </row>
    <row r="19" spans="1:4" x14ac:dyDescent="0.25">
      <c r="A19" s="6" t="s">
        <v>193</v>
      </c>
      <c r="B19" s="9">
        <v>0</v>
      </c>
      <c r="C19" s="9">
        <f>IF(B9="STD",0,VALUE(B9)/1000*25.4)</f>
        <v>0.50800000000000001</v>
      </c>
      <c r="D19" s="8" t="s">
        <v>194</v>
      </c>
    </row>
    <row r="20" spans="1:4" x14ac:dyDescent="0.25">
      <c r="A20" s="6" t="s">
        <v>195</v>
      </c>
      <c r="B20" s="9">
        <f>B5</f>
        <v>86</v>
      </c>
      <c r="C20" s="9">
        <f>B5+C19</f>
        <v>86.507999999999996</v>
      </c>
    </row>
    <row r="21" spans="1:4" x14ac:dyDescent="0.25">
      <c r="A21" s="6" t="s">
        <v>196</v>
      </c>
      <c r="B21" s="10">
        <f>B6</f>
        <v>86</v>
      </c>
      <c r="C21" s="10">
        <f>B6+B10</f>
        <v>86</v>
      </c>
    </row>
    <row r="22" spans="1:4" x14ac:dyDescent="0.25">
      <c r="A22" s="6" t="s">
        <v>197</v>
      </c>
      <c r="B22" s="10">
        <f>PI()/4*(B20/10)^2</f>
        <v>58.088048164875268</v>
      </c>
      <c r="C22" s="10">
        <f>PI()/4*(C20/10)^2</f>
        <v>58.776324494041823</v>
      </c>
      <c r="D22" s="8" t="s">
        <v>198</v>
      </c>
    </row>
    <row r="23" spans="1:4" x14ac:dyDescent="0.25">
      <c r="A23" s="6" t="s">
        <v>41</v>
      </c>
      <c r="B23" s="10">
        <f>B22*B21/10</f>
        <v>499.55721421792731</v>
      </c>
      <c r="C23" s="10">
        <f>C22*C21/10</f>
        <v>505.47639064875966</v>
      </c>
      <c r="D23" s="8" t="s">
        <v>199</v>
      </c>
    </row>
    <row r="24" spans="1:4" x14ac:dyDescent="0.25">
      <c r="A24" s="6" t="s">
        <v>200</v>
      </c>
      <c r="B24" s="10">
        <f>B12</f>
        <v>1.25</v>
      </c>
      <c r="C24" s="10">
        <f>IF(OR(B13&lt;0.47,B13&gt;0.754),B12,LOOKUP(B13,'Datos trucaje'!$C$3:$C$6,'Datos trucaje'!$D$3:$D$6))</f>
        <v>1.3</v>
      </c>
      <c r="D24" s="8" t="s">
        <v>201</v>
      </c>
    </row>
    <row r="25" spans="1:4" x14ac:dyDescent="0.25">
      <c r="A25" s="6" t="s">
        <v>202</v>
      </c>
      <c r="B25" s="10">
        <f>B23/(B8-1)</f>
        <v>55.50635713532526</v>
      </c>
      <c r="C25" s="10">
        <f>B25-C22*B11/10+C22*(C24-B12)/10</f>
        <v>54.624712267914632</v>
      </c>
      <c r="D25" s="8" t="s">
        <v>203</v>
      </c>
    </row>
    <row r="26" spans="1:4" x14ac:dyDescent="0.25">
      <c r="A26" s="6" t="s">
        <v>46</v>
      </c>
      <c r="B26" s="10">
        <f>(B23+B25)/B25</f>
        <v>9.9999999999999982</v>
      </c>
      <c r="C26" s="10">
        <f>(C23+C25)/C25</f>
        <v>10.253621111440903</v>
      </c>
      <c r="D26" s="8" t="s">
        <v>204</v>
      </c>
    </row>
    <row r="27" spans="1:4" x14ac:dyDescent="0.25">
      <c r="A27" s="6" t="s">
        <v>47</v>
      </c>
      <c r="B27" s="37">
        <f>B23*B7</f>
        <v>1998.2288568717092</v>
      </c>
      <c r="C27" s="37">
        <f>C23*B7</f>
        <v>2021.9055625950386</v>
      </c>
    </row>
    <row r="28" spans="1:4" x14ac:dyDescent="0.25">
      <c r="A28" s="6" t="s">
        <v>205</v>
      </c>
      <c r="B28" s="7">
        <f>B14*B27/1000*B15/900</f>
        <v>133.21525712478061</v>
      </c>
      <c r="C28" s="7">
        <f>B14*C27/1000*B15/900</f>
        <v>134.79370417300257</v>
      </c>
      <c r="D28" s="8" t="s">
        <v>206</v>
      </c>
    </row>
    <row r="29" spans="1:4" x14ac:dyDescent="0.25">
      <c r="A29" s="6" t="s">
        <v>207</v>
      </c>
      <c r="B29" s="7">
        <f>B28*0.7457</f>
        <v>99.338617237948895</v>
      </c>
      <c r="C29" s="7">
        <f>C28*0.7457</f>
        <v>100.51566520180802</v>
      </c>
    </row>
    <row r="31" spans="1:4" x14ac:dyDescent="0.25">
      <c r="A31" s="6" t="s">
        <v>208</v>
      </c>
      <c r="B31" s="7">
        <f>C27-B27</f>
        <v>23.676705723329405</v>
      </c>
      <c r="C31" s="8" t="str">
        <f>TEXT((C27/B27-1)*100,"0.00")&amp;" % más que el original"</f>
        <v>1.18 % más que el original</v>
      </c>
    </row>
    <row r="32" spans="1:4" x14ac:dyDescent="0.25">
      <c r="A32" s="6" t="s">
        <v>209</v>
      </c>
      <c r="B32" s="9">
        <f>(C25+C22*B11/10-C23/(B16-1))/C22*10</f>
        <v>0.44102751561747838</v>
      </c>
      <c r="C32" s="8" t="s">
        <v>210</v>
      </c>
    </row>
    <row r="33" spans="1:3" x14ac:dyDescent="0.25">
      <c r="A33" s="6" t="s">
        <v>211</v>
      </c>
      <c r="B33" s="9">
        <f>B21/(B8-1)-B21/(B16-1)</f>
        <v>0.50292397660818722</v>
      </c>
      <c r="C33" s="8" t="s">
        <v>212</v>
      </c>
    </row>
    <row r="35" spans="1:3" x14ac:dyDescent="0.25">
      <c r="A35" s="38" t="str">
        <f>IF(C26&gt;11.5,"Rc modificada muy alta: riesgo de detonación; exige gasolina de alto octanaje y avance reducido",IF(C26&gt;11,"Rc modificada alta: usar gasolina súper y verificar el avance","Rc modificada dentro del rango habitual para gasolina"))</f>
        <v>Rc modificada dentro del rango habitual para gasolina</v>
      </c>
    </row>
    <row r="36" spans="1:3" x14ac:dyDescent="0.25">
      <c r="A36" s="39" t="str">
        <f>IF(OR(B13&lt;0.47,B13&gt;0.754),"El sobrepasamiento está fuera de la Tabla 2: consulte el manual del fabricante","Junta sugerida por la Tabla 2: "&amp;TEXT(C24,"0.00")&amp;" mm")</f>
        <v>Junta sugerida por la Tabla 2: 1.30 mm</v>
      </c>
    </row>
    <row r="37" spans="1:3" x14ac:dyDescent="0.25">
      <c r="A37" s="38" t="str">
        <f>IF(C19&gt;1.02,"Sobremedida mayor a 0,040 pulg: verificar el espesor de pared del cilindro o encamisar","")</f>
        <v/>
      </c>
    </row>
    <row r="38" spans="1:3" x14ac:dyDescent="0.25">
      <c r="A38" s="2" t="s">
        <v>213</v>
      </c>
    </row>
  </sheetData>
  <pageMargins left="0.75" right="0.75" top="1" bottom="1" header="0.5" footer="0.5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0000000}">
          <x14:formula1>
            <xm:f>'Datos trucaje'!$A$3:$A$9</xm:f>
          </x14:formula1>
          <xm:sqref>B9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8"/>
  <sheetViews>
    <sheetView workbookViewId="0"/>
  </sheetViews>
  <sheetFormatPr baseColWidth="10" defaultColWidth="9.140625" defaultRowHeight="15" x14ac:dyDescent="0.25"/>
  <cols>
    <col min="1" max="1" width="52" customWidth="1"/>
    <col min="2" max="2" width="14" customWidth="1"/>
    <col min="3" max="3" width="52" customWidth="1"/>
  </cols>
  <sheetData>
    <row r="1" spans="1:3" ht="18" x14ac:dyDescent="0.25">
      <c r="A1" s="1" t="s">
        <v>214</v>
      </c>
    </row>
    <row r="2" spans="1:3" x14ac:dyDescent="0.25">
      <c r="A2" s="2" t="s">
        <v>1</v>
      </c>
    </row>
    <row r="4" spans="1:3" x14ac:dyDescent="0.25">
      <c r="A4" s="3" t="s">
        <v>2</v>
      </c>
      <c r="B4" s="3" t="s">
        <v>3</v>
      </c>
    </row>
    <row r="5" spans="1:3" x14ac:dyDescent="0.25">
      <c r="A5" s="4" t="s">
        <v>41</v>
      </c>
      <c r="B5" s="5">
        <v>499.6</v>
      </c>
    </row>
    <row r="6" spans="1:3" x14ac:dyDescent="0.25">
      <c r="A6" s="4" t="s">
        <v>46</v>
      </c>
      <c r="B6" s="5">
        <v>10</v>
      </c>
    </row>
    <row r="7" spans="1:3" x14ac:dyDescent="0.25">
      <c r="A7" s="4" t="s">
        <v>215</v>
      </c>
      <c r="B7" s="5">
        <v>1.0329999999999999</v>
      </c>
    </row>
    <row r="8" spans="1:3" x14ac:dyDescent="0.25">
      <c r="A8" s="4" t="s">
        <v>216</v>
      </c>
      <c r="B8" s="5">
        <v>1.4</v>
      </c>
    </row>
    <row r="9" spans="1:3" x14ac:dyDescent="0.25">
      <c r="A9" s="4" t="s">
        <v>217</v>
      </c>
      <c r="B9" s="5">
        <v>1.3</v>
      </c>
    </row>
    <row r="10" spans="1:3" x14ac:dyDescent="0.25">
      <c r="A10" s="4" t="s">
        <v>218</v>
      </c>
      <c r="B10" s="5">
        <v>4</v>
      </c>
    </row>
    <row r="11" spans="1:3" x14ac:dyDescent="0.25">
      <c r="A11" s="4" t="s">
        <v>219</v>
      </c>
      <c r="B11" s="5">
        <v>15</v>
      </c>
    </row>
    <row r="13" spans="1:3" x14ac:dyDescent="0.25">
      <c r="A13" s="3" t="s">
        <v>7</v>
      </c>
      <c r="B13" s="3" t="s">
        <v>3</v>
      </c>
      <c r="C13" s="3" t="s">
        <v>8</v>
      </c>
    </row>
    <row r="14" spans="1:3" x14ac:dyDescent="0.25">
      <c r="A14" s="6" t="s">
        <v>220</v>
      </c>
      <c r="B14" s="10">
        <f>B5/(B6-1)</f>
        <v>55.511111111111113</v>
      </c>
      <c r="C14" s="8" t="s">
        <v>221</v>
      </c>
    </row>
    <row r="15" spans="1:3" x14ac:dyDescent="0.25">
      <c r="A15" s="6" t="s">
        <v>222</v>
      </c>
      <c r="B15" s="10">
        <f>B5+B14</f>
        <v>555.11111111111109</v>
      </c>
      <c r="C15" s="8" t="s">
        <v>223</v>
      </c>
    </row>
    <row r="16" spans="1:3" x14ac:dyDescent="0.25">
      <c r="A16" s="6" t="s">
        <v>224</v>
      </c>
      <c r="B16" s="10">
        <f>B7*B6^B8</f>
        <v>25.947786837493958</v>
      </c>
      <c r="C16" s="8" t="s">
        <v>225</v>
      </c>
    </row>
    <row r="17" spans="1:3" x14ac:dyDescent="0.25">
      <c r="A17" s="6" t="s">
        <v>226</v>
      </c>
      <c r="B17" s="10">
        <f>B16*B10</f>
        <v>103.79114734997583</v>
      </c>
      <c r="C17" s="8" t="s">
        <v>227</v>
      </c>
    </row>
    <row r="18" spans="1:3" x14ac:dyDescent="0.25">
      <c r="A18" s="6" t="s">
        <v>228</v>
      </c>
      <c r="B18" s="10">
        <f>B17/B6^B8</f>
        <v>4.1319999999999997</v>
      </c>
      <c r="C18" s="8" t="s">
        <v>229</v>
      </c>
    </row>
    <row r="19" spans="1:3" x14ac:dyDescent="0.25">
      <c r="A19" s="6" t="s">
        <v>230</v>
      </c>
      <c r="B19" s="16">
        <f>1-1/B6^(B8-1)</f>
        <v>0.60189282944650269</v>
      </c>
      <c r="C19" s="8" t="s">
        <v>231</v>
      </c>
    </row>
    <row r="20" spans="1:3" x14ac:dyDescent="0.25">
      <c r="A20" s="6" t="s">
        <v>232</v>
      </c>
      <c r="B20" s="10">
        <f>B7*B6^B9*(1-B11/100)</f>
        <v>17.519400756584254</v>
      </c>
      <c r="C20" s="8" t="s">
        <v>233</v>
      </c>
    </row>
    <row r="21" spans="1:3" x14ac:dyDescent="0.25">
      <c r="A21" s="6" t="s">
        <v>234</v>
      </c>
      <c r="B21" s="10">
        <f>B20*B10</f>
        <v>70.077603026337016</v>
      </c>
      <c r="C21" s="8" t="s">
        <v>235</v>
      </c>
    </row>
    <row r="22" spans="1:3" x14ac:dyDescent="0.25">
      <c r="A22" s="6" t="s">
        <v>236</v>
      </c>
      <c r="B22" s="7">
        <f>0.0981*'Datos Otto'!B2</f>
        <v>639.51133484535831</v>
      </c>
      <c r="C22" s="8" t="s">
        <v>237</v>
      </c>
    </row>
    <row r="23" spans="1:3" x14ac:dyDescent="0.25">
      <c r="A23" s="6" t="s">
        <v>238</v>
      </c>
      <c r="B23" s="7">
        <f>0.0981*'Datos Otto'!E2</f>
        <v>524.30426455061479</v>
      </c>
      <c r="C23" s="8" t="s">
        <v>239</v>
      </c>
    </row>
    <row r="24" spans="1:3" x14ac:dyDescent="0.25">
      <c r="A24" s="6" t="s">
        <v>240</v>
      </c>
      <c r="B24" s="10">
        <f>'Datos Otto'!B2/B5</f>
        <v>13.0483864123992</v>
      </c>
      <c r="C24" s="8" t="s">
        <v>241</v>
      </c>
    </row>
    <row r="25" spans="1:3" x14ac:dyDescent="0.25">
      <c r="A25" s="6" t="s">
        <v>242</v>
      </c>
      <c r="B25" s="10">
        <f>'Datos Otto'!E2/B5</f>
        <v>10.697737895731768</v>
      </c>
    </row>
    <row r="26" spans="1:3" x14ac:dyDescent="0.25">
      <c r="A26" s="6" t="s">
        <v>243</v>
      </c>
      <c r="B26" s="16">
        <f>B23/B22</f>
        <v>0.81985140212940555</v>
      </c>
      <c r="C26" s="8" t="s">
        <v>244</v>
      </c>
    </row>
    <row r="28" spans="1:3" x14ac:dyDescent="0.25">
      <c r="A28" s="2" t="s">
        <v>245</v>
      </c>
    </row>
  </sheetData>
  <pageMargins left="0.75" right="0.75" top="1" bottom="1" header="0.5" footer="0.5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8"/>
  <sheetViews>
    <sheetView workbookViewId="0"/>
  </sheetViews>
  <sheetFormatPr baseColWidth="10" defaultColWidth="9.140625" defaultRowHeight="15" x14ac:dyDescent="0.25"/>
  <cols>
    <col min="1" max="1" width="38" customWidth="1"/>
    <col min="2" max="2" width="14" customWidth="1"/>
    <col min="3" max="3" width="26" customWidth="1"/>
    <col min="4" max="4" width="16" customWidth="1"/>
    <col min="5" max="5" width="24" customWidth="1"/>
    <col min="6" max="6" width="16" customWidth="1"/>
    <col min="7" max="7" width="36" customWidth="1"/>
  </cols>
  <sheetData>
    <row r="1" spans="1:7" ht="18" x14ac:dyDescent="0.25">
      <c r="A1" s="1" t="s">
        <v>246</v>
      </c>
    </row>
    <row r="2" spans="1:7" x14ac:dyDescent="0.25">
      <c r="A2" s="2" t="s">
        <v>1</v>
      </c>
    </row>
    <row r="4" spans="1:7" x14ac:dyDescent="0.25">
      <c r="A4" s="3" t="s">
        <v>2</v>
      </c>
      <c r="B4" s="3" t="s">
        <v>3</v>
      </c>
    </row>
    <row r="5" spans="1:7" x14ac:dyDescent="0.25">
      <c r="A5" s="4" t="s">
        <v>30</v>
      </c>
      <c r="B5" s="5">
        <v>4</v>
      </c>
      <c r="D5" s="38" t="str">
        <f>'Datos orden'!B12</f>
        <v>Orden válido</v>
      </c>
    </row>
    <row r="6" spans="1:7" x14ac:dyDescent="0.25">
      <c r="A6" s="4" t="s">
        <v>247</v>
      </c>
      <c r="B6" s="5" t="s">
        <v>248</v>
      </c>
    </row>
    <row r="7" spans="1:7" x14ac:dyDescent="0.25">
      <c r="A7" s="4" t="s">
        <v>249</v>
      </c>
      <c r="B7" s="5">
        <v>0</v>
      </c>
    </row>
    <row r="8" spans="1:7" x14ac:dyDescent="0.25">
      <c r="A8" s="4" t="s">
        <v>250</v>
      </c>
      <c r="B8" s="5">
        <v>12</v>
      </c>
    </row>
    <row r="9" spans="1:7" x14ac:dyDescent="0.25">
      <c r="A9" s="4" t="s">
        <v>251</v>
      </c>
      <c r="B9" s="5">
        <v>48</v>
      </c>
    </row>
    <row r="10" spans="1:7" x14ac:dyDescent="0.25">
      <c r="A10" s="4" t="s">
        <v>252</v>
      </c>
      <c r="B10" s="5">
        <v>50</v>
      </c>
    </row>
    <row r="11" spans="1:7" x14ac:dyDescent="0.25">
      <c r="A11" s="4" t="s">
        <v>253</v>
      </c>
      <c r="B11" s="5">
        <v>10</v>
      </c>
    </row>
    <row r="12" spans="1:7" x14ac:dyDescent="0.25">
      <c r="A12" s="4" t="s">
        <v>254</v>
      </c>
      <c r="B12" s="5">
        <v>20</v>
      </c>
    </row>
    <row r="14" spans="1:7" x14ac:dyDescent="0.25">
      <c r="A14" s="3" t="s">
        <v>255</v>
      </c>
      <c r="B14" s="3" t="s">
        <v>256</v>
      </c>
      <c r="C14" s="3" t="s">
        <v>257</v>
      </c>
      <c r="D14" s="3" t="s">
        <v>258</v>
      </c>
      <c r="E14" s="3" t="s">
        <v>259</v>
      </c>
      <c r="F14" s="3" t="s">
        <v>260</v>
      </c>
      <c r="G14" s="3" t="s">
        <v>261</v>
      </c>
    </row>
    <row r="15" spans="1:7" x14ac:dyDescent="0.25">
      <c r="A15" s="26">
        <f>IF(1&gt;$B$5,"",1)</f>
        <v>1</v>
      </c>
      <c r="B15" s="26">
        <f>IF(A15="","",'Datos orden'!G3)</f>
        <v>0</v>
      </c>
      <c r="C15" s="26" t="str">
        <f t="shared" ref="C15:C20" si="0">IF(A15="","",IF(B15&lt;180,"Expansión (trabajo)",IF(B15&lt;360,"Escape",IF(B15&lt;540,"Admisión","Compresión"))))</f>
        <v>Expansión (trabajo)</v>
      </c>
      <c r="D15" s="26" t="str">
        <f t="shared" ref="D15:D20" si="1">IF(A15="","",IF(OR(B15=0,B15=360),"PMS",IF(OR(B15=180,B15=540),"PMI",IF(MOD(B15,360)&lt;180,"Baja","Sube"))))</f>
        <v>PMS</v>
      </c>
      <c r="E15" s="26" t="str">
        <f t="shared" ref="E15:E20" si="2">IF(A15="","",IF(AND(B15&gt;=360-$B$8,B15&lt;=540+$B$9),"Abierta","Cerrada"))</f>
        <v>Cerrada</v>
      </c>
      <c r="F15" s="26" t="str">
        <f t="shared" ref="F15:F20" si="3">IF(A15="","",IF(AND(B15&gt;=180-$B$10,B15&lt;=360+$B$11),"Abierta","Cerrada"))</f>
        <v>Cerrada</v>
      </c>
      <c r="G15" s="26" t="str">
        <f t="shared" ref="G15:G20" si="4">IF(A15="","",IF(AND(E15="Abierta",F15="Abierta"),"CRUCE de válvulas",IF(B15&lt;5,"Salta la chispa: inicio de la expansión","")))</f>
        <v>Salta la chispa: inicio de la expansión</v>
      </c>
    </row>
    <row r="16" spans="1:7" x14ac:dyDescent="0.25">
      <c r="A16" s="26">
        <f>IF(2&gt;$B$5,"",2)</f>
        <v>2</v>
      </c>
      <c r="B16" s="26">
        <f>IF(A16="","",'Datos orden'!G4)</f>
        <v>180</v>
      </c>
      <c r="C16" s="26" t="str">
        <f t="shared" si="0"/>
        <v>Escape</v>
      </c>
      <c r="D16" s="26" t="str">
        <f t="shared" si="1"/>
        <v>PMI</v>
      </c>
      <c r="E16" s="26" t="str">
        <f t="shared" si="2"/>
        <v>Cerrada</v>
      </c>
      <c r="F16" s="26" t="str">
        <f t="shared" si="3"/>
        <v>Abierta</v>
      </c>
      <c r="G16" s="26" t="str">
        <f t="shared" si="4"/>
        <v/>
      </c>
    </row>
    <row r="17" spans="1:7" x14ac:dyDescent="0.25">
      <c r="A17" s="26">
        <f>IF(3&gt;$B$5,"",3)</f>
        <v>3</v>
      </c>
      <c r="B17" s="26">
        <f>IF(A17="","",'Datos orden'!G5)</f>
        <v>540</v>
      </c>
      <c r="C17" s="26" t="str">
        <f t="shared" si="0"/>
        <v>Compresión</v>
      </c>
      <c r="D17" s="26" t="str">
        <f t="shared" si="1"/>
        <v>PMI</v>
      </c>
      <c r="E17" s="26" t="str">
        <f t="shared" si="2"/>
        <v>Abierta</v>
      </c>
      <c r="F17" s="26" t="str">
        <f t="shared" si="3"/>
        <v>Cerrada</v>
      </c>
      <c r="G17" s="26" t="str">
        <f t="shared" si="4"/>
        <v/>
      </c>
    </row>
    <row r="18" spans="1:7" x14ac:dyDescent="0.25">
      <c r="A18" s="26">
        <f>IF(4&gt;$B$5,"",4)</f>
        <v>4</v>
      </c>
      <c r="B18" s="26">
        <f>IF(A18="","",'Datos orden'!G6)</f>
        <v>360</v>
      </c>
      <c r="C18" s="26" t="str">
        <f t="shared" si="0"/>
        <v>Admisión</v>
      </c>
      <c r="D18" s="26" t="str">
        <f t="shared" si="1"/>
        <v>PMS</v>
      </c>
      <c r="E18" s="26" t="str">
        <f t="shared" si="2"/>
        <v>Abierta</v>
      </c>
      <c r="F18" s="26" t="str">
        <f t="shared" si="3"/>
        <v>Abierta</v>
      </c>
      <c r="G18" s="26" t="str">
        <f t="shared" si="4"/>
        <v>CRUCE de válvulas</v>
      </c>
    </row>
    <row r="19" spans="1:7" x14ac:dyDescent="0.25">
      <c r="A19" s="26" t="str">
        <f>IF(5&gt;$B$5,"",5)</f>
        <v/>
      </c>
      <c r="B19" s="26" t="str">
        <f>IF(A19="","",'Datos orden'!G7)</f>
        <v/>
      </c>
      <c r="C19" s="26" t="str">
        <f t="shared" si="0"/>
        <v/>
      </c>
      <c r="D19" s="26" t="str">
        <f t="shared" si="1"/>
        <v/>
      </c>
      <c r="E19" s="26" t="str">
        <f t="shared" si="2"/>
        <v/>
      </c>
      <c r="F19" s="26" t="str">
        <f t="shared" si="3"/>
        <v/>
      </c>
      <c r="G19" s="26" t="str">
        <f t="shared" si="4"/>
        <v/>
      </c>
    </row>
    <row r="20" spans="1:7" x14ac:dyDescent="0.25">
      <c r="A20" s="26" t="str">
        <f>IF(6&gt;$B$5,"",6)</f>
        <v/>
      </c>
      <c r="B20" s="26" t="str">
        <f>IF(A20="","",'Datos orden'!G8)</f>
        <v/>
      </c>
      <c r="C20" s="26" t="str">
        <f t="shared" si="0"/>
        <v/>
      </c>
      <c r="D20" s="26" t="str">
        <f t="shared" si="1"/>
        <v/>
      </c>
      <c r="E20" s="26" t="str">
        <f t="shared" si="2"/>
        <v/>
      </c>
      <c r="F20" s="26" t="str">
        <f t="shared" si="3"/>
        <v/>
      </c>
      <c r="G20" s="26" t="str">
        <f t="shared" si="4"/>
        <v/>
      </c>
    </row>
    <row r="22" spans="1:7" ht="30" x14ac:dyDescent="0.25">
      <c r="A22" s="3" t="s">
        <v>262</v>
      </c>
      <c r="B22" s="3" t="s">
        <v>263</v>
      </c>
      <c r="C22" s="3" t="s">
        <v>264</v>
      </c>
      <c r="D22" s="3" t="s">
        <v>265</v>
      </c>
      <c r="E22" s="3" t="s">
        <v>266</v>
      </c>
    </row>
    <row r="23" spans="1:7" x14ac:dyDescent="0.25">
      <c r="B23" s="26">
        <f>IF(1&gt;$B$5,"",1)</f>
        <v>1</v>
      </c>
      <c r="C23" s="26">
        <f>IF(B23="","",INDEX('Datos orden'!$B$3:$B$8,1))</f>
        <v>1</v>
      </c>
      <c r="D23" s="26">
        <f>IF(B23="","",INDEX('Datos orden'!$B$3:$B$8,MOD(1-1+$B$5/2,$B$5)+1))</f>
        <v>4</v>
      </c>
      <c r="E23" s="26" t="str">
        <f>IF(B23="","",IF(1=1,"Inicio: cilindro 1 en PMS",TEXT(720/$B$5,"0")&amp;"° de cigüeñal"))</f>
        <v>Inicio: cilindro 1 en PMS</v>
      </c>
    </row>
    <row r="24" spans="1:7" x14ac:dyDescent="0.25">
      <c r="B24" s="26">
        <f>IF(2&gt;$B$5,"",2)</f>
        <v>2</v>
      </c>
      <c r="C24" s="26">
        <f>IF(B24="","",INDEX('Datos orden'!$B$3:$B$8,2))</f>
        <v>3</v>
      </c>
      <c r="D24" s="26">
        <f>IF(B24="","",INDEX('Datos orden'!$B$3:$B$8,MOD(2-1+$B$5/2,$B$5)+1))</f>
        <v>2</v>
      </c>
      <c r="E24" s="26" t="str">
        <f>IF(B24="","",IF(2=1,"Inicio: cilindro 1 en PMS",TEXT(720/$B$5,"0")&amp;"° de cigüeñal"))</f>
        <v>180° de cigüeñal</v>
      </c>
    </row>
    <row r="25" spans="1:7" x14ac:dyDescent="0.25">
      <c r="B25" s="26">
        <f>IF(3&gt;$B$5,"",3)</f>
        <v>3</v>
      </c>
      <c r="C25" s="26">
        <f>IF(B25="","",INDEX('Datos orden'!$B$3:$B$8,3))</f>
        <v>4</v>
      </c>
      <c r="D25" s="26">
        <f>IF(B25="","",INDEX('Datos orden'!$B$3:$B$8,MOD(3-1+$B$5/2,$B$5)+1))</f>
        <v>1</v>
      </c>
      <c r="E25" s="26" t="str">
        <f>IF(B25="","",IF(3=1,"Inicio: cilindro 1 en PMS",TEXT(720/$B$5,"0")&amp;"° de cigüeñal"))</f>
        <v>180° de cigüeñal</v>
      </c>
    </row>
    <row r="26" spans="1:7" x14ac:dyDescent="0.25">
      <c r="B26" s="26">
        <f>IF(4&gt;$B$5,"",4)</f>
        <v>4</v>
      </c>
      <c r="C26" s="26">
        <f>IF(B26="","",INDEX('Datos orden'!$B$3:$B$8,4))</f>
        <v>2</v>
      </c>
      <c r="D26" s="26">
        <f>IF(B26="","",INDEX('Datos orden'!$B$3:$B$8,MOD(4-1+$B$5/2,$B$5)+1))</f>
        <v>3</v>
      </c>
      <c r="E26" s="26" t="str">
        <f>IF(B26="","",IF(4=1,"Inicio: cilindro 1 en PMS",TEXT(720/$B$5,"0")&amp;"° de cigüeñal"))</f>
        <v>180° de cigüeñal</v>
      </c>
    </row>
    <row r="27" spans="1:7" x14ac:dyDescent="0.25">
      <c r="B27" s="26" t="str">
        <f>IF(5&gt;$B$5,"",5)</f>
        <v/>
      </c>
      <c r="C27" s="26" t="str">
        <f>IF(B27="","",INDEX('Datos orden'!$B$3:$B$8,5))</f>
        <v/>
      </c>
      <c r="D27" s="26" t="str">
        <f>IF(B27="","",INDEX('Datos orden'!$B$3:$B$8,MOD(5-1+$B$5/2,$B$5)+1))</f>
        <v/>
      </c>
      <c r="E27" s="26" t="str">
        <f>IF(B27="","",IF(5=1,"Inicio: cilindro 1 en PMS",TEXT(720/$B$5,"0")&amp;"° de cigüeñal"))</f>
        <v/>
      </c>
    </row>
    <row r="28" spans="1:7" x14ac:dyDescent="0.25">
      <c r="B28" s="26" t="str">
        <f>IF(6&gt;$B$5,"",6)</f>
        <v/>
      </c>
      <c r="C28" s="26" t="str">
        <f>IF(B28="","",INDEX('Datos orden'!$B$3:$B$8,6))</f>
        <v/>
      </c>
      <c r="D28" s="26" t="str">
        <f>IF(B28="","",INDEX('Datos orden'!$B$3:$B$8,MOD(6-1+$B$5/2,$B$5)+1))</f>
        <v/>
      </c>
      <c r="E28" s="26" t="str">
        <f>IF(B28="","",IF(6=1,"Inicio: cilindro 1 en PMS",TEXT(720/$B$5,"0")&amp;"° de cigüeñal"))</f>
        <v/>
      </c>
    </row>
    <row r="30" spans="1:7" ht="30" x14ac:dyDescent="0.25">
      <c r="A30" s="3" t="s">
        <v>267</v>
      </c>
      <c r="B30" s="3" t="s">
        <v>255</v>
      </c>
      <c r="C30" s="3" t="s">
        <v>268</v>
      </c>
      <c r="D30" s="3" t="s">
        <v>269</v>
      </c>
      <c r="E30" s="3" t="s">
        <v>270</v>
      </c>
      <c r="F30" s="3" t="s">
        <v>271</v>
      </c>
    </row>
    <row r="31" spans="1:7" x14ac:dyDescent="0.25">
      <c r="B31" s="26">
        <f>IF(1&gt;$B$5,"",1)</f>
        <v>1</v>
      </c>
      <c r="C31" s="26" t="str">
        <f>IF(B31="","",IF(OR(MOD(0-'Datos orden'!F3,720)&lt;360-$B$8-$B$12,MOD(0-'Datos orden'!F3,720)&gt;540+$B$9+$B$12),"Calibrar","—"))</f>
        <v>Calibrar</v>
      </c>
      <c r="D31" s="26" t="str">
        <f>IF(B31="","",IF(OR(MOD(0-'Datos orden'!F3,720)&lt;180-$B$10-$B$12,MOD(0-'Datos orden'!F3,720)&gt;360+$B$11+$B$12),"Calibrar","—"))</f>
        <v>Calibrar</v>
      </c>
      <c r="E31" s="26" t="str">
        <f>IF(B31="","",IF(OR(MOD(360-'Datos orden'!F3,720)&lt;360-$B$8-$B$12,MOD(360-'Datos orden'!F3,720)&gt;540+$B$9+$B$12),"Calibrar","—"))</f>
        <v>—</v>
      </c>
      <c r="F31" s="26" t="str">
        <f>IF(B31="","",IF(OR(MOD(360-'Datos orden'!F3,720)&lt;180-$B$10-$B$12,MOD(360-'Datos orden'!F3,720)&gt;360+$B$11+$B$12),"Calibrar","—"))</f>
        <v>—</v>
      </c>
    </row>
    <row r="32" spans="1:7" x14ac:dyDescent="0.25">
      <c r="B32" s="26">
        <f>IF(2&gt;$B$5,"",2)</f>
        <v>2</v>
      </c>
      <c r="C32" s="26" t="str">
        <f>IF(B32="","",IF(OR(MOD(0-'Datos orden'!F4,720)&lt;360-$B$8-$B$12,MOD(0-'Datos orden'!F4,720)&gt;540+$B$9+$B$12),"Calibrar","—"))</f>
        <v>Calibrar</v>
      </c>
      <c r="D32" s="26" t="str">
        <f>IF(B32="","",IF(OR(MOD(0-'Datos orden'!F4,720)&lt;180-$B$10-$B$12,MOD(0-'Datos orden'!F4,720)&gt;360+$B$11+$B$12),"Calibrar","—"))</f>
        <v>—</v>
      </c>
      <c r="E32" s="26" t="str">
        <f>IF(B32="","",IF(OR(MOD(360-'Datos orden'!F4,720)&lt;360-$B$8-$B$12,MOD(360-'Datos orden'!F4,720)&gt;540+$B$9+$B$12),"Calibrar","—"))</f>
        <v>—</v>
      </c>
      <c r="F32" s="26" t="str">
        <f>IF(B32="","",IF(OR(MOD(360-'Datos orden'!F4,720)&lt;180-$B$10-$B$12,MOD(360-'Datos orden'!F4,720)&gt;360+$B$11+$B$12),"Calibrar","—"))</f>
        <v>Calibrar</v>
      </c>
    </row>
    <row r="33" spans="1:6" x14ac:dyDescent="0.25">
      <c r="B33" s="26">
        <f>IF(3&gt;$B$5,"",3)</f>
        <v>3</v>
      </c>
      <c r="C33" s="26" t="str">
        <f>IF(B33="","",IF(OR(MOD(0-'Datos orden'!F5,720)&lt;360-$B$8-$B$12,MOD(0-'Datos orden'!F5,720)&gt;540+$B$9+$B$12),"Calibrar","—"))</f>
        <v>—</v>
      </c>
      <c r="D33" s="26" t="str">
        <f>IF(B33="","",IF(OR(MOD(0-'Datos orden'!F5,720)&lt;180-$B$10-$B$12,MOD(0-'Datos orden'!F5,720)&gt;360+$B$11+$B$12),"Calibrar","—"))</f>
        <v>Calibrar</v>
      </c>
      <c r="E33" s="26" t="str">
        <f>IF(B33="","",IF(OR(MOD(360-'Datos orden'!F5,720)&lt;360-$B$8-$B$12,MOD(360-'Datos orden'!F5,720)&gt;540+$B$9+$B$12),"Calibrar","—"))</f>
        <v>Calibrar</v>
      </c>
      <c r="F33" s="26" t="str">
        <f>IF(B33="","",IF(OR(MOD(360-'Datos orden'!F5,720)&lt;180-$B$10-$B$12,MOD(360-'Datos orden'!F5,720)&gt;360+$B$11+$B$12),"Calibrar","—"))</f>
        <v>—</v>
      </c>
    </row>
    <row r="34" spans="1:6" x14ac:dyDescent="0.25">
      <c r="B34" s="26">
        <f>IF(4&gt;$B$5,"",4)</f>
        <v>4</v>
      </c>
      <c r="C34" s="26" t="str">
        <f>IF(B34="","",IF(OR(MOD(0-'Datos orden'!F6,720)&lt;360-$B$8-$B$12,MOD(0-'Datos orden'!F6,720)&gt;540+$B$9+$B$12),"Calibrar","—"))</f>
        <v>—</v>
      </c>
      <c r="D34" s="26" t="str">
        <f>IF(B34="","",IF(OR(MOD(0-'Datos orden'!F6,720)&lt;180-$B$10-$B$12,MOD(0-'Datos orden'!F6,720)&gt;360+$B$11+$B$12),"Calibrar","—"))</f>
        <v>—</v>
      </c>
      <c r="E34" s="26" t="str">
        <f>IF(B34="","",IF(OR(MOD(360-'Datos orden'!F6,720)&lt;360-$B$8-$B$12,MOD(360-'Datos orden'!F6,720)&gt;540+$B$9+$B$12),"Calibrar","—"))</f>
        <v>Calibrar</v>
      </c>
      <c r="F34" s="26" t="str">
        <f>IF(B34="","",IF(OR(MOD(360-'Datos orden'!F6,720)&lt;180-$B$10-$B$12,MOD(360-'Datos orden'!F6,720)&gt;360+$B$11+$B$12),"Calibrar","—"))</f>
        <v>Calibrar</v>
      </c>
    </row>
    <row r="35" spans="1:6" x14ac:dyDescent="0.25">
      <c r="B35" s="26" t="str">
        <f>IF(5&gt;$B$5,"",5)</f>
        <v/>
      </c>
      <c r="C35" s="26" t="str">
        <f>IF(B35="","",IF(OR(MOD(0-'Datos orden'!F7,720)&lt;360-$B$8-$B$12,MOD(0-'Datos orden'!F7,720)&gt;540+$B$9+$B$12),"Calibrar","—"))</f>
        <v/>
      </c>
      <c r="D35" s="26" t="str">
        <f>IF(B35="","",IF(OR(MOD(0-'Datos orden'!F7,720)&lt;180-$B$10-$B$12,MOD(0-'Datos orden'!F7,720)&gt;360+$B$11+$B$12),"Calibrar","—"))</f>
        <v/>
      </c>
      <c r="E35" s="26" t="str">
        <f>IF(B35="","",IF(OR(MOD(360-'Datos orden'!F7,720)&lt;360-$B$8-$B$12,MOD(360-'Datos orden'!F7,720)&gt;540+$B$9+$B$12),"Calibrar","—"))</f>
        <v/>
      </c>
      <c r="F35" s="26" t="str">
        <f>IF(B35="","",IF(OR(MOD(360-'Datos orden'!F7,720)&lt;180-$B$10-$B$12,MOD(360-'Datos orden'!F7,720)&gt;360+$B$11+$B$12),"Calibrar","—"))</f>
        <v/>
      </c>
    </row>
    <row r="36" spans="1:6" x14ac:dyDescent="0.25">
      <c r="B36" s="26" t="str">
        <f>IF(6&gt;$B$5,"",6)</f>
        <v/>
      </c>
      <c r="C36" s="26" t="str">
        <f>IF(B36="","",IF(OR(MOD(0-'Datos orden'!F8,720)&lt;360-$B$8-$B$12,MOD(0-'Datos orden'!F8,720)&gt;540+$B$9+$B$12),"Calibrar","—"))</f>
        <v/>
      </c>
      <c r="D36" s="26" t="str">
        <f>IF(B36="","",IF(OR(MOD(0-'Datos orden'!F8,720)&lt;180-$B$10-$B$12,MOD(0-'Datos orden'!F8,720)&gt;360+$B$11+$B$12),"Calibrar","—"))</f>
        <v/>
      </c>
      <c r="E36" s="26" t="str">
        <f>IF(B36="","",IF(OR(MOD(360-'Datos orden'!F8,720)&lt;360-$B$8-$B$12,MOD(360-'Datos orden'!F8,720)&gt;540+$B$9+$B$12),"Calibrar","—"))</f>
        <v/>
      </c>
      <c r="F36" s="26" t="str">
        <f>IF(B36="","",IF(OR(MOD(360-'Datos orden'!F8,720)&lt;180-$B$10-$B$12,MOD(360-'Datos orden'!F8,720)&gt;360+$B$11+$B$12),"Calibrar","—"))</f>
        <v/>
      </c>
    </row>
    <row r="38" spans="1:6" x14ac:dyDescent="0.25">
      <c r="A38" s="2" t="s">
        <v>272</v>
      </c>
    </row>
  </sheetData>
  <pageMargins left="0.75" right="0.75" top="1" bottom="1" header="0.5" footer="0.5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900-000000000000}">
          <x14:formula1>
            <xm:f>'Datos orden'!$L$3:$L$4</xm:f>
          </x14:formula1>
          <xm:sqref>B5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B26"/>
  <sheetViews>
    <sheetView workbookViewId="0"/>
  </sheetViews>
  <sheetFormatPr baseColWidth="10" defaultColWidth="9.140625" defaultRowHeight="15" x14ac:dyDescent="0.25"/>
  <cols>
    <col min="1" max="1" width="3" customWidth="1"/>
    <col min="2" max="2" width="115" customWidth="1"/>
  </cols>
  <sheetData>
    <row r="2" spans="2:2" ht="18" x14ac:dyDescent="0.25">
      <c r="B2" s="40" t="s">
        <v>273</v>
      </c>
    </row>
    <row r="3" spans="2:2" ht="30" customHeight="1" x14ac:dyDescent="0.25">
      <c r="B3" s="41" t="s">
        <v>274</v>
      </c>
    </row>
    <row r="4" spans="2:2" x14ac:dyDescent="0.25">
      <c r="B4" s="42" t="s">
        <v>275</v>
      </c>
    </row>
    <row r="5" spans="2:2" ht="45" customHeight="1" x14ac:dyDescent="0.25">
      <c r="B5" s="41" t="s">
        <v>276</v>
      </c>
    </row>
    <row r="6" spans="2:2" x14ac:dyDescent="0.25">
      <c r="B6" s="42" t="s">
        <v>277</v>
      </c>
    </row>
    <row r="7" spans="2:2" ht="45" customHeight="1" x14ac:dyDescent="0.25">
      <c r="B7" s="41" t="s">
        <v>278</v>
      </c>
    </row>
    <row r="8" spans="2:2" x14ac:dyDescent="0.25">
      <c r="B8" s="42" t="s">
        <v>279</v>
      </c>
    </row>
    <row r="9" spans="2:2" ht="30" customHeight="1" x14ac:dyDescent="0.25">
      <c r="B9" s="41" t="s">
        <v>280</v>
      </c>
    </row>
    <row r="10" spans="2:2" x14ac:dyDescent="0.25">
      <c r="B10" s="42" t="s">
        <v>281</v>
      </c>
    </row>
    <row r="11" spans="2:2" ht="45" customHeight="1" x14ac:dyDescent="0.25">
      <c r="B11" s="41" t="s">
        <v>282</v>
      </c>
    </row>
    <row r="12" spans="2:2" ht="45" customHeight="1" x14ac:dyDescent="0.25">
      <c r="B12" s="41" t="s">
        <v>283</v>
      </c>
    </row>
    <row r="13" spans="2:2" ht="30" customHeight="1" x14ac:dyDescent="0.25">
      <c r="B13" s="41" t="s">
        <v>284</v>
      </c>
    </row>
    <row r="14" spans="2:2" x14ac:dyDescent="0.25">
      <c r="B14" s="42" t="s">
        <v>285</v>
      </c>
    </row>
    <row r="15" spans="2:2" ht="30" customHeight="1" x14ac:dyDescent="0.25">
      <c r="B15" s="41" t="s">
        <v>286</v>
      </c>
    </row>
    <row r="17" spans="2:2" ht="15.75" x14ac:dyDescent="0.25">
      <c r="B17" s="43" t="s">
        <v>287</v>
      </c>
    </row>
    <row r="18" spans="2:2" x14ac:dyDescent="0.25">
      <c r="B18" s="42" t="s">
        <v>288</v>
      </c>
    </row>
    <row r="19" spans="2:2" ht="60" customHeight="1" x14ac:dyDescent="0.25">
      <c r="B19" s="41" t="s">
        <v>289</v>
      </c>
    </row>
    <row r="20" spans="2:2" x14ac:dyDescent="0.25">
      <c r="B20" s="42" t="s">
        <v>290</v>
      </c>
    </row>
    <row r="21" spans="2:2" ht="45" customHeight="1" x14ac:dyDescent="0.25">
      <c r="B21" s="41" t="s">
        <v>291</v>
      </c>
    </row>
    <row r="22" spans="2:2" x14ac:dyDescent="0.25">
      <c r="B22" s="42" t="s">
        <v>292</v>
      </c>
    </row>
    <row r="23" spans="2:2" ht="60" customHeight="1" x14ac:dyDescent="0.25">
      <c r="B23" s="41" t="s">
        <v>293</v>
      </c>
    </row>
    <row r="25" spans="2:2" x14ac:dyDescent="0.25">
      <c r="B25" s="42" t="s">
        <v>294</v>
      </c>
    </row>
    <row r="26" spans="2:2" ht="90" customHeight="1" x14ac:dyDescent="0.25">
      <c r="B26" s="41" t="s">
        <v>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C8C8C"/>
  </sheetPr>
  <dimension ref="A1:H75"/>
  <sheetViews>
    <sheetView workbookViewId="0"/>
  </sheetViews>
  <sheetFormatPr baseColWidth="10" defaultColWidth="9.140625" defaultRowHeight="15" x14ac:dyDescent="0.25"/>
  <cols>
    <col min="1" max="5" width="14" customWidth="1"/>
    <col min="7" max="8" width="13" customWidth="1"/>
  </cols>
  <sheetData>
    <row r="1" spans="1:8" x14ac:dyDescent="0.25">
      <c r="A1" s="44" t="s">
        <v>296</v>
      </c>
    </row>
    <row r="2" spans="1:8" ht="30" x14ac:dyDescent="0.25">
      <c r="A2" s="3" t="s">
        <v>297</v>
      </c>
      <c r="B2" s="3" t="s">
        <v>298</v>
      </c>
      <c r="C2" s="3" t="s">
        <v>299</v>
      </c>
      <c r="D2" s="3" t="s">
        <v>300</v>
      </c>
      <c r="E2" s="3" t="s">
        <v>301</v>
      </c>
      <c r="G2" s="3" t="s">
        <v>302</v>
      </c>
      <c r="H2" s="3" t="s">
        <v>303</v>
      </c>
    </row>
    <row r="3" spans="1:8" x14ac:dyDescent="0.25">
      <c r="A3" s="45">
        <v>0</v>
      </c>
      <c r="B3" s="46">
        <f>'Biela-manivela'!$B$10*(1-COS(RADIANS(A3)))+'Biela-manivela'!$B$6*(1-SQRT(1-'Biela-manivela'!$B$11^2*SIN(RADIANS(A3))^2))</f>
        <v>0</v>
      </c>
      <c r="C3" s="46">
        <f>'Biela-manivela'!$B$10/1000*'Biela-manivela'!$B$12*(SIN(RADIANS(A3))+'Biela-manivela'!$B$11*SIN(RADIANS(2*A3))/(2*SQRT(1-'Biela-manivela'!$B$11^2*SIN(RADIANS(A3))^2)))</f>
        <v>0</v>
      </c>
      <c r="D3" s="47">
        <f>'Biela-manivela'!$B$10/1000*'Biela-manivela'!$B$12^2*(COS(RADIANS(A3))+'Biela-manivela'!$B$11*COS(RADIANS(2*A3)))</f>
        <v>7794.4568090654402</v>
      </c>
      <c r="E3" s="46">
        <f>'Biela-manivela'!$B$13</f>
        <v>9.3333333333333339</v>
      </c>
      <c r="G3" s="48">
        <v>0</v>
      </c>
      <c r="H3" s="46">
        <f>('Cilindrada y Rc'!$C$18+('Cilindrada y Rc'!$B$8-'Cilindrada y Rc'!$C$17*G3/10+'Cilindrada y Rc'!$C$19+'Cilindrada y Rc'!$B$11+'Cilindrada y Rc'!$C$20))/('Cilindrada y Rc'!$B$8-'Cilindrada y Rc'!$C$17*G3/10+'Cilindrada y Rc'!$C$19+'Cilindrada y Rc'!$B$11+'Cilindrada y Rc'!$C$20)</f>
        <v>9.3358029072410584</v>
      </c>
    </row>
    <row r="4" spans="1:8" x14ac:dyDescent="0.25">
      <c r="A4" s="45">
        <v>5</v>
      </c>
      <c r="B4" s="46">
        <f>'Biela-manivela'!$B$10*(1-COS(RADIANS(A4)))+'Biela-manivela'!$B$6*(1-SQRT(1-'Biela-manivela'!$B$11^2*SIN(RADIANS(A4))^2))</f>
        <v>0.1689799226194133</v>
      </c>
      <c r="C4" s="46">
        <f>'Biela-manivela'!$B$10/1000*'Biela-manivela'!$B$12*(SIN(RADIANS(A4))+'Biela-manivela'!$B$11*SIN(RADIANS(2*A4))/(2*SQRT(1-'Biela-manivela'!$B$11^2*SIN(RADIANS(A4))^2)))</f>
        <v>1.6205702113617699</v>
      </c>
      <c r="D4" s="47">
        <f>'Biela-manivela'!$B$10/1000*'Biela-manivela'!$B$12^2*(COS(RADIANS(A4))+'Biela-manivela'!$B$11*COS(RADIANS(2*A4)))</f>
        <v>7745.9697185667765</v>
      </c>
      <c r="E4" s="46">
        <f>'Biela-manivela'!$B$13</f>
        <v>9.3333333333333339</v>
      </c>
      <c r="G4" s="48">
        <v>0.1</v>
      </c>
      <c r="H4" s="46">
        <f>('Cilindrada y Rc'!$C$18+('Cilindrada y Rc'!$B$8-'Cilindrada y Rc'!$C$17*G4/10+'Cilindrada y Rc'!$C$19+'Cilindrada y Rc'!$B$11+'Cilindrada y Rc'!$C$20))/('Cilindrada y Rc'!$B$8-'Cilindrada y Rc'!$C$17*G4/10+'Cilindrada y Rc'!$C$19+'Cilindrada y Rc'!$B$11+'Cilindrada y Rc'!$C$20)</f>
        <v>9.4362643889838367</v>
      </c>
    </row>
    <row r="5" spans="1:8" x14ac:dyDescent="0.25">
      <c r="A5" s="45">
        <v>10</v>
      </c>
      <c r="B5" s="46">
        <f>'Biela-manivela'!$B$10*(1-COS(RADIANS(A5)))+'Biela-manivela'!$B$6*(1-SQRT(1-'Biela-manivela'!$B$11^2*SIN(RADIANS(A5))^2))</f>
        <v>0.67387662848795327</v>
      </c>
      <c r="C5" s="46">
        <f>'Biela-manivela'!$B$10/1000*'Biela-manivela'!$B$12*(SIN(RADIANS(A5))+'Biela-manivela'!$B$11*SIN(RADIANS(2*A5))/(2*SQRT(1-'Biela-manivela'!$B$11^2*SIN(RADIANS(A5))^2)))</f>
        <v>3.2215529853899931</v>
      </c>
      <c r="D5" s="47">
        <f>'Biela-manivela'!$B$10/1000*'Biela-manivela'!$B$12^2*(COS(RADIANS(A5))+'Biela-manivela'!$B$11*COS(RADIANS(2*A5)))</f>
        <v>7601.449506783043</v>
      </c>
      <c r="E5" s="46">
        <f>'Biela-manivela'!$B$13</f>
        <v>9.3333333333333339</v>
      </c>
      <c r="G5" s="48">
        <v>0.2</v>
      </c>
      <c r="H5" s="46">
        <f>('Cilindrada y Rc'!$C$18+('Cilindrada y Rc'!$B$8-'Cilindrada y Rc'!$C$17*G5/10+'Cilindrada y Rc'!$C$19+'Cilindrada y Rc'!$B$11+'Cilindrada y Rc'!$C$20))/('Cilindrada y Rc'!$B$8-'Cilindrada y Rc'!$C$17*G5/10+'Cilindrada y Rc'!$C$19+'Cilindrada y Rc'!$B$11+'Cilindrada y Rc'!$C$20)</f>
        <v>9.5391768946228961</v>
      </c>
    </row>
    <row r="6" spans="1:8" x14ac:dyDescent="0.25">
      <c r="A6" s="45">
        <v>15</v>
      </c>
      <c r="B6" s="46">
        <f>'Biela-manivela'!$B$10*(1-COS(RADIANS(A6)))+'Biela-manivela'!$B$6*(1-SQRT(1-'Biela-manivela'!$B$11^2*SIN(RADIANS(A6))^2))</f>
        <v>1.5085933662943511</v>
      </c>
      <c r="C6" s="46">
        <f>'Biela-manivela'!$B$10/1000*'Biela-manivela'!$B$12*(SIN(RADIANS(A6))+'Biela-manivela'!$B$11*SIN(RADIANS(2*A6))/(2*SQRT(1-'Biela-manivela'!$B$11^2*SIN(RADIANS(A6))^2)))</f>
        <v>4.7836721552607209</v>
      </c>
      <c r="D6" s="47">
        <f>'Biela-manivela'!$B$10/1000*'Biela-manivela'!$B$12^2*(COS(RADIANS(A6))+'Biela-manivela'!$B$11*COS(RADIANS(2*A6)))</f>
        <v>7363.6948095607459</v>
      </c>
      <c r="E6" s="46">
        <f>'Biela-manivela'!$B$13</f>
        <v>9.3333333333333339</v>
      </c>
      <c r="G6" s="48">
        <v>0.3</v>
      </c>
      <c r="H6" s="46">
        <f>('Cilindrada y Rc'!$C$18+('Cilindrada y Rc'!$B$8-'Cilindrada y Rc'!$C$17*G6/10+'Cilindrada y Rc'!$C$19+'Cilindrada y Rc'!$B$11+'Cilindrada y Rc'!$C$20))/('Cilindrada y Rc'!$B$8-'Cilindrada y Rc'!$C$17*G6/10+'Cilindrada y Rc'!$C$19+'Cilindrada y Rc'!$B$11+'Cilindrada y Rc'!$C$20)</f>
        <v>9.6446312307198934</v>
      </c>
    </row>
    <row r="7" spans="1:8" x14ac:dyDescent="0.25">
      <c r="A7" s="45">
        <v>20</v>
      </c>
      <c r="B7" s="46">
        <f>'Biela-manivela'!$B$10*(1-COS(RADIANS(A7)))+'Biela-manivela'!$B$6*(1-SQRT(1-'Biela-manivela'!$B$11^2*SIN(RADIANS(A7))^2))</f>
        <v>2.663076866411723</v>
      </c>
      <c r="C7" s="46">
        <f>'Biela-manivela'!$B$10/1000*'Biela-manivela'!$B$12*(SIN(RADIANS(A7))+'Biela-manivela'!$B$11*SIN(RADIANS(2*A7))/(2*SQRT(1-'Biela-manivela'!$B$11^2*SIN(RADIANS(A7))^2)))</f>
        <v>6.2882727770704978</v>
      </c>
      <c r="D7" s="47">
        <f>'Biela-manivela'!$B$10/1000*'Biela-manivela'!$B$12^2*(COS(RADIANS(A7))+'Biela-manivela'!$B$11*COS(RADIANS(2*A7)))</f>
        <v>7037.2889239197975</v>
      </c>
      <c r="E7" s="46">
        <f>'Biela-manivela'!$B$13</f>
        <v>9.3333333333333339</v>
      </c>
      <c r="G7" s="48">
        <v>0.4</v>
      </c>
      <c r="H7" s="46">
        <f>('Cilindrada y Rc'!$C$18+('Cilindrada y Rc'!$B$8-'Cilindrada y Rc'!$C$17*G7/10+'Cilindrada y Rc'!$C$19+'Cilindrada y Rc'!$B$11+'Cilindrada y Rc'!$C$20))/('Cilindrada y Rc'!$B$8-'Cilindrada y Rc'!$C$17*G7/10+'Cilindrada y Rc'!$C$19+'Cilindrada y Rc'!$B$11+'Cilindrada y Rc'!$C$20)</f>
        <v>9.7527227455773939</v>
      </c>
    </row>
    <row r="8" spans="1:8" x14ac:dyDescent="0.25">
      <c r="A8" s="45">
        <v>25</v>
      </c>
      <c r="B8" s="46">
        <f>'Biela-manivela'!$B$10*(1-COS(RADIANS(A8)))+'Biela-manivela'!$B$6*(1-SQRT(1-'Biela-manivela'!$B$11^2*SIN(RADIANS(A8))^2))</f>
        <v>4.1234787975579206</v>
      </c>
      <c r="C8" s="46">
        <f>'Biela-manivela'!$B$10/1000*'Biela-manivela'!$B$12*(SIN(RADIANS(A8))+'Biela-manivela'!$B$11*SIN(RADIANS(2*A8))/(2*SQRT(1-'Biela-manivela'!$B$11^2*SIN(RADIANS(A8))^2)))</f>
        <v>7.7176279506602175</v>
      </c>
      <c r="D8" s="47">
        <f>'Biela-manivela'!$B$10/1000*'Biela-manivela'!$B$12^2*(COS(RADIANS(A8))+'Biela-manivela'!$B$11*COS(RADIANS(2*A8)))</f>
        <v>6628.480644664457</v>
      </c>
      <c r="E8" s="46">
        <f>'Biela-manivela'!$B$13</f>
        <v>9.3333333333333339</v>
      </c>
      <c r="G8" s="48">
        <v>0.5</v>
      </c>
      <c r="H8" s="46">
        <f>('Cilindrada y Rc'!$C$18+('Cilindrada y Rc'!$B$8-'Cilindrada y Rc'!$C$17*G8/10+'Cilindrada y Rc'!$C$19+'Cilindrada y Rc'!$B$11+'Cilindrada y Rc'!$C$20))/('Cilindrada y Rc'!$B$8-'Cilindrada y Rc'!$C$17*G8/10+'Cilindrada y Rc'!$C$19+'Cilindrada y Rc'!$B$11+'Cilindrada y Rc'!$C$20)</f>
        <v>9.8635516167813968</v>
      </c>
    </row>
    <row r="9" spans="1:8" x14ac:dyDescent="0.25">
      <c r="A9" s="45">
        <v>30</v>
      </c>
      <c r="B9" s="46">
        <f>'Biela-manivela'!$B$10*(1-COS(RADIANS(A9)))+'Biela-manivela'!$B$6*(1-SQRT(1-'Biela-manivela'!$B$11^2*SIN(RADIANS(A9))^2))</f>
        <v>5.8723805876621267</v>
      </c>
      <c r="C9" s="46">
        <f>'Biela-manivela'!$B$10/1000*'Biela-manivela'!$B$12*(SIN(RADIANS(A9))+'Biela-manivela'!$B$11*SIN(RADIANS(2*A9))/(2*SQRT(1-'Biela-manivela'!$B$11^2*SIN(RADIANS(A9))^2)))</f>
        <v>9.0552397277900738</v>
      </c>
      <c r="D9" s="47">
        <f>'Biela-manivela'!$B$10/1000*'Biela-manivela'!$B$12^2*(COS(RADIANS(A9))+'Biela-manivela'!$B$11*COS(RADIANS(2*A9)))</f>
        <v>6145.0223203291507</v>
      </c>
      <c r="E9" s="46">
        <f>'Biela-manivela'!$B$13</f>
        <v>9.3333333333333339</v>
      </c>
      <c r="G9" s="48">
        <v>0.6</v>
      </c>
      <c r="H9" s="46">
        <f>('Cilindrada y Rc'!$C$18+('Cilindrada y Rc'!$B$8-'Cilindrada y Rc'!$C$17*G9/10+'Cilindrada y Rc'!$C$19+'Cilindrada y Rc'!$B$11+'Cilindrada y Rc'!$C$20))/('Cilindrada y Rc'!$B$8-'Cilindrada y Rc'!$C$17*G9/10+'Cilindrada y Rc'!$C$19+'Cilindrada y Rc'!$B$11+'Cilindrada y Rc'!$C$20)</f>
        <v>9.9772231608695865</v>
      </c>
    </row>
    <row r="10" spans="1:8" x14ac:dyDescent="0.25">
      <c r="A10" s="45">
        <v>35</v>
      </c>
      <c r="B10" s="46">
        <f>'Biela-manivela'!$B$10*(1-COS(RADIANS(A10)))+'Biela-manivela'!$B$6*(1-SQRT(1-'Biela-manivela'!$B$11^2*SIN(RADIANS(A10))^2))</f>
        <v>7.8890799703275398</v>
      </c>
      <c r="C10" s="46">
        <f>'Biela-manivela'!$B$10/1000*'Biela-manivela'!$B$12*(SIN(RADIANS(A10))+'Biela-manivela'!$B$11*SIN(RADIANS(2*A10))/(2*SQRT(1-'Biela-manivela'!$B$11^2*SIN(RADIANS(A10))^2)))</f>
        <v>10.286129940866877</v>
      </c>
      <c r="D10" s="47">
        <f>'Biela-manivela'!$B$10/1000*'Biela-manivela'!$B$12^2*(COS(RADIANS(A10))+'Biela-manivela'!$B$11*COS(RADIANS(2*A10)))</f>
        <v>5595.969836540894</v>
      </c>
      <c r="E10" s="46">
        <f>'Biela-manivela'!$B$13</f>
        <v>9.3333333333333339</v>
      </c>
      <c r="G10" s="48">
        <v>0.7</v>
      </c>
      <c r="H10" s="46">
        <f>('Cilindrada y Rc'!$C$18+('Cilindrada y Rc'!$B$8-'Cilindrada y Rc'!$C$17*G10/10+'Cilindrada y Rc'!$C$19+'Cilindrada y Rc'!$B$11+'Cilindrada y Rc'!$C$20))/('Cilindrada y Rc'!$B$8-'Cilindrada y Rc'!$C$17*G10/10+'Cilindrada y Rc'!$C$19+'Cilindrada y Rc'!$B$11+'Cilindrada y Rc'!$C$20)</f>
        <v>10.093848167137381</v>
      </c>
    </row>
    <row r="11" spans="1:8" x14ac:dyDescent="0.25">
      <c r="A11" s="45">
        <v>40</v>
      </c>
      <c r="B11" s="46">
        <f>'Biela-manivela'!$B$10*(1-COS(RADIANS(A11)))+'Biela-manivela'!$B$6*(1-SQRT(1-'Biela-manivela'!$B$11^2*SIN(RADIANS(A11))^2))</f>
        <v>10.149936576923423</v>
      </c>
      <c r="C11" s="46">
        <f>'Biela-manivela'!$B$10/1000*'Biela-manivela'!$B$12*(SIN(RADIANS(A11))+'Biela-manivela'!$B$11*SIN(RADIANS(2*A11))/(2*SQRT(1-'Biela-manivela'!$B$11^2*SIN(RADIANS(A11))^2)))</f>
        <v>11.397115079826571</v>
      </c>
      <c r="D11" s="47">
        <f>'Biela-manivela'!$B$10/1000*'Biela-manivela'!$B$12^2*(COS(RADIANS(A11))+'Biela-manivela'!$B$11*COS(RADIANS(2*A11)))</f>
        <v>4991.4503337632332</v>
      </c>
      <c r="E11" s="46">
        <f>'Biela-manivela'!$B$13</f>
        <v>9.3333333333333339</v>
      </c>
      <c r="G11" s="48">
        <v>0.8</v>
      </c>
      <c r="H11" s="46">
        <f>('Cilindrada y Rc'!$C$18+('Cilindrada y Rc'!$B$8-'Cilindrada y Rc'!$C$17*G11/10+'Cilindrada y Rc'!$C$19+'Cilindrada y Rc'!$B$11+'Cilindrada y Rc'!$C$20))/('Cilindrada y Rc'!$B$8-'Cilindrada y Rc'!$C$17*G11/10+'Cilindrada y Rc'!$C$19+'Cilindrada y Rc'!$B$11+'Cilindrada y Rc'!$C$20)</f>
        <v>10.213543257805721</v>
      </c>
    </row>
    <row r="12" spans="1:8" x14ac:dyDescent="0.25">
      <c r="A12" s="45">
        <v>45</v>
      </c>
      <c r="B12" s="46">
        <f>'Biela-manivela'!$B$10*(1-COS(RADIANS(A12)))+'Biela-manivela'!$B$6*(1-SQRT(1-'Biela-manivela'!$B$11^2*SIN(RADIANS(A12))^2))</f>
        <v>12.628772477468651</v>
      </c>
      <c r="C12" s="46">
        <f>'Biela-manivela'!$B$10/1000*'Biela-manivela'!$B$12*(SIN(RADIANS(A12))+'Biela-manivela'!$B$11*SIN(RADIANS(2*A12))/(2*SQRT(1-'Biela-manivela'!$B$11^2*SIN(RADIANS(A12))^2)))</f>
        <v>12.37705747751796</v>
      </c>
      <c r="D12" s="47">
        <f>'Biela-manivela'!$B$10/1000*'Biela-manivela'!$B$12^2*(COS(RADIANS(A12))+'Biela-manivela'!$B$11*COS(RADIANS(2*A12)))</f>
        <v>4342.4043908864132</v>
      </c>
      <c r="E12" s="46">
        <f>'Biela-manivela'!$B$13</f>
        <v>9.3333333333333339</v>
      </c>
      <c r="G12" s="48">
        <v>0.9</v>
      </c>
      <c r="H12" s="46">
        <f>('Cilindrada y Rc'!$C$18+('Cilindrada y Rc'!$B$8-'Cilindrada y Rc'!$C$17*G12/10+'Cilindrada y Rc'!$C$19+'Cilindrada y Rc'!$B$11+'Cilindrada y Rc'!$C$20))/('Cilindrada y Rc'!$B$8-'Cilindrada y Rc'!$C$17*G12/10+'Cilindrada y Rc'!$C$19+'Cilindrada y Rc'!$B$11+'Cilindrada y Rc'!$C$20)</f>
        <v>10.336431277011835</v>
      </c>
    </row>
    <row r="13" spans="1:8" x14ac:dyDescent="0.25">
      <c r="A13" s="45">
        <v>50</v>
      </c>
      <c r="B13" s="46">
        <f>'Biela-manivela'!$B$10*(1-COS(RADIANS(A13)))+'Biela-manivela'!$B$6*(1-SQRT(1-'Biela-manivela'!$B$11^2*SIN(RADIANS(A13))^2))</f>
        <v>15.29732177006084</v>
      </c>
      <c r="C13" s="46">
        <f>'Biela-manivela'!$B$10/1000*'Biela-manivela'!$B$12*(SIN(RADIANS(A13))+'Biela-manivela'!$B$11*SIN(RADIANS(2*A13))/(2*SQRT(1-'Biela-manivela'!$B$11^2*SIN(RADIANS(A13))^2)))</f>
        <v>13.217083265072983</v>
      </c>
      <c r="D13" s="47">
        <f>'Biela-manivela'!$B$10/1000*'Biela-manivela'!$B$12^2*(COS(RADIANS(A13))+'Biela-manivela'!$B$11*COS(RADIANS(2*A13)))</f>
        <v>3660.3101285794887</v>
      </c>
      <c r="E13" s="46">
        <f>'Biela-manivela'!$B$13</f>
        <v>9.3333333333333339</v>
      </c>
      <c r="G13" s="48">
        <v>1</v>
      </c>
      <c r="H13" s="46">
        <f>('Cilindrada y Rc'!$C$18+('Cilindrada y Rc'!$B$8-'Cilindrada y Rc'!$C$17*G13/10+'Cilindrada y Rc'!$C$19+'Cilindrada y Rc'!$B$11+'Cilindrada y Rc'!$C$20))/('Cilindrada y Rc'!$B$8-'Cilindrada y Rc'!$C$17*G13/10+'Cilindrada y Rc'!$C$19+'Cilindrada y Rc'!$B$11+'Cilindrada y Rc'!$C$20)</f>
        <v>10.46264171135042</v>
      </c>
    </row>
    <row r="14" spans="1:8" x14ac:dyDescent="0.25">
      <c r="A14" s="45">
        <v>55</v>
      </c>
      <c r="B14" s="46">
        <f>'Biela-manivela'!$B$10*(1-COS(RADIANS(A14)))+'Biela-manivela'!$B$6*(1-SQRT(1-'Biela-manivela'!$B$11^2*SIN(RADIANS(A14))^2))</f>
        <v>18.125721173259862</v>
      </c>
      <c r="C14" s="46">
        <f>'Biela-manivela'!$B$10/1000*'Biela-manivela'!$B$12*(SIN(RADIANS(A14))+'Biela-manivela'!$B$11*SIN(RADIANS(2*A14))/(2*SQRT(1-'Biela-manivela'!$B$11^2*SIN(RADIANS(A14))^2)))</f>
        <v>13.910756130826465</v>
      </c>
      <c r="D14" s="47">
        <f>'Biela-manivela'!$B$10/1000*'Biela-manivela'!$B$12^2*(COS(RADIANS(A14))+'Biela-manivela'!$B$11*COS(RADIANS(2*A14)))</f>
        <v>2956.8971851774963</v>
      </c>
      <c r="E14" s="46">
        <f>'Biela-manivela'!$B$13</f>
        <v>9.3333333333333339</v>
      </c>
    </row>
    <row r="15" spans="1:8" x14ac:dyDescent="0.25">
      <c r="A15" s="45">
        <v>60</v>
      </c>
      <c r="B15" s="46">
        <f>'Biela-manivela'!$B$10*(1-COS(RADIANS(A15)))+'Biela-manivela'!$B$6*(1-SQRT(1-'Biela-manivela'!$B$11^2*SIN(RADIANS(A15))^2))</f>
        <v>21.083031202294677</v>
      </c>
      <c r="C15" s="46">
        <f>'Biela-manivela'!$B$10/1000*'Biela-manivela'!$B$12*(SIN(RADIANS(A15))+'Biela-manivela'!$B$11*SIN(RADIANS(2*A15))/(2*SQRT(1-'Biela-manivela'!$B$11^2*SIN(RADIANS(A15))^2)))</f>
        <v>14.454195215505939</v>
      </c>
      <c r="D15" s="47">
        <f>'Biela-manivela'!$B$10/1000*'Biela-manivela'!$B$12^2*(COS(RADIANS(A15))+'Biela-manivela'!$B$11*COS(RADIANS(2*A15)))</f>
        <v>2243.8587783673247</v>
      </c>
      <c r="E15" s="46">
        <f>'Biela-manivela'!$B$13</f>
        <v>9.3333333333333339</v>
      </c>
    </row>
    <row r="16" spans="1:8" x14ac:dyDescent="0.25">
      <c r="A16" s="45">
        <v>65</v>
      </c>
      <c r="B16" s="46">
        <f>'Biela-manivela'!$B$10*(1-COS(RADIANS(A16)))+'Biela-manivela'!$B$6*(1-SQRT(1-'Biela-manivela'!$B$11^2*SIN(RADIANS(A16))^2))</f>
        <v>24.137775098122475</v>
      </c>
      <c r="C16" s="46">
        <f>'Biela-manivela'!$B$10/1000*'Biela-manivela'!$B$12*(SIN(RADIANS(A16))+'Biela-manivela'!$B$11*SIN(RADIANS(2*A16))/(2*SQRT(1-'Biela-manivela'!$B$11^2*SIN(RADIANS(A16))^2)))</f>
        <v>14.846125867796619</v>
      </c>
      <c r="D16" s="47">
        <f>'Biela-manivela'!$B$10/1000*'Biela-manivela'!$B$12^2*(COS(RADIANS(A16))+'Biela-manivela'!$B$11*COS(RADIANS(2*A16)))</f>
        <v>1532.5700805041231</v>
      </c>
      <c r="E16" s="46">
        <f>'Biela-manivela'!$B$13</f>
        <v>9.3333333333333339</v>
      </c>
    </row>
    <row r="17" spans="1:5" x14ac:dyDescent="0.25">
      <c r="A17" s="45">
        <v>70</v>
      </c>
      <c r="B17" s="46">
        <f>'Biela-manivela'!$B$10*(1-COS(RADIANS(A17)))+'Biela-manivela'!$B$6*(1-SQRT(1-'Biela-manivela'!$B$11^2*SIN(RADIANS(A17))^2))</f>
        <v>27.258480489182318</v>
      </c>
      <c r="C17" s="46">
        <f>'Biela-manivela'!$B$10/1000*'Biela-manivela'!$B$12*(SIN(RADIANS(A17))+'Biela-manivela'!$B$11*SIN(RADIANS(2*A17))/(2*SQRT(1-'Biela-manivela'!$B$11^2*SIN(RADIANS(A17))^2)))</f>
        <v>15.087853771354167</v>
      </c>
      <c r="D17" s="47">
        <f>'Biela-manivela'!$B$10/1000*'Biela-manivela'!$B$12^2*(COS(RADIANS(A17))+'Biela-manivela'!$B$11*COS(RADIANS(2*A17)))</f>
        <v>833.82090392519717</v>
      </c>
      <c r="E17" s="46">
        <f>'Biela-manivela'!$B$13</f>
        <v>9.3333333333333339</v>
      </c>
    </row>
    <row r="18" spans="1:5" x14ac:dyDescent="0.25">
      <c r="A18" s="45">
        <v>75</v>
      </c>
      <c r="B18" s="46">
        <f>'Biela-manivela'!$B$10*(1-COS(RADIANS(A18)))+'Biela-manivela'!$B$6*(1-SQRT(1-'Biela-manivela'!$B$11^2*SIN(RADIANS(A18))^2))</f>
        <v>30.41420710927941</v>
      </c>
      <c r="C18" s="46">
        <f>'Biela-manivela'!$B$10/1000*'Biela-manivela'!$B$12*(SIN(RADIANS(A18))+'Biela-manivela'!$B$11*SIN(RADIANS(2*A18))/(2*SQRT(1-'Biela-manivela'!$B$11^2*SIN(RADIANS(A18))^2)))</f>
        <v>15.183156290365064</v>
      </c>
      <c r="D18" s="47">
        <f>'Biela-manivela'!$B$10/1000*'Biela-manivela'!$B$12^2*(COS(RADIANS(A18))+'Biela-manivela'!$B$11*COS(RADIANS(2*A18)))</f>
        <v>157.57022246470467</v>
      </c>
      <c r="E18" s="46">
        <f>'Biela-manivela'!$B$13</f>
        <v>9.3333333333333339</v>
      </c>
    </row>
    <row r="19" spans="1:5" x14ac:dyDescent="0.25">
      <c r="A19" s="45">
        <v>80</v>
      </c>
      <c r="B19" s="46">
        <f>'Biela-manivela'!$B$10*(1-COS(RADIANS(A19)))+'Biela-manivela'!$B$6*(1-SQRT(1-'Biela-manivela'!$B$11^2*SIN(RADIANS(A19))^2))</f>
        <v>33.57504309031517</v>
      </c>
      <c r="C19" s="46">
        <f>'Biela-manivela'!$B$10/1000*'Biela-manivela'!$B$12*(SIN(RADIANS(A19))+'Biela-manivela'!$B$11*SIN(RADIANS(2*A19))/(2*SQRT(1-'Biela-manivela'!$B$11^2*SIN(RADIANS(A19))^2)))</f>
        <v>15.138089684063543</v>
      </c>
      <c r="D19" s="47">
        <f>'Biela-manivela'!$B$10/1000*'Biela-manivela'!$B$12^2*(COS(RADIANS(A19))+'Biela-manivela'!$B$11*COS(RADIANS(2*A19)))</f>
        <v>-487.27063893484274</v>
      </c>
      <c r="E19" s="46">
        <f>'Biela-manivela'!$B$13</f>
        <v>9.3333333333333339</v>
      </c>
    </row>
    <row r="20" spans="1:5" x14ac:dyDescent="0.25">
      <c r="A20" s="45">
        <v>85</v>
      </c>
      <c r="B20" s="46">
        <f>'Biela-manivela'!$B$10*(1-COS(RADIANS(A20)))+'Biela-manivela'!$B$6*(1-SQRT(1-'Biela-manivela'!$B$11^2*SIN(RADIANS(A20))^2))</f>
        <v>36.71255266776511</v>
      </c>
      <c r="C20" s="46">
        <f>'Biela-manivela'!$B$10/1000*'Biela-manivela'!$B$12*(SIN(RADIANS(A20))+'Biela-manivela'!$B$11*SIN(RADIANS(2*A20))/(2*SQRT(1-'Biela-manivela'!$B$11^2*SIN(RADIANS(A20))^2)))</f>
        <v>14.960716740008335</v>
      </c>
      <c r="D20" s="47">
        <f>'Biela-manivela'!$B$10/1000*'Biela-manivela'!$B$12^2*(COS(RADIANS(A20))+'Biela-manivela'!$B$11*COS(RADIANS(2*A20)))</f>
        <v>-1093.0202117388017</v>
      </c>
      <c r="E20" s="46">
        <f>'Biela-manivela'!$B$13</f>
        <v>9.3333333333333339</v>
      </c>
    </row>
    <row r="21" spans="1:5" x14ac:dyDescent="0.25">
      <c r="A21" s="45">
        <v>90</v>
      </c>
      <c r="B21" s="46">
        <f>'Biela-manivela'!$B$10*(1-COS(RADIANS(A21)))+'Biela-manivela'!$B$6*(1-SQRT(1-'Biela-manivela'!$B$11^2*SIN(RADIANS(A21))^2))</f>
        <v>39.800159744510843</v>
      </c>
      <c r="C21" s="46">
        <f>'Biela-manivela'!$B$10/1000*'Biela-manivela'!$B$12*(SIN(RADIANS(A21))+'Biela-manivela'!$B$11*SIN(RADIANS(2*A21))/(2*SQRT(1-'Biela-manivela'!$B$11^2*SIN(RADIANS(A21))^2)))</f>
        <v>14.660765716752369</v>
      </c>
      <c r="D21" s="47">
        <f>'Biela-manivela'!$B$10/1000*'Biela-manivela'!$B$12^2*(COS(RADIANS(A21))+'Biela-manivela'!$B$11*COS(RADIANS(2*A21)))</f>
        <v>-1653.3696261653961</v>
      </c>
      <c r="E21" s="46">
        <f>'Biela-manivela'!$B$13</f>
        <v>9.3333333333333339</v>
      </c>
    </row>
    <row r="22" spans="1:5" x14ac:dyDescent="0.25">
      <c r="A22" s="45">
        <v>95</v>
      </c>
      <c r="B22" s="46">
        <f>'Biela-manivela'!$B$10*(1-COS(RADIANS(A22)))+'Biela-manivela'!$B$6*(1-SQRT(1-'Biela-manivela'!$B$11^2*SIN(RADIANS(A22))^2))</f>
        <v>42.813454660101186</v>
      </c>
      <c r="C22" s="46">
        <f>'Biela-manivela'!$B$10/1000*'Biela-manivela'!$B$12*(SIN(RADIANS(A22))+'Biela-manivela'!$B$11*SIN(RADIANS(2*A22))/(2*SQRT(1-'Biela-manivela'!$B$11^2*SIN(RADIANS(A22))^2)))</f>
        <v>14.249237413979543</v>
      </c>
      <c r="D22" s="47">
        <f>'Biela-manivela'!$B$10/1000*'Biela-manivela'!$B$12^2*(COS(RADIANS(A22))+'Biela-manivela'!$B$11*COS(RADIANS(2*A22)))</f>
        <v>-2163.482241146356</v>
      </c>
      <c r="E22" s="46">
        <f>'Biela-manivela'!$B$13</f>
        <v>9.3333333333333339</v>
      </c>
    </row>
    <row r="23" spans="1:5" x14ac:dyDescent="0.25">
      <c r="A23" s="45">
        <v>100</v>
      </c>
      <c r="B23" s="46">
        <f>'Biela-manivela'!$B$10*(1-COS(RADIANS(A23)))+'Biela-manivela'!$B$6*(1-SQRT(1-'Biela-manivela'!$B$11^2*SIN(RADIANS(A23))^2))</f>
        <v>45.730415527000297</v>
      </c>
      <c r="C23" s="46">
        <f>'Biela-manivela'!$B$10/1000*'Biela-manivela'!$B$12*(SIN(RADIANS(A23))+'Biela-manivela'!$B$11*SIN(RADIANS(2*A23))/(2*SQRT(1-'Biela-manivela'!$B$11^2*SIN(RADIANS(A23))^2)))</f>
        <v>13.737981801843086</v>
      </c>
      <c r="D23" s="47">
        <f>'Biela-manivela'!$B$10/1000*'Biela-manivela'!$B$12^2*(COS(RADIANS(A23))+'Biela-manivela'!$B$11*COS(RADIANS(2*A23)))</f>
        <v>-2620.0478353435146</v>
      </c>
      <c r="E23" s="46">
        <f>'Biela-manivela'!$B$13</f>
        <v>9.3333333333333339</v>
      </c>
    </row>
    <row r="24" spans="1:5" x14ac:dyDescent="0.25">
      <c r="A24" s="45">
        <v>105</v>
      </c>
      <c r="B24" s="46">
        <f>'Biela-manivela'!$B$10*(1-COS(RADIANS(A24)))+'Biela-manivela'!$B$6*(1-SQRT(1-'Biela-manivela'!$B$11^2*SIN(RADIANS(A24))^2))</f>
        <v>48.531540266455856</v>
      </c>
      <c r="C24" s="46">
        <f>'Biela-manivela'!$B$10/1000*'Biela-manivela'!$B$12*(SIN(RADIANS(A24))+'Biela-manivela'!$B$11*SIN(RADIANS(2*A24))/(2*SQRT(1-'Biela-manivela'!$B$11^2*SIN(RADIANS(A24))^2)))</f>
        <v>13.139268187603891</v>
      </c>
      <c r="D24" s="47">
        <f>'Biela-manivela'!$B$10/1000*'Biela-manivela'!$B$12^2*(COS(RADIANS(A24))+'Biela-manivela'!$B$11*COS(RADIANS(2*A24)))</f>
        <v>-3021.2904186743331</v>
      </c>
      <c r="E24" s="46">
        <f>'Biela-manivela'!$B$13</f>
        <v>9.3333333333333339</v>
      </c>
    </row>
    <row r="25" spans="1:5" x14ac:dyDescent="0.25">
      <c r="A25" s="45">
        <v>110</v>
      </c>
      <c r="B25" s="46">
        <f>'Biela-manivela'!$B$10*(1-COS(RADIANS(A25)))+'Biela-manivela'!$B$6*(1-SQRT(1-'Biela-manivela'!$B$11^2*SIN(RADIANS(A25))^2))</f>
        <v>51.199890521979135</v>
      </c>
      <c r="C25" s="46">
        <f>'Biela-manivela'!$B$10/1000*'Biela-manivela'!$B$12*(SIN(RADIANS(A25))+'Biela-manivela'!$B$11*SIN(RADIANS(2*A25))/(2*SQRT(1-'Biela-manivela'!$B$11^2*SIN(RADIANS(A25))^2)))</f>
        <v>12.465372946852295</v>
      </c>
      <c r="D25" s="47">
        <f>'Biela-manivela'!$B$10/1000*'Biela-manivela'!$B$12^2*(COS(RADIANS(A25))+'Biela-manivela'!$B$11*COS(RADIANS(2*A25)))</f>
        <v>-3366.930133016604</v>
      </c>
      <c r="E25" s="46">
        <f>'Biela-manivela'!$B$13</f>
        <v>9.3333333333333339</v>
      </c>
    </row>
    <row r="26" spans="1:5" x14ac:dyDescent="0.25">
      <c r="A26" s="45">
        <v>115</v>
      </c>
      <c r="B26" s="46">
        <f>'Biela-manivela'!$B$10*(1-COS(RADIANS(A26)))+'Biela-manivela'!$B$6*(1-SQRT(1-'Biela-manivela'!$B$11^2*SIN(RADIANS(A26))^2))</f>
        <v>53.721053419971433</v>
      </c>
      <c r="C26" s="46">
        <f>'Biela-manivela'!$B$10/1000*'Biela-manivela'!$B$12*(SIN(RADIANS(A26))+'Biela-manivela'!$B$11*SIN(RADIANS(2*A26))/(2*SQRT(1-'Biela-manivela'!$B$11^2*SIN(RADIANS(A26))^2)))</f>
        <v>11.728206398228631</v>
      </c>
      <c r="D26" s="47">
        <f>'Biela-manivela'!$B$10/1000*'Biela-manivela'!$B$12^2*(COS(RADIANS(A26))+'Biela-manivela'!$B$11*COS(RADIANS(2*A26)))</f>
        <v>-3658.1011003664871</v>
      </c>
      <c r="E26" s="46">
        <f>'Biela-manivela'!$B$13</f>
        <v>9.3333333333333339</v>
      </c>
    </row>
    <row r="27" spans="1:5" x14ac:dyDescent="0.25">
      <c r="A27" s="45">
        <v>120</v>
      </c>
      <c r="B27" s="46">
        <f>'Biela-manivela'!$B$10*(1-COS(RADIANS(A27)))+'Biela-manivela'!$B$6*(1-SQRT(1-'Biela-manivela'!$B$11^2*SIN(RADIANS(A27))^2))</f>
        <v>56.08303120229467</v>
      </c>
      <c r="C27" s="46">
        <f>'Biela-manivela'!$B$10/1000*'Biela-manivela'!$B$12*(SIN(RADIANS(A27))+'Biela-manivela'!$B$11*SIN(RADIANS(2*A27))/(2*SQRT(1-'Biela-manivela'!$B$11^2*SIN(RADIANS(A27))^2)))</f>
        <v>10.938995883773114</v>
      </c>
      <c r="D27" s="47">
        <f>'Biela-manivela'!$B$10/1000*'Biela-manivela'!$B$12^2*(COS(RADIANS(A27))+'Biela-manivela'!$B$11*COS(RADIANS(2*A27)))</f>
        <v>-3897.2284045327197</v>
      </c>
      <c r="E27" s="46">
        <f>'Biela-manivela'!$B$13</f>
        <v>9.3333333333333339</v>
      </c>
    </row>
    <row r="28" spans="1:5" x14ac:dyDescent="0.25">
      <c r="A28" s="45">
        <v>125</v>
      </c>
      <c r="B28" s="46">
        <f>'Biela-manivela'!$B$10*(1-COS(RADIANS(A28)))+'Biela-manivela'!$B$6*(1-SQRT(1-'Biela-manivela'!$B$11^2*SIN(RADIANS(A28))^2))</f>
        <v>58.276071717833091</v>
      </c>
      <c r="C28" s="46">
        <f>'Biela-manivela'!$B$10/1000*'Biela-manivela'!$B$12*(SIN(RADIANS(A28))+'Biela-manivela'!$B$11*SIN(RADIANS(2*A28))/(2*SQRT(1-'Biela-manivela'!$B$11^2*SIN(RADIANS(A28))^2)))</f>
        <v>10.10803628461287</v>
      </c>
      <c r="D28" s="47">
        <f>'Biela-manivela'!$B$10/1000*'Biela-manivela'!$B$12^2*(COS(RADIANS(A28))+'Biela-manivela'!$B$11*COS(RADIANS(2*A28)))</f>
        <v>-4087.8686182002884</v>
      </c>
      <c r="E28" s="46">
        <f>'Biela-manivela'!$B$13</f>
        <v>9.3333333333333339</v>
      </c>
    </row>
    <row r="29" spans="1:5" x14ac:dyDescent="0.25">
      <c r="A29" s="45">
        <v>130</v>
      </c>
      <c r="B29" s="46">
        <f>'Biela-manivela'!$B$10*(1-COS(RADIANS(A29)))+'Biela-manivela'!$B$6*(1-SQRT(1-'Biela-manivela'!$B$11^2*SIN(RADIANS(A29))^2))</f>
        <v>60.29245444811859</v>
      </c>
      <c r="C29" s="46">
        <f>'Biela-manivela'!$B$10/1000*'Biela-manivela'!$B$12*(SIN(RADIANS(A29))+'Biela-manivela'!$B$11*SIN(RADIANS(2*A29))/(2*SQRT(1-'Biela-manivela'!$B$11^2*SIN(RADIANS(A29))^2)))</f>
        <v>9.2445129533017631</v>
      </c>
      <c r="D29" s="47">
        <f>'Biela-manivela'!$B$10/1000*'Biela-manivela'!$B$12^2*(COS(RADIANS(A29))+'Biela-manivela'!$B$11*COS(RADIANS(2*A29)))</f>
        <v>-4234.5193737664376</v>
      </c>
      <c r="E29" s="46">
        <f>'Biela-manivela'!$B$13</f>
        <v>9.3333333333333339</v>
      </c>
    </row>
    <row r="30" spans="1:5" x14ac:dyDescent="0.25">
      <c r="A30" s="45">
        <v>135</v>
      </c>
      <c r="B30" s="46">
        <f>'Biela-manivela'!$B$10*(1-COS(RADIANS(A30)))+'Biela-manivela'!$B$6*(1-SQRT(1-'Biela-manivela'!$B$11^2*SIN(RADIANS(A30))^2))</f>
        <v>62.126247160526979</v>
      </c>
      <c r="C30" s="46">
        <f>'Biela-manivela'!$B$10/1000*'Biela-manivela'!$B$12*(SIN(RADIANS(A30))+'Biela-manivela'!$B$11*SIN(RADIANS(2*A30))/(2*SQRT(1-'Biela-manivela'!$B$11^2*SIN(RADIANS(A30))^2)))</f>
        <v>8.3563962338877502</v>
      </c>
      <c r="D30" s="47">
        <f>'Biela-manivela'!$B$10/1000*'Biela-manivela'!$B$12^2*(COS(RADIANS(A30))+'Biela-manivela'!$B$11*COS(RADIANS(2*A30)))</f>
        <v>-4342.4043908864132</v>
      </c>
      <c r="E30" s="46">
        <f>'Biela-manivela'!$B$13</f>
        <v>9.3333333333333339</v>
      </c>
    </row>
    <row r="31" spans="1:5" x14ac:dyDescent="0.25">
      <c r="A31" s="45">
        <v>140</v>
      </c>
      <c r="B31" s="46">
        <f>'Biela-manivela'!$B$10*(1-COS(RADIANS(A31)))+'Biela-manivela'!$B$6*(1-SQRT(1-'Biela-manivela'!$B$11^2*SIN(RADIANS(A31))^2))</f>
        <v>63.773047595251882</v>
      </c>
      <c r="C31" s="46">
        <f>'Biela-manivela'!$B$10/1000*'Biela-manivela'!$B$12*(SIN(RADIANS(A31))+'Biela-manivela'!$B$11*SIN(RADIANS(2*A31))/(2*SQRT(1-'Biela-manivela'!$B$11^2*SIN(RADIANS(A31))^2)))</f>
        <v>7.4504020226646679</v>
      </c>
      <c r="D31" s="47">
        <f>'Biela-manivela'!$B$10/1000*'Biela-manivela'!$B$12^2*(COS(RADIANS(A31))+'Biela-manivela'!$B$11*COS(RADIANS(2*A31)))</f>
        <v>-4417.2410885762829</v>
      </c>
      <c r="E31" s="46">
        <f>'Biela-manivela'!$B$13</f>
        <v>9.3333333333333339</v>
      </c>
    </row>
    <row r="32" spans="1:5" x14ac:dyDescent="0.25">
      <c r="A32" s="45">
        <v>145</v>
      </c>
      <c r="B32" s="46">
        <f>'Biela-manivela'!$B$10*(1-COS(RADIANS(A32)))+'Biela-manivela'!$B$6*(1-SQRT(1-'Biela-manivela'!$B$11^2*SIN(RADIANS(A32))^2))</f>
        <v>65.229723070556972</v>
      </c>
      <c r="C32" s="46">
        <f>'Biela-manivela'!$B$10/1000*'Biela-manivela'!$B$12*(SIN(RADIANS(A32))+'Biela-manivela'!$B$11*SIN(RADIANS(2*A32))/(2*SQRT(1-'Biela-manivela'!$B$11^2*SIN(RADIANS(A32))^2)))</f>
        <v>6.5320095671179486</v>
      </c>
      <c r="D32" s="47">
        <f>'Biela-manivela'!$B$10/1000*'Biela-manivela'!$B$12^2*(COS(RADIANS(A32))+'Biela-manivela'!$B$11*COS(RADIANS(2*A32)))</f>
        <v>-4464.9984035181014</v>
      </c>
      <c r="E32" s="46">
        <f>'Biela-manivela'!$B$13</f>
        <v>9.3333333333333339</v>
      </c>
    </row>
    <row r="33" spans="1:5" x14ac:dyDescent="0.25">
      <c r="A33" s="45">
        <v>150</v>
      </c>
      <c r="B33" s="46">
        <f>'Biela-manivela'!$B$10*(1-COS(RADIANS(A33)))+'Biela-manivela'!$B$6*(1-SQRT(1-'Biela-manivela'!$B$11^2*SIN(RADIANS(A33))^2))</f>
        <v>66.494158852572838</v>
      </c>
      <c r="C33" s="46">
        <f>'Biela-manivela'!$B$10/1000*'Biela-manivela'!$B$12*(SIN(RADIANS(A33))+'Biela-manivela'!$B$11*SIN(RADIANS(2*A33))/(2*SQRT(1-'Biela-manivela'!$B$11^2*SIN(RADIANS(A33))^2)))</f>
        <v>5.6055259889622935</v>
      </c>
      <c r="D33" s="47">
        <f>'Biela-manivela'!$B$10/1000*'Biela-manivela'!$B$12^2*(COS(RADIANS(A33))+'Biela-manivela'!$B$11*COS(RADIANS(2*A33)))</f>
        <v>-4491.652694163753</v>
      </c>
      <c r="E33" s="46">
        <f>'Biela-manivela'!$B$13</f>
        <v>9.3333333333333339</v>
      </c>
    </row>
    <row r="34" spans="1:5" x14ac:dyDescent="0.25">
      <c r="A34" s="45">
        <v>155</v>
      </c>
      <c r="B34" s="46">
        <f>'Biela-manivela'!$B$10*(1-COS(RADIANS(A34)))+'Biela-manivela'!$B$6*(1-SQRT(1-'Biela-manivela'!$B$11^2*SIN(RADIANS(A34))^2))</f>
        <v>67.565023890123413</v>
      </c>
      <c r="C34" s="46">
        <f>'Biela-manivela'!$B$10/1000*'Biela-manivela'!$B$12*(SIN(RADIANS(A34))+'Biela-manivela'!$B$11*SIN(RADIANS(2*A34))/(2*SQRT(1-'Biela-manivela'!$B$11^2*SIN(RADIANS(A34))^2)))</f>
        <v>4.6741866953428337</v>
      </c>
      <c r="D34" s="47">
        <f>'Biela-manivela'!$B$10/1000*'Biela-manivela'!$B$12^2*(COS(RADIANS(A34))+'Biela-manivela'!$B$11*COS(RADIANS(2*A34)))</f>
        <v>-4502.9496248020914</v>
      </c>
      <c r="E34" s="46">
        <f>'Biela-manivela'!$B$13</f>
        <v>9.3333333333333339</v>
      </c>
    </row>
    <row r="35" spans="1:5" x14ac:dyDescent="0.25">
      <c r="A35" s="45">
        <v>160</v>
      </c>
      <c r="B35" s="46">
        <f>'Biela-manivela'!$B$10*(1-COS(RADIANS(A35)))+'Biela-manivela'!$B$6*(1-SQRT(1-'Biela-manivela'!$B$11^2*SIN(RADIANS(A35))^2))</f>
        <v>68.441560321425314</v>
      </c>
      <c r="C35" s="46">
        <f>'Biela-manivela'!$B$10/1000*'Biela-manivela'!$B$12*(SIN(RADIANS(A35))+'Biela-manivela'!$B$11*SIN(RADIANS(2*A35))/(2*SQRT(1-'Biela-manivela'!$B$11^2*SIN(RADIANS(A35))^2)))</f>
        <v>3.7402816063448947</v>
      </c>
      <c r="D35" s="47">
        <f>'Biela-manivela'!$B$10/1000*'Biela-manivela'!$B$12^2*(COS(RADIANS(A35))+'Biela-manivela'!$B$11*COS(RADIANS(2*A35)))</f>
        <v>-4504.17969482839</v>
      </c>
      <c r="E35" s="46">
        <f>'Biela-manivela'!$B$13</f>
        <v>9.3333333333333339</v>
      </c>
    </row>
    <row r="36" spans="1:5" x14ac:dyDescent="0.25">
      <c r="A36" s="45">
        <v>165</v>
      </c>
      <c r="B36" s="46">
        <f>'Biela-manivela'!$B$10*(1-COS(RADIANS(A36)))+'Biela-manivela'!$B$6*(1-SQRT(1-'Biela-manivela'!$B$11^2*SIN(RADIANS(A36))^2))</f>
        <v>69.123401206529124</v>
      </c>
      <c r="C36" s="46">
        <f>'Biela-manivela'!$B$10/1000*'Biela-manivela'!$B$12*(SIN(RADIANS(A36))+'Biela-manivela'!$B$11*SIN(RADIANS(2*A36))/(2*SQRT(1-'Biela-manivela'!$B$11^2*SIN(RADIANS(A36))^2)))</f>
        <v>2.8052986113025242</v>
      </c>
      <c r="D36" s="47">
        <f>'Biela-manivela'!$B$10/1000*'Biela-manivela'!$B$12^2*(COS(RADIANS(A36))+'Biela-manivela'!$B$11*COS(RADIANS(2*A36)))</f>
        <v>-4499.974613351118</v>
      </c>
      <c r="E36" s="46">
        <f>'Biela-manivela'!$B$13</f>
        <v>9.3333333333333339</v>
      </c>
    </row>
    <row r="37" spans="1:5" x14ac:dyDescent="0.25">
      <c r="A37" s="45">
        <v>170</v>
      </c>
      <c r="B37" s="46">
        <f>'Biela-manivela'!$B$10*(1-COS(RADIANS(A37)))+'Biela-manivela'!$B$6*(1-SQRT(1-'Biela-manivela'!$B$11^2*SIN(RADIANS(A37))^2))</f>
        <v>69.610419339342528</v>
      </c>
      <c r="C37" s="46">
        <f>'Biela-manivela'!$B$10/1000*'Biela-manivela'!$B$12*(SIN(RADIANS(A37))+'Biela-manivela'!$B$11*SIN(RADIANS(2*A37))/(2*SQRT(1-'Biela-manivela'!$B$11^2*SIN(RADIANS(A37))^2)))</f>
        <v>1.8700775144417194</v>
      </c>
      <c r="D37" s="47">
        <f>'Biela-manivela'!$B$10/1000*'Biela-manivela'!$B$12^2*(COS(RADIANS(A37))+'Biela-manivela'!$B$11*COS(RADIANS(2*A37)))</f>
        <v>-4494.1310325046834</v>
      </c>
      <c r="E37" s="46">
        <f>'Biela-manivela'!$B$13</f>
        <v>9.3333333333333339</v>
      </c>
    </row>
    <row r="38" spans="1:5" x14ac:dyDescent="0.25">
      <c r="A38" s="45">
        <v>175</v>
      </c>
      <c r="B38" s="46">
        <f>'Biela-manivela'!$B$10*(1-COS(RADIANS(A38)))+'Biela-manivela'!$B$6*(1-SQRT(1-'Biela-manivela'!$B$11^2*SIN(RADIANS(A38))^2))</f>
        <v>69.902608789041594</v>
      </c>
      <c r="C38" s="46">
        <f>'Biela-manivela'!$B$10/1000*'Biela-manivela'!$B$12*(SIN(RADIANS(A38))+'Biela-manivela'!$B$11*SIN(RADIANS(2*A38))/(2*SQRT(1-'Biela-manivela'!$B$11^2*SIN(RADIANS(A38))^2)))</f>
        <v>0.93496963922414189</v>
      </c>
      <c r="D38" s="47">
        <f>'Biela-manivela'!$B$10/1000*'Biela-manivela'!$B$12^2*(COS(RADIANS(A38))+'Biela-manivela'!$B$11*COS(RADIANS(2*A38)))</f>
        <v>-4489.4672656816192</v>
      </c>
      <c r="E38" s="46">
        <f>'Biela-manivela'!$B$13</f>
        <v>9.3333333333333339</v>
      </c>
    </row>
    <row r="39" spans="1:5" x14ac:dyDescent="0.25">
      <c r="A39" s="45">
        <v>180</v>
      </c>
      <c r="B39" s="46">
        <f>'Biela-manivela'!$B$10*(1-COS(RADIANS(A39)))+'Biela-manivela'!$B$6*(1-SQRT(1-'Biela-manivela'!$B$11^2*SIN(RADIANS(A39))^2))</f>
        <v>70</v>
      </c>
      <c r="C39" s="46">
        <f>'Biela-manivela'!$B$10/1000*'Biela-manivela'!$B$12*(SIN(RADIANS(A39))+'Biela-manivela'!$B$11*SIN(RADIANS(2*A39))/(2*SQRT(1-'Biela-manivela'!$B$11^2*SIN(RADIANS(A39))^2)))</f>
        <v>1.3125795186441238E-15</v>
      </c>
      <c r="D39" s="47">
        <f>'Biela-manivela'!$B$10/1000*'Biela-manivela'!$B$12^2*(COS(RADIANS(A39))+'Biela-manivela'!$B$11*COS(RADIANS(2*A39)))</f>
        <v>-4487.7175567346485</v>
      </c>
      <c r="E39" s="46">
        <f>'Biela-manivela'!$B$13</f>
        <v>9.3333333333333339</v>
      </c>
    </row>
    <row r="40" spans="1:5" x14ac:dyDescent="0.25">
      <c r="A40" s="45">
        <v>185</v>
      </c>
      <c r="B40" s="46">
        <f>'Biela-manivela'!$B$10*(1-COS(RADIANS(A40)))+'Biela-manivela'!$B$6*(1-SQRT(1-'Biela-manivela'!$B$11^2*SIN(RADIANS(A40))^2))</f>
        <v>69.902608789041594</v>
      </c>
      <c r="C40" s="46">
        <f>'Biela-manivela'!$B$10/1000*'Biela-manivela'!$B$12*(SIN(RADIANS(A40))+'Biela-manivela'!$B$11*SIN(RADIANS(2*A40))/(2*SQRT(1-'Biela-manivela'!$B$11^2*SIN(RADIANS(A40))^2)))</f>
        <v>-0.93496963922413912</v>
      </c>
      <c r="D40" s="47">
        <f>'Biela-manivela'!$B$10/1000*'Biela-manivela'!$B$12^2*(COS(RADIANS(A40))+'Biela-manivela'!$B$11*COS(RADIANS(2*A40)))</f>
        <v>-4489.4672656816192</v>
      </c>
      <c r="E40" s="46">
        <f>'Biela-manivela'!$B$13</f>
        <v>9.3333333333333339</v>
      </c>
    </row>
    <row r="41" spans="1:5" x14ac:dyDescent="0.25">
      <c r="A41" s="45">
        <v>190</v>
      </c>
      <c r="B41" s="46">
        <f>'Biela-manivela'!$B$10*(1-COS(RADIANS(A41)))+'Biela-manivela'!$B$6*(1-SQRT(1-'Biela-manivela'!$B$11^2*SIN(RADIANS(A41))^2))</f>
        <v>69.610419339342528</v>
      </c>
      <c r="C41" s="46">
        <f>'Biela-manivela'!$B$10/1000*'Biela-manivela'!$B$12*(SIN(RADIANS(A41))+'Biela-manivela'!$B$11*SIN(RADIANS(2*A41))/(2*SQRT(1-'Biela-manivela'!$B$11^2*SIN(RADIANS(A41))^2)))</f>
        <v>-1.8700775144417214</v>
      </c>
      <c r="D41" s="47">
        <f>'Biela-manivela'!$B$10/1000*'Biela-manivela'!$B$12^2*(COS(RADIANS(A41))+'Biela-manivela'!$B$11*COS(RADIANS(2*A41)))</f>
        <v>-4494.1310325046843</v>
      </c>
      <c r="E41" s="46">
        <f>'Biela-manivela'!$B$13</f>
        <v>9.3333333333333339</v>
      </c>
    </row>
    <row r="42" spans="1:5" x14ac:dyDescent="0.25">
      <c r="A42" s="45">
        <v>195</v>
      </c>
      <c r="B42" s="46">
        <f>'Biela-manivela'!$B$10*(1-COS(RADIANS(A42)))+'Biela-manivela'!$B$6*(1-SQRT(1-'Biela-manivela'!$B$11^2*SIN(RADIANS(A42))^2))</f>
        <v>69.123401206529124</v>
      </c>
      <c r="C42" s="46">
        <f>'Biela-manivela'!$B$10/1000*'Biela-manivela'!$B$12*(SIN(RADIANS(A42))+'Biela-manivela'!$B$11*SIN(RADIANS(2*A42))/(2*SQRT(1-'Biela-manivela'!$B$11^2*SIN(RADIANS(A42))^2)))</f>
        <v>-2.805298611302522</v>
      </c>
      <c r="D42" s="47">
        <f>'Biela-manivela'!$B$10/1000*'Biela-manivela'!$B$12^2*(COS(RADIANS(A42))+'Biela-manivela'!$B$11*COS(RADIANS(2*A42)))</f>
        <v>-4499.974613351118</v>
      </c>
      <c r="E42" s="46">
        <f>'Biela-manivela'!$B$13</f>
        <v>9.3333333333333339</v>
      </c>
    </row>
    <row r="43" spans="1:5" x14ac:dyDescent="0.25">
      <c r="A43" s="45">
        <v>200</v>
      </c>
      <c r="B43" s="46">
        <f>'Biela-manivela'!$B$10*(1-COS(RADIANS(A43)))+'Biela-manivela'!$B$6*(1-SQRT(1-'Biela-manivela'!$B$11^2*SIN(RADIANS(A43))^2))</f>
        <v>68.441560321425314</v>
      </c>
      <c r="C43" s="46">
        <f>'Biela-manivela'!$B$10/1000*'Biela-manivela'!$B$12*(SIN(RADIANS(A43))+'Biela-manivela'!$B$11*SIN(RADIANS(2*A43))/(2*SQRT(1-'Biela-manivela'!$B$11^2*SIN(RADIANS(A43))^2)))</f>
        <v>-3.7402816063448925</v>
      </c>
      <c r="D43" s="47">
        <f>'Biela-manivela'!$B$10/1000*'Biela-manivela'!$B$12^2*(COS(RADIANS(A43))+'Biela-manivela'!$B$11*COS(RADIANS(2*A43)))</f>
        <v>-4504.17969482839</v>
      </c>
      <c r="E43" s="46">
        <f>'Biela-manivela'!$B$13</f>
        <v>9.3333333333333339</v>
      </c>
    </row>
    <row r="44" spans="1:5" x14ac:dyDescent="0.25">
      <c r="A44" s="45">
        <v>205</v>
      </c>
      <c r="B44" s="46">
        <f>'Biela-manivela'!$B$10*(1-COS(RADIANS(A44)))+'Biela-manivela'!$B$6*(1-SQRT(1-'Biela-manivela'!$B$11^2*SIN(RADIANS(A44))^2))</f>
        <v>67.565023890123399</v>
      </c>
      <c r="C44" s="46">
        <f>'Biela-manivela'!$B$10/1000*'Biela-manivela'!$B$12*(SIN(RADIANS(A44))+'Biela-manivela'!$B$11*SIN(RADIANS(2*A44))/(2*SQRT(1-'Biela-manivela'!$B$11^2*SIN(RADIANS(A44))^2)))</f>
        <v>-4.6741866953428328</v>
      </c>
      <c r="D44" s="47">
        <f>'Biela-manivela'!$B$10/1000*'Biela-manivela'!$B$12^2*(COS(RADIANS(A44))+'Biela-manivela'!$B$11*COS(RADIANS(2*A44)))</f>
        <v>-4502.9496248020914</v>
      </c>
      <c r="E44" s="46">
        <f>'Biela-manivela'!$B$13</f>
        <v>9.3333333333333339</v>
      </c>
    </row>
    <row r="45" spans="1:5" x14ac:dyDescent="0.25">
      <c r="A45" s="45">
        <v>210</v>
      </c>
      <c r="B45" s="46">
        <f>'Biela-manivela'!$B$10*(1-COS(RADIANS(A45)))+'Biela-manivela'!$B$6*(1-SQRT(1-'Biela-manivela'!$B$11^2*SIN(RADIANS(A45))^2))</f>
        <v>66.494158852572824</v>
      </c>
      <c r="C45" s="46">
        <f>'Biela-manivela'!$B$10/1000*'Biela-manivela'!$B$12*(SIN(RADIANS(A45))+'Biela-manivela'!$B$11*SIN(RADIANS(2*A45))/(2*SQRT(1-'Biela-manivela'!$B$11^2*SIN(RADIANS(A45))^2)))</f>
        <v>-5.6055259889622953</v>
      </c>
      <c r="D45" s="47">
        <f>'Biela-manivela'!$B$10/1000*'Biela-manivela'!$B$12^2*(COS(RADIANS(A45))+'Biela-manivela'!$B$11*COS(RADIANS(2*A45)))</f>
        <v>-4491.652694163753</v>
      </c>
      <c r="E45" s="46">
        <f>'Biela-manivela'!$B$13</f>
        <v>9.3333333333333339</v>
      </c>
    </row>
    <row r="46" spans="1:5" x14ac:dyDescent="0.25">
      <c r="A46" s="45">
        <v>215</v>
      </c>
      <c r="B46" s="46">
        <f>'Biela-manivela'!$B$10*(1-COS(RADIANS(A46)))+'Biela-manivela'!$B$6*(1-SQRT(1-'Biela-manivela'!$B$11^2*SIN(RADIANS(A46))^2))</f>
        <v>65.229723070556972</v>
      </c>
      <c r="C46" s="46">
        <f>'Biela-manivela'!$B$10/1000*'Biela-manivela'!$B$12*(SIN(RADIANS(A46))+'Biela-manivela'!$B$11*SIN(RADIANS(2*A46))/(2*SQRT(1-'Biela-manivela'!$B$11^2*SIN(RADIANS(A46))^2)))</f>
        <v>-6.5320095671179521</v>
      </c>
      <c r="D46" s="47">
        <f>'Biela-manivela'!$B$10/1000*'Biela-manivela'!$B$12^2*(COS(RADIANS(A46))+'Biela-manivela'!$B$11*COS(RADIANS(2*A46)))</f>
        <v>-4464.9984035181014</v>
      </c>
      <c r="E46" s="46">
        <f>'Biela-manivela'!$B$13</f>
        <v>9.3333333333333339</v>
      </c>
    </row>
    <row r="47" spans="1:5" x14ac:dyDescent="0.25">
      <c r="A47" s="45">
        <v>220</v>
      </c>
      <c r="B47" s="46">
        <f>'Biela-manivela'!$B$10*(1-COS(RADIANS(A47)))+'Biela-manivela'!$B$6*(1-SQRT(1-'Biela-manivela'!$B$11^2*SIN(RADIANS(A47))^2))</f>
        <v>63.773047595251882</v>
      </c>
      <c r="C47" s="46">
        <f>'Biela-manivela'!$B$10/1000*'Biela-manivela'!$B$12*(SIN(RADIANS(A47))+'Biela-manivela'!$B$11*SIN(RADIANS(2*A47))/(2*SQRT(1-'Biela-manivela'!$B$11^2*SIN(RADIANS(A47))^2)))</f>
        <v>-7.4504020226646643</v>
      </c>
      <c r="D47" s="47">
        <f>'Biela-manivela'!$B$10/1000*'Biela-manivela'!$B$12^2*(COS(RADIANS(A47))+'Biela-manivela'!$B$11*COS(RADIANS(2*A47)))</f>
        <v>-4417.2410885762829</v>
      </c>
      <c r="E47" s="46">
        <f>'Biela-manivela'!$B$13</f>
        <v>9.3333333333333339</v>
      </c>
    </row>
    <row r="48" spans="1:5" x14ac:dyDescent="0.25">
      <c r="A48" s="45">
        <v>225</v>
      </c>
      <c r="B48" s="46">
        <f>'Biela-manivela'!$B$10*(1-COS(RADIANS(A48)))+'Biela-manivela'!$B$6*(1-SQRT(1-'Biela-manivela'!$B$11^2*SIN(RADIANS(A48))^2))</f>
        <v>62.126247160526987</v>
      </c>
      <c r="C48" s="46">
        <f>'Biela-manivela'!$B$10/1000*'Biela-manivela'!$B$12*(SIN(RADIANS(A48))+'Biela-manivela'!$B$11*SIN(RADIANS(2*A48))/(2*SQRT(1-'Biela-manivela'!$B$11^2*SIN(RADIANS(A48))^2)))</f>
        <v>-8.3563962338877484</v>
      </c>
      <c r="D48" s="47">
        <f>'Biela-manivela'!$B$10/1000*'Biela-manivela'!$B$12^2*(COS(RADIANS(A48))+'Biela-manivela'!$B$11*COS(RADIANS(2*A48)))</f>
        <v>-4342.4043908864132</v>
      </c>
      <c r="E48" s="46">
        <f>'Biela-manivela'!$B$13</f>
        <v>9.3333333333333339</v>
      </c>
    </row>
    <row r="49" spans="1:5" x14ac:dyDescent="0.25">
      <c r="A49" s="45">
        <v>230</v>
      </c>
      <c r="B49" s="46">
        <f>'Biela-manivela'!$B$10*(1-COS(RADIANS(A49)))+'Biela-manivela'!$B$6*(1-SQRT(1-'Biela-manivela'!$B$11^2*SIN(RADIANS(A49))^2))</f>
        <v>60.292454448118598</v>
      </c>
      <c r="C49" s="46">
        <f>'Biela-manivela'!$B$10/1000*'Biela-manivela'!$B$12*(SIN(RADIANS(A49))+'Biela-manivela'!$B$11*SIN(RADIANS(2*A49))/(2*SQRT(1-'Biela-manivela'!$B$11^2*SIN(RADIANS(A49))^2)))</f>
        <v>-9.2445129533017631</v>
      </c>
      <c r="D49" s="47">
        <f>'Biela-manivela'!$B$10/1000*'Biela-manivela'!$B$12^2*(COS(RADIANS(A49))+'Biela-manivela'!$B$11*COS(RADIANS(2*A49)))</f>
        <v>-4234.5193737664376</v>
      </c>
      <c r="E49" s="46">
        <f>'Biela-manivela'!$B$13</f>
        <v>9.3333333333333339</v>
      </c>
    </row>
    <row r="50" spans="1:5" x14ac:dyDescent="0.25">
      <c r="A50" s="45">
        <v>235</v>
      </c>
      <c r="B50" s="46">
        <f>'Biela-manivela'!$B$10*(1-COS(RADIANS(A50)))+'Biela-manivela'!$B$6*(1-SQRT(1-'Biela-manivela'!$B$11^2*SIN(RADIANS(A50))^2))</f>
        <v>58.276071717833105</v>
      </c>
      <c r="C50" s="46">
        <f>'Biela-manivela'!$B$10/1000*'Biela-manivela'!$B$12*(SIN(RADIANS(A50))+'Biela-manivela'!$B$11*SIN(RADIANS(2*A50))/(2*SQRT(1-'Biela-manivela'!$B$11^2*SIN(RADIANS(A50))^2)))</f>
        <v>-10.108036284612869</v>
      </c>
      <c r="D50" s="47">
        <f>'Biela-manivela'!$B$10/1000*'Biela-manivela'!$B$12^2*(COS(RADIANS(A50))+'Biela-manivela'!$B$11*COS(RADIANS(2*A50)))</f>
        <v>-4087.8686182002893</v>
      </c>
      <c r="E50" s="46">
        <f>'Biela-manivela'!$B$13</f>
        <v>9.3333333333333339</v>
      </c>
    </row>
    <row r="51" spans="1:5" x14ac:dyDescent="0.25">
      <c r="A51" s="45">
        <v>240</v>
      </c>
      <c r="B51" s="46">
        <f>'Biela-manivela'!$B$10*(1-COS(RADIANS(A51)))+'Biela-manivela'!$B$6*(1-SQRT(1-'Biela-manivela'!$B$11^2*SIN(RADIANS(A51))^2))</f>
        <v>56.083031202294691</v>
      </c>
      <c r="C51" s="46">
        <f>'Biela-manivela'!$B$10/1000*'Biela-manivela'!$B$12*(SIN(RADIANS(A51))+'Biela-manivela'!$B$11*SIN(RADIANS(2*A51))/(2*SQRT(1-'Biela-manivela'!$B$11^2*SIN(RADIANS(A51))^2)))</f>
        <v>-10.938995883773106</v>
      </c>
      <c r="D51" s="47">
        <f>'Biela-manivela'!$B$10/1000*'Biela-manivela'!$B$12^2*(COS(RADIANS(A51))+'Biela-manivela'!$B$11*COS(RADIANS(2*A51)))</f>
        <v>-3897.2284045327215</v>
      </c>
      <c r="E51" s="46">
        <f>'Biela-manivela'!$B$13</f>
        <v>9.3333333333333339</v>
      </c>
    </row>
    <row r="52" spans="1:5" x14ac:dyDescent="0.25">
      <c r="A52" s="45">
        <v>245</v>
      </c>
      <c r="B52" s="46">
        <f>'Biela-manivela'!$B$10*(1-COS(RADIANS(A52)))+'Biela-manivela'!$B$6*(1-SQRT(1-'Biela-manivela'!$B$11^2*SIN(RADIANS(A52))^2))</f>
        <v>53.721053419971433</v>
      </c>
      <c r="C52" s="46">
        <f>'Biela-manivela'!$B$10/1000*'Biela-manivela'!$B$12*(SIN(RADIANS(A52))+'Biela-manivela'!$B$11*SIN(RADIANS(2*A52))/(2*SQRT(1-'Biela-manivela'!$B$11^2*SIN(RADIANS(A52))^2)))</f>
        <v>-11.728206398228632</v>
      </c>
      <c r="D52" s="47">
        <f>'Biela-manivela'!$B$10/1000*'Biela-manivela'!$B$12^2*(COS(RADIANS(A52))+'Biela-manivela'!$B$11*COS(RADIANS(2*A52)))</f>
        <v>-3658.1011003664867</v>
      </c>
      <c r="E52" s="46">
        <f>'Biela-manivela'!$B$13</f>
        <v>9.3333333333333339</v>
      </c>
    </row>
    <row r="53" spans="1:5" x14ac:dyDescent="0.25">
      <c r="A53" s="45">
        <v>250</v>
      </c>
      <c r="B53" s="46">
        <f>'Biela-manivela'!$B$10*(1-COS(RADIANS(A53)))+'Biela-manivela'!$B$6*(1-SQRT(1-'Biela-manivela'!$B$11^2*SIN(RADIANS(A53))^2))</f>
        <v>51.199890521979128</v>
      </c>
      <c r="C53" s="46">
        <f>'Biela-manivela'!$B$10/1000*'Biela-manivela'!$B$12*(SIN(RADIANS(A53))+'Biela-manivela'!$B$11*SIN(RADIANS(2*A53))/(2*SQRT(1-'Biela-manivela'!$B$11^2*SIN(RADIANS(A53))^2)))</f>
        <v>-12.465372946852295</v>
      </c>
      <c r="D53" s="47">
        <f>'Biela-manivela'!$B$10/1000*'Biela-manivela'!$B$12^2*(COS(RADIANS(A53))+'Biela-manivela'!$B$11*COS(RADIANS(2*A53)))</f>
        <v>-3366.9301330166036</v>
      </c>
      <c r="E53" s="46">
        <f>'Biela-manivela'!$B$13</f>
        <v>9.3333333333333339</v>
      </c>
    </row>
    <row r="54" spans="1:5" x14ac:dyDescent="0.25">
      <c r="A54" s="45">
        <v>255</v>
      </c>
      <c r="B54" s="46">
        <f>'Biela-manivela'!$B$10*(1-COS(RADIANS(A54)))+'Biela-manivela'!$B$6*(1-SQRT(1-'Biela-manivela'!$B$11^2*SIN(RADIANS(A54))^2))</f>
        <v>48.531540266455856</v>
      </c>
      <c r="C54" s="46">
        <f>'Biela-manivela'!$B$10/1000*'Biela-manivela'!$B$12*(SIN(RADIANS(A54))+'Biela-manivela'!$B$11*SIN(RADIANS(2*A54))/(2*SQRT(1-'Biela-manivela'!$B$11^2*SIN(RADIANS(A54))^2)))</f>
        <v>-13.139268187603891</v>
      </c>
      <c r="D54" s="47">
        <f>'Biela-manivela'!$B$10/1000*'Biela-manivela'!$B$12^2*(COS(RADIANS(A54))+'Biela-manivela'!$B$11*COS(RADIANS(2*A54)))</f>
        <v>-3021.2904186743317</v>
      </c>
      <c r="E54" s="46">
        <f>'Biela-manivela'!$B$13</f>
        <v>9.3333333333333339</v>
      </c>
    </row>
    <row r="55" spans="1:5" x14ac:dyDescent="0.25">
      <c r="A55" s="45">
        <v>260</v>
      </c>
      <c r="B55" s="46">
        <f>'Biela-manivela'!$B$10*(1-COS(RADIANS(A55)))+'Biela-manivela'!$B$6*(1-SQRT(1-'Biela-manivela'!$B$11^2*SIN(RADIANS(A55))^2))</f>
        <v>45.730415527000297</v>
      </c>
      <c r="C55" s="46">
        <f>'Biela-manivela'!$B$10/1000*'Biela-manivela'!$B$12*(SIN(RADIANS(A55))+'Biela-manivela'!$B$11*SIN(RADIANS(2*A55))/(2*SQRT(1-'Biela-manivela'!$B$11^2*SIN(RADIANS(A55))^2)))</f>
        <v>-13.737981801843086</v>
      </c>
      <c r="D55" s="47">
        <f>'Biela-manivela'!$B$10/1000*'Biela-manivela'!$B$12^2*(COS(RADIANS(A55))+'Biela-manivela'!$B$11*COS(RADIANS(2*A55)))</f>
        <v>-2620.0478353435151</v>
      </c>
      <c r="E55" s="46">
        <f>'Biela-manivela'!$B$13</f>
        <v>9.3333333333333339</v>
      </c>
    </row>
    <row r="56" spans="1:5" x14ac:dyDescent="0.25">
      <c r="A56" s="45">
        <v>265</v>
      </c>
      <c r="B56" s="46">
        <f>'Biela-manivela'!$B$10*(1-COS(RADIANS(A56)))+'Biela-manivela'!$B$6*(1-SQRT(1-'Biela-manivela'!$B$11^2*SIN(RADIANS(A56))^2))</f>
        <v>42.813454660101186</v>
      </c>
      <c r="C56" s="46">
        <f>'Biela-manivela'!$B$10/1000*'Biela-manivela'!$B$12*(SIN(RADIANS(A56))+'Biela-manivela'!$B$11*SIN(RADIANS(2*A56))/(2*SQRT(1-'Biela-manivela'!$B$11^2*SIN(RADIANS(A56))^2)))</f>
        <v>-14.249237413979543</v>
      </c>
      <c r="D56" s="47">
        <f>'Biela-manivela'!$B$10/1000*'Biela-manivela'!$B$12^2*(COS(RADIANS(A56))+'Biela-manivela'!$B$11*COS(RADIANS(2*A56)))</f>
        <v>-2163.482241146356</v>
      </c>
      <c r="E56" s="46">
        <f>'Biela-manivela'!$B$13</f>
        <v>9.3333333333333339</v>
      </c>
    </row>
    <row r="57" spans="1:5" x14ac:dyDescent="0.25">
      <c r="A57" s="45">
        <v>270</v>
      </c>
      <c r="B57" s="46">
        <f>'Biela-manivela'!$B$10*(1-COS(RADIANS(A57)))+'Biela-manivela'!$B$6*(1-SQRT(1-'Biela-manivela'!$B$11^2*SIN(RADIANS(A57))^2))</f>
        <v>39.800159744510857</v>
      </c>
      <c r="C57" s="46">
        <f>'Biela-manivela'!$B$10/1000*'Biela-manivela'!$B$12*(SIN(RADIANS(A57))+'Biela-manivela'!$B$11*SIN(RADIANS(2*A57))/(2*SQRT(1-'Biela-manivela'!$B$11^2*SIN(RADIANS(A57))^2)))</f>
        <v>-14.660765716752369</v>
      </c>
      <c r="D57" s="47">
        <f>'Biela-manivela'!$B$10/1000*'Biela-manivela'!$B$12^2*(COS(RADIANS(A57))+'Biela-manivela'!$B$11*COS(RADIANS(2*A57)))</f>
        <v>-1653.3696261653974</v>
      </c>
      <c r="E57" s="46">
        <f>'Biela-manivela'!$B$13</f>
        <v>9.3333333333333339</v>
      </c>
    </row>
    <row r="58" spans="1:5" x14ac:dyDescent="0.25">
      <c r="A58" s="45">
        <v>275</v>
      </c>
      <c r="B58" s="46">
        <f>'Biela-manivela'!$B$10*(1-COS(RADIANS(A58)))+'Biela-manivela'!$B$6*(1-SQRT(1-'Biela-manivela'!$B$11^2*SIN(RADIANS(A58))^2))</f>
        <v>36.712552667765124</v>
      </c>
      <c r="C58" s="46">
        <f>'Biela-manivela'!$B$10/1000*'Biela-manivela'!$B$12*(SIN(RADIANS(A58))+'Biela-manivela'!$B$11*SIN(RADIANS(2*A58))/(2*SQRT(1-'Biela-manivela'!$B$11^2*SIN(RADIANS(A58))^2)))</f>
        <v>-14.960716740008335</v>
      </c>
      <c r="D58" s="47">
        <f>'Biela-manivela'!$B$10/1000*'Biela-manivela'!$B$12^2*(COS(RADIANS(A58))+'Biela-manivela'!$B$11*COS(RADIANS(2*A58)))</f>
        <v>-1093.0202117388033</v>
      </c>
      <c r="E58" s="46">
        <f>'Biela-manivela'!$B$13</f>
        <v>9.3333333333333339</v>
      </c>
    </row>
    <row r="59" spans="1:5" x14ac:dyDescent="0.25">
      <c r="A59" s="45">
        <v>280</v>
      </c>
      <c r="B59" s="46">
        <f>'Biela-manivela'!$B$10*(1-COS(RADIANS(A59)))+'Biela-manivela'!$B$6*(1-SQRT(1-'Biela-manivela'!$B$11^2*SIN(RADIANS(A59))^2))</f>
        <v>33.575043090315184</v>
      </c>
      <c r="C59" s="46">
        <f>'Biela-manivela'!$B$10/1000*'Biela-manivela'!$B$12*(SIN(RADIANS(A59))+'Biela-manivela'!$B$11*SIN(RADIANS(2*A59))/(2*SQRT(1-'Biela-manivela'!$B$11^2*SIN(RADIANS(A59))^2)))</f>
        <v>-15.138089684063543</v>
      </c>
      <c r="D59" s="47">
        <f>'Biela-manivela'!$B$10/1000*'Biela-manivela'!$B$12^2*(COS(RADIANS(A59))+'Biela-manivela'!$B$11*COS(RADIANS(2*A59)))</f>
        <v>-487.27063893484615</v>
      </c>
      <c r="E59" s="46">
        <f>'Biela-manivela'!$B$13</f>
        <v>9.3333333333333339</v>
      </c>
    </row>
    <row r="60" spans="1:5" x14ac:dyDescent="0.25">
      <c r="A60" s="45">
        <v>285</v>
      </c>
      <c r="B60" s="46">
        <f>'Biela-manivela'!$B$10*(1-COS(RADIANS(A60)))+'Biela-manivela'!$B$6*(1-SQRT(1-'Biela-manivela'!$B$11^2*SIN(RADIANS(A60))^2))</f>
        <v>30.414207109279442</v>
      </c>
      <c r="C60" s="46">
        <f>'Biela-manivela'!$B$10/1000*'Biela-manivela'!$B$12*(SIN(RADIANS(A60))+'Biela-manivela'!$B$11*SIN(RADIANS(2*A60))/(2*SQRT(1-'Biela-manivela'!$B$11^2*SIN(RADIANS(A60))^2)))</f>
        <v>-15.183156290365064</v>
      </c>
      <c r="D60" s="47">
        <f>'Biela-manivela'!$B$10/1000*'Biela-manivela'!$B$12^2*(COS(RADIANS(A60))+'Biela-manivela'!$B$11*COS(RADIANS(2*A60)))</f>
        <v>157.57022246470126</v>
      </c>
      <c r="E60" s="46">
        <f>'Biela-manivela'!$B$13</f>
        <v>9.3333333333333339</v>
      </c>
    </row>
    <row r="61" spans="1:5" x14ac:dyDescent="0.25">
      <c r="A61" s="45">
        <v>290</v>
      </c>
      <c r="B61" s="46">
        <f>'Biela-manivela'!$B$10*(1-COS(RADIANS(A61)))+'Biela-manivela'!$B$6*(1-SQRT(1-'Biela-manivela'!$B$11^2*SIN(RADIANS(A61))^2))</f>
        <v>27.258480489182311</v>
      </c>
      <c r="C61" s="46">
        <f>'Biela-manivela'!$B$10/1000*'Biela-manivela'!$B$12*(SIN(RADIANS(A61))+'Biela-manivela'!$B$11*SIN(RADIANS(2*A61))/(2*SQRT(1-'Biela-manivela'!$B$11^2*SIN(RADIANS(A61))^2)))</f>
        <v>-15.087853771354167</v>
      </c>
      <c r="D61" s="47">
        <f>'Biela-manivela'!$B$10/1000*'Biela-manivela'!$B$12^2*(COS(RADIANS(A61))+'Biela-manivela'!$B$11*COS(RADIANS(2*A61)))</f>
        <v>833.82090392519854</v>
      </c>
      <c r="E61" s="46">
        <f>'Biela-manivela'!$B$13</f>
        <v>9.3333333333333339</v>
      </c>
    </row>
    <row r="62" spans="1:5" x14ac:dyDescent="0.25">
      <c r="A62" s="45">
        <v>295</v>
      </c>
      <c r="B62" s="46">
        <f>'Biela-manivela'!$B$10*(1-COS(RADIANS(A62)))+'Biela-manivela'!$B$6*(1-SQRT(1-'Biela-manivela'!$B$11^2*SIN(RADIANS(A62))^2))</f>
        <v>24.137775098122471</v>
      </c>
      <c r="C62" s="46">
        <f>'Biela-manivela'!$B$10/1000*'Biela-manivela'!$B$12*(SIN(RADIANS(A62))+'Biela-manivela'!$B$11*SIN(RADIANS(2*A62))/(2*SQRT(1-'Biela-manivela'!$B$11^2*SIN(RADIANS(A62))^2)))</f>
        <v>-14.846125867796619</v>
      </c>
      <c r="D62" s="47">
        <f>'Biela-manivela'!$B$10/1000*'Biela-manivela'!$B$12^2*(COS(RADIANS(A62))+'Biela-manivela'!$B$11*COS(RADIANS(2*A62)))</f>
        <v>1532.5700805041247</v>
      </c>
      <c r="E62" s="46">
        <f>'Biela-manivela'!$B$13</f>
        <v>9.3333333333333339</v>
      </c>
    </row>
    <row r="63" spans="1:5" x14ac:dyDescent="0.25">
      <c r="A63" s="45">
        <v>300</v>
      </c>
      <c r="B63" s="46">
        <f>'Biela-manivela'!$B$10*(1-COS(RADIANS(A63)))+'Biela-manivela'!$B$6*(1-SQRT(1-'Biela-manivela'!$B$11^2*SIN(RADIANS(A63))^2))</f>
        <v>21.083031202294677</v>
      </c>
      <c r="C63" s="46">
        <f>'Biela-manivela'!$B$10/1000*'Biela-manivela'!$B$12*(SIN(RADIANS(A63))+'Biela-manivela'!$B$11*SIN(RADIANS(2*A63))/(2*SQRT(1-'Biela-manivela'!$B$11^2*SIN(RADIANS(A63))^2)))</f>
        <v>-14.454195215505939</v>
      </c>
      <c r="D63" s="47">
        <f>'Biela-manivela'!$B$10/1000*'Biela-manivela'!$B$12^2*(COS(RADIANS(A63))+'Biela-manivela'!$B$11*COS(RADIANS(2*A63)))</f>
        <v>2243.8587783673247</v>
      </c>
      <c r="E63" s="46">
        <f>'Biela-manivela'!$B$13</f>
        <v>9.3333333333333339</v>
      </c>
    </row>
    <row r="64" spans="1:5" x14ac:dyDescent="0.25">
      <c r="A64" s="45">
        <v>305</v>
      </c>
      <c r="B64" s="46">
        <f>'Biela-manivela'!$B$10*(1-COS(RADIANS(A64)))+'Biela-manivela'!$B$6*(1-SQRT(1-'Biela-manivela'!$B$11^2*SIN(RADIANS(A64))^2))</f>
        <v>18.125721173259866</v>
      </c>
      <c r="C64" s="46">
        <f>'Biela-manivela'!$B$10/1000*'Biela-manivela'!$B$12*(SIN(RADIANS(A64))+'Biela-manivela'!$B$11*SIN(RADIANS(2*A64))/(2*SQRT(1-'Biela-manivela'!$B$11^2*SIN(RADIANS(A64))^2)))</f>
        <v>-13.910756130826465</v>
      </c>
      <c r="D64" s="47">
        <f>'Biela-manivela'!$B$10/1000*'Biela-manivela'!$B$12^2*(COS(RADIANS(A64))+'Biela-manivela'!$B$11*COS(RADIANS(2*A64)))</f>
        <v>2956.8971851774959</v>
      </c>
      <c r="E64" s="46">
        <f>'Biela-manivela'!$B$13</f>
        <v>9.3333333333333339</v>
      </c>
    </row>
    <row r="65" spans="1:5" x14ac:dyDescent="0.25">
      <c r="A65" s="45">
        <v>310</v>
      </c>
      <c r="B65" s="46">
        <f>'Biela-manivela'!$B$10*(1-COS(RADIANS(A65)))+'Biela-manivela'!$B$6*(1-SQRT(1-'Biela-manivela'!$B$11^2*SIN(RADIANS(A65))^2))</f>
        <v>15.297321770060844</v>
      </c>
      <c r="C65" s="46">
        <f>'Biela-manivela'!$B$10/1000*'Biela-manivela'!$B$12*(SIN(RADIANS(A65))+'Biela-manivela'!$B$11*SIN(RADIANS(2*A65))/(2*SQRT(1-'Biela-manivela'!$B$11^2*SIN(RADIANS(A65))^2)))</f>
        <v>-13.217083265072983</v>
      </c>
      <c r="D65" s="47">
        <f>'Biela-manivela'!$B$10/1000*'Biela-manivela'!$B$12^2*(COS(RADIANS(A65))+'Biela-manivela'!$B$11*COS(RADIANS(2*A65)))</f>
        <v>3660.3101285794874</v>
      </c>
      <c r="E65" s="46">
        <f>'Biela-manivela'!$B$13</f>
        <v>9.3333333333333339</v>
      </c>
    </row>
    <row r="66" spans="1:5" x14ac:dyDescent="0.25">
      <c r="A66" s="45">
        <v>315</v>
      </c>
      <c r="B66" s="46">
        <f>'Biela-manivela'!$B$10*(1-COS(RADIANS(A66)))+'Biela-manivela'!$B$6*(1-SQRT(1-'Biela-manivela'!$B$11^2*SIN(RADIANS(A66))^2))</f>
        <v>12.628772477468658</v>
      </c>
      <c r="C66" s="46">
        <f>'Biela-manivela'!$B$10/1000*'Biela-manivela'!$B$12*(SIN(RADIANS(A66))+'Biela-manivela'!$B$11*SIN(RADIANS(2*A66))/(2*SQRT(1-'Biela-manivela'!$B$11^2*SIN(RADIANS(A66))^2)))</f>
        <v>-12.377057477517964</v>
      </c>
      <c r="D66" s="47">
        <f>'Biela-manivela'!$B$10/1000*'Biela-manivela'!$B$12^2*(COS(RADIANS(A66))+'Biela-manivela'!$B$11*COS(RADIANS(2*A66)))</f>
        <v>4342.4043908864114</v>
      </c>
      <c r="E66" s="46">
        <f>'Biela-manivela'!$B$13</f>
        <v>9.3333333333333339</v>
      </c>
    </row>
    <row r="67" spans="1:5" x14ac:dyDescent="0.25">
      <c r="A67" s="45">
        <v>320</v>
      </c>
      <c r="B67" s="46">
        <f>'Biela-manivela'!$B$10*(1-COS(RADIANS(A67)))+'Biela-manivela'!$B$6*(1-SQRT(1-'Biela-manivela'!$B$11^2*SIN(RADIANS(A67))^2))</f>
        <v>10.149936576923434</v>
      </c>
      <c r="C67" s="46">
        <f>'Biela-manivela'!$B$10/1000*'Biela-manivela'!$B$12*(SIN(RADIANS(A67))+'Biela-manivela'!$B$11*SIN(RADIANS(2*A67))/(2*SQRT(1-'Biela-manivela'!$B$11^2*SIN(RADIANS(A67))^2)))</f>
        <v>-11.397115079826575</v>
      </c>
      <c r="D67" s="47">
        <f>'Biela-manivela'!$B$10/1000*'Biela-manivela'!$B$12^2*(COS(RADIANS(A67))+'Biela-manivela'!$B$11*COS(RADIANS(2*A67)))</f>
        <v>4991.4503337632304</v>
      </c>
      <c r="E67" s="46">
        <f>'Biela-manivela'!$B$13</f>
        <v>9.3333333333333339</v>
      </c>
    </row>
    <row r="68" spans="1:5" x14ac:dyDescent="0.25">
      <c r="A68" s="45">
        <v>325</v>
      </c>
      <c r="B68" s="46">
        <f>'Biela-manivela'!$B$10*(1-COS(RADIANS(A68)))+'Biela-manivela'!$B$6*(1-SQRT(1-'Biela-manivela'!$B$11^2*SIN(RADIANS(A68))^2))</f>
        <v>7.8890799703275478</v>
      </c>
      <c r="C68" s="46">
        <f>'Biela-manivela'!$B$10/1000*'Biela-manivela'!$B$12*(SIN(RADIANS(A68))+'Biela-manivela'!$B$11*SIN(RADIANS(2*A68))/(2*SQRT(1-'Biela-manivela'!$B$11^2*SIN(RADIANS(A68))^2)))</f>
        <v>-10.286129940866882</v>
      </c>
      <c r="D68" s="47">
        <f>'Biela-manivela'!$B$10/1000*'Biela-manivela'!$B$12^2*(COS(RADIANS(A68))+'Biela-manivela'!$B$11*COS(RADIANS(2*A68)))</f>
        <v>5595.9698365408904</v>
      </c>
      <c r="E68" s="46">
        <f>'Biela-manivela'!$B$13</f>
        <v>9.3333333333333339</v>
      </c>
    </row>
    <row r="69" spans="1:5" x14ac:dyDescent="0.25">
      <c r="A69" s="45">
        <v>330</v>
      </c>
      <c r="B69" s="46">
        <f>'Biela-manivela'!$B$10*(1-COS(RADIANS(A69)))+'Biela-manivela'!$B$6*(1-SQRT(1-'Biela-manivela'!$B$11^2*SIN(RADIANS(A69))^2))</f>
        <v>5.8723805876621382</v>
      </c>
      <c r="C69" s="46">
        <f>'Biela-manivela'!$B$10/1000*'Biela-manivela'!$B$12*(SIN(RADIANS(A69))+'Biela-manivela'!$B$11*SIN(RADIANS(2*A69))/(2*SQRT(1-'Biela-manivela'!$B$11^2*SIN(RADIANS(A69))^2)))</f>
        <v>-9.0552397277900827</v>
      </c>
      <c r="D69" s="47">
        <f>'Biela-manivela'!$B$10/1000*'Biela-manivela'!$B$12^2*(COS(RADIANS(A69))+'Biela-manivela'!$B$11*COS(RADIANS(2*A69)))</f>
        <v>6145.0223203291471</v>
      </c>
      <c r="E69" s="46">
        <f>'Biela-manivela'!$B$13</f>
        <v>9.3333333333333339</v>
      </c>
    </row>
    <row r="70" spans="1:5" x14ac:dyDescent="0.25">
      <c r="A70" s="45">
        <v>335</v>
      </c>
      <c r="B70" s="46">
        <f>'Biela-manivela'!$B$10*(1-COS(RADIANS(A70)))+'Biela-manivela'!$B$6*(1-SQRT(1-'Biela-manivela'!$B$11^2*SIN(RADIANS(A70))^2))</f>
        <v>4.1234787975579028</v>
      </c>
      <c r="C70" s="46">
        <f>'Biela-manivela'!$B$10/1000*'Biela-manivela'!$B$12*(SIN(RADIANS(A70))+'Biela-manivela'!$B$11*SIN(RADIANS(2*A70))/(2*SQRT(1-'Biela-manivela'!$B$11^2*SIN(RADIANS(A70))^2)))</f>
        <v>-7.7176279506602121</v>
      </c>
      <c r="D70" s="47">
        <f>'Biela-manivela'!$B$10/1000*'Biela-manivela'!$B$12^2*(COS(RADIANS(A70))+'Biela-manivela'!$B$11*COS(RADIANS(2*A70)))</f>
        <v>6628.4806446644579</v>
      </c>
      <c r="E70" s="46">
        <f>'Biela-manivela'!$B$13</f>
        <v>9.3333333333333339</v>
      </c>
    </row>
    <row r="71" spans="1:5" x14ac:dyDescent="0.25">
      <c r="A71" s="45">
        <v>340</v>
      </c>
      <c r="B71" s="46">
        <f>'Biela-manivela'!$B$10*(1-COS(RADIANS(A71)))+'Biela-manivela'!$B$6*(1-SQRT(1-'Biela-manivela'!$B$11^2*SIN(RADIANS(A71))^2))</f>
        <v>2.663076866411723</v>
      </c>
      <c r="C71" s="46">
        <f>'Biela-manivela'!$B$10/1000*'Biela-manivela'!$B$12*(SIN(RADIANS(A71))+'Biela-manivela'!$B$11*SIN(RADIANS(2*A71))/(2*SQRT(1-'Biela-manivela'!$B$11^2*SIN(RADIANS(A71))^2)))</f>
        <v>-6.2882727770704951</v>
      </c>
      <c r="D71" s="47">
        <f>'Biela-manivela'!$B$10/1000*'Biela-manivela'!$B$12^2*(COS(RADIANS(A71))+'Biela-manivela'!$B$11*COS(RADIANS(2*A71)))</f>
        <v>7037.2889239197993</v>
      </c>
      <c r="E71" s="46">
        <f>'Biela-manivela'!$B$13</f>
        <v>9.3333333333333339</v>
      </c>
    </row>
    <row r="72" spans="1:5" x14ac:dyDescent="0.25">
      <c r="A72" s="45">
        <v>345</v>
      </c>
      <c r="B72" s="46">
        <f>'Biela-manivela'!$B$10*(1-COS(RADIANS(A72)))+'Biela-manivela'!$B$6*(1-SQRT(1-'Biela-manivela'!$B$11^2*SIN(RADIANS(A72))^2))</f>
        <v>1.5085933662943511</v>
      </c>
      <c r="C72" s="46">
        <f>'Biela-manivela'!$B$10/1000*'Biela-manivela'!$B$12*(SIN(RADIANS(A72))+'Biela-manivela'!$B$11*SIN(RADIANS(2*A72))/(2*SQRT(1-'Biela-manivela'!$B$11^2*SIN(RADIANS(A72))^2)))</f>
        <v>-4.78367215526072</v>
      </c>
      <c r="D72" s="47">
        <f>'Biela-manivela'!$B$10/1000*'Biela-manivela'!$B$12^2*(COS(RADIANS(A72))+'Biela-manivela'!$B$11*COS(RADIANS(2*A72)))</f>
        <v>7363.6948095607459</v>
      </c>
      <c r="E72" s="46">
        <f>'Biela-manivela'!$B$13</f>
        <v>9.3333333333333339</v>
      </c>
    </row>
    <row r="73" spans="1:5" x14ac:dyDescent="0.25">
      <c r="A73" s="45">
        <v>350</v>
      </c>
      <c r="B73" s="46">
        <f>'Biela-manivela'!$B$10*(1-COS(RADIANS(A73)))+'Biela-manivela'!$B$6*(1-SQRT(1-'Biela-manivela'!$B$11^2*SIN(RADIANS(A73))^2))</f>
        <v>0.67387662848795327</v>
      </c>
      <c r="C73" s="46">
        <f>'Biela-manivela'!$B$10/1000*'Biela-manivela'!$B$12*(SIN(RADIANS(A73))+'Biela-manivela'!$B$11*SIN(RADIANS(2*A73))/(2*SQRT(1-'Biela-manivela'!$B$11^2*SIN(RADIANS(A73))^2)))</f>
        <v>-3.221552985389994</v>
      </c>
      <c r="D73" s="47">
        <f>'Biela-manivela'!$B$10/1000*'Biela-manivela'!$B$12^2*(COS(RADIANS(A73))+'Biela-manivela'!$B$11*COS(RADIANS(2*A73)))</f>
        <v>7601.449506783043</v>
      </c>
      <c r="E73" s="46">
        <f>'Biela-manivela'!$B$13</f>
        <v>9.3333333333333339</v>
      </c>
    </row>
    <row r="74" spans="1:5" x14ac:dyDescent="0.25">
      <c r="A74" s="45">
        <v>355</v>
      </c>
      <c r="B74" s="46">
        <f>'Biela-manivela'!$B$10*(1-COS(RADIANS(A74)))+'Biela-manivela'!$B$6*(1-SQRT(1-'Biela-manivela'!$B$11^2*SIN(RADIANS(A74))^2))</f>
        <v>0.1689799226194133</v>
      </c>
      <c r="C74" s="46">
        <f>'Biela-manivela'!$B$10/1000*'Biela-manivela'!$B$12*(SIN(RADIANS(A74))+'Biela-manivela'!$B$11*SIN(RADIANS(2*A74))/(2*SQRT(1-'Biela-manivela'!$B$11^2*SIN(RADIANS(A74))^2)))</f>
        <v>-1.6205702113617728</v>
      </c>
      <c r="D74" s="47">
        <f>'Biela-manivela'!$B$10/1000*'Biela-manivela'!$B$12^2*(COS(RADIANS(A74))+'Biela-manivela'!$B$11*COS(RADIANS(2*A74)))</f>
        <v>7745.9697185667765</v>
      </c>
      <c r="E74" s="46">
        <f>'Biela-manivela'!$B$13</f>
        <v>9.3333333333333339</v>
      </c>
    </row>
    <row r="75" spans="1:5" x14ac:dyDescent="0.25">
      <c r="A75" s="45">
        <v>360</v>
      </c>
      <c r="B75" s="46">
        <f>'Biela-manivela'!$B$10*(1-COS(RADIANS(A75)))+'Biela-manivela'!$B$6*(1-SQRT(1-'Biela-manivela'!$B$11^2*SIN(RADIANS(A75))^2))</f>
        <v>0</v>
      </c>
      <c r="C75" s="46">
        <f>'Biela-manivela'!$B$10/1000*'Biela-manivela'!$B$12*(SIN(RADIANS(A75))+'Biela-manivela'!$B$11*SIN(RADIANS(2*A75))/(2*SQRT(1-'Biela-manivela'!$B$11^2*SIN(RADIANS(A75))^2)))</f>
        <v>-4.5594867489743255E-15</v>
      </c>
      <c r="D75" s="47">
        <f>'Biela-manivela'!$B$10/1000*'Biela-manivela'!$B$12^2*(COS(RADIANS(A75))+'Biela-manivela'!$B$11*COS(RADIANS(2*A75)))</f>
        <v>7794.4568090654402</v>
      </c>
      <c r="E75" s="46">
        <f>'Biela-manivela'!$B$13</f>
        <v>9.3333333333333339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C8C8C"/>
  </sheetPr>
  <dimension ref="A1:CD305"/>
  <sheetViews>
    <sheetView workbookViewId="0"/>
  </sheetViews>
  <sheetFormatPr baseColWidth="10" defaultColWidth="9.140625" defaultRowHeight="15" x14ac:dyDescent="0.25"/>
  <sheetData>
    <row r="1" spans="1:82" x14ac:dyDescent="0.25">
      <c r="A1" s="44" t="s">
        <v>304</v>
      </c>
    </row>
    <row r="3" spans="1:82" x14ac:dyDescent="0.25">
      <c r="A3" t="s">
        <v>305</v>
      </c>
      <c r="B3" t="s">
        <v>306</v>
      </c>
      <c r="C3" t="s">
        <v>307</v>
      </c>
      <c r="D3" t="s">
        <v>308</v>
      </c>
      <c r="F3" t="s">
        <v>309</v>
      </c>
      <c r="G3" t="s">
        <v>310</v>
      </c>
      <c r="H3" t="s">
        <v>311</v>
      </c>
      <c r="J3" t="s">
        <v>312</v>
      </c>
      <c r="K3" t="s">
        <v>313</v>
      </c>
      <c r="L3" t="s">
        <v>311</v>
      </c>
      <c r="N3" t="s">
        <v>314</v>
      </c>
      <c r="P3" t="s">
        <v>315</v>
      </c>
      <c r="Q3" t="s">
        <v>316</v>
      </c>
      <c r="S3" t="s">
        <v>317</v>
      </c>
      <c r="T3" t="s">
        <v>318</v>
      </c>
      <c r="V3" t="s">
        <v>319</v>
      </c>
      <c r="W3" t="s">
        <v>313</v>
      </c>
      <c r="X3" t="s">
        <v>311</v>
      </c>
      <c r="Z3" t="s">
        <v>320</v>
      </c>
      <c r="AA3" t="s">
        <v>313</v>
      </c>
      <c r="AB3" t="s">
        <v>311</v>
      </c>
      <c r="AD3" t="s">
        <v>307</v>
      </c>
      <c r="AE3" t="s">
        <v>308</v>
      </c>
      <c r="AG3" t="s">
        <v>321</v>
      </c>
      <c r="AH3" t="s">
        <v>313</v>
      </c>
      <c r="AI3" t="s">
        <v>311</v>
      </c>
      <c r="AK3" t="s">
        <v>322</v>
      </c>
      <c r="AL3" t="s">
        <v>323</v>
      </c>
      <c r="AN3" t="s">
        <v>324</v>
      </c>
      <c r="AO3" t="s">
        <v>325</v>
      </c>
      <c r="AQ3" t="s">
        <v>326</v>
      </c>
      <c r="AR3" t="s">
        <v>327</v>
      </c>
      <c r="AT3" t="s">
        <v>309</v>
      </c>
      <c r="AU3" t="s">
        <v>310</v>
      </c>
      <c r="AV3" t="s">
        <v>311</v>
      </c>
      <c r="AX3" t="s">
        <v>328</v>
      </c>
      <c r="AY3" t="s">
        <v>329</v>
      </c>
      <c r="BA3" t="s">
        <v>330</v>
      </c>
      <c r="BB3" t="s">
        <v>313</v>
      </c>
      <c r="BH3" t="s">
        <v>324</v>
      </c>
      <c r="BI3" t="s">
        <v>325</v>
      </c>
      <c r="BK3" t="s">
        <v>326</v>
      </c>
      <c r="BL3" t="s">
        <v>327</v>
      </c>
      <c r="BN3" t="s">
        <v>309</v>
      </c>
      <c r="BO3" t="s">
        <v>310</v>
      </c>
      <c r="BP3" t="s">
        <v>311</v>
      </c>
      <c r="BR3" t="s">
        <v>328</v>
      </c>
      <c r="BS3" t="s">
        <v>329</v>
      </c>
      <c r="CB3" t="s">
        <v>331</v>
      </c>
      <c r="CC3" t="s">
        <v>313</v>
      </c>
      <c r="CD3" t="s">
        <v>311</v>
      </c>
    </row>
    <row r="4" spans="1:82" x14ac:dyDescent="0.25">
      <c r="A4">
        <v>0</v>
      </c>
      <c r="B4">
        <v>0</v>
      </c>
      <c r="C4">
        <f>('Pie de rey'!$B$49/'Pie de rey'!$B$42-'Pie de rey'!$B$63)+MIN(0,'Pie de rey'!$B$43)*'Pie de rey'!$B$50</f>
        <v>11.75</v>
      </c>
      <c r="D4">
        <v>0</v>
      </c>
      <c r="F4">
        <f>IF((0*'Pie de rey'!$B$55)&lt;=100,(0*'Pie de rey'!$B$55),-50)</f>
        <v>0</v>
      </c>
      <c r="G4">
        <v>2.7</v>
      </c>
      <c r="H4" t="str">
        <f>IF((0*'Pie de rey'!$B$55)&gt;100,"",CHOOSE('Pie de rey'!$B$57,(0*'Pie de rey'!$B$55+'Pie de rey'!$B$63)/10,IF(MOD((0*'Pie de rey'!$B$55+'Pie de rey'!$B$63),40)=0,(0*'Pie de rey'!$B$55+'Pie de rey'!$B$63)/40,MOD((0*'Pie de rey'!$B$55+'Pie de rey'!$B$63)/4,10)),IF(MOD((0*'Pie de rey'!$B$55+'Pie de rey'!$B$63),20)=0,(0*'Pie de rey'!$B$55+'Pie de rey'!$B$63)/20,MOD((0*'Pie de rey'!$B$55+'Pie de rey'!$B$63)/2,10)),(0*'Pie de rey'!$B$55+'Pie de rey'!$B$63)/16)&amp;"")</f>
        <v>0</v>
      </c>
      <c r="J4">
        <f>IF((0*'Pie de rey'!$B$56)&lt;='Pie de rey'!$B$43,('Pie de rey'!$B$49/'Pie de rey'!$B$42-'Pie de rey'!$B$63)+(0*'Pie de rey'!$B$56)*'Pie de rey'!$B$50,-50)</f>
        <v>11.75</v>
      </c>
      <c r="K4">
        <v>-2.6</v>
      </c>
      <c r="L4" t="str">
        <f>IF((0*'Pie de rey'!$B$56)&gt;'Pie de rey'!$B$43,"",IF('Pie de rey'!$B$41=0,FIXED((0*'Pie de rey'!$B$56)*'Pie de rey'!$B$45,1,TRUE),(0*'Pie de rey'!$B$56)&amp;""))</f>
        <v>0</v>
      </c>
      <c r="N4" t="str">
        <f>IF('Pie de rey'!$B$41=1,"pulgadas","mm")</f>
        <v>pulgadas</v>
      </c>
      <c r="P4">
        <f>IF(AND(0&lt;=Micrómetro!$B$52,0&lt;=Micrómetro!$B$43),0,-50)</f>
        <v>0</v>
      </c>
      <c r="Q4">
        <v>0</v>
      </c>
      <c r="S4">
        <f>IF(ABS((((INT(Micrómetro!$B$54)-11+0))-Micrómetro!$B$54)*0.6)&lt;=7.2,Micrómetro!$B$52,-50)</f>
        <v>48.4</v>
      </c>
      <c r="T4">
        <f>IF(ABS((((INT(Micrómetro!$B$54)-11+0))-Micrómetro!$B$54)*0.6)&lt;=7.2,(((INT(Micrómetro!$B$54)-11+0))-Micrómetro!$B$54)*0.6,0)</f>
        <v>-6.6</v>
      </c>
      <c r="V4">
        <f>IF(AND(ABS((((INT(Micrómetro!$B$54)-11+0))-Micrómetro!$B$54)*0.6)&lt;=7,MOD((INT(Micrómetro!$B$54)-11+0),5)=0),Micrómetro!$B$52+3.3,-50)</f>
        <v>-50</v>
      </c>
      <c r="W4">
        <f>IF(AND(ABS((((INT(Micrómetro!$B$54)-11+0))-Micrómetro!$B$54)*0.6)&lt;=7,MOD((INT(Micrómetro!$B$54)-11+0),5)=0),(((INT(Micrómetro!$B$54)-11+0))-Micrómetro!$B$54)*0.6,0)</f>
        <v>0</v>
      </c>
      <c r="X4" t="str">
        <f>IF(AND(ABS((((INT(Micrómetro!$B$54)-11+0))-Micrómetro!$B$54)*0.6)&lt;=7,MOD((INT(Micrómetro!$B$54)-11+0),5)=0),MOD((INT(Micrómetro!$B$54)-11+0),Micrómetro!$B$44)&amp;"","")</f>
        <v/>
      </c>
      <c r="Z4">
        <f>IF(AND((0*IF(Micrómetro!$B$41=1,4,10))&lt;=Micrómetro!$B$52,(0*IF(Micrómetro!$B$41=1,4,10))&lt;=Micrómetro!$B$43),(0*IF(Micrómetro!$B$41=1,4,10)),-50)</f>
        <v>0</v>
      </c>
      <c r="AA4">
        <v>2.4</v>
      </c>
      <c r="AB4" t="str">
        <f>IF(AND((0*IF(Micrómetro!$B$41=1,4,10))&lt;=Micrómetro!$B$52,(0*IF(Micrómetro!$B$41=1,4,10))&lt;=Micrómetro!$B$43),IF(Micrómetro!$B$41=1,IF(MOD((0*IF(Micrómetro!$B$41=1,4,10))/4,10)=0,IF((0*IF(Micrómetro!$B$41=1,4,10))=0,Micrómetro!$B$58&amp;"",Micrómetro!$B$58+(0*IF(Micrómetro!$B$41=1,4,10))/40&amp;""),MOD((0*IF(Micrómetro!$B$41=1,4,10))/4,10)&amp;""),Micrómetro!$B$58+(0*IF(Micrómetro!$B$41=1,4,10))*Micrómetro!$B$42&amp;""),"")</f>
        <v>0</v>
      </c>
      <c r="AD4">
        <f>IF(Micrómetro!$B$46=1,Micrómetro!$B$52-2.4,-50)</f>
        <v>-50</v>
      </c>
      <c r="AE4">
        <f>IF(Micrómetro!$B$46=1,0*0.54,0)</f>
        <v>0</v>
      </c>
      <c r="AG4">
        <f>IF(Micrómetro!$B$46=1,Micrómetro!$B$52-3,-50)</f>
        <v>-50</v>
      </c>
      <c r="AH4">
        <f>0*0.54</f>
        <v>0</v>
      </c>
      <c r="AI4" t="str">
        <f>IF(Micrómetro!$B$46=1,MOD(0,10)&amp;"","")</f>
        <v/>
      </c>
      <c r="AK4">
        <f>-1</f>
        <v>-1</v>
      </c>
      <c r="AL4">
        <f>-2.4</f>
        <v>-2.4</v>
      </c>
      <c r="AN4">
        <f>IF(MOD(0,10)=0,7.9,IF(MOD(0,5)=0,8.5,8.9))*SIN(RADIANS(0*3.6))</f>
        <v>0</v>
      </c>
      <c r="AO4">
        <f>IF(MOD(0,10)=0,7.9,IF(MOD(0,5)=0,8.5,8.9))*COS(RADIANS(0*3.6))</f>
        <v>7.9</v>
      </c>
      <c r="AQ4">
        <f>10.2*SIN(RADIANS(0*3))</f>
        <v>0</v>
      </c>
      <c r="AR4">
        <f>10.2*COS(RADIANS(0*3))</f>
        <v>10.199999999999999</v>
      </c>
      <c r="AT4">
        <f>6.6*SIN(RADIANS(0*36))</f>
        <v>0</v>
      </c>
      <c r="AU4">
        <f>6.6*COS(RADIANS(0*36))</f>
        <v>6.6</v>
      </c>
      <c r="AV4" t="s">
        <v>332</v>
      </c>
      <c r="AX4">
        <f>-1.6*SIN(RADIANS('Reloj comparador'!$B$45*3.6))</f>
        <v>-1.232821188441263</v>
      </c>
      <c r="AY4">
        <f>-1.6*COS(RADIANS('Reloj comparador'!$B$45*3.6))</f>
        <v>1.0198783835979037</v>
      </c>
      <c r="BA4">
        <f>1.55*SIN(RADIANS(0*36))</f>
        <v>0</v>
      </c>
      <c r="BB4">
        <f>3.6+1.55*COS(RADIANS(0*36))</f>
        <v>5.15</v>
      </c>
      <c r="BH4">
        <f>IF(MOD(0,10)=0,7.9,IF(MOD(0,5)=0,8.5,8.9))*SIN(RADIANS(0*3.6))</f>
        <v>0</v>
      </c>
      <c r="BI4">
        <f>IF(MOD(0,10)=0,7.9,IF(MOD(0,5)=0,8.5,8.9))*COS(RADIANS(0*3.6))</f>
        <v>7.9</v>
      </c>
      <c r="BK4">
        <f>10.2*SIN(RADIANS(0*3))</f>
        <v>0</v>
      </c>
      <c r="BL4">
        <f>10.2*COS(RADIANS(0*3))</f>
        <v>10.199999999999999</v>
      </c>
      <c r="BN4">
        <f>6.6*SIN(RADIANS(0*36))</f>
        <v>0</v>
      </c>
      <c r="BO4">
        <f>6.6*COS(RADIANS(0*36))</f>
        <v>6.6</v>
      </c>
      <c r="BP4" t="s">
        <v>332</v>
      </c>
      <c r="BR4">
        <f>-1.6*SIN(RADIANS(-Alexómetro!$B$44*3.6))</f>
        <v>-1.0198783835979037</v>
      </c>
      <c r="BS4">
        <f>-1.6*COS(RADIANS(-Alexómetro!$B$44*3.6))</f>
        <v>-1.2328211884412628</v>
      </c>
      <c r="CB4">
        <v>-8.6</v>
      </c>
      <c r="CC4">
        <v>10.9</v>
      </c>
      <c r="CD4" t="s">
        <v>333</v>
      </c>
    </row>
    <row r="5" spans="1:82" x14ac:dyDescent="0.25">
      <c r="A5">
        <v>0</v>
      </c>
      <c r="B5">
        <f>IF(MOD(0,'Pie de rey'!$B$52)=0,2,IF(MOD(0,'Pie de rey'!$B$53)=0,1.5,IF(MOD(0,'Pie de rey'!$B$54)=0,1.1,0.75)))</f>
        <v>2</v>
      </c>
      <c r="C5">
        <f>C4</f>
        <v>11.75</v>
      </c>
      <c r="D5">
        <f>IF(MOD(MIN(0,'Pie de rey'!$B$43),'Pie de rey'!$B$56)=0,-1.8,-1.1)</f>
        <v>-1.8</v>
      </c>
      <c r="F5">
        <f>IF((1*'Pie de rey'!$B$55)&lt;=100,(1*'Pie de rey'!$B$55),-50)</f>
        <v>16</v>
      </c>
      <c r="G5">
        <v>2.7</v>
      </c>
      <c r="H5" t="str">
        <f>IF((1*'Pie de rey'!$B$55)&gt;100,"",CHOOSE('Pie de rey'!$B$57,(1*'Pie de rey'!$B$55+'Pie de rey'!$B$63)/10,IF(MOD((1*'Pie de rey'!$B$55+'Pie de rey'!$B$63),40)=0,(1*'Pie de rey'!$B$55+'Pie de rey'!$B$63)/40,MOD((1*'Pie de rey'!$B$55+'Pie de rey'!$B$63)/4,10)),IF(MOD((1*'Pie de rey'!$B$55+'Pie de rey'!$B$63),20)=0,(1*'Pie de rey'!$B$55+'Pie de rey'!$B$63)/20,MOD((1*'Pie de rey'!$B$55+'Pie de rey'!$B$63)/2,10)),(1*'Pie de rey'!$B$55+'Pie de rey'!$B$63)/16)&amp;"")</f>
        <v>1</v>
      </c>
      <c r="J5">
        <f>IF((1*'Pie de rey'!$B$56)&lt;='Pie de rey'!$B$43,('Pie de rey'!$B$49/'Pie de rey'!$B$42-'Pie de rey'!$B$63)+(1*'Pie de rey'!$B$56)*'Pie de rey'!$B$50,-50)</f>
        <v>15.25</v>
      </c>
      <c r="K5">
        <v>-2.6</v>
      </c>
      <c r="L5" t="str">
        <f>IF((1*'Pie de rey'!$B$56)&gt;'Pie de rey'!$B$43,"",IF('Pie de rey'!$B$41=0,FIXED((1*'Pie de rey'!$B$56)*'Pie de rey'!$B$45,1,TRUE),(1*'Pie de rey'!$B$56)&amp;""))</f>
        <v>4</v>
      </c>
      <c r="P5">
        <f>IF(AND(0&lt;=Micrómetro!$B$52,0&lt;=Micrómetro!$B$43),0,-50)</f>
        <v>0</v>
      </c>
      <c r="Q5">
        <f>IF(OR(Micrómetro!$B$41=1,MOD(0,2)=0),IF(Micrómetro!$B$41=1,IF(MOD(0,4)=0,1.6,1),IF(MOD(0,10)=0,1.6,1)),-1.1)</f>
        <v>1.6</v>
      </c>
      <c r="S5">
        <f>IF(ABS((((INT(Micrómetro!$B$54)-11+0))-Micrómetro!$B$54)*0.6)&lt;=7.2,Micrómetro!$B$52+IF(MOD((INT(Micrómetro!$B$54)-11+0),5)=0,2,1.2),-50)</f>
        <v>49.6</v>
      </c>
      <c r="T5">
        <f>IF(ABS((((INT(Micrómetro!$B$54)-11+0))-Micrómetro!$B$54)*0.6)&lt;=7.2,(((INT(Micrómetro!$B$54)-11+0))-Micrómetro!$B$54)*0.6,0)</f>
        <v>-6.6</v>
      </c>
      <c r="V5">
        <f>IF(AND(ABS((((INT(Micrómetro!$B$54)-11+1))-Micrómetro!$B$54)*0.6)&lt;=7,MOD((INT(Micrómetro!$B$54)-11+1),5)=0),Micrómetro!$B$52+3.3,-50)</f>
        <v>51.699999999999996</v>
      </c>
      <c r="W5">
        <f>IF(AND(ABS((((INT(Micrómetro!$B$54)-11+1))-Micrómetro!$B$54)*0.6)&lt;=7,MOD((INT(Micrómetro!$B$54)-11+1),5)=0),(((INT(Micrómetro!$B$54)-11+1))-Micrómetro!$B$54)*0.6,0)</f>
        <v>-6</v>
      </c>
      <c r="X5" t="str">
        <f>IF(AND(ABS((((INT(Micrómetro!$B$54)-11+1))-Micrómetro!$B$54)*0.6)&lt;=7,MOD((INT(Micrómetro!$B$54)-11+1),5)=0),MOD((INT(Micrómetro!$B$54)-11+1),Micrómetro!$B$44)&amp;"","")</f>
        <v>10</v>
      </c>
      <c r="Z5">
        <f>IF(AND((1*IF(Micrómetro!$B$41=1,4,10))&lt;=Micrómetro!$B$52,(1*IF(Micrómetro!$B$41=1,4,10))&lt;=Micrómetro!$B$43),(1*IF(Micrómetro!$B$41=1,4,10)),-50)</f>
        <v>10</v>
      </c>
      <c r="AA5">
        <v>2.4</v>
      </c>
      <c r="AB5" t="str">
        <f>IF(AND((1*IF(Micrómetro!$B$41=1,4,10))&lt;=Micrómetro!$B$52,(1*IF(Micrómetro!$B$41=1,4,10))&lt;=Micrómetro!$B$43),IF(Micrómetro!$B$41=1,IF(MOD((1*IF(Micrómetro!$B$41=1,4,10))/4,10)=0,IF((1*IF(Micrómetro!$B$41=1,4,10))=0,Micrómetro!$B$58&amp;"",Micrómetro!$B$58+(1*IF(Micrómetro!$B$41=1,4,10))/40&amp;""),MOD((1*IF(Micrómetro!$B$41=1,4,10))/4,10)&amp;""),Micrómetro!$B$58+(1*IF(Micrómetro!$B$41=1,4,10))*Micrómetro!$B$42&amp;""),"")</f>
        <v>5</v>
      </c>
      <c r="AD5">
        <f>IF(Micrómetro!$B$46=1,Micrómetro!$B$52-0.15,-50)</f>
        <v>-50</v>
      </c>
      <c r="AE5">
        <f>IF(Micrómetro!$B$46=1,0*0.54,0)</f>
        <v>0</v>
      </c>
      <c r="AG5">
        <f>IF(Micrómetro!$B$46=1,Micrómetro!$B$52-3,-50)</f>
        <v>-50</v>
      </c>
      <c r="AH5">
        <f>2*0.54</f>
        <v>1.08</v>
      </c>
      <c r="AI5" t="str">
        <f>IF(Micrómetro!$B$46=1,MOD(2,10)&amp;"","")</f>
        <v/>
      </c>
      <c r="AK5">
        <f>Micrómetro!$B$52</f>
        <v>48.4</v>
      </c>
      <c r="AL5">
        <f>-2.4</f>
        <v>-2.4</v>
      </c>
      <c r="AN5">
        <f>9.6*SIN(RADIANS(0*3.6))</f>
        <v>0</v>
      </c>
      <c r="AO5">
        <f>9.6*COS(RADIANS(0*3.6))</f>
        <v>9.6</v>
      </c>
      <c r="AQ5">
        <f>10.2*SIN(RADIANS(1*3))</f>
        <v>0.53382675367802712</v>
      </c>
      <c r="AR5">
        <f>10.2*COS(RADIANS(1*3))</f>
        <v>10.186021254496652</v>
      </c>
      <c r="AT5">
        <f>6.6*SIN(RADIANS(1*36))</f>
        <v>3.8793826651303225</v>
      </c>
      <c r="AU5">
        <f>6.6*COS(RADIANS(1*36))</f>
        <v>5.3395121628746525</v>
      </c>
      <c r="AV5" t="s">
        <v>334</v>
      </c>
      <c r="AX5">
        <f>9.2*SIN(RADIANS('Reloj comparador'!$B$45*3.6))</f>
        <v>7.0887218335372602</v>
      </c>
      <c r="AY5">
        <f>9.2*COS(RADIANS('Reloj comparador'!$B$45*3.6))</f>
        <v>-5.8643007056879455</v>
      </c>
      <c r="BA5">
        <f>2.05*SIN(RADIANS(0*36))</f>
        <v>0</v>
      </c>
      <c r="BB5">
        <f>3.6+2.05*COS(RADIANS(0*36))</f>
        <v>5.65</v>
      </c>
      <c r="BH5">
        <f>9.6*SIN(RADIANS(0*3.6))</f>
        <v>0</v>
      </c>
      <c r="BI5">
        <f>9.6*COS(RADIANS(0*3.6))</f>
        <v>9.6</v>
      </c>
      <c r="BK5">
        <f>10.2*SIN(RADIANS(1*3))</f>
        <v>0.53382675367802712</v>
      </c>
      <c r="BL5">
        <f>10.2*COS(RADIANS(1*3))</f>
        <v>10.186021254496652</v>
      </c>
      <c r="BN5">
        <f>6.6*SIN(RADIANS(1*36))</f>
        <v>3.8793826651303225</v>
      </c>
      <c r="BO5">
        <f>6.6*COS(RADIANS(1*36))</f>
        <v>5.3395121628746525</v>
      </c>
      <c r="BP5" t="s">
        <v>334</v>
      </c>
      <c r="BR5">
        <f>9.2*SIN(RADIANS(-Alexómetro!$B$44*3.6))</f>
        <v>5.8643007056879455</v>
      </c>
      <c r="BS5">
        <f>9.2*COS(RADIANS(-Alexómetro!$B$44*3.6))</f>
        <v>7.0887218335372593</v>
      </c>
      <c r="CB5">
        <v>8.6</v>
      </c>
      <c r="CC5">
        <v>10.9</v>
      </c>
      <c r="CD5" t="s">
        <v>335</v>
      </c>
    </row>
    <row r="6" spans="1:82" x14ac:dyDescent="0.25">
      <c r="F6">
        <f>IF((2*'Pie de rey'!$B$55)&lt;=100,(2*'Pie de rey'!$B$55),-50)</f>
        <v>32</v>
      </c>
      <c r="G6">
        <v>2.7</v>
      </c>
      <c r="H6" t="str">
        <f>IF((2*'Pie de rey'!$B$55)&gt;100,"",CHOOSE('Pie de rey'!$B$57,(2*'Pie de rey'!$B$55+'Pie de rey'!$B$63)/10,IF(MOD((2*'Pie de rey'!$B$55+'Pie de rey'!$B$63),40)=0,(2*'Pie de rey'!$B$55+'Pie de rey'!$B$63)/40,MOD((2*'Pie de rey'!$B$55+'Pie de rey'!$B$63)/4,10)),IF(MOD((2*'Pie de rey'!$B$55+'Pie de rey'!$B$63),20)=0,(2*'Pie de rey'!$B$55+'Pie de rey'!$B$63)/20,MOD((2*'Pie de rey'!$B$55+'Pie de rey'!$B$63)/2,10)),(2*'Pie de rey'!$B$55+'Pie de rey'!$B$63)/16)&amp;"")</f>
        <v>2</v>
      </c>
      <c r="J6">
        <f>IF((2*'Pie de rey'!$B$56)&lt;='Pie de rey'!$B$43,('Pie de rey'!$B$49/'Pie de rey'!$B$42-'Pie de rey'!$B$63)+(2*'Pie de rey'!$B$56)*'Pie de rey'!$B$50,-50)</f>
        <v>18.75</v>
      </c>
      <c r="K6">
        <v>-2.6</v>
      </c>
      <c r="L6" t="str">
        <f>IF((2*'Pie de rey'!$B$56)&gt;'Pie de rey'!$B$43,"",IF('Pie de rey'!$B$41=0,FIXED((2*'Pie de rey'!$B$56)*'Pie de rey'!$B$45,1,TRUE),(2*'Pie de rey'!$B$56)&amp;""))</f>
        <v>8</v>
      </c>
      <c r="V6">
        <f>IF(AND(ABS((((INT(Micrómetro!$B$54)-11+2))-Micrómetro!$B$54)*0.6)&lt;=7,MOD((INT(Micrómetro!$B$54)-11+2),5)=0),Micrómetro!$B$52+3.3,-50)</f>
        <v>-50</v>
      </c>
      <c r="W6">
        <f>IF(AND(ABS((((INT(Micrómetro!$B$54)-11+2))-Micrómetro!$B$54)*0.6)&lt;=7,MOD((INT(Micrómetro!$B$54)-11+2),5)=0),(((INT(Micrómetro!$B$54)-11+2))-Micrómetro!$B$54)*0.6,0)</f>
        <v>0</v>
      </c>
      <c r="X6" t="str">
        <f>IF(AND(ABS((((INT(Micrómetro!$B$54)-11+2))-Micrómetro!$B$54)*0.6)&lt;=7,MOD((INT(Micrómetro!$B$54)-11+2),5)=0),MOD((INT(Micrómetro!$B$54)-11+2),Micrómetro!$B$44)&amp;"","")</f>
        <v/>
      </c>
      <c r="Z6">
        <f>IF(AND((2*IF(Micrómetro!$B$41=1,4,10))&lt;=Micrómetro!$B$52,(2*IF(Micrómetro!$B$41=1,4,10))&lt;=Micrómetro!$B$43),(2*IF(Micrómetro!$B$41=1,4,10)),-50)</f>
        <v>20</v>
      </c>
      <c r="AA6">
        <v>2.4</v>
      </c>
      <c r="AB6" t="str">
        <f>IF(AND((2*IF(Micrómetro!$B$41=1,4,10))&lt;=Micrómetro!$B$52,(2*IF(Micrómetro!$B$41=1,4,10))&lt;=Micrómetro!$B$43),IF(Micrómetro!$B$41=1,IF(MOD((2*IF(Micrómetro!$B$41=1,4,10))/4,10)=0,IF((2*IF(Micrómetro!$B$41=1,4,10))=0,Micrómetro!$B$58&amp;"",Micrómetro!$B$58+(2*IF(Micrómetro!$B$41=1,4,10))/40&amp;""),MOD((2*IF(Micrómetro!$B$41=1,4,10))/4,10)&amp;""),Micrómetro!$B$58+(2*IF(Micrómetro!$B$41=1,4,10))*Micrómetro!$B$42&amp;""),"")</f>
        <v>10</v>
      </c>
      <c r="AG6">
        <f>IF(Micrómetro!$B$46=1,Micrómetro!$B$52-3,-50)</f>
        <v>-50</v>
      </c>
      <c r="AH6">
        <f>4*0.54</f>
        <v>2.16</v>
      </c>
      <c r="AI6" t="str">
        <f>IF(Micrómetro!$B$46=1,MOD(4,10)&amp;"","")</f>
        <v/>
      </c>
      <c r="AQ6">
        <f>10.2*SIN(RADIANS(2*3))</f>
        <v>1.0661903253300653</v>
      </c>
      <c r="AR6">
        <f>10.2*COS(RADIANS(2*3))</f>
        <v>10.144123332756386</v>
      </c>
      <c r="AT6">
        <f>6.6*SIN(RADIANS(2*36))</f>
        <v>6.2769730075480128</v>
      </c>
      <c r="AU6">
        <f>6.6*COS(RADIANS(2*36))</f>
        <v>2.0395121628746531</v>
      </c>
      <c r="AV6" t="s">
        <v>185</v>
      </c>
      <c r="BK6">
        <f>10.2*SIN(RADIANS(2*3))</f>
        <v>1.0661903253300653</v>
      </c>
      <c r="BL6">
        <f>10.2*COS(RADIANS(2*3))</f>
        <v>10.144123332756386</v>
      </c>
      <c r="BN6">
        <f>6.6*SIN(RADIANS(2*36))</f>
        <v>6.2769730075480128</v>
      </c>
      <c r="BO6">
        <f>6.6*COS(RADIANS(2*36))</f>
        <v>2.0395121628746531</v>
      </c>
      <c r="BP6" t="s">
        <v>185</v>
      </c>
    </row>
    <row r="7" spans="1:82" x14ac:dyDescent="0.25">
      <c r="A7">
        <v>1</v>
      </c>
      <c r="B7">
        <v>0</v>
      </c>
      <c r="C7">
        <f>('Pie de rey'!$B$49/'Pie de rey'!$B$42-'Pie de rey'!$B$63)+MIN(1,'Pie de rey'!$B$43)*'Pie de rey'!$B$50</f>
        <v>12.625</v>
      </c>
      <c r="D7">
        <v>0</v>
      </c>
      <c r="F7">
        <f>IF((3*'Pie de rey'!$B$55)&lt;=100,(3*'Pie de rey'!$B$55),-50)</f>
        <v>48</v>
      </c>
      <c r="G7">
        <v>2.7</v>
      </c>
      <c r="H7" t="str">
        <f>IF((3*'Pie de rey'!$B$55)&gt;100,"",CHOOSE('Pie de rey'!$B$57,(3*'Pie de rey'!$B$55+'Pie de rey'!$B$63)/10,IF(MOD((3*'Pie de rey'!$B$55+'Pie de rey'!$B$63),40)=0,(3*'Pie de rey'!$B$55+'Pie de rey'!$B$63)/40,MOD((3*'Pie de rey'!$B$55+'Pie de rey'!$B$63)/4,10)),IF(MOD((3*'Pie de rey'!$B$55+'Pie de rey'!$B$63),20)=0,(3*'Pie de rey'!$B$55+'Pie de rey'!$B$63)/20,MOD((3*'Pie de rey'!$B$55+'Pie de rey'!$B$63)/2,10)),(3*'Pie de rey'!$B$55+'Pie de rey'!$B$63)/16)&amp;"")</f>
        <v>3</v>
      </c>
      <c r="J7">
        <f>IF((3*'Pie de rey'!$B$56)&lt;='Pie de rey'!$B$43,('Pie de rey'!$B$49/'Pie de rey'!$B$42-'Pie de rey'!$B$63)+(3*'Pie de rey'!$B$56)*'Pie de rey'!$B$50,-50)</f>
        <v>-50</v>
      </c>
      <c r="K7">
        <v>-2.6</v>
      </c>
      <c r="L7" t="str">
        <f>IF((3*'Pie de rey'!$B$56)&gt;'Pie de rey'!$B$43,"",IF('Pie de rey'!$B$41=0,FIXED((3*'Pie de rey'!$B$56)*'Pie de rey'!$B$45,1,TRUE),(3*'Pie de rey'!$B$56)&amp;""))</f>
        <v/>
      </c>
      <c r="P7">
        <f>IF(AND(1&lt;=Micrómetro!$B$52,1&lt;=Micrómetro!$B$43),1,-50)</f>
        <v>1</v>
      </c>
      <c r="Q7">
        <v>0</v>
      </c>
      <c r="S7">
        <f>IF(ABS((((INT(Micrómetro!$B$54)-11+1))-Micrómetro!$B$54)*0.6)&lt;=7.2,Micrómetro!$B$52,-50)</f>
        <v>48.4</v>
      </c>
      <c r="T7">
        <f>IF(ABS((((INT(Micrómetro!$B$54)-11+1))-Micrómetro!$B$54)*0.6)&lt;=7.2,(((INT(Micrómetro!$B$54)-11+1))-Micrómetro!$B$54)*0.6,0)</f>
        <v>-6</v>
      </c>
      <c r="V7">
        <f>IF(AND(ABS((((INT(Micrómetro!$B$54)-11+3))-Micrómetro!$B$54)*0.6)&lt;=7,MOD((INT(Micrómetro!$B$54)-11+3),5)=0),Micrómetro!$B$52+3.3,-50)</f>
        <v>-50</v>
      </c>
      <c r="W7">
        <f>IF(AND(ABS((((INT(Micrómetro!$B$54)-11+3))-Micrómetro!$B$54)*0.6)&lt;=7,MOD((INT(Micrómetro!$B$54)-11+3),5)=0),(((INT(Micrómetro!$B$54)-11+3))-Micrómetro!$B$54)*0.6,0)</f>
        <v>0</v>
      </c>
      <c r="X7" t="str">
        <f>IF(AND(ABS((((INT(Micrómetro!$B$54)-11+3))-Micrómetro!$B$54)*0.6)&lt;=7,MOD((INT(Micrómetro!$B$54)-11+3),5)=0),MOD((INT(Micrómetro!$B$54)-11+3),Micrómetro!$B$44)&amp;"","")</f>
        <v/>
      </c>
      <c r="Z7">
        <f>IF(AND((3*IF(Micrómetro!$B$41=1,4,10))&lt;=Micrómetro!$B$52,(3*IF(Micrómetro!$B$41=1,4,10))&lt;=Micrómetro!$B$43),(3*IF(Micrómetro!$B$41=1,4,10)),-50)</f>
        <v>30</v>
      </c>
      <c r="AA7">
        <v>2.4</v>
      </c>
      <c r="AB7" t="str">
        <f>IF(AND((3*IF(Micrómetro!$B$41=1,4,10))&lt;=Micrómetro!$B$52,(3*IF(Micrómetro!$B$41=1,4,10))&lt;=Micrómetro!$B$43),IF(Micrómetro!$B$41=1,IF(MOD((3*IF(Micrómetro!$B$41=1,4,10))/4,10)=0,IF((3*IF(Micrómetro!$B$41=1,4,10))=0,Micrómetro!$B$58&amp;"",Micrómetro!$B$58+(3*IF(Micrómetro!$B$41=1,4,10))/40&amp;""),MOD((3*IF(Micrómetro!$B$41=1,4,10))/4,10)&amp;""),Micrómetro!$B$58+(3*IF(Micrómetro!$B$41=1,4,10))*Micrómetro!$B$42&amp;""),"")</f>
        <v>15</v>
      </c>
      <c r="AD7">
        <f>IF(Micrómetro!$B$46=1,Micrómetro!$B$52-2.4,-50)</f>
        <v>-50</v>
      </c>
      <c r="AE7">
        <f>IF(Micrómetro!$B$46=1,1*0.54,0)</f>
        <v>0</v>
      </c>
      <c r="AG7">
        <f>IF(Micrómetro!$B$46=1,Micrómetro!$B$52-3,-50)</f>
        <v>-50</v>
      </c>
      <c r="AH7">
        <f>6*0.54</f>
        <v>3.24</v>
      </c>
      <c r="AI7" t="str">
        <f>IF(Micrómetro!$B$46=1,MOD(6,10)&amp;"","")</f>
        <v/>
      </c>
      <c r="AK7">
        <f>-1</f>
        <v>-1</v>
      </c>
      <c r="AL7">
        <f>6.3</f>
        <v>6.3</v>
      </c>
      <c r="AN7">
        <f>IF(MOD(1,10)=0,7.9,IF(MOD(1,5)=0,8.5,8.9))*SIN(RADIANS(1*3.6))</f>
        <v>0.55883562381088903</v>
      </c>
      <c r="AO7">
        <f>IF(MOD(1,10)=0,7.9,IF(MOD(1,5)=0,8.5,8.9))*COS(RADIANS(1*3.6))</f>
        <v>8.8824378830116171</v>
      </c>
      <c r="AQ7">
        <f>10.2*SIN(RADIANS(3*3))</f>
        <v>1.5956315434103547</v>
      </c>
      <c r="AR7">
        <f>10.2*COS(RADIANS(3*3))</f>
        <v>10.074421074070404</v>
      </c>
      <c r="AT7">
        <f>6.6*SIN(RADIANS(3*36))</f>
        <v>6.2769730075480137</v>
      </c>
      <c r="AU7">
        <f>6.6*COS(RADIANS(3*36))</f>
        <v>-2.0395121628746522</v>
      </c>
      <c r="AV7" t="s">
        <v>336</v>
      </c>
      <c r="AX7">
        <v>0</v>
      </c>
      <c r="AY7">
        <v>0</v>
      </c>
      <c r="BA7">
        <f>1.55*SIN(RADIANS(1*36))</f>
        <v>0.91106714105333342</v>
      </c>
      <c r="BB7">
        <f>3.6+1.55*COS(RADIANS(1*36))</f>
        <v>4.8539763412811689</v>
      </c>
      <c r="BH7">
        <f>IF(MOD(1,10)=0,7.9,IF(MOD(1,5)=0,8.5,8.9))*SIN(RADIANS(1*3.6))</f>
        <v>0.55883562381088903</v>
      </c>
      <c r="BI7">
        <f>IF(MOD(1,10)=0,7.9,IF(MOD(1,5)=0,8.5,8.9))*COS(RADIANS(1*3.6))</f>
        <v>8.8824378830116171</v>
      </c>
      <c r="BK7">
        <f>10.2*SIN(RADIANS(3*3))</f>
        <v>1.5956315434103547</v>
      </c>
      <c r="BL7">
        <f>10.2*COS(RADIANS(3*3))</f>
        <v>10.074421074070404</v>
      </c>
      <c r="BN7">
        <f>6.6*SIN(RADIANS(3*36))</f>
        <v>6.2769730075480137</v>
      </c>
      <c r="BO7">
        <f>6.6*COS(RADIANS(3*36))</f>
        <v>-2.0395121628746522</v>
      </c>
      <c r="BP7" t="s">
        <v>336</v>
      </c>
      <c r="BR7">
        <v>0</v>
      </c>
      <c r="BS7">
        <v>0</v>
      </c>
    </row>
    <row r="8" spans="1:82" x14ac:dyDescent="0.25">
      <c r="A8">
        <v>1</v>
      </c>
      <c r="B8">
        <f>IF(MOD(1,'Pie de rey'!$B$52)=0,2,IF(MOD(1,'Pie de rey'!$B$53)=0,1.5,IF(MOD(1,'Pie de rey'!$B$54)=0,1.1,0.75)))</f>
        <v>0.75</v>
      </c>
      <c r="C8">
        <f>C7</f>
        <v>12.625</v>
      </c>
      <c r="D8">
        <f>IF(MOD(MIN(1,'Pie de rey'!$B$43),'Pie de rey'!$B$56)=0,-1.8,-1.1)</f>
        <v>-1.1000000000000001</v>
      </c>
      <c r="F8">
        <f>IF((4*'Pie de rey'!$B$55)&lt;=100,(4*'Pie de rey'!$B$55),-50)</f>
        <v>64</v>
      </c>
      <c r="G8">
        <v>2.7</v>
      </c>
      <c r="H8" t="str">
        <f>IF((4*'Pie de rey'!$B$55)&gt;100,"",CHOOSE('Pie de rey'!$B$57,(4*'Pie de rey'!$B$55+'Pie de rey'!$B$63)/10,IF(MOD((4*'Pie de rey'!$B$55+'Pie de rey'!$B$63),40)=0,(4*'Pie de rey'!$B$55+'Pie de rey'!$B$63)/40,MOD((4*'Pie de rey'!$B$55+'Pie de rey'!$B$63)/4,10)),IF(MOD((4*'Pie de rey'!$B$55+'Pie de rey'!$B$63),20)=0,(4*'Pie de rey'!$B$55+'Pie de rey'!$B$63)/20,MOD((4*'Pie de rey'!$B$55+'Pie de rey'!$B$63)/2,10)),(4*'Pie de rey'!$B$55+'Pie de rey'!$B$63)/16)&amp;"")</f>
        <v>4</v>
      </c>
      <c r="J8">
        <f>IF((4*'Pie de rey'!$B$56)&lt;='Pie de rey'!$B$43,('Pie de rey'!$B$49/'Pie de rey'!$B$42-'Pie de rey'!$B$63)+(4*'Pie de rey'!$B$56)*'Pie de rey'!$B$50,-50)</f>
        <v>-50</v>
      </c>
      <c r="K8">
        <v>-2.6</v>
      </c>
      <c r="L8" t="str">
        <f>IF((4*'Pie de rey'!$B$56)&gt;'Pie de rey'!$B$43,"",IF('Pie de rey'!$B$41=0,FIXED((4*'Pie de rey'!$B$56)*'Pie de rey'!$B$45,1,TRUE),(4*'Pie de rey'!$B$56)&amp;""))</f>
        <v/>
      </c>
      <c r="P8">
        <f>IF(AND(1&lt;=Micrómetro!$B$52,1&lt;=Micrómetro!$B$43),1,-50)</f>
        <v>1</v>
      </c>
      <c r="Q8">
        <f>IF(OR(Micrómetro!$B$41=1,MOD(1,2)=0),IF(Micrómetro!$B$41=1,IF(MOD(1,4)=0,1.6,1),IF(MOD(1,10)=0,1.6,1)),-1.1)</f>
        <v>-1.1000000000000001</v>
      </c>
      <c r="S8">
        <f>IF(ABS((((INT(Micrómetro!$B$54)-11+1))-Micrómetro!$B$54)*0.6)&lt;=7.2,Micrómetro!$B$52+IF(MOD((INT(Micrómetro!$B$54)-11+1),5)=0,2,1.2),-50)</f>
        <v>50.4</v>
      </c>
      <c r="T8">
        <f>IF(ABS((((INT(Micrómetro!$B$54)-11+1))-Micrómetro!$B$54)*0.6)&lt;=7.2,(((INT(Micrómetro!$B$54)-11+1))-Micrómetro!$B$54)*0.6,0)</f>
        <v>-6</v>
      </c>
      <c r="V8">
        <f>IF(AND(ABS((((INT(Micrómetro!$B$54)-11+4))-Micrómetro!$B$54)*0.6)&lt;=7,MOD((INT(Micrómetro!$B$54)-11+4),5)=0),Micrómetro!$B$52+3.3,-50)</f>
        <v>-50</v>
      </c>
      <c r="W8">
        <f>IF(AND(ABS((((INT(Micrómetro!$B$54)-11+4))-Micrómetro!$B$54)*0.6)&lt;=7,MOD((INT(Micrómetro!$B$54)-11+4),5)=0),(((INT(Micrómetro!$B$54)-11+4))-Micrómetro!$B$54)*0.6,0)</f>
        <v>0</v>
      </c>
      <c r="X8" t="str">
        <f>IF(AND(ABS((((INT(Micrómetro!$B$54)-11+4))-Micrómetro!$B$54)*0.6)&lt;=7,MOD((INT(Micrómetro!$B$54)-11+4),5)=0),MOD((INT(Micrómetro!$B$54)-11+4),Micrómetro!$B$44)&amp;"","")</f>
        <v/>
      </c>
      <c r="Z8">
        <f>IF(AND((4*IF(Micrómetro!$B$41=1,4,10))&lt;=Micrómetro!$B$52,(4*IF(Micrómetro!$B$41=1,4,10))&lt;=Micrómetro!$B$43),(4*IF(Micrómetro!$B$41=1,4,10)),-50)</f>
        <v>40</v>
      </c>
      <c r="AA8">
        <v>2.4</v>
      </c>
      <c r="AB8" t="str">
        <f>IF(AND((4*IF(Micrómetro!$B$41=1,4,10))&lt;=Micrómetro!$B$52,(4*IF(Micrómetro!$B$41=1,4,10))&lt;=Micrómetro!$B$43),IF(Micrómetro!$B$41=1,IF(MOD((4*IF(Micrómetro!$B$41=1,4,10))/4,10)=0,IF((4*IF(Micrómetro!$B$41=1,4,10))=0,Micrómetro!$B$58&amp;"",Micrómetro!$B$58+(4*IF(Micrómetro!$B$41=1,4,10))/40&amp;""),MOD((4*IF(Micrómetro!$B$41=1,4,10))/4,10)&amp;""),Micrómetro!$B$58+(4*IF(Micrómetro!$B$41=1,4,10))*Micrómetro!$B$42&amp;""),"")</f>
        <v>20</v>
      </c>
      <c r="AD8">
        <f>IF(Micrómetro!$B$46=1,Micrómetro!$B$52-0.15,-50)</f>
        <v>-50</v>
      </c>
      <c r="AE8">
        <f>IF(Micrómetro!$B$46=1,1*0.54,0)</f>
        <v>0</v>
      </c>
      <c r="AG8">
        <f>IF(Micrómetro!$B$46=1,Micrómetro!$B$52-3,-50)</f>
        <v>-50</v>
      </c>
      <c r="AH8">
        <f>8*0.54</f>
        <v>4.32</v>
      </c>
      <c r="AI8" t="str">
        <f>IF(Micrómetro!$B$46=1,MOD(8,10)&amp;"","")</f>
        <v/>
      </c>
      <c r="AK8">
        <f>Micrómetro!$B$52</f>
        <v>48.4</v>
      </c>
      <c r="AL8">
        <f>6.3</f>
        <v>6.3</v>
      </c>
      <c r="AN8">
        <f>9.6*SIN(RADIANS(1*3.6))</f>
        <v>0.60278898748140841</v>
      </c>
      <c r="AO8">
        <f>9.6*COS(RADIANS(1*3.6))</f>
        <v>9.5810565929114073</v>
      </c>
      <c r="AQ8">
        <f>10.2*SIN(RADIANS(4*3))</f>
        <v>2.1206992463411449</v>
      </c>
      <c r="AR8">
        <f>10.2*COS(RADIANS(4*3))</f>
        <v>9.9771055274848166</v>
      </c>
      <c r="AT8">
        <f>6.6*SIN(RADIANS(4*36))</f>
        <v>3.8793826651303234</v>
      </c>
      <c r="AU8">
        <f>6.6*COS(RADIANS(4*36))</f>
        <v>-5.3395121628746525</v>
      </c>
      <c r="AV8" t="s">
        <v>337</v>
      </c>
      <c r="BA8">
        <f>2.05*SIN(RADIANS(1*36))</f>
        <v>1.2049597671995698</v>
      </c>
      <c r="BB8">
        <f>3.6+2.05*COS(RADIANS(1*36))</f>
        <v>5.2584848384686422</v>
      </c>
      <c r="BH8">
        <f>9.6*SIN(RADIANS(1*3.6))</f>
        <v>0.60278898748140841</v>
      </c>
      <c r="BI8">
        <f>9.6*COS(RADIANS(1*3.6))</f>
        <v>9.5810565929114073</v>
      </c>
      <c r="BK8">
        <f>10.2*SIN(RADIANS(4*3))</f>
        <v>2.1206992463411449</v>
      </c>
      <c r="BL8">
        <f>10.2*COS(RADIANS(4*3))</f>
        <v>9.9771055274848166</v>
      </c>
      <c r="BN8">
        <f>6.6*SIN(RADIANS(4*36))</f>
        <v>3.8793826651303234</v>
      </c>
      <c r="BO8">
        <f>6.6*COS(RADIANS(4*36))</f>
        <v>-5.3395121628746525</v>
      </c>
      <c r="BP8" t="s">
        <v>337</v>
      </c>
    </row>
    <row r="9" spans="1:82" x14ac:dyDescent="0.25">
      <c r="F9">
        <f>IF((5*'Pie de rey'!$B$55)&lt;=100,(5*'Pie de rey'!$B$55),-50)</f>
        <v>80</v>
      </c>
      <c r="G9">
        <v>2.7</v>
      </c>
      <c r="H9" t="str">
        <f>IF((5*'Pie de rey'!$B$55)&gt;100,"",CHOOSE('Pie de rey'!$B$57,(5*'Pie de rey'!$B$55+'Pie de rey'!$B$63)/10,IF(MOD((5*'Pie de rey'!$B$55+'Pie de rey'!$B$63),40)=0,(5*'Pie de rey'!$B$55+'Pie de rey'!$B$63)/40,MOD((5*'Pie de rey'!$B$55+'Pie de rey'!$B$63)/4,10)),IF(MOD((5*'Pie de rey'!$B$55+'Pie de rey'!$B$63),20)=0,(5*'Pie de rey'!$B$55+'Pie de rey'!$B$63)/20,MOD((5*'Pie de rey'!$B$55+'Pie de rey'!$B$63)/2,10)),(5*'Pie de rey'!$B$55+'Pie de rey'!$B$63)/16)&amp;"")</f>
        <v>5</v>
      </c>
      <c r="J9">
        <f>IF((5*'Pie de rey'!$B$56)&lt;='Pie de rey'!$B$43,('Pie de rey'!$B$49/'Pie de rey'!$B$42-'Pie de rey'!$B$63)+(5*'Pie de rey'!$B$56)*'Pie de rey'!$B$50,-50)</f>
        <v>-50</v>
      </c>
      <c r="K9">
        <v>-2.6</v>
      </c>
      <c r="L9" t="str">
        <f>IF((5*'Pie de rey'!$B$56)&gt;'Pie de rey'!$B$43,"",IF('Pie de rey'!$B$41=0,FIXED((5*'Pie de rey'!$B$56)*'Pie de rey'!$B$45,1,TRUE),(5*'Pie de rey'!$B$56)&amp;""))</f>
        <v/>
      </c>
      <c r="V9">
        <f>IF(AND(ABS((((INT(Micrómetro!$B$54)-11+5))-Micrómetro!$B$54)*0.6)&lt;=7,MOD((INT(Micrómetro!$B$54)-11+5),5)=0),Micrómetro!$B$52+3.3,-50)</f>
        <v>-50</v>
      </c>
      <c r="W9">
        <f>IF(AND(ABS((((INT(Micrómetro!$B$54)-11+5))-Micrómetro!$B$54)*0.6)&lt;=7,MOD((INT(Micrómetro!$B$54)-11+5),5)=0),(((INT(Micrómetro!$B$54)-11+5))-Micrómetro!$B$54)*0.6,0)</f>
        <v>0</v>
      </c>
      <c r="X9" t="str">
        <f>IF(AND(ABS((((INT(Micrómetro!$B$54)-11+5))-Micrómetro!$B$54)*0.6)&lt;=7,MOD((INT(Micrómetro!$B$54)-11+5),5)=0),MOD((INT(Micrómetro!$B$54)-11+5),Micrómetro!$B$44)&amp;"","")</f>
        <v/>
      </c>
      <c r="Z9">
        <f>IF(AND((5*IF(Micrómetro!$B$41=1,4,10))&lt;=Micrómetro!$B$52,(5*IF(Micrómetro!$B$41=1,4,10))&lt;=Micrómetro!$B$43),(5*IF(Micrómetro!$B$41=1,4,10)),-50)</f>
        <v>-50</v>
      </c>
      <c r="AA9">
        <v>2.4</v>
      </c>
      <c r="AB9" t="str">
        <f>IF(AND((5*IF(Micrómetro!$B$41=1,4,10))&lt;=Micrómetro!$B$52,(5*IF(Micrómetro!$B$41=1,4,10))&lt;=Micrómetro!$B$43),IF(Micrómetro!$B$41=1,IF(MOD((5*IF(Micrómetro!$B$41=1,4,10))/4,10)=0,IF((5*IF(Micrómetro!$B$41=1,4,10))=0,Micrómetro!$B$58&amp;"",Micrómetro!$B$58+(5*IF(Micrómetro!$B$41=1,4,10))/40&amp;""),MOD((5*IF(Micrómetro!$B$41=1,4,10))/4,10)&amp;""),Micrómetro!$B$58+(5*IF(Micrómetro!$B$41=1,4,10))*Micrómetro!$B$42&amp;""),"")</f>
        <v/>
      </c>
      <c r="AG9">
        <f>IF(Micrómetro!$B$46=1,Micrómetro!$B$52-3,-50)</f>
        <v>-50</v>
      </c>
      <c r="AH9">
        <f>10*0.54</f>
        <v>5.4</v>
      </c>
      <c r="AI9" t="str">
        <f>IF(Micrómetro!$B$46=1,MOD(10,10)&amp;"","")</f>
        <v/>
      </c>
      <c r="AQ9">
        <f>10.2*SIN(RADIANS(5*3))</f>
        <v>2.6399542600457115</v>
      </c>
      <c r="AR9">
        <f>10.2*COS(RADIANS(5*3))</f>
        <v>9.8524434281484954</v>
      </c>
      <c r="AT9">
        <f>6.6*SIN(RADIANS(5*36))</f>
        <v>8.0859798023968921E-16</v>
      </c>
      <c r="AU9">
        <f>6.6*COS(RADIANS(5*36))</f>
        <v>-6.6</v>
      </c>
      <c r="AV9" t="s">
        <v>338</v>
      </c>
      <c r="BK9">
        <f>10.2*SIN(RADIANS(5*3))</f>
        <v>2.6399542600457115</v>
      </c>
      <c r="BL9">
        <f>10.2*COS(RADIANS(5*3))</f>
        <v>9.8524434281484954</v>
      </c>
      <c r="BN9">
        <f>6.6*SIN(RADIANS(5*36))</f>
        <v>8.0859798023968921E-16</v>
      </c>
      <c r="BO9">
        <f>6.6*COS(RADIANS(5*36))</f>
        <v>-6.6</v>
      </c>
      <c r="BP9" t="s">
        <v>338</v>
      </c>
    </row>
    <row r="10" spans="1:82" x14ac:dyDescent="0.25">
      <c r="A10">
        <v>2</v>
      </c>
      <c r="B10">
        <v>0</v>
      </c>
      <c r="C10">
        <f>('Pie de rey'!$B$49/'Pie de rey'!$B$42-'Pie de rey'!$B$63)+MIN(2,'Pie de rey'!$B$43)*'Pie de rey'!$B$50</f>
        <v>13.5</v>
      </c>
      <c r="D10">
        <v>0</v>
      </c>
      <c r="F10">
        <f>IF((6*'Pie de rey'!$B$55)&lt;=100,(6*'Pie de rey'!$B$55),-50)</f>
        <v>96</v>
      </c>
      <c r="G10">
        <v>2.7</v>
      </c>
      <c r="H10" t="str">
        <f>IF((6*'Pie de rey'!$B$55)&gt;100,"",CHOOSE('Pie de rey'!$B$57,(6*'Pie de rey'!$B$55+'Pie de rey'!$B$63)/10,IF(MOD((6*'Pie de rey'!$B$55+'Pie de rey'!$B$63),40)=0,(6*'Pie de rey'!$B$55+'Pie de rey'!$B$63)/40,MOD((6*'Pie de rey'!$B$55+'Pie de rey'!$B$63)/4,10)),IF(MOD((6*'Pie de rey'!$B$55+'Pie de rey'!$B$63),20)=0,(6*'Pie de rey'!$B$55+'Pie de rey'!$B$63)/20,MOD((6*'Pie de rey'!$B$55+'Pie de rey'!$B$63)/2,10)),(6*'Pie de rey'!$B$55+'Pie de rey'!$B$63)/16)&amp;"")</f>
        <v>6</v>
      </c>
      <c r="J10">
        <f>IF((6*'Pie de rey'!$B$56)&lt;='Pie de rey'!$B$43,('Pie de rey'!$B$49/'Pie de rey'!$B$42-'Pie de rey'!$B$63)+(6*'Pie de rey'!$B$56)*'Pie de rey'!$B$50,-50)</f>
        <v>-50</v>
      </c>
      <c r="K10">
        <v>-2.6</v>
      </c>
      <c r="L10" t="str">
        <f>IF((6*'Pie de rey'!$B$56)&gt;'Pie de rey'!$B$43,"",IF('Pie de rey'!$B$41=0,FIXED((6*'Pie de rey'!$B$56)*'Pie de rey'!$B$45,1,TRUE),(6*'Pie de rey'!$B$56)&amp;""))</f>
        <v/>
      </c>
      <c r="P10">
        <f>IF(AND(2&lt;=Micrómetro!$B$52,2&lt;=Micrómetro!$B$43),2,-50)</f>
        <v>2</v>
      </c>
      <c r="Q10">
        <v>0</v>
      </c>
      <c r="S10">
        <f>IF(ABS((((INT(Micrómetro!$B$54)-11+2))-Micrómetro!$B$54)*0.6)&lt;=7.2,Micrómetro!$B$52,-50)</f>
        <v>48.4</v>
      </c>
      <c r="T10">
        <f>IF(ABS((((INT(Micrómetro!$B$54)-11+2))-Micrómetro!$B$54)*0.6)&lt;=7.2,(((INT(Micrómetro!$B$54)-11+2))-Micrómetro!$B$54)*0.6,0)</f>
        <v>-5.3999999999999995</v>
      </c>
      <c r="V10">
        <f>IF(AND(ABS((((INT(Micrómetro!$B$54)-11+6))-Micrómetro!$B$54)*0.6)&lt;=7,MOD((INT(Micrómetro!$B$54)-11+6),5)=0),Micrómetro!$B$52+3.3,-50)</f>
        <v>51.699999999999996</v>
      </c>
      <c r="W10">
        <f>IF(AND(ABS((((INT(Micrómetro!$B$54)-11+6))-Micrómetro!$B$54)*0.6)&lt;=7,MOD((INT(Micrómetro!$B$54)-11+6),5)=0),(((INT(Micrómetro!$B$54)-11+6))-Micrómetro!$B$54)*0.6,0)</f>
        <v>-3</v>
      </c>
      <c r="X10" t="str">
        <f>IF(AND(ABS((((INT(Micrómetro!$B$54)-11+6))-Micrómetro!$B$54)*0.6)&lt;=7,MOD((INT(Micrómetro!$B$54)-11+6),5)=0),MOD((INT(Micrómetro!$B$54)-11+6),Micrómetro!$B$44)&amp;"","")</f>
        <v>15</v>
      </c>
      <c r="Z10">
        <f>IF(AND((6*IF(Micrómetro!$B$41=1,4,10))&lt;=Micrómetro!$B$52,(6*IF(Micrómetro!$B$41=1,4,10))&lt;=Micrómetro!$B$43),(6*IF(Micrómetro!$B$41=1,4,10)),-50)</f>
        <v>-50</v>
      </c>
      <c r="AA10">
        <v>2.4</v>
      </c>
      <c r="AB10" t="str">
        <f>IF(AND((6*IF(Micrómetro!$B$41=1,4,10))&lt;=Micrómetro!$B$52,(6*IF(Micrómetro!$B$41=1,4,10))&lt;=Micrómetro!$B$43),IF(Micrómetro!$B$41=1,IF(MOD((6*IF(Micrómetro!$B$41=1,4,10))/4,10)=0,IF((6*IF(Micrómetro!$B$41=1,4,10))=0,Micrómetro!$B$58&amp;"",Micrómetro!$B$58+(6*IF(Micrómetro!$B$41=1,4,10))/40&amp;""),MOD((6*IF(Micrómetro!$B$41=1,4,10))/4,10)&amp;""),Micrómetro!$B$58+(6*IF(Micrómetro!$B$41=1,4,10))*Micrómetro!$B$42&amp;""),"")</f>
        <v/>
      </c>
      <c r="AD10">
        <f>IF(Micrómetro!$B$46=1,Micrómetro!$B$52-2.4,-50)</f>
        <v>-50</v>
      </c>
      <c r="AE10">
        <f>IF(Micrómetro!$B$46=1,2*0.54,0)</f>
        <v>0</v>
      </c>
      <c r="AK10">
        <f>-1</f>
        <v>-1</v>
      </c>
      <c r="AL10">
        <f>0</f>
        <v>0</v>
      </c>
      <c r="AN10">
        <f>IF(MOD(2,10)=0,7.9,IF(MOD(2,5)=0,8.5,8.9))*SIN(RADIANS(2*3.6))</f>
        <v>1.1154657787223079</v>
      </c>
      <c r="AO10">
        <f>IF(MOD(2,10)=0,7.9,IF(MOD(2,5)=0,8.5,8.9))*COS(RADIANS(2*3.6))</f>
        <v>8.8298208416988526</v>
      </c>
      <c r="AQ10">
        <f>10.2*SIN(RADIANS(6*3))</f>
        <v>3.1519733426244634</v>
      </c>
      <c r="AR10">
        <f>10.2*COS(RADIANS(6*3))</f>
        <v>9.7007764662105647</v>
      </c>
      <c r="AT10">
        <f>6.6*SIN(RADIANS(6*36))</f>
        <v>-3.8793826651303216</v>
      </c>
      <c r="AU10">
        <f>6.6*COS(RADIANS(6*36))</f>
        <v>-5.3395121628746534</v>
      </c>
      <c r="AV10" t="s">
        <v>339</v>
      </c>
      <c r="BA10">
        <f>1.55*SIN(RADIANS(2*36))</f>
        <v>1.474137600257488</v>
      </c>
      <c r="BB10">
        <f>3.6+1.55*COS(RADIANS(2*36))</f>
        <v>4.0789763412811686</v>
      </c>
      <c r="BH10">
        <f>IF(MOD(2,10)=0,7.9,IF(MOD(2,5)=0,8.5,8.9))*SIN(RADIANS(2*3.6))</f>
        <v>1.1154657787223079</v>
      </c>
      <c r="BI10">
        <f>IF(MOD(2,10)=0,7.9,IF(MOD(2,5)=0,8.5,8.9))*COS(RADIANS(2*3.6))</f>
        <v>8.8298208416988526</v>
      </c>
      <c r="BK10">
        <f>10.2*SIN(RADIANS(6*3))</f>
        <v>3.1519733426244634</v>
      </c>
      <c r="BL10">
        <f>10.2*COS(RADIANS(6*3))</f>
        <v>9.7007764662105647</v>
      </c>
      <c r="BN10">
        <f>6.6*SIN(RADIANS(6*36))</f>
        <v>-3.8793826651303216</v>
      </c>
      <c r="BO10">
        <f>6.6*COS(RADIANS(6*36))</f>
        <v>-5.3395121628746534</v>
      </c>
      <c r="BP10" t="s">
        <v>337</v>
      </c>
    </row>
    <row r="11" spans="1:82" x14ac:dyDescent="0.25">
      <c r="A11">
        <v>2</v>
      </c>
      <c r="B11">
        <f>IF(MOD(2,'Pie de rey'!$B$52)=0,2,IF(MOD(2,'Pie de rey'!$B$53)=0,1.5,IF(MOD(2,'Pie de rey'!$B$54)=0,1.1,0.75)))</f>
        <v>0.75</v>
      </c>
      <c r="C11">
        <f>C10</f>
        <v>13.5</v>
      </c>
      <c r="D11">
        <f>IF(MOD(MIN(2,'Pie de rey'!$B$43),'Pie de rey'!$B$56)=0,-1.8,-1.1)</f>
        <v>-1.1000000000000001</v>
      </c>
      <c r="F11">
        <f>IF((7*'Pie de rey'!$B$55)&lt;=100,(7*'Pie de rey'!$B$55),-50)</f>
        <v>-50</v>
      </c>
      <c r="G11">
        <v>2.7</v>
      </c>
      <c r="H11" t="str">
        <f>IF((7*'Pie de rey'!$B$55)&gt;100,"",CHOOSE('Pie de rey'!$B$57,(7*'Pie de rey'!$B$55+'Pie de rey'!$B$63)/10,IF(MOD((7*'Pie de rey'!$B$55+'Pie de rey'!$B$63),40)=0,(7*'Pie de rey'!$B$55+'Pie de rey'!$B$63)/40,MOD((7*'Pie de rey'!$B$55+'Pie de rey'!$B$63)/4,10)),IF(MOD((7*'Pie de rey'!$B$55+'Pie de rey'!$B$63),20)=0,(7*'Pie de rey'!$B$55+'Pie de rey'!$B$63)/20,MOD((7*'Pie de rey'!$B$55+'Pie de rey'!$B$63)/2,10)),(7*'Pie de rey'!$B$55+'Pie de rey'!$B$63)/16)&amp;"")</f>
        <v/>
      </c>
      <c r="J11">
        <f>IF((7*'Pie de rey'!$B$56)&lt;='Pie de rey'!$B$43,('Pie de rey'!$B$49/'Pie de rey'!$B$42-'Pie de rey'!$B$63)+(7*'Pie de rey'!$B$56)*'Pie de rey'!$B$50,-50)</f>
        <v>-50</v>
      </c>
      <c r="K11">
        <v>-2.6</v>
      </c>
      <c r="L11" t="str">
        <f>IF((7*'Pie de rey'!$B$56)&gt;'Pie de rey'!$B$43,"",IF('Pie de rey'!$B$41=0,FIXED((7*'Pie de rey'!$B$56)*'Pie de rey'!$B$45,1,TRUE),(7*'Pie de rey'!$B$56)&amp;""))</f>
        <v/>
      </c>
      <c r="P11">
        <f>IF(AND(2&lt;=Micrómetro!$B$52,2&lt;=Micrómetro!$B$43),2,-50)</f>
        <v>2</v>
      </c>
      <c r="Q11">
        <f>IF(OR(Micrómetro!$B$41=1,MOD(2,2)=0),IF(Micrómetro!$B$41=1,IF(MOD(2,4)=0,1.6,1),IF(MOD(2,10)=0,1.6,1)),-1.1)</f>
        <v>1</v>
      </c>
      <c r="S11">
        <f>IF(ABS((((INT(Micrómetro!$B$54)-11+2))-Micrómetro!$B$54)*0.6)&lt;=7.2,Micrómetro!$B$52+IF(MOD((INT(Micrómetro!$B$54)-11+2),5)=0,2,1.2),-50)</f>
        <v>49.6</v>
      </c>
      <c r="T11">
        <f>IF(ABS((((INT(Micrómetro!$B$54)-11+2))-Micrómetro!$B$54)*0.6)&lt;=7.2,(((INT(Micrómetro!$B$54)-11+2))-Micrómetro!$B$54)*0.6,0)</f>
        <v>-5.3999999999999995</v>
      </c>
      <c r="V11">
        <f>IF(AND(ABS((((INT(Micrómetro!$B$54)-11+7))-Micrómetro!$B$54)*0.6)&lt;=7,MOD((INT(Micrómetro!$B$54)-11+7),5)=0),Micrómetro!$B$52+3.3,-50)</f>
        <v>-50</v>
      </c>
      <c r="W11">
        <f>IF(AND(ABS((((INT(Micrómetro!$B$54)-11+7))-Micrómetro!$B$54)*0.6)&lt;=7,MOD((INT(Micrómetro!$B$54)-11+7),5)=0),(((INT(Micrómetro!$B$54)-11+7))-Micrómetro!$B$54)*0.6,0)</f>
        <v>0</v>
      </c>
      <c r="X11" t="str">
        <f>IF(AND(ABS((((INT(Micrómetro!$B$54)-11+7))-Micrómetro!$B$54)*0.6)&lt;=7,MOD((INT(Micrómetro!$B$54)-11+7),5)=0),MOD((INT(Micrómetro!$B$54)-11+7),Micrómetro!$B$44)&amp;"","")</f>
        <v/>
      </c>
      <c r="Z11">
        <f>IF(AND((7*IF(Micrómetro!$B$41=1,4,10))&lt;=Micrómetro!$B$52,(7*IF(Micrómetro!$B$41=1,4,10))&lt;=Micrómetro!$B$43),(7*IF(Micrómetro!$B$41=1,4,10)),-50)</f>
        <v>-50</v>
      </c>
      <c r="AA11">
        <v>2.4</v>
      </c>
      <c r="AB11" t="str">
        <f>IF(AND((7*IF(Micrómetro!$B$41=1,4,10))&lt;=Micrómetro!$B$52,(7*IF(Micrómetro!$B$41=1,4,10))&lt;=Micrómetro!$B$43),IF(Micrómetro!$B$41=1,IF(MOD((7*IF(Micrómetro!$B$41=1,4,10))/4,10)=0,IF((7*IF(Micrómetro!$B$41=1,4,10))=0,Micrómetro!$B$58&amp;"",Micrómetro!$B$58+(7*IF(Micrómetro!$B$41=1,4,10))/40&amp;""),MOD((7*IF(Micrómetro!$B$41=1,4,10))/4,10)&amp;""),Micrómetro!$B$58+(7*IF(Micrómetro!$B$41=1,4,10))*Micrómetro!$B$42&amp;""),"")</f>
        <v/>
      </c>
      <c r="AD11">
        <f>IF(Micrómetro!$B$46=1,Micrómetro!$B$52-0.15,-50)</f>
        <v>-50</v>
      </c>
      <c r="AE11">
        <f>IF(Micrómetro!$B$46=1,2*0.54,0)</f>
        <v>0</v>
      </c>
      <c r="AK11">
        <f>Micrómetro!$B$52</f>
        <v>48.4</v>
      </c>
      <c r="AL11">
        <f>0</f>
        <v>0</v>
      </c>
      <c r="AN11">
        <f>9.6*SIN(RADIANS(2*3.6))</f>
        <v>1.2031990422173209</v>
      </c>
      <c r="AO11">
        <f>9.6*COS(RADIANS(2*3.6))</f>
        <v>9.5243011326189873</v>
      </c>
      <c r="AQ11">
        <f>10.2*SIN(RADIANS(7*3))</f>
        <v>3.6553530853620626</v>
      </c>
      <c r="AR11">
        <f>10.2*COS(RADIANS(7*3))</f>
        <v>9.5225203502714564</v>
      </c>
      <c r="AT11">
        <f>6.6*SIN(RADIANS(7*36))</f>
        <v>-6.2769730075480128</v>
      </c>
      <c r="AU11">
        <f>6.6*COS(RADIANS(7*36))</f>
        <v>-2.039512162874654</v>
      </c>
      <c r="AV11" t="s">
        <v>340</v>
      </c>
      <c r="BA11">
        <f>2.05*SIN(RADIANS(2*36))</f>
        <v>1.9496658584050646</v>
      </c>
      <c r="BB11">
        <f>3.6+2.05*COS(RADIANS(2*36))</f>
        <v>4.2334848384686428</v>
      </c>
      <c r="BH11">
        <f>9.6*SIN(RADIANS(2*3.6))</f>
        <v>1.2031990422173209</v>
      </c>
      <c r="BI11">
        <f>9.6*COS(RADIANS(2*3.6))</f>
        <v>9.5243011326189873</v>
      </c>
      <c r="BK11">
        <f>10.2*SIN(RADIANS(7*3))</f>
        <v>3.6553530853620626</v>
      </c>
      <c r="BL11">
        <f>10.2*COS(RADIANS(7*3))</f>
        <v>9.5225203502714564</v>
      </c>
      <c r="BN11">
        <f>6.6*SIN(RADIANS(7*36))</f>
        <v>-6.2769730075480128</v>
      </c>
      <c r="BO11">
        <f>6.6*COS(RADIANS(7*36))</f>
        <v>-2.039512162874654</v>
      </c>
      <c r="BP11" t="s">
        <v>336</v>
      </c>
    </row>
    <row r="12" spans="1:82" x14ac:dyDescent="0.25">
      <c r="F12">
        <f>IF((8*'Pie de rey'!$B$55)&lt;=100,(8*'Pie de rey'!$B$55),-50)</f>
        <v>-50</v>
      </c>
      <c r="G12">
        <v>2.7</v>
      </c>
      <c r="H12" t="str">
        <f>IF((8*'Pie de rey'!$B$55)&gt;100,"",CHOOSE('Pie de rey'!$B$57,(8*'Pie de rey'!$B$55+'Pie de rey'!$B$63)/10,IF(MOD((8*'Pie de rey'!$B$55+'Pie de rey'!$B$63),40)=0,(8*'Pie de rey'!$B$55+'Pie de rey'!$B$63)/40,MOD((8*'Pie de rey'!$B$55+'Pie de rey'!$B$63)/4,10)),IF(MOD((8*'Pie de rey'!$B$55+'Pie de rey'!$B$63),20)=0,(8*'Pie de rey'!$B$55+'Pie de rey'!$B$63)/20,MOD((8*'Pie de rey'!$B$55+'Pie de rey'!$B$63)/2,10)),(8*'Pie de rey'!$B$55+'Pie de rey'!$B$63)/16)&amp;"")</f>
        <v/>
      </c>
      <c r="J12">
        <f>IF((8*'Pie de rey'!$B$56)&lt;='Pie de rey'!$B$43,('Pie de rey'!$B$49/'Pie de rey'!$B$42-'Pie de rey'!$B$63)+(8*'Pie de rey'!$B$56)*'Pie de rey'!$B$50,-50)</f>
        <v>-50</v>
      </c>
      <c r="K12">
        <v>-2.6</v>
      </c>
      <c r="L12" t="str">
        <f>IF((8*'Pie de rey'!$B$56)&gt;'Pie de rey'!$B$43,"",IF('Pie de rey'!$B$41=0,FIXED((8*'Pie de rey'!$B$56)*'Pie de rey'!$B$45,1,TRUE),(8*'Pie de rey'!$B$56)&amp;""))</f>
        <v/>
      </c>
      <c r="V12">
        <f>IF(AND(ABS((((INT(Micrómetro!$B$54)-11+8))-Micrómetro!$B$54)*0.6)&lt;=7,MOD((INT(Micrómetro!$B$54)-11+8),5)=0),Micrómetro!$B$52+3.3,-50)</f>
        <v>-50</v>
      </c>
      <c r="W12">
        <f>IF(AND(ABS((((INT(Micrómetro!$B$54)-11+8))-Micrómetro!$B$54)*0.6)&lt;=7,MOD((INT(Micrómetro!$B$54)-11+8),5)=0),(((INT(Micrómetro!$B$54)-11+8))-Micrómetro!$B$54)*0.6,0)</f>
        <v>0</v>
      </c>
      <c r="X12" t="str">
        <f>IF(AND(ABS((((INT(Micrómetro!$B$54)-11+8))-Micrómetro!$B$54)*0.6)&lt;=7,MOD((INT(Micrómetro!$B$54)-11+8),5)=0),MOD((INT(Micrómetro!$B$54)-11+8),Micrómetro!$B$44)&amp;"","")</f>
        <v/>
      </c>
      <c r="Z12">
        <f>IF(AND((8*IF(Micrómetro!$B$41=1,4,10))&lt;=Micrómetro!$B$52,(8*IF(Micrómetro!$B$41=1,4,10))&lt;=Micrómetro!$B$43),(8*IF(Micrómetro!$B$41=1,4,10)),-50)</f>
        <v>-50</v>
      </c>
      <c r="AA12">
        <v>2.4</v>
      </c>
      <c r="AB12" t="str">
        <f>IF(AND((8*IF(Micrómetro!$B$41=1,4,10))&lt;=Micrómetro!$B$52,(8*IF(Micrómetro!$B$41=1,4,10))&lt;=Micrómetro!$B$43),IF(Micrómetro!$B$41=1,IF(MOD((8*IF(Micrómetro!$B$41=1,4,10))/4,10)=0,IF((8*IF(Micrómetro!$B$41=1,4,10))=0,Micrómetro!$B$58&amp;"",Micrómetro!$B$58+(8*IF(Micrómetro!$B$41=1,4,10))/40&amp;""),MOD((8*IF(Micrómetro!$B$41=1,4,10))/4,10)&amp;""),Micrómetro!$B$58+(8*IF(Micrómetro!$B$41=1,4,10))*Micrómetro!$B$42&amp;""),"")</f>
        <v/>
      </c>
      <c r="AQ12">
        <f>10.2*SIN(RADIANS(8*3))</f>
        <v>4.1487137593731616</v>
      </c>
      <c r="AR12">
        <f>10.2*COS(RADIANS(8*3))</f>
        <v>9.3181636679545274</v>
      </c>
      <c r="AT12">
        <f>6.6*SIN(RADIANS(8*36))</f>
        <v>-6.2769730075480137</v>
      </c>
      <c r="AU12">
        <f>6.6*COS(RADIANS(8*36))</f>
        <v>2.0395121628746518</v>
      </c>
      <c r="AV12" t="s">
        <v>341</v>
      </c>
      <c r="BK12">
        <f>10.2*SIN(RADIANS(8*3))</f>
        <v>4.1487137593731616</v>
      </c>
      <c r="BL12">
        <f>10.2*COS(RADIANS(8*3))</f>
        <v>9.3181636679545274</v>
      </c>
      <c r="BN12">
        <f>6.6*SIN(RADIANS(8*36))</f>
        <v>-6.2769730075480137</v>
      </c>
      <c r="BO12">
        <f>6.6*COS(RADIANS(8*36))</f>
        <v>2.0395121628746518</v>
      </c>
      <c r="BP12" t="s">
        <v>185</v>
      </c>
    </row>
    <row r="13" spans="1:82" x14ac:dyDescent="0.25">
      <c r="A13">
        <v>3</v>
      </c>
      <c r="B13">
        <v>0</v>
      </c>
      <c r="C13">
        <f>('Pie de rey'!$B$49/'Pie de rey'!$B$42-'Pie de rey'!$B$63)+MIN(3,'Pie de rey'!$B$43)*'Pie de rey'!$B$50</f>
        <v>14.375</v>
      </c>
      <c r="D13">
        <v>0</v>
      </c>
      <c r="F13">
        <f>IF((9*'Pie de rey'!$B$55)&lt;=100,(9*'Pie de rey'!$B$55),-50)</f>
        <v>-50</v>
      </c>
      <c r="G13">
        <v>2.7</v>
      </c>
      <c r="H13" t="str">
        <f>IF((9*'Pie de rey'!$B$55)&gt;100,"",CHOOSE('Pie de rey'!$B$57,(9*'Pie de rey'!$B$55+'Pie de rey'!$B$63)/10,IF(MOD((9*'Pie de rey'!$B$55+'Pie de rey'!$B$63),40)=0,(9*'Pie de rey'!$B$55+'Pie de rey'!$B$63)/40,MOD((9*'Pie de rey'!$B$55+'Pie de rey'!$B$63)/4,10)),IF(MOD((9*'Pie de rey'!$B$55+'Pie de rey'!$B$63),20)=0,(9*'Pie de rey'!$B$55+'Pie de rey'!$B$63)/20,MOD((9*'Pie de rey'!$B$55+'Pie de rey'!$B$63)/2,10)),(9*'Pie de rey'!$B$55+'Pie de rey'!$B$63)/16)&amp;"")</f>
        <v/>
      </c>
      <c r="J13">
        <f>IF((9*'Pie de rey'!$B$56)&lt;='Pie de rey'!$B$43,('Pie de rey'!$B$49/'Pie de rey'!$B$42-'Pie de rey'!$B$63)+(9*'Pie de rey'!$B$56)*'Pie de rey'!$B$50,-50)</f>
        <v>-50</v>
      </c>
      <c r="K13">
        <v>-2.6</v>
      </c>
      <c r="L13" t="str">
        <f>IF((9*'Pie de rey'!$B$56)&gt;'Pie de rey'!$B$43,"",IF('Pie de rey'!$B$41=0,FIXED((9*'Pie de rey'!$B$56)*'Pie de rey'!$B$45,1,TRUE),(9*'Pie de rey'!$B$56)&amp;""))</f>
        <v/>
      </c>
      <c r="P13">
        <f>IF(AND(3&lt;=Micrómetro!$B$52,3&lt;=Micrómetro!$B$43),3,-50)</f>
        <v>3</v>
      </c>
      <c r="Q13">
        <v>0</v>
      </c>
      <c r="S13">
        <f>IF(ABS((((INT(Micrómetro!$B$54)-11+3))-Micrómetro!$B$54)*0.6)&lt;=7.2,Micrómetro!$B$52,-50)</f>
        <v>48.4</v>
      </c>
      <c r="T13">
        <f>IF(ABS((((INT(Micrómetro!$B$54)-11+3))-Micrómetro!$B$54)*0.6)&lt;=7.2,(((INT(Micrómetro!$B$54)-11+3))-Micrómetro!$B$54)*0.6,0)</f>
        <v>-4.8</v>
      </c>
      <c r="V13">
        <f>IF(AND(ABS((((INT(Micrómetro!$B$54)-11+9))-Micrómetro!$B$54)*0.6)&lt;=7,MOD((INT(Micrómetro!$B$54)-11+9),5)=0),Micrómetro!$B$52+3.3,-50)</f>
        <v>-50</v>
      </c>
      <c r="W13">
        <f>IF(AND(ABS((((INT(Micrómetro!$B$54)-11+9))-Micrómetro!$B$54)*0.6)&lt;=7,MOD((INT(Micrómetro!$B$54)-11+9),5)=0),(((INT(Micrómetro!$B$54)-11+9))-Micrómetro!$B$54)*0.6,0)</f>
        <v>0</v>
      </c>
      <c r="X13" t="str">
        <f>IF(AND(ABS((((INT(Micrómetro!$B$54)-11+9))-Micrómetro!$B$54)*0.6)&lt;=7,MOD((INT(Micrómetro!$B$54)-11+9),5)=0),MOD((INT(Micrómetro!$B$54)-11+9),Micrómetro!$B$44)&amp;"","")</f>
        <v/>
      </c>
      <c r="Z13">
        <f>IF(AND((9*IF(Micrómetro!$B$41=1,4,10))&lt;=Micrómetro!$B$52,(9*IF(Micrómetro!$B$41=1,4,10))&lt;=Micrómetro!$B$43),(9*IF(Micrómetro!$B$41=1,4,10)),-50)</f>
        <v>-50</v>
      </c>
      <c r="AA13">
        <v>2.4</v>
      </c>
      <c r="AB13" t="str">
        <f>IF(AND((9*IF(Micrómetro!$B$41=1,4,10))&lt;=Micrómetro!$B$52,(9*IF(Micrómetro!$B$41=1,4,10))&lt;=Micrómetro!$B$43),IF(Micrómetro!$B$41=1,IF(MOD((9*IF(Micrómetro!$B$41=1,4,10))/4,10)=0,IF((9*IF(Micrómetro!$B$41=1,4,10))=0,Micrómetro!$B$58&amp;"",Micrómetro!$B$58+(9*IF(Micrómetro!$B$41=1,4,10))/40&amp;""),MOD((9*IF(Micrómetro!$B$41=1,4,10))/4,10)&amp;""),Micrómetro!$B$58+(9*IF(Micrómetro!$B$41=1,4,10))*Micrómetro!$B$42&amp;""),"")</f>
        <v/>
      </c>
      <c r="AD13">
        <f>IF(Micrómetro!$B$46=1,Micrómetro!$B$52-2.4,-50)</f>
        <v>-50</v>
      </c>
      <c r="AE13">
        <f>IF(Micrómetro!$B$46=1,3*0.54,0)</f>
        <v>0</v>
      </c>
      <c r="AK13">
        <f>Micrómetro!$B$52</f>
        <v>48.4</v>
      </c>
      <c r="AL13">
        <f>-7.6</f>
        <v>-7.6</v>
      </c>
      <c r="AN13">
        <f>IF(MOD(3,10)=0,7.9,IF(MOD(3,5)=0,8.5,8.9))*SIN(RADIANS(3*3.6))</f>
        <v>1.6676936998129492</v>
      </c>
      <c r="AO13">
        <f>IF(MOD(3,10)=0,7.9,IF(MOD(3,5)=0,8.5,8.9))*COS(RADIANS(3*3.6))</f>
        <v>8.7423565314853295</v>
      </c>
      <c r="AQ13">
        <f>10.2*SIN(RADIANS(9*3))</f>
        <v>4.6307030973433765</v>
      </c>
      <c r="AR13">
        <f>10.2*COS(RADIANS(9*3))</f>
        <v>9.0882665467213517</v>
      </c>
      <c r="AT13">
        <f>6.6*SIN(RADIANS(9*36))</f>
        <v>-3.8793826651303238</v>
      </c>
      <c r="AU13">
        <f>6.6*COS(RADIANS(9*36))</f>
        <v>5.3395121628746525</v>
      </c>
      <c r="AV13" t="s">
        <v>342</v>
      </c>
      <c r="BA13">
        <f>1.55*SIN(RADIANS(3*36))</f>
        <v>1.4741376002574882</v>
      </c>
      <c r="BB13">
        <f>3.6+1.55*COS(RADIANS(3*36))</f>
        <v>3.1210236587188316</v>
      </c>
      <c r="BH13">
        <f>IF(MOD(3,10)=0,7.9,IF(MOD(3,5)=0,8.5,8.9))*SIN(RADIANS(3*3.6))</f>
        <v>1.6676936998129492</v>
      </c>
      <c r="BI13">
        <f>IF(MOD(3,10)=0,7.9,IF(MOD(3,5)=0,8.5,8.9))*COS(RADIANS(3*3.6))</f>
        <v>8.7423565314853295</v>
      </c>
      <c r="BK13">
        <f>10.2*SIN(RADIANS(9*3))</f>
        <v>4.6307030973433765</v>
      </c>
      <c r="BL13">
        <f>10.2*COS(RADIANS(9*3))</f>
        <v>9.0882665467213517</v>
      </c>
      <c r="BN13">
        <f>6.6*SIN(RADIANS(9*36))</f>
        <v>-3.8793826651303238</v>
      </c>
      <c r="BO13">
        <f>6.6*COS(RADIANS(9*36))</f>
        <v>5.3395121628746525</v>
      </c>
      <c r="BP13" t="s">
        <v>334</v>
      </c>
    </row>
    <row r="14" spans="1:82" x14ac:dyDescent="0.25">
      <c r="A14">
        <v>3</v>
      </c>
      <c r="B14">
        <f>IF(MOD(3,'Pie de rey'!$B$52)=0,2,IF(MOD(3,'Pie de rey'!$B$53)=0,1.5,IF(MOD(3,'Pie de rey'!$B$54)=0,1.1,0.75)))</f>
        <v>0.75</v>
      </c>
      <c r="C14">
        <f>C13</f>
        <v>14.375</v>
      </c>
      <c r="D14">
        <f>IF(MOD(MIN(3,'Pie de rey'!$B$43),'Pie de rey'!$B$56)=0,-1.8,-1.1)</f>
        <v>-1.1000000000000001</v>
      </c>
      <c r="F14">
        <f>IF((10*'Pie de rey'!$B$55)&lt;=100,(10*'Pie de rey'!$B$55),-50)</f>
        <v>-50</v>
      </c>
      <c r="G14">
        <v>2.7</v>
      </c>
      <c r="H14" t="str">
        <f>IF((10*'Pie de rey'!$B$55)&gt;100,"",CHOOSE('Pie de rey'!$B$57,(10*'Pie de rey'!$B$55+'Pie de rey'!$B$63)/10,IF(MOD((10*'Pie de rey'!$B$55+'Pie de rey'!$B$63),40)=0,(10*'Pie de rey'!$B$55+'Pie de rey'!$B$63)/40,MOD((10*'Pie de rey'!$B$55+'Pie de rey'!$B$63)/4,10)),IF(MOD((10*'Pie de rey'!$B$55+'Pie de rey'!$B$63),20)=0,(10*'Pie de rey'!$B$55+'Pie de rey'!$B$63)/20,MOD((10*'Pie de rey'!$B$55+'Pie de rey'!$B$63)/2,10)),(10*'Pie de rey'!$B$55+'Pie de rey'!$B$63)/16)&amp;"")</f>
        <v/>
      </c>
      <c r="J14">
        <f>IF((10*'Pie de rey'!$B$56)&lt;='Pie de rey'!$B$43,('Pie de rey'!$B$49/'Pie de rey'!$B$42-'Pie de rey'!$B$63)+(10*'Pie de rey'!$B$56)*'Pie de rey'!$B$50,-50)</f>
        <v>-50</v>
      </c>
      <c r="K14">
        <v>-2.6</v>
      </c>
      <c r="L14" t="str">
        <f>IF((10*'Pie de rey'!$B$56)&gt;'Pie de rey'!$B$43,"",IF('Pie de rey'!$B$41=0,FIXED((10*'Pie de rey'!$B$56)*'Pie de rey'!$B$45,1,TRUE),(10*'Pie de rey'!$B$56)&amp;""))</f>
        <v/>
      </c>
      <c r="P14">
        <f>IF(AND(3&lt;=Micrómetro!$B$52,3&lt;=Micrómetro!$B$43),3,-50)</f>
        <v>3</v>
      </c>
      <c r="Q14">
        <f>IF(OR(Micrómetro!$B$41=1,MOD(3,2)=0),IF(Micrómetro!$B$41=1,IF(MOD(3,4)=0,1.6,1),IF(MOD(3,10)=0,1.6,1)),-1.1)</f>
        <v>-1.1000000000000001</v>
      </c>
      <c r="S14">
        <f>IF(ABS((((INT(Micrómetro!$B$54)-11+3))-Micrómetro!$B$54)*0.6)&lt;=7.2,Micrómetro!$B$52+IF(MOD((INT(Micrómetro!$B$54)-11+3),5)=0,2,1.2),-50)</f>
        <v>49.6</v>
      </c>
      <c r="T14">
        <f>IF(ABS((((INT(Micrómetro!$B$54)-11+3))-Micrómetro!$B$54)*0.6)&lt;=7.2,(((INT(Micrómetro!$B$54)-11+3))-Micrómetro!$B$54)*0.6,0)</f>
        <v>-4.8</v>
      </c>
      <c r="V14">
        <f>IF(AND(ABS((((INT(Micrómetro!$B$54)-11+10))-Micrómetro!$B$54)*0.6)&lt;=7,MOD((INT(Micrómetro!$B$54)-11+10),5)=0),Micrómetro!$B$52+3.3,-50)</f>
        <v>-50</v>
      </c>
      <c r="W14">
        <f>IF(AND(ABS((((INT(Micrómetro!$B$54)-11+10))-Micrómetro!$B$54)*0.6)&lt;=7,MOD((INT(Micrómetro!$B$54)-11+10),5)=0),(((INT(Micrómetro!$B$54)-11+10))-Micrómetro!$B$54)*0.6,0)</f>
        <v>0</v>
      </c>
      <c r="X14" t="str">
        <f>IF(AND(ABS((((INT(Micrómetro!$B$54)-11+10))-Micrómetro!$B$54)*0.6)&lt;=7,MOD((INT(Micrómetro!$B$54)-11+10),5)=0),MOD((INT(Micrómetro!$B$54)-11+10),Micrómetro!$B$44)&amp;"","")</f>
        <v/>
      </c>
      <c r="Z14">
        <f>IF(AND((10*IF(Micrómetro!$B$41=1,4,10))&lt;=Micrómetro!$B$52,(10*IF(Micrómetro!$B$41=1,4,10))&lt;=Micrómetro!$B$43),(10*IF(Micrómetro!$B$41=1,4,10)),-50)</f>
        <v>-50</v>
      </c>
      <c r="AA14">
        <v>2.4</v>
      </c>
      <c r="AB14" t="str">
        <f>IF(AND((10*IF(Micrómetro!$B$41=1,4,10))&lt;=Micrómetro!$B$52,(10*IF(Micrómetro!$B$41=1,4,10))&lt;=Micrómetro!$B$43),IF(Micrómetro!$B$41=1,IF(MOD((10*IF(Micrómetro!$B$41=1,4,10))/4,10)=0,IF((10*IF(Micrómetro!$B$41=1,4,10))=0,Micrómetro!$B$58&amp;"",Micrómetro!$B$58+(10*IF(Micrómetro!$B$41=1,4,10))/40&amp;""),MOD((10*IF(Micrómetro!$B$41=1,4,10))/4,10)&amp;""),Micrómetro!$B$58+(10*IF(Micrómetro!$B$41=1,4,10))*Micrómetro!$B$42&amp;""),"")</f>
        <v/>
      </c>
      <c r="AD14">
        <f>IF(Micrómetro!$B$46=1,Micrómetro!$B$52-0.15,-50)</f>
        <v>-50</v>
      </c>
      <c r="AE14">
        <f>IF(Micrómetro!$B$46=1,3*0.54,0)</f>
        <v>0</v>
      </c>
      <c r="AK14">
        <f>Micrómetro!$B$52</f>
        <v>48.4</v>
      </c>
      <c r="AL14">
        <f>7.6</f>
        <v>7.6</v>
      </c>
      <c r="AN14">
        <f>9.6*SIN(RADIANS(3*3.6))</f>
        <v>1.7988606200229564</v>
      </c>
      <c r="AO14">
        <f>9.6*COS(RADIANS(3*3.6))</f>
        <v>9.4299576069954121</v>
      </c>
      <c r="AQ14">
        <f>10.2*SIN(RADIANS(10*3))</f>
        <v>5.0999999999999988</v>
      </c>
      <c r="AR14">
        <f>10.2*COS(RADIANS(10*3))</f>
        <v>8.8334591186012741</v>
      </c>
      <c r="BA14">
        <f>2.05*SIN(RADIANS(3*36))</f>
        <v>1.9496658584050648</v>
      </c>
      <c r="BB14">
        <f>3.6+2.05*COS(RADIANS(3*36))</f>
        <v>2.9665151615313583</v>
      </c>
      <c r="BH14">
        <f>9.6*SIN(RADIANS(3*3.6))</f>
        <v>1.7988606200229564</v>
      </c>
      <c r="BI14">
        <f>9.6*COS(RADIANS(3*3.6))</f>
        <v>9.4299576069954121</v>
      </c>
      <c r="BK14">
        <f>10.2*SIN(RADIANS(10*3))</f>
        <v>5.0999999999999988</v>
      </c>
      <c r="BL14">
        <f>10.2*COS(RADIANS(10*3))</f>
        <v>8.8334591186012741</v>
      </c>
    </row>
    <row r="15" spans="1:82" x14ac:dyDescent="0.25">
      <c r="F15">
        <f>IF((11*'Pie de rey'!$B$55)&lt;=100,(11*'Pie de rey'!$B$55),-50)</f>
        <v>-50</v>
      </c>
      <c r="G15">
        <v>2.7</v>
      </c>
      <c r="H15" t="str">
        <f>IF((11*'Pie de rey'!$B$55)&gt;100,"",CHOOSE('Pie de rey'!$B$57,(11*'Pie de rey'!$B$55+'Pie de rey'!$B$63)/10,IF(MOD((11*'Pie de rey'!$B$55+'Pie de rey'!$B$63),40)=0,(11*'Pie de rey'!$B$55+'Pie de rey'!$B$63)/40,MOD((11*'Pie de rey'!$B$55+'Pie de rey'!$B$63)/4,10)),IF(MOD((11*'Pie de rey'!$B$55+'Pie de rey'!$B$63),20)=0,(11*'Pie de rey'!$B$55+'Pie de rey'!$B$63)/20,MOD((11*'Pie de rey'!$B$55+'Pie de rey'!$B$63)/2,10)),(11*'Pie de rey'!$B$55+'Pie de rey'!$B$63)/16)&amp;"")</f>
        <v/>
      </c>
      <c r="V15">
        <f>IF(AND(ABS((((INT(Micrómetro!$B$54)-11+11))-Micrómetro!$B$54)*0.6)&lt;=7,MOD((INT(Micrómetro!$B$54)-11+11),5)=0),Micrómetro!$B$52+3.3,-50)</f>
        <v>51.699999999999996</v>
      </c>
      <c r="W15">
        <f>IF(AND(ABS((((INT(Micrómetro!$B$54)-11+11))-Micrómetro!$B$54)*0.6)&lt;=7,MOD((INT(Micrómetro!$B$54)-11+11),5)=0),(((INT(Micrómetro!$B$54)-11+11))-Micrómetro!$B$54)*0.6,0)</f>
        <v>0</v>
      </c>
      <c r="X15" t="str">
        <f>IF(AND(ABS((((INT(Micrómetro!$B$54)-11+11))-Micrómetro!$B$54)*0.6)&lt;=7,MOD((INT(Micrómetro!$B$54)-11+11),5)=0),MOD((INT(Micrómetro!$B$54)-11+11),Micrómetro!$B$44)&amp;"","")</f>
        <v>20</v>
      </c>
      <c r="AK15">
        <f>Micrómetro!$B$52+9</f>
        <v>57.4</v>
      </c>
      <c r="AL15">
        <f>7.6</f>
        <v>7.6</v>
      </c>
      <c r="AQ15">
        <f>10.2*SIN(RADIANS(11*3))</f>
        <v>5.5553181571532759</v>
      </c>
      <c r="AR15">
        <f>10.2*COS(RADIANS(11*3))</f>
        <v>8.5544397930433256</v>
      </c>
      <c r="BK15">
        <f>10.2*SIN(RADIANS(11*3))</f>
        <v>5.5553181571532759</v>
      </c>
      <c r="BL15">
        <f>10.2*COS(RADIANS(11*3))</f>
        <v>8.5544397930433256</v>
      </c>
    </row>
    <row r="16" spans="1:82" x14ac:dyDescent="0.25">
      <c r="A16">
        <v>4</v>
      </c>
      <c r="B16">
        <v>0</v>
      </c>
      <c r="C16">
        <f>('Pie de rey'!$B$49/'Pie de rey'!$B$42-'Pie de rey'!$B$63)+MIN(4,'Pie de rey'!$B$43)*'Pie de rey'!$B$50</f>
        <v>15.25</v>
      </c>
      <c r="D16">
        <v>0</v>
      </c>
      <c r="F16">
        <f>IF((12*'Pie de rey'!$B$55)&lt;=100,(12*'Pie de rey'!$B$55),-50)</f>
        <v>-50</v>
      </c>
      <c r="G16">
        <v>2.7</v>
      </c>
      <c r="H16" t="str">
        <f>IF((12*'Pie de rey'!$B$55)&gt;100,"",CHOOSE('Pie de rey'!$B$57,(12*'Pie de rey'!$B$55+'Pie de rey'!$B$63)/10,IF(MOD((12*'Pie de rey'!$B$55+'Pie de rey'!$B$63),40)=0,(12*'Pie de rey'!$B$55+'Pie de rey'!$B$63)/40,MOD((12*'Pie de rey'!$B$55+'Pie de rey'!$B$63)/4,10)),IF(MOD((12*'Pie de rey'!$B$55+'Pie de rey'!$B$63),20)=0,(12*'Pie de rey'!$B$55+'Pie de rey'!$B$63)/20,MOD((12*'Pie de rey'!$B$55+'Pie de rey'!$B$63)/2,10)),(12*'Pie de rey'!$B$55+'Pie de rey'!$B$63)/16)&amp;"")</f>
        <v/>
      </c>
      <c r="P16">
        <f>IF(AND(4&lt;=Micrómetro!$B$52,4&lt;=Micrómetro!$B$43),4,-50)</f>
        <v>4</v>
      </c>
      <c r="Q16">
        <v>0</v>
      </c>
      <c r="S16">
        <f>IF(ABS((((INT(Micrómetro!$B$54)-11+4))-Micrómetro!$B$54)*0.6)&lt;=7.2,Micrómetro!$B$52,-50)</f>
        <v>48.4</v>
      </c>
      <c r="T16">
        <f>IF(ABS((((INT(Micrómetro!$B$54)-11+4))-Micrómetro!$B$54)*0.6)&lt;=7.2,(((INT(Micrómetro!$B$54)-11+4))-Micrómetro!$B$54)*0.6,0)</f>
        <v>-4.2</v>
      </c>
      <c r="V16">
        <f>IF(AND(ABS((((INT(Micrómetro!$B$54)-11+12))-Micrómetro!$B$54)*0.6)&lt;=7,MOD((INT(Micrómetro!$B$54)-11+12),5)=0),Micrómetro!$B$52+3.3,-50)</f>
        <v>-50</v>
      </c>
      <c r="W16">
        <f>IF(AND(ABS((((INT(Micrómetro!$B$54)-11+12))-Micrómetro!$B$54)*0.6)&lt;=7,MOD((INT(Micrómetro!$B$54)-11+12),5)=0),(((INT(Micrómetro!$B$54)-11+12))-Micrómetro!$B$54)*0.6,0)</f>
        <v>0</v>
      </c>
      <c r="X16" t="str">
        <f>IF(AND(ABS((((INT(Micrómetro!$B$54)-11+12))-Micrómetro!$B$54)*0.6)&lt;=7,MOD((INT(Micrómetro!$B$54)-11+12),5)=0),MOD((INT(Micrómetro!$B$54)-11+12),Micrómetro!$B$44)&amp;"","")</f>
        <v/>
      </c>
      <c r="AD16">
        <f>IF(Micrómetro!$B$46=1,Micrómetro!$B$52-2.4,-50)</f>
        <v>-50</v>
      </c>
      <c r="AE16">
        <f>IF(Micrómetro!$B$46=1,4*0.54,0)</f>
        <v>0</v>
      </c>
      <c r="AK16">
        <f>Micrómetro!$B$52+9</f>
        <v>57.4</v>
      </c>
      <c r="AL16">
        <f>-7.6</f>
        <v>-7.6</v>
      </c>
      <c r="AN16">
        <f>IF(MOD(4,10)=0,7.9,IF(MOD(4,5)=0,8.5,8.9))*SIN(RADIANS(4*3.6))</f>
        <v>2.2133399957672077</v>
      </c>
      <c r="AO16">
        <f>IF(MOD(4,10)=0,7.9,IF(MOD(4,5)=0,8.5,8.9))*COS(RADIANS(4*3.6))</f>
        <v>8.6203901340448166</v>
      </c>
      <c r="AQ16">
        <f>10.2*SIN(RADIANS(12*3))</f>
        <v>5.9954095733832258</v>
      </c>
      <c r="AR16">
        <f>10.2*COS(RADIANS(12*3))</f>
        <v>8.2519733426244635</v>
      </c>
      <c r="BA16">
        <f>1.55*SIN(RADIANS(4*36))</f>
        <v>0.91106714105333353</v>
      </c>
      <c r="BB16">
        <f>3.6+1.55*COS(RADIANS(4*36))</f>
        <v>2.3460236587188317</v>
      </c>
      <c r="BH16">
        <f>IF(MOD(4,10)=0,7.9,IF(MOD(4,5)=0,8.5,8.9))*SIN(RADIANS(4*3.6))</f>
        <v>2.2133399957672077</v>
      </c>
      <c r="BI16">
        <f>IF(MOD(4,10)=0,7.9,IF(MOD(4,5)=0,8.5,8.9))*COS(RADIANS(4*3.6))</f>
        <v>8.6203901340448166</v>
      </c>
      <c r="BK16">
        <f>10.2*SIN(RADIANS(12*3))</f>
        <v>5.9954095733832258</v>
      </c>
      <c r="BL16">
        <f>10.2*COS(RADIANS(12*3))</f>
        <v>8.2519733426244635</v>
      </c>
    </row>
    <row r="17" spans="1:64" x14ac:dyDescent="0.25">
      <c r="A17">
        <v>4</v>
      </c>
      <c r="B17">
        <f>IF(MOD(4,'Pie de rey'!$B$52)=0,2,IF(MOD(4,'Pie de rey'!$B$53)=0,1.5,IF(MOD(4,'Pie de rey'!$B$54)=0,1.1,0.75)))</f>
        <v>1.1000000000000001</v>
      </c>
      <c r="C17">
        <f>C16</f>
        <v>15.25</v>
      </c>
      <c r="D17">
        <f>IF(MOD(MIN(4,'Pie de rey'!$B$43),'Pie de rey'!$B$56)=0,-1.8,-1.1)</f>
        <v>-1.8</v>
      </c>
      <c r="F17">
        <f>IF((13*'Pie de rey'!$B$55)&lt;=100,(13*'Pie de rey'!$B$55),-50)</f>
        <v>-50</v>
      </c>
      <c r="G17">
        <v>2.7</v>
      </c>
      <c r="H17" t="str">
        <f>IF((13*'Pie de rey'!$B$55)&gt;100,"",CHOOSE('Pie de rey'!$B$57,(13*'Pie de rey'!$B$55+'Pie de rey'!$B$63)/10,IF(MOD((13*'Pie de rey'!$B$55+'Pie de rey'!$B$63),40)=0,(13*'Pie de rey'!$B$55+'Pie de rey'!$B$63)/40,MOD((13*'Pie de rey'!$B$55+'Pie de rey'!$B$63)/4,10)),IF(MOD((13*'Pie de rey'!$B$55+'Pie de rey'!$B$63),20)=0,(13*'Pie de rey'!$B$55+'Pie de rey'!$B$63)/20,MOD((13*'Pie de rey'!$B$55+'Pie de rey'!$B$63)/2,10)),(13*'Pie de rey'!$B$55+'Pie de rey'!$B$63)/16)&amp;"")</f>
        <v/>
      </c>
      <c r="P17">
        <f>IF(AND(4&lt;=Micrómetro!$B$52,4&lt;=Micrómetro!$B$43),4,-50)</f>
        <v>4</v>
      </c>
      <c r="Q17">
        <f>IF(OR(Micrómetro!$B$41=1,MOD(4,2)=0),IF(Micrómetro!$B$41=1,IF(MOD(4,4)=0,1.6,1),IF(MOD(4,10)=0,1.6,1)),-1.1)</f>
        <v>1</v>
      </c>
      <c r="S17">
        <f>IF(ABS((((INT(Micrómetro!$B$54)-11+4))-Micrómetro!$B$54)*0.6)&lt;=7.2,Micrómetro!$B$52+IF(MOD((INT(Micrómetro!$B$54)-11+4),5)=0,2,1.2),-50)</f>
        <v>49.6</v>
      </c>
      <c r="T17">
        <f>IF(ABS((((INT(Micrómetro!$B$54)-11+4))-Micrómetro!$B$54)*0.6)&lt;=7.2,(((INT(Micrómetro!$B$54)-11+4))-Micrómetro!$B$54)*0.6,0)</f>
        <v>-4.2</v>
      </c>
      <c r="V17">
        <f>IF(AND(ABS((((INT(Micrómetro!$B$54)-11+13))-Micrómetro!$B$54)*0.6)&lt;=7,MOD((INT(Micrómetro!$B$54)-11+13),5)=0),Micrómetro!$B$52+3.3,-50)</f>
        <v>-50</v>
      </c>
      <c r="W17">
        <f>IF(AND(ABS((((INT(Micrómetro!$B$54)-11+13))-Micrómetro!$B$54)*0.6)&lt;=7,MOD((INT(Micrómetro!$B$54)-11+13),5)=0),(((INT(Micrómetro!$B$54)-11+13))-Micrómetro!$B$54)*0.6,0)</f>
        <v>0</v>
      </c>
      <c r="X17" t="str">
        <f>IF(AND(ABS((((INT(Micrómetro!$B$54)-11+13))-Micrómetro!$B$54)*0.6)&lt;=7,MOD((INT(Micrómetro!$B$54)-11+13),5)=0),MOD((INT(Micrómetro!$B$54)-11+13),Micrómetro!$B$44)&amp;"","")</f>
        <v/>
      </c>
      <c r="AD17">
        <f>IF(Micrómetro!$B$46=1,Micrómetro!$B$52-0.15,-50)</f>
        <v>-50</v>
      </c>
      <c r="AE17">
        <f>IF(Micrómetro!$B$46=1,4*0.54,0)</f>
        <v>0</v>
      </c>
      <c r="AK17">
        <f>Micrómetro!$B$52</f>
        <v>48.4</v>
      </c>
      <c r="AL17">
        <f>-7.6</f>
        <v>-7.6</v>
      </c>
      <c r="AN17">
        <f>9.6*SIN(RADIANS(4*3.6))</f>
        <v>2.3874229167826058</v>
      </c>
      <c r="AO17">
        <f>9.6*COS(RADIANS(4*3.6))</f>
        <v>9.2983983468348583</v>
      </c>
      <c r="AQ17">
        <f>10.2*SIN(RADIANS(13*3))</f>
        <v>6.4190679887083411</v>
      </c>
      <c r="AR17">
        <f>10.2*COS(RADIANS(13*3))</f>
        <v>7.9268888068611023</v>
      </c>
      <c r="BA17">
        <f>2.05*SIN(RADIANS(4*36))</f>
        <v>1.20495976719957</v>
      </c>
      <c r="BB17">
        <f>3.6+2.05*COS(RADIANS(4*36))</f>
        <v>1.9415151615313582</v>
      </c>
      <c r="BH17">
        <f>9.6*SIN(RADIANS(4*3.6))</f>
        <v>2.3874229167826058</v>
      </c>
      <c r="BI17">
        <f>9.6*COS(RADIANS(4*3.6))</f>
        <v>9.2983983468348583</v>
      </c>
      <c r="BK17">
        <f>10.2*SIN(RADIANS(13*3))</f>
        <v>6.4190679887083411</v>
      </c>
      <c r="BL17">
        <f>10.2*COS(RADIANS(13*3))</f>
        <v>7.9268888068611023</v>
      </c>
    </row>
    <row r="18" spans="1:64" x14ac:dyDescent="0.25">
      <c r="F18">
        <f>IF((14*'Pie de rey'!$B$55)&lt;=100,(14*'Pie de rey'!$B$55),-50)</f>
        <v>-50</v>
      </c>
      <c r="G18">
        <v>2.7</v>
      </c>
      <c r="H18" t="str">
        <f>IF((14*'Pie de rey'!$B$55)&gt;100,"",CHOOSE('Pie de rey'!$B$57,(14*'Pie de rey'!$B$55+'Pie de rey'!$B$63)/10,IF(MOD((14*'Pie de rey'!$B$55+'Pie de rey'!$B$63),40)=0,(14*'Pie de rey'!$B$55+'Pie de rey'!$B$63)/40,MOD((14*'Pie de rey'!$B$55+'Pie de rey'!$B$63)/4,10)),IF(MOD((14*'Pie de rey'!$B$55+'Pie de rey'!$B$63),20)=0,(14*'Pie de rey'!$B$55+'Pie de rey'!$B$63)/20,MOD((14*'Pie de rey'!$B$55+'Pie de rey'!$B$63)/2,10)),(14*'Pie de rey'!$B$55+'Pie de rey'!$B$63)/16)&amp;"")</f>
        <v/>
      </c>
      <c r="V18">
        <f>IF(AND(ABS((((INT(Micrómetro!$B$54)-11+14))-Micrómetro!$B$54)*0.6)&lt;=7,MOD((INT(Micrómetro!$B$54)-11+14),5)=0),Micrómetro!$B$52+3.3,-50)</f>
        <v>-50</v>
      </c>
      <c r="W18">
        <f>IF(AND(ABS((((INT(Micrómetro!$B$54)-11+14))-Micrómetro!$B$54)*0.6)&lt;=7,MOD((INT(Micrómetro!$B$54)-11+14),5)=0),(((INT(Micrómetro!$B$54)-11+14))-Micrómetro!$B$54)*0.6,0)</f>
        <v>0</v>
      </c>
      <c r="X18" t="str">
        <f>IF(AND(ABS((((INT(Micrómetro!$B$54)-11+14))-Micrómetro!$B$54)*0.6)&lt;=7,MOD((INT(Micrómetro!$B$54)-11+14),5)=0),MOD((INT(Micrómetro!$B$54)-11+14),Micrómetro!$B$44)&amp;"","")</f>
        <v/>
      </c>
      <c r="AQ18">
        <f>10.2*SIN(RADIANS(14*3))</f>
        <v>6.8251321848603537</v>
      </c>
      <c r="AR18">
        <f>10.2*COS(RADIANS(14*3))</f>
        <v>7.5800772198694206</v>
      </c>
      <c r="BK18">
        <f>10.2*SIN(RADIANS(14*3))</f>
        <v>6.8251321848603537</v>
      </c>
      <c r="BL18">
        <f>10.2*COS(RADIANS(14*3))</f>
        <v>7.5800772198694206</v>
      </c>
    </row>
    <row r="19" spans="1:64" x14ac:dyDescent="0.25">
      <c r="A19">
        <v>5</v>
      </c>
      <c r="B19">
        <v>0</v>
      </c>
      <c r="C19">
        <f>('Pie de rey'!$B$49/'Pie de rey'!$B$42-'Pie de rey'!$B$63)+MIN(5,'Pie de rey'!$B$43)*'Pie de rey'!$B$50</f>
        <v>16.125</v>
      </c>
      <c r="D19">
        <v>0</v>
      </c>
      <c r="F19">
        <f>IF((15*'Pie de rey'!$B$55)&lt;=100,(15*'Pie de rey'!$B$55),-50)</f>
        <v>-50</v>
      </c>
      <c r="G19">
        <v>2.7</v>
      </c>
      <c r="H19" t="str">
        <f>IF((15*'Pie de rey'!$B$55)&gt;100,"",CHOOSE('Pie de rey'!$B$57,(15*'Pie de rey'!$B$55+'Pie de rey'!$B$63)/10,IF(MOD((15*'Pie de rey'!$B$55+'Pie de rey'!$B$63),40)=0,(15*'Pie de rey'!$B$55+'Pie de rey'!$B$63)/40,MOD((15*'Pie de rey'!$B$55+'Pie de rey'!$B$63)/4,10)),IF(MOD((15*'Pie de rey'!$B$55+'Pie de rey'!$B$63),20)=0,(15*'Pie de rey'!$B$55+'Pie de rey'!$B$63)/20,MOD((15*'Pie de rey'!$B$55+'Pie de rey'!$B$63)/2,10)),(15*'Pie de rey'!$B$55+'Pie de rey'!$B$63)/16)&amp;"")</f>
        <v/>
      </c>
      <c r="P19">
        <f>IF(AND(5&lt;=Micrómetro!$B$52,5&lt;=Micrómetro!$B$43),5,-50)</f>
        <v>5</v>
      </c>
      <c r="Q19">
        <v>0</v>
      </c>
      <c r="S19">
        <f>IF(ABS((((INT(Micrómetro!$B$54)-11+5))-Micrómetro!$B$54)*0.6)&lt;=7.2,Micrómetro!$B$52,-50)</f>
        <v>48.4</v>
      </c>
      <c r="T19">
        <f>IF(ABS((((INT(Micrómetro!$B$54)-11+5))-Micrómetro!$B$54)*0.6)&lt;=7.2,(((INT(Micrómetro!$B$54)-11+5))-Micrómetro!$B$54)*0.6,0)</f>
        <v>-3.5999999999999996</v>
      </c>
      <c r="V19">
        <f>IF(AND(ABS((((INT(Micrómetro!$B$54)-11+15))-Micrómetro!$B$54)*0.6)&lt;=7,MOD((INT(Micrómetro!$B$54)-11+15),5)=0),Micrómetro!$B$52+3.3,-50)</f>
        <v>-50</v>
      </c>
      <c r="W19">
        <f>IF(AND(ABS((((INT(Micrómetro!$B$54)-11+15))-Micrómetro!$B$54)*0.6)&lt;=7,MOD((INT(Micrómetro!$B$54)-11+15),5)=0),(((INT(Micrómetro!$B$54)-11+15))-Micrómetro!$B$54)*0.6,0)</f>
        <v>0</v>
      </c>
      <c r="X19" t="str">
        <f>IF(AND(ABS((((INT(Micrómetro!$B$54)-11+15))-Micrómetro!$B$54)*0.6)&lt;=7,MOD((INT(Micrómetro!$B$54)-11+15),5)=0),MOD((INT(Micrómetro!$B$54)-11+15),Micrómetro!$B$44)&amp;"","")</f>
        <v/>
      </c>
      <c r="AD19">
        <f>IF(Micrómetro!$B$46=1,Micrómetro!$B$52-2.4,-50)</f>
        <v>-50</v>
      </c>
      <c r="AE19">
        <f>IF(Micrómetro!$B$46=1,5*0.54,0)</f>
        <v>0</v>
      </c>
      <c r="AN19">
        <f>IF(MOD(5,10)=0,7.9,IF(MOD(5,5)=0,8.5,8.9))*SIN(RADIANS(5*3.6))</f>
        <v>2.6266444521870529</v>
      </c>
      <c r="AO19">
        <f>IF(MOD(5,10)=0,7.9,IF(MOD(5,5)=0,8.5,8.9))*COS(RADIANS(5*3.6))</f>
        <v>8.0839803885088042</v>
      </c>
      <c r="AQ19">
        <f>10.2*SIN(RADIANS(15*3))</f>
        <v>7.2124891681027838</v>
      </c>
      <c r="AR19">
        <f>10.2*COS(RADIANS(15*3))</f>
        <v>7.2124891681027847</v>
      </c>
      <c r="BA19">
        <f>1.55*SIN(RADIANS(5*36))</f>
        <v>1.898980105108361E-16</v>
      </c>
      <c r="BB19">
        <f>3.6+1.55*COS(RADIANS(5*36))</f>
        <v>2.0499999999999998</v>
      </c>
      <c r="BH19">
        <f>IF(MOD(5,10)=0,7.9,IF(MOD(5,5)=0,8.5,8.9))*SIN(RADIANS(5*3.6))</f>
        <v>2.6266444521870529</v>
      </c>
      <c r="BI19">
        <f>IF(MOD(5,10)=0,7.9,IF(MOD(5,5)=0,8.5,8.9))*COS(RADIANS(5*3.6))</f>
        <v>8.0839803885088042</v>
      </c>
      <c r="BK19">
        <f>10.2*SIN(RADIANS(15*3))</f>
        <v>7.2124891681027838</v>
      </c>
      <c r="BL19">
        <f>10.2*COS(RADIANS(15*3))</f>
        <v>7.2124891681027847</v>
      </c>
    </row>
    <row r="20" spans="1:64" x14ac:dyDescent="0.25">
      <c r="A20">
        <v>5</v>
      </c>
      <c r="B20">
        <f>IF(MOD(5,'Pie de rey'!$B$52)=0,2,IF(MOD(5,'Pie de rey'!$B$53)=0,1.5,IF(MOD(5,'Pie de rey'!$B$54)=0,1.1,0.75)))</f>
        <v>0.75</v>
      </c>
      <c r="C20">
        <f>C19</f>
        <v>16.125</v>
      </c>
      <c r="D20">
        <f>IF(MOD(MIN(5,'Pie de rey'!$B$43),'Pie de rey'!$B$56)=0,-1.8,-1.1)</f>
        <v>-1.1000000000000001</v>
      </c>
      <c r="F20">
        <f>IF((16*'Pie de rey'!$B$55)&lt;=100,(16*'Pie de rey'!$B$55),-50)</f>
        <v>-50</v>
      </c>
      <c r="G20">
        <v>2.7</v>
      </c>
      <c r="H20" t="str">
        <f>IF((16*'Pie de rey'!$B$55)&gt;100,"",CHOOSE('Pie de rey'!$B$57,(16*'Pie de rey'!$B$55+'Pie de rey'!$B$63)/10,IF(MOD((16*'Pie de rey'!$B$55+'Pie de rey'!$B$63),40)=0,(16*'Pie de rey'!$B$55+'Pie de rey'!$B$63)/40,MOD((16*'Pie de rey'!$B$55+'Pie de rey'!$B$63)/4,10)),IF(MOD((16*'Pie de rey'!$B$55+'Pie de rey'!$B$63),20)=0,(16*'Pie de rey'!$B$55+'Pie de rey'!$B$63)/20,MOD((16*'Pie de rey'!$B$55+'Pie de rey'!$B$63)/2,10)),(16*'Pie de rey'!$B$55+'Pie de rey'!$B$63)/16)&amp;"")</f>
        <v/>
      </c>
      <c r="P20">
        <f>IF(AND(5&lt;=Micrómetro!$B$52,5&lt;=Micrómetro!$B$43),5,-50)</f>
        <v>5</v>
      </c>
      <c r="Q20">
        <f>IF(OR(Micrómetro!$B$41=1,MOD(5,2)=0),IF(Micrómetro!$B$41=1,IF(MOD(5,4)=0,1.6,1),IF(MOD(5,10)=0,1.6,1)),-1.1)</f>
        <v>-1.1000000000000001</v>
      </c>
      <c r="S20">
        <f>IF(ABS((((INT(Micrómetro!$B$54)-11+5))-Micrómetro!$B$54)*0.6)&lt;=7.2,Micrómetro!$B$52+IF(MOD((INT(Micrómetro!$B$54)-11+5),5)=0,2,1.2),-50)</f>
        <v>49.6</v>
      </c>
      <c r="T20">
        <f>IF(ABS((((INT(Micrómetro!$B$54)-11+5))-Micrómetro!$B$54)*0.6)&lt;=7.2,(((INT(Micrómetro!$B$54)-11+5))-Micrómetro!$B$54)*0.6,0)</f>
        <v>-3.5999999999999996</v>
      </c>
      <c r="V20">
        <f>IF(AND(ABS((((INT(Micrómetro!$B$54)-11+16))-Micrómetro!$B$54)*0.6)&lt;=7,MOD((INT(Micrómetro!$B$54)-11+16),5)=0),Micrómetro!$B$52+3.3,-50)</f>
        <v>51.699999999999996</v>
      </c>
      <c r="W20">
        <f>IF(AND(ABS((((INT(Micrómetro!$B$54)-11+16))-Micrómetro!$B$54)*0.6)&lt;=7,MOD((INT(Micrómetro!$B$54)-11+16),5)=0),(((INT(Micrómetro!$B$54)-11+16))-Micrómetro!$B$54)*0.6,0)</f>
        <v>3</v>
      </c>
      <c r="X20" t="str">
        <f>IF(AND(ABS((((INT(Micrómetro!$B$54)-11+16))-Micrómetro!$B$54)*0.6)&lt;=7,MOD((INT(Micrómetro!$B$54)-11+16),5)=0),MOD((INT(Micrómetro!$B$54)-11+16),Micrómetro!$B$44)&amp;"","")</f>
        <v>25</v>
      </c>
      <c r="AD20">
        <f>IF(Micrómetro!$B$46=1,Micrómetro!$B$52-0.15,-50)</f>
        <v>-50</v>
      </c>
      <c r="AE20">
        <f>IF(Micrómetro!$B$46=1,5*0.54,0)</f>
        <v>0</v>
      </c>
      <c r="AN20">
        <f>9.6*SIN(RADIANS(5*3.6))</f>
        <v>2.966563145999495</v>
      </c>
      <c r="AO20">
        <f>9.6*COS(RADIANS(5*3.6))</f>
        <v>9.1301425564334728</v>
      </c>
      <c r="AQ20">
        <f>10.2*SIN(RADIANS(16*3))</f>
        <v>7.5800772198694206</v>
      </c>
      <c r="AR20">
        <f>10.2*COS(RADIANS(16*3))</f>
        <v>6.8251321848603537</v>
      </c>
      <c r="BA20">
        <f>2.05*SIN(RADIANS(5*36))</f>
        <v>2.511554332562671E-16</v>
      </c>
      <c r="BB20">
        <f>3.6+2.05*COS(RADIANS(5*36))</f>
        <v>1.5500000000000003</v>
      </c>
      <c r="BH20">
        <f>9.6*SIN(RADIANS(5*3.6))</f>
        <v>2.966563145999495</v>
      </c>
      <c r="BI20">
        <f>9.6*COS(RADIANS(5*3.6))</f>
        <v>9.1301425564334728</v>
      </c>
      <c r="BK20">
        <f>10.2*SIN(RADIANS(16*3))</f>
        <v>7.5800772198694206</v>
      </c>
      <c r="BL20">
        <f>10.2*COS(RADIANS(16*3))</f>
        <v>6.8251321848603537</v>
      </c>
    </row>
    <row r="21" spans="1:64" x14ac:dyDescent="0.25">
      <c r="F21">
        <f>IF((17*'Pie de rey'!$B$55)&lt;=100,(17*'Pie de rey'!$B$55),-50)</f>
        <v>-50</v>
      </c>
      <c r="G21">
        <v>2.7</v>
      </c>
      <c r="H21" t="str">
        <f>IF((17*'Pie de rey'!$B$55)&gt;100,"",CHOOSE('Pie de rey'!$B$57,(17*'Pie de rey'!$B$55+'Pie de rey'!$B$63)/10,IF(MOD((17*'Pie de rey'!$B$55+'Pie de rey'!$B$63),40)=0,(17*'Pie de rey'!$B$55+'Pie de rey'!$B$63)/40,MOD((17*'Pie de rey'!$B$55+'Pie de rey'!$B$63)/4,10)),IF(MOD((17*'Pie de rey'!$B$55+'Pie de rey'!$B$63),20)=0,(17*'Pie de rey'!$B$55+'Pie de rey'!$B$63)/20,MOD((17*'Pie de rey'!$B$55+'Pie de rey'!$B$63)/2,10)),(17*'Pie de rey'!$B$55+'Pie de rey'!$B$63)/16)&amp;"")</f>
        <v/>
      </c>
      <c r="V21">
        <f>IF(AND(ABS((((INT(Micrómetro!$B$54)-11+17))-Micrómetro!$B$54)*0.6)&lt;=7,MOD((INT(Micrómetro!$B$54)-11+17),5)=0),Micrómetro!$B$52+3.3,-50)</f>
        <v>-50</v>
      </c>
      <c r="W21">
        <f>IF(AND(ABS((((INT(Micrómetro!$B$54)-11+17))-Micrómetro!$B$54)*0.6)&lt;=7,MOD((INT(Micrómetro!$B$54)-11+17),5)=0),(((INT(Micrómetro!$B$54)-11+17))-Micrómetro!$B$54)*0.6,0)</f>
        <v>0</v>
      </c>
      <c r="X21" t="str">
        <f>IF(AND(ABS((((INT(Micrómetro!$B$54)-11+17))-Micrómetro!$B$54)*0.6)&lt;=7,MOD((INT(Micrómetro!$B$54)-11+17),5)=0),MOD((INT(Micrómetro!$B$54)-11+17),Micrómetro!$B$44)&amp;"","")</f>
        <v/>
      </c>
      <c r="AQ21">
        <f>10.2*SIN(RADIANS(17*3))</f>
        <v>7.9268888068611023</v>
      </c>
      <c r="AR21">
        <f>10.2*COS(RADIANS(17*3))</f>
        <v>6.4190679887083419</v>
      </c>
      <c r="BK21">
        <f>10.2*SIN(RADIANS(17*3))</f>
        <v>7.9268888068611023</v>
      </c>
      <c r="BL21">
        <f>10.2*COS(RADIANS(17*3))</f>
        <v>6.4190679887083419</v>
      </c>
    </row>
    <row r="22" spans="1:64" x14ac:dyDescent="0.25">
      <c r="A22">
        <v>6</v>
      </c>
      <c r="B22">
        <v>0</v>
      </c>
      <c r="C22">
        <f>('Pie de rey'!$B$49/'Pie de rey'!$B$42-'Pie de rey'!$B$63)+MIN(6,'Pie de rey'!$B$43)*'Pie de rey'!$B$50</f>
        <v>17</v>
      </c>
      <c r="D22">
        <v>0</v>
      </c>
      <c r="F22">
        <f>IF((18*'Pie de rey'!$B$55)&lt;=100,(18*'Pie de rey'!$B$55),-50)</f>
        <v>-50</v>
      </c>
      <c r="G22">
        <v>2.7</v>
      </c>
      <c r="H22" t="str">
        <f>IF((18*'Pie de rey'!$B$55)&gt;100,"",CHOOSE('Pie de rey'!$B$57,(18*'Pie de rey'!$B$55+'Pie de rey'!$B$63)/10,IF(MOD((18*'Pie de rey'!$B$55+'Pie de rey'!$B$63),40)=0,(18*'Pie de rey'!$B$55+'Pie de rey'!$B$63)/40,MOD((18*'Pie de rey'!$B$55+'Pie de rey'!$B$63)/4,10)),IF(MOD((18*'Pie de rey'!$B$55+'Pie de rey'!$B$63),20)=0,(18*'Pie de rey'!$B$55+'Pie de rey'!$B$63)/20,MOD((18*'Pie de rey'!$B$55+'Pie de rey'!$B$63)/2,10)),(18*'Pie de rey'!$B$55+'Pie de rey'!$B$63)/16)&amp;"")</f>
        <v/>
      </c>
      <c r="P22">
        <f>IF(AND(6&lt;=Micrómetro!$B$52,6&lt;=Micrómetro!$B$43),6,-50)</f>
        <v>6</v>
      </c>
      <c r="Q22">
        <v>0</v>
      </c>
      <c r="S22">
        <f>IF(ABS((((INT(Micrómetro!$B$54)-11+6))-Micrómetro!$B$54)*0.6)&lt;=7.2,Micrómetro!$B$52,-50)</f>
        <v>48.4</v>
      </c>
      <c r="T22">
        <f>IF(ABS((((INT(Micrómetro!$B$54)-11+6))-Micrómetro!$B$54)*0.6)&lt;=7.2,(((INT(Micrómetro!$B$54)-11+6))-Micrómetro!$B$54)*0.6,0)</f>
        <v>-3</v>
      </c>
      <c r="V22">
        <f>IF(AND(ABS((((INT(Micrómetro!$B$54)-11+18))-Micrómetro!$B$54)*0.6)&lt;=7,MOD((INT(Micrómetro!$B$54)-11+18),5)=0),Micrómetro!$B$52+3.3,-50)</f>
        <v>-50</v>
      </c>
      <c r="W22">
        <f>IF(AND(ABS((((INT(Micrómetro!$B$54)-11+18))-Micrómetro!$B$54)*0.6)&lt;=7,MOD((INT(Micrómetro!$B$54)-11+18),5)=0),(((INT(Micrómetro!$B$54)-11+18))-Micrómetro!$B$54)*0.6,0)</f>
        <v>0</v>
      </c>
      <c r="X22" t="str">
        <f>IF(AND(ABS((((INT(Micrómetro!$B$54)-11+18))-Micrómetro!$B$54)*0.6)&lt;=7,MOD((INT(Micrómetro!$B$54)-11+18),5)=0),MOD((INT(Micrómetro!$B$54)-11+18),Micrómetro!$B$44)&amp;"","")</f>
        <v/>
      </c>
      <c r="AD22">
        <f>IF(Micrómetro!$B$46=1,Micrómetro!$B$52-2.4,-50)</f>
        <v>-50</v>
      </c>
      <c r="AE22">
        <f>IF(Micrómetro!$B$46=1,6*0.54,0)</f>
        <v>0</v>
      </c>
      <c r="AN22">
        <f>IF(MOD(6,10)=0,7.9,IF(MOD(6,5)=0,8.5,8.9))*SIN(RADIANS(6*3.6))</f>
        <v>3.2763085188936341</v>
      </c>
      <c r="AO22">
        <f>IF(MOD(6,10)=0,7.9,IF(MOD(6,5)=0,8.5,8.9))*COS(RADIANS(6*3.6))</f>
        <v>8.2750107244054369</v>
      </c>
      <c r="AQ22">
        <f>10.2*SIN(RADIANS(18*3))</f>
        <v>8.2519733426244635</v>
      </c>
      <c r="AR22">
        <f>10.2*COS(RADIANS(18*3))</f>
        <v>5.9954095733832258</v>
      </c>
      <c r="BA22">
        <f>1.55*SIN(RADIANS(6*36))</f>
        <v>-0.9110671410533332</v>
      </c>
      <c r="BB22">
        <f>3.6+1.55*COS(RADIANS(6*36))</f>
        <v>2.3460236587188312</v>
      </c>
      <c r="BH22">
        <f>IF(MOD(6,10)=0,7.9,IF(MOD(6,5)=0,8.5,8.9))*SIN(RADIANS(6*3.6))</f>
        <v>3.2763085188936341</v>
      </c>
      <c r="BI22">
        <f>IF(MOD(6,10)=0,7.9,IF(MOD(6,5)=0,8.5,8.9))*COS(RADIANS(6*3.6))</f>
        <v>8.2750107244054369</v>
      </c>
      <c r="BK22">
        <f>10.2*SIN(RADIANS(18*3))</f>
        <v>8.2519733426244635</v>
      </c>
      <c r="BL22">
        <f>10.2*COS(RADIANS(18*3))</f>
        <v>5.9954095733832258</v>
      </c>
    </row>
    <row r="23" spans="1:64" x14ac:dyDescent="0.25">
      <c r="A23">
        <v>6</v>
      </c>
      <c r="B23">
        <f>IF(MOD(6,'Pie de rey'!$B$52)=0,2,IF(MOD(6,'Pie de rey'!$B$53)=0,1.5,IF(MOD(6,'Pie de rey'!$B$54)=0,1.1,0.75)))</f>
        <v>0.75</v>
      </c>
      <c r="C23">
        <f>C22</f>
        <v>17</v>
      </c>
      <c r="D23">
        <f>IF(MOD(MIN(6,'Pie de rey'!$B$43),'Pie de rey'!$B$56)=0,-1.8,-1.1)</f>
        <v>-1.1000000000000001</v>
      </c>
      <c r="F23">
        <f>IF((19*'Pie de rey'!$B$55)&lt;=100,(19*'Pie de rey'!$B$55),-50)</f>
        <v>-50</v>
      </c>
      <c r="G23">
        <v>2.7</v>
      </c>
      <c r="H23" t="str">
        <f>IF((19*'Pie de rey'!$B$55)&gt;100,"",CHOOSE('Pie de rey'!$B$57,(19*'Pie de rey'!$B$55+'Pie de rey'!$B$63)/10,IF(MOD((19*'Pie de rey'!$B$55+'Pie de rey'!$B$63),40)=0,(19*'Pie de rey'!$B$55+'Pie de rey'!$B$63)/40,MOD((19*'Pie de rey'!$B$55+'Pie de rey'!$B$63)/4,10)),IF(MOD((19*'Pie de rey'!$B$55+'Pie de rey'!$B$63),20)=0,(19*'Pie de rey'!$B$55+'Pie de rey'!$B$63)/20,MOD((19*'Pie de rey'!$B$55+'Pie de rey'!$B$63)/2,10)),(19*'Pie de rey'!$B$55+'Pie de rey'!$B$63)/16)&amp;"")</f>
        <v/>
      </c>
      <c r="P23">
        <f>IF(AND(6&lt;=Micrómetro!$B$52,6&lt;=Micrómetro!$B$43),6,-50)</f>
        <v>6</v>
      </c>
      <c r="Q23">
        <f>IF(OR(Micrómetro!$B$41=1,MOD(6,2)=0),IF(Micrómetro!$B$41=1,IF(MOD(6,4)=0,1.6,1),IF(MOD(6,10)=0,1.6,1)),-1.1)</f>
        <v>1</v>
      </c>
      <c r="S23">
        <f>IF(ABS((((INT(Micrómetro!$B$54)-11+6))-Micrómetro!$B$54)*0.6)&lt;=7.2,Micrómetro!$B$52+IF(MOD((INT(Micrómetro!$B$54)-11+6),5)=0,2,1.2),-50)</f>
        <v>50.4</v>
      </c>
      <c r="T23">
        <f>IF(ABS((((INT(Micrómetro!$B$54)-11+6))-Micrómetro!$B$54)*0.6)&lt;=7.2,(((INT(Micrómetro!$B$54)-11+6))-Micrómetro!$B$54)*0.6,0)</f>
        <v>-3</v>
      </c>
      <c r="V23">
        <f>IF(AND(ABS((((INT(Micrómetro!$B$54)-11+19))-Micrómetro!$B$54)*0.6)&lt;=7,MOD((INT(Micrómetro!$B$54)-11+19),5)=0),Micrómetro!$B$52+3.3,-50)</f>
        <v>-50</v>
      </c>
      <c r="W23">
        <f>IF(AND(ABS((((INT(Micrómetro!$B$54)-11+19))-Micrómetro!$B$54)*0.6)&lt;=7,MOD((INT(Micrómetro!$B$54)-11+19),5)=0),(((INT(Micrómetro!$B$54)-11+19))-Micrómetro!$B$54)*0.6,0)</f>
        <v>0</v>
      </c>
      <c r="X23" t="str">
        <f>IF(AND(ABS((((INT(Micrómetro!$B$54)-11+19))-Micrómetro!$B$54)*0.6)&lt;=7,MOD((INT(Micrómetro!$B$54)-11+19),5)=0),MOD((INT(Micrómetro!$B$54)-11+19),Micrómetro!$B$44)&amp;"","")</f>
        <v/>
      </c>
      <c r="AD23">
        <f>IF(Micrómetro!$B$46=1,Micrómetro!$B$52-0.15,-50)</f>
        <v>-50</v>
      </c>
      <c r="AE23">
        <f>IF(Micrómetro!$B$46=1,6*0.54,0)</f>
        <v>0</v>
      </c>
      <c r="AN23">
        <f>9.6*SIN(RADIANS(6*3.6))</f>
        <v>3.5339957057729086</v>
      </c>
      <c r="AO23">
        <f>9.6*COS(RADIANS(6*3.6))</f>
        <v>8.9258542645272119</v>
      </c>
      <c r="AQ23">
        <f>10.2*SIN(RADIANS(19*3))</f>
        <v>8.5544397930433256</v>
      </c>
      <c r="AR23">
        <f>10.2*COS(RADIANS(19*3))</f>
        <v>5.5553181571532759</v>
      </c>
      <c r="BA23">
        <f>2.05*SIN(RADIANS(6*36))</f>
        <v>-1.2049597671995695</v>
      </c>
      <c r="BB23">
        <f>3.6+2.05*COS(RADIANS(6*36))</f>
        <v>1.9415151615313577</v>
      </c>
      <c r="BH23">
        <f>9.6*SIN(RADIANS(6*3.6))</f>
        <v>3.5339957057729086</v>
      </c>
      <c r="BI23">
        <f>9.6*COS(RADIANS(6*3.6))</f>
        <v>8.9258542645272119</v>
      </c>
      <c r="BK23">
        <f>10.2*SIN(RADIANS(19*3))</f>
        <v>8.5544397930433256</v>
      </c>
      <c r="BL23">
        <f>10.2*COS(RADIANS(19*3))</f>
        <v>5.5553181571532759</v>
      </c>
    </row>
    <row r="24" spans="1:64" x14ac:dyDescent="0.25">
      <c r="F24">
        <f>IF((20*'Pie de rey'!$B$55)&lt;=100,(20*'Pie de rey'!$B$55),-50)</f>
        <v>-50</v>
      </c>
      <c r="G24">
        <v>2.7</v>
      </c>
      <c r="H24" t="str">
        <f>IF((20*'Pie de rey'!$B$55)&gt;100,"",CHOOSE('Pie de rey'!$B$57,(20*'Pie de rey'!$B$55+'Pie de rey'!$B$63)/10,IF(MOD((20*'Pie de rey'!$B$55+'Pie de rey'!$B$63),40)=0,(20*'Pie de rey'!$B$55+'Pie de rey'!$B$63)/40,MOD((20*'Pie de rey'!$B$55+'Pie de rey'!$B$63)/4,10)),IF(MOD((20*'Pie de rey'!$B$55+'Pie de rey'!$B$63),20)=0,(20*'Pie de rey'!$B$55+'Pie de rey'!$B$63)/20,MOD((20*'Pie de rey'!$B$55+'Pie de rey'!$B$63)/2,10)),(20*'Pie de rey'!$B$55+'Pie de rey'!$B$63)/16)&amp;"")</f>
        <v/>
      </c>
      <c r="V24">
        <f>IF(AND(ABS((((INT(Micrómetro!$B$54)-11+20))-Micrómetro!$B$54)*0.6)&lt;=7,MOD((INT(Micrómetro!$B$54)-11+20),5)=0),Micrómetro!$B$52+3.3,-50)</f>
        <v>-50</v>
      </c>
      <c r="W24">
        <f>IF(AND(ABS((((INT(Micrómetro!$B$54)-11+20))-Micrómetro!$B$54)*0.6)&lt;=7,MOD((INT(Micrómetro!$B$54)-11+20),5)=0),(((INT(Micrómetro!$B$54)-11+20))-Micrómetro!$B$54)*0.6,0)</f>
        <v>0</v>
      </c>
      <c r="X24" t="str">
        <f>IF(AND(ABS((((INT(Micrómetro!$B$54)-11+20))-Micrómetro!$B$54)*0.6)&lt;=7,MOD((INT(Micrómetro!$B$54)-11+20),5)=0),MOD((INT(Micrómetro!$B$54)-11+20),Micrómetro!$B$44)&amp;"","")</f>
        <v/>
      </c>
      <c r="AQ24">
        <f>10.2*SIN(RADIANS(20*3))</f>
        <v>8.8334591186012723</v>
      </c>
      <c r="AR24">
        <f>10.2*COS(RADIANS(20*3))</f>
        <v>5.1000000000000005</v>
      </c>
      <c r="BK24">
        <f>10.2*SIN(RADIANS(20*3))</f>
        <v>8.8334591186012723</v>
      </c>
      <c r="BL24">
        <f>10.2*COS(RADIANS(20*3))</f>
        <v>5.1000000000000005</v>
      </c>
    </row>
    <row r="25" spans="1:64" x14ac:dyDescent="0.25">
      <c r="A25">
        <v>7</v>
      </c>
      <c r="B25">
        <v>0</v>
      </c>
      <c r="C25">
        <f>('Pie de rey'!$B$49/'Pie de rey'!$B$42-'Pie de rey'!$B$63)+MIN(7,'Pie de rey'!$B$43)*'Pie de rey'!$B$50</f>
        <v>17.875</v>
      </c>
      <c r="D25">
        <v>0</v>
      </c>
      <c r="F25">
        <f>IF((21*'Pie de rey'!$B$55)&lt;=100,(21*'Pie de rey'!$B$55),-50)</f>
        <v>-50</v>
      </c>
      <c r="G25">
        <v>2.7</v>
      </c>
      <c r="H25" t="str">
        <f>IF((21*'Pie de rey'!$B$55)&gt;100,"",CHOOSE('Pie de rey'!$B$57,(21*'Pie de rey'!$B$55+'Pie de rey'!$B$63)/10,IF(MOD((21*'Pie de rey'!$B$55+'Pie de rey'!$B$63),40)=0,(21*'Pie de rey'!$B$55+'Pie de rey'!$B$63)/40,MOD((21*'Pie de rey'!$B$55+'Pie de rey'!$B$63)/4,10)),IF(MOD((21*'Pie de rey'!$B$55+'Pie de rey'!$B$63),20)=0,(21*'Pie de rey'!$B$55+'Pie de rey'!$B$63)/20,MOD((21*'Pie de rey'!$B$55+'Pie de rey'!$B$63)/2,10)),(21*'Pie de rey'!$B$55+'Pie de rey'!$B$63)/16)&amp;"")</f>
        <v/>
      </c>
      <c r="P25">
        <f>IF(AND(7&lt;=Micrómetro!$B$52,7&lt;=Micrómetro!$B$43),7,-50)</f>
        <v>7</v>
      </c>
      <c r="Q25">
        <v>0</v>
      </c>
      <c r="S25">
        <f>IF(ABS((((INT(Micrómetro!$B$54)-11+7))-Micrómetro!$B$54)*0.6)&lt;=7.2,Micrómetro!$B$52,-50)</f>
        <v>48.4</v>
      </c>
      <c r="T25">
        <f>IF(ABS((((INT(Micrómetro!$B$54)-11+7))-Micrómetro!$B$54)*0.6)&lt;=7.2,(((INT(Micrómetro!$B$54)-11+7))-Micrómetro!$B$54)*0.6,0)</f>
        <v>-2.4</v>
      </c>
      <c r="V25">
        <f>IF(AND(ABS((((INT(Micrómetro!$B$54)-11+21))-Micrómetro!$B$54)*0.6)&lt;=7,MOD((INT(Micrómetro!$B$54)-11+21),5)=0),Micrómetro!$B$52+3.3,-50)</f>
        <v>51.699999999999996</v>
      </c>
      <c r="W25">
        <f>IF(AND(ABS((((INT(Micrómetro!$B$54)-11+21))-Micrómetro!$B$54)*0.6)&lt;=7,MOD((INT(Micrómetro!$B$54)-11+21),5)=0),(((INT(Micrómetro!$B$54)-11+21))-Micrómetro!$B$54)*0.6,0)</f>
        <v>6</v>
      </c>
      <c r="X25" t="str">
        <f>IF(AND(ABS((((INT(Micrómetro!$B$54)-11+21))-Micrómetro!$B$54)*0.6)&lt;=7,MOD((INT(Micrómetro!$B$54)-11+21),5)=0),MOD((INT(Micrómetro!$B$54)-11+21),Micrómetro!$B$44)&amp;"","")</f>
        <v>30</v>
      </c>
      <c r="AD25">
        <f>IF(Micrómetro!$B$46=1,Micrómetro!$B$52-2.4,-50)</f>
        <v>-50</v>
      </c>
      <c r="AE25">
        <f>IF(Micrómetro!$B$46=1,7*0.54,0)</f>
        <v>0</v>
      </c>
      <c r="AN25">
        <f>IF(MOD(7,10)=0,7.9,IF(MOD(7,5)=0,8.5,8.9))*SIN(RADIANS(7*3.6))</f>
        <v>3.7894356949291468</v>
      </c>
      <c r="AO25">
        <f>IF(MOD(7,10)=0,7.9,IF(MOD(7,5)=0,8.5,8.9))*COS(RADIANS(7*3.6))</f>
        <v>8.0529607669475745</v>
      </c>
      <c r="AQ25">
        <f>10.2*SIN(RADIANS(21*3))</f>
        <v>9.0882665467213499</v>
      </c>
      <c r="AR25">
        <f>10.2*COS(RADIANS(21*3))</f>
        <v>4.6307030973433774</v>
      </c>
      <c r="BA25">
        <f>1.55*SIN(RADIANS(7*36))</f>
        <v>-1.474137600257488</v>
      </c>
      <c r="BB25">
        <f>3.6+1.55*COS(RADIANS(7*36))</f>
        <v>3.1210236587188316</v>
      </c>
      <c r="BH25">
        <f>IF(MOD(7,10)=0,7.9,IF(MOD(7,5)=0,8.5,8.9))*SIN(RADIANS(7*3.6))</f>
        <v>3.7894356949291468</v>
      </c>
      <c r="BI25">
        <f>IF(MOD(7,10)=0,7.9,IF(MOD(7,5)=0,8.5,8.9))*COS(RADIANS(7*3.6))</f>
        <v>8.0529607669475745</v>
      </c>
      <c r="BK25">
        <f>10.2*SIN(RADIANS(21*3))</f>
        <v>9.0882665467213499</v>
      </c>
      <c r="BL25">
        <f>10.2*COS(RADIANS(21*3))</f>
        <v>4.6307030973433774</v>
      </c>
    </row>
    <row r="26" spans="1:64" x14ac:dyDescent="0.25">
      <c r="A26">
        <v>7</v>
      </c>
      <c r="B26">
        <f>IF(MOD(7,'Pie de rey'!$B$52)=0,2,IF(MOD(7,'Pie de rey'!$B$53)=0,1.5,IF(MOD(7,'Pie de rey'!$B$54)=0,1.1,0.75)))</f>
        <v>0.75</v>
      </c>
      <c r="C26">
        <f>C25</f>
        <v>17.875</v>
      </c>
      <c r="D26">
        <f>IF(MOD(MIN(7,'Pie de rey'!$B$43),'Pie de rey'!$B$56)=0,-1.8,-1.1)</f>
        <v>-1.1000000000000001</v>
      </c>
      <c r="F26">
        <f>IF((22*'Pie de rey'!$B$55)&lt;=100,(22*'Pie de rey'!$B$55),-50)</f>
        <v>-50</v>
      </c>
      <c r="G26">
        <v>2.7</v>
      </c>
      <c r="H26" t="str">
        <f>IF((22*'Pie de rey'!$B$55)&gt;100,"",CHOOSE('Pie de rey'!$B$57,(22*'Pie de rey'!$B$55+'Pie de rey'!$B$63)/10,IF(MOD((22*'Pie de rey'!$B$55+'Pie de rey'!$B$63),40)=0,(22*'Pie de rey'!$B$55+'Pie de rey'!$B$63)/40,MOD((22*'Pie de rey'!$B$55+'Pie de rey'!$B$63)/4,10)),IF(MOD((22*'Pie de rey'!$B$55+'Pie de rey'!$B$63),20)=0,(22*'Pie de rey'!$B$55+'Pie de rey'!$B$63)/20,MOD((22*'Pie de rey'!$B$55+'Pie de rey'!$B$63)/2,10)),(22*'Pie de rey'!$B$55+'Pie de rey'!$B$63)/16)&amp;"")</f>
        <v/>
      </c>
      <c r="P26">
        <f>IF(AND(7&lt;=Micrómetro!$B$52,7&lt;=Micrómetro!$B$43),7,-50)</f>
        <v>7</v>
      </c>
      <c r="Q26">
        <f>IF(OR(Micrómetro!$B$41=1,MOD(7,2)=0),IF(Micrómetro!$B$41=1,IF(MOD(7,4)=0,1.6,1),IF(MOD(7,10)=0,1.6,1)),-1.1)</f>
        <v>-1.1000000000000001</v>
      </c>
      <c r="S26">
        <f>IF(ABS((((INT(Micrómetro!$B$54)-11+7))-Micrómetro!$B$54)*0.6)&lt;=7.2,Micrómetro!$B$52+IF(MOD((INT(Micrómetro!$B$54)-11+7),5)=0,2,1.2),-50)</f>
        <v>49.6</v>
      </c>
      <c r="T26">
        <f>IF(ABS((((INT(Micrómetro!$B$54)-11+7))-Micrómetro!$B$54)*0.6)&lt;=7.2,(((INT(Micrómetro!$B$54)-11+7))-Micrómetro!$B$54)*0.6,0)</f>
        <v>-2.4</v>
      </c>
      <c r="V26">
        <f>IF(AND(ABS((((INT(Micrómetro!$B$54)-11+22))-Micrómetro!$B$54)*0.6)&lt;=7,MOD((INT(Micrómetro!$B$54)-11+22),5)=0),Micrómetro!$B$52+3.3,-50)</f>
        <v>-50</v>
      </c>
      <c r="W26">
        <f>IF(AND(ABS((((INT(Micrómetro!$B$54)-11+22))-Micrómetro!$B$54)*0.6)&lt;=7,MOD((INT(Micrómetro!$B$54)-11+22),5)=0),(((INT(Micrómetro!$B$54)-11+22))-Micrómetro!$B$54)*0.6,0)</f>
        <v>0</v>
      </c>
      <c r="X26" t="str">
        <f>IF(AND(ABS((((INT(Micrómetro!$B$54)-11+22))-Micrómetro!$B$54)*0.6)&lt;=7,MOD((INT(Micrómetro!$B$54)-11+22),5)=0),MOD((INT(Micrómetro!$B$54)-11+22),Micrómetro!$B$44)&amp;"","")</f>
        <v/>
      </c>
      <c r="AD26">
        <f>IF(Micrómetro!$B$46=1,Micrómetro!$B$52-0.15,-50)</f>
        <v>-50</v>
      </c>
      <c r="AE26">
        <f>IF(Micrómetro!$B$46=1,7*0.54,0)</f>
        <v>0</v>
      </c>
      <c r="AN26">
        <f>9.6*SIN(RADIANS(7*3.6))</f>
        <v>4.0874811990246975</v>
      </c>
      <c r="AO26">
        <f>9.6*COS(RADIANS(7*3.6))</f>
        <v>8.6863397036737879</v>
      </c>
      <c r="AQ26">
        <f>10.2*SIN(RADIANS(22*3))</f>
        <v>9.3181636679545274</v>
      </c>
      <c r="AR26">
        <f>10.2*COS(RADIANS(22*3))</f>
        <v>4.1487137593731616</v>
      </c>
      <c r="BA26">
        <f>2.05*SIN(RADIANS(7*36))</f>
        <v>-1.9496658584050646</v>
      </c>
      <c r="BB26">
        <f>3.6+2.05*COS(RADIANS(7*36))</f>
        <v>2.9665151615313574</v>
      </c>
      <c r="BH26">
        <f>9.6*SIN(RADIANS(7*3.6))</f>
        <v>4.0874811990246975</v>
      </c>
      <c r="BI26">
        <f>9.6*COS(RADIANS(7*3.6))</f>
        <v>8.6863397036737879</v>
      </c>
      <c r="BK26">
        <f>10.2*SIN(RADIANS(22*3))</f>
        <v>9.3181636679545274</v>
      </c>
      <c r="BL26">
        <f>10.2*COS(RADIANS(22*3))</f>
        <v>4.1487137593731616</v>
      </c>
    </row>
    <row r="27" spans="1:64" x14ac:dyDescent="0.25">
      <c r="F27">
        <f>IF((23*'Pie de rey'!$B$55)&lt;=100,(23*'Pie de rey'!$B$55),-50)</f>
        <v>-50</v>
      </c>
      <c r="G27">
        <v>2.7</v>
      </c>
      <c r="H27" t="str">
        <f>IF((23*'Pie de rey'!$B$55)&gt;100,"",CHOOSE('Pie de rey'!$B$57,(23*'Pie de rey'!$B$55+'Pie de rey'!$B$63)/10,IF(MOD((23*'Pie de rey'!$B$55+'Pie de rey'!$B$63),40)=0,(23*'Pie de rey'!$B$55+'Pie de rey'!$B$63)/40,MOD((23*'Pie de rey'!$B$55+'Pie de rey'!$B$63)/4,10)),IF(MOD((23*'Pie de rey'!$B$55+'Pie de rey'!$B$63),20)=0,(23*'Pie de rey'!$B$55+'Pie de rey'!$B$63)/20,MOD((23*'Pie de rey'!$B$55+'Pie de rey'!$B$63)/2,10)),(23*'Pie de rey'!$B$55+'Pie de rey'!$B$63)/16)&amp;"")</f>
        <v/>
      </c>
      <c r="V27">
        <f>IF(AND(ABS((((INT(Micrómetro!$B$54)-11+23))-Micrómetro!$B$54)*0.6)&lt;=7,MOD((INT(Micrómetro!$B$54)-11+23),5)=0),Micrómetro!$B$52+3.3,-50)</f>
        <v>-50</v>
      </c>
      <c r="W27">
        <f>IF(AND(ABS((((INT(Micrómetro!$B$54)-11+23))-Micrómetro!$B$54)*0.6)&lt;=7,MOD((INT(Micrómetro!$B$54)-11+23),5)=0),(((INT(Micrómetro!$B$54)-11+23))-Micrómetro!$B$54)*0.6,0)</f>
        <v>0</v>
      </c>
      <c r="X27" t="str">
        <f>IF(AND(ABS((((INT(Micrómetro!$B$54)-11+23))-Micrómetro!$B$54)*0.6)&lt;=7,MOD((INT(Micrómetro!$B$54)-11+23),5)=0),MOD((INT(Micrómetro!$B$54)-11+23),Micrómetro!$B$44)&amp;"","")</f>
        <v/>
      </c>
      <c r="AQ27">
        <f>10.2*SIN(RADIANS(23*3))</f>
        <v>9.5225203502714564</v>
      </c>
      <c r="AR27">
        <f>10.2*COS(RADIANS(23*3))</f>
        <v>3.6553530853620635</v>
      </c>
      <c r="BK27">
        <f>10.2*SIN(RADIANS(23*3))</f>
        <v>9.5225203502714564</v>
      </c>
      <c r="BL27">
        <f>10.2*COS(RADIANS(23*3))</f>
        <v>3.6553530853620635</v>
      </c>
    </row>
    <row r="28" spans="1:64" x14ac:dyDescent="0.25">
      <c r="A28">
        <v>8</v>
      </c>
      <c r="B28">
        <v>0</v>
      </c>
      <c r="C28">
        <f>('Pie de rey'!$B$49/'Pie de rey'!$B$42-'Pie de rey'!$B$63)+MIN(8,'Pie de rey'!$B$43)*'Pie de rey'!$B$50</f>
        <v>18.75</v>
      </c>
      <c r="D28">
        <v>0</v>
      </c>
      <c r="F28">
        <f>IF((24*'Pie de rey'!$B$55)&lt;=100,(24*'Pie de rey'!$B$55),-50)</f>
        <v>-50</v>
      </c>
      <c r="G28">
        <v>2.7</v>
      </c>
      <c r="H28" t="str">
        <f>IF((24*'Pie de rey'!$B$55)&gt;100,"",CHOOSE('Pie de rey'!$B$57,(24*'Pie de rey'!$B$55+'Pie de rey'!$B$63)/10,IF(MOD((24*'Pie de rey'!$B$55+'Pie de rey'!$B$63),40)=0,(24*'Pie de rey'!$B$55+'Pie de rey'!$B$63)/40,MOD((24*'Pie de rey'!$B$55+'Pie de rey'!$B$63)/4,10)),IF(MOD((24*'Pie de rey'!$B$55+'Pie de rey'!$B$63),20)=0,(24*'Pie de rey'!$B$55+'Pie de rey'!$B$63)/20,MOD((24*'Pie de rey'!$B$55+'Pie de rey'!$B$63)/2,10)),(24*'Pie de rey'!$B$55+'Pie de rey'!$B$63)/16)&amp;"")</f>
        <v/>
      </c>
      <c r="P28">
        <f>IF(AND(8&lt;=Micrómetro!$B$52,8&lt;=Micrómetro!$B$43),8,-50)</f>
        <v>8</v>
      </c>
      <c r="Q28">
        <v>0</v>
      </c>
      <c r="S28">
        <f>IF(ABS((((INT(Micrómetro!$B$54)-11+8))-Micrómetro!$B$54)*0.6)&lt;=7.2,Micrómetro!$B$52,-50)</f>
        <v>48.4</v>
      </c>
      <c r="T28">
        <f>IF(ABS((((INT(Micrómetro!$B$54)-11+8))-Micrómetro!$B$54)*0.6)&lt;=7.2,(((INT(Micrómetro!$B$54)-11+8))-Micrómetro!$B$54)*0.6,0)</f>
        <v>-1.7999999999999998</v>
      </c>
      <c r="AD28">
        <f>IF(Micrómetro!$B$46=1,Micrómetro!$B$52-2.4,-50)</f>
        <v>-50</v>
      </c>
      <c r="AE28">
        <f>IF(Micrómetro!$B$46=1,8*0.54,0)</f>
        <v>0</v>
      </c>
      <c r="AN28">
        <f>IF(MOD(8,10)=0,7.9,IF(MOD(8,5)=0,8.5,8.9))*SIN(RADIANS(8*3.6))</f>
        <v>4.2876076995052665</v>
      </c>
      <c r="AO28">
        <f>IF(MOD(8,10)=0,7.9,IF(MOD(8,5)=0,8.5,8.9))*COS(RADIANS(8*3.6))</f>
        <v>7.7991294523903862</v>
      </c>
      <c r="AQ28">
        <f>10.2*SIN(RADIANS(24*3))</f>
        <v>9.7007764662105647</v>
      </c>
      <c r="AR28">
        <f>10.2*COS(RADIANS(24*3))</f>
        <v>3.1519733426244638</v>
      </c>
      <c r="BA28">
        <f>1.55*SIN(RADIANS(8*36))</f>
        <v>-1.4741376002574882</v>
      </c>
      <c r="BB28">
        <f>3.6+1.55*COS(RADIANS(8*36))</f>
        <v>4.0789763412811686</v>
      </c>
      <c r="BH28">
        <f>IF(MOD(8,10)=0,7.9,IF(MOD(8,5)=0,8.5,8.9))*SIN(RADIANS(8*3.6))</f>
        <v>4.2876076995052665</v>
      </c>
      <c r="BI28">
        <f>IF(MOD(8,10)=0,7.9,IF(MOD(8,5)=0,8.5,8.9))*COS(RADIANS(8*3.6))</f>
        <v>7.7991294523903862</v>
      </c>
      <c r="BK28">
        <f>10.2*SIN(RADIANS(24*3))</f>
        <v>9.7007764662105647</v>
      </c>
      <c r="BL28">
        <f>10.2*COS(RADIANS(24*3))</f>
        <v>3.1519733426244638</v>
      </c>
    </row>
    <row r="29" spans="1:64" x14ac:dyDescent="0.25">
      <c r="A29">
        <v>8</v>
      </c>
      <c r="B29">
        <f>IF(MOD(8,'Pie de rey'!$B$52)=0,2,IF(MOD(8,'Pie de rey'!$B$53)=0,1.5,IF(MOD(8,'Pie de rey'!$B$54)=0,1.1,0.75)))</f>
        <v>1.5</v>
      </c>
      <c r="C29">
        <f>C28</f>
        <v>18.75</v>
      </c>
      <c r="D29">
        <f>IF(MOD(MIN(8,'Pie de rey'!$B$43),'Pie de rey'!$B$56)=0,-1.8,-1.1)</f>
        <v>-1.8</v>
      </c>
      <c r="F29">
        <f>IF((25*'Pie de rey'!$B$55)&lt;=100,(25*'Pie de rey'!$B$55),-50)</f>
        <v>-50</v>
      </c>
      <c r="G29">
        <v>2.7</v>
      </c>
      <c r="H29" t="str">
        <f>IF((25*'Pie de rey'!$B$55)&gt;100,"",CHOOSE('Pie de rey'!$B$57,(25*'Pie de rey'!$B$55+'Pie de rey'!$B$63)/10,IF(MOD((25*'Pie de rey'!$B$55+'Pie de rey'!$B$63),40)=0,(25*'Pie de rey'!$B$55+'Pie de rey'!$B$63)/40,MOD((25*'Pie de rey'!$B$55+'Pie de rey'!$B$63)/4,10)),IF(MOD((25*'Pie de rey'!$B$55+'Pie de rey'!$B$63),20)=0,(25*'Pie de rey'!$B$55+'Pie de rey'!$B$63)/20,MOD((25*'Pie de rey'!$B$55+'Pie de rey'!$B$63)/2,10)),(25*'Pie de rey'!$B$55+'Pie de rey'!$B$63)/16)&amp;"")</f>
        <v/>
      </c>
      <c r="P29">
        <f>IF(AND(8&lt;=Micrómetro!$B$52,8&lt;=Micrómetro!$B$43),8,-50)</f>
        <v>8</v>
      </c>
      <c r="Q29">
        <f>IF(OR(Micrómetro!$B$41=1,MOD(8,2)=0),IF(Micrómetro!$B$41=1,IF(MOD(8,4)=0,1.6,1),IF(MOD(8,10)=0,1.6,1)),-1.1)</f>
        <v>1</v>
      </c>
      <c r="S29">
        <f>IF(ABS((((INT(Micrómetro!$B$54)-11+8))-Micrómetro!$B$54)*0.6)&lt;=7.2,Micrómetro!$B$52+IF(MOD((INT(Micrómetro!$B$54)-11+8),5)=0,2,1.2),-50)</f>
        <v>49.6</v>
      </c>
      <c r="T29">
        <f>IF(ABS((((INT(Micrómetro!$B$54)-11+8))-Micrómetro!$B$54)*0.6)&lt;=7.2,(((INT(Micrómetro!$B$54)-11+8))-Micrómetro!$B$54)*0.6,0)</f>
        <v>-1.7999999999999998</v>
      </c>
      <c r="AD29">
        <f>IF(Micrómetro!$B$46=1,Micrómetro!$B$52-0.15,-50)</f>
        <v>-50</v>
      </c>
      <c r="AE29">
        <f>IF(Micrómetro!$B$46=1,8*0.54,0)</f>
        <v>0</v>
      </c>
      <c r="AN29">
        <f>9.6*SIN(RADIANS(8*3.6))</f>
        <v>4.6248352713764671</v>
      </c>
      <c r="AO29">
        <f>9.6*COS(RADIANS(8*3.6))</f>
        <v>8.4125441284210893</v>
      </c>
      <c r="AQ29">
        <f>10.2*SIN(RADIANS(25*3))</f>
        <v>9.8524434281484954</v>
      </c>
      <c r="AR29">
        <f>10.2*COS(RADIANS(25*3))</f>
        <v>2.6399542600457115</v>
      </c>
      <c r="BA29">
        <f>2.05*SIN(RADIANS(8*36))</f>
        <v>-1.9496658584050648</v>
      </c>
      <c r="BB29">
        <f>3.6+2.05*COS(RADIANS(8*36))</f>
        <v>4.2334848384686419</v>
      </c>
      <c r="BH29">
        <f>9.6*SIN(RADIANS(8*3.6))</f>
        <v>4.6248352713764671</v>
      </c>
      <c r="BI29">
        <f>9.6*COS(RADIANS(8*3.6))</f>
        <v>8.4125441284210893</v>
      </c>
      <c r="BK29">
        <f>10.2*SIN(RADIANS(25*3))</f>
        <v>9.8524434281484954</v>
      </c>
      <c r="BL29">
        <f>10.2*COS(RADIANS(25*3))</f>
        <v>2.6399542600457115</v>
      </c>
    </row>
    <row r="30" spans="1:64" x14ac:dyDescent="0.25">
      <c r="F30">
        <f>IF((26*'Pie de rey'!$B$55)&lt;=100,(26*'Pie de rey'!$B$55),-50)</f>
        <v>-50</v>
      </c>
      <c r="G30">
        <v>2.7</v>
      </c>
      <c r="H30" t="str">
        <f>IF((26*'Pie de rey'!$B$55)&gt;100,"",CHOOSE('Pie de rey'!$B$57,(26*'Pie de rey'!$B$55+'Pie de rey'!$B$63)/10,IF(MOD((26*'Pie de rey'!$B$55+'Pie de rey'!$B$63),40)=0,(26*'Pie de rey'!$B$55+'Pie de rey'!$B$63)/40,MOD((26*'Pie de rey'!$B$55+'Pie de rey'!$B$63)/4,10)),IF(MOD((26*'Pie de rey'!$B$55+'Pie de rey'!$B$63),20)=0,(26*'Pie de rey'!$B$55+'Pie de rey'!$B$63)/20,MOD((26*'Pie de rey'!$B$55+'Pie de rey'!$B$63)/2,10)),(26*'Pie de rey'!$B$55+'Pie de rey'!$B$63)/16)&amp;"")</f>
        <v/>
      </c>
      <c r="AQ30">
        <f>10.2*SIN(RADIANS(26*3))</f>
        <v>9.9771055274848166</v>
      </c>
      <c r="AR30">
        <f>10.2*COS(RADIANS(26*3))</f>
        <v>2.1206992463411463</v>
      </c>
      <c r="BK30">
        <f>10.2*SIN(RADIANS(26*3))</f>
        <v>9.9771055274848166</v>
      </c>
      <c r="BL30">
        <f>10.2*COS(RADIANS(26*3))</f>
        <v>2.1206992463411463</v>
      </c>
    </row>
    <row r="31" spans="1:64" x14ac:dyDescent="0.25">
      <c r="A31">
        <v>9</v>
      </c>
      <c r="B31">
        <v>0</v>
      </c>
      <c r="C31">
        <f>('Pie de rey'!$B$49/'Pie de rey'!$B$42-'Pie de rey'!$B$63)+MIN(9,'Pie de rey'!$B$43)*'Pie de rey'!$B$50</f>
        <v>18.75</v>
      </c>
      <c r="D31">
        <v>0</v>
      </c>
      <c r="F31">
        <f>IF((27*'Pie de rey'!$B$55)&lt;=100,(27*'Pie de rey'!$B$55),-50)</f>
        <v>-50</v>
      </c>
      <c r="G31">
        <v>2.7</v>
      </c>
      <c r="H31" t="str">
        <f>IF((27*'Pie de rey'!$B$55)&gt;100,"",CHOOSE('Pie de rey'!$B$57,(27*'Pie de rey'!$B$55+'Pie de rey'!$B$63)/10,IF(MOD((27*'Pie de rey'!$B$55+'Pie de rey'!$B$63),40)=0,(27*'Pie de rey'!$B$55+'Pie de rey'!$B$63)/40,MOD((27*'Pie de rey'!$B$55+'Pie de rey'!$B$63)/4,10)),IF(MOD((27*'Pie de rey'!$B$55+'Pie de rey'!$B$63),20)=0,(27*'Pie de rey'!$B$55+'Pie de rey'!$B$63)/20,MOD((27*'Pie de rey'!$B$55+'Pie de rey'!$B$63)/2,10)),(27*'Pie de rey'!$B$55+'Pie de rey'!$B$63)/16)&amp;"")</f>
        <v/>
      </c>
      <c r="P31">
        <f>IF(AND(9&lt;=Micrómetro!$B$52,9&lt;=Micrómetro!$B$43),9,-50)</f>
        <v>9</v>
      </c>
      <c r="Q31">
        <v>0</v>
      </c>
      <c r="S31">
        <f>IF(ABS((((INT(Micrómetro!$B$54)-11+9))-Micrómetro!$B$54)*0.6)&lt;=7.2,Micrómetro!$B$52,-50)</f>
        <v>48.4</v>
      </c>
      <c r="T31">
        <f>IF(ABS((((INT(Micrómetro!$B$54)-11+9))-Micrómetro!$B$54)*0.6)&lt;=7.2,(((INT(Micrómetro!$B$54)-11+9))-Micrómetro!$B$54)*0.6,0)</f>
        <v>-1.2</v>
      </c>
      <c r="AD31">
        <f>IF(Micrómetro!$B$46=1,Micrómetro!$B$52-2.4,-50)</f>
        <v>-50</v>
      </c>
      <c r="AE31">
        <f>IF(Micrómetro!$B$46=1,9*0.54,0)</f>
        <v>0</v>
      </c>
      <c r="AN31">
        <f>IF(MOD(9,10)=0,7.9,IF(MOD(9,5)=0,8.5,8.9))*SIN(RADIANS(9*3.6))</f>
        <v>4.7688584753130705</v>
      </c>
      <c r="AO31">
        <f>IF(MOD(9,10)=0,7.9,IF(MOD(9,5)=0,8.5,8.9))*COS(RADIANS(9*3.6))</f>
        <v>7.5145185369679348</v>
      </c>
      <c r="AQ31">
        <f>10.2*SIN(RADIANS(27*3))</f>
        <v>10.074421074070404</v>
      </c>
      <c r="AR31">
        <f>10.2*COS(RADIANS(27*3))</f>
        <v>1.5956315434103554</v>
      </c>
      <c r="BA31">
        <f>1.55*SIN(RADIANS(9*36))</f>
        <v>-0.91106714105333375</v>
      </c>
      <c r="BB31">
        <f>3.6+1.55*COS(RADIANS(9*36))</f>
        <v>4.8539763412811681</v>
      </c>
      <c r="BH31">
        <f>IF(MOD(9,10)=0,7.9,IF(MOD(9,5)=0,8.5,8.9))*SIN(RADIANS(9*3.6))</f>
        <v>4.7688584753130705</v>
      </c>
      <c r="BI31">
        <f>IF(MOD(9,10)=0,7.9,IF(MOD(9,5)=0,8.5,8.9))*COS(RADIANS(9*3.6))</f>
        <v>7.5145185369679348</v>
      </c>
      <c r="BK31">
        <f>10.2*SIN(RADIANS(27*3))</f>
        <v>10.074421074070404</v>
      </c>
      <c r="BL31">
        <f>10.2*COS(RADIANS(27*3))</f>
        <v>1.5956315434103554</v>
      </c>
    </row>
    <row r="32" spans="1:64" x14ac:dyDescent="0.25">
      <c r="A32">
        <v>9</v>
      </c>
      <c r="B32">
        <f>IF(MOD(9,'Pie de rey'!$B$52)=0,2,IF(MOD(9,'Pie de rey'!$B$53)=0,1.5,IF(MOD(9,'Pie de rey'!$B$54)=0,1.1,0.75)))</f>
        <v>0.75</v>
      </c>
      <c r="C32">
        <f>C31</f>
        <v>18.75</v>
      </c>
      <c r="D32">
        <f>IF(MOD(MIN(9,'Pie de rey'!$B$43),'Pie de rey'!$B$56)=0,-1.8,-1.1)</f>
        <v>-1.8</v>
      </c>
      <c r="F32">
        <f>IF((28*'Pie de rey'!$B$55)&lt;=100,(28*'Pie de rey'!$B$55),-50)</f>
        <v>-50</v>
      </c>
      <c r="G32">
        <v>2.7</v>
      </c>
      <c r="H32" t="str">
        <f>IF((28*'Pie de rey'!$B$55)&gt;100,"",CHOOSE('Pie de rey'!$B$57,(28*'Pie de rey'!$B$55+'Pie de rey'!$B$63)/10,IF(MOD((28*'Pie de rey'!$B$55+'Pie de rey'!$B$63),40)=0,(28*'Pie de rey'!$B$55+'Pie de rey'!$B$63)/40,MOD((28*'Pie de rey'!$B$55+'Pie de rey'!$B$63)/4,10)),IF(MOD((28*'Pie de rey'!$B$55+'Pie de rey'!$B$63),20)=0,(28*'Pie de rey'!$B$55+'Pie de rey'!$B$63)/20,MOD((28*'Pie de rey'!$B$55+'Pie de rey'!$B$63)/2,10)),(28*'Pie de rey'!$B$55+'Pie de rey'!$B$63)/16)&amp;"")</f>
        <v/>
      </c>
      <c r="P32">
        <f>IF(AND(9&lt;=Micrómetro!$B$52,9&lt;=Micrómetro!$B$43),9,-50)</f>
        <v>9</v>
      </c>
      <c r="Q32">
        <f>IF(OR(Micrómetro!$B$41=1,MOD(9,2)=0),IF(Micrómetro!$B$41=1,IF(MOD(9,4)=0,1.6,1),IF(MOD(9,10)=0,1.6,1)),-1.1)</f>
        <v>-1.1000000000000001</v>
      </c>
      <c r="S32">
        <f>IF(ABS((((INT(Micrómetro!$B$54)-11+9))-Micrómetro!$B$54)*0.6)&lt;=7.2,Micrómetro!$B$52+IF(MOD((INT(Micrómetro!$B$54)-11+9),5)=0,2,1.2),-50)</f>
        <v>49.6</v>
      </c>
      <c r="T32">
        <f>IF(ABS((((INT(Micrómetro!$B$54)-11+9))-Micrómetro!$B$54)*0.6)&lt;=7.2,(((INT(Micrómetro!$B$54)-11+9))-Micrómetro!$B$54)*0.6,0)</f>
        <v>-1.2</v>
      </c>
      <c r="AD32">
        <f>IF(Micrómetro!$B$46=1,Micrómetro!$B$52-0.15,-50)</f>
        <v>-50</v>
      </c>
      <c r="AE32">
        <f>IF(Micrómetro!$B$46=1,9*0.54,0)</f>
        <v>0</v>
      </c>
      <c r="AN32">
        <f>9.6*SIN(RADIANS(9*3.6))</f>
        <v>5.1439372317983674</v>
      </c>
      <c r="AO32">
        <f>9.6*COS(RADIANS(9*3.6))</f>
        <v>8.1055480848193451</v>
      </c>
      <c r="AQ32">
        <f>10.2*SIN(RADIANS(28*3))</f>
        <v>10.144123332756386</v>
      </c>
      <c r="AR32">
        <f>10.2*COS(RADIANS(28*3))</f>
        <v>1.0661903253300651</v>
      </c>
      <c r="BA32">
        <f>2.05*SIN(RADIANS(9*36))</f>
        <v>-1.2049597671995702</v>
      </c>
      <c r="BB32">
        <f>3.6+2.05*COS(RADIANS(9*36))</f>
        <v>5.2584848384686422</v>
      </c>
      <c r="BH32">
        <f>9.6*SIN(RADIANS(9*3.6))</f>
        <v>5.1439372317983674</v>
      </c>
      <c r="BI32">
        <f>9.6*COS(RADIANS(9*3.6))</f>
        <v>8.1055480848193451</v>
      </c>
      <c r="BK32">
        <f>10.2*SIN(RADIANS(28*3))</f>
        <v>10.144123332756386</v>
      </c>
      <c r="BL32">
        <f>10.2*COS(RADIANS(28*3))</f>
        <v>1.0661903253300651</v>
      </c>
    </row>
    <row r="33" spans="1:64" x14ac:dyDescent="0.25">
      <c r="F33">
        <f>IF((29*'Pie de rey'!$B$55)&lt;=100,(29*'Pie de rey'!$B$55),-50)</f>
        <v>-50</v>
      </c>
      <c r="G33">
        <v>2.7</v>
      </c>
      <c r="H33" t="str">
        <f>IF((29*'Pie de rey'!$B$55)&gt;100,"",CHOOSE('Pie de rey'!$B$57,(29*'Pie de rey'!$B$55+'Pie de rey'!$B$63)/10,IF(MOD((29*'Pie de rey'!$B$55+'Pie de rey'!$B$63),40)=0,(29*'Pie de rey'!$B$55+'Pie de rey'!$B$63)/40,MOD((29*'Pie de rey'!$B$55+'Pie de rey'!$B$63)/4,10)),IF(MOD((29*'Pie de rey'!$B$55+'Pie de rey'!$B$63),20)=0,(29*'Pie de rey'!$B$55+'Pie de rey'!$B$63)/20,MOD((29*'Pie de rey'!$B$55+'Pie de rey'!$B$63)/2,10)),(29*'Pie de rey'!$B$55+'Pie de rey'!$B$63)/16)&amp;"")</f>
        <v/>
      </c>
      <c r="AQ33">
        <f>10.2*SIN(RADIANS(29*3))</f>
        <v>10.186021254496652</v>
      </c>
      <c r="AR33">
        <f>10.2*COS(RADIANS(29*3))</f>
        <v>0.53382675367802845</v>
      </c>
      <c r="BK33">
        <f>10.2*SIN(RADIANS(29*3))</f>
        <v>10.186021254496652</v>
      </c>
      <c r="BL33">
        <f>10.2*COS(RADIANS(29*3))</f>
        <v>0.53382675367802845</v>
      </c>
    </row>
    <row r="34" spans="1:64" x14ac:dyDescent="0.25">
      <c r="A34">
        <v>10</v>
      </c>
      <c r="B34">
        <v>0</v>
      </c>
      <c r="C34">
        <f>('Pie de rey'!$B$49/'Pie de rey'!$B$42-'Pie de rey'!$B$63)+MIN(10,'Pie de rey'!$B$43)*'Pie de rey'!$B$50</f>
        <v>18.75</v>
      </c>
      <c r="D34">
        <v>0</v>
      </c>
      <c r="F34">
        <f>IF((30*'Pie de rey'!$B$55)&lt;=100,(30*'Pie de rey'!$B$55),-50)</f>
        <v>-50</v>
      </c>
      <c r="G34">
        <v>2.7</v>
      </c>
      <c r="H34" t="str">
        <f>IF((30*'Pie de rey'!$B$55)&gt;100,"",CHOOSE('Pie de rey'!$B$57,(30*'Pie de rey'!$B$55+'Pie de rey'!$B$63)/10,IF(MOD((30*'Pie de rey'!$B$55+'Pie de rey'!$B$63),40)=0,(30*'Pie de rey'!$B$55+'Pie de rey'!$B$63)/40,MOD((30*'Pie de rey'!$B$55+'Pie de rey'!$B$63)/4,10)),IF(MOD((30*'Pie de rey'!$B$55+'Pie de rey'!$B$63),20)=0,(30*'Pie de rey'!$B$55+'Pie de rey'!$B$63)/20,MOD((30*'Pie de rey'!$B$55+'Pie de rey'!$B$63)/2,10)),(30*'Pie de rey'!$B$55+'Pie de rey'!$B$63)/16)&amp;"")</f>
        <v/>
      </c>
      <c r="P34">
        <f>IF(AND(10&lt;=Micrómetro!$B$52,10&lt;=Micrómetro!$B$43),10,-50)</f>
        <v>10</v>
      </c>
      <c r="Q34">
        <v>0</v>
      </c>
      <c r="S34">
        <f>IF(ABS((((INT(Micrómetro!$B$54)-11+10))-Micrómetro!$B$54)*0.6)&lt;=7.2,Micrómetro!$B$52,-50)</f>
        <v>48.4</v>
      </c>
      <c r="T34">
        <f>IF(ABS((((INT(Micrómetro!$B$54)-11+10))-Micrómetro!$B$54)*0.6)&lt;=7.2,(((INT(Micrómetro!$B$54)-11+10))-Micrómetro!$B$54)*0.6,0)</f>
        <v>-0.6</v>
      </c>
      <c r="AD34">
        <f>IF(Micrómetro!$B$46=1,Micrómetro!$B$52-2.4,-50)</f>
        <v>-50</v>
      </c>
      <c r="AE34">
        <f>IF(Micrómetro!$B$46=1,10*0.54,0)</f>
        <v>0</v>
      </c>
      <c r="AN34">
        <f>IF(MOD(10,10)=0,7.9,IF(MOD(10,5)=0,8.5,8.9))*SIN(RADIANS(10*3.6))</f>
        <v>4.6435034931105381</v>
      </c>
      <c r="AO34">
        <f>IF(MOD(10,10)=0,7.9,IF(MOD(10,5)=0,8.5,8.9))*COS(RADIANS(10*3.6))</f>
        <v>6.3912342555620851</v>
      </c>
      <c r="AQ34">
        <f>10.2*SIN(RADIANS(30*3))</f>
        <v>10.199999999999999</v>
      </c>
      <c r="AR34">
        <f>10.2*COS(RADIANS(30*3))</f>
        <v>6.2482571200339621E-16</v>
      </c>
      <c r="BH34">
        <f>IF(MOD(10,10)=0,7.9,IF(MOD(10,5)=0,8.5,8.9))*SIN(RADIANS(10*3.6))</f>
        <v>4.6435034931105381</v>
      </c>
      <c r="BI34">
        <f>IF(MOD(10,10)=0,7.9,IF(MOD(10,5)=0,8.5,8.9))*COS(RADIANS(10*3.6))</f>
        <v>6.3912342555620851</v>
      </c>
      <c r="BK34">
        <f>10.2*SIN(RADIANS(30*3))</f>
        <v>10.199999999999999</v>
      </c>
      <c r="BL34">
        <f>10.2*COS(RADIANS(30*3))</f>
        <v>6.2482571200339621E-16</v>
      </c>
    </row>
    <row r="35" spans="1:64" x14ac:dyDescent="0.25">
      <c r="A35">
        <v>10</v>
      </c>
      <c r="B35">
        <f>IF(MOD(10,'Pie de rey'!$B$52)=0,2,IF(MOD(10,'Pie de rey'!$B$53)=0,1.5,IF(MOD(10,'Pie de rey'!$B$54)=0,1.1,0.75)))</f>
        <v>0.75</v>
      </c>
      <c r="C35">
        <f>C34</f>
        <v>18.75</v>
      </c>
      <c r="D35">
        <f>IF(MOD(MIN(10,'Pie de rey'!$B$43),'Pie de rey'!$B$56)=0,-1.8,-1.1)</f>
        <v>-1.8</v>
      </c>
      <c r="F35">
        <f>IF((31*'Pie de rey'!$B$55)&lt;=100,(31*'Pie de rey'!$B$55),-50)</f>
        <v>-50</v>
      </c>
      <c r="G35">
        <v>2.7</v>
      </c>
      <c r="H35" t="str">
        <f>IF((31*'Pie de rey'!$B$55)&gt;100,"",CHOOSE('Pie de rey'!$B$57,(31*'Pie de rey'!$B$55+'Pie de rey'!$B$63)/10,IF(MOD((31*'Pie de rey'!$B$55+'Pie de rey'!$B$63),40)=0,(31*'Pie de rey'!$B$55+'Pie de rey'!$B$63)/40,MOD((31*'Pie de rey'!$B$55+'Pie de rey'!$B$63)/4,10)),IF(MOD((31*'Pie de rey'!$B$55+'Pie de rey'!$B$63),20)=0,(31*'Pie de rey'!$B$55+'Pie de rey'!$B$63)/20,MOD((31*'Pie de rey'!$B$55+'Pie de rey'!$B$63)/2,10)),(31*'Pie de rey'!$B$55+'Pie de rey'!$B$63)/16)&amp;"")</f>
        <v/>
      </c>
      <c r="P35">
        <f>IF(AND(10&lt;=Micrómetro!$B$52,10&lt;=Micrómetro!$B$43),10,-50)</f>
        <v>10</v>
      </c>
      <c r="Q35">
        <f>IF(OR(Micrómetro!$B$41=1,MOD(10,2)=0),IF(Micrómetro!$B$41=1,IF(MOD(10,4)=0,1.6,1),IF(MOD(10,10)=0,1.6,1)),-1.1)</f>
        <v>1.6</v>
      </c>
      <c r="S35">
        <f>IF(ABS((((INT(Micrómetro!$B$54)-11+10))-Micrómetro!$B$54)*0.6)&lt;=7.2,Micrómetro!$B$52+IF(MOD((INT(Micrómetro!$B$54)-11+10),5)=0,2,1.2),-50)</f>
        <v>49.6</v>
      </c>
      <c r="T35">
        <f>IF(ABS((((INT(Micrómetro!$B$54)-11+10))-Micrómetro!$B$54)*0.6)&lt;=7.2,(((INT(Micrómetro!$B$54)-11+10))-Micrómetro!$B$54)*0.6,0)</f>
        <v>-0.6</v>
      </c>
      <c r="AD35">
        <f>IF(Micrómetro!$B$46=1,Micrómetro!$B$52-0.15,-50)</f>
        <v>-50</v>
      </c>
      <c r="AE35">
        <f>IF(Micrómetro!$B$46=1,10*0.54,0)</f>
        <v>0</v>
      </c>
      <c r="AN35">
        <f>9.6*SIN(RADIANS(10*3.6))</f>
        <v>5.6427384220077421</v>
      </c>
      <c r="AO35">
        <f>9.6*COS(RADIANS(10*3.6))</f>
        <v>7.7665631459994948</v>
      </c>
      <c r="AQ35">
        <f>10.2*SIN(RADIANS(31*3))</f>
        <v>10.186021254496652</v>
      </c>
      <c r="AR35">
        <f>10.2*COS(RADIANS(31*3))</f>
        <v>-0.53382675367802712</v>
      </c>
      <c r="BH35">
        <f>9.6*SIN(RADIANS(10*3.6))</f>
        <v>5.6427384220077421</v>
      </c>
      <c r="BI35">
        <f>9.6*COS(RADIANS(10*3.6))</f>
        <v>7.7665631459994948</v>
      </c>
      <c r="BK35">
        <f>10.2*SIN(RADIANS(31*3))</f>
        <v>10.186021254496652</v>
      </c>
      <c r="BL35">
        <f>10.2*COS(RADIANS(31*3))</f>
        <v>-0.53382675367802712</v>
      </c>
    </row>
    <row r="36" spans="1:64" x14ac:dyDescent="0.25">
      <c r="F36">
        <f>IF((32*'Pie de rey'!$B$55)&lt;=100,(32*'Pie de rey'!$B$55),-50)</f>
        <v>-50</v>
      </c>
      <c r="G36">
        <v>2.7</v>
      </c>
      <c r="H36" t="str">
        <f>IF((32*'Pie de rey'!$B$55)&gt;100,"",CHOOSE('Pie de rey'!$B$57,(32*'Pie de rey'!$B$55+'Pie de rey'!$B$63)/10,IF(MOD((32*'Pie de rey'!$B$55+'Pie de rey'!$B$63),40)=0,(32*'Pie de rey'!$B$55+'Pie de rey'!$B$63)/40,MOD((32*'Pie de rey'!$B$55+'Pie de rey'!$B$63)/4,10)),IF(MOD((32*'Pie de rey'!$B$55+'Pie de rey'!$B$63),20)=0,(32*'Pie de rey'!$B$55+'Pie de rey'!$B$63)/20,MOD((32*'Pie de rey'!$B$55+'Pie de rey'!$B$63)/2,10)),(32*'Pie de rey'!$B$55+'Pie de rey'!$B$63)/16)&amp;"")</f>
        <v/>
      </c>
      <c r="AQ36">
        <f>10.2*SIN(RADIANS(32*3))</f>
        <v>10.144123332756386</v>
      </c>
      <c r="AR36">
        <f>10.2*COS(RADIANS(32*3))</f>
        <v>-1.0661903253300662</v>
      </c>
      <c r="BK36">
        <f>10.2*SIN(RADIANS(32*3))</f>
        <v>10.144123332756386</v>
      </c>
      <c r="BL36">
        <f>10.2*COS(RADIANS(32*3))</f>
        <v>-1.0661903253300662</v>
      </c>
    </row>
    <row r="37" spans="1:64" x14ac:dyDescent="0.25">
      <c r="A37">
        <v>11</v>
      </c>
      <c r="B37">
        <v>0</v>
      </c>
      <c r="C37">
        <f>('Pie de rey'!$B$49/'Pie de rey'!$B$42-'Pie de rey'!$B$63)+MIN(11,'Pie de rey'!$B$43)*'Pie de rey'!$B$50</f>
        <v>18.75</v>
      </c>
      <c r="D37">
        <v>0</v>
      </c>
      <c r="F37">
        <f>IF((33*'Pie de rey'!$B$55)&lt;=100,(33*'Pie de rey'!$B$55),-50)</f>
        <v>-50</v>
      </c>
      <c r="G37">
        <v>2.7</v>
      </c>
      <c r="H37" t="str">
        <f>IF((33*'Pie de rey'!$B$55)&gt;100,"",CHOOSE('Pie de rey'!$B$57,(33*'Pie de rey'!$B$55+'Pie de rey'!$B$63)/10,IF(MOD((33*'Pie de rey'!$B$55+'Pie de rey'!$B$63),40)=0,(33*'Pie de rey'!$B$55+'Pie de rey'!$B$63)/40,MOD((33*'Pie de rey'!$B$55+'Pie de rey'!$B$63)/4,10)),IF(MOD((33*'Pie de rey'!$B$55+'Pie de rey'!$B$63),20)=0,(33*'Pie de rey'!$B$55+'Pie de rey'!$B$63)/20,MOD((33*'Pie de rey'!$B$55+'Pie de rey'!$B$63)/2,10)),(33*'Pie de rey'!$B$55+'Pie de rey'!$B$63)/16)&amp;"")</f>
        <v/>
      </c>
      <c r="P37">
        <f>IF(AND(11&lt;=Micrómetro!$B$52,11&lt;=Micrómetro!$B$43),11,-50)</f>
        <v>11</v>
      </c>
      <c r="Q37">
        <v>0</v>
      </c>
      <c r="S37">
        <f>IF(ABS((((INT(Micrómetro!$B$54)-11+11))-Micrómetro!$B$54)*0.6)&lt;=7.2,Micrómetro!$B$52,-50)</f>
        <v>48.4</v>
      </c>
      <c r="T37">
        <f>IF(ABS((((INT(Micrómetro!$B$54)-11+11))-Micrómetro!$B$54)*0.6)&lt;=7.2,(((INT(Micrómetro!$B$54)-11+11))-Micrómetro!$B$54)*0.6,0)</f>
        <v>0</v>
      </c>
      <c r="AN37">
        <f>IF(MOD(11,10)=0,7.9,IF(MOD(11,5)=0,8.5,8.9))*SIN(RADIANS(11*3.6))</f>
        <v>5.6730735087633386</v>
      </c>
      <c r="AO37">
        <f>IF(MOD(11,10)=0,7.9,IF(MOD(11,5)=0,8.5,8.9))*COS(RADIANS(11*3.6))</f>
        <v>6.8575678607045241</v>
      </c>
      <c r="AQ37">
        <f>10.2*SIN(RADIANS(33*3))</f>
        <v>10.074421074070404</v>
      </c>
      <c r="AR37">
        <f>10.2*COS(RADIANS(33*3))</f>
        <v>-1.5956315434103543</v>
      </c>
      <c r="BH37">
        <f>IF(MOD(11,10)=0,7.9,IF(MOD(11,5)=0,8.5,8.9))*SIN(RADIANS(11*3.6))</f>
        <v>5.6730735087633386</v>
      </c>
      <c r="BI37">
        <f>IF(MOD(11,10)=0,7.9,IF(MOD(11,5)=0,8.5,8.9))*COS(RADIANS(11*3.6))</f>
        <v>6.8575678607045241</v>
      </c>
      <c r="BK37">
        <f>10.2*SIN(RADIANS(33*3))</f>
        <v>10.074421074070404</v>
      </c>
      <c r="BL37">
        <f>10.2*COS(RADIANS(33*3))</f>
        <v>-1.5956315434103543</v>
      </c>
    </row>
    <row r="38" spans="1:64" x14ac:dyDescent="0.25">
      <c r="A38">
        <v>11</v>
      </c>
      <c r="B38">
        <f>IF(MOD(11,'Pie de rey'!$B$52)=0,2,IF(MOD(11,'Pie de rey'!$B$53)=0,1.5,IF(MOD(11,'Pie de rey'!$B$54)=0,1.1,0.75)))</f>
        <v>0.75</v>
      </c>
      <c r="C38">
        <f>C37</f>
        <v>18.75</v>
      </c>
      <c r="D38">
        <f>IF(MOD(MIN(11,'Pie de rey'!$B$43),'Pie de rey'!$B$56)=0,-1.8,-1.1)</f>
        <v>-1.8</v>
      </c>
      <c r="F38">
        <f>IF((34*'Pie de rey'!$B$55)&lt;=100,(34*'Pie de rey'!$B$55),-50)</f>
        <v>-50</v>
      </c>
      <c r="G38">
        <v>2.7</v>
      </c>
      <c r="H38" t="str">
        <f>IF((34*'Pie de rey'!$B$55)&gt;100,"",CHOOSE('Pie de rey'!$B$57,(34*'Pie de rey'!$B$55+'Pie de rey'!$B$63)/10,IF(MOD((34*'Pie de rey'!$B$55+'Pie de rey'!$B$63),40)=0,(34*'Pie de rey'!$B$55+'Pie de rey'!$B$63)/40,MOD((34*'Pie de rey'!$B$55+'Pie de rey'!$B$63)/4,10)),IF(MOD((34*'Pie de rey'!$B$55+'Pie de rey'!$B$63),20)=0,(34*'Pie de rey'!$B$55+'Pie de rey'!$B$63)/20,MOD((34*'Pie de rey'!$B$55+'Pie de rey'!$B$63)/2,10)),(34*'Pie de rey'!$B$55+'Pie de rey'!$B$63)/16)&amp;"")</f>
        <v/>
      </c>
      <c r="P38">
        <f>IF(AND(11&lt;=Micrómetro!$B$52,11&lt;=Micrómetro!$B$43),11,-50)</f>
        <v>11</v>
      </c>
      <c r="Q38">
        <f>IF(OR(Micrómetro!$B$41=1,MOD(11,2)=0),IF(Micrómetro!$B$41=1,IF(MOD(11,4)=0,1.6,1),IF(MOD(11,10)=0,1.6,1)),-1.1)</f>
        <v>-1.1000000000000001</v>
      </c>
      <c r="S38">
        <f>IF(ABS((((INT(Micrómetro!$B$54)-11+11))-Micrómetro!$B$54)*0.6)&lt;=7.2,Micrómetro!$B$52+IF(MOD((INT(Micrómetro!$B$54)-11+11),5)=0,2,1.2),-50)</f>
        <v>50.4</v>
      </c>
      <c r="T38">
        <f>IF(ABS((((INT(Micrómetro!$B$54)-11+11))-Micrómetro!$B$54)*0.6)&lt;=7.2,(((INT(Micrómetro!$B$54)-11+11))-Micrómetro!$B$54)*0.6,0)</f>
        <v>0</v>
      </c>
      <c r="AN38">
        <f>9.6*SIN(RADIANS(11*3.6))</f>
        <v>6.119270301587421</v>
      </c>
      <c r="AO38">
        <f>9.6*COS(RADIANS(11*3.6))</f>
        <v>7.3969271306475752</v>
      </c>
      <c r="AQ38">
        <f>10.2*SIN(RADIANS(34*3))</f>
        <v>9.9771055274848166</v>
      </c>
      <c r="AR38">
        <f>10.2*COS(RADIANS(34*3))</f>
        <v>-2.1206992463411449</v>
      </c>
      <c r="BH38">
        <f>9.6*SIN(RADIANS(11*3.6))</f>
        <v>6.119270301587421</v>
      </c>
      <c r="BI38">
        <f>9.6*COS(RADIANS(11*3.6))</f>
        <v>7.3969271306475752</v>
      </c>
      <c r="BK38">
        <f>10.2*SIN(RADIANS(34*3))</f>
        <v>9.9771055274848166</v>
      </c>
      <c r="BL38">
        <f>10.2*COS(RADIANS(34*3))</f>
        <v>-2.1206992463411449</v>
      </c>
    </row>
    <row r="39" spans="1:64" x14ac:dyDescent="0.25">
      <c r="F39">
        <f>IF((35*'Pie de rey'!$B$55)&lt;=100,(35*'Pie de rey'!$B$55),-50)</f>
        <v>-50</v>
      </c>
      <c r="G39">
        <v>2.7</v>
      </c>
      <c r="H39" t="str">
        <f>IF((35*'Pie de rey'!$B$55)&gt;100,"",CHOOSE('Pie de rey'!$B$57,(35*'Pie de rey'!$B$55+'Pie de rey'!$B$63)/10,IF(MOD((35*'Pie de rey'!$B$55+'Pie de rey'!$B$63),40)=0,(35*'Pie de rey'!$B$55+'Pie de rey'!$B$63)/40,MOD((35*'Pie de rey'!$B$55+'Pie de rey'!$B$63)/4,10)),IF(MOD((35*'Pie de rey'!$B$55+'Pie de rey'!$B$63),20)=0,(35*'Pie de rey'!$B$55+'Pie de rey'!$B$63)/20,MOD((35*'Pie de rey'!$B$55+'Pie de rey'!$B$63)/2,10)),(35*'Pie de rey'!$B$55+'Pie de rey'!$B$63)/16)&amp;"")</f>
        <v/>
      </c>
      <c r="AQ39">
        <f>10.2*SIN(RADIANS(35*3))</f>
        <v>9.8524434281484954</v>
      </c>
      <c r="AR39">
        <f>10.2*COS(RADIANS(35*3))</f>
        <v>-2.6399542600457124</v>
      </c>
      <c r="BK39">
        <f>10.2*SIN(RADIANS(35*3))</f>
        <v>9.8524434281484954</v>
      </c>
      <c r="BL39">
        <f>10.2*COS(RADIANS(35*3))</f>
        <v>-2.6399542600457124</v>
      </c>
    </row>
    <row r="40" spans="1:64" x14ac:dyDescent="0.25">
      <c r="A40">
        <v>12</v>
      </c>
      <c r="B40">
        <v>0</v>
      </c>
      <c r="C40">
        <f>('Pie de rey'!$B$49/'Pie de rey'!$B$42-'Pie de rey'!$B$63)+MIN(12,'Pie de rey'!$B$43)*'Pie de rey'!$B$50</f>
        <v>18.75</v>
      </c>
      <c r="D40">
        <v>0</v>
      </c>
      <c r="F40">
        <f>IF((36*'Pie de rey'!$B$55)&lt;=100,(36*'Pie de rey'!$B$55),-50)</f>
        <v>-50</v>
      </c>
      <c r="G40">
        <v>2.7</v>
      </c>
      <c r="H40" t="str">
        <f>IF((36*'Pie de rey'!$B$55)&gt;100,"",CHOOSE('Pie de rey'!$B$57,(36*'Pie de rey'!$B$55+'Pie de rey'!$B$63)/10,IF(MOD((36*'Pie de rey'!$B$55+'Pie de rey'!$B$63),40)=0,(36*'Pie de rey'!$B$55+'Pie de rey'!$B$63)/40,MOD((36*'Pie de rey'!$B$55+'Pie de rey'!$B$63)/4,10)),IF(MOD((36*'Pie de rey'!$B$55+'Pie de rey'!$B$63),20)=0,(36*'Pie de rey'!$B$55+'Pie de rey'!$B$63)/20,MOD((36*'Pie de rey'!$B$55+'Pie de rey'!$B$63)/2,10)),(36*'Pie de rey'!$B$55+'Pie de rey'!$B$63)/16)&amp;"")</f>
        <v/>
      </c>
      <c r="P40">
        <f>IF(AND(12&lt;=Micrómetro!$B$52,12&lt;=Micrómetro!$B$43),12,-50)</f>
        <v>12</v>
      </c>
      <c r="Q40">
        <v>0</v>
      </c>
      <c r="S40">
        <f>IF(ABS((((INT(Micrómetro!$B$54)-11+12))-Micrómetro!$B$54)*0.6)&lt;=7.2,Micrómetro!$B$52,-50)</f>
        <v>48.4</v>
      </c>
      <c r="T40">
        <f>IF(ABS((((INT(Micrómetro!$B$54)-11+12))-Micrómetro!$B$54)*0.6)&lt;=7.2,(((INT(Micrómetro!$B$54)-11+12))-Micrómetro!$B$54)*0.6,0)</f>
        <v>0.6</v>
      </c>
      <c r="AN40">
        <f>IF(MOD(12,10)=0,7.9,IF(MOD(12,5)=0,8.5,8.9))*SIN(RADIANS(12*3.6))</f>
        <v>6.09246924276533</v>
      </c>
      <c r="AO40">
        <f>IF(MOD(12,10)=0,7.9,IF(MOD(12,5)=0,8.5,8.9))*COS(RADIANS(12*3.6))</f>
        <v>6.4878207840505633</v>
      </c>
      <c r="AQ40">
        <f>10.2*SIN(RADIANS(36*3))</f>
        <v>9.7007764662105664</v>
      </c>
      <c r="AR40">
        <f>10.2*COS(RADIANS(36*3))</f>
        <v>-3.1519733426244625</v>
      </c>
      <c r="BA40">
        <f>2.2*SIN(RADIANS(0*9))</f>
        <v>0</v>
      </c>
      <c r="BB40">
        <f>3.6+2.2*COS(RADIANS(0*9))</f>
        <v>5.8000000000000007</v>
      </c>
      <c r="BH40">
        <f>IF(MOD(12,10)=0,7.9,IF(MOD(12,5)=0,8.5,8.9))*SIN(RADIANS(12*3.6))</f>
        <v>6.09246924276533</v>
      </c>
      <c r="BI40">
        <f>IF(MOD(12,10)=0,7.9,IF(MOD(12,5)=0,8.5,8.9))*COS(RADIANS(12*3.6))</f>
        <v>6.4878207840505633</v>
      </c>
      <c r="BK40">
        <f>10.2*SIN(RADIANS(36*3))</f>
        <v>9.7007764662105664</v>
      </c>
      <c r="BL40">
        <f>10.2*COS(RADIANS(36*3))</f>
        <v>-3.1519733426244625</v>
      </c>
    </row>
    <row r="41" spans="1:64" x14ac:dyDescent="0.25">
      <c r="A41">
        <v>12</v>
      </c>
      <c r="B41">
        <f>IF(MOD(12,'Pie de rey'!$B$52)=0,2,IF(MOD(12,'Pie de rey'!$B$53)=0,1.5,IF(MOD(12,'Pie de rey'!$B$54)=0,1.1,0.75)))</f>
        <v>1.1000000000000001</v>
      </c>
      <c r="C41">
        <f>C40</f>
        <v>18.75</v>
      </c>
      <c r="D41">
        <f>IF(MOD(MIN(12,'Pie de rey'!$B$43),'Pie de rey'!$B$56)=0,-1.8,-1.1)</f>
        <v>-1.8</v>
      </c>
      <c r="F41">
        <f>IF((37*'Pie de rey'!$B$55)&lt;=100,(37*'Pie de rey'!$B$55),-50)</f>
        <v>-50</v>
      </c>
      <c r="G41">
        <v>2.7</v>
      </c>
      <c r="H41" t="str">
        <f>IF((37*'Pie de rey'!$B$55)&gt;100,"",CHOOSE('Pie de rey'!$B$57,(37*'Pie de rey'!$B$55+'Pie de rey'!$B$63)/10,IF(MOD((37*'Pie de rey'!$B$55+'Pie de rey'!$B$63),40)=0,(37*'Pie de rey'!$B$55+'Pie de rey'!$B$63)/40,MOD((37*'Pie de rey'!$B$55+'Pie de rey'!$B$63)/4,10)),IF(MOD((37*'Pie de rey'!$B$55+'Pie de rey'!$B$63),20)=0,(37*'Pie de rey'!$B$55+'Pie de rey'!$B$63)/20,MOD((37*'Pie de rey'!$B$55+'Pie de rey'!$B$63)/2,10)),(37*'Pie de rey'!$B$55+'Pie de rey'!$B$63)/16)&amp;"")</f>
        <v/>
      </c>
      <c r="P41">
        <f>IF(AND(12&lt;=Micrómetro!$B$52,12&lt;=Micrómetro!$B$43),12,-50)</f>
        <v>12</v>
      </c>
      <c r="Q41">
        <f>IF(OR(Micrómetro!$B$41=1,MOD(12,2)=0),IF(Micrómetro!$B$41=1,IF(MOD(12,4)=0,1.6,1),IF(MOD(12,10)=0,1.6,1)),-1.1)</f>
        <v>1</v>
      </c>
      <c r="S41">
        <f>IF(ABS((((INT(Micrómetro!$B$54)-11+12))-Micrómetro!$B$54)*0.6)&lt;=7.2,Micrómetro!$B$52+IF(MOD((INT(Micrómetro!$B$54)-11+12),5)=0,2,1.2),-50)</f>
        <v>49.6</v>
      </c>
      <c r="T41">
        <f>IF(ABS((((INT(Micrómetro!$B$54)-11+12))-Micrómetro!$B$54)*0.6)&lt;=7.2,(((INT(Micrómetro!$B$54)-11+12))-Micrómetro!$B$54)*0.6,0)</f>
        <v>0.6</v>
      </c>
      <c r="AN41">
        <f>9.6*SIN(RADIANS(12*3.6))</f>
        <v>6.5716522169154112</v>
      </c>
      <c r="AO41">
        <f>9.6*COS(RADIANS(12*3.6))</f>
        <v>6.9980988232455505</v>
      </c>
      <c r="AQ41">
        <f>10.2*SIN(RADIANS(37*3))</f>
        <v>9.5225203502714564</v>
      </c>
      <c r="AR41">
        <f>10.2*COS(RADIANS(37*3))</f>
        <v>-3.6553530853620626</v>
      </c>
      <c r="BA41">
        <f>2.2*SIN(RADIANS(1*9))</f>
        <v>0.34415582308850795</v>
      </c>
      <c r="BB41">
        <f>3.6+2.2*COS(RADIANS(1*9))</f>
        <v>5.7729143493093034</v>
      </c>
      <c r="BH41">
        <f>9.6*SIN(RADIANS(12*3.6))</f>
        <v>6.5716522169154112</v>
      </c>
      <c r="BI41">
        <f>9.6*COS(RADIANS(12*3.6))</f>
        <v>6.9980988232455505</v>
      </c>
      <c r="BK41">
        <f>10.2*SIN(RADIANS(37*3))</f>
        <v>9.5225203502714564</v>
      </c>
      <c r="BL41">
        <f>10.2*COS(RADIANS(37*3))</f>
        <v>-3.6553530853620626</v>
      </c>
    </row>
    <row r="42" spans="1:64" x14ac:dyDescent="0.25">
      <c r="F42">
        <f>IF((38*'Pie de rey'!$B$55)&lt;=100,(38*'Pie de rey'!$B$55),-50)</f>
        <v>-50</v>
      </c>
      <c r="G42">
        <v>2.7</v>
      </c>
      <c r="H42" t="str">
        <f>IF((38*'Pie de rey'!$B$55)&gt;100,"",CHOOSE('Pie de rey'!$B$57,(38*'Pie de rey'!$B$55+'Pie de rey'!$B$63)/10,IF(MOD((38*'Pie de rey'!$B$55+'Pie de rey'!$B$63),40)=0,(38*'Pie de rey'!$B$55+'Pie de rey'!$B$63)/40,MOD((38*'Pie de rey'!$B$55+'Pie de rey'!$B$63)/4,10)),IF(MOD((38*'Pie de rey'!$B$55+'Pie de rey'!$B$63),20)=0,(38*'Pie de rey'!$B$55+'Pie de rey'!$B$63)/20,MOD((38*'Pie de rey'!$B$55+'Pie de rey'!$B$63)/2,10)),(38*'Pie de rey'!$B$55+'Pie de rey'!$B$63)/16)&amp;"")</f>
        <v/>
      </c>
      <c r="AQ42">
        <f>10.2*SIN(RADIANS(38*3))</f>
        <v>9.3181636679545274</v>
      </c>
      <c r="AR42">
        <f>10.2*COS(RADIANS(38*3))</f>
        <v>-4.1487137593731624</v>
      </c>
      <c r="BA42">
        <f>2.2*SIN(RADIANS(2*9))</f>
        <v>0.67983738762488433</v>
      </c>
      <c r="BB42">
        <f>3.6+2.2*COS(RADIANS(2*9))</f>
        <v>5.6923243358493378</v>
      </c>
      <c r="BK42">
        <f>10.2*SIN(RADIANS(38*3))</f>
        <v>9.3181636679545274</v>
      </c>
      <c r="BL42">
        <f>10.2*COS(RADIANS(38*3))</f>
        <v>-4.1487137593731624</v>
      </c>
    </row>
    <row r="43" spans="1:64" x14ac:dyDescent="0.25">
      <c r="A43">
        <v>13</v>
      </c>
      <c r="B43">
        <v>0</v>
      </c>
      <c r="C43">
        <f>('Pie de rey'!$B$49/'Pie de rey'!$B$42-'Pie de rey'!$B$63)+MIN(13,'Pie de rey'!$B$43)*'Pie de rey'!$B$50</f>
        <v>18.75</v>
      </c>
      <c r="D43">
        <v>0</v>
      </c>
      <c r="F43">
        <f>IF((39*'Pie de rey'!$B$55)&lt;=100,(39*'Pie de rey'!$B$55),-50)</f>
        <v>-50</v>
      </c>
      <c r="G43">
        <v>2.7</v>
      </c>
      <c r="H43" t="str">
        <f>IF((39*'Pie de rey'!$B$55)&gt;100,"",CHOOSE('Pie de rey'!$B$57,(39*'Pie de rey'!$B$55+'Pie de rey'!$B$63)/10,IF(MOD((39*'Pie de rey'!$B$55+'Pie de rey'!$B$63),40)=0,(39*'Pie de rey'!$B$55+'Pie de rey'!$B$63)/40,MOD((39*'Pie de rey'!$B$55+'Pie de rey'!$B$63)/4,10)),IF(MOD((39*'Pie de rey'!$B$55+'Pie de rey'!$B$63),20)=0,(39*'Pie de rey'!$B$55+'Pie de rey'!$B$63)/20,MOD((39*'Pie de rey'!$B$55+'Pie de rey'!$B$63)/2,10)),(39*'Pie de rey'!$B$55+'Pie de rey'!$B$63)/16)&amp;"")</f>
        <v/>
      </c>
      <c r="P43">
        <f>IF(AND(13&lt;=Micrómetro!$B$52,13&lt;=Micrómetro!$B$43),13,-50)</f>
        <v>13</v>
      </c>
      <c r="Q43">
        <v>0</v>
      </c>
      <c r="S43">
        <f>IF(ABS((((INT(Micrómetro!$B$54)-11+13))-Micrómetro!$B$54)*0.6)&lt;=7.2,Micrómetro!$B$52,-50)</f>
        <v>48.4</v>
      </c>
      <c r="T43">
        <f>IF(ABS((((INT(Micrómetro!$B$54)-11+13))-Micrómetro!$B$54)*0.6)&lt;=7.2,(((INT(Micrómetro!$B$54)-11+13))-Micrómetro!$B$54)*0.6,0)</f>
        <v>1.2</v>
      </c>
      <c r="AN43">
        <f>IF(MOD(13,10)=0,7.9,IF(MOD(13,5)=0,8.5,8.9))*SIN(RADIANS(13*3.6))</f>
        <v>6.4878207840505633</v>
      </c>
      <c r="AO43">
        <f>IF(MOD(13,10)=0,7.9,IF(MOD(13,5)=0,8.5,8.9))*COS(RADIANS(13*3.6))</f>
        <v>6.0924692427653291</v>
      </c>
      <c r="AQ43">
        <f>10.2*SIN(RADIANS(39*3))</f>
        <v>9.0882665467213517</v>
      </c>
      <c r="AR43">
        <f>10.2*COS(RADIANS(39*3))</f>
        <v>-4.6307030973433756</v>
      </c>
      <c r="BA43">
        <f>2.2*SIN(RADIANS(3*9))</f>
        <v>0.99877909942700294</v>
      </c>
      <c r="BB43">
        <f>3.6+2.2*COS(RADIANS(3*9))</f>
        <v>5.5602143532144099</v>
      </c>
      <c r="BH43">
        <f>IF(MOD(13,10)=0,7.9,IF(MOD(13,5)=0,8.5,8.9))*SIN(RADIANS(13*3.6))</f>
        <v>6.4878207840505633</v>
      </c>
      <c r="BI43">
        <f>IF(MOD(13,10)=0,7.9,IF(MOD(13,5)=0,8.5,8.9))*COS(RADIANS(13*3.6))</f>
        <v>6.0924692427653291</v>
      </c>
      <c r="BK43">
        <f>10.2*SIN(RADIANS(39*3))</f>
        <v>9.0882665467213517</v>
      </c>
      <c r="BL43">
        <f>10.2*COS(RADIANS(39*3))</f>
        <v>-4.6307030973433756</v>
      </c>
    </row>
    <row r="44" spans="1:64" x14ac:dyDescent="0.25">
      <c r="A44">
        <v>13</v>
      </c>
      <c r="B44">
        <f>IF(MOD(13,'Pie de rey'!$B$52)=0,2,IF(MOD(13,'Pie de rey'!$B$53)=0,1.5,IF(MOD(13,'Pie de rey'!$B$54)=0,1.1,0.75)))</f>
        <v>0.75</v>
      </c>
      <c r="C44">
        <f>C43</f>
        <v>18.75</v>
      </c>
      <c r="D44">
        <f>IF(MOD(MIN(13,'Pie de rey'!$B$43),'Pie de rey'!$B$56)=0,-1.8,-1.1)</f>
        <v>-1.8</v>
      </c>
      <c r="F44">
        <f>IF((40*'Pie de rey'!$B$55)&lt;=100,(40*'Pie de rey'!$B$55),-50)</f>
        <v>-50</v>
      </c>
      <c r="G44">
        <v>2.7</v>
      </c>
      <c r="H44" t="str">
        <f>IF((40*'Pie de rey'!$B$55)&gt;100,"",CHOOSE('Pie de rey'!$B$57,(40*'Pie de rey'!$B$55+'Pie de rey'!$B$63)/10,IF(MOD((40*'Pie de rey'!$B$55+'Pie de rey'!$B$63),40)=0,(40*'Pie de rey'!$B$55+'Pie de rey'!$B$63)/40,MOD((40*'Pie de rey'!$B$55+'Pie de rey'!$B$63)/4,10)),IF(MOD((40*'Pie de rey'!$B$55+'Pie de rey'!$B$63),20)=0,(40*'Pie de rey'!$B$55+'Pie de rey'!$B$63)/20,MOD((40*'Pie de rey'!$B$55+'Pie de rey'!$B$63)/2,10)),(40*'Pie de rey'!$B$55+'Pie de rey'!$B$63)/16)&amp;"")</f>
        <v/>
      </c>
      <c r="P44">
        <f>IF(AND(13&lt;=Micrómetro!$B$52,13&lt;=Micrómetro!$B$43),13,-50)</f>
        <v>13</v>
      </c>
      <c r="Q44">
        <f>IF(OR(Micrómetro!$B$41=1,MOD(13,2)=0),IF(Micrómetro!$B$41=1,IF(MOD(13,4)=0,1.6,1),IF(MOD(13,10)=0,1.6,1)),-1.1)</f>
        <v>-1.1000000000000001</v>
      </c>
      <c r="S44">
        <f>IF(ABS((((INT(Micrómetro!$B$54)-11+13))-Micrómetro!$B$54)*0.6)&lt;=7.2,Micrómetro!$B$52+IF(MOD((INT(Micrómetro!$B$54)-11+13),5)=0,2,1.2),-50)</f>
        <v>49.6</v>
      </c>
      <c r="T44">
        <f>IF(ABS((((INT(Micrómetro!$B$54)-11+13))-Micrómetro!$B$54)*0.6)&lt;=7.2,(((INT(Micrómetro!$B$54)-11+13))-Micrómetro!$B$54)*0.6,0)</f>
        <v>1.2</v>
      </c>
      <c r="AN44">
        <f>9.6*SIN(RADIANS(13*3.6))</f>
        <v>6.9980988232455505</v>
      </c>
      <c r="AO44">
        <f>9.6*COS(RADIANS(13*3.6))</f>
        <v>6.5716522169154103</v>
      </c>
      <c r="AQ44">
        <f>10.2*SIN(RADIANS(40*3))</f>
        <v>8.8334591186012741</v>
      </c>
      <c r="AR44">
        <f>10.2*COS(RADIANS(40*3))</f>
        <v>-5.099999999999997</v>
      </c>
      <c r="BA44">
        <f>2.2*SIN(RADIANS(4*9))</f>
        <v>1.2931275550434409</v>
      </c>
      <c r="BB44">
        <f>3.6+2.2*COS(RADIANS(4*9))</f>
        <v>5.3798373876248844</v>
      </c>
      <c r="BH44">
        <f>9.6*SIN(RADIANS(13*3.6))</f>
        <v>6.9980988232455505</v>
      </c>
      <c r="BI44">
        <f>9.6*COS(RADIANS(13*3.6))</f>
        <v>6.5716522169154103</v>
      </c>
      <c r="BK44">
        <f>10.2*SIN(RADIANS(40*3))</f>
        <v>8.8334591186012741</v>
      </c>
      <c r="BL44">
        <f>10.2*COS(RADIANS(40*3))</f>
        <v>-5.099999999999997</v>
      </c>
    </row>
    <row r="45" spans="1:64" x14ac:dyDescent="0.25">
      <c r="F45">
        <f>IF((41*'Pie de rey'!$B$55)&lt;=100,(41*'Pie de rey'!$B$55),-50)</f>
        <v>-50</v>
      </c>
      <c r="G45">
        <v>2.7</v>
      </c>
      <c r="H45" t="str">
        <f>IF((41*'Pie de rey'!$B$55)&gt;100,"",CHOOSE('Pie de rey'!$B$57,(41*'Pie de rey'!$B$55+'Pie de rey'!$B$63)/10,IF(MOD((41*'Pie de rey'!$B$55+'Pie de rey'!$B$63),40)=0,(41*'Pie de rey'!$B$55+'Pie de rey'!$B$63)/40,MOD((41*'Pie de rey'!$B$55+'Pie de rey'!$B$63)/4,10)),IF(MOD((41*'Pie de rey'!$B$55+'Pie de rey'!$B$63),20)=0,(41*'Pie de rey'!$B$55+'Pie de rey'!$B$63)/20,MOD((41*'Pie de rey'!$B$55+'Pie de rey'!$B$63)/2,10)),(41*'Pie de rey'!$B$55+'Pie de rey'!$B$63)/16)&amp;"")</f>
        <v/>
      </c>
      <c r="AQ45">
        <f>10.2*SIN(RADIANS(41*3))</f>
        <v>8.5544397930433238</v>
      </c>
      <c r="AR45">
        <f>10.2*COS(RADIANS(41*3))</f>
        <v>-5.5553181571532759</v>
      </c>
      <c r="BA45">
        <f>2.2*SIN(RADIANS(5*9))</f>
        <v>1.5556349186104046</v>
      </c>
      <c r="BB45">
        <f>3.6+2.2*COS(RADIANS(5*9))</f>
        <v>5.1556349186104047</v>
      </c>
      <c r="BK45">
        <f>10.2*SIN(RADIANS(41*3))</f>
        <v>8.5544397930433238</v>
      </c>
      <c r="BL45">
        <f>10.2*COS(RADIANS(41*3))</f>
        <v>-5.5553181571532759</v>
      </c>
    </row>
    <row r="46" spans="1:64" x14ac:dyDescent="0.25">
      <c r="A46">
        <v>14</v>
      </c>
      <c r="B46">
        <v>0</v>
      </c>
      <c r="C46">
        <f>('Pie de rey'!$B$49/'Pie de rey'!$B$42-'Pie de rey'!$B$63)+MIN(14,'Pie de rey'!$B$43)*'Pie de rey'!$B$50</f>
        <v>18.75</v>
      </c>
      <c r="D46">
        <v>0</v>
      </c>
      <c r="F46">
        <f>IF((42*'Pie de rey'!$B$55)&lt;=100,(42*'Pie de rey'!$B$55),-50)</f>
        <v>-50</v>
      </c>
      <c r="G46">
        <v>2.7</v>
      </c>
      <c r="H46" t="str">
        <f>IF((42*'Pie de rey'!$B$55)&gt;100,"",CHOOSE('Pie de rey'!$B$57,(42*'Pie de rey'!$B$55+'Pie de rey'!$B$63)/10,IF(MOD((42*'Pie de rey'!$B$55+'Pie de rey'!$B$63),40)=0,(42*'Pie de rey'!$B$55+'Pie de rey'!$B$63)/40,MOD((42*'Pie de rey'!$B$55+'Pie de rey'!$B$63)/4,10)),IF(MOD((42*'Pie de rey'!$B$55+'Pie de rey'!$B$63),20)=0,(42*'Pie de rey'!$B$55+'Pie de rey'!$B$63)/20,MOD((42*'Pie de rey'!$B$55+'Pie de rey'!$B$63)/2,10)),(42*'Pie de rey'!$B$55+'Pie de rey'!$B$63)/16)&amp;"")</f>
        <v/>
      </c>
      <c r="P46">
        <f>IF(AND(14&lt;=Micrómetro!$B$52,14&lt;=Micrómetro!$B$43),14,-50)</f>
        <v>14</v>
      </c>
      <c r="Q46">
        <v>0</v>
      </c>
      <c r="S46">
        <f>IF(ABS((((INT(Micrómetro!$B$54)-11+14))-Micrómetro!$B$54)*0.6)&lt;=7.2,Micrómetro!$B$52,-50)</f>
        <v>48.4</v>
      </c>
      <c r="T46">
        <f>IF(ABS((((INT(Micrómetro!$B$54)-11+14))-Micrómetro!$B$54)*0.6)&lt;=7.2,(((INT(Micrómetro!$B$54)-11+14))-Micrómetro!$B$54)*0.6,0)</f>
        <v>1.7999999999999998</v>
      </c>
      <c r="AN46">
        <f>IF(MOD(14,10)=0,7.9,IF(MOD(14,5)=0,8.5,8.9))*SIN(RADIANS(14*3.6))</f>
        <v>6.857567860704525</v>
      </c>
      <c r="AO46">
        <f>IF(MOD(14,10)=0,7.9,IF(MOD(14,5)=0,8.5,8.9))*COS(RADIANS(14*3.6))</f>
        <v>5.6730735087633386</v>
      </c>
      <c r="AQ46">
        <f>10.2*SIN(RADIANS(42*3))</f>
        <v>8.2519733426244635</v>
      </c>
      <c r="AR46">
        <f>10.2*COS(RADIANS(42*3))</f>
        <v>-5.9954095733832249</v>
      </c>
      <c r="BA46">
        <f>2.2*SIN(RADIANS(6*9))</f>
        <v>1.7798373876248845</v>
      </c>
      <c r="BB46">
        <f>3.6+2.2*COS(RADIANS(6*9))</f>
        <v>4.8931275550434412</v>
      </c>
      <c r="BH46">
        <f>IF(MOD(14,10)=0,7.9,IF(MOD(14,5)=0,8.5,8.9))*SIN(RADIANS(14*3.6))</f>
        <v>6.857567860704525</v>
      </c>
      <c r="BI46">
        <f>IF(MOD(14,10)=0,7.9,IF(MOD(14,5)=0,8.5,8.9))*COS(RADIANS(14*3.6))</f>
        <v>5.6730735087633386</v>
      </c>
      <c r="BK46">
        <f>10.2*SIN(RADIANS(42*3))</f>
        <v>8.2519733426244635</v>
      </c>
      <c r="BL46">
        <f>10.2*COS(RADIANS(42*3))</f>
        <v>-5.9954095733832249</v>
      </c>
    </row>
    <row r="47" spans="1:64" x14ac:dyDescent="0.25">
      <c r="A47">
        <v>14</v>
      </c>
      <c r="B47">
        <f>IF(MOD(14,'Pie de rey'!$B$52)=0,2,IF(MOD(14,'Pie de rey'!$B$53)=0,1.5,IF(MOD(14,'Pie de rey'!$B$54)=0,1.1,0.75)))</f>
        <v>0.75</v>
      </c>
      <c r="C47">
        <f>C46</f>
        <v>18.75</v>
      </c>
      <c r="D47">
        <f>IF(MOD(MIN(14,'Pie de rey'!$B$43),'Pie de rey'!$B$56)=0,-1.8,-1.1)</f>
        <v>-1.8</v>
      </c>
      <c r="F47">
        <f>IF((43*'Pie de rey'!$B$55)&lt;=100,(43*'Pie de rey'!$B$55),-50)</f>
        <v>-50</v>
      </c>
      <c r="G47">
        <v>2.7</v>
      </c>
      <c r="H47" t="str">
        <f>IF((43*'Pie de rey'!$B$55)&gt;100,"",CHOOSE('Pie de rey'!$B$57,(43*'Pie de rey'!$B$55+'Pie de rey'!$B$63)/10,IF(MOD((43*'Pie de rey'!$B$55+'Pie de rey'!$B$63),40)=0,(43*'Pie de rey'!$B$55+'Pie de rey'!$B$63)/40,MOD((43*'Pie de rey'!$B$55+'Pie de rey'!$B$63)/4,10)),IF(MOD((43*'Pie de rey'!$B$55+'Pie de rey'!$B$63),20)=0,(43*'Pie de rey'!$B$55+'Pie de rey'!$B$63)/20,MOD((43*'Pie de rey'!$B$55+'Pie de rey'!$B$63)/2,10)),(43*'Pie de rey'!$B$55+'Pie de rey'!$B$63)/16)&amp;"")</f>
        <v/>
      </c>
      <c r="P47">
        <f>IF(AND(14&lt;=Micrómetro!$B$52,14&lt;=Micrómetro!$B$43),14,-50)</f>
        <v>14</v>
      </c>
      <c r="Q47">
        <f>IF(OR(Micrómetro!$B$41=1,MOD(14,2)=0),IF(Micrómetro!$B$41=1,IF(MOD(14,4)=0,1.6,1),IF(MOD(14,10)=0,1.6,1)),-1.1)</f>
        <v>1</v>
      </c>
      <c r="S47">
        <f>IF(ABS((((INT(Micrómetro!$B$54)-11+14))-Micrómetro!$B$54)*0.6)&lt;=7.2,Micrómetro!$B$52+IF(MOD((INT(Micrómetro!$B$54)-11+14),5)=0,2,1.2),-50)</f>
        <v>49.6</v>
      </c>
      <c r="T47">
        <f>IF(ABS((((INT(Micrómetro!$B$54)-11+14))-Micrómetro!$B$54)*0.6)&lt;=7.2,(((INT(Micrómetro!$B$54)-11+14))-Micrómetro!$B$54)*0.6,0)</f>
        <v>1.7999999999999998</v>
      </c>
      <c r="AN47">
        <f>9.6*SIN(RADIANS(14*3.6))</f>
        <v>7.3969271306475761</v>
      </c>
      <c r="AO47">
        <f>9.6*COS(RADIANS(14*3.6))</f>
        <v>6.119270301587421</v>
      </c>
      <c r="AQ47">
        <f>10.2*SIN(RADIANS(43*3))</f>
        <v>7.9268888068611041</v>
      </c>
      <c r="AR47">
        <f>10.2*COS(RADIANS(43*3))</f>
        <v>-6.4190679887083402</v>
      </c>
      <c r="BA47">
        <f>2.2*SIN(RADIANS(7*9))</f>
        <v>1.9602143532144094</v>
      </c>
      <c r="BB47">
        <f>3.6+2.2*COS(RADIANS(7*9))</f>
        <v>4.598779099427003</v>
      </c>
      <c r="BH47">
        <f>9.6*SIN(RADIANS(14*3.6))</f>
        <v>7.3969271306475761</v>
      </c>
      <c r="BI47">
        <f>9.6*COS(RADIANS(14*3.6))</f>
        <v>6.119270301587421</v>
      </c>
      <c r="BK47">
        <f>10.2*SIN(RADIANS(43*3))</f>
        <v>7.9268888068611041</v>
      </c>
      <c r="BL47">
        <f>10.2*COS(RADIANS(43*3))</f>
        <v>-6.4190679887083402</v>
      </c>
    </row>
    <row r="48" spans="1:64" x14ac:dyDescent="0.25">
      <c r="F48">
        <f>IF((44*'Pie de rey'!$B$55)&lt;=100,(44*'Pie de rey'!$B$55),-50)</f>
        <v>-50</v>
      </c>
      <c r="G48">
        <v>2.7</v>
      </c>
      <c r="H48" t="str">
        <f>IF((44*'Pie de rey'!$B$55)&gt;100,"",CHOOSE('Pie de rey'!$B$57,(44*'Pie de rey'!$B$55+'Pie de rey'!$B$63)/10,IF(MOD((44*'Pie de rey'!$B$55+'Pie de rey'!$B$63),40)=0,(44*'Pie de rey'!$B$55+'Pie de rey'!$B$63)/40,MOD((44*'Pie de rey'!$B$55+'Pie de rey'!$B$63)/4,10)),IF(MOD((44*'Pie de rey'!$B$55+'Pie de rey'!$B$63),20)=0,(44*'Pie de rey'!$B$55+'Pie de rey'!$B$63)/20,MOD((44*'Pie de rey'!$B$55+'Pie de rey'!$B$63)/2,10)),(44*'Pie de rey'!$B$55+'Pie de rey'!$B$63)/16)&amp;"")</f>
        <v/>
      </c>
      <c r="AQ48">
        <f>10.2*SIN(RADIANS(44*3))</f>
        <v>7.5800772198694206</v>
      </c>
      <c r="AR48">
        <f>10.2*COS(RADIANS(44*3))</f>
        <v>-6.8251321848603537</v>
      </c>
      <c r="BA48">
        <f>2.2*SIN(RADIANS(8*9))</f>
        <v>2.0923243358493377</v>
      </c>
      <c r="BB48">
        <f>3.6+2.2*COS(RADIANS(8*9))</f>
        <v>4.2798373876248847</v>
      </c>
      <c r="BK48">
        <f>10.2*SIN(RADIANS(44*3))</f>
        <v>7.5800772198694206</v>
      </c>
      <c r="BL48">
        <f>10.2*COS(RADIANS(44*3))</f>
        <v>-6.8251321848603537</v>
      </c>
    </row>
    <row r="49" spans="1:64" x14ac:dyDescent="0.25">
      <c r="A49">
        <v>15</v>
      </c>
      <c r="B49">
        <v>0</v>
      </c>
      <c r="C49">
        <f>('Pie de rey'!$B$49/'Pie de rey'!$B$42-'Pie de rey'!$B$63)+MIN(15,'Pie de rey'!$B$43)*'Pie de rey'!$B$50</f>
        <v>18.75</v>
      </c>
      <c r="D49">
        <v>0</v>
      </c>
      <c r="F49">
        <f>IF((45*'Pie de rey'!$B$55)&lt;=100,(45*'Pie de rey'!$B$55),-50)</f>
        <v>-50</v>
      </c>
      <c r="G49">
        <v>2.7</v>
      </c>
      <c r="H49" t="str">
        <f>IF((45*'Pie de rey'!$B$55)&gt;100,"",CHOOSE('Pie de rey'!$B$57,(45*'Pie de rey'!$B$55+'Pie de rey'!$B$63)/10,IF(MOD((45*'Pie de rey'!$B$55+'Pie de rey'!$B$63),40)=0,(45*'Pie de rey'!$B$55+'Pie de rey'!$B$63)/40,MOD((45*'Pie de rey'!$B$55+'Pie de rey'!$B$63)/4,10)),IF(MOD((45*'Pie de rey'!$B$55+'Pie de rey'!$B$63),20)=0,(45*'Pie de rey'!$B$55+'Pie de rey'!$B$63)/20,MOD((45*'Pie de rey'!$B$55+'Pie de rey'!$B$63)/2,10)),(45*'Pie de rey'!$B$55+'Pie de rey'!$B$63)/16)&amp;"")</f>
        <v/>
      </c>
      <c r="P49">
        <f>IF(AND(15&lt;=Micrómetro!$B$52,15&lt;=Micrómetro!$B$43),15,-50)</f>
        <v>15</v>
      </c>
      <c r="Q49">
        <v>0</v>
      </c>
      <c r="S49">
        <f>IF(ABS((((INT(Micrómetro!$B$54)-11+15))-Micrómetro!$B$54)*0.6)&lt;=7.2,Micrómetro!$B$52,-50)</f>
        <v>48.4</v>
      </c>
      <c r="T49">
        <f>IF(ABS((((INT(Micrómetro!$B$54)-11+15))-Micrómetro!$B$54)*0.6)&lt;=7.2,(((INT(Micrómetro!$B$54)-11+15))-Micrómetro!$B$54)*0.6,0)</f>
        <v>2.4</v>
      </c>
      <c r="AN49">
        <f>IF(MOD(15,10)=0,7.9,IF(MOD(15,5)=0,8.5,8.9))*SIN(RADIANS(15*3.6))</f>
        <v>6.8766444521870529</v>
      </c>
      <c r="AO49">
        <f>IF(MOD(15,10)=0,7.9,IF(MOD(15,5)=0,8.5,8.9))*COS(RADIANS(15*3.6))</f>
        <v>4.9961746444860218</v>
      </c>
      <c r="AQ49">
        <f>10.2*SIN(RADIANS(45*3))</f>
        <v>7.2124891681027847</v>
      </c>
      <c r="AR49">
        <f>10.2*COS(RADIANS(45*3))</f>
        <v>-7.2124891681027838</v>
      </c>
      <c r="BA49">
        <f>2.2*SIN(RADIANS(9*9))</f>
        <v>2.1729143493093033</v>
      </c>
      <c r="BB49">
        <f>3.6+2.2*COS(RADIANS(9*9))</f>
        <v>3.9441558230885083</v>
      </c>
      <c r="BH49">
        <f>IF(MOD(15,10)=0,7.9,IF(MOD(15,5)=0,8.5,8.9))*SIN(RADIANS(15*3.6))</f>
        <v>6.8766444521870529</v>
      </c>
      <c r="BI49">
        <f>IF(MOD(15,10)=0,7.9,IF(MOD(15,5)=0,8.5,8.9))*COS(RADIANS(15*3.6))</f>
        <v>4.9961746444860218</v>
      </c>
      <c r="BK49">
        <f>10.2*SIN(RADIANS(45*3))</f>
        <v>7.2124891681027847</v>
      </c>
      <c r="BL49">
        <f>10.2*COS(RADIANS(45*3))</f>
        <v>-7.2124891681027838</v>
      </c>
    </row>
    <row r="50" spans="1:64" x14ac:dyDescent="0.25">
      <c r="A50">
        <v>15</v>
      </c>
      <c r="B50">
        <f>IF(MOD(15,'Pie de rey'!$B$52)=0,2,IF(MOD(15,'Pie de rey'!$B$53)=0,1.5,IF(MOD(15,'Pie de rey'!$B$54)=0,1.1,0.75)))</f>
        <v>0.75</v>
      </c>
      <c r="C50">
        <f>C49</f>
        <v>18.75</v>
      </c>
      <c r="D50">
        <f>IF(MOD(MIN(15,'Pie de rey'!$B$43),'Pie de rey'!$B$56)=0,-1.8,-1.1)</f>
        <v>-1.8</v>
      </c>
      <c r="F50">
        <f>IF((46*'Pie de rey'!$B$55)&lt;=100,(46*'Pie de rey'!$B$55),-50)</f>
        <v>-50</v>
      </c>
      <c r="G50">
        <v>2.7</v>
      </c>
      <c r="H50" t="str">
        <f>IF((46*'Pie de rey'!$B$55)&gt;100,"",CHOOSE('Pie de rey'!$B$57,(46*'Pie de rey'!$B$55+'Pie de rey'!$B$63)/10,IF(MOD((46*'Pie de rey'!$B$55+'Pie de rey'!$B$63),40)=0,(46*'Pie de rey'!$B$55+'Pie de rey'!$B$63)/40,MOD((46*'Pie de rey'!$B$55+'Pie de rey'!$B$63)/4,10)),IF(MOD((46*'Pie de rey'!$B$55+'Pie de rey'!$B$63),20)=0,(46*'Pie de rey'!$B$55+'Pie de rey'!$B$63)/20,MOD((46*'Pie de rey'!$B$55+'Pie de rey'!$B$63)/2,10)),(46*'Pie de rey'!$B$55+'Pie de rey'!$B$63)/16)&amp;"")</f>
        <v/>
      </c>
      <c r="P50">
        <f>IF(AND(15&lt;=Micrómetro!$B$52,15&lt;=Micrómetro!$B$43),15,-50)</f>
        <v>15</v>
      </c>
      <c r="Q50">
        <f>IF(OR(Micrómetro!$B$41=1,MOD(15,2)=0),IF(Micrómetro!$B$41=1,IF(MOD(15,4)=0,1.6,1),IF(MOD(15,10)=0,1.6,1)),-1.1)</f>
        <v>-1.1000000000000001</v>
      </c>
      <c r="S50">
        <f>IF(ABS((((INT(Micrómetro!$B$54)-11+15))-Micrómetro!$B$54)*0.6)&lt;=7.2,Micrómetro!$B$52+IF(MOD((INT(Micrómetro!$B$54)-11+15),5)=0,2,1.2),-50)</f>
        <v>49.6</v>
      </c>
      <c r="T50">
        <f>IF(ABS((((INT(Micrómetro!$B$54)-11+15))-Micrómetro!$B$54)*0.6)&lt;=7.2,(((INT(Micrómetro!$B$54)-11+15))-Micrómetro!$B$54)*0.6,0)</f>
        <v>2.4</v>
      </c>
      <c r="AN50">
        <f>9.6*SIN(RADIANS(15*3.6))</f>
        <v>7.7665631459994948</v>
      </c>
      <c r="AO50">
        <f>9.6*COS(RADIANS(15*3.6))</f>
        <v>5.6427384220077421</v>
      </c>
      <c r="AQ50">
        <f>10.2*SIN(RADIANS(46*3))</f>
        <v>6.8251321848603546</v>
      </c>
      <c r="AR50">
        <f>10.2*COS(RADIANS(46*3))</f>
        <v>-7.5800772198694188</v>
      </c>
      <c r="BA50">
        <f>2.2*SIN(RADIANS(10*9))</f>
        <v>2.2000000000000002</v>
      </c>
      <c r="BB50">
        <f>3.6+2.2*COS(RADIANS(10*9))</f>
        <v>3.6</v>
      </c>
      <c r="BH50">
        <f>9.6*SIN(RADIANS(15*3.6))</f>
        <v>7.7665631459994948</v>
      </c>
      <c r="BI50">
        <f>9.6*COS(RADIANS(15*3.6))</f>
        <v>5.6427384220077421</v>
      </c>
      <c r="BK50">
        <f>10.2*SIN(RADIANS(46*3))</f>
        <v>6.8251321848603546</v>
      </c>
      <c r="BL50">
        <f>10.2*COS(RADIANS(46*3))</f>
        <v>-7.5800772198694188</v>
      </c>
    </row>
    <row r="51" spans="1:64" x14ac:dyDescent="0.25">
      <c r="F51">
        <f>IF((47*'Pie de rey'!$B$55)&lt;=100,(47*'Pie de rey'!$B$55),-50)</f>
        <v>-50</v>
      </c>
      <c r="G51">
        <v>2.7</v>
      </c>
      <c r="H51" t="str">
        <f>IF((47*'Pie de rey'!$B$55)&gt;100,"",CHOOSE('Pie de rey'!$B$57,(47*'Pie de rey'!$B$55+'Pie de rey'!$B$63)/10,IF(MOD((47*'Pie de rey'!$B$55+'Pie de rey'!$B$63),40)=0,(47*'Pie de rey'!$B$55+'Pie de rey'!$B$63)/40,MOD((47*'Pie de rey'!$B$55+'Pie de rey'!$B$63)/4,10)),IF(MOD((47*'Pie de rey'!$B$55+'Pie de rey'!$B$63),20)=0,(47*'Pie de rey'!$B$55+'Pie de rey'!$B$63)/20,MOD((47*'Pie de rey'!$B$55+'Pie de rey'!$B$63)/2,10)),(47*'Pie de rey'!$B$55+'Pie de rey'!$B$63)/16)&amp;"")</f>
        <v/>
      </c>
      <c r="AQ51">
        <f>10.2*SIN(RADIANS(47*3))</f>
        <v>6.4190679887083411</v>
      </c>
      <c r="AR51">
        <f>10.2*COS(RADIANS(47*3))</f>
        <v>-7.9268888068611023</v>
      </c>
      <c r="BA51">
        <f>2.2*SIN(RADIANS(11*9))</f>
        <v>2.1729143493093033</v>
      </c>
      <c r="BB51">
        <f>3.6+2.2*COS(RADIANS(11*9))</f>
        <v>3.2558441769114923</v>
      </c>
      <c r="BK51">
        <f>10.2*SIN(RADIANS(47*3))</f>
        <v>6.4190679887083411</v>
      </c>
      <c r="BL51">
        <f>10.2*COS(RADIANS(47*3))</f>
        <v>-7.9268888068611023</v>
      </c>
    </row>
    <row r="52" spans="1:64" x14ac:dyDescent="0.25">
      <c r="A52">
        <v>16</v>
      </c>
      <c r="B52">
        <v>0</v>
      </c>
      <c r="C52">
        <f>('Pie de rey'!$B$49/'Pie de rey'!$B$42-'Pie de rey'!$B$63)+MIN(16,'Pie de rey'!$B$43)*'Pie de rey'!$B$50</f>
        <v>18.75</v>
      </c>
      <c r="D52">
        <v>0</v>
      </c>
      <c r="F52">
        <f>IF((48*'Pie de rey'!$B$55)&lt;=100,(48*'Pie de rey'!$B$55),-50)</f>
        <v>-50</v>
      </c>
      <c r="G52">
        <v>2.7</v>
      </c>
      <c r="H52" t="str">
        <f>IF((48*'Pie de rey'!$B$55)&gt;100,"",CHOOSE('Pie de rey'!$B$57,(48*'Pie de rey'!$B$55+'Pie de rey'!$B$63)/10,IF(MOD((48*'Pie de rey'!$B$55+'Pie de rey'!$B$63),40)=0,(48*'Pie de rey'!$B$55+'Pie de rey'!$B$63)/40,MOD((48*'Pie de rey'!$B$55+'Pie de rey'!$B$63)/4,10)),IF(MOD((48*'Pie de rey'!$B$55+'Pie de rey'!$B$63),20)=0,(48*'Pie de rey'!$B$55+'Pie de rey'!$B$63)/20,MOD((48*'Pie de rey'!$B$55+'Pie de rey'!$B$63)/2,10)),(48*'Pie de rey'!$B$55+'Pie de rey'!$B$63)/16)&amp;"")</f>
        <v/>
      </c>
      <c r="P52">
        <f>IF(AND(16&lt;=Micrómetro!$B$52,16&lt;=Micrómetro!$B$43),16,-50)</f>
        <v>16</v>
      </c>
      <c r="Q52">
        <v>0</v>
      </c>
      <c r="S52">
        <f>IF(ABS((((INT(Micrómetro!$B$54)-11+16))-Micrómetro!$B$54)*0.6)&lt;=7.2,Micrómetro!$B$52,-50)</f>
        <v>48.4</v>
      </c>
      <c r="T52">
        <f>IF(ABS((((INT(Micrómetro!$B$54)-11+16))-Micrómetro!$B$54)*0.6)&lt;=7.2,(((INT(Micrómetro!$B$54)-11+16))-Micrómetro!$B$54)*0.6,0)</f>
        <v>3</v>
      </c>
      <c r="AN52">
        <f>IF(MOD(16,10)=0,7.9,IF(MOD(16,5)=0,8.5,8.9))*SIN(RADIANS(16*3.6))</f>
        <v>7.5145185369679348</v>
      </c>
      <c r="AO52">
        <f>IF(MOD(16,10)=0,7.9,IF(MOD(16,5)=0,8.5,8.9))*COS(RADIANS(16*3.6))</f>
        <v>4.7688584753130696</v>
      </c>
      <c r="AQ52">
        <f>10.2*SIN(RADIANS(48*3))</f>
        <v>5.9954095733832267</v>
      </c>
      <c r="AR52">
        <f>10.2*COS(RADIANS(48*3))</f>
        <v>-8.2519733426244617</v>
      </c>
      <c r="BA52">
        <f>2.2*SIN(RADIANS(12*9))</f>
        <v>2.0923243358493382</v>
      </c>
      <c r="BB52">
        <f>3.6+2.2*COS(RADIANS(12*9))</f>
        <v>2.9201626123751159</v>
      </c>
      <c r="BH52">
        <f>IF(MOD(16,10)=0,7.9,IF(MOD(16,5)=0,8.5,8.9))*SIN(RADIANS(16*3.6))</f>
        <v>7.5145185369679348</v>
      </c>
      <c r="BI52">
        <f>IF(MOD(16,10)=0,7.9,IF(MOD(16,5)=0,8.5,8.9))*COS(RADIANS(16*3.6))</f>
        <v>4.7688584753130696</v>
      </c>
      <c r="BK52">
        <f>10.2*SIN(RADIANS(48*3))</f>
        <v>5.9954095733832267</v>
      </c>
      <c r="BL52">
        <f>10.2*COS(RADIANS(48*3))</f>
        <v>-8.2519733426244617</v>
      </c>
    </row>
    <row r="53" spans="1:64" x14ac:dyDescent="0.25">
      <c r="A53">
        <v>16</v>
      </c>
      <c r="B53">
        <f>IF(MOD(16,'Pie de rey'!$B$52)=0,2,IF(MOD(16,'Pie de rey'!$B$53)=0,1.5,IF(MOD(16,'Pie de rey'!$B$54)=0,1.1,0.75)))</f>
        <v>2</v>
      </c>
      <c r="C53">
        <f>C52</f>
        <v>18.75</v>
      </c>
      <c r="D53">
        <f>IF(MOD(MIN(16,'Pie de rey'!$B$43),'Pie de rey'!$B$56)=0,-1.8,-1.1)</f>
        <v>-1.8</v>
      </c>
      <c r="F53">
        <f>IF((49*'Pie de rey'!$B$55)&lt;=100,(49*'Pie de rey'!$B$55),-50)</f>
        <v>-50</v>
      </c>
      <c r="G53">
        <v>2.7</v>
      </c>
      <c r="H53" t="str">
        <f>IF((49*'Pie de rey'!$B$55)&gt;100,"",CHOOSE('Pie de rey'!$B$57,(49*'Pie de rey'!$B$55+'Pie de rey'!$B$63)/10,IF(MOD((49*'Pie de rey'!$B$55+'Pie de rey'!$B$63),40)=0,(49*'Pie de rey'!$B$55+'Pie de rey'!$B$63)/40,MOD((49*'Pie de rey'!$B$55+'Pie de rey'!$B$63)/4,10)),IF(MOD((49*'Pie de rey'!$B$55+'Pie de rey'!$B$63),20)=0,(49*'Pie de rey'!$B$55+'Pie de rey'!$B$63)/20,MOD((49*'Pie de rey'!$B$55+'Pie de rey'!$B$63)/2,10)),(49*'Pie de rey'!$B$55+'Pie de rey'!$B$63)/16)&amp;"")</f>
        <v/>
      </c>
      <c r="P53">
        <f>IF(AND(16&lt;=Micrómetro!$B$52,16&lt;=Micrómetro!$B$43),16,-50)</f>
        <v>16</v>
      </c>
      <c r="Q53">
        <f>IF(OR(Micrómetro!$B$41=1,MOD(16,2)=0),IF(Micrómetro!$B$41=1,IF(MOD(16,4)=0,1.6,1),IF(MOD(16,10)=0,1.6,1)),-1.1)</f>
        <v>1</v>
      </c>
      <c r="S53">
        <f>IF(ABS((((INT(Micrómetro!$B$54)-11+16))-Micrómetro!$B$54)*0.6)&lt;=7.2,Micrómetro!$B$52+IF(MOD((INT(Micrómetro!$B$54)-11+16),5)=0,2,1.2),-50)</f>
        <v>50.4</v>
      </c>
      <c r="T53">
        <f>IF(ABS((((INT(Micrómetro!$B$54)-11+16))-Micrómetro!$B$54)*0.6)&lt;=7.2,(((INT(Micrómetro!$B$54)-11+16))-Micrómetro!$B$54)*0.6,0)</f>
        <v>3</v>
      </c>
      <c r="AN53">
        <f>9.6*SIN(RADIANS(16*3.6))</f>
        <v>8.1055480848193451</v>
      </c>
      <c r="AO53">
        <f>9.6*COS(RADIANS(16*3.6))</f>
        <v>5.1439372317983665</v>
      </c>
      <c r="AQ53">
        <f>10.2*SIN(RADIANS(49*3))</f>
        <v>5.5553181571532777</v>
      </c>
      <c r="AR53">
        <f>10.2*COS(RADIANS(49*3))</f>
        <v>-8.5544397930433238</v>
      </c>
      <c r="BA53">
        <f>2.2*SIN(RADIANS(13*9))</f>
        <v>1.9602143532144096</v>
      </c>
      <c r="BB53">
        <f>3.6+2.2*COS(RADIANS(13*9))</f>
        <v>2.6012209005729972</v>
      </c>
      <c r="BH53">
        <f>9.6*SIN(RADIANS(16*3.6))</f>
        <v>8.1055480848193451</v>
      </c>
      <c r="BI53">
        <f>9.6*COS(RADIANS(16*3.6))</f>
        <v>5.1439372317983665</v>
      </c>
      <c r="BK53">
        <f>10.2*SIN(RADIANS(49*3))</f>
        <v>5.5553181571532777</v>
      </c>
      <c r="BL53">
        <f>10.2*COS(RADIANS(49*3))</f>
        <v>-8.5544397930433238</v>
      </c>
    </row>
    <row r="54" spans="1:64" x14ac:dyDescent="0.25">
      <c r="F54">
        <f>IF((50*'Pie de rey'!$B$55)&lt;=100,(50*'Pie de rey'!$B$55),-50)</f>
        <v>-50</v>
      </c>
      <c r="G54">
        <v>2.7</v>
      </c>
      <c r="H54" t="str">
        <f>IF((50*'Pie de rey'!$B$55)&gt;100,"",CHOOSE('Pie de rey'!$B$57,(50*'Pie de rey'!$B$55+'Pie de rey'!$B$63)/10,IF(MOD((50*'Pie de rey'!$B$55+'Pie de rey'!$B$63),40)=0,(50*'Pie de rey'!$B$55+'Pie de rey'!$B$63)/40,MOD((50*'Pie de rey'!$B$55+'Pie de rey'!$B$63)/4,10)),IF(MOD((50*'Pie de rey'!$B$55+'Pie de rey'!$B$63),20)=0,(50*'Pie de rey'!$B$55+'Pie de rey'!$B$63)/20,MOD((50*'Pie de rey'!$B$55+'Pie de rey'!$B$63)/2,10)),(50*'Pie de rey'!$B$55+'Pie de rey'!$B$63)/16)&amp;"")</f>
        <v/>
      </c>
      <c r="AQ54">
        <f>10.2*SIN(RADIANS(50*3))</f>
        <v>5.0999999999999988</v>
      </c>
      <c r="AR54">
        <f>10.2*COS(RADIANS(50*3))</f>
        <v>-8.8334591186012741</v>
      </c>
      <c r="BA54">
        <f>2.2*SIN(RADIANS(14*9))</f>
        <v>1.7798373876248845</v>
      </c>
      <c r="BB54">
        <f>3.6+2.2*COS(RADIANS(14*9))</f>
        <v>2.3068724449565594</v>
      </c>
      <c r="BK54">
        <f>10.2*SIN(RADIANS(50*3))</f>
        <v>5.0999999999999988</v>
      </c>
      <c r="BL54">
        <f>10.2*COS(RADIANS(50*3))</f>
        <v>-8.8334591186012741</v>
      </c>
    </row>
    <row r="55" spans="1:64" x14ac:dyDescent="0.25">
      <c r="A55">
        <v>17</v>
      </c>
      <c r="B55">
        <v>0</v>
      </c>
      <c r="C55">
        <f>('Pie de rey'!$B$49/'Pie de rey'!$B$42-'Pie de rey'!$B$63)+MIN(17,'Pie de rey'!$B$43)*'Pie de rey'!$B$50</f>
        <v>18.75</v>
      </c>
      <c r="D55">
        <v>0</v>
      </c>
      <c r="P55">
        <f>IF(AND(17&lt;=Micrómetro!$B$52,17&lt;=Micrómetro!$B$43),17,-50)</f>
        <v>17</v>
      </c>
      <c r="Q55">
        <v>0</v>
      </c>
      <c r="S55">
        <f>IF(ABS((((INT(Micrómetro!$B$54)-11+17))-Micrómetro!$B$54)*0.6)&lt;=7.2,Micrómetro!$B$52,-50)</f>
        <v>48.4</v>
      </c>
      <c r="T55">
        <f>IF(ABS((((INT(Micrómetro!$B$54)-11+17))-Micrómetro!$B$54)*0.6)&lt;=7.2,(((INT(Micrómetro!$B$54)-11+17))-Micrómetro!$B$54)*0.6,0)</f>
        <v>3.5999999999999996</v>
      </c>
      <c r="AN55">
        <f>IF(MOD(17,10)=0,7.9,IF(MOD(17,5)=0,8.5,8.9))*SIN(RADIANS(17*3.6))</f>
        <v>7.7991294523903871</v>
      </c>
      <c r="AO55">
        <f>IF(MOD(17,10)=0,7.9,IF(MOD(17,5)=0,8.5,8.9))*COS(RADIANS(17*3.6))</f>
        <v>4.2876076995052648</v>
      </c>
      <c r="AQ55">
        <f>10.2*SIN(RADIANS(51*3))</f>
        <v>4.6307030973433774</v>
      </c>
      <c r="AR55">
        <f>10.2*COS(RADIANS(51*3))</f>
        <v>-9.0882665467213499</v>
      </c>
      <c r="BA55">
        <f>2.2*SIN(RADIANS(15*9))</f>
        <v>1.5556349186104048</v>
      </c>
      <c r="BB55">
        <f>3.6+2.2*COS(RADIANS(15*9))</f>
        <v>2.0443650813895955</v>
      </c>
      <c r="BH55">
        <f>IF(MOD(17,10)=0,7.9,IF(MOD(17,5)=0,8.5,8.9))*SIN(RADIANS(17*3.6))</f>
        <v>7.7991294523903871</v>
      </c>
      <c r="BI55">
        <f>IF(MOD(17,10)=0,7.9,IF(MOD(17,5)=0,8.5,8.9))*COS(RADIANS(17*3.6))</f>
        <v>4.2876076995052648</v>
      </c>
      <c r="BK55">
        <f>10.2*SIN(RADIANS(51*3))</f>
        <v>4.6307030973433774</v>
      </c>
      <c r="BL55">
        <f>10.2*COS(RADIANS(51*3))</f>
        <v>-9.0882665467213499</v>
      </c>
    </row>
    <row r="56" spans="1:64" x14ac:dyDescent="0.25">
      <c r="A56">
        <v>17</v>
      </c>
      <c r="B56">
        <f>IF(MOD(17,'Pie de rey'!$B$52)=0,2,IF(MOD(17,'Pie de rey'!$B$53)=0,1.5,IF(MOD(17,'Pie de rey'!$B$54)=0,1.1,0.75)))</f>
        <v>0.75</v>
      </c>
      <c r="C56">
        <f>C55</f>
        <v>18.75</v>
      </c>
      <c r="D56">
        <f>IF(MOD(MIN(17,'Pie de rey'!$B$43),'Pie de rey'!$B$56)=0,-1.8,-1.1)</f>
        <v>-1.8</v>
      </c>
      <c r="P56">
        <f>IF(AND(17&lt;=Micrómetro!$B$52,17&lt;=Micrómetro!$B$43),17,-50)</f>
        <v>17</v>
      </c>
      <c r="Q56">
        <f>IF(OR(Micrómetro!$B$41=1,MOD(17,2)=0),IF(Micrómetro!$B$41=1,IF(MOD(17,4)=0,1.6,1),IF(MOD(17,10)=0,1.6,1)),-1.1)</f>
        <v>-1.1000000000000001</v>
      </c>
      <c r="S56">
        <f>IF(ABS((((INT(Micrómetro!$B$54)-11+17))-Micrómetro!$B$54)*0.6)&lt;=7.2,Micrómetro!$B$52+IF(MOD((INT(Micrómetro!$B$54)-11+17),5)=0,2,1.2),-50)</f>
        <v>49.6</v>
      </c>
      <c r="T56">
        <f>IF(ABS((((INT(Micrómetro!$B$54)-11+17))-Micrómetro!$B$54)*0.6)&lt;=7.2,(((INT(Micrómetro!$B$54)-11+17))-Micrómetro!$B$54)*0.6,0)</f>
        <v>3.5999999999999996</v>
      </c>
      <c r="AN56">
        <f>9.6*SIN(RADIANS(17*3.6))</f>
        <v>8.4125441284210911</v>
      </c>
      <c r="AO56">
        <f>9.6*COS(RADIANS(17*3.6))</f>
        <v>4.6248352713764653</v>
      </c>
      <c r="AQ56">
        <f>10.2*SIN(RADIANS(52*3))</f>
        <v>4.1487137593731642</v>
      </c>
      <c r="AR56">
        <f>10.2*COS(RADIANS(52*3))</f>
        <v>-9.3181636679545274</v>
      </c>
      <c r="BA56">
        <f>2.2*SIN(RADIANS(16*9))</f>
        <v>1.2931275550434413</v>
      </c>
      <c r="BB56">
        <f>3.6+2.2*COS(RADIANS(16*9))</f>
        <v>1.8201626123751158</v>
      </c>
      <c r="BH56">
        <f>9.6*SIN(RADIANS(17*3.6))</f>
        <v>8.4125441284210911</v>
      </c>
      <c r="BI56">
        <f>9.6*COS(RADIANS(17*3.6))</f>
        <v>4.6248352713764653</v>
      </c>
      <c r="BK56">
        <f>10.2*SIN(RADIANS(52*3))</f>
        <v>4.1487137593731642</v>
      </c>
      <c r="BL56">
        <f>10.2*COS(RADIANS(52*3))</f>
        <v>-9.3181636679545274</v>
      </c>
    </row>
    <row r="57" spans="1:64" x14ac:dyDescent="0.25">
      <c r="AQ57">
        <f>10.2*SIN(RADIANS(53*3))</f>
        <v>3.6553530853620617</v>
      </c>
      <c r="AR57">
        <f>10.2*COS(RADIANS(53*3))</f>
        <v>-9.5225203502714564</v>
      </c>
      <c r="BA57">
        <f>2.2*SIN(RADIANS(17*9))</f>
        <v>0.99877909942700316</v>
      </c>
      <c r="BB57">
        <f>3.6+2.2*COS(RADIANS(17*9))</f>
        <v>1.6397856467855907</v>
      </c>
      <c r="BK57">
        <f>10.2*SIN(RADIANS(53*3))</f>
        <v>3.6553530853620617</v>
      </c>
      <c r="BL57">
        <f>10.2*COS(RADIANS(53*3))</f>
        <v>-9.5225203502714564</v>
      </c>
    </row>
    <row r="58" spans="1:64" x14ac:dyDescent="0.25">
      <c r="A58">
        <v>18</v>
      </c>
      <c r="B58">
        <v>0</v>
      </c>
      <c r="C58">
        <f>('Pie de rey'!$B$49/'Pie de rey'!$B$42-'Pie de rey'!$B$63)+MIN(18,'Pie de rey'!$B$43)*'Pie de rey'!$B$50</f>
        <v>18.75</v>
      </c>
      <c r="D58">
        <v>0</v>
      </c>
      <c r="P58">
        <f>IF(AND(18&lt;=Micrómetro!$B$52,18&lt;=Micrómetro!$B$43),18,-50)</f>
        <v>18</v>
      </c>
      <c r="Q58">
        <v>0</v>
      </c>
      <c r="S58">
        <f>IF(ABS((((INT(Micrómetro!$B$54)-11+18))-Micrómetro!$B$54)*0.6)&lt;=7.2,Micrómetro!$B$52,-50)</f>
        <v>48.4</v>
      </c>
      <c r="T58">
        <f>IF(ABS((((INT(Micrómetro!$B$54)-11+18))-Micrómetro!$B$54)*0.6)&lt;=7.2,(((INT(Micrómetro!$B$54)-11+18))-Micrómetro!$B$54)*0.6,0)</f>
        <v>4.2</v>
      </c>
      <c r="AN58">
        <f>IF(MOD(18,10)=0,7.9,IF(MOD(18,5)=0,8.5,8.9))*SIN(RADIANS(18*3.6))</f>
        <v>8.0529607669475745</v>
      </c>
      <c r="AO58">
        <f>IF(MOD(18,10)=0,7.9,IF(MOD(18,5)=0,8.5,8.9))*COS(RADIANS(18*3.6))</f>
        <v>3.7894356949291468</v>
      </c>
      <c r="AQ58">
        <f>10.2*SIN(RADIANS(54*3))</f>
        <v>3.1519733426244643</v>
      </c>
      <c r="AR58">
        <f>10.2*COS(RADIANS(54*3))</f>
        <v>-9.7007764662105647</v>
      </c>
      <c r="BA58">
        <f>2.2*SIN(RADIANS(18*9))</f>
        <v>0.67983738762488455</v>
      </c>
      <c r="BB58">
        <f>3.6+2.2*COS(RADIANS(18*9))</f>
        <v>1.5076756641506623</v>
      </c>
      <c r="BH58">
        <f>IF(MOD(18,10)=0,7.9,IF(MOD(18,5)=0,8.5,8.9))*SIN(RADIANS(18*3.6))</f>
        <v>8.0529607669475745</v>
      </c>
      <c r="BI58">
        <f>IF(MOD(18,10)=0,7.9,IF(MOD(18,5)=0,8.5,8.9))*COS(RADIANS(18*3.6))</f>
        <v>3.7894356949291468</v>
      </c>
      <c r="BK58">
        <f>10.2*SIN(RADIANS(54*3))</f>
        <v>3.1519733426244643</v>
      </c>
      <c r="BL58">
        <f>10.2*COS(RADIANS(54*3))</f>
        <v>-9.7007764662105647</v>
      </c>
    </row>
    <row r="59" spans="1:64" x14ac:dyDescent="0.25">
      <c r="A59">
        <v>18</v>
      </c>
      <c r="B59">
        <f>IF(MOD(18,'Pie de rey'!$B$52)=0,2,IF(MOD(18,'Pie de rey'!$B$53)=0,1.5,IF(MOD(18,'Pie de rey'!$B$54)=0,1.1,0.75)))</f>
        <v>0.75</v>
      </c>
      <c r="C59">
        <f>C58</f>
        <v>18.75</v>
      </c>
      <c r="D59">
        <f>IF(MOD(MIN(18,'Pie de rey'!$B$43),'Pie de rey'!$B$56)=0,-1.8,-1.1)</f>
        <v>-1.8</v>
      </c>
      <c r="P59">
        <f>IF(AND(18&lt;=Micrómetro!$B$52,18&lt;=Micrómetro!$B$43),18,-50)</f>
        <v>18</v>
      </c>
      <c r="Q59">
        <f>IF(OR(Micrómetro!$B$41=1,MOD(18,2)=0),IF(Micrómetro!$B$41=1,IF(MOD(18,4)=0,1.6,1),IF(MOD(18,10)=0,1.6,1)),-1.1)</f>
        <v>1</v>
      </c>
      <c r="S59">
        <f>IF(ABS((((INT(Micrómetro!$B$54)-11+18))-Micrómetro!$B$54)*0.6)&lt;=7.2,Micrómetro!$B$52+IF(MOD((INT(Micrómetro!$B$54)-11+18),5)=0,2,1.2),-50)</f>
        <v>49.6</v>
      </c>
      <c r="T59">
        <f>IF(ABS((((INT(Micrómetro!$B$54)-11+18))-Micrómetro!$B$54)*0.6)&lt;=7.2,(((INT(Micrómetro!$B$54)-11+18))-Micrómetro!$B$54)*0.6,0)</f>
        <v>4.2</v>
      </c>
      <c r="AN59">
        <f>9.6*SIN(RADIANS(18*3.6))</f>
        <v>8.6863397036737879</v>
      </c>
      <c r="AO59">
        <f>9.6*COS(RADIANS(18*3.6))</f>
        <v>4.0874811990246975</v>
      </c>
      <c r="AQ59">
        <f>10.2*SIN(RADIANS(55*3))</f>
        <v>2.6399542600457142</v>
      </c>
      <c r="AR59">
        <f>10.2*COS(RADIANS(55*3))</f>
        <v>-9.8524434281484954</v>
      </c>
      <c r="BA59">
        <f>2.2*SIN(RADIANS(19*9))</f>
        <v>0.34415582308850817</v>
      </c>
      <c r="BB59">
        <f>3.6+2.2*COS(RADIANS(19*9))</f>
        <v>1.4270856506906973</v>
      </c>
      <c r="BH59">
        <f>9.6*SIN(RADIANS(18*3.6))</f>
        <v>8.6863397036737879</v>
      </c>
      <c r="BI59">
        <f>9.6*COS(RADIANS(18*3.6))</f>
        <v>4.0874811990246975</v>
      </c>
      <c r="BK59">
        <f>10.2*SIN(RADIANS(55*3))</f>
        <v>2.6399542600457142</v>
      </c>
      <c r="BL59">
        <f>10.2*COS(RADIANS(55*3))</f>
        <v>-9.8524434281484954</v>
      </c>
    </row>
    <row r="60" spans="1:64" x14ac:dyDescent="0.25">
      <c r="AQ60">
        <f>10.2*SIN(RADIANS(56*3))</f>
        <v>2.1206992463411449</v>
      </c>
      <c r="AR60">
        <f>10.2*COS(RADIANS(56*3))</f>
        <v>-9.9771055274848166</v>
      </c>
      <c r="BA60">
        <f>2.2*SIN(RADIANS(20*9))</f>
        <v>2.695326600798964E-16</v>
      </c>
      <c r="BB60">
        <f>3.6+2.2*COS(RADIANS(20*9))</f>
        <v>1.4</v>
      </c>
      <c r="BK60">
        <f>10.2*SIN(RADIANS(56*3))</f>
        <v>2.1206992463411449</v>
      </c>
      <c r="BL60">
        <f>10.2*COS(RADIANS(56*3))</f>
        <v>-9.9771055274848166</v>
      </c>
    </row>
    <row r="61" spans="1:64" x14ac:dyDescent="0.25">
      <c r="A61">
        <v>19</v>
      </c>
      <c r="B61">
        <v>0</v>
      </c>
      <c r="C61">
        <f>('Pie de rey'!$B$49/'Pie de rey'!$B$42-'Pie de rey'!$B$63)+MIN(19,'Pie de rey'!$B$43)*'Pie de rey'!$B$50</f>
        <v>18.75</v>
      </c>
      <c r="D61">
        <v>0</v>
      </c>
      <c r="P61">
        <f>IF(AND(19&lt;=Micrómetro!$B$52,19&lt;=Micrómetro!$B$43),19,-50)</f>
        <v>19</v>
      </c>
      <c r="Q61">
        <v>0</v>
      </c>
      <c r="S61">
        <f>IF(ABS((((INT(Micrómetro!$B$54)-11+19))-Micrómetro!$B$54)*0.6)&lt;=7.2,Micrómetro!$B$52,-50)</f>
        <v>48.4</v>
      </c>
      <c r="T61">
        <f>IF(ABS((((INT(Micrómetro!$B$54)-11+19))-Micrómetro!$B$54)*0.6)&lt;=7.2,(((INT(Micrómetro!$B$54)-11+19))-Micrómetro!$B$54)*0.6,0)</f>
        <v>4.8</v>
      </c>
      <c r="AN61">
        <f>IF(MOD(19,10)=0,7.9,IF(MOD(19,5)=0,8.5,8.9))*SIN(RADIANS(19*3.6))</f>
        <v>8.2750107244054387</v>
      </c>
      <c r="AO61">
        <f>IF(MOD(19,10)=0,7.9,IF(MOD(19,5)=0,8.5,8.9))*COS(RADIANS(19*3.6))</f>
        <v>3.2763085188936332</v>
      </c>
      <c r="AQ61">
        <f>10.2*SIN(RADIANS(57*3))</f>
        <v>1.5956315434103558</v>
      </c>
      <c r="AR61">
        <f>10.2*COS(RADIANS(57*3))</f>
        <v>-10.074421074070404</v>
      </c>
      <c r="BA61">
        <f>2.2*SIN(RADIANS(21*9))</f>
        <v>-0.34415582308850762</v>
      </c>
      <c r="BB61">
        <f>3.6+2.2*COS(RADIANS(21*9))</f>
        <v>1.4270856506906968</v>
      </c>
      <c r="BH61">
        <f>IF(MOD(19,10)=0,7.9,IF(MOD(19,5)=0,8.5,8.9))*SIN(RADIANS(19*3.6))</f>
        <v>8.2750107244054387</v>
      </c>
      <c r="BI61">
        <f>IF(MOD(19,10)=0,7.9,IF(MOD(19,5)=0,8.5,8.9))*COS(RADIANS(19*3.6))</f>
        <v>3.2763085188936332</v>
      </c>
      <c r="BK61">
        <f>10.2*SIN(RADIANS(57*3))</f>
        <v>1.5956315434103558</v>
      </c>
      <c r="BL61">
        <f>10.2*COS(RADIANS(57*3))</f>
        <v>-10.074421074070404</v>
      </c>
    </row>
    <row r="62" spans="1:64" x14ac:dyDescent="0.25">
      <c r="A62">
        <v>19</v>
      </c>
      <c r="B62">
        <f>IF(MOD(19,'Pie de rey'!$B$52)=0,2,IF(MOD(19,'Pie de rey'!$B$53)=0,1.5,IF(MOD(19,'Pie de rey'!$B$54)=0,1.1,0.75)))</f>
        <v>0.75</v>
      </c>
      <c r="C62">
        <f>C61</f>
        <v>18.75</v>
      </c>
      <c r="D62">
        <f>IF(MOD(MIN(19,'Pie de rey'!$B$43),'Pie de rey'!$B$56)=0,-1.8,-1.1)</f>
        <v>-1.8</v>
      </c>
      <c r="P62">
        <f>IF(AND(19&lt;=Micrómetro!$B$52,19&lt;=Micrómetro!$B$43),19,-50)</f>
        <v>19</v>
      </c>
      <c r="Q62">
        <f>IF(OR(Micrómetro!$B$41=1,MOD(19,2)=0),IF(Micrómetro!$B$41=1,IF(MOD(19,4)=0,1.6,1),IF(MOD(19,10)=0,1.6,1)),-1.1)</f>
        <v>-1.1000000000000001</v>
      </c>
      <c r="S62">
        <f>IF(ABS((((INT(Micrómetro!$B$54)-11+19))-Micrómetro!$B$54)*0.6)&lt;=7.2,Micrómetro!$B$52+IF(MOD((INT(Micrómetro!$B$54)-11+19),5)=0,2,1.2),-50)</f>
        <v>49.6</v>
      </c>
      <c r="T62">
        <f>IF(ABS((((INT(Micrómetro!$B$54)-11+19))-Micrómetro!$B$54)*0.6)&lt;=7.2,(((INT(Micrómetro!$B$54)-11+19))-Micrómetro!$B$54)*0.6,0)</f>
        <v>4.8</v>
      </c>
      <c r="AN62">
        <f>9.6*SIN(RADIANS(19*3.6))</f>
        <v>8.9258542645272136</v>
      </c>
      <c r="AO62">
        <f>9.6*COS(RADIANS(19*3.6))</f>
        <v>3.5339957057729072</v>
      </c>
      <c r="AQ62">
        <f>10.2*SIN(RADIANS(58*3))</f>
        <v>1.066190325330068</v>
      </c>
      <c r="AR62">
        <f>10.2*COS(RADIANS(58*3))</f>
        <v>-10.144123332756386</v>
      </c>
      <c r="BA62">
        <f>2.2*SIN(RADIANS(22*9))</f>
        <v>-0.6798373876248841</v>
      </c>
      <c r="BB62">
        <f>3.6+2.2*COS(RADIANS(22*9))</f>
        <v>1.5076756641506619</v>
      </c>
      <c r="BH62">
        <f>9.6*SIN(RADIANS(19*3.6))</f>
        <v>8.9258542645272136</v>
      </c>
      <c r="BI62">
        <f>9.6*COS(RADIANS(19*3.6))</f>
        <v>3.5339957057729072</v>
      </c>
      <c r="BK62">
        <f>10.2*SIN(RADIANS(58*3))</f>
        <v>1.066190325330068</v>
      </c>
      <c r="BL62">
        <f>10.2*COS(RADIANS(58*3))</f>
        <v>-10.144123332756386</v>
      </c>
    </row>
    <row r="63" spans="1:64" x14ac:dyDescent="0.25">
      <c r="AQ63">
        <f>10.2*SIN(RADIANS(59*3))</f>
        <v>0.53382675367802679</v>
      </c>
      <c r="AR63">
        <f>10.2*COS(RADIANS(59*3))</f>
        <v>-10.186021254496652</v>
      </c>
      <c r="BA63">
        <f>2.2*SIN(RADIANS(23*9))</f>
        <v>-0.99877909942700283</v>
      </c>
      <c r="BB63">
        <f>3.6+2.2*COS(RADIANS(23*9))</f>
        <v>1.6397856467855905</v>
      </c>
      <c r="BK63">
        <f>10.2*SIN(RADIANS(59*3))</f>
        <v>0.53382675367802679</v>
      </c>
      <c r="BL63">
        <f>10.2*COS(RADIANS(59*3))</f>
        <v>-10.186021254496652</v>
      </c>
    </row>
    <row r="64" spans="1:64" x14ac:dyDescent="0.25">
      <c r="A64">
        <v>20</v>
      </c>
      <c r="B64">
        <v>0</v>
      </c>
      <c r="C64">
        <f>('Pie de rey'!$B$49/'Pie de rey'!$B$42-'Pie de rey'!$B$63)+MIN(20,'Pie de rey'!$B$43)*'Pie de rey'!$B$50</f>
        <v>18.75</v>
      </c>
      <c r="D64">
        <v>0</v>
      </c>
      <c r="P64">
        <f>IF(AND(20&lt;=Micrómetro!$B$52,20&lt;=Micrómetro!$B$43),20,-50)</f>
        <v>20</v>
      </c>
      <c r="Q64">
        <v>0</v>
      </c>
      <c r="S64">
        <f>IF(ABS((((INT(Micrómetro!$B$54)-11+20))-Micrómetro!$B$54)*0.6)&lt;=7.2,Micrómetro!$B$52,-50)</f>
        <v>48.4</v>
      </c>
      <c r="T64">
        <f>IF(ABS((((INT(Micrómetro!$B$54)-11+20))-Micrómetro!$B$54)*0.6)&lt;=7.2,(((INT(Micrómetro!$B$54)-11+20))-Micrómetro!$B$54)*0.6,0)</f>
        <v>5.3999999999999995</v>
      </c>
      <c r="AN64">
        <f>IF(MOD(20,10)=0,7.9,IF(MOD(20,5)=0,8.5,8.9))*SIN(RADIANS(20*3.6))</f>
        <v>7.5133464787317132</v>
      </c>
      <c r="AO64">
        <f>IF(MOD(20,10)=0,7.9,IF(MOD(20,5)=0,8.5,8.9))*COS(RADIANS(20*3.6))</f>
        <v>2.441234255562085</v>
      </c>
      <c r="AQ64">
        <f>10.2*SIN(RADIANS(60*3))</f>
        <v>1.2496514240067924E-15</v>
      </c>
      <c r="AR64">
        <f>10.2*COS(RADIANS(60*3))</f>
        <v>-10.199999999999999</v>
      </c>
      <c r="BA64">
        <f>2.2*SIN(RADIANS(24*9))</f>
        <v>-1.2931275550434407</v>
      </c>
      <c r="BB64">
        <f>3.6+2.2*COS(RADIANS(24*9))</f>
        <v>1.8201626123751153</v>
      </c>
      <c r="BH64">
        <f>IF(MOD(20,10)=0,7.9,IF(MOD(20,5)=0,8.5,8.9))*SIN(RADIANS(20*3.6))</f>
        <v>7.5133464787317132</v>
      </c>
      <c r="BI64">
        <f>IF(MOD(20,10)=0,7.9,IF(MOD(20,5)=0,8.5,8.9))*COS(RADIANS(20*3.6))</f>
        <v>2.441234255562085</v>
      </c>
      <c r="BK64">
        <f>10.2*SIN(RADIANS(60*3))</f>
        <v>1.2496514240067924E-15</v>
      </c>
      <c r="BL64">
        <f>10.2*COS(RADIANS(60*3))</f>
        <v>-10.199999999999999</v>
      </c>
    </row>
    <row r="65" spans="1:64" x14ac:dyDescent="0.25">
      <c r="A65">
        <v>20</v>
      </c>
      <c r="B65">
        <f>IF(MOD(20,'Pie de rey'!$B$52)=0,2,IF(MOD(20,'Pie de rey'!$B$53)=0,1.5,IF(MOD(20,'Pie de rey'!$B$54)=0,1.1,0.75)))</f>
        <v>1.1000000000000001</v>
      </c>
      <c r="C65">
        <f>C64</f>
        <v>18.75</v>
      </c>
      <c r="D65">
        <f>IF(MOD(MIN(20,'Pie de rey'!$B$43),'Pie de rey'!$B$56)=0,-1.8,-1.1)</f>
        <v>-1.8</v>
      </c>
      <c r="P65">
        <f>IF(AND(20&lt;=Micrómetro!$B$52,20&lt;=Micrómetro!$B$43),20,-50)</f>
        <v>20</v>
      </c>
      <c r="Q65">
        <f>IF(OR(Micrómetro!$B$41=1,MOD(20,2)=0),IF(Micrómetro!$B$41=1,IF(MOD(20,4)=0,1.6,1),IF(MOD(20,10)=0,1.6,1)),-1.1)</f>
        <v>1.6</v>
      </c>
      <c r="S65">
        <f>IF(ABS((((INT(Micrómetro!$B$54)-11+20))-Micrómetro!$B$54)*0.6)&lt;=7.2,Micrómetro!$B$52+IF(MOD((INT(Micrómetro!$B$54)-11+20),5)=0,2,1.2),-50)</f>
        <v>49.6</v>
      </c>
      <c r="T65">
        <f>IF(ABS((((INT(Micrómetro!$B$54)-11+20))-Micrómetro!$B$54)*0.6)&lt;=7.2,(((INT(Micrómetro!$B$54)-11+20))-Micrómetro!$B$54)*0.6,0)</f>
        <v>5.3999999999999995</v>
      </c>
      <c r="AN65">
        <f>9.6*SIN(RADIANS(20*3.6))</f>
        <v>9.1301425564334728</v>
      </c>
      <c r="AO65">
        <f>9.6*COS(RADIANS(20*3.6))</f>
        <v>2.9665631459994954</v>
      </c>
      <c r="AQ65">
        <f>10.2*SIN(RADIANS(61*3))</f>
        <v>-0.53382675367802424</v>
      </c>
      <c r="AR65">
        <f>10.2*COS(RADIANS(61*3))</f>
        <v>-10.186021254496652</v>
      </c>
      <c r="BA65">
        <f>2.2*SIN(RADIANS(25*9))</f>
        <v>-1.5556349186104046</v>
      </c>
      <c r="BB65">
        <f>3.6+2.2*COS(RADIANS(25*9))</f>
        <v>2.0443650813895951</v>
      </c>
      <c r="BH65">
        <f>9.6*SIN(RADIANS(20*3.6))</f>
        <v>9.1301425564334728</v>
      </c>
      <c r="BI65">
        <f>9.6*COS(RADIANS(20*3.6))</f>
        <v>2.9665631459994954</v>
      </c>
      <c r="BK65">
        <f>10.2*SIN(RADIANS(61*3))</f>
        <v>-0.53382675367802424</v>
      </c>
      <c r="BL65">
        <f>10.2*COS(RADIANS(61*3))</f>
        <v>-10.186021254496652</v>
      </c>
    </row>
    <row r="66" spans="1:64" x14ac:dyDescent="0.25">
      <c r="AQ66">
        <f>10.2*SIN(RADIANS(62*3))</f>
        <v>-1.0661903253300655</v>
      </c>
      <c r="AR66">
        <f>10.2*COS(RADIANS(62*3))</f>
        <v>-10.144123332756386</v>
      </c>
      <c r="BA66">
        <f>2.2*SIN(RADIANS(26*9))</f>
        <v>-1.7798373876248843</v>
      </c>
      <c r="BB66">
        <f>3.6+2.2*COS(RADIANS(26*9))</f>
        <v>2.306872444956559</v>
      </c>
      <c r="BK66">
        <f>10.2*SIN(RADIANS(62*3))</f>
        <v>-1.0661903253300655</v>
      </c>
      <c r="BL66">
        <f>10.2*COS(RADIANS(62*3))</f>
        <v>-10.144123332756386</v>
      </c>
    </row>
    <row r="67" spans="1:64" x14ac:dyDescent="0.25">
      <c r="A67">
        <v>21</v>
      </c>
      <c r="B67">
        <v>0</v>
      </c>
      <c r="C67">
        <f>('Pie de rey'!$B$49/'Pie de rey'!$B$42-'Pie de rey'!$B$63)+MIN(21,'Pie de rey'!$B$43)*'Pie de rey'!$B$50</f>
        <v>18.75</v>
      </c>
      <c r="D67">
        <v>0</v>
      </c>
      <c r="P67">
        <f>IF(AND(21&lt;=Micrómetro!$B$52,21&lt;=Micrómetro!$B$43),21,-50)</f>
        <v>21</v>
      </c>
      <c r="Q67">
        <v>0</v>
      </c>
      <c r="S67">
        <f>IF(ABS((((INT(Micrómetro!$B$54)-11+21))-Micrómetro!$B$54)*0.6)&lt;=7.2,Micrómetro!$B$52,-50)</f>
        <v>48.4</v>
      </c>
      <c r="T67">
        <f>IF(ABS((((INT(Micrómetro!$B$54)-11+21))-Micrómetro!$B$54)*0.6)&lt;=7.2,(((INT(Micrómetro!$B$54)-11+21))-Micrómetro!$B$54)*0.6,0)</f>
        <v>6</v>
      </c>
      <c r="AN67">
        <f>IF(MOD(21,10)=0,7.9,IF(MOD(21,5)=0,8.5,8.9))*SIN(RADIANS(21*3.6))</f>
        <v>8.6203901340448166</v>
      </c>
      <c r="AO67">
        <f>IF(MOD(21,10)=0,7.9,IF(MOD(21,5)=0,8.5,8.9))*COS(RADIANS(21*3.6))</f>
        <v>2.2133399957672073</v>
      </c>
      <c r="AQ67">
        <f>10.2*SIN(RADIANS(63*3))</f>
        <v>-1.5956315434103534</v>
      </c>
      <c r="AR67">
        <f>10.2*COS(RADIANS(63*3))</f>
        <v>-10.074421074070404</v>
      </c>
      <c r="BA67">
        <f>2.2*SIN(RADIANS(27*9))</f>
        <v>-1.9602143532144094</v>
      </c>
      <c r="BB67">
        <f>3.6+2.2*COS(RADIANS(27*9))</f>
        <v>2.6012209005729967</v>
      </c>
      <c r="BH67">
        <f>IF(MOD(21,10)=0,7.9,IF(MOD(21,5)=0,8.5,8.9))*SIN(RADIANS(21*3.6))</f>
        <v>8.6203901340448166</v>
      </c>
      <c r="BI67">
        <f>IF(MOD(21,10)=0,7.9,IF(MOD(21,5)=0,8.5,8.9))*COS(RADIANS(21*3.6))</f>
        <v>2.2133399957672073</v>
      </c>
      <c r="BK67">
        <f>10.2*SIN(RADIANS(63*3))</f>
        <v>-1.5956315434103534</v>
      </c>
      <c r="BL67">
        <f>10.2*COS(RADIANS(63*3))</f>
        <v>-10.074421074070404</v>
      </c>
    </row>
    <row r="68" spans="1:64" x14ac:dyDescent="0.25">
      <c r="A68">
        <v>21</v>
      </c>
      <c r="B68">
        <f>IF(MOD(21,'Pie de rey'!$B$52)=0,2,IF(MOD(21,'Pie de rey'!$B$53)=0,1.5,IF(MOD(21,'Pie de rey'!$B$54)=0,1.1,0.75)))</f>
        <v>0.75</v>
      </c>
      <c r="C68">
        <f>C67</f>
        <v>18.75</v>
      </c>
      <c r="D68">
        <f>IF(MOD(MIN(21,'Pie de rey'!$B$43),'Pie de rey'!$B$56)=0,-1.8,-1.1)</f>
        <v>-1.8</v>
      </c>
      <c r="P68">
        <f>IF(AND(21&lt;=Micrómetro!$B$52,21&lt;=Micrómetro!$B$43),21,-50)</f>
        <v>21</v>
      </c>
      <c r="Q68">
        <f>IF(OR(Micrómetro!$B$41=1,MOD(21,2)=0),IF(Micrómetro!$B$41=1,IF(MOD(21,4)=0,1.6,1),IF(MOD(21,10)=0,1.6,1)),-1.1)</f>
        <v>-1.1000000000000001</v>
      </c>
      <c r="S68">
        <f>IF(ABS((((INT(Micrómetro!$B$54)-11+21))-Micrómetro!$B$54)*0.6)&lt;=7.2,Micrómetro!$B$52+IF(MOD((INT(Micrómetro!$B$54)-11+21),5)=0,2,1.2),-50)</f>
        <v>50.4</v>
      </c>
      <c r="T68">
        <f>IF(ABS((((INT(Micrómetro!$B$54)-11+21))-Micrómetro!$B$54)*0.6)&lt;=7.2,(((INT(Micrómetro!$B$54)-11+21))-Micrómetro!$B$54)*0.6,0)</f>
        <v>6</v>
      </c>
      <c r="AN68">
        <f>9.6*SIN(RADIANS(21*3.6))</f>
        <v>9.2983983468348583</v>
      </c>
      <c r="AO68">
        <f>9.6*COS(RADIANS(21*3.6))</f>
        <v>2.3874229167826053</v>
      </c>
      <c r="AQ68">
        <f>10.2*SIN(RADIANS(64*3))</f>
        <v>-2.1206992463411467</v>
      </c>
      <c r="AR68">
        <f>10.2*COS(RADIANS(64*3))</f>
        <v>-9.9771055274848166</v>
      </c>
      <c r="BA68">
        <f>2.2*SIN(RADIANS(28*9))</f>
        <v>-2.0923243358493377</v>
      </c>
      <c r="BB68">
        <f>3.6+2.2*COS(RADIANS(28*9))</f>
        <v>2.9201626123751154</v>
      </c>
      <c r="BH68">
        <f>9.6*SIN(RADIANS(21*3.6))</f>
        <v>9.2983983468348583</v>
      </c>
      <c r="BI68">
        <f>9.6*COS(RADIANS(21*3.6))</f>
        <v>2.3874229167826053</v>
      </c>
      <c r="BK68">
        <f>10.2*SIN(RADIANS(64*3))</f>
        <v>-2.1206992463411467</v>
      </c>
      <c r="BL68">
        <f>10.2*COS(RADIANS(64*3))</f>
        <v>-9.9771055274848166</v>
      </c>
    </row>
    <row r="69" spans="1:64" x14ac:dyDescent="0.25">
      <c r="AQ69">
        <f>10.2*SIN(RADIANS(65*3))</f>
        <v>-2.639954260045712</v>
      </c>
      <c r="AR69">
        <f>10.2*COS(RADIANS(65*3))</f>
        <v>-9.8524434281484954</v>
      </c>
      <c r="BA69">
        <f>2.2*SIN(RADIANS(29*9))</f>
        <v>-2.1729143493093028</v>
      </c>
      <c r="BB69">
        <f>3.6+2.2*COS(RADIANS(29*9))</f>
        <v>3.2558441769114919</v>
      </c>
      <c r="BK69">
        <f>10.2*SIN(RADIANS(65*3))</f>
        <v>-2.639954260045712</v>
      </c>
      <c r="BL69">
        <f>10.2*COS(RADIANS(65*3))</f>
        <v>-9.8524434281484954</v>
      </c>
    </row>
    <row r="70" spans="1:64" x14ac:dyDescent="0.25">
      <c r="A70">
        <v>22</v>
      </c>
      <c r="B70">
        <v>0</v>
      </c>
      <c r="C70">
        <f>('Pie de rey'!$B$49/'Pie de rey'!$B$42-'Pie de rey'!$B$63)+MIN(22,'Pie de rey'!$B$43)*'Pie de rey'!$B$50</f>
        <v>18.75</v>
      </c>
      <c r="D70">
        <v>0</v>
      </c>
      <c r="P70">
        <f>IF(AND(22&lt;=Micrómetro!$B$52,22&lt;=Micrómetro!$B$43),22,-50)</f>
        <v>22</v>
      </c>
      <c r="Q70">
        <v>0</v>
      </c>
      <c r="S70">
        <f>IF(ABS((((INT(Micrómetro!$B$54)-11+22))-Micrómetro!$B$54)*0.6)&lt;=7.2,Micrómetro!$B$52,-50)</f>
        <v>48.4</v>
      </c>
      <c r="T70">
        <f>IF(ABS((((INT(Micrómetro!$B$54)-11+22))-Micrómetro!$B$54)*0.6)&lt;=7.2,(((INT(Micrómetro!$B$54)-11+22))-Micrómetro!$B$54)*0.6,0)</f>
        <v>6.6</v>
      </c>
      <c r="AN70">
        <f>IF(MOD(22,10)=0,7.9,IF(MOD(22,5)=0,8.5,8.9))*SIN(RADIANS(22*3.6))</f>
        <v>8.7423565314853295</v>
      </c>
      <c r="AO70">
        <f>IF(MOD(22,10)=0,7.9,IF(MOD(22,5)=0,8.5,8.9))*COS(RADIANS(22*3.6))</f>
        <v>1.6676936998129483</v>
      </c>
      <c r="AQ70">
        <f>10.2*SIN(RADIANS(66*3))</f>
        <v>-3.151973342624462</v>
      </c>
      <c r="AR70">
        <f>10.2*COS(RADIANS(66*3))</f>
        <v>-9.7007764662105664</v>
      </c>
      <c r="BA70">
        <f>2.2*SIN(RADIANS(30*9))</f>
        <v>-2.2000000000000002</v>
      </c>
      <c r="BB70">
        <f>3.6+2.2*COS(RADIANS(30*9))</f>
        <v>3.5999999999999996</v>
      </c>
      <c r="BH70">
        <f>IF(MOD(22,10)=0,7.9,IF(MOD(22,5)=0,8.5,8.9))*SIN(RADIANS(22*3.6))</f>
        <v>8.7423565314853295</v>
      </c>
      <c r="BI70">
        <f>IF(MOD(22,10)=0,7.9,IF(MOD(22,5)=0,8.5,8.9))*COS(RADIANS(22*3.6))</f>
        <v>1.6676936998129483</v>
      </c>
      <c r="BK70">
        <f>10.2*SIN(RADIANS(66*3))</f>
        <v>-3.151973342624462</v>
      </c>
      <c r="BL70">
        <f>10.2*COS(RADIANS(66*3))</f>
        <v>-9.7007764662105664</v>
      </c>
    </row>
    <row r="71" spans="1:64" x14ac:dyDescent="0.25">
      <c r="A71">
        <v>22</v>
      </c>
      <c r="B71">
        <f>IF(MOD(22,'Pie de rey'!$B$52)=0,2,IF(MOD(22,'Pie de rey'!$B$53)=0,1.5,IF(MOD(22,'Pie de rey'!$B$54)=0,1.1,0.75)))</f>
        <v>0.75</v>
      </c>
      <c r="C71">
        <f>C70</f>
        <v>18.75</v>
      </c>
      <c r="D71">
        <f>IF(MOD(MIN(22,'Pie de rey'!$B$43),'Pie de rey'!$B$56)=0,-1.8,-1.1)</f>
        <v>-1.8</v>
      </c>
      <c r="P71">
        <f>IF(AND(22&lt;=Micrómetro!$B$52,22&lt;=Micrómetro!$B$43),22,-50)</f>
        <v>22</v>
      </c>
      <c r="Q71">
        <f>IF(OR(Micrómetro!$B$41=1,MOD(22,2)=0),IF(Micrómetro!$B$41=1,IF(MOD(22,4)=0,1.6,1),IF(MOD(22,10)=0,1.6,1)),-1.1)</f>
        <v>1</v>
      </c>
      <c r="S71">
        <f>IF(ABS((((INT(Micrómetro!$B$54)-11+22))-Micrómetro!$B$54)*0.6)&lt;=7.2,Micrómetro!$B$52+IF(MOD((INT(Micrómetro!$B$54)-11+22),5)=0,2,1.2),-50)</f>
        <v>49.6</v>
      </c>
      <c r="T71">
        <f>IF(ABS((((INT(Micrómetro!$B$54)-11+22))-Micrómetro!$B$54)*0.6)&lt;=7.2,(((INT(Micrómetro!$B$54)-11+22))-Micrómetro!$B$54)*0.6,0)</f>
        <v>6.6</v>
      </c>
      <c r="AN71">
        <f>9.6*SIN(RADIANS(22*3.6))</f>
        <v>9.4299576069954121</v>
      </c>
      <c r="AO71">
        <f>9.6*COS(RADIANS(22*3.6))</f>
        <v>1.7988606200229553</v>
      </c>
      <c r="AQ71">
        <f>10.2*SIN(RADIANS(67*3))</f>
        <v>-3.6553530853620644</v>
      </c>
      <c r="AR71">
        <f>10.2*COS(RADIANS(67*3))</f>
        <v>-9.5225203502714564</v>
      </c>
      <c r="BA71">
        <f>2.2*SIN(RADIANS(31*9))</f>
        <v>-2.1729143493093033</v>
      </c>
      <c r="BB71">
        <f>3.6+2.2*COS(RADIANS(31*9))</f>
        <v>3.9441558230885074</v>
      </c>
      <c r="BH71">
        <f>9.6*SIN(RADIANS(22*3.6))</f>
        <v>9.4299576069954121</v>
      </c>
      <c r="BI71">
        <f>9.6*COS(RADIANS(22*3.6))</f>
        <v>1.7988606200229553</v>
      </c>
      <c r="BK71">
        <f>10.2*SIN(RADIANS(67*3))</f>
        <v>-3.6553530853620644</v>
      </c>
      <c r="BL71">
        <f>10.2*COS(RADIANS(67*3))</f>
        <v>-9.5225203502714564</v>
      </c>
    </row>
    <row r="72" spans="1:64" x14ac:dyDescent="0.25">
      <c r="AQ72">
        <f>10.2*SIN(RADIANS(68*3))</f>
        <v>-4.1487137593731616</v>
      </c>
      <c r="AR72">
        <f>10.2*COS(RADIANS(68*3))</f>
        <v>-9.3181636679545274</v>
      </c>
      <c r="BA72">
        <f>2.2*SIN(RADIANS(32*9))</f>
        <v>-2.0923243358493382</v>
      </c>
      <c r="BB72">
        <f>3.6+2.2*COS(RADIANS(32*9))</f>
        <v>4.2798373876248839</v>
      </c>
      <c r="BK72">
        <f>10.2*SIN(RADIANS(68*3))</f>
        <v>-4.1487137593731616</v>
      </c>
      <c r="BL72">
        <f>10.2*COS(RADIANS(68*3))</f>
        <v>-9.3181636679545274</v>
      </c>
    </row>
    <row r="73" spans="1:64" x14ac:dyDescent="0.25">
      <c r="A73">
        <v>23</v>
      </c>
      <c r="B73">
        <v>0</v>
      </c>
      <c r="C73">
        <f>('Pie de rey'!$B$49/'Pie de rey'!$B$42-'Pie de rey'!$B$63)+MIN(23,'Pie de rey'!$B$43)*'Pie de rey'!$B$50</f>
        <v>18.75</v>
      </c>
      <c r="D73">
        <v>0</v>
      </c>
      <c r="P73">
        <f>IF(AND(23&lt;=Micrómetro!$B$52,23&lt;=Micrómetro!$B$43),23,-50)</f>
        <v>23</v>
      </c>
      <c r="Q73">
        <v>0</v>
      </c>
      <c r="S73">
        <f>IF(ABS((((INT(Micrómetro!$B$54)-11+23))-Micrómetro!$B$54)*0.6)&lt;=7.2,Micrómetro!$B$52,-50)</f>
        <v>48.4</v>
      </c>
      <c r="T73">
        <f>IF(ABS((((INT(Micrómetro!$B$54)-11+23))-Micrómetro!$B$54)*0.6)&lt;=7.2,(((INT(Micrómetro!$B$54)-11+23))-Micrómetro!$B$54)*0.6,0)</f>
        <v>7.1999999999999993</v>
      </c>
      <c r="AN73">
        <f>IF(MOD(23,10)=0,7.9,IF(MOD(23,5)=0,8.5,8.9))*SIN(RADIANS(23*3.6))</f>
        <v>8.8298208416988526</v>
      </c>
      <c r="AO73">
        <f>IF(MOD(23,10)=0,7.9,IF(MOD(23,5)=0,8.5,8.9))*COS(RADIANS(23*3.6))</f>
        <v>1.1154657787223079</v>
      </c>
      <c r="AQ73">
        <f>10.2*SIN(RADIANS(69*3))</f>
        <v>-4.6307030973433756</v>
      </c>
      <c r="AR73">
        <f>10.2*COS(RADIANS(69*3))</f>
        <v>-9.0882665467213517</v>
      </c>
      <c r="BA73">
        <f>2.2*SIN(RADIANS(33*9))</f>
        <v>-1.9602143532144096</v>
      </c>
      <c r="BB73">
        <f>3.6+2.2*COS(RADIANS(33*9))</f>
        <v>4.598779099427003</v>
      </c>
      <c r="BH73">
        <f>IF(MOD(23,10)=0,7.9,IF(MOD(23,5)=0,8.5,8.9))*SIN(RADIANS(23*3.6))</f>
        <v>8.8298208416988526</v>
      </c>
      <c r="BI73">
        <f>IF(MOD(23,10)=0,7.9,IF(MOD(23,5)=0,8.5,8.9))*COS(RADIANS(23*3.6))</f>
        <v>1.1154657787223079</v>
      </c>
      <c r="BK73">
        <f>10.2*SIN(RADIANS(69*3))</f>
        <v>-4.6307030973433756</v>
      </c>
      <c r="BL73">
        <f>10.2*COS(RADIANS(69*3))</f>
        <v>-9.0882665467213517</v>
      </c>
    </row>
    <row r="74" spans="1:64" x14ac:dyDescent="0.25">
      <c r="A74">
        <v>23</v>
      </c>
      <c r="B74">
        <f>IF(MOD(23,'Pie de rey'!$B$52)=0,2,IF(MOD(23,'Pie de rey'!$B$53)=0,1.5,IF(MOD(23,'Pie de rey'!$B$54)=0,1.1,0.75)))</f>
        <v>0.75</v>
      </c>
      <c r="C74">
        <f>C73</f>
        <v>18.75</v>
      </c>
      <c r="D74">
        <f>IF(MOD(MIN(23,'Pie de rey'!$B$43),'Pie de rey'!$B$56)=0,-1.8,-1.1)</f>
        <v>-1.8</v>
      </c>
      <c r="P74">
        <f>IF(AND(23&lt;=Micrómetro!$B$52,23&lt;=Micrómetro!$B$43),23,-50)</f>
        <v>23</v>
      </c>
      <c r="Q74">
        <f>IF(OR(Micrómetro!$B$41=1,MOD(23,2)=0),IF(Micrómetro!$B$41=1,IF(MOD(23,4)=0,1.6,1),IF(MOD(23,10)=0,1.6,1)),-1.1)</f>
        <v>-1.1000000000000001</v>
      </c>
      <c r="S74">
        <f>IF(ABS((((INT(Micrómetro!$B$54)-11+23))-Micrómetro!$B$54)*0.6)&lt;=7.2,Micrómetro!$B$52+IF(MOD((INT(Micrómetro!$B$54)-11+23),5)=0,2,1.2),-50)</f>
        <v>49.6</v>
      </c>
      <c r="T74">
        <f>IF(ABS((((INT(Micrómetro!$B$54)-11+23))-Micrómetro!$B$54)*0.6)&lt;=7.2,(((INT(Micrómetro!$B$54)-11+23))-Micrómetro!$B$54)*0.6,0)</f>
        <v>7.1999999999999993</v>
      </c>
      <c r="AN74">
        <f>9.6*SIN(RADIANS(23*3.6))</f>
        <v>9.5243011326189873</v>
      </c>
      <c r="AO74">
        <f>9.6*COS(RADIANS(23*3.6))</f>
        <v>1.2031990422173209</v>
      </c>
      <c r="AQ74">
        <f>10.2*SIN(RADIANS(70*3))</f>
        <v>-5.1000000000000005</v>
      </c>
      <c r="AR74">
        <f>10.2*COS(RADIANS(70*3))</f>
        <v>-8.8334591186012723</v>
      </c>
      <c r="BA74">
        <f>2.2*SIN(RADIANS(34*9))</f>
        <v>-1.7798373876248847</v>
      </c>
      <c r="BB74">
        <f>3.6+2.2*COS(RADIANS(34*9))</f>
        <v>4.8931275550434403</v>
      </c>
      <c r="BH74">
        <f>9.6*SIN(RADIANS(23*3.6))</f>
        <v>9.5243011326189873</v>
      </c>
      <c r="BI74">
        <f>9.6*COS(RADIANS(23*3.6))</f>
        <v>1.2031990422173209</v>
      </c>
      <c r="BK74">
        <f>10.2*SIN(RADIANS(70*3))</f>
        <v>-5.1000000000000005</v>
      </c>
      <c r="BL74">
        <f>10.2*COS(RADIANS(70*3))</f>
        <v>-8.8334591186012723</v>
      </c>
    </row>
    <row r="75" spans="1:64" x14ac:dyDescent="0.25">
      <c r="AQ75">
        <f>10.2*SIN(RADIANS(71*3))</f>
        <v>-5.5553181571532759</v>
      </c>
      <c r="AR75">
        <f>10.2*COS(RADIANS(71*3))</f>
        <v>-8.5544397930433256</v>
      </c>
      <c r="BA75">
        <f>2.2*SIN(RADIANS(35*9))</f>
        <v>-1.555634918610405</v>
      </c>
      <c r="BB75">
        <f>3.6+2.2*COS(RADIANS(35*9))</f>
        <v>5.1556349186104047</v>
      </c>
      <c r="BK75">
        <f>10.2*SIN(RADIANS(71*3))</f>
        <v>-5.5553181571532759</v>
      </c>
      <c r="BL75">
        <f>10.2*COS(RADIANS(71*3))</f>
        <v>-8.5544397930433256</v>
      </c>
    </row>
    <row r="76" spans="1:64" x14ac:dyDescent="0.25">
      <c r="A76">
        <v>24</v>
      </c>
      <c r="B76">
        <v>0</v>
      </c>
      <c r="C76">
        <f>('Pie de rey'!$B$49/'Pie de rey'!$B$42-'Pie de rey'!$B$63)+MIN(24,'Pie de rey'!$B$43)*'Pie de rey'!$B$50</f>
        <v>18.75</v>
      </c>
      <c r="D76">
        <v>0</v>
      </c>
      <c r="P76">
        <f>IF(AND(24&lt;=Micrómetro!$B$52,24&lt;=Micrómetro!$B$43),24,-50)</f>
        <v>24</v>
      </c>
      <c r="Q76">
        <v>0</v>
      </c>
      <c r="AN76">
        <f>IF(MOD(24,10)=0,7.9,IF(MOD(24,5)=0,8.5,8.9))*SIN(RADIANS(24*3.6))</f>
        <v>8.8824378830116171</v>
      </c>
      <c r="AO76">
        <f>IF(MOD(24,10)=0,7.9,IF(MOD(24,5)=0,8.5,8.9))*COS(RADIANS(24*3.6))</f>
        <v>0.55883562381088847</v>
      </c>
      <c r="AQ76">
        <f>10.2*SIN(RADIANS(72*3))</f>
        <v>-5.9954095733832249</v>
      </c>
      <c r="AR76">
        <f>10.2*COS(RADIANS(72*3))</f>
        <v>-8.2519733426244652</v>
      </c>
      <c r="BA76">
        <f>2.2*SIN(RADIANS(36*9))</f>
        <v>-1.2931275550434416</v>
      </c>
      <c r="BB76">
        <f>3.6+2.2*COS(RADIANS(36*9))</f>
        <v>5.3798373876248844</v>
      </c>
      <c r="BH76">
        <f>IF(MOD(24,10)=0,7.9,IF(MOD(24,5)=0,8.5,8.9))*SIN(RADIANS(24*3.6))</f>
        <v>8.8824378830116171</v>
      </c>
      <c r="BI76">
        <f>IF(MOD(24,10)=0,7.9,IF(MOD(24,5)=0,8.5,8.9))*COS(RADIANS(24*3.6))</f>
        <v>0.55883562381088847</v>
      </c>
      <c r="BK76">
        <f>10.2*SIN(RADIANS(72*3))</f>
        <v>-5.9954095733832249</v>
      </c>
      <c r="BL76">
        <f>10.2*COS(RADIANS(72*3))</f>
        <v>-8.2519733426244652</v>
      </c>
    </row>
    <row r="77" spans="1:64" x14ac:dyDescent="0.25">
      <c r="A77">
        <v>24</v>
      </c>
      <c r="B77">
        <f>IF(MOD(24,'Pie de rey'!$B$52)=0,2,IF(MOD(24,'Pie de rey'!$B$53)=0,1.5,IF(MOD(24,'Pie de rey'!$B$54)=0,1.1,0.75)))</f>
        <v>1.5</v>
      </c>
      <c r="C77">
        <f>C76</f>
        <v>18.75</v>
      </c>
      <c r="D77">
        <f>IF(MOD(MIN(24,'Pie de rey'!$B$43),'Pie de rey'!$B$56)=0,-1.8,-1.1)</f>
        <v>-1.8</v>
      </c>
      <c r="P77">
        <f>IF(AND(24&lt;=Micrómetro!$B$52,24&lt;=Micrómetro!$B$43),24,-50)</f>
        <v>24</v>
      </c>
      <c r="Q77">
        <f>IF(OR(Micrómetro!$B$41=1,MOD(24,2)=0),IF(Micrómetro!$B$41=1,IF(MOD(24,4)=0,1.6,1),IF(MOD(24,10)=0,1.6,1)),-1.1)</f>
        <v>1</v>
      </c>
      <c r="AN77">
        <f>9.6*SIN(RADIANS(24*3.6))</f>
        <v>9.5810565929114073</v>
      </c>
      <c r="AO77">
        <f>9.6*COS(RADIANS(24*3.6))</f>
        <v>0.60278898748140775</v>
      </c>
      <c r="AQ77">
        <f>10.2*SIN(RADIANS(73*3))</f>
        <v>-6.4190679887083428</v>
      </c>
      <c r="AR77">
        <f>10.2*COS(RADIANS(73*3))</f>
        <v>-7.9268888068611014</v>
      </c>
      <c r="BA77">
        <f>2.2*SIN(RADIANS(37*9))</f>
        <v>-0.99877909942700338</v>
      </c>
      <c r="BB77">
        <f>3.6+2.2*COS(RADIANS(37*9))</f>
        <v>5.560214353214409</v>
      </c>
      <c r="BH77">
        <f>9.6*SIN(RADIANS(24*3.6))</f>
        <v>9.5810565929114073</v>
      </c>
      <c r="BI77">
        <f>9.6*COS(RADIANS(24*3.6))</f>
        <v>0.60278898748140775</v>
      </c>
      <c r="BK77">
        <f>10.2*SIN(RADIANS(73*3))</f>
        <v>-6.4190679887083428</v>
      </c>
      <c r="BL77">
        <f>10.2*COS(RADIANS(73*3))</f>
        <v>-7.9268888068611014</v>
      </c>
    </row>
    <row r="78" spans="1:64" x14ac:dyDescent="0.25">
      <c r="AQ78">
        <f>10.2*SIN(RADIANS(74*3))</f>
        <v>-6.8251321848603537</v>
      </c>
      <c r="AR78">
        <f>10.2*COS(RADIANS(74*3))</f>
        <v>-7.5800772198694206</v>
      </c>
      <c r="BA78">
        <f>2.2*SIN(RADIANS(38*9))</f>
        <v>-0.67983738762488477</v>
      </c>
      <c r="BB78">
        <f>3.6+2.2*COS(RADIANS(38*9))</f>
        <v>5.6923243358493378</v>
      </c>
      <c r="BK78">
        <f>10.2*SIN(RADIANS(74*3))</f>
        <v>-6.8251321848603537</v>
      </c>
      <c r="BL78">
        <f>10.2*COS(RADIANS(74*3))</f>
        <v>-7.5800772198694206</v>
      </c>
    </row>
    <row r="79" spans="1:64" x14ac:dyDescent="0.25">
      <c r="A79">
        <v>25</v>
      </c>
      <c r="B79">
        <v>0</v>
      </c>
      <c r="C79">
        <f>('Pie de rey'!$B$49/'Pie de rey'!$B$42-'Pie de rey'!$B$63)+MIN(25,'Pie de rey'!$B$43)*'Pie de rey'!$B$50</f>
        <v>18.75</v>
      </c>
      <c r="D79">
        <v>0</v>
      </c>
      <c r="P79">
        <f>IF(AND(25&lt;=Micrómetro!$B$52,25&lt;=Micrómetro!$B$43),25,-50)</f>
        <v>25</v>
      </c>
      <c r="Q79">
        <v>0</v>
      </c>
      <c r="AN79">
        <f>IF(MOD(25,10)=0,7.9,IF(MOD(25,5)=0,8.5,8.9))*SIN(RADIANS(25*3.6))</f>
        <v>8.5</v>
      </c>
      <c r="AO79">
        <f>IF(MOD(25,10)=0,7.9,IF(MOD(25,5)=0,8.5,8.9))*COS(RADIANS(25*3.6))</f>
        <v>5.206880933361635E-16</v>
      </c>
      <c r="AQ79">
        <f>10.2*SIN(RADIANS(75*3))</f>
        <v>-7.2124891681027838</v>
      </c>
      <c r="AR79">
        <f>10.2*COS(RADIANS(75*3))</f>
        <v>-7.2124891681027856</v>
      </c>
      <c r="BA79">
        <f>2.2*SIN(RADIANS(39*9))</f>
        <v>-0.34415582308850851</v>
      </c>
      <c r="BB79">
        <f>3.6+2.2*COS(RADIANS(39*9))</f>
        <v>5.7729143493093034</v>
      </c>
      <c r="BH79">
        <f>IF(MOD(25,10)=0,7.9,IF(MOD(25,5)=0,8.5,8.9))*SIN(RADIANS(25*3.6))</f>
        <v>8.5</v>
      </c>
      <c r="BI79">
        <f>IF(MOD(25,10)=0,7.9,IF(MOD(25,5)=0,8.5,8.9))*COS(RADIANS(25*3.6))</f>
        <v>5.206880933361635E-16</v>
      </c>
      <c r="BK79">
        <f>10.2*SIN(RADIANS(75*3))</f>
        <v>-7.2124891681027838</v>
      </c>
      <c r="BL79">
        <f>10.2*COS(RADIANS(75*3))</f>
        <v>-7.2124891681027856</v>
      </c>
    </row>
    <row r="80" spans="1:64" x14ac:dyDescent="0.25">
      <c r="A80">
        <v>25</v>
      </c>
      <c r="B80">
        <f>IF(MOD(25,'Pie de rey'!$B$52)=0,2,IF(MOD(25,'Pie de rey'!$B$53)=0,1.5,IF(MOD(25,'Pie de rey'!$B$54)=0,1.1,0.75)))</f>
        <v>0.75</v>
      </c>
      <c r="C80">
        <f>C79</f>
        <v>18.75</v>
      </c>
      <c r="D80">
        <f>IF(MOD(MIN(25,'Pie de rey'!$B$43),'Pie de rey'!$B$56)=0,-1.8,-1.1)</f>
        <v>-1.8</v>
      </c>
      <c r="P80">
        <f>IF(AND(25&lt;=Micrómetro!$B$52,25&lt;=Micrómetro!$B$43),25,-50)</f>
        <v>25</v>
      </c>
      <c r="Q80">
        <f>IF(OR(Micrómetro!$B$41=1,MOD(25,2)=0),IF(Micrómetro!$B$41=1,IF(MOD(25,4)=0,1.6,1),IF(MOD(25,10)=0,1.6,1)),-1.1)</f>
        <v>-1.1000000000000001</v>
      </c>
      <c r="AN80">
        <f>9.6*SIN(RADIANS(25*3.6))</f>
        <v>9.6</v>
      </c>
      <c r="AO80">
        <f>9.6*COS(RADIANS(25*3.6))</f>
        <v>5.8807125835613761E-16</v>
      </c>
      <c r="AQ80">
        <f>10.2*SIN(RADIANS(76*3))</f>
        <v>-7.5800772198694215</v>
      </c>
      <c r="AR80">
        <f>10.2*COS(RADIANS(76*3))</f>
        <v>-6.8251321848603528</v>
      </c>
      <c r="BA80">
        <f>2.2*SIN(RADIANS(40*9))</f>
        <v>-5.390653201597928E-16</v>
      </c>
      <c r="BB80">
        <f>3.6+2.2*COS(RADIANS(40*9))</f>
        <v>5.8000000000000007</v>
      </c>
      <c r="BH80">
        <f>9.6*SIN(RADIANS(25*3.6))</f>
        <v>9.6</v>
      </c>
      <c r="BI80">
        <f>9.6*COS(RADIANS(25*3.6))</f>
        <v>5.8807125835613761E-16</v>
      </c>
      <c r="BK80">
        <f>10.2*SIN(RADIANS(76*3))</f>
        <v>-7.5800772198694215</v>
      </c>
      <c r="BL80">
        <f>10.2*COS(RADIANS(76*3))</f>
        <v>-6.8251321848603528</v>
      </c>
    </row>
    <row r="81" spans="1:64" x14ac:dyDescent="0.25">
      <c r="AQ81">
        <f>10.2*SIN(RADIANS(77*3))</f>
        <v>-7.9268888068610996</v>
      </c>
      <c r="AR81">
        <f>10.2*COS(RADIANS(77*3))</f>
        <v>-6.4190679887083455</v>
      </c>
      <c r="BK81">
        <f>10.2*SIN(RADIANS(77*3))</f>
        <v>-7.9268888068610996</v>
      </c>
      <c r="BL81">
        <f>10.2*COS(RADIANS(77*3))</f>
        <v>-6.4190679887083455</v>
      </c>
    </row>
    <row r="82" spans="1:64" x14ac:dyDescent="0.25">
      <c r="A82">
        <v>26</v>
      </c>
      <c r="B82">
        <v>0</v>
      </c>
      <c r="C82">
        <f>('Pie de rey'!$B$49/'Pie de rey'!$B$42-'Pie de rey'!$B$63)+MIN(26,'Pie de rey'!$B$43)*'Pie de rey'!$B$50</f>
        <v>18.75</v>
      </c>
      <c r="D82">
        <v>0</v>
      </c>
      <c r="P82">
        <f>IF(AND(26&lt;=Micrómetro!$B$52,26&lt;=Micrómetro!$B$43),26,-50)</f>
        <v>26</v>
      </c>
      <c r="Q82">
        <v>0</v>
      </c>
      <c r="AN82">
        <f>IF(MOD(26,10)=0,7.9,IF(MOD(26,5)=0,8.5,8.9))*SIN(RADIANS(26*3.6))</f>
        <v>8.8824378830116171</v>
      </c>
      <c r="AO82">
        <f>IF(MOD(26,10)=0,7.9,IF(MOD(26,5)=0,8.5,8.9))*COS(RADIANS(26*3.6))</f>
        <v>-0.55883562381088925</v>
      </c>
      <c r="AQ82">
        <f>10.2*SIN(RADIANS(78*3))</f>
        <v>-8.2519733426244617</v>
      </c>
      <c r="AR82">
        <f>10.2*COS(RADIANS(78*3))</f>
        <v>-5.9954095733832267</v>
      </c>
      <c r="BH82">
        <f>IF(MOD(26,10)=0,7.9,IF(MOD(26,5)=0,8.5,8.9))*SIN(RADIANS(26*3.6))</f>
        <v>8.8824378830116171</v>
      </c>
      <c r="BI82">
        <f>IF(MOD(26,10)=0,7.9,IF(MOD(26,5)=0,8.5,8.9))*COS(RADIANS(26*3.6))</f>
        <v>-0.55883562381088925</v>
      </c>
      <c r="BK82">
        <f>10.2*SIN(RADIANS(78*3))</f>
        <v>-8.2519733426244617</v>
      </c>
      <c r="BL82">
        <f>10.2*COS(RADIANS(78*3))</f>
        <v>-5.9954095733832267</v>
      </c>
    </row>
    <row r="83" spans="1:64" x14ac:dyDescent="0.25">
      <c r="A83">
        <v>26</v>
      </c>
      <c r="B83">
        <f>IF(MOD(26,'Pie de rey'!$B$52)=0,2,IF(MOD(26,'Pie de rey'!$B$53)=0,1.5,IF(MOD(26,'Pie de rey'!$B$54)=0,1.1,0.75)))</f>
        <v>0.75</v>
      </c>
      <c r="C83">
        <f>C82</f>
        <v>18.75</v>
      </c>
      <c r="D83">
        <f>IF(MOD(MIN(26,'Pie de rey'!$B$43),'Pie de rey'!$B$56)=0,-1.8,-1.1)</f>
        <v>-1.8</v>
      </c>
      <c r="P83">
        <f>IF(AND(26&lt;=Micrómetro!$B$52,26&lt;=Micrómetro!$B$43),26,-50)</f>
        <v>26</v>
      </c>
      <c r="Q83">
        <f>IF(OR(Micrómetro!$B$41=1,MOD(26,2)=0),IF(Micrómetro!$B$41=1,IF(MOD(26,4)=0,1.6,1),IF(MOD(26,10)=0,1.6,1)),-1.1)</f>
        <v>1</v>
      </c>
      <c r="AN83">
        <f>9.6*SIN(RADIANS(26*3.6))</f>
        <v>9.5810565929114073</v>
      </c>
      <c r="AO83">
        <f>9.6*COS(RADIANS(26*3.6))</f>
        <v>-0.60278898748140863</v>
      </c>
      <c r="AQ83">
        <f>10.2*SIN(RADIANS(79*3))</f>
        <v>-8.5544397930433256</v>
      </c>
      <c r="AR83">
        <f>10.2*COS(RADIANS(79*3))</f>
        <v>-5.555318157153275</v>
      </c>
      <c r="BH83">
        <f>9.6*SIN(RADIANS(26*3.6))</f>
        <v>9.5810565929114073</v>
      </c>
      <c r="BI83">
        <f>9.6*COS(RADIANS(26*3.6))</f>
        <v>-0.60278898748140863</v>
      </c>
      <c r="BK83">
        <f>10.2*SIN(RADIANS(79*3))</f>
        <v>-8.5544397930433256</v>
      </c>
      <c r="BL83">
        <f>10.2*COS(RADIANS(79*3))</f>
        <v>-5.555318157153275</v>
      </c>
    </row>
    <row r="84" spans="1:64" x14ac:dyDescent="0.25">
      <c r="AQ84">
        <f>10.2*SIN(RADIANS(80*3))</f>
        <v>-8.8334591186012705</v>
      </c>
      <c r="AR84">
        <f>10.2*COS(RADIANS(80*3))</f>
        <v>-5.1000000000000041</v>
      </c>
      <c r="BA84">
        <v>0</v>
      </c>
      <c r="BB84">
        <v>3.6</v>
      </c>
      <c r="BK84">
        <f>10.2*SIN(RADIANS(80*3))</f>
        <v>-8.8334591186012705</v>
      </c>
      <c r="BL84">
        <f>10.2*COS(RADIANS(80*3))</f>
        <v>-5.1000000000000041</v>
      </c>
    </row>
    <row r="85" spans="1:64" x14ac:dyDescent="0.25">
      <c r="A85">
        <v>27</v>
      </c>
      <c r="B85">
        <v>0</v>
      </c>
      <c r="C85">
        <f>('Pie de rey'!$B$49/'Pie de rey'!$B$42-'Pie de rey'!$B$63)+MIN(27,'Pie de rey'!$B$43)*'Pie de rey'!$B$50</f>
        <v>18.75</v>
      </c>
      <c r="D85">
        <v>0</v>
      </c>
      <c r="P85">
        <f>IF(AND(27&lt;=Micrómetro!$B$52,27&lt;=Micrómetro!$B$43),27,-50)</f>
        <v>27</v>
      </c>
      <c r="Q85">
        <v>0</v>
      </c>
      <c r="AN85">
        <f>IF(MOD(27,10)=0,7.9,IF(MOD(27,5)=0,8.5,8.9))*SIN(RADIANS(27*3.6))</f>
        <v>8.8298208416988526</v>
      </c>
      <c r="AO85">
        <f>IF(MOD(27,10)=0,7.9,IF(MOD(27,5)=0,8.5,8.9))*COS(RADIANS(27*3.6))</f>
        <v>-1.115465778722309</v>
      </c>
      <c r="AQ85">
        <f>10.2*SIN(RADIANS(81*3))</f>
        <v>-9.0882665467213499</v>
      </c>
      <c r="AR85">
        <f>10.2*COS(RADIANS(81*3))</f>
        <v>-4.6307030973433783</v>
      </c>
      <c r="BA85">
        <f>1.7*SIN(RADIANS(('Reloj comparador'!$B$44+'Reloj comparador'!$B$45/100)*36))</f>
        <v>0.38126029361394792</v>
      </c>
      <c r="BB85">
        <f>3.6+1.7*COS(RADIANS(('Reloj comparador'!$B$44+'Reloj comparador'!$B$45/100)*36))</f>
        <v>5.2566956837371812</v>
      </c>
      <c r="BH85">
        <f>IF(MOD(27,10)=0,7.9,IF(MOD(27,5)=0,8.5,8.9))*SIN(RADIANS(27*3.6))</f>
        <v>8.8298208416988526</v>
      </c>
      <c r="BI85">
        <f>IF(MOD(27,10)=0,7.9,IF(MOD(27,5)=0,8.5,8.9))*COS(RADIANS(27*3.6))</f>
        <v>-1.115465778722309</v>
      </c>
      <c r="BK85">
        <f>10.2*SIN(RADIANS(81*3))</f>
        <v>-9.0882665467213499</v>
      </c>
      <c r="BL85">
        <f>10.2*COS(RADIANS(81*3))</f>
        <v>-4.6307030973433783</v>
      </c>
    </row>
    <row r="86" spans="1:64" x14ac:dyDescent="0.25">
      <c r="A86">
        <v>27</v>
      </c>
      <c r="B86">
        <f>IF(MOD(27,'Pie de rey'!$B$52)=0,2,IF(MOD(27,'Pie de rey'!$B$53)=0,1.5,IF(MOD(27,'Pie de rey'!$B$54)=0,1.1,0.75)))</f>
        <v>0.75</v>
      </c>
      <c r="C86">
        <f>C85</f>
        <v>18.75</v>
      </c>
      <c r="D86">
        <f>IF(MOD(MIN(27,'Pie de rey'!$B$43),'Pie de rey'!$B$56)=0,-1.8,-1.1)</f>
        <v>-1.8</v>
      </c>
      <c r="P86">
        <f>IF(AND(27&lt;=Micrómetro!$B$52,27&lt;=Micrómetro!$B$43),27,-50)</f>
        <v>27</v>
      </c>
      <c r="Q86">
        <f>IF(OR(Micrómetro!$B$41=1,MOD(27,2)=0),IF(Micrómetro!$B$41=1,IF(MOD(27,4)=0,1.6,1),IF(MOD(27,10)=0,1.6,1)),-1.1)</f>
        <v>-1.1000000000000001</v>
      </c>
      <c r="AN86">
        <f>9.6*SIN(RADIANS(27*3.6))</f>
        <v>9.5243011326189855</v>
      </c>
      <c r="AO86">
        <f>9.6*COS(RADIANS(27*3.6))</f>
        <v>-1.203199042217322</v>
      </c>
      <c r="AQ86">
        <f>10.2*SIN(RADIANS(82*3))</f>
        <v>-9.3181636679545292</v>
      </c>
      <c r="AR86">
        <f>10.2*COS(RADIANS(82*3))</f>
        <v>-4.1487137593731607</v>
      </c>
      <c r="BH86">
        <f>9.6*SIN(RADIANS(27*3.6))</f>
        <v>9.5243011326189855</v>
      </c>
      <c r="BI86">
        <f>9.6*COS(RADIANS(27*3.6))</f>
        <v>-1.203199042217322</v>
      </c>
      <c r="BK86">
        <f>10.2*SIN(RADIANS(82*3))</f>
        <v>-9.3181636679545292</v>
      </c>
      <c r="BL86">
        <f>10.2*COS(RADIANS(82*3))</f>
        <v>-4.1487137593731607</v>
      </c>
    </row>
    <row r="87" spans="1:64" x14ac:dyDescent="0.25">
      <c r="AQ87">
        <f>10.2*SIN(RADIANS(83*3))</f>
        <v>-9.5225203502714564</v>
      </c>
      <c r="AR87">
        <f>10.2*COS(RADIANS(83*3))</f>
        <v>-3.655353085362067</v>
      </c>
      <c r="BK87">
        <f>10.2*SIN(RADIANS(83*3))</f>
        <v>-9.5225203502714564</v>
      </c>
      <c r="BL87">
        <f>10.2*COS(RADIANS(83*3))</f>
        <v>-3.655353085362067</v>
      </c>
    </row>
    <row r="88" spans="1:64" x14ac:dyDescent="0.25">
      <c r="A88">
        <v>28</v>
      </c>
      <c r="B88">
        <v>0</v>
      </c>
      <c r="C88">
        <f>('Pie de rey'!$B$49/'Pie de rey'!$B$42-'Pie de rey'!$B$63)+MIN(28,'Pie de rey'!$B$43)*'Pie de rey'!$B$50</f>
        <v>18.75</v>
      </c>
      <c r="D88">
        <v>0</v>
      </c>
      <c r="P88">
        <f>IF(AND(28&lt;=Micrómetro!$B$52,28&lt;=Micrómetro!$B$43),28,-50)</f>
        <v>28</v>
      </c>
      <c r="Q88">
        <v>0</v>
      </c>
      <c r="AN88">
        <f>IF(MOD(28,10)=0,7.9,IF(MOD(28,5)=0,8.5,8.9))*SIN(RADIANS(28*3.6))</f>
        <v>8.7423565314853295</v>
      </c>
      <c r="AO88">
        <f>IF(MOD(28,10)=0,7.9,IF(MOD(28,5)=0,8.5,8.9))*COS(RADIANS(28*3.6))</f>
        <v>-1.667693699812949</v>
      </c>
      <c r="AQ88">
        <f>10.2*SIN(RADIANS(84*3))</f>
        <v>-9.7007764662105647</v>
      </c>
      <c r="AR88">
        <f>10.2*COS(RADIANS(84*3))</f>
        <v>-3.1519733426244647</v>
      </c>
      <c r="BH88">
        <f>IF(MOD(28,10)=0,7.9,IF(MOD(28,5)=0,8.5,8.9))*SIN(RADIANS(28*3.6))</f>
        <v>8.7423565314853295</v>
      </c>
      <c r="BI88">
        <f>IF(MOD(28,10)=0,7.9,IF(MOD(28,5)=0,8.5,8.9))*COS(RADIANS(28*3.6))</f>
        <v>-1.667693699812949</v>
      </c>
      <c r="BK88">
        <f>10.2*SIN(RADIANS(84*3))</f>
        <v>-9.7007764662105647</v>
      </c>
      <c r="BL88">
        <f>10.2*COS(RADIANS(84*3))</f>
        <v>-3.1519733426244647</v>
      </c>
    </row>
    <row r="89" spans="1:64" x14ac:dyDescent="0.25">
      <c r="A89">
        <v>28</v>
      </c>
      <c r="B89">
        <f>IF(MOD(28,'Pie de rey'!$B$52)=0,2,IF(MOD(28,'Pie de rey'!$B$53)=0,1.5,IF(MOD(28,'Pie de rey'!$B$54)=0,1.1,0.75)))</f>
        <v>1.1000000000000001</v>
      </c>
      <c r="C89">
        <f>C88</f>
        <v>18.75</v>
      </c>
      <c r="D89">
        <f>IF(MOD(MIN(28,'Pie de rey'!$B$43),'Pie de rey'!$B$56)=0,-1.8,-1.1)</f>
        <v>-1.8</v>
      </c>
      <c r="P89">
        <f>IF(AND(28&lt;=Micrómetro!$B$52,28&lt;=Micrómetro!$B$43),28,-50)</f>
        <v>28</v>
      </c>
      <c r="Q89">
        <f>IF(OR(Micrómetro!$B$41=1,MOD(28,2)=0),IF(Micrómetro!$B$41=1,IF(MOD(28,4)=0,1.6,1),IF(MOD(28,10)=0,1.6,1)),-1.1)</f>
        <v>1</v>
      </c>
      <c r="AN89">
        <f>9.6*SIN(RADIANS(28*3.6))</f>
        <v>9.4299576069954121</v>
      </c>
      <c r="AO89">
        <f>9.6*COS(RADIANS(28*3.6))</f>
        <v>-1.798860620022956</v>
      </c>
      <c r="AQ89">
        <f>10.2*SIN(RADIANS(85*3))</f>
        <v>-9.8524434281484954</v>
      </c>
      <c r="AR89">
        <f>10.2*COS(RADIANS(85*3))</f>
        <v>-2.6399542600457102</v>
      </c>
      <c r="BH89">
        <f>9.6*SIN(RADIANS(28*3.6))</f>
        <v>9.4299576069954121</v>
      </c>
      <c r="BI89">
        <f>9.6*COS(RADIANS(28*3.6))</f>
        <v>-1.798860620022956</v>
      </c>
      <c r="BK89">
        <f>10.2*SIN(RADIANS(85*3))</f>
        <v>-9.8524434281484954</v>
      </c>
      <c r="BL89">
        <f>10.2*COS(RADIANS(85*3))</f>
        <v>-2.6399542600457102</v>
      </c>
    </row>
    <row r="90" spans="1:64" x14ac:dyDescent="0.25">
      <c r="AQ90">
        <f>10.2*SIN(RADIANS(86*3))</f>
        <v>-9.9771055274848166</v>
      </c>
      <c r="AR90">
        <f>10.2*COS(RADIANS(86*3))</f>
        <v>-2.1206992463411498</v>
      </c>
      <c r="BA90">
        <f>1.05*SIN(RADIANS(0*36))</f>
        <v>0</v>
      </c>
      <c r="BB90">
        <f>3.6+1.05*COS(RADIANS(0*36))</f>
        <v>4.6500000000000004</v>
      </c>
      <c r="BC90" t="s">
        <v>332</v>
      </c>
      <c r="BK90">
        <f>10.2*SIN(RADIANS(86*3))</f>
        <v>-9.9771055274848166</v>
      </c>
      <c r="BL90">
        <f>10.2*COS(RADIANS(86*3))</f>
        <v>-2.1206992463411498</v>
      </c>
    </row>
    <row r="91" spans="1:64" x14ac:dyDescent="0.25">
      <c r="A91">
        <v>29</v>
      </c>
      <c r="B91">
        <v>0</v>
      </c>
      <c r="C91">
        <f>('Pie de rey'!$B$49/'Pie de rey'!$B$42-'Pie de rey'!$B$63)+MIN(29,'Pie de rey'!$B$43)*'Pie de rey'!$B$50</f>
        <v>18.75</v>
      </c>
      <c r="D91">
        <v>0</v>
      </c>
      <c r="P91">
        <f>IF(AND(29&lt;=Micrómetro!$B$52,29&lt;=Micrómetro!$B$43),29,-50)</f>
        <v>29</v>
      </c>
      <c r="Q91">
        <v>0</v>
      </c>
      <c r="AN91">
        <f>IF(MOD(29,10)=0,7.9,IF(MOD(29,5)=0,8.5,8.9))*SIN(RADIANS(29*3.6))</f>
        <v>8.6203901340448166</v>
      </c>
      <c r="AO91">
        <f>IF(MOD(29,10)=0,7.9,IF(MOD(29,5)=0,8.5,8.9))*COS(RADIANS(29*3.6))</f>
        <v>-2.2133399957672082</v>
      </c>
      <c r="AQ91">
        <f>10.2*SIN(RADIANS(87*3))</f>
        <v>-10.074421074070404</v>
      </c>
      <c r="AR91">
        <f>10.2*COS(RADIANS(87*3))</f>
        <v>-1.5956315434103565</v>
      </c>
      <c r="BA91">
        <f>1.05*SIN(RADIANS(1*36))</f>
        <v>0.61717451490709685</v>
      </c>
      <c r="BB91">
        <f>3.6+1.05*COS(RADIANS(1*36))</f>
        <v>4.4494678440936948</v>
      </c>
      <c r="BC91" t="s">
        <v>343</v>
      </c>
      <c r="BH91">
        <f>IF(MOD(29,10)=0,7.9,IF(MOD(29,5)=0,8.5,8.9))*SIN(RADIANS(29*3.6))</f>
        <v>8.6203901340448166</v>
      </c>
      <c r="BI91">
        <f>IF(MOD(29,10)=0,7.9,IF(MOD(29,5)=0,8.5,8.9))*COS(RADIANS(29*3.6))</f>
        <v>-2.2133399957672082</v>
      </c>
      <c r="BK91">
        <f>10.2*SIN(RADIANS(87*3))</f>
        <v>-10.074421074070404</v>
      </c>
      <c r="BL91">
        <f>10.2*COS(RADIANS(87*3))</f>
        <v>-1.5956315434103565</v>
      </c>
    </row>
    <row r="92" spans="1:64" x14ac:dyDescent="0.25">
      <c r="A92">
        <v>29</v>
      </c>
      <c r="B92">
        <f>IF(MOD(29,'Pie de rey'!$B$52)=0,2,IF(MOD(29,'Pie de rey'!$B$53)=0,1.5,IF(MOD(29,'Pie de rey'!$B$54)=0,1.1,0.75)))</f>
        <v>0.75</v>
      </c>
      <c r="C92">
        <f>C91</f>
        <v>18.75</v>
      </c>
      <c r="D92">
        <f>IF(MOD(MIN(29,'Pie de rey'!$B$43),'Pie de rey'!$B$56)=0,-1.8,-1.1)</f>
        <v>-1.8</v>
      </c>
      <c r="P92">
        <f>IF(AND(29&lt;=Micrómetro!$B$52,29&lt;=Micrómetro!$B$43),29,-50)</f>
        <v>29</v>
      </c>
      <c r="Q92">
        <f>IF(OR(Micrómetro!$B$41=1,MOD(29,2)=0),IF(Micrómetro!$B$41=1,IF(MOD(29,4)=0,1.6,1),IF(MOD(29,10)=0,1.6,1)),-1.1)</f>
        <v>-1.1000000000000001</v>
      </c>
      <c r="AN92">
        <f>9.6*SIN(RADIANS(29*3.6))</f>
        <v>9.2983983468348583</v>
      </c>
      <c r="AO92">
        <f>9.6*COS(RADIANS(29*3.6))</f>
        <v>-2.3874229167826067</v>
      </c>
      <c r="AQ92">
        <f>10.2*SIN(RADIANS(88*3))</f>
        <v>-10.144123332756388</v>
      </c>
      <c r="AR92">
        <f>10.2*COS(RADIANS(88*3))</f>
        <v>-1.0661903253300642</v>
      </c>
      <c r="BA92">
        <f>1.05*SIN(RADIANS(2*36))</f>
        <v>0.99860934210991126</v>
      </c>
      <c r="BB92">
        <f>3.6+1.05*COS(RADIANS(2*36))</f>
        <v>3.9244678440936949</v>
      </c>
      <c r="BC92" t="s">
        <v>344</v>
      </c>
      <c r="BH92">
        <f>9.6*SIN(RADIANS(29*3.6))</f>
        <v>9.2983983468348583</v>
      </c>
      <c r="BI92">
        <f>9.6*COS(RADIANS(29*3.6))</f>
        <v>-2.3874229167826067</v>
      </c>
      <c r="BK92">
        <f>10.2*SIN(RADIANS(88*3))</f>
        <v>-10.144123332756388</v>
      </c>
      <c r="BL92">
        <f>10.2*COS(RADIANS(88*3))</f>
        <v>-1.0661903253300642</v>
      </c>
    </row>
    <row r="93" spans="1:64" x14ac:dyDescent="0.25">
      <c r="AQ93">
        <f>10.2*SIN(RADIANS(89*3))</f>
        <v>-10.186021254496652</v>
      </c>
      <c r="AR93">
        <f>10.2*COS(RADIANS(89*3))</f>
        <v>-0.5338267536780319</v>
      </c>
      <c r="BA93">
        <f>1.05*SIN(RADIANS(3*36))</f>
        <v>0.99860934210991137</v>
      </c>
      <c r="BB93">
        <f>3.6+1.05*COS(RADIANS(3*36))</f>
        <v>3.2755321559063053</v>
      </c>
      <c r="BC93" t="s">
        <v>345</v>
      </c>
      <c r="BK93">
        <f>10.2*SIN(RADIANS(89*3))</f>
        <v>-10.186021254496652</v>
      </c>
      <c r="BL93">
        <f>10.2*COS(RADIANS(89*3))</f>
        <v>-0.5338267536780319</v>
      </c>
    </row>
    <row r="94" spans="1:64" x14ac:dyDescent="0.25">
      <c r="A94">
        <v>30</v>
      </c>
      <c r="B94">
        <v>0</v>
      </c>
      <c r="C94">
        <f>('Pie de rey'!$B$49/'Pie de rey'!$B$42-'Pie de rey'!$B$63)+MIN(30,'Pie de rey'!$B$43)*'Pie de rey'!$B$50</f>
        <v>18.75</v>
      </c>
      <c r="D94">
        <v>0</v>
      </c>
      <c r="P94">
        <f>IF(AND(30&lt;=Micrómetro!$B$52,30&lt;=Micrómetro!$B$43),30,-50)</f>
        <v>30</v>
      </c>
      <c r="Q94">
        <v>0</v>
      </c>
      <c r="AN94">
        <f>IF(MOD(30,10)=0,7.9,IF(MOD(30,5)=0,8.5,8.9))*SIN(RADIANS(30*3.6))</f>
        <v>7.5133464787317141</v>
      </c>
      <c r="AO94">
        <f>IF(MOD(30,10)=0,7.9,IF(MOD(30,5)=0,8.5,8.9))*COS(RADIANS(30*3.6))</f>
        <v>-2.4412342555620841</v>
      </c>
      <c r="AQ94">
        <f>10.2*SIN(RADIANS(90*3))</f>
        <v>-10.199999999999999</v>
      </c>
      <c r="AR94">
        <f>10.2*COS(RADIANS(90*3))</f>
        <v>-1.8744771360101886E-15</v>
      </c>
      <c r="BA94">
        <f>1.05*SIN(RADIANS(4*36))</f>
        <v>0.61717451490709696</v>
      </c>
      <c r="BB94">
        <f>3.6+1.05*COS(RADIANS(4*36))</f>
        <v>2.7505321559063054</v>
      </c>
      <c r="BC94" t="s">
        <v>346</v>
      </c>
      <c r="BH94">
        <f>IF(MOD(30,10)=0,7.9,IF(MOD(30,5)=0,8.5,8.9))*SIN(RADIANS(30*3.6))</f>
        <v>7.5133464787317141</v>
      </c>
      <c r="BI94">
        <f>IF(MOD(30,10)=0,7.9,IF(MOD(30,5)=0,8.5,8.9))*COS(RADIANS(30*3.6))</f>
        <v>-2.4412342555620841</v>
      </c>
      <c r="BK94">
        <f>10.2*SIN(RADIANS(90*3))</f>
        <v>-10.199999999999999</v>
      </c>
      <c r="BL94">
        <f>10.2*COS(RADIANS(90*3))</f>
        <v>-1.8744771360101886E-15</v>
      </c>
    </row>
    <row r="95" spans="1:64" x14ac:dyDescent="0.25">
      <c r="A95">
        <v>30</v>
      </c>
      <c r="B95">
        <f>IF(MOD(30,'Pie de rey'!$B$52)=0,2,IF(MOD(30,'Pie de rey'!$B$53)=0,1.5,IF(MOD(30,'Pie de rey'!$B$54)=0,1.1,0.75)))</f>
        <v>0.75</v>
      </c>
      <c r="C95">
        <f>C94</f>
        <v>18.75</v>
      </c>
      <c r="D95">
        <f>IF(MOD(MIN(30,'Pie de rey'!$B$43),'Pie de rey'!$B$56)=0,-1.8,-1.1)</f>
        <v>-1.8</v>
      </c>
      <c r="P95">
        <f>IF(AND(30&lt;=Micrómetro!$B$52,30&lt;=Micrómetro!$B$43),30,-50)</f>
        <v>30</v>
      </c>
      <c r="Q95">
        <f>IF(OR(Micrómetro!$B$41=1,MOD(30,2)=0),IF(Micrómetro!$B$41=1,IF(MOD(30,4)=0,1.6,1),IF(MOD(30,10)=0,1.6,1)),-1.1)</f>
        <v>1.6</v>
      </c>
      <c r="AN95">
        <f>9.6*SIN(RADIANS(30*3.6))</f>
        <v>9.1301425564334746</v>
      </c>
      <c r="AO95">
        <f>9.6*COS(RADIANS(30*3.6))</f>
        <v>-2.9665631459994946</v>
      </c>
      <c r="AQ95">
        <f>10.2*SIN(RADIANS(91*3))</f>
        <v>-10.186021254496652</v>
      </c>
      <c r="AR95">
        <f>10.2*COS(RADIANS(91*3))</f>
        <v>0.53382675367802823</v>
      </c>
      <c r="BA95">
        <f>1.05*SIN(RADIANS(5*36))</f>
        <v>1.286405877654051E-16</v>
      </c>
      <c r="BB95">
        <f>3.6+1.05*COS(RADIANS(5*36))</f>
        <v>2.5499999999999998</v>
      </c>
      <c r="BC95" t="s">
        <v>347</v>
      </c>
      <c r="BH95">
        <f>9.6*SIN(RADIANS(30*3.6))</f>
        <v>9.1301425564334746</v>
      </c>
      <c r="BI95">
        <f>9.6*COS(RADIANS(30*3.6))</f>
        <v>-2.9665631459994946</v>
      </c>
      <c r="BK95">
        <f>10.2*SIN(RADIANS(91*3))</f>
        <v>-10.186021254496652</v>
      </c>
      <c r="BL95">
        <f>10.2*COS(RADIANS(91*3))</f>
        <v>0.53382675367802823</v>
      </c>
    </row>
    <row r="96" spans="1:64" x14ac:dyDescent="0.25">
      <c r="AQ96">
        <f>10.2*SIN(RADIANS(92*3))</f>
        <v>-10.144123332756388</v>
      </c>
      <c r="AR96">
        <f>10.2*COS(RADIANS(92*3))</f>
        <v>1.0661903253300604</v>
      </c>
      <c r="BA96">
        <f>1.05*SIN(RADIANS(6*36))</f>
        <v>-0.61717451490709674</v>
      </c>
      <c r="BB96">
        <f>3.6+1.05*COS(RADIANS(6*36))</f>
        <v>2.750532155906305</v>
      </c>
      <c r="BC96" t="s">
        <v>348</v>
      </c>
      <c r="BK96">
        <f>10.2*SIN(RADIANS(92*3))</f>
        <v>-10.144123332756388</v>
      </c>
      <c r="BL96">
        <f>10.2*COS(RADIANS(92*3))</f>
        <v>1.0661903253300604</v>
      </c>
    </row>
    <row r="97" spans="1:64" x14ac:dyDescent="0.25">
      <c r="A97">
        <v>31</v>
      </c>
      <c r="B97">
        <v>0</v>
      </c>
      <c r="C97">
        <f>('Pie de rey'!$B$49/'Pie de rey'!$B$42-'Pie de rey'!$B$63)+MIN(31,'Pie de rey'!$B$43)*'Pie de rey'!$B$50</f>
        <v>18.75</v>
      </c>
      <c r="D97">
        <v>0</v>
      </c>
      <c r="P97">
        <f>IF(AND(31&lt;=Micrómetro!$B$52,31&lt;=Micrómetro!$B$43),31,-50)</f>
        <v>31</v>
      </c>
      <c r="Q97">
        <v>0</v>
      </c>
      <c r="AN97">
        <f>IF(MOD(31,10)=0,7.9,IF(MOD(31,5)=0,8.5,8.9))*SIN(RADIANS(31*3.6))</f>
        <v>8.2750107244054369</v>
      </c>
      <c r="AO97">
        <f>IF(MOD(31,10)=0,7.9,IF(MOD(31,5)=0,8.5,8.9))*COS(RADIANS(31*3.6))</f>
        <v>-3.2763085188936341</v>
      </c>
      <c r="AQ97">
        <f>10.2*SIN(RADIANS(93*3))</f>
        <v>-10.074421074070404</v>
      </c>
      <c r="AR97">
        <f>10.2*COS(RADIANS(93*3))</f>
        <v>1.5956315434103527</v>
      </c>
      <c r="BA97">
        <f>1.05*SIN(RADIANS(7*36))</f>
        <v>-0.99860934210991126</v>
      </c>
      <c r="BB97">
        <f>3.6+1.05*COS(RADIANS(7*36))</f>
        <v>3.2755321559063053</v>
      </c>
      <c r="BC97" t="s">
        <v>349</v>
      </c>
      <c r="BH97">
        <f>IF(MOD(31,10)=0,7.9,IF(MOD(31,5)=0,8.5,8.9))*SIN(RADIANS(31*3.6))</f>
        <v>8.2750107244054369</v>
      </c>
      <c r="BI97">
        <f>IF(MOD(31,10)=0,7.9,IF(MOD(31,5)=0,8.5,8.9))*COS(RADIANS(31*3.6))</f>
        <v>-3.2763085188936341</v>
      </c>
      <c r="BK97">
        <f>10.2*SIN(RADIANS(93*3))</f>
        <v>-10.074421074070404</v>
      </c>
      <c r="BL97">
        <f>10.2*COS(RADIANS(93*3))</f>
        <v>1.5956315434103527</v>
      </c>
    </row>
    <row r="98" spans="1:64" x14ac:dyDescent="0.25">
      <c r="A98">
        <v>31</v>
      </c>
      <c r="B98">
        <f>IF(MOD(31,'Pie de rey'!$B$52)=0,2,IF(MOD(31,'Pie de rey'!$B$53)=0,1.5,IF(MOD(31,'Pie de rey'!$B$54)=0,1.1,0.75)))</f>
        <v>0.75</v>
      </c>
      <c r="C98">
        <f>C97</f>
        <v>18.75</v>
      </c>
      <c r="D98">
        <f>IF(MOD(MIN(31,'Pie de rey'!$B$43),'Pie de rey'!$B$56)=0,-1.8,-1.1)</f>
        <v>-1.8</v>
      </c>
      <c r="P98">
        <f>IF(AND(31&lt;=Micrómetro!$B$52,31&lt;=Micrómetro!$B$43),31,-50)</f>
        <v>31</v>
      </c>
      <c r="Q98">
        <f>IF(OR(Micrómetro!$B$41=1,MOD(31,2)=0),IF(Micrómetro!$B$41=1,IF(MOD(31,4)=0,1.6,1),IF(MOD(31,10)=0,1.6,1)),-1.1)</f>
        <v>-1.1000000000000001</v>
      </c>
      <c r="AN98">
        <f>9.6*SIN(RADIANS(31*3.6))</f>
        <v>8.9258542645272119</v>
      </c>
      <c r="AO98">
        <f>9.6*COS(RADIANS(31*3.6))</f>
        <v>-3.5339957057729086</v>
      </c>
      <c r="AQ98">
        <f>10.2*SIN(RADIANS(94*3))</f>
        <v>-9.9771055274848166</v>
      </c>
      <c r="AR98">
        <f>10.2*COS(RADIANS(94*3))</f>
        <v>2.1206992463411458</v>
      </c>
      <c r="BA98">
        <f>1.05*SIN(RADIANS(8*36))</f>
        <v>-0.99860934210991137</v>
      </c>
      <c r="BB98">
        <f>3.6+1.05*COS(RADIANS(8*36))</f>
        <v>3.9244678440936949</v>
      </c>
      <c r="BC98" t="s">
        <v>350</v>
      </c>
      <c r="BH98">
        <f>9.6*SIN(RADIANS(31*3.6))</f>
        <v>8.9258542645272119</v>
      </c>
      <c r="BI98">
        <f>9.6*COS(RADIANS(31*3.6))</f>
        <v>-3.5339957057729086</v>
      </c>
      <c r="BK98">
        <f>10.2*SIN(RADIANS(94*3))</f>
        <v>-9.9771055274848166</v>
      </c>
      <c r="BL98">
        <f>10.2*COS(RADIANS(94*3))</f>
        <v>2.1206992463411458</v>
      </c>
    </row>
    <row r="99" spans="1:64" x14ac:dyDescent="0.25">
      <c r="AQ99">
        <f>10.2*SIN(RADIANS(95*3))</f>
        <v>-9.8524434281484972</v>
      </c>
      <c r="AR99">
        <f>10.2*COS(RADIANS(95*3))</f>
        <v>2.6399542600457067</v>
      </c>
      <c r="BA99">
        <f>1.05*SIN(RADIANS(9*36))</f>
        <v>-0.61717451490709707</v>
      </c>
      <c r="BB99">
        <f>3.6+1.05*COS(RADIANS(9*36))</f>
        <v>4.4494678440936948</v>
      </c>
      <c r="BC99" t="s">
        <v>351</v>
      </c>
      <c r="BK99">
        <f>10.2*SIN(RADIANS(95*3))</f>
        <v>-9.8524434281484972</v>
      </c>
      <c r="BL99">
        <f>10.2*COS(RADIANS(95*3))</f>
        <v>2.6399542600457067</v>
      </c>
    </row>
    <row r="100" spans="1:64" x14ac:dyDescent="0.25">
      <c r="A100">
        <v>32</v>
      </c>
      <c r="B100">
        <v>0</v>
      </c>
      <c r="C100">
        <f>('Pie de rey'!$B$49/'Pie de rey'!$B$42-'Pie de rey'!$B$63)+MIN(32,'Pie de rey'!$B$43)*'Pie de rey'!$B$50</f>
        <v>18.75</v>
      </c>
      <c r="D100">
        <v>0</v>
      </c>
      <c r="P100">
        <f>IF(AND(32&lt;=Micrómetro!$B$52,32&lt;=Micrómetro!$B$43),32,-50)</f>
        <v>32</v>
      </c>
      <c r="Q100">
        <v>0</v>
      </c>
      <c r="AN100">
        <f>IF(MOD(32,10)=0,7.9,IF(MOD(32,5)=0,8.5,8.9))*SIN(RADIANS(32*3.6))</f>
        <v>8.0529607669475727</v>
      </c>
      <c r="AO100">
        <f>IF(MOD(32,10)=0,7.9,IF(MOD(32,5)=0,8.5,8.9))*COS(RADIANS(32*3.6))</f>
        <v>-3.7894356949291472</v>
      </c>
      <c r="AQ100">
        <f>10.2*SIN(RADIANS(96*3))</f>
        <v>-9.7007764662105664</v>
      </c>
      <c r="AR100">
        <f>10.2*COS(RADIANS(96*3))</f>
        <v>3.1519733426244616</v>
      </c>
      <c r="BH100">
        <f>IF(MOD(32,10)=0,7.9,IF(MOD(32,5)=0,8.5,8.9))*SIN(RADIANS(32*3.6))</f>
        <v>8.0529607669475727</v>
      </c>
      <c r="BI100">
        <f>IF(MOD(32,10)=0,7.9,IF(MOD(32,5)=0,8.5,8.9))*COS(RADIANS(32*3.6))</f>
        <v>-3.7894356949291472</v>
      </c>
      <c r="BK100">
        <f>10.2*SIN(RADIANS(96*3))</f>
        <v>-9.7007764662105664</v>
      </c>
      <c r="BL100">
        <f>10.2*COS(RADIANS(96*3))</f>
        <v>3.1519733426244616</v>
      </c>
    </row>
    <row r="101" spans="1:64" x14ac:dyDescent="0.25">
      <c r="A101">
        <v>32</v>
      </c>
      <c r="B101">
        <f>IF(MOD(32,'Pie de rey'!$B$52)=0,2,IF(MOD(32,'Pie de rey'!$B$53)=0,1.5,IF(MOD(32,'Pie de rey'!$B$54)=0,1.1,0.75)))</f>
        <v>2</v>
      </c>
      <c r="C101">
        <f>C100</f>
        <v>18.75</v>
      </c>
      <c r="D101">
        <f>IF(MOD(MIN(32,'Pie de rey'!$B$43),'Pie de rey'!$B$56)=0,-1.8,-1.1)</f>
        <v>-1.8</v>
      </c>
      <c r="P101">
        <f>IF(AND(32&lt;=Micrómetro!$B$52,32&lt;=Micrómetro!$B$43),32,-50)</f>
        <v>32</v>
      </c>
      <c r="Q101">
        <f>IF(OR(Micrómetro!$B$41=1,MOD(32,2)=0),IF(Micrómetro!$B$41=1,IF(MOD(32,4)=0,1.6,1),IF(MOD(32,10)=0,1.6,1)),-1.1)</f>
        <v>1</v>
      </c>
      <c r="AN101">
        <f>9.6*SIN(RADIANS(32*3.6))</f>
        <v>8.6863397036737862</v>
      </c>
      <c r="AO101">
        <f>9.6*COS(RADIANS(32*3.6))</f>
        <v>-4.0874811990246975</v>
      </c>
      <c r="AQ101">
        <f>10.2*SIN(RADIANS(97*3))</f>
        <v>-9.5225203502714564</v>
      </c>
      <c r="AR101">
        <f>10.2*COS(RADIANS(97*3))</f>
        <v>3.6553530853620635</v>
      </c>
      <c r="BH101">
        <f>9.6*SIN(RADIANS(32*3.6))</f>
        <v>8.6863397036737862</v>
      </c>
      <c r="BI101">
        <f>9.6*COS(RADIANS(32*3.6))</f>
        <v>-4.0874811990246975</v>
      </c>
      <c r="BK101">
        <f>10.2*SIN(RADIANS(97*3))</f>
        <v>-9.5225203502714564</v>
      </c>
      <c r="BL101">
        <f>10.2*COS(RADIANS(97*3))</f>
        <v>3.6553530853620635</v>
      </c>
    </row>
    <row r="102" spans="1:64" x14ac:dyDescent="0.25">
      <c r="AQ102">
        <f>10.2*SIN(RADIANS(98*3))</f>
        <v>-9.318163667954531</v>
      </c>
      <c r="AR102">
        <f>10.2*COS(RADIANS(98*3))</f>
        <v>4.1487137593731571</v>
      </c>
      <c r="BK102">
        <f>10.2*SIN(RADIANS(98*3))</f>
        <v>-9.318163667954531</v>
      </c>
      <c r="BL102">
        <f>10.2*COS(RADIANS(98*3))</f>
        <v>4.1487137593731571</v>
      </c>
    </row>
    <row r="103" spans="1:64" x14ac:dyDescent="0.25">
      <c r="A103">
        <v>33</v>
      </c>
      <c r="B103">
        <v>0</v>
      </c>
      <c r="C103">
        <f>('Pie de rey'!$B$49/'Pie de rey'!$B$42-'Pie de rey'!$B$63)+MIN(33,'Pie de rey'!$B$43)*'Pie de rey'!$B$50</f>
        <v>18.75</v>
      </c>
      <c r="D103">
        <v>0</v>
      </c>
      <c r="P103">
        <f>IF(AND(33&lt;=Micrómetro!$B$52,33&lt;=Micrómetro!$B$43),33,-50)</f>
        <v>33</v>
      </c>
      <c r="Q103">
        <v>0</v>
      </c>
      <c r="AN103">
        <f>IF(MOD(33,10)=0,7.9,IF(MOD(33,5)=0,8.5,8.9))*SIN(RADIANS(33*3.6))</f>
        <v>7.7991294523903871</v>
      </c>
      <c r="AO103">
        <f>IF(MOD(33,10)=0,7.9,IF(MOD(33,5)=0,8.5,8.9))*COS(RADIANS(33*3.6))</f>
        <v>-4.2876076995052639</v>
      </c>
      <c r="AQ103">
        <f>10.2*SIN(RADIANS(99*3))</f>
        <v>-9.0882665467213517</v>
      </c>
      <c r="AR103">
        <f>10.2*COS(RADIANS(99*3))</f>
        <v>4.6307030973433756</v>
      </c>
      <c r="BH103">
        <f>IF(MOD(33,10)=0,7.9,IF(MOD(33,5)=0,8.5,8.9))*SIN(RADIANS(33*3.6))</f>
        <v>7.7991294523903871</v>
      </c>
      <c r="BI103">
        <f>IF(MOD(33,10)=0,7.9,IF(MOD(33,5)=0,8.5,8.9))*COS(RADIANS(33*3.6))</f>
        <v>-4.2876076995052639</v>
      </c>
      <c r="BK103">
        <f>10.2*SIN(RADIANS(99*3))</f>
        <v>-9.0882665467213517</v>
      </c>
      <c r="BL103">
        <f>10.2*COS(RADIANS(99*3))</f>
        <v>4.6307030973433756</v>
      </c>
    </row>
    <row r="104" spans="1:64" x14ac:dyDescent="0.25">
      <c r="A104">
        <v>33</v>
      </c>
      <c r="B104">
        <f>IF(MOD(33,'Pie de rey'!$B$52)=0,2,IF(MOD(33,'Pie de rey'!$B$53)=0,1.5,IF(MOD(33,'Pie de rey'!$B$54)=0,1.1,0.75)))</f>
        <v>0.75</v>
      </c>
      <c r="C104">
        <f>C103</f>
        <v>18.75</v>
      </c>
      <c r="D104">
        <f>IF(MOD(MIN(33,'Pie de rey'!$B$43),'Pie de rey'!$B$56)=0,-1.8,-1.1)</f>
        <v>-1.8</v>
      </c>
      <c r="P104">
        <f>IF(AND(33&lt;=Micrómetro!$B$52,33&lt;=Micrómetro!$B$43),33,-50)</f>
        <v>33</v>
      </c>
      <c r="Q104">
        <f>IF(OR(Micrómetro!$B$41=1,MOD(33,2)=0),IF(Micrómetro!$B$41=1,IF(MOD(33,4)=0,1.6,1),IF(MOD(33,10)=0,1.6,1)),-1.1)</f>
        <v>-1.1000000000000001</v>
      </c>
      <c r="AN104">
        <f>9.6*SIN(RADIANS(33*3.6))</f>
        <v>8.4125441284210911</v>
      </c>
      <c r="AO104">
        <f>9.6*COS(RADIANS(33*3.6))</f>
        <v>-4.6248352713764644</v>
      </c>
      <c r="AQ104">
        <f>10.2*SIN(RADIANS(100*3))</f>
        <v>-8.8334591186012723</v>
      </c>
      <c r="AR104">
        <f>10.2*COS(RADIANS(100*3))</f>
        <v>5.1000000000000005</v>
      </c>
      <c r="BH104">
        <f>9.6*SIN(RADIANS(33*3.6))</f>
        <v>8.4125441284210911</v>
      </c>
      <c r="BI104">
        <f>9.6*COS(RADIANS(33*3.6))</f>
        <v>-4.6248352713764644</v>
      </c>
      <c r="BK104">
        <f>10.2*SIN(RADIANS(100*3))</f>
        <v>-8.8334591186012723</v>
      </c>
      <c r="BL104">
        <f>10.2*COS(RADIANS(100*3))</f>
        <v>5.1000000000000005</v>
      </c>
    </row>
    <row r="105" spans="1:64" x14ac:dyDescent="0.25">
      <c r="AQ105">
        <f>10.2*SIN(RADIANS(101*3))</f>
        <v>-8.5544397930433274</v>
      </c>
      <c r="AR105">
        <f>10.2*COS(RADIANS(101*3))</f>
        <v>5.5553181571532715</v>
      </c>
      <c r="BK105">
        <f>10.2*SIN(RADIANS(101*3))</f>
        <v>-8.5544397930433274</v>
      </c>
      <c r="BL105">
        <f>10.2*COS(RADIANS(101*3))</f>
        <v>5.5553181571532715</v>
      </c>
    </row>
    <row r="106" spans="1:64" x14ac:dyDescent="0.25">
      <c r="A106">
        <v>34</v>
      </c>
      <c r="B106">
        <v>0</v>
      </c>
      <c r="C106">
        <f>('Pie de rey'!$B$49/'Pie de rey'!$B$42-'Pie de rey'!$B$63)+MIN(34,'Pie de rey'!$B$43)*'Pie de rey'!$B$50</f>
        <v>18.75</v>
      </c>
      <c r="D106">
        <v>0</v>
      </c>
      <c r="P106">
        <f>IF(AND(34&lt;=Micrómetro!$B$52,34&lt;=Micrómetro!$B$43),34,-50)</f>
        <v>34</v>
      </c>
      <c r="Q106">
        <v>0</v>
      </c>
      <c r="AN106">
        <f>IF(MOD(34,10)=0,7.9,IF(MOD(34,5)=0,8.5,8.9))*SIN(RADIANS(34*3.6))</f>
        <v>7.5145185369679339</v>
      </c>
      <c r="AO106">
        <f>IF(MOD(34,10)=0,7.9,IF(MOD(34,5)=0,8.5,8.9))*COS(RADIANS(34*3.6))</f>
        <v>-4.7688584753130723</v>
      </c>
      <c r="AQ106">
        <f>10.2*SIN(RADIANS(102*3))</f>
        <v>-8.2519733426244652</v>
      </c>
      <c r="AR106">
        <f>10.2*COS(RADIANS(102*3))</f>
        <v>5.9954095733832231</v>
      </c>
      <c r="BH106">
        <f>IF(MOD(34,10)=0,7.9,IF(MOD(34,5)=0,8.5,8.9))*SIN(RADIANS(34*3.6))</f>
        <v>7.5145185369679339</v>
      </c>
      <c r="BI106">
        <f>IF(MOD(34,10)=0,7.9,IF(MOD(34,5)=0,8.5,8.9))*COS(RADIANS(34*3.6))</f>
        <v>-4.7688584753130723</v>
      </c>
      <c r="BK106">
        <f>10.2*SIN(RADIANS(102*3))</f>
        <v>-8.2519733426244652</v>
      </c>
      <c r="BL106">
        <f>10.2*COS(RADIANS(102*3))</f>
        <v>5.9954095733832231</v>
      </c>
    </row>
    <row r="107" spans="1:64" x14ac:dyDescent="0.25">
      <c r="A107">
        <v>34</v>
      </c>
      <c r="B107">
        <f>IF(MOD(34,'Pie de rey'!$B$52)=0,2,IF(MOD(34,'Pie de rey'!$B$53)=0,1.5,IF(MOD(34,'Pie de rey'!$B$54)=0,1.1,0.75)))</f>
        <v>0.75</v>
      </c>
      <c r="C107">
        <f>C106</f>
        <v>18.75</v>
      </c>
      <c r="D107">
        <f>IF(MOD(MIN(34,'Pie de rey'!$B$43),'Pie de rey'!$B$56)=0,-1.8,-1.1)</f>
        <v>-1.8</v>
      </c>
      <c r="P107">
        <f>IF(AND(34&lt;=Micrómetro!$B$52,34&lt;=Micrómetro!$B$43),34,-50)</f>
        <v>34</v>
      </c>
      <c r="Q107">
        <f>IF(OR(Micrómetro!$B$41=1,MOD(34,2)=0),IF(Micrómetro!$B$41=1,IF(MOD(34,4)=0,1.6,1),IF(MOD(34,10)=0,1.6,1)),-1.1)</f>
        <v>1</v>
      </c>
      <c r="AN107">
        <f>9.6*SIN(RADIANS(34*3.6))</f>
        <v>8.1055480848193433</v>
      </c>
      <c r="AO107">
        <f>9.6*COS(RADIANS(34*3.6))</f>
        <v>-5.14393723179837</v>
      </c>
      <c r="AQ107">
        <f>10.2*SIN(RADIANS(103*3))</f>
        <v>-7.9268888068611014</v>
      </c>
      <c r="AR107">
        <f>10.2*COS(RADIANS(103*3))</f>
        <v>6.4190679887083419</v>
      </c>
      <c r="BH107">
        <f>9.6*SIN(RADIANS(34*3.6))</f>
        <v>8.1055480848193433</v>
      </c>
      <c r="BI107">
        <f>9.6*COS(RADIANS(34*3.6))</f>
        <v>-5.14393723179837</v>
      </c>
      <c r="BK107">
        <f>10.2*SIN(RADIANS(103*3))</f>
        <v>-7.9268888068611014</v>
      </c>
      <c r="BL107">
        <f>10.2*COS(RADIANS(103*3))</f>
        <v>6.4190679887083419</v>
      </c>
    </row>
    <row r="108" spans="1:64" x14ac:dyDescent="0.25">
      <c r="AQ108">
        <f>10.2*SIN(RADIANS(104*3))</f>
        <v>-7.5800772198694242</v>
      </c>
      <c r="AR108">
        <f>10.2*COS(RADIANS(104*3))</f>
        <v>6.8251321848603492</v>
      </c>
      <c r="BK108">
        <f>10.2*SIN(RADIANS(104*3))</f>
        <v>-7.5800772198694242</v>
      </c>
      <c r="BL108">
        <f>10.2*COS(RADIANS(104*3))</f>
        <v>6.8251321848603492</v>
      </c>
    </row>
    <row r="109" spans="1:64" x14ac:dyDescent="0.25">
      <c r="A109">
        <v>35</v>
      </c>
      <c r="B109">
        <v>0</v>
      </c>
      <c r="C109">
        <f>('Pie de rey'!$B$49/'Pie de rey'!$B$42-'Pie de rey'!$B$63)+MIN(35,'Pie de rey'!$B$43)*'Pie de rey'!$B$50</f>
        <v>18.75</v>
      </c>
      <c r="D109">
        <v>0</v>
      </c>
      <c r="P109">
        <f>IF(AND(35&lt;=Micrómetro!$B$52,35&lt;=Micrómetro!$B$43),35,-50)</f>
        <v>35</v>
      </c>
      <c r="Q109">
        <v>0</v>
      </c>
      <c r="AN109">
        <f>IF(MOD(35,10)=0,7.9,IF(MOD(35,5)=0,8.5,8.9))*SIN(RADIANS(35*3.6))</f>
        <v>6.8766444521870529</v>
      </c>
      <c r="AO109">
        <f>IF(MOD(35,10)=0,7.9,IF(MOD(35,5)=0,8.5,8.9))*COS(RADIANS(35*3.6))</f>
        <v>-4.9961746444860209</v>
      </c>
      <c r="AQ109">
        <f>10.2*SIN(RADIANS(105*3))</f>
        <v>-7.2124891681027856</v>
      </c>
      <c r="AR109">
        <f>10.2*COS(RADIANS(105*3))</f>
        <v>7.2124891681027821</v>
      </c>
      <c r="BH109">
        <f>IF(MOD(35,10)=0,7.9,IF(MOD(35,5)=0,8.5,8.9))*SIN(RADIANS(35*3.6))</f>
        <v>6.8766444521870529</v>
      </c>
      <c r="BI109">
        <f>IF(MOD(35,10)=0,7.9,IF(MOD(35,5)=0,8.5,8.9))*COS(RADIANS(35*3.6))</f>
        <v>-4.9961746444860209</v>
      </c>
      <c r="BK109">
        <f>10.2*SIN(RADIANS(105*3))</f>
        <v>-7.2124891681027856</v>
      </c>
      <c r="BL109">
        <f>10.2*COS(RADIANS(105*3))</f>
        <v>7.2124891681027821</v>
      </c>
    </row>
    <row r="110" spans="1:64" x14ac:dyDescent="0.25">
      <c r="A110">
        <v>35</v>
      </c>
      <c r="B110">
        <f>IF(MOD(35,'Pie de rey'!$B$52)=0,2,IF(MOD(35,'Pie de rey'!$B$53)=0,1.5,IF(MOD(35,'Pie de rey'!$B$54)=0,1.1,0.75)))</f>
        <v>0.75</v>
      </c>
      <c r="C110">
        <f>C109</f>
        <v>18.75</v>
      </c>
      <c r="D110">
        <f>IF(MOD(MIN(35,'Pie de rey'!$B$43),'Pie de rey'!$B$56)=0,-1.8,-1.1)</f>
        <v>-1.8</v>
      </c>
      <c r="P110">
        <f>IF(AND(35&lt;=Micrómetro!$B$52,35&lt;=Micrómetro!$B$43),35,-50)</f>
        <v>35</v>
      </c>
      <c r="Q110">
        <f>IF(OR(Micrómetro!$B$41=1,MOD(35,2)=0),IF(Micrómetro!$B$41=1,IF(MOD(35,4)=0,1.6,1),IF(MOD(35,10)=0,1.6,1)),-1.1)</f>
        <v>-1.1000000000000001</v>
      </c>
      <c r="AN110">
        <f>9.6*SIN(RADIANS(35*3.6))</f>
        <v>7.7665631459994948</v>
      </c>
      <c r="AO110">
        <f>9.6*COS(RADIANS(35*3.6))</f>
        <v>-5.6427384220077412</v>
      </c>
      <c r="AQ110">
        <f>10.2*SIN(RADIANS(106*3))</f>
        <v>-6.8251321848603528</v>
      </c>
      <c r="AR110">
        <f>10.2*COS(RADIANS(106*3))</f>
        <v>7.5800772198694206</v>
      </c>
      <c r="BH110">
        <f>9.6*SIN(RADIANS(35*3.6))</f>
        <v>7.7665631459994948</v>
      </c>
      <c r="BI110">
        <f>9.6*COS(RADIANS(35*3.6))</f>
        <v>-5.6427384220077412</v>
      </c>
      <c r="BK110">
        <f>10.2*SIN(RADIANS(106*3))</f>
        <v>-6.8251321848603528</v>
      </c>
      <c r="BL110">
        <f>10.2*COS(RADIANS(106*3))</f>
        <v>7.5800772198694206</v>
      </c>
    </row>
    <row r="111" spans="1:64" x14ac:dyDescent="0.25">
      <c r="AQ111">
        <f>10.2*SIN(RADIANS(107*3))</f>
        <v>-6.4190679887083455</v>
      </c>
      <c r="AR111">
        <f>10.2*COS(RADIANS(107*3))</f>
        <v>7.9268888068610996</v>
      </c>
      <c r="BK111">
        <f>10.2*SIN(RADIANS(107*3))</f>
        <v>-6.4190679887083455</v>
      </c>
      <c r="BL111">
        <f>10.2*COS(RADIANS(107*3))</f>
        <v>7.9268888068610996</v>
      </c>
    </row>
    <row r="112" spans="1:64" x14ac:dyDescent="0.25">
      <c r="A112">
        <v>36</v>
      </c>
      <c r="B112">
        <v>0</v>
      </c>
      <c r="C112">
        <f>('Pie de rey'!$B$49/'Pie de rey'!$B$42-'Pie de rey'!$B$63)+MIN(36,'Pie de rey'!$B$43)*'Pie de rey'!$B$50</f>
        <v>18.75</v>
      </c>
      <c r="D112">
        <v>0</v>
      </c>
      <c r="P112">
        <f>IF(AND(36&lt;=Micrómetro!$B$52,36&lt;=Micrómetro!$B$43),36,-50)</f>
        <v>36</v>
      </c>
      <c r="Q112">
        <v>0</v>
      </c>
      <c r="AN112">
        <f>IF(MOD(36,10)=0,7.9,IF(MOD(36,5)=0,8.5,8.9))*SIN(RADIANS(36*3.6))</f>
        <v>6.857567860704525</v>
      </c>
      <c r="AO112">
        <f>IF(MOD(36,10)=0,7.9,IF(MOD(36,5)=0,8.5,8.9))*COS(RADIANS(36*3.6))</f>
        <v>-5.6730735087633386</v>
      </c>
      <c r="AQ112">
        <f>10.2*SIN(RADIANS(108*3))</f>
        <v>-5.9954095733832276</v>
      </c>
      <c r="AR112">
        <f>10.2*COS(RADIANS(108*3))</f>
        <v>8.2519733426244617</v>
      </c>
      <c r="BH112">
        <f>IF(MOD(36,10)=0,7.9,IF(MOD(36,5)=0,8.5,8.9))*SIN(RADIANS(36*3.6))</f>
        <v>6.857567860704525</v>
      </c>
      <c r="BI112">
        <f>IF(MOD(36,10)=0,7.9,IF(MOD(36,5)=0,8.5,8.9))*COS(RADIANS(36*3.6))</f>
        <v>-5.6730735087633386</v>
      </c>
      <c r="BK112">
        <f>10.2*SIN(RADIANS(108*3))</f>
        <v>-5.9954095733832276</v>
      </c>
      <c r="BL112">
        <f>10.2*COS(RADIANS(108*3))</f>
        <v>8.2519733426244617</v>
      </c>
    </row>
    <row r="113" spans="1:64" x14ac:dyDescent="0.25">
      <c r="A113">
        <v>36</v>
      </c>
      <c r="B113">
        <f>IF(MOD(36,'Pie de rey'!$B$52)=0,2,IF(MOD(36,'Pie de rey'!$B$53)=0,1.5,IF(MOD(36,'Pie de rey'!$B$54)=0,1.1,0.75)))</f>
        <v>1.1000000000000001</v>
      </c>
      <c r="C113">
        <f>C112</f>
        <v>18.75</v>
      </c>
      <c r="D113">
        <f>IF(MOD(MIN(36,'Pie de rey'!$B$43),'Pie de rey'!$B$56)=0,-1.8,-1.1)</f>
        <v>-1.8</v>
      </c>
      <c r="P113">
        <f>IF(AND(36&lt;=Micrómetro!$B$52,36&lt;=Micrómetro!$B$43),36,-50)</f>
        <v>36</v>
      </c>
      <c r="Q113">
        <f>IF(OR(Micrómetro!$B$41=1,MOD(36,2)=0),IF(Micrómetro!$B$41=1,IF(MOD(36,4)=0,1.6,1),IF(MOD(36,10)=0,1.6,1)),-1.1)</f>
        <v>1</v>
      </c>
      <c r="AN113">
        <f>9.6*SIN(RADIANS(36*3.6))</f>
        <v>7.3969271306475761</v>
      </c>
      <c r="AO113">
        <f>9.6*COS(RADIANS(36*3.6))</f>
        <v>-6.119270301587421</v>
      </c>
      <c r="AQ113">
        <f>10.2*SIN(RADIANS(109*3))</f>
        <v>-5.555318157153275</v>
      </c>
      <c r="AR113">
        <f>10.2*COS(RADIANS(109*3))</f>
        <v>8.5544397930433256</v>
      </c>
      <c r="BH113">
        <f>9.6*SIN(RADIANS(36*3.6))</f>
        <v>7.3969271306475761</v>
      </c>
      <c r="BI113">
        <f>9.6*COS(RADIANS(36*3.6))</f>
        <v>-6.119270301587421</v>
      </c>
      <c r="BK113">
        <f>10.2*SIN(RADIANS(109*3))</f>
        <v>-5.555318157153275</v>
      </c>
      <c r="BL113">
        <f>10.2*COS(RADIANS(109*3))</f>
        <v>8.5544397930433256</v>
      </c>
    </row>
    <row r="114" spans="1:64" x14ac:dyDescent="0.25">
      <c r="AQ114">
        <f>10.2*SIN(RADIANS(110*3))</f>
        <v>-5.1000000000000041</v>
      </c>
      <c r="AR114">
        <f>10.2*COS(RADIANS(110*3))</f>
        <v>8.8334591186012705</v>
      </c>
      <c r="BK114">
        <f>10.2*SIN(RADIANS(110*3))</f>
        <v>-5.1000000000000041</v>
      </c>
      <c r="BL114">
        <f>10.2*COS(RADIANS(110*3))</f>
        <v>8.8334591186012705</v>
      </c>
    </row>
    <row r="115" spans="1:64" x14ac:dyDescent="0.25">
      <c r="A115">
        <v>37</v>
      </c>
      <c r="B115">
        <v>0</v>
      </c>
      <c r="C115">
        <f>('Pie de rey'!$B$49/'Pie de rey'!$B$42-'Pie de rey'!$B$63)+MIN(37,'Pie de rey'!$B$43)*'Pie de rey'!$B$50</f>
        <v>18.75</v>
      </c>
      <c r="D115">
        <v>0</v>
      </c>
      <c r="P115">
        <f>IF(AND(37&lt;=Micrómetro!$B$52,37&lt;=Micrómetro!$B$43),37,-50)</f>
        <v>37</v>
      </c>
      <c r="Q115">
        <v>0</v>
      </c>
      <c r="AN115">
        <f>IF(MOD(37,10)=0,7.9,IF(MOD(37,5)=0,8.5,8.9))*SIN(RADIANS(37*3.6))</f>
        <v>6.4878207840505624</v>
      </c>
      <c r="AO115">
        <f>IF(MOD(37,10)=0,7.9,IF(MOD(37,5)=0,8.5,8.9))*COS(RADIANS(37*3.6))</f>
        <v>-6.09246924276533</v>
      </c>
      <c r="AQ115">
        <f>10.2*SIN(RADIANS(111*3))</f>
        <v>-4.6307030973433791</v>
      </c>
      <c r="AR115">
        <f>10.2*COS(RADIANS(111*3))</f>
        <v>9.0882665467213499</v>
      </c>
      <c r="BH115">
        <f>IF(MOD(37,10)=0,7.9,IF(MOD(37,5)=0,8.5,8.9))*SIN(RADIANS(37*3.6))</f>
        <v>6.4878207840505624</v>
      </c>
      <c r="BI115">
        <f>IF(MOD(37,10)=0,7.9,IF(MOD(37,5)=0,8.5,8.9))*COS(RADIANS(37*3.6))</f>
        <v>-6.09246924276533</v>
      </c>
      <c r="BK115">
        <f>10.2*SIN(RADIANS(111*3))</f>
        <v>-4.6307030973433791</v>
      </c>
      <c r="BL115">
        <f>10.2*COS(RADIANS(111*3))</f>
        <v>9.0882665467213499</v>
      </c>
    </row>
    <row r="116" spans="1:64" x14ac:dyDescent="0.25">
      <c r="A116">
        <v>37</v>
      </c>
      <c r="B116">
        <f>IF(MOD(37,'Pie de rey'!$B$52)=0,2,IF(MOD(37,'Pie de rey'!$B$53)=0,1.5,IF(MOD(37,'Pie de rey'!$B$54)=0,1.1,0.75)))</f>
        <v>0.75</v>
      </c>
      <c r="C116">
        <f>C115</f>
        <v>18.75</v>
      </c>
      <c r="D116">
        <f>IF(MOD(MIN(37,'Pie de rey'!$B$43),'Pie de rey'!$B$56)=0,-1.8,-1.1)</f>
        <v>-1.8</v>
      </c>
      <c r="P116">
        <f>IF(AND(37&lt;=Micrómetro!$B$52,37&lt;=Micrómetro!$B$43),37,-50)</f>
        <v>37</v>
      </c>
      <c r="Q116">
        <f>IF(OR(Micrómetro!$B$41=1,MOD(37,2)=0),IF(Micrómetro!$B$41=1,IF(MOD(37,4)=0,1.6,1),IF(MOD(37,10)=0,1.6,1)),-1.1)</f>
        <v>-1.1000000000000001</v>
      </c>
      <c r="AN116">
        <f>9.6*SIN(RADIANS(37*3.6))</f>
        <v>6.9980988232455497</v>
      </c>
      <c r="AO116">
        <f>9.6*COS(RADIANS(37*3.6))</f>
        <v>-6.5716522169154112</v>
      </c>
      <c r="AQ116">
        <f>10.2*SIN(RADIANS(112*3))</f>
        <v>-4.1487137593731616</v>
      </c>
      <c r="AR116">
        <f>10.2*COS(RADIANS(112*3))</f>
        <v>9.3181636679545292</v>
      </c>
      <c r="BH116">
        <f>9.6*SIN(RADIANS(37*3.6))</f>
        <v>6.9980988232455497</v>
      </c>
      <c r="BI116">
        <f>9.6*COS(RADIANS(37*3.6))</f>
        <v>-6.5716522169154112</v>
      </c>
      <c r="BK116">
        <f>10.2*SIN(RADIANS(112*3))</f>
        <v>-4.1487137593731616</v>
      </c>
      <c r="BL116">
        <f>10.2*COS(RADIANS(112*3))</f>
        <v>9.3181636679545292</v>
      </c>
    </row>
    <row r="117" spans="1:64" x14ac:dyDescent="0.25">
      <c r="AQ117">
        <f>10.2*SIN(RADIANS(113*3))</f>
        <v>-3.6553530853620675</v>
      </c>
      <c r="AR117">
        <f>10.2*COS(RADIANS(113*3))</f>
        <v>9.5225203502714546</v>
      </c>
      <c r="BK117">
        <f>10.2*SIN(RADIANS(113*3))</f>
        <v>-3.6553530853620675</v>
      </c>
      <c r="BL117">
        <f>10.2*COS(RADIANS(113*3))</f>
        <v>9.5225203502714546</v>
      </c>
    </row>
    <row r="118" spans="1:64" x14ac:dyDescent="0.25">
      <c r="A118">
        <v>38</v>
      </c>
      <c r="B118">
        <v>0</v>
      </c>
      <c r="C118">
        <f>('Pie de rey'!$B$49/'Pie de rey'!$B$42-'Pie de rey'!$B$63)+MIN(38,'Pie de rey'!$B$43)*'Pie de rey'!$B$50</f>
        <v>18.75</v>
      </c>
      <c r="D118">
        <v>0</v>
      </c>
      <c r="P118">
        <f>IF(AND(38&lt;=Micrómetro!$B$52,38&lt;=Micrómetro!$B$43),38,-50)</f>
        <v>38</v>
      </c>
      <c r="Q118">
        <v>0</v>
      </c>
      <c r="AN118">
        <f>IF(MOD(38,10)=0,7.9,IF(MOD(38,5)=0,8.5,8.9))*SIN(RADIANS(38*3.6))</f>
        <v>6.0924692427653282</v>
      </c>
      <c r="AO118">
        <f>IF(MOD(38,10)=0,7.9,IF(MOD(38,5)=0,8.5,8.9))*COS(RADIANS(38*3.6))</f>
        <v>-6.4878207840505642</v>
      </c>
      <c r="AQ118">
        <f>10.2*SIN(RADIANS(114*3))</f>
        <v>-3.1519733426244656</v>
      </c>
      <c r="AR118">
        <f>10.2*COS(RADIANS(114*3))</f>
        <v>9.7007764662105647</v>
      </c>
      <c r="BH118">
        <f>IF(MOD(38,10)=0,7.9,IF(MOD(38,5)=0,8.5,8.9))*SIN(RADIANS(38*3.6))</f>
        <v>6.0924692427653282</v>
      </c>
      <c r="BI118">
        <f>IF(MOD(38,10)=0,7.9,IF(MOD(38,5)=0,8.5,8.9))*COS(RADIANS(38*3.6))</f>
        <v>-6.4878207840505642</v>
      </c>
      <c r="BK118">
        <f>10.2*SIN(RADIANS(114*3))</f>
        <v>-3.1519733426244656</v>
      </c>
      <c r="BL118">
        <f>10.2*COS(RADIANS(114*3))</f>
        <v>9.7007764662105647</v>
      </c>
    </row>
    <row r="119" spans="1:64" x14ac:dyDescent="0.25">
      <c r="A119">
        <v>38</v>
      </c>
      <c r="B119">
        <f>IF(MOD(38,'Pie de rey'!$B$52)=0,2,IF(MOD(38,'Pie de rey'!$B$53)=0,1.5,IF(MOD(38,'Pie de rey'!$B$54)=0,1.1,0.75)))</f>
        <v>0.75</v>
      </c>
      <c r="C119">
        <f>C118</f>
        <v>18.75</v>
      </c>
      <c r="D119">
        <f>IF(MOD(MIN(38,'Pie de rey'!$B$43),'Pie de rey'!$B$56)=0,-1.8,-1.1)</f>
        <v>-1.8</v>
      </c>
      <c r="P119">
        <f>IF(AND(38&lt;=Micrómetro!$B$52,38&lt;=Micrómetro!$B$43),38,-50)</f>
        <v>38</v>
      </c>
      <c r="Q119">
        <f>IF(OR(Micrómetro!$B$41=1,MOD(38,2)=0),IF(Micrómetro!$B$41=1,IF(MOD(38,4)=0,1.6,1),IF(MOD(38,10)=0,1.6,1)),-1.1)</f>
        <v>1</v>
      </c>
      <c r="AN119">
        <f>9.6*SIN(RADIANS(38*3.6))</f>
        <v>6.5716522169154095</v>
      </c>
      <c r="AO119">
        <f>9.6*COS(RADIANS(38*3.6))</f>
        <v>-6.9980988232455514</v>
      </c>
      <c r="AQ119">
        <f>10.2*SIN(RADIANS(115*3))</f>
        <v>-2.6399542600457107</v>
      </c>
      <c r="AR119">
        <f>10.2*COS(RADIANS(115*3))</f>
        <v>9.8524434281484954</v>
      </c>
      <c r="BH119">
        <f>9.6*SIN(RADIANS(38*3.6))</f>
        <v>6.5716522169154095</v>
      </c>
      <c r="BI119">
        <f>9.6*COS(RADIANS(38*3.6))</f>
        <v>-6.9980988232455514</v>
      </c>
      <c r="BK119">
        <f>10.2*SIN(RADIANS(115*3))</f>
        <v>-2.6399542600457107</v>
      </c>
      <c r="BL119">
        <f>10.2*COS(RADIANS(115*3))</f>
        <v>9.8524434281484954</v>
      </c>
    </row>
    <row r="120" spans="1:64" x14ac:dyDescent="0.25">
      <c r="AQ120">
        <f>10.2*SIN(RADIANS(116*3))</f>
        <v>-2.1206992463411507</v>
      </c>
      <c r="AR120">
        <f>10.2*COS(RADIANS(116*3))</f>
        <v>9.9771055274848166</v>
      </c>
      <c r="BK120">
        <f>10.2*SIN(RADIANS(116*3))</f>
        <v>-2.1206992463411507</v>
      </c>
      <c r="BL120">
        <f>10.2*COS(RADIANS(116*3))</f>
        <v>9.9771055274848166</v>
      </c>
    </row>
    <row r="121" spans="1:64" x14ac:dyDescent="0.25">
      <c r="A121">
        <v>39</v>
      </c>
      <c r="B121">
        <v>0</v>
      </c>
      <c r="C121">
        <f>('Pie de rey'!$B$49/'Pie de rey'!$B$42-'Pie de rey'!$B$63)+MIN(39,'Pie de rey'!$B$43)*'Pie de rey'!$B$50</f>
        <v>18.75</v>
      </c>
      <c r="D121">
        <v>0</v>
      </c>
      <c r="P121">
        <f>IF(AND(39&lt;=Micrómetro!$B$52,39&lt;=Micrómetro!$B$43),39,-50)</f>
        <v>39</v>
      </c>
      <c r="Q121">
        <v>0</v>
      </c>
      <c r="AN121">
        <f>IF(MOD(39,10)=0,7.9,IF(MOD(39,5)=0,8.5,8.9))*SIN(RADIANS(39*3.6))</f>
        <v>5.6730735087633368</v>
      </c>
      <c r="AO121">
        <f>IF(MOD(39,10)=0,7.9,IF(MOD(39,5)=0,8.5,8.9))*COS(RADIANS(39*3.6))</f>
        <v>-6.8575678607045258</v>
      </c>
      <c r="AQ121">
        <f>10.2*SIN(RADIANS(117*3))</f>
        <v>-1.5956315434103574</v>
      </c>
      <c r="AR121">
        <f>10.2*COS(RADIANS(117*3))</f>
        <v>10.074421074070404</v>
      </c>
      <c r="BH121">
        <f>IF(MOD(39,10)=0,7.9,IF(MOD(39,5)=0,8.5,8.9))*SIN(RADIANS(39*3.6))</f>
        <v>5.6730735087633368</v>
      </c>
      <c r="BI121">
        <f>IF(MOD(39,10)=0,7.9,IF(MOD(39,5)=0,8.5,8.9))*COS(RADIANS(39*3.6))</f>
        <v>-6.8575678607045258</v>
      </c>
      <c r="BK121">
        <f>10.2*SIN(RADIANS(117*3))</f>
        <v>-1.5956315434103574</v>
      </c>
      <c r="BL121">
        <f>10.2*COS(RADIANS(117*3))</f>
        <v>10.074421074070404</v>
      </c>
    </row>
    <row r="122" spans="1:64" x14ac:dyDescent="0.25">
      <c r="A122">
        <v>39</v>
      </c>
      <c r="B122">
        <f>IF(MOD(39,'Pie de rey'!$B$52)=0,2,IF(MOD(39,'Pie de rey'!$B$53)=0,1.5,IF(MOD(39,'Pie de rey'!$B$54)=0,1.1,0.75)))</f>
        <v>0.75</v>
      </c>
      <c r="C122">
        <f>C121</f>
        <v>18.75</v>
      </c>
      <c r="D122">
        <f>IF(MOD(MIN(39,'Pie de rey'!$B$43),'Pie de rey'!$B$56)=0,-1.8,-1.1)</f>
        <v>-1.8</v>
      </c>
      <c r="P122">
        <f>IF(AND(39&lt;=Micrómetro!$B$52,39&lt;=Micrómetro!$B$43),39,-50)</f>
        <v>39</v>
      </c>
      <c r="Q122">
        <f>IF(OR(Micrómetro!$B$41=1,MOD(39,2)=0),IF(Micrómetro!$B$41=1,IF(MOD(39,4)=0,1.6,1),IF(MOD(39,10)=0,1.6,1)),-1.1)</f>
        <v>-1.1000000000000001</v>
      </c>
      <c r="AN122">
        <f>9.6*SIN(RADIANS(39*3.6))</f>
        <v>6.1192703015874192</v>
      </c>
      <c r="AO122">
        <f>9.6*COS(RADIANS(39*3.6))</f>
        <v>-7.3969271306475779</v>
      </c>
      <c r="AQ122">
        <f>10.2*SIN(RADIANS(118*3))</f>
        <v>-1.0661903253300649</v>
      </c>
      <c r="AR122">
        <f>10.2*COS(RADIANS(118*3))</f>
        <v>10.144123332756386</v>
      </c>
      <c r="BH122">
        <f>9.6*SIN(RADIANS(39*3.6))</f>
        <v>6.1192703015874192</v>
      </c>
      <c r="BI122">
        <f>9.6*COS(RADIANS(39*3.6))</f>
        <v>-7.3969271306475779</v>
      </c>
      <c r="BK122">
        <f>10.2*SIN(RADIANS(118*3))</f>
        <v>-1.0661903253300649</v>
      </c>
      <c r="BL122">
        <f>10.2*COS(RADIANS(118*3))</f>
        <v>10.144123332756386</v>
      </c>
    </row>
    <row r="123" spans="1:64" x14ac:dyDescent="0.25">
      <c r="AQ123">
        <f>10.2*SIN(RADIANS(119*3))</f>
        <v>-0.53382675367803256</v>
      </c>
      <c r="AR123">
        <f>10.2*COS(RADIANS(119*3))</f>
        <v>10.186021254496652</v>
      </c>
      <c r="BK123">
        <f>10.2*SIN(RADIANS(119*3))</f>
        <v>-0.53382675367803256</v>
      </c>
      <c r="BL123">
        <f>10.2*COS(RADIANS(119*3))</f>
        <v>10.186021254496652</v>
      </c>
    </row>
    <row r="124" spans="1:64" x14ac:dyDescent="0.25">
      <c r="A124">
        <v>40</v>
      </c>
      <c r="B124">
        <v>0</v>
      </c>
      <c r="C124">
        <f>('Pie de rey'!$B$49/'Pie de rey'!$B$42-'Pie de rey'!$B$63)+MIN(40,'Pie de rey'!$B$43)*'Pie de rey'!$B$50</f>
        <v>18.75</v>
      </c>
      <c r="D124">
        <v>0</v>
      </c>
      <c r="P124">
        <f>IF(AND(40&lt;=Micrómetro!$B$52,40&lt;=Micrómetro!$B$43),40,-50)</f>
        <v>40</v>
      </c>
      <c r="Q124">
        <v>0</v>
      </c>
      <c r="AN124">
        <f>IF(MOD(40,10)=0,7.9,IF(MOD(40,5)=0,8.5,8.9))*SIN(RADIANS(40*3.6))</f>
        <v>4.643503493110539</v>
      </c>
      <c r="AO124">
        <f>IF(MOD(40,10)=0,7.9,IF(MOD(40,5)=0,8.5,8.9))*COS(RADIANS(40*3.6))</f>
        <v>-6.3912342555620842</v>
      </c>
      <c r="AQ124">
        <f>10.2*SIN(RADIANS(120*3))</f>
        <v>-2.4993028480135848E-15</v>
      </c>
      <c r="AR124">
        <f>10.2*COS(RADIANS(120*3))</f>
        <v>10.199999999999999</v>
      </c>
      <c r="BH124">
        <f>IF(MOD(40,10)=0,7.9,IF(MOD(40,5)=0,8.5,8.9))*SIN(RADIANS(40*3.6))</f>
        <v>4.643503493110539</v>
      </c>
      <c r="BI124">
        <f>IF(MOD(40,10)=0,7.9,IF(MOD(40,5)=0,8.5,8.9))*COS(RADIANS(40*3.6))</f>
        <v>-6.3912342555620842</v>
      </c>
      <c r="BK124">
        <f>10.2*SIN(RADIANS(120*3))</f>
        <v>-2.4993028480135848E-15</v>
      </c>
      <c r="BL124">
        <f>10.2*COS(RADIANS(120*3))</f>
        <v>10.199999999999999</v>
      </c>
    </row>
    <row r="125" spans="1:64" x14ac:dyDescent="0.25">
      <c r="A125">
        <v>40</v>
      </c>
      <c r="B125">
        <f>IF(MOD(40,'Pie de rey'!$B$52)=0,2,IF(MOD(40,'Pie de rey'!$B$53)=0,1.5,IF(MOD(40,'Pie de rey'!$B$54)=0,1.1,0.75)))</f>
        <v>1.5</v>
      </c>
      <c r="C125">
        <f>C124</f>
        <v>18.75</v>
      </c>
      <c r="D125">
        <f>IF(MOD(MIN(40,'Pie de rey'!$B$43),'Pie de rey'!$B$56)=0,-1.8,-1.1)</f>
        <v>-1.8</v>
      </c>
      <c r="P125">
        <f>IF(AND(40&lt;=Micrómetro!$B$52,40&lt;=Micrómetro!$B$43),40,-50)</f>
        <v>40</v>
      </c>
      <c r="Q125">
        <f>IF(OR(Micrómetro!$B$41=1,MOD(40,2)=0),IF(Micrómetro!$B$41=1,IF(MOD(40,4)=0,1.6,1),IF(MOD(40,10)=0,1.6,1)),-1.1)</f>
        <v>1.6</v>
      </c>
      <c r="AN125">
        <f>9.6*SIN(RADIANS(40*3.6))</f>
        <v>5.642738422007743</v>
      </c>
      <c r="AO125">
        <f>9.6*COS(RADIANS(40*3.6))</f>
        <v>-7.7665631459994939</v>
      </c>
      <c r="BH125">
        <f>9.6*SIN(RADIANS(40*3.6))</f>
        <v>5.642738422007743</v>
      </c>
      <c r="BI125">
        <f>9.6*COS(RADIANS(40*3.6))</f>
        <v>-7.7665631459994939</v>
      </c>
    </row>
    <row r="127" spans="1:64" x14ac:dyDescent="0.25">
      <c r="A127">
        <v>41</v>
      </c>
      <c r="B127">
        <v>0</v>
      </c>
      <c r="C127">
        <f>('Pie de rey'!$B$49/'Pie de rey'!$B$42-'Pie de rey'!$B$63)+MIN(41,'Pie de rey'!$B$43)*'Pie de rey'!$B$50</f>
        <v>18.75</v>
      </c>
      <c r="D127">
        <v>0</v>
      </c>
      <c r="P127">
        <f>IF(AND(41&lt;=Micrómetro!$B$52,41&lt;=Micrómetro!$B$43),41,-50)</f>
        <v>41</v>
      </c>
      <c r="Q127">
        <v>0</v>
      </c>
      <c r="AN127">
        <f>IF(MOD(41,10)=0,7.9,IF(MOD(41,5)=0,8.5,8.9))*SIN(RADIANS(41*3.6))</f>
        <v>4.7688584753130705</v>
      </c>
      <c r="AO127">
        <f>IF(MOD(41,10)=0,7.9,IF(MOD(41,5)=0,8.5,8.9))*COS(RADIANS(41*3.6))</f>
        <v>-7.5145185369679348</v>
      </c>
      <c r="BH127">
        <f>IF(MOD(41,10)=0,7.9,IF(MOD(41,5)=0,8.5,8.9))*SIN(RADIANS(41*3.6))</f>
        <v>4.7688584753130705</v>
      </c>
      <c r="BI127">
        <f>IF(MOD(41,10)=0,7.9,IF(MOD(41,5)=0,8.5,8.9))*COS(RADIANS(41*3.6))</f>
        <v>-7.5145185369679348</v>
      </c>
    </row>
    <row r="128" spans="1:64" x14ac:dyDescent="0.25">
      <c r="A128">
        <v>41</v>
      </c>
      <c r="B128">
        <f>IF(MOD(41,'Pie de rey'!$B$52)=0,2,IF(MOD(41,'Pie de rey'!$B$53)=0,1.5,IF(MOD(41,'Pie de rey'!$B$54)=0,1.1,0.75)))</f>
        <v>0.75</v>
      </c>
      <c r="C128">
        <f>C127</f>
        <v>18.75</v>
      </c>
      <c r="D128">
        <f>IF(MOD(MIN(41,'Pie de rey'!$B$43),'Pie de rey'!$B$56)=0,-1.8,-1.1)</f>
        <v>-1.8</v>
      </c>
      <c r="P128">
        <f>IF(AND(41&lt;=Micrómetro!$B$52,41&lt;=Micrómetro!$B$43),41,-50)</f>
        <v>41</v>
      </c>
      <c r="Q128">
        <f>IF(OR(Micrómetro!$B$41=1,MOD(41,2)=0),IF(Micrómetro!$B$41=1,IF(MOD(41,4)=0,1.6,1),IF(MOD(41,10)=0,1.6,1)),-1.1)</f>
        <v>-1.1000000000000001</v>
      </c>
      <c r="AN128">
        <f>9.6*SIN(RADIANS(41*3.6))</f>
        <v>5.1439372317983674</v>
      </c>
      <c r="AO128">
        <f>9.6*COS(RADIANS(41*3.6))</f>
        <v>-8.1055480848193451</v>
      </c>
      <c r="BH128">
        <f>9.6*SIN(RADIANS(41*3.6))</f>
        <v>5.1439372317983674</v>
      </c>
      <c r="BI128">
        <f>9.6*COS(RADIANS(41*3.6))</f>
        <v>-8.1055480848193451</v>
      </c>
    </row>
    <row r="130" spans="1:61" x14ac:dyDescent="0.25">
      <c r="A130">
        <v>42</v>
      </c>
      <c r="B130">
        <v>0</v>
      </c>
      <c r="C130">
        <f>('Pie de rey'!$B$49/'Pie de rey'!$B$42-'Pie de rey'!$B$63)+MIN(42,'Pie de rey'!$B$43)*'Pie de rey'!$B$50</f>
        <v>18.75</v>
      </c>
      <c r="D130">
        <v>0</v>
      </c>
      <c r="P130">
        <f>IF(AND(42&lt;=Micrómetro!$B$52,42&lt;=Micrómetro!$B$43),42,-50)</f>
        <v>42</v>
      </c>
      <c r="Q130">
        <v>0</v>
      </c>
      <c r="AN130">
        <f>IF(MOD(42,10)=0,7.9,IF(MOD(42,5)=0,8.5,8.9))*SIN(RADIANS(42*3.6))</f>
        <v>4.2876076995052657</v>
      </c>
      <c r="AO130">
        <f>IF(MOD(42,10)=0,7.9,IF(MOD(42,5)=0,8.5,8.9))*COS(RADIANS(42*3.6))</f>
        <v>-7.7991294523903862</v>
      </c>
      <c r="BH130">
        <f>IF(MOD(42,10)=0,7.9,IF(MOD(42,5)=0,8.5,8.9))*SIN(RADIANS(42*3.6))</f>
        <v>4.2876076995052657</v>
      </c>
      <c r="BI130">
        <f>IF(MOD(42,10)=0,7.9,IF(MOD(42,5)=0,8.5,8.9))*COS(RADIANS(42*3.6))</f>
        <v>-7.7991294523903862</v>
      </c>
    </row>
    <row r="131" spans="1:61" x14ac:dyDescent="0.25">
      <c r="A131">
        <v>42</v>
      </c>
      <c r="B131">
        <f>IF(MOD(42,'Pie de rey'!$B$52)=0,2,IF(MOD(42,'Pie de rey'!$B$53)=0,1.5,IF(MOD(42,'Pie de rey'!$B$54)=0,1.1,0.75)))</f>
        <v>0.75</v>
      </c>
      <c r="C131">
        <f>C130</f>
        <v>18.75</v>
      </c>
      <c r="D131">
        <f>IF(MOD(MIN(42,'Pie de rey'!$B$43),'Pie de rey'!$B$56)=0,-1.8,-1.1)</f>
        <v>-1.8</v>
      </c>
      <c r="P131">
        <f>IF(AND(42&lt;=Micrómetro!$B$52,42&lt;=Micrómetro!$B$43),42,-50)</f>
        <v>42</v>
      </c>
      <c r="Q131">
        <f>IF(OR(Micrómetro!$B$41=1,MOD(42,2)=0),IF(Micrómetro!$B$41=1,IF(MOD(42,4)=0,1.6,1),IF(MOD(42,10)=0,1.6,1)),-1.1)</f>
        <v>1</v>
      </c>
      <c r="AN131">
        <f>9.6*SIN(RADIANS(42*3.6))</f>
        <v>4.6248352713764662</v>
      </c>
      <c r="AO131">
        <f>9.6*COS(RADIANS(42*3.6))</f>
        <v>-8.4125441284210893</v>
      </c>
      <c r="BH131">
        <f>9.6*SIN(RADIANS(42*3.6))</f>
        <v>4.6248352713764662</v>
      </c>
      <c r="BI131">
        <f>9.6*COS(RADIANS(42*3.6))</f>
        <v>-8.4125441284210893</v>
      </c>
    </row>
    <row r="133" spans="1:61" x14ac:dyDescent="0.25">
      <c r="A133">
        <v>43</v>
      </c>
      <c r="B133">
        <v>0</v>
      </c>
      <c r="C133">
        <f>('Pie de rey'!$B$49/'Pie de rey'!$B$42-'Pie de rey'!$B$63)+MIN(43,'Pie de rey'!$B$43)*'Pie de rey'!$B$50</f>
        <v>18.75</v>
      </c>
      <c r="D133">
        <v>0</v>
      </c>
      <c r="P133">
        <f>IF(AND(43&lt;=Micrómetro!$B$52,43&lt;=Micrómetro!$B$43),43,-50)</f>
        <v>43</v>
      </c>
      <c r="Q133">
        <v>0</v>
      </c>
      <c r="AN133">
        <f>IF(MOD(43,10)=0,7.9,IF(MOD(43,5)=0,8.5,8.9))*SIN(RADIANS(43*3.6))</f>
        <v>3.7894356949291454</v>
      </c>
      <c r="AO133">
        <f>IF(MOD(43,10)=0,7.9,IF(MOD(43,5)=0,8.5,8.9))*COS(RADIANS(43*3.6))</f>
        <v>-8.0529607669475745</v>
      </c>
      <c r="BH133">
        <f>IF(MOD(43,10)=0,7.9,IF(MOD(43,5)=0,8.5,8.9))*SIN(RADIANS(43*3.6))</f>
        <v>3.7894356949291454</v>
      </c>
      <c r="BI133">
        <f>IF(MOD(43,10)=0,7.9,IF(MOD(43,5)=0,8.5,8.9))*COS(RADIANS(43*3.6))</f>
        <v>-8.0529607669475745</v>
      </c>
    </row>
    <row r="134" spans="1:61" x14ac:dyDescent="0.25">
      <c r="A134">
        <v>43</v>
      </c>
      <c r="B134">
        <f>IF(MOD(43,'Pie de rey'!$B$52)=0,2,IF(MOD(43,'Pie de rey'!$B$53)=0,1.5,IF(MOD(43,'Pie de rey'!$B$54)=0,1.1,0.75)))</f>
        <v>0.75</v>
      </c>
      <c r="C134">
        <f>C133</f>
        <v>18.75</v>
      </c>
      <c r="D134">
        <f>IF(MOD(MIN(43,'Pie de rey'!$B$43),'Pie de rey'!$B$56)=0,-1.8,-1.1)</f>
        <v>-1.8</v>
      </c>
      <c r="P134">
        <f>IF(AND(43&lt;=Micrómetro!$B$52,43&lt;=Micrómetro!$B$43),43,-50)</f>
        <v>43</v>
      </c>
      <c r="Q134">
        <f>IF(OR(Micrómetro!$B$41=1,MOD(43,2)=0),IF(Micrómetro!$B$41=1,IF(MOD(43,4)=0,1.6,1),IF(MOD(43,10)=0,1.6,1)),-1.1)</f>
        <v>-1.1000000000000001</v>
      </c>
      <c r="AN134">
        <f>9.6*SIN(RADIANS(43*3.6))</f>
        <v>4.0874811990246958</v>
      </c>
      <c r="AO134">
        <f>9.6*COS(RADIANS(43*3.6))</f>
        <v>-8.6863397036737879</v>
      </c>
      <c r="BH134">
        <f>9.6*SIN(RADIANS(43*3.6))</f>
        <v>4.0874811990246958</v>
      </c>
      <c r="BI134">
        <f>9.6*COS(RADIANS(43*3.6))</f>
        <v>-8.6863397036737879</v>
      </c>
    </row>
    <row r="136" spans="1:61" x14ac:dyDescent="0.25">
      <c r="A136">
        <v>44</v>
      </c>
      <c r="B136">
        <v>0</v>
      </c>
      <c r="C136">
        <f>('Pie de rey'!$B$49/'Pie de rey'!$B$42-'Pie de rey'!$B$63)+MIN(44,'Pie de rey'!$B$43)*'Pie de rey'!$B$50</f>
        <v>18.75</v>
      </c>
      <c r="D136">
        <v>0</v>
      </c>
      <c r="P136">
        <f>IF(AND(44&lt;=Micrómetro!$B$52,44&lt;=Micrómetro!$B$43),44,-50)</f>
        <v>44</v>
      </c>
      <c r="Q136">
        <v>0</v>
      </c>
      <c r="AN136">
        <f>IF(MOD(44,10)=0,7.9,IF(MOD(44,5)=0,8.5,8.9))*SIN(RADIANS(44*3.6))</f>
        <v>3.2763085188936323</v>
      </c>
      <c r="AO136">
        <f>IF(MOD(44,10)=0,7.9,IF(MOD(44,5)=0,8.5,8.9))*COS(RADIANS(44*3.6))</f>
        <v>-8.2750107244054387</v>
      </c>
      <c r="BH136">
        <f>IF(MOD(44,10)=0,7.9,IF(MOD(44,5)=0,8.5,8.9))*SIN(RADIANS(44*3.6))</f>
        <v>3.2763085188936323</v>
      </c>
      <c r="BI136">
        <f>IF(MOD(44,10)=0,7.9,IF(MOD(44,5)=0,8.5,8.9))*COS(RADIANS(44*3.6))</f>
        <v>-8.2750107244054387</v>
      </c>
    </row>
    <row r="137" spans="1:61" x14ac:dyDescent="0.25">
      <c r="A137">
        <v>44</v>
      </c>
      <c r="B137">
        <f>IF(MOD(44,'Pie de rey'!$B$52)=0,2,IF(MOD(44,'Pie de rey'!$B$53)=0,1.5,IF(MOD(44,'Pie de rey'!$B$54)=0,1.1,0.75)))</f>
        <v>1.1000000000000001</v>
      </c>
      <c r="C137">
        <f>C136</f>
        <v>18.75</v>
      </c>
      <c r="D137">
        <f>IF(MOD(MIN(44,'Pie de rey'!$B$43),'Pie de rey'!$B$56)=0,-1.8,-1.1)</f>
        <v>-1.8</v>
      </c>
      <c r="P137">
        <f>IF(AND(44&lt;=Micrómetro!$B$52,44&lt;=Micrómetro!$B$43),44,-50)</f>
        <v>44</v>
      </c>
      <c r="Q137">
        <f>IF(OR(Micrómetro!$B$41=1,MOD(44,2)=0),IF(Micrómetro!$B$41=1,IF(MOD(44,4)=0,1.6,1),IF(MOD(44,10)=0,1.6,1)),-1.1)</f>
        <v>1</v>
      </c>
      <c r="AN137">
        <f>9.6*SIN(RADIANS(44*3.6))</f>
        <v>3.5339957057729063</v>
      </c>
      <c r="AO137">
        <f>9.6*COS(RADIANS(44*3.6))</f>
        <v>-8.9258542645272136</v>
      </c>
      <c r="BH137">
        <f>9.6*SIN(RADIANS(44*3.6))</f>
        <v>3.5339957057729063</v>
      </c>
      <c r="BI137">
        <f>9.6*COS(RADIANS(44*3.6))</f>
        <v>-8.9258542645272136</v>
      </c>
    </row>
    <row r="139" spans="1:61" x14ac:dyDescent="0.25">
      <c r="A139">
        <v>45</v>
      </c>
      <c r="B139">
        <v>0</v>
      </c>
      <c r="C139">
        <f>('Pie de rey'!$B$49/'Pie de rey'!$B$42-'Pie de rey'!$B$63)+MIN(45,'Pie de rey'!$B$43)*'Pie de rey'!$B$50</f>
        <v>18.75</v>
      </c>
      <c r="D139">
        <v>0</v>
      </c>
      <c r="P139">
        <f>IF(AND(45&lt;=Micrómetro!$B$52,45&lt;=Micrómetro!$B$43),45,-50)</f>
        <v>45</v>
      </c>
      <c r="Q139">
        <v>0</v>
      </c>
      <c r="AN139">
        <f>IF(MOD(45,10)=0,7.9,IF(MOD(45,5)=0,8.5,8.9))*SIN(RADIANS(45*3.6))</f>
        <v>2.6266444521870538</v>
      </c>
      <c r="AO139">
        <f>IF(MOD(45,10)=0,7.9,IF(MOD(45,5)=0,8.5,8.9))*COS(RADIANS(45*3.6))</f>
        <v>-8.0839803885088042</v>
      </c>
      <c r="BH139">
        <f>IF(MOD(45,10)=0,7.9,IF(MOD(45,5)=0,8.5,8.9))*SIN(RADIANS(45*3.6))</f>
        <v>2.6266444521870538</v>
      </c>
      <c r="BI139">
        <f>IF(MOD(45,10)=0,7.9,IF(MOD(45,5)=0,8.5,8.9))*COS(RADIANS(45*3.6))</f>
        <v>-8.0839803885088042</v>
      </c>
    </row>
    <row r="140" spans="1:61" x14ac:dyDescent="0.25">
      <c r="A140">
        <v>45</v>
      </c>
      <c r="B140">
        <f>IF(MOD(45,'Pie de rey'!$B$52)=0,2,IF(MOD(45,'Pie de rey'!$B$53)=0,1.5,IF(MOD(45,'Pie de rey'!$B$54)=0,1.1,0.75)))</f>
        <v>0.75</v>
      </c>
      <c r="C140">
        <f>C139</f>
        <v>18.75</v>
      </c>
      <c r="D140">
        <f>IF(MOD(MIN(45,'Pie de rey'!$B$43),'Pie de rey'!$B$56)=0,-1.8,-1.1)</f>
        <v>-1.8</v>
      </c>
      <c r="P140">
        <f>IF(AND(45&lt;=Micrómetro!$B$52,45&lt;=Micrómetro!$B$43),45,-50)</f>
        <v>45</v>
      </c>
      <c r="Q140">
        <f>IF(OR(Micrómetro!$B$41=1,MOD(45,2)=0),IF(Micrómetro!$B$41=1,IF(MOD(45,4)=0,1.6,1),IF(MOD(45,10)=0,1.6,1)),-1.1)</f>
        <v>-1.1000000000000001</v>
      </c>
      <c r="AN140">
        <f>9.6*SIN(RADIANS(45*3.6))</f>
        <v>2.9665631459994959</v>
      </c>
      <c r="AO140">
        <f>9.6*COS(RADIANS(45*3.6))</f>
        <v>-9.1301425564334728</v>
      </c>
      <c r="BH140">
        <f>9.6*SIN(RADIANS(45*3.6))</f>
        <v>2.9665631459994959</v>
      </c>
      <c r="BI140">
        <f>9.6*COS(RADIANS(45*3.6))</f>
        <v>-9.1301425564334728</v>
      </c>
    </row>
    <row r="142" spans="1:61" x14ac:dyDescent="0.25">
      <c r="A142">
        <v>46</v>
      </c>
      <c r="B142">
        <v>0</v>
      </c>
      <c r="C142">
        <f>('Pie de rey'!$B$49/'Pie de rey'!$B$42-'Pie de rey'!$B$63)+MIN(46,'Pie de rey'!$B$43)*'Pie de rey'!$B$50</f>
        <v>18.75</v>
      </c>
      <c r="D142">
        <v>0</v>
      </c>
      <c r="P142">
        <f>IF(AND(46&lt;=Micrómetro!$B$52,46&lt;=Micrómetro!$B$43),46,-50)</f>
        <v>46</v>
      </c>
      <c r="Q142">
        <v>0</v>
      </c>
      <c r="AN142">
        <f>IF(MOD(46,10)=0,7.9,IF(MOD(46,5)=0,8.5,8.9))*SIN(RADIANS(46*3.6))</f>
        <v>2.2133399957672082</v>
      </c>
      <c r="AO142">
        <f>IF(MOD(46,10)=0,7.9,IF(MOD(46,5)=0,8.5,8.9))*COS(RADIANS(46*3.6))</f>
        <v>-8.6203901340448166</v>
      </c>
      <c r="BH142">
        <f>IF(MOD(46,10)=0,7.9,IF(MOD(46,5)=0,8.5,8.9))*SIN(RADIANS(46*3.6))</f>
        <v>2.2133399957672082</v>
      </c>
      <c r="BI142">
        <f>IF(MOD(46,10)=0,7.9,IF(MOD(46,5)=0,8.5,8.9))*COS(RADIANS(46*3.6))</f>
        <v>-8.6203901340448166</v>
      </c>
    </row>
    <row r="143" spans="1:61" x14ac:dyDescent="0.25">
      <c r="A143">
        <v>46</v>
      </c>
      <c r="B143">
        <f>IF(MOD(46,'Pie de rey'!$B$52)=0,2,IF(MOD(46,'Pie de rey'!$B$53)=0,1.5,IF(MOD(46,'Pie de rey'!$B$54)=0,1.1,0.75)))</f>
        <v>0.75</v>
      </c>
      <c r="C143">
        <f>C142</f>
        <v>18.75</v>
      </c>
      <c r="D143">
        <f>IF(MOD(MIN(46,'Pie de rey'!$B$43),'Pie de rey'!$B$56)=0,-1.8,-1.1)</f>
        <v>-1.8</v>
      </c>
      <c r="P143">
        <f>IF(AND(46&lt;=Micrómetro!$B$52,46&lt;=Micrómetro!$B$43),46,-50)</f>
        <v>46</v>
      </c>
      <c r="Q143">
        <f>IF(OR(Micrómetro!$B$41=1,MOD(46,2)=0),IF(Micrómetro!$B$41=1,IF(MOD(46,4)=0,1.6,1),IF(MOD(46,10)=0,1.6,1)),-1.1)</f>
        <v>1</v>
      </c>
      <c r="AN143">
        <f>9.6*SIN(RADIANS(46*3.6))</f>
        <v>2.3874229167826062</v>
      </c>
      <c r="AO143">
        <f>9.6*COS(RADIANS(46*3.6))</f>
        <v>-9.2983983468348583</v>
      </c>
      <c r="BH143">
        <f>9.6*SIN(RADIANS(46*3.6))</f>
        <v>2.3874229167826062</v>
      </c>
      <c r="BI143">
        <f>9.6*COS(RADIANS(46*3.6))</f>
        <v>-9.2983983468348583</v>
      </c>
    </row>
    <row r="145" spans="1:61" x14ac:dyDescent="0.25">
      <c r="A145">
        <v>47</v>
      </c>
      <c r="B145">
        <v>0</v>
      </c>
      <c r="C145">
        <f>('Pie de rey'!$B$49/'Pie de rey'!$B$42-'Pie de rey'!$B$63)+MIN(47,'Pie de rey'!$B$43)*'Pie de rey'!$B$50</f>
        <v>18.75</v>
      </c>
      <c r="D145">
        <v>0</v>
      </c>
      <c r="P145">
        <f>IF(AND(47&lt;=Micrómetro!$B$52,47&lt;=Micrómetro!$B$43),47,-50)</f>
        <v>47</v>
      </c>
      <c r="Q145">
        <v>0</v>
      </c>
      <c r="AN145">
        <f>IF(MOD(47,10)=0,7.9,IF(MOD(47,5)=0,8.5,8.9))*SIN(RADIANS(47*3.6))</f>
        <v>1.6676936998129488</v>
      </c>
      <c r="AO145">
        <f>IF(MOD(47,10)=0,7.9,IF(MOD(47,5)=0,8.5,8.9))*COS(RADIANS(47*3.6))</f>
        <v>-8.7423565314853295</v>
      </c>
      <c r="BH145">
        <f>IF(MOD(47,10)=0,7.9,IF(MOD(47,5)=0,8.5,8.9))*SIN(RADIANS(47*3.6))</f>
        <v>1.6676936998129488</v>
      </c>
      <c r="BI145">
        <f>IF(MOD(47,10)=0,7.9,IF(MOD(47,5)=0,8.5,8.9))*COS(RADIANS(47*3.6))</f>
        <v>-8.7423565314853295</v>
      </c>
    </row>
    <row r="146" spans="1:61" x14ac:dyDescent="0.25">
      <c r="A146">
        <v>47</v>
      </c>
      <c r="B146">
        <f>IF(MOD(47,'Pie de rey'!$B$52)=0,2,IF(MOD(47,'Pie de rey'!$B$53)=0,1.5,IF(MOD(47,'Pie de rey'!$B$54)=0,1.1,0.75)))</f>
        <v>0.75</v>
      </c>
      <c r="C146">
        <f>C145</f>
        <v>18.75</v>
      </c>
      <c r="D146">
        <f>IF(MOD(MIN(47,'Pie de rey'!$B$43),'Pie de rey'!$B$56)=0,-1.8,-1.1)</f>
        <v>-1.8</v>
      </c>
      <c r="P146">
        <f>IF(AND(47&lt;=Micrómetro!$B$52,47&lt;=Micrómetro!$B$43),47,-50)</f>
        <v>47</v>
      </c>
      <c r="Q146">
        <f>IF(OR(Micrómetro!$B$41=1,MOD(47,2)=0),IF(Micrómetro!$B$41=1,IF(MOD(47,4)=0,1.6,1),IF(MOD(47,10)=0,1.6,1)),-1.1)</f>
        <v>-1.1000000000000001</v>
      </c>
      <c r="AN146">
        <f>9.6*SIN(RADIANS(47*3.6))</f>
        <v>1.7988606200229558</v>
      </c>
      <c r="AO146">
        <f>9.6*COS(RADIANS(47*3.6))</f>
        <v>-9.4299576069954121</v>
      </c>
      <c r="BH146">
        <f>9.6*SIN(RADIANS(47*3.6))</f>
        <v>1.7988606200229558</v>
      </c>
      <c r="BI146">
        <f>9.6*COS(RADIANS(47*3.6))</f>
        <v>-9.4299576069954121</v>
      </c>
    </row>
    <row r="148" spans="1:61" x14ac:dyDescent="0.25">
      <c r="A148">
        <v>48</v>
      </c>
      <c r="B148">
        <v>0</v>
      </c>
      <c r="C148">
        <f>('Pie de rey'!$B$49/'Pie de rey'!$B$42-'Pie de rey'!$B$63)+MIN(48,'Pie de rey'!$B$43)*'Pie de rey'!$B$50</f>
        <v>18.75</v>
      </c>
      <c r="D148">
        <v>0</v>
      </c>
      <c r="P148">
        <f>IF(AND(48&lt;=Micrómetro!$B$52,48&lt;=Micrómetro!$B$43),48,-50)</f>
        <v>48</v>
      </c>
      <c r="Q148">
        <v>0</v>
      </c>
      <c r="AN148">
        <f>IF(MOD(48,10)=0,7.9,IF(MOD(48,5)=0,8.5,8.9))*SIN(RADIANS(48*3.6))</f>
        <v>1.1154657787223066</v>
      </c>
      <c r="AO148">
        <f>IF(MOD(48,10)=0,7.9,IF(MOD(48,5)=0,8.5,8.9))*COS(RADIANS(48*3.6))</f>
        <v>-8.8298208416988526</v>
      </c>
      <c r="BH148">
        <f>IF(MOD(48,10)=0,7.9,IF(MOD(48,5)=0,8.5,8.9))*SIN(RADIANS(48*3.6))</f>
        <v>1.1154657787223066</v>
      </c>
      <c r="BI148">
        <f>IF(MOD(48,10)=0,7.9,IF(MOD(48,5)=0,8.5,8.9))*COS(RADIANS(48*3.6))</f>
        <v>-8.8298208416988526</v>
      </c>
    </row>
    <row r="149" spans="1:61" x14ac:dyDescent="0.25">
      <c r="A149">
        <v>48</v>
      </c>
      <c r="B149">
        <f>IF(MOD(48,'Pie de rey'!$B$52)=0,2,IF(MOD(48,'Pie de rey'!$B$53)=0,1.5,IF(MOD(48,'Pie de rey'!$B$54)=0,1.1,0.75)))</f>
        <v>2</v>
      </c>
      <c r="C149">
        <f>C148</f>
        <v>18.75</v>
      </c>
      <c r="D149">
        <f>IF(MOD(MIN(48,'Pie de rey'!$B$43),'Pie de rey'!$B$56)=0,-1.8,-1.1)</f>
        <v>-1.8</v>
      </c>
      <c r="P149">
        <f>IF(AND(48&lt;=Micrómetro!$B$52,48&lt;=Micrómetro!$B$43),48,-50)</f>
        <v>48</v>
      </c>
      <c r="Q149">
        <f>IF(OR(Micrómetro!$B$41=1,MOD(48,2)=0),IF(Micrómetro!$B$41=1,IF(MOD(48,4)=0,1.6,1),IF(MOD(48,10)=0,1.6,1)),-1.1)</f>
        <v>1</v>
      </c>
      <c r="AN149">
        <f>9.6*SIN(RADIANS(48*3.6))</f>
        <v>1.2031990422173193</v>
      </c>
      <c r="AO149">
        <f>9.6*COS(RADIANS(48*3.6))</f>
        <v>-9.5243011326189873</v>
      </c>
      <c r="BH149">
        <f>9.6*SIN(RADIANS(48*3.6))</f>
        <v>1.2031990422173193</v>
      </c>
      <c r="BI149">
        <f>9.6*COS(RADIANS(48*3.6))</f>
        <v>-9.5243011326189873</v>
      </c>
    </row>
    <row r="151" spans="1:61" x14ac:dyDescent="0.25">
      <c r="A151">
        <v>49</v>
      </c>
      <c r="B151">
        <v>0</v>
      </c>
      <c r="C151">
        <f>('Pie de rey'!$B$49/'Pie de rey'!$B$42-'Pie de rey'!$B$63)+MIN(49,'Pie de rey'!$B$43)*'Pie de rey'!$B$50</f>
        <v>18.75</v>
      </c>
      <c r="D151">
        <v>0</v>
      </c>
      <c r="P151">
        <f>IF(AND(49&lt;=Micrómetro!$B$52,49&lt;=Micrómetro!$B$43),49,-50)</f>
        <v>-50</v>
      </c>
      <c r="Q151">
        <v>0</v>
      </c>
      <c r="AN151">
        <f>IF(MOD(49,10)=0,7.9,IF(MOD(49,5)=0,8.5,8.9))*SIN(RADIANS(49*3.6))</f>
        <v>0.55883562381088692</v>
      </c>
      <c r="AO151">
        <f>IF(MOD(49,10)=0,7.9,IF(MOD(49,5)=0,8.5,8.9))*COS(RADIANS(49*3.6))</f>
        <v>-8.8824378830116171</v>
      </c>
      <c r="BH151">
        <f>IF(MOD(49,10)=0,7.9,IF(MOD(49,5)=0,8.5,8.9))*SIN(RADIANS(49*3.6))</f>
        <v>0.55883562381088692</v>
      </c>
      <c r="BI151">
        <f>IF(MOD(49,10)=0,7.9,IF(MOD(49,5)=0,8.5,8.9))*COS(RADIANS(49*3.6))</f>
        <v>-8.8824378830116171</v>
      </c>
    </row>
    <row r="152" spans="1:61" x14ac:dyDescent="0.25">
      <c r="A152">
        <v>49</v>
      </c>
      <c r="B152">
        <f>IF(MOD(49,'Pie de rey'!$B$52)=0,2,IF(MOD(49,'Pie de rey'!$B$53)=0,1.5,IF(MOD(49,'Pie de rey'!$B$54)=0,1.1,0.75)))</f>
        <v>0.75</v>
      </c>
      <c r="C152">
        <f>C151</f>
        <v>18.75</v>
      </c>
      <c r="D152">
        <f>IF(MOD(MIN(49,'Pie de rey'!$B$43),'Pie de rey'!$B$56)=0,-1.8,-1.1)</f>
        <v>-1.8</v>
      </c>
      <c r="P152">
        <f>IF(AND(49&lt;=Micrómetro!$B$52,49&lt;=Micrómetro!$B$43),49,-50)</f>
        <v>-50</v>
      </c>
      <c r="Q152">
        <f>IF(OR(Micrómetro!$B$41=1,MOD(49,2)=0),IF(Micrómetro!$B$41=1,IF(MOD(49,4)=0,1.6,1),IF(MOD(49,10)=0,1.6,1)),-1.1)</f>
        <v>-1.1000000000000001</v>
      </c>
      <c r="AN152">
        <f>9.6*SIN(RADIANS(49*3.6))</f>
        <v>0.60278898748140608</v>
      </c>
      <c r="AO152">
        <f>9.6*COS(RADIANS(49*3.6))</f>
        <v>-9.5810565929114073</v>
      </c>
      <c r="BH152">
        <f>9.6*SIN(RADIANS(49*3.6))</f>
        <v>0.60278898748140608</v>
      </c>
      <c r="BI152">
        <f>9.6*COS(RADIANS(49*3.6))</f>
        <v>-9.5810565929114073</v>
      </c>
    </row>
    <row r="154" spans="1:61" x14ac:dyDescent="0.25">
      <c r="A154">
        <v>50</v>
      </c>
      <c r="B154">
        <v>0</v>
      </c>
      <c r="C154">
        <f>('Pie de rey'!$B$49/'Pie de rey'!$B$42-'Pie de rey'!$B$63)+MIN(50,'Pie de rey'!$B$43)*'Pie de rey'!$B$50</f>
        <v>18.75</v>
      </c>
      <c r="D154">
        <v>0</v>
      </c>
      <c r="P154">
        <f>IF(AND(50&lt;=Micrómetro!$B$52,50&lt;=Micrómetro!$B$43),50,-50)</f>
        <v>-50</v>
      </c>
      <c r="Q154">
        <v>0</v>
      </c>
      <c r="AN154">
        <f>IF(MOD(50,10)=0,7.9,IF(MOD(50,5)=0,8.5,8.9))*SIN(RADIANS(50*3.6))</f>
        <v>9.6786727937780981E-16</v>
      </c>
      <c r="AO154">
        <f>IF(MOD(50,10)=0,7.9,IF(MOD(50,5)=0,8.5,8.9))*COS(RADIANS(50*3.6))</f>
        <v>-7.9</v>
      </c>
      <c r="BH154">
        <f>IF(MOD(50,10)=0,7.9,IF(MOD(50,5)=0,8.5,8.9))*SIN(RADIANS(50*3.6))</f>
        <v>9.6786727937780981E-16</v>
      </c>
      <c r="BI154">
        <f>IF(MOD(50,10)=0,7.9,IF(MOD(50,5)=0,8.5,8.9))*COS(RADIANS(50*3.6))</f>
        <v>-7.9</v>
      </c>
    </row>
    <row r="155" spans="1:61" x14ac:dyDescent="0.25">
      <c r="A155">
        <v>50</v>
      </c>
      <c r="B155">
        <f>IF(MOD(50,'Pie de rey'!$B$52)=0,2,IF(MOD(50,'Pie de rey'!$B$53)=0,1.5,IF(MOD(50,'Pie de rey'!$B$54)=0,1.1,0.75)))</f>
        <v>0.75</v>
      </c>
      <c r="C155">
        <f>C154</f>
        <v>18.75</v>
      </c>
      <c r="D155">
        <f>IF(MOD(MIN(50,'Pie de rey'!$B$43),'Pie de rey'!$B$56)=0,-1.8,-1.1)</f>
        <v>-1.8</v>
      </c>
      <c r="P155">
        <f>IF(AND(50&lt;=Micrómetro!$B$52,50&lt;=Micrómetro!$B$43),50,-50)</f>
        <v>-50</v>
      </c>
      <c r="Q155">
        <f>IF(OR(Micrómetro!$B$41=1,MOD(50,2)=0),IF(Micrómetro!$B$41=1,IF(MOD(50,4)=0,1.6,1),IF(MOD(50,10)=0,1.6,1)),-1.1)</f>
        <v>1.6</v>
      </c>
      <c r="AN155">
        <f>9.6*SIN(RADIANS(50*3.6))</f>
        <v>1.1761425167122752E-15</v>
      </c>
      <c r="AO155">
        <f>9.6*COS(RADIANS(50*3.6))</f>
        <v>-9.6</v>
      </c>
      <c r="BH155">
        <f>9.6*SIN(RADIANS(50*3.6))</f>
        <v>1.1761425167122752E-15</v>
      </c>
      <c r="BI155">
        <f>9.6*COS(RADIANS(50*3.6))</f>
        <v>-9.6</v>
      </c>
    </row>
    <row r="157" spans="1:61" x14ac:dyDescent="0.25">
      <c r="A157">
        <v>51</v>
      </c>
      <c r="B157">
        <v>0</v>
      </c>
      <c r="AN157">
        <f>IF(MOD(51,10)=0,7.9,IF(MOD(51,5)=0,8.5,8.9))*SIN(RADIANS(51*3.6))</f>
        <v>-0.5588356238108888</v>
      </c>
      <c r="AO157">
        <f>IF(MOD(51,10)=0,7.9,IF(MOD(51,5)=0,8.5,8.9))*COS(RADIANS(51*3.6))</f>
        <v>-8.8824378830116171</v>
      </c>
      <c r="BH157">
        <f>IF(MOD(51,10)=0,7.9,IF(MOD(51,5)=0,8.5,8.9))*SIN(RADIANS(51*3.6))</f>
        <v>-0.5588356238108888</v>
      </c>
      <c r="BI157">
        <f>IF(MOD(51,10)=0,7.9,IF(MOD(51,5)=0,8.5,8.9))*COS(RADIANS(51*3.6))</f>
        <v>-8.8824378830116171</v>
      </c>
    </row>
    <row r="158" spans="1:61" x14ac:dyDescent="0.25">
      <c r="A158">
        <v>51</v>
      </c>
      <c r="B158">
        <f>IF(MOD(51,'Pie de rey'!$B$52)=0,2,IF(MOD(51,'Pie de rey'!$B$53)=0,1.5,IF(MOD(51,'Pie de rey'!$B$54)=0,1.1,0.75)))</f>
        <v>0.75</v>
      </c>
      <c r="AN158">
        <f>9.6*SIN(RADIANS(51*3.6))</f>
        <v>-0.60278898748140808</v>
      </c>
      <c r="AO158">
        <f>9.6*COS(RADIANS(51*3.6))</f>
        <v>-9.5810565929114073</v>
      </c>
      <c r="BH158">
        <f>9.6*SIN(RADIANS(51*3.6))</f>
        <v>-0.60278898748140808</v>
      </c>
      <c r="BI158">
        <f>9.6*COS(RADIANS(51*3.6))</f>
        <v>-9.5810565929114073</v>
      </c>
    </row>
    <row r="160" spans="1:61" x14ac:dyDescent="0.25">
      <c r="A160">
        <v>52</v>
      </c>
      <c r="B160">
        <v>0</v>
      </c>
      <c r="AN160">
        <f>IF(MOD(52,10)=0,7.9,IF(MOD(52,5)=0,8.5,8.9))*SIN(RADIANS(52*3.6))</f>
        <v>-1.1154657787223081</v>
      </c>
      <c r="AO160">
        <f>IF(MOD(52,10)=0,7.9,IF(MOD(52,5)=0,8.5,8.9))*COS(RADIANS(52*3.6))</f>
        <v>-8.8298208416988526</v>
      </c>
      <c r="BH160">
        <f>IF(MOD(52,10)=0,7.9,IF(MOD(52,5)=0,8.5,8.9))*SIN(RADIANS(52*3.6))</f>
        <v>-1.1154657787223081</v>
      </c>
      <c r="BI160">
        <f>IF(MOD(52,10)=0,7.9,IF(MOD(52,5)=0,8.5,8.9))*COS(RADIANS(52*3.6))</f>
        <v>-8.8298208416988526</v>
      </c>
    </row>
    <row r="161" spans="1:61" x14ac:dyDescent="0.25">
      <c r="A161">
        <v>52</v>
      </c>
      <c r="B161">
        <f>IF(MOD(52,'Pie de rey'!$B$52)=0,2,IF(MOD(52,'Pie de rey'!$B$53)=0,1.5,IF(MOD(52,'Pie de rey'!$B$54)=0,1.1,0.75)))</f>
        <v>1.1000000000000001</v>
      </c>
      <c r="AN161">
        <f>9.6*SIN(RADIANS(52*3.6))</f>
        <v>-1.2031990422173211</v>
      </c>
      <c r="AO161">
        <f>9.6*COS(RADIANS(52*3.6))</f>
        <v>-9.5243011326189873</v>
      </c>
      <c r="BH161">
        <f>9.6*SIN(RADIANS(52*3.6))</f>
        <v>-1.2031990422173211</v>
      </c>
      <c r="BI161">
        <f>9.6*COS(RADIANS(52*3.6))</f>
        <v>-9.5243011326189873</v>
      </c>
    </row>
    <row r="163" spans="1:61" x14ac:dyDescent="0.25">
      <c r="A163">
        <v>53</v>
      </c>
      <c r="B163">
        <v>0</v>
      </c>
      <c r="AN163">
        <f>IF(MOD(53,10)=0,7.9,IF(MOD(53,5)=0,8.5,8.9))*SIN(RADIANS(53*3.6))</f>
        <v>-1.6676936998129506</v>
      </c>
      <c r="AO163">
        <f>IF(MOD(53,10)=0,7.9,IF(MOD(53,5)=0,8.5,8.9))*COS(RADIANS(53*3.6))</f>
        <v>-8.7423565314853295</v>
      </c>
      <c r="BH163">
        <f>IF(MOD(53,10)=0,7.9,IF(MOD(53,5)=0,8.5,8.9))*SIN(RADIANS(53*3.6))</f>
        <v>-1.6676936998129506</v>
      </c>
      <c r="BI163">
        <f>IF(MOD(53,10)=0,7.9,IF(MOD(53,5)=0,8.5,8.9))*COS(RADIANS(53*3.6))</f>
        <v>-8.7423565314853295</v>
      </c>
    </row>
    <row r="164" spans="1:61" x14ac:dyDescent="0.25">
      <c r="A164">
        <v>53</v>
      </c>
      <c r="B164">
        <f>IF(MOD(53,'Pie de rey'!$B$52)=0,2,IF(MOD(53,'Pie de rey'!$B$53)=0,1.5,IF(MOD(53,'Pie de rey'!$B$54)=0,1.1,0.75)))</f>
        <v>0.75</v>
      </c>
      <c r="AN164">
        <f>9.6*SIN(RADIANS(53*3.6))</f>
        <v>-1.7988606200229578</v>
      </c>
      <c r="AO164">
        <f>9.6*COS(RADIANS(53*3.6))</f>
        <v>-9.4299576069954103</v>
      </c>
      <c r="BH164">
        <f>9.6*SIN(RADIANS(53*3.6))</f>
        <v>-1.7988606200229578</v>
      </c>
      <c r="BI164">
        <f>9.6*COS(RADIANS(53*3.6))</f>
        <v>-9.4299576069954103</v>
      </c>
    </row>
    <row r="166" spans="1:61" x14ac:dyDescent="0.25">
      <c r="A166">
        <v>54</v>
      </c>
      <c r="B166">
        <v>0</v>
      </c>
      <c r="AN166">
        <f>IF(MOD(54,10)=0,7.9,IF(MOD(54,5)=0,8.5,8.9))*SIN(RADIANS(54*3.6))</f>
        <v>-2.2133399957672095</v>
      </c>
      <c r="AO166">
        <f>IF(MOD(54,10)=0,7.9,IF(MOD(54,5)=0,8.5,8.9))*COS(RADIANS(54*3.6))</f>
        <v>-8.6203901340448166</v>
      </c>
      <c r="BH166">
        <f>IF(MOD(54,10)=0,7.9,IF(MOD(54,5)=0,8.5,8.9))*SIN(RADIANS(54*3.6))</f>
        <v>-2.2133399957672095</v>
      </c>
      <c r="BI166">
        <f>IF(MOD(54,10)=0,7.9,IF(MOD(54,5)=0,8.5,8.9))*COS(RADIANS(54*3.6))</f>
        <v>-8.6203901340448166</v>
      </c>
    </row>
    <row r="167" spans="1:61" x14ac:dyDescent="0.25">
      <c r="A167">
        <v>54</v>
      </c>
      <c r="B167">
        <f>IF(MOD(54,'Pie de rey'!$B$52)=0,2,IF(MOD(54,'Pie de rey'!$B$53)=0,1.5,IF(MOD(54,'Pie de rey'!$B$54)=0,1.1,0.75)))</f>
        <v>0.75</v>
      </c>
      <c r="AN167">
        <f>9.6*SIN(RADIANS(54*3.6))</f>
        <v>-2.387422916782608</v>
      </c>
      <c r="AO167">
        <f>9.6*COS(RADIANS(54*3.6))</f>
        <v>-9.2983983468348583</v>
      </c>
      <c r="BH167">
        <f>9.6*SIN(RADIANS(54*3.6))</f>
        <v>-2.387422916782608</v>
      </c>
      <c r="BI167">
        <f>9.6*COS(RADIANS(54*3.6))</f>
        <v>-9.2983983468348583</v>
      </c>
    </row>
    <row r="169" spans="1:61" x14ac:dyDescent="0.25">
      <c r="A169">
        <v>55</v>
      </c>
      <c r="B169">
        <v>0</v>
      </c>
      <c r="AN169">
        <f>IF(MOD(55,10)=0,7.9,IF(MOD(55,5)=0,8.5,8.9))*SIN(RADIANS(55*3.6))</f>
        <v>-2.626644452187052</v>
      </c>
      <c r="AO169">
        <f>IF(MOD(55,10)=0,7.9,IF(MOD(55,5)=0,8.5,8.9))*COS(RADIANS(55*3.6))</f>
        <v>-8.083980388508806</v>
      </c>
      <c r="BH169">
        <f>IF(MOD(55,10)=0,7.9,IF(MOD(55,5)=0,8.5,8.9))*SIN(RADIANS(55*3.6))</f>
        <v>-2.626644452187052</v>
      </c>
      <c r="BI169">
        <f>IF(MOD(55,10)=0,7.9,IF(MOD(55,5)=0,8.5,8.9))*COS(RADIANS(55*3.6))</f>
        <v>-8.083980388508806</v>
      </c>
    </row>
    <row r="170" spans="1:61" x14ac:dyDescent="0.25">
      <c r="A170">
        <v>55</v>
      </c>
      <c r="B170">
        <f>IF(MOD(55,'Pie de rey'!$B$52)=0,2,IF(MOD(55,'Pie de rey'!$B$53)=0,1.5,IF(MOD(55,'Pie de rey'!$B$54)=0,1.1,0.75)))</f>
        <v>0.75</v>
      </c>
      <c r="AN170">
        <f>9.6*SIN(RADIANS(55*3.6))</f>
        <v>-2.9665631459994937</v>
      </c>
      <c r="AO170">
        <f>9.6*COS(RADIANS(55*3.6))</f>
        <v>-9.1301425564334746</v>
      </c>
      <c r="BH170">
        <f>9.6*SIN(RADIANS(55*3.6))</f>
        <v>-2.9665631459994937</v>
      </c>
      <c r="BI170">
        <f>9.6*COS(RADIANS(55*3.6))</f>
        <v>-9.1301425564334746</v>
      </c>
    </row>
    <row r="172" spans="1:61" x14ac:dyDescent="0.25">
      <c r="A172">
        <v>56</v>
      </c>
      <c r="B172">
        <v>0</v>
      </c>
      <c r="AN172">
        <f>IF(MOD(56,10)=0,7.9,IF(MOD(56,5)=0,8.5,8.9))*SIN(RADIANS(56*3.6))</f>
        <v>-3.2763085188936336</v>
      </c>
      <c r="AO172">
        <f>IF(MOD(56,10)=0,7.9,IF(MOD(56,5)=0,8.5,8.9))*COS(RADIANS(56*3.6))</f>
        <v>-8.2750107244054387</v>
      </c>
      <c r="BH172">
        <f>IF(MOD(56,10)=0,7.9,IF(MOD(56,5)=0,8.5,8.9))*SIN(RADIANS(56*3.6))</f>
        <v>-3.2763085188936336</v>
      </c>
      <c r="BI172">
        <f>IF(MOD(56,10)=0,7.9,IF(MOD(56,5)=0,8.5,8.9))*COS(RADIANS(56*3.6))</f>
        <v>-8.2750107244054387</v>
      </c>
    </row>
    <row r="173" spans="1:61" x14ac:dyDescent="0.25">
      <c r="A173">
        <v>56</v>
      </c>
      <c r="B173">
        <f>IF(MOD(56,'Pie de rey'!$B$52)=0,2,IF(MOD(56,'Pie de rey'!$B$53)=0,1.5,IF(MOD(56,'Pie de rey'!$B$54)=0,1.1,0.75)))</f>
        <v>1.5</v>
      </c>
      <c r="AN173">
        <f>9.6*SIN(RADIANS(56*3.6))</f>
        <v>-3.5339957057729081</v>
      </c>
      <c r="AO173">
        <f>9.6*COS(RADIANS(56*3.6))</f>
        <v>-8.9258542645272136</v>
      </c>
      <c r="BH173">
        <f>9.6*SIN(RADIANS(56*3.6))</f>
        <v>-3.5339957057729081</v>
      </c>
      <c r="BI173">
        <f>9.6*COS(RADIANS(56*3.6))</f>
        <v>-8.9258542645272136</v>
      </c>
    </row>
    <row r="175" spans="1:61" x14ac:dyDescent="0.25">
      <c r="A175">
        <v>57</v>
      </c>
      <c r="B175">
        <v>0</v>
      </c>
      <c r="AN175">
        <f>IF(MOD(57,10)=0,7.9,IF(MOD(57,5)=0,8.5,8.9))*SIN(RADIANS(57*3.6))</f>
        <v>-3.7894356949291468</v>
      </c>
      <c r="AO175">
        <f>IF(MOD(57,10)=0,7.9,IF(MOD(57,5)=0,8.5,8.9))*COS(RADIANS(57*3.6))</f>
        <v>-8.0529607669475727</v>
      </c>
      <c r="BH175">
        <f>IF(MOD(57,10)=0,7.9,IF(MOD(57,5)=0,8.5,8.9))*SIN(RADIANS(57*3.6))</f>
        <v>-3.7894356949291468</v>
      </c>
      <c r="BI175">
        <f>IF(MOD(57,10)=0,7.9,IF(MOD(57,5)=0,8.5,8.9))*COS(RADIANS(57*3.6))</f>
        <v>-8.0529607669475727</v>
      </c>
    </row>
    <row r="176" spans="1:61" x14ac:dyDescent="0.25">
      <c r="A176">
        <v>57</v>
      </c>
      <c r="B176">
        <f>IF(MOD(57,'Pie de rey'!$B$52)=0,2,IF(MOD(57,'Pie de rey'!$B$53)=0,1.5,IF(MOD(57,'Pie de rey'!$B$54)=0,1.1,0.75)))</f>
        <v>0.75</v>
      </c>
      <c r="AN176">
        <f>9.6*SIN(RADIANS(57*3.6))</f>
        <v>-4.0874811990246975</v>
      </c>
      <c r="AO176">
        <f>9.6*COS(RADIANS(57*3.6))</f>
        <v>-8.6863397036737862</v>
      </c>
      <c r="BH176">
        <f>9.6*SIN(RADIANS(57*3.6))</f>
        <v>-4.0874811990246975</v>
      </c>
      <c r="BI176">
        <f>9.6*COS(RADIANS(57*3.6))</f>
        <v>-8.6863397036737862</v>
      </c>
    </row>
    <row r="178" spans="1:61" x14ac:dyDescent="0.25">
      <c r="A178">
        <v>58</v>
      </c>
      <c r="B178">
        <v>0</v>
      </c>
      <c r="AN178">
        <f>IF(MOD(58,10)=0,7.9,IF(MOD(58,5)=0,8.5,8.9))*SIN(RADIANS(58*3.6))</f>
        <v>-4.2876076995052674</v>
      </c>
      <c r="AO178">
        <f>IF(MOD(58,10)=0,7.9,IF(MOD(58,5)=0,8.5,8.9))*COS(RADIANS(58*3.6))</f>
        <v>-7.7991294523903854</v>
      </c>
      <c r="BH178">
        <f>IF(MOD(58,10)=0,7.9,IF(MOD(58,5)=0,8.5,8.9))*SIN(RADIANS(58*3.6))</f>
        <v>-4.2876076995052674</v>
      </c>
      <c r="BI178">
        <f>IF(MOD(58,10)=0,7.9,IF(MOD(58,5)=0,8.5,8.9))*COS(RADIANS(58*3.6))</f>
        <v>-7.7991294523903854</v>
      </c>
    </row>
    <row r="179" spans="1:61" x14ac:dyDescent="0.25">
      <c r="A179">
        <v>58</v>
      </c>
      <c r="B179">
        <f>IF(MOD(58,'Pie de rey'!$B$52)=0,2,IF(MOD(58,'Pie de rey'!$B$53)=0,1.5,IF(MOD(58,'Pie de rey'!$B$54)=0,1.1,0.75)))</f>
        <v>0.75</v>
      </c>
      <c r="AN179">
        <f>9.6*SIN(RADIANS(58*3.6))</f>
        <v>-4.6248352713764671</v>
      </c>
      <c r="AO179">
        <f>9.6*COS(RADIANS(58*3.6))</f>
        <v>-8.4125441284210893</v>
      </c>
      <c r="BH179">
        <f>9.6*SIN(RADIANS(58*3.6))</f>
        <v>-4.6248352713764671</v>
      </c>
      <c r="BI179">
        <f>9.6*COS(RADIANS(58*3.6))</f>
        <v>-8.4125441284210893</v>
      </c>
    </row>
    <row r="181" spans="1:61" x14ac:dyDescent="0.25">
      <c r="A181">
        <v>59</v>
      </c>
      <c r="B181">
        <v>0</v>
      </c>
      <c r="AN181">
        <f>IF(MOD(59,10)=0,7.9,IF(MOD(59,5)=0,8.5,8.9))*SIN(RADIANS(59*3.6))</f>
        <v>-4.7688584753130714</v>
      </c>
      <c r="AO181">
        <f>IF(MOD(59,10)=0,7.9,IF(MOD(59,5)=0,8.5,8.9))*COS(RADIANS(59*3.6))</f>
        <v>-7.5145185369679339</v>
      </c>
      <c r="BH181">
        <f>IF(MOD(59,10)=0,7.9,IF(MOD(59,5)=0,8.5,8.9))*SIN(RADIANS(59*3.6))</f>
        <v>-4.7688584753130714</v>
      </c>
      <c r="BI181">
        <f>IF(MOD(59,10)=0,7.9,IF(MOD(59,5)=0,8.5,8.9))*COS(RADIANS(59*3.6))</f>
        <v>-7.5145185369679339</v>
      </c>
    </row>
    <row r="182" spans="1:61" x14ac:dyDescent="0.25">
      <c r="A182">
        <v>59</v>
      </c>
      <c r="B182">
        <f>IF(MOD(59,'Pie de rey'!$B$52)=0,2,IF(MOD(59,'Pie de rey'!$B$53)=0,1.5,IF(MOD(59,'Pie de rey'!$B$54)=0,1.1,0.75)))</f>
        <v>0.75</v>
      </c>
      <c r="AN182">
        <f>9.6*SIN(RADIANS(59*3.6))</f>
        <v>-5.1439372317983691</v>
      </c>
      <c r="AO182">
        <f>9.6*COS(RADIANS(59*3.6))</f>
        <v>-8.1055480848193433</v>
      </c>
      <c r="BH182">
        <f>9.6*SIN(RADIANS(59*3.6))</f>
        <v>-5.1439372317983691</v>
      </c>
      <c r="BI182">
        <f>9.6*COS(RADIANS(59*3.6))</f>
        <v>-8.1055480848193433</v>
      </c>
    </row>
    <row r="184" spans="1:61" x14ac:dyDescent="0.25">
      <c r="A184">
        <v>60</v>
      </c>
      <c r="B184">
        <v>0</v>
      </c>
      <c r="AN184">
        <f>IF(MOD(60,10)=0,7.9,IF(MOD(60,5)=0,8.5,8.9))*SIN(RADIANS(60*3.6))</f>
        <v>-4.6435034931105372</v>
      </c>
      <c r="AO184">
        <f>IF(MOD(60,10)=0,7.9,IF(MOD(60,5)=0,8.5,8.9))*COS(RADIANS(60*3.6))</f>
        <v>-6.391234255562086</v>
      </c>
      <c r="BH184">
        <f>IF(MOD(60,10)=0,7.9,IF(MOD(60,5)=0,8.5,8.9))*SIN(RADIANS(60*3.6))</f>
        <v>-4.6435034931105372</v>
      </c>
      <c r="BI184">
        <f>IF(MOD(60,10)=0,7.9,IF(MOD(60,5)=0,8.5,8.9))*COS(RADIANS(60*3.6))</f>
        <v>-6.391234255562086</v>
      </c>
    </row>
    <row r="185" spans="1:61" x14ac:dyDescent="0.25">
      <c r="A185">
        <v>60</v>
      </c>
      <c r="B185">
        <f>IF(MOD(60,'Pie de rey'!$B$52)=0,2,IF(MOD(60,'Pie de rey'!$B$53)=0,1.5,IF(MOD(60,'Pie de rey'!$B$54)=0,1.1,0.75)))</f>
        <v>1.1000000000000001</v>
      </c>
      <c r="AN185">
        <f>9.6*SIN(RADIANS(60*3.6))</f>
        <v>-5.6427384220077412</v>
      </c>
      <c r="AO185">
        <f>9.6*COS(RADIANS(60*3.6))</f>
        <v>-7.7665631459994966</v>
      </c>
      <c r="BH185">
        <f>9.6*SIN(RADIANS(60*3.6))</f>
        <v>-5.6427384220077412</v>
      </c>
      <c r="BI185">
        <f>9.6*COS(RADIANS(60*3.6))</f>
        <v>-7.7665631459994966</v>
      </c>
    </row>
    <row r="187" spans="1:61" x14ac:dyDescent="0.25">
      <c r="A187">
        <v>61</v>
      </c>
      <c r="B187">
        <v>0</v>
      </c>
      <c r="AN187">
        <f>IF(MOD(61,10)=0,7.9,IF(MOD(61,5)=0,8.5,8.9))*SIN(RADIANS(61*3.6))</f>
        <v>-5.6730735087633377</v>
      </c>
      <c r="AO187">
        <f>IF(MOD(61,10)=0,7.9,IF(MOD(61,5)=0,8.5,8.9))*COS(RADIANS(61*3.6))</f>
        <v>-6.857567860704525</v>
      </c>
      <c r="BH187">
        <f>IF(MOD(61,10)=0,7.9,IF(MOD(61,5)=0,8.5,8.9))*SIN(RADIANS(61*3.6))</f>
        <v>-5.6730735087633377</v>
      </c>
      <c r="BI187">
        <f>IF(MOD(61,10)=0,7.9,IF(MOD(61,5)=0,8.5,8.9))*COS(RADIANS(61*3.6))</f>
        <v>-6.857567860704525</v>
      </c>
    </row>
    <row r="188" spans="1:61" x14ac:dyDescent="0.25">
      <c r="A188">
        <v>61</v>
      </c>
      <c r="B188">
        <f>IF(MOD(61,'Pie de rey'!$B$52)=0,2,IF(MOD(61,'Pie de rey'!$B$53)=0,1.5,IF(MOD(61,'Pie de rey'!$B$54)=0,1.1,0.75)))</f>
        <v>0.75</v>
      </c>
      <c r="AN188">
        <f>9.6*SIN(RADIANS(61*3.6))</f>
        <v>-6.1192703015874201</v>
      </c>
      <c r="AO188">
        <f>9.6*COS(RADIANS(61*3.6))</f>
        <v>-7.3969271306475761</v>
      </c>
      <c r="BH188">
        <f>9.6*SIN(RADIANS(61*3.6))</f>
        <v>-6.1192703015874201</v>
      </c>
      <c r="BI188">
        <f>9.6*COS(RADIANS(61*3.6))</f>
        <v>-7.3969271306475761</v>
      </c>
    </row>
    <row r="190" spans="1:61" x14ac:dyDescent="0.25">
      <c r="A190">
        <v>62</v>
      </c>
      <c r="B190">
        <v>0</v>
      </c>
      <c r="AN190">
        <f>IF(MOD(62,10)=0,7.9,IF(MOD(62,5)=0,8.5,8.9))*SIN(RADIANS(62*3.6))</f>
        <v>-6.09246924276533</v>
      </c>
      <c r="AO190">
        <f>IF(MOD(62,10)=0,7.9,IF(MOD(62,5)=0,8.5,8.9))*COS(RADIANS(62*3.6))</f>
        <v>-6.4878207840505633</v>
      </c>
      <c r="BH190">
        <f>IF(MOD(62,10)=0,7.9,IF(MOD(62,5)=0,8.5,8.9))*SIN(RADIANS(62*3.6))</f>
        <v>-6.09246924276533</v>
      </c>
      <c r="BI190">
        <f>IF(MOD(62,10)=0,7.9,IF(MOD(62,5)=0,8.5,8.9))*COS(RADIANS(62*3.6))</f>
        <v>-6.4878207840505633</v>
      </c>
    </row>
    <row r="191" spans="1:61" x14ac:dyDescent="0.25">
      <c r="A191">
        <v>62</v>
      </c>
      <c r="B191">
        <f>IF(MOD(62,'Pie de rey'!$B$52)=0,2,IF(MOD(62,'Pie de rey'!$B$53)=0,1.5,IF(MOD(62,'Pie de rey'!$B$54)=0,1.1,0.75)))</f>
        <v>0.75</v>
      </c>
      <c r="AN191">
        <f>9.6*SIN(RADIANS(62*3.6))</f>
        <v>-6.5716522169154112</v>
      </c>
      <c r="AO191">
        <f>9.6*COS(RADIANS(62*3.6))</f>
        <v>-6.9980988232455505</v>
      </c>
      <c r="BH191">
        <f>9.6*SIN(RADIANS(62*3.6))</f>
        <v>-6.5716522169154112</v>
      </c>
      <c r="BI191">
        <f>9.6*COS(RADIANS(62*3.6))</f>
        <v>-6.9980988232455505</v>
      </c>
    </row>
    <row r="193" spans="1:61" x14ac:dyDescent="0.25">
      <c r="A193">
        <v>63</v>
      </c>
      <c r="B193">
        <v>0</v>
      </c>
      <c r="AN193">
        <f>IF(MOD(63,10)=0,7.9,IF(MOD(63,5)=0,8.5,8.9))*SIN(RADIANS(63*3.6))</f>
        <v>-6.4878207840505633</v>
      </c>
      <c r="AO193">
        <f>IF(MOD(63,10)=0,7.9,IF(MOD(63,5)=0,8.5,8.9))*COS(RADIANS(63*3.6))</f>
        <v>-6.0924692427653291</v>
      </c>
      <c r="BH193">
        <f>IF(MOD(63,10)=0,7.9,IF(MOD(63,5)=0,8.5,8.9))*SIN(RADIANS(63*3.6))</f>
        <v>-6.4878207840505633</v>
      </c>
      <c r="BI193">
        <f>IF(MOD(63,10)=0,7.9,IF(MOD(63,5)=0,8.5,8.9))*COS(RADIANS(63*3.6))</f>
        <v>-6.0924692427653291</v>
      </c>
    </row>
    <row r="194" spans="1:61" x14ac:dyDescent="0.25">
      <c r="A194">
        <v>63</v>
      </c>
      <c r="B194">
        <f>IF(MOD(63,'Pie de rey'!$B$52)=0,2,IF(MOD(63,'Pie de rey'!$B$53)=0,1.5,IF(MOD(63,'Pie de rey'!$B$54)=0,1.1,0.75)))</f>
        <v>0.75</v>
      </c>
      <c r="AN194">
        <f>9.6*SIN(RADIANS(63*3.6))</f>
        <v>-6.9980988232455505</v>
      </c>
      <c r="AO194">
        <f>9.6*COS(RADIANS(63*3.6))</f>
        <v>-6.5716522169154103</v>
      </c>
      <c r="BH194">
        <f>9.6*SIN(RADIANS(63*3.6))</f>
        <v>-6.9980988232455505</v>
      </c>
      <c r="BI194">
        <f>9.6*COS(RADIANS(63*3.6))</f>
        <v>-6.5716522169154103</v>
      </c>
    </row>
    <row r="196" spans="1:61" x14ac:dyDescent="0.25">
      <c r="A196">
        <v>64</v>
      </c>
      <c r="B196">
        <v>0</v>
      </c>
      <c r="AN196">
        <f>IF(MOD(64,10)=0,7.9,IF(MOD(64,5)=0,8.5,8.9))*SIN(RADIANS(64*3.6))</f>
        <v>-6.8575678607045258</v>
      </c>
      <c r="AO196">
        <f>IF(MOD(64,10)=0,7.9,IF(MOD(64,5)=0,8.5,8.9))*COS(RADIANS(64*3.6))</f>
        <v>-5.6730735087633368</v>
      </c>
      <c r="BH196">
        <f>IF(MOD(64,10)=0,7.9,IF(MOD(64,5)=0,8.5,8.9))*SIN(RADIANS(64*3.6))</f>
        <v>-6.8575678607045258</v>
      </c>
      <c r="BI196">
        <f>IF(MOD(64,10)=0,7.9,IF(MOD(64,5)=0,8.5,8.9))*COS(RADIANS(64*3.6))</f>
        <v>-5.6730735087633368</v>
      </c>
    </row>
    <row r="197" spans="1:61" x14ac:dyDescent="0.25">
      <c r="A197">
        <v>64</v>
      </c>
      <c r="B197">
        <f>IF(MOD(64,'Pie de rey'!$B$52)=0,2,IF(MOD(64,'Pie de rey'!$B$53)=0,1.5,IF(MOD(64,'Pie de rey'!$B$54)=0,1.1,0.75)))</f>
        <v>2</v>
      </c>
      <c r="AN197">
        <f>9.6*SIN(RADIANS(64*3.6))</f>
        <v>-7.3969271306475779</v>
      </c>
      <c r="AO197">
        <f>9.6*COS(RADIANS(64*3.6))</f>
        <v>-6.1192703015874192</v>
      </c>
      <c r="BH197">
        <f>9.6*SIN(RADIANS(64*3.6))</f>
        <v>-7.3969271306475779</v>
      </c>
      <c r="BI197">
        <f>9.6*COS(RADIANS(64*3.6))</f>
        <v>-6.1192703015874192</v>
      </c>
    </row>
    <row r="199" spans="1:61" x14ac:dyDescent="0.25">
      <c r="A199">
        <v>65</v>
      </c>
      <c r="B199">
        <v>0</v>
      </c>
      <c r="AN199">
        <f>IF(MOD(65,10)=0,7.9,IF(MOD(65,5)=0,8.5,8.9))*SIN(RADIANS(65*3.6))</f>
        <v>-6.876644452187052</v>
      </c>
      <c r="AO199">
        <f>IF(MOD(65,10)=0,7.9,IF(MOD(65,5)=0,8.5,8.9))*COS(RADIANS(65*3.6))</f>
        <v>-4.9961746444860227</v>
      </c>
      <c r="BH199">
        <f>IF(MOD(65,10)=0,7.9,IF(MOD(65,5)=0,8.5,8.9))*SIN(RADIANS(65*3.6))</f>
        <v>-6.876644452187052</v>
      </c>
      <c r="BI199">
        <f>IF(MOD(65,10)=0,7.9,IF(MOD(65,5)=0,8.5,8.9))*COS(RADIANS(65*3.6))</f>
        <v>-4.9961746444860227</v>
      </c>
    </row>
    <row r="200" spans="1:61" x14ac:dyDescent="0.25">
      <c r="A200">
        <v>65</v>
      </c>
      <c r="B200">
        <f>IF(MOD(65,'Pie de rey'!$B$52)=0,2,IF(MOD(65,'Pie de rey'!$B$53)=0,1.5,IF(MOD(65,'Pie de rey'!$B$54)=0,1.1,0.75)))</f>
        <v>0.75</v>
      </c>
      <c r="AN200">
        <f>9.6*SIN(RADIANS(65*3.6))</f>
        <v>-7.7665631459994939</v>
      </c>
      <c r="AO200">
        <f>9.6*COS(RADIANS(65*3.6))</f>
        <v>-5.642738422007743</v>
      </c>
      <c r="BH200">
        <f>9.6*SIN(RADIANS(65*3.6))</f>
        <v>-7.7665631459994939</v>
      </c>
      <c r="BI200">
        <f>9.6*COS(RADIANS(65*3.6))</f>
        <v>-5.642738422007743</v>
      </c>
    </row>
    <row r="202" spans="1:61" x14ac:dyDescent="0.25">
      <c r="A202">
        <v>66</v>
      </c>
      <c r="B202">
        <v>0</v>
      </c>
      <c r="AN202">
        <f>IF(MOD(66,10)=0,7.9,IF(MOD(66,5)=0,8.5,8.9))*SIN(RADIANS(66*3.6))</f>
        <v>-7.5145185369679321</v>
      </c>
      <c r="AO202">
        <f>IF(MOD(66,10)=0,7.9,IF(MOD(66,5)=0,8.5,8.9))*COS(RADIANS(66*3.6))</f>
        <v>-4.7688584753130741</v>
      </c>
      <c r="BH202">
        <f>IF(MOD(66,10)=0,7.9,IF(MOD(66,5)=0,8.5,8.9))*SIN(RADIANS(66*3.6))</f>
        <v>-7.5145185369679321</v>
      </c>
      <c r="BI202">
        <f>IF(MOD(66,10)=0,7.9,IF(MOD(66,5)=0,8.5,8.9))*COS(RADIANS(66*3.6))</f>
        <v>-4.7688584753130741</v>
      </c>
    </row>
    <row r="203" spans="1:61" x14ac:dyDescent="0.25">
      <c r="A203">
        <v>66</v>
      </c>
      <c r="B203">
        <f>IF(MOD(66,'Pie de rey'!$B$52)=0,2,IF(MOD(66,'Pie de rey'!$B$53)=0,1.5,IF(MOD(66,'Pie de rey'!$B$54)=0,1.1,0.75)))</f>
        <v>0.75</v>
      </c>
      <c r="AN203">
        <f>9.6*SIN(RADIANS(66*3.6))</f>
        <v>-8.1055480848193415</v>
      </c>
      <c r="AO203">
        <f>9.6*COS(RADIANS(66*3.6))</f>
        <v>-5.1439372317983718</v>
      </c>
      <c r="BH203">
        <f>9.6*SIN(RADIANS(66*3.6))</f>
        <v>-8.1055480848193415</v>
      </c>
      <c r="BI203">
        <f>9.6*COS(RADIANS(66*3.6))</f>
        <v>-5.1439372317983718</v>
      </c>
    </row>
    <row r="205" spans="1:61" x14ac:dyDescent="0.25">
      <c r="A205">
        <v>67</v>
      </c>
      <c r="B205">
        <v>0</v>
      </c>
      <c r="AN205">
        <f>IF(MOD(67,10)=0,7.9,IF(MOD(67,5)=0,8.5,8.9))*SIN(RADIANS(67*3.6))</f>
        <v>-7.7991294523903862</v>
      </c>
      <c r="AO205">
        <f>IF(MOD(67,10)=0,7.9,IF(MOD(67,5)=0,8.5,8.9))*COS(RADIANS(67*3.6))</f>
        <v>-4.2876076995052657</v>
      </c>
      <c r="BH205">
        <f>IF(MOD(67,10)=0,7.9,IF(MOD(67,5)=0,8.5,8.9))*SIN(RADIANS(67*3.6))</f>
        <v>-7.7991294523903862</v>
      </c>
      <c r="BI205">
        <f>IF(MOD(67,10)=0,7.9,IF(MOD(67,5)=0,8.5,8.9))*COS(RADIANS(67*3.6))</f>
        <v>-4.2876076995052657</v>
      </c>
    </row>
    <row r="206" spans="1:61" x14ac:dyDescent="0.25">
      <c r="A206">
        <v>67</v>
      </c>
      <c r="B206">
        <f>IF(MOD(67,'Pie de rey'!$B$52)=0,2,IF(MOD(67,'Pie de rey'!$B$53)=0,1.5,IF(MOD(67,'Pie de rey'!$B$54)=0,1.1,0.75)))</f>
        <v>0.75</v>
      </c>
      <c r="AN206">
        <f>9.6*SIN(RADIANS(67*3.6))</f>
        <v>-8.4125441284210893</v>
      </c>
      <c r="AO206">
        <f>9.6*COS(RADIANS(67*3.6))</f>
        <v>-4.6248352713764662</v>
      </c>
      <c r="BH206">
        <f>9.6*SIN(RADIANS(67*3.6))</f>
        <v>-8.4125441284210893</v>
      </c>
      <c r="BI206">
        <f>9.6*COS(RADIANS(67*3.6))</f>
        <v>-4.6248352713764662</v>
      </c>
    </row>
    <row r="208" spans="1:61" x14ac:dyDescent="0.25">
      <c r="A208">
        <v>68</v>
      </c>
      <c r="B208">
        <v>0</v>
      </c>
      <c r="AN208">
        <f>IF(MOD(68,10)=0,7.9,IF(MOD(68,5)=0,8.5,8.9))*SIN(RADIANS(68*3.6))</f>
        <v>-8.0529607669475762</v>
      </c>
      <c r="AO208">
        <f>IF(MOD(68,10)=0,7.9,IF(MOD(68,5)=0,8.5,8.9))*COS(RADIANS(68*3.6))</f>
        <v>-3.7894356949291423</v>
      </c>
      <c r="BH208">
        <f>IF(MOD(68,10)=0,7.9,IF(MOD(68,5)=0,8.5,8.9))*SIN(RADIANS(68*3.6))</f>
        <v>-8.0529607669475762</v>
      </c>
      <c r="BI208">
        <f>IF(MOD(68,10)=0,7.9,IF(MOD(68,5)=0,8.5,8.9))*COS(RADIANS(68*3.6))</f>
        <v>-3.7894356949291423</v>
      </c>
    </row>
    <row r="209" spans="1:61" x14ac:dyDescent="0.25">
      <c r="A209">
        <v>68</v>
      </c>
      <c r="B209">
        <f>IF(MOD(68,'Pie de rey'!$B$52)=0,2,IF(MOD(68,'Pie de rey'!$B$53)=0,1.5,IF(MOD(68,'Pie de rey'!$B$54)=0,1.1,0.75)))</f>
        <v>1.1000000000000001</v>
      </c>
      <c r="AN209">
        <f>9.6*SIN(RADIANS(68*3.6))</f>
        <v>-8.6863397036737897</v>
      </c>
      <c r="AO209">
        <f>9.6*COS(RADIANS(68*3.6))</f>
        <v>-4.0874811990246922</v>
      </c>
      <c r="BH209">
        <f>9.6*SIN(RADIANS(68*3.6))</f>
        <v>-8.6863397036737897</v>
      </c>
      <c r="BI209">
        <f>9.6*COS(RADIANS(68*3.6))</f>
        <v>-4.0874811990246922</v>
      </c>
    </row>
    <row r="211" spans="1:61" x14ac:dyDescent="0.25">
      <c r="A211">
        <v>69</v>
      </c>
      <c r="B211">
        <v>0</v>
      </c>
      <c r="AN211">
        <f>IF(MOD(69,10)=0,7.9,IF(MOD(69,5)=0,8.5,8.9))*SIN(RADIANS(69*3.6))</f>
        <v>-8.2750107244054387</v>
      </c>
      <c r="AO211">
        <f>IF(MOD(69,10)=0,7.9,IF(MOD(69,5)=0,8.5,8.9))*COS(RADIANS(69*3.6))</f>
        <v>-3.2763085188936327</v>
      </c>
      <c r="BH211">
        <f>IF(MOD(69,10)=0,7.9,IF(MOD(69,5)=0,8.5,8.9))*SIN(RADIANS(69*3.6))</f>
        <v>-8.2750107244054387</v>
      </c>
      <c r="BI211">
        <f>IF(MOD(69,10)=0,7.9,IF(MOD(69,5)=0,8.5,8.9))*COS(RADIANS(69*3.6))</f>
        <v>-3.2763085188936327</v>
      </c>
    </row>
    <row r="212" spans="1:61" x14ac:dyDescent="0.25">
      <c r="A212">
        <v>69</v>
      </c>
      <c r="B212">
        <f>IF(MOD(69,'Pie de rey'!$B$52)=0,2,IF(MOD(69,'Pie de rey'!$B$53)=0,1.5,IF(MOD(69,'Pie de rey'!$B$54)=0,1.1,0.75)))</f>
        <v>0.75</v>
      </c>
      <c r="AN212">
        <f>9.6*SIN(RADIANS(69*3.6))</f>
        <v>-8.9258542645272136</v>
      </c>
      <c r="AO212">
        <f>9.6*COS(RADIANS(69*3.6))</f>
        <v>-3.5339957057729068</v>
      </c>
      <c r="BH212">
        <f>9.6*SIN(RADIANS(69*3.6))</f>
        <v>-8.9258542645272136</v>
      </c>
      <c r="BI212">
        <f>9.6*COS(RADIANS(69*3.6))</f>
        <v>-3.5339957057729068</v>
      </c>
    </row>
    <row r="214" spans="1:61" x14ac:dyDescent="0.25">
      <c r="A214">
        <v>70</v>
      </c>
      <c r="B214">
        <v>0</v>
      </c>
      <c r="AN214">
        <f>IF(MOD(70,10)=0,7.9,IF(MOD(70,5)=0,8.5,8.9))*SIN(RADIANS(70*3.6))</f>
        <v>-7.5133464787317132</v>
      </c>
      <c r="AO214">
        <f>IF(MOD(70,10)=0,7.9,IF(MOD(70,5)=0,8.5,8.9))*COS(RADIANS(70*3.6))</f>
        <v>-2.4412342555620858</v>
      </c>
      <c r="BH214">
        <f>IF(MOD(70,10)=0,7.9,IF(MOD(70,5)=0,8.5,8.9))*SIN(RADIANS(70*3.6))</f>
        <v>-7.5133464787317132</v>
      </c>
      <c r="BI214">
        <f>IF(MOD(70,10)=0,7.9,IF(MOD(70,5)=0,8.5,8.9))*COS(RADIANS(70*3.6))</f>
        <v>-2.4412342555620858</v>
      </c>
    </row>
    <row r="215" spans="1:61" x14ac:dyDescent="0.25">
      <c r="A215">
        <v>70</v>
      </c>
      <c r="B215">
        <f>IF(MOD(70,'Pie de rey'!$B$52)=0,2,IF(MOD(70,'Pie de rey'!$B$53)=0,1.5,IF(MOD(70,'Pie de rey'!$B$54)=0,1.1,0.75)))</f>
        <v>0.75</v>
      </c>
      <c r="AN215">
        <f>9.6*SIN(RADIANS(70*3.6))</f>
        <v>-9.1301425564334728</v>
      </c>
      <c r="AO215">
        <f>9.6*COS(RADIANS(70*3.6))</f>
        <v>-2.9665631459994963</v>
      </c>
      <c r="BH215">
        <f>9.6*SIN(RADIANS(70*3.6))</f>
        <v>-9.1301425564334728</v>
      </c>
      <c r="BI215">
        <f>9.6*COS(RADIANS(70*3.6))</f>
        <v>-2.9665631459994963</v>
      </c>
    </row>
    <row r="217" spans="1:61" x14ac:dyDescent="0.25">
      <c r="A217">
        <v>71</v>
      </c>
      <c r="B217">
        <v>0</v>
      </c>
      <c r="AN217">
        <f>IF(MOD(71,10)=0,7.9,IF(MOD(71,5)=0,8.5,8.9))*SIN(RADIANS(71*3.6))</f>
        <v>-8.6203901340448166</v>
      </c>
      <c r="AO217">
        <f>IF(MOD(71,10)=0,7.9,IF(MOD(71,5)=0,8.5,8.9))*COS(RADIANS(71*3.6))</f>
        <v>-2.2133399957672122</v>
      </c>
      <c r="BH217">
        <f>IF(MOD(71,10)=0,7.9,IF(MOD(71,5)=0,8.5,8.9))*SIN(RADIANS(71*3.6))</f>
        <v>-8.6203901340448166</v>
      </c>
      <c r="BI217">
        <f>IF(MOD(71,10)=0,7.9,IF(MOD(71,5)=0,8.5,8.9))*COS(RADIANS(71*3.6))</f>
        <v>-2.2133399957672122</v>
      </c>
    </row>
    <row r="218" spans="1:61" x14ac:dyDescent="0.25">
      <c r="A218">
        <v>71</v>
      </c>
      <c r="B218">
        <f>IF(MOD(71,'Pie de rey'!$B$52)=0,2,IF(MOD(71,'Pie de rey'!$B$53)=0,1.5,IF(MOD(71,'Pie de rey'!$B$54)=0,1.1,0.75)))</f>
        <v>0.75</v>
      </c>
      <c r="AN218">
        <f>9.6*SIN(RADIANS(71*3.6))</f>
        <v>-9.2983983468348566</v>
      </c>
      <c r="AO218">
        <f>9.6*COS(RADIANS(71*3.6))</f>
        <v>-2.3874229167826106</v>
      </c>
      <c r="BH218">
        <f>9.6*SIN(RADIANS(71*3.6))</f>
        <v>-9.2983983468348566</v>
      </c>
      <c r="BI218">
        <f>9.6*COS(RADIANS(71*3.6))</f>
        <v>-2.3874229167826106</v>
      </c>
    </row>
    <row r="220" spans="1:61" x14ac:dyDescent="0.25">
      <c r="A220">
        <v>72</v>
      </c>
      <c r="B220">
        <v>0</v>
      </c>
      <c r="AN220">
        <f>IF(MOD(72,10)=0,7.9,IF(MOD(72,5)=0,8.5,8.9))*SIN(RADIANS(72*3.6))</f>
        <v>-8.7423565314853295</v>
      </c>
      <c r="AO220">
        <f>IF(MOD(72,10)=0,7.9,IF(MOD(72,5)=0,8.5,8.9))*COS(RADIANS(72*3.6))</f>
        <v>-1.6676936998129492</v>
      </c>
      <c r="BH220">
        <f>IF(MOD(72,10)=0,7.9,IF(MOD(72,5)=0,8.5,8.9))*SIN(RADIANS(72*3.6))</f>
        <v>-8.7423565314853295</v>
      </c>
      <c r="BI220">
        <f>IF(MOD(72,10)=0,7.9,IF(MOD(72,5)=0,8.5,8.9))*COS(RADIANS(72*3.6))</f>
        <v>-1.6676936998129492</v>
      </c>
    </row>
    <row r="221" spans="1:61" x14ac:dyDescent="0.25">
      <c r="A221">
        <v>72</v>
      </c>
      <c r="B221">
        <f>IF(MOD(72,'Pie de rey'!$B$52)=0,2,IF(MOD(72,'Pie de rey'!$B$53)=0,1.5,IF(MOD(72,'Pie de rey'!$B$54)=0,1.1,0.75)))</f>
        <v>1.5</v>
      </c>
      <c r="AN221">
        <f>9.6*SIN(RADIANS(72*3.6))</f>
        <v>-9.4299576069954121</v>
      </c>
      <c r="AO221">
        <f>9.6*COS(RADIANS(72*3.6))</f>
        <v>-1.7988606200229564</v>
      </c>
      <c r="BH221">
        <f>9.6*SIN(RADIANS(72*3.6))</f>
        <v>-9.4299576069954121</v>
      </c>
      <c r="BI221">
        <f>9.6*COS(RADIANS(72*3.6))</f>
        <v>-1.7988606200229564</v>
      </c>
    </row>
    <row r="223" spans="1:61" x14ac:dyDescent="0.25">
      <c r="A223">
        <v>73</v>
      </c>
      <c r="B223">
        <v>0</v>
      </c>
      <c r="AN223">
        <f>IF(MOD(73,10)=0,7.9,IF(MOD(73,5)=0,8.5,8.9))*SIN(RADIANS(73*3.6))</f>
        <v>-8.8298208416988526</v>
      </c>
      <c r="AO223">
        <f>IF(MOD(73,10)=0,7.9,IF(MOD(73,5)=0,8.5,8.9))*COS(RADIANS(73*3.6))</f>
        <v>-1.1154657787223032</v>
      </c>
      <c r="BH223">
        <f>IF(MOD(73,10)=0,7.9,IF(MOD(73,5)=0,8.5,8.9))*SIN(RADIANS(73*3.6))</f>
        <v>-8.8298208416988526</v>
      </c>
      <c r="BI223">
        <f>IF(MOD(73,10)=0,7.9,IF(MOD(73,5)=0,8.5,8.9))*COS(RADIANS(73*3.6))</f>
        <v>-1.1154657787223032</v>
      </c>
    </row>
    <row r="224" spans="1:61" x14ac:dyDescent="0.25">
      <c r="A224">
        <v>73</v>
      </c>
      <c r="B224">
        <f>IF(MOD(73,'Pie de rey'!$B$52)=0,2,IF(MOD(73,'Pie de rey'!$B$53)=0,1.5,IF(MOD(73,'Pie de rey'!$B$54)=0,1.1,0.75)))</f>
        <v>0.75</v>
      </c>
      <c r="AN224">
        <f>9.6*SIN(RADIANS(73*3.6))</f>
        <v>-9.5243011326189873</v>
      </c>
      <c r="AO224">
        <f>9.6*COS(RADIANS(73*3.6))</f>
        <v>-1.2031990422173158</v>
      </c>
      <c r="BH224">
        <f>9.6*SIN(RADIANS(73*3.6))</f>
        <v>-9.5243011326189873</v>
      </c>
      <c r="BI224">
        <f>9.6*COS(RADIANS(73*3.6))</f>
        <v>-1.2031990422173158</v>
      </c>
    </row>
    <row r="226" spans="1:61" x14ac:dyDescent="0.25">
      <c r="A226">
        <v>74</v>
      </c>
      <c r="B226">
        <v>0</v>
      </c>
      <c r="AN226">
        <f>IF(MOD(74,10)=0,7.9,IF(MOD(74,5)=0,8.5,8.9))*SIN(RADIANS(74*3.6))</f>
        <v>-8.8824378830116171</v>
      </c>
      <c r="AO226">
        <f>IF(MOD(74,10)=0,7.9,IF(MOD(74,5)=0,8.5,8.9))*COS(RADIANS(74*3.6))</f>
        <v>-0.55883562381088758</v>
      </c>
      <c r="BH226">
        <f>IF(MOD(74,10)=0,7.9,IF(MOD(74,5)=0,8.5,8.9))*SIN(RADIANS(74*3.6))</f>
        <v>-8.8824378830116171</v>
      </c>
      <c r="BI226">
        <f>IF(MOD(74,10)=0,7.9,IF(MOD(74,5)=0,8.5,8.9))*COS(RADIANS(74*3.6))</f>
        <v>-0.55883562381088758</v>
      </c>
    </row>
    <row r="227" spans="1:61" x14ac:dyDescent="0.25">
      <c r="A227">
        <v>74</v>
      </c>
      <c r="B227">
        <f>IF(MOD(74,'Pie de rey'!$B$52)=0,2,IF(MOD(74,'Pie de rey'!$B$53)=0,1.5,IF(MOD(74,'Pie de rey'!$B$54)=0,1.1,0.75)))</f>
        <v>0.75</v>
      </c>
      <c r="AN227">
        <f>9.6*SIN(RADIANS(74*3.6))</f>
        <v>-9.5810565929114073</v>
      </c>
      <c r="AO227">
        <f>9.6*COS(RADIANS(74*3.6))</f>
        <v>-0.60278898748140675</v>
      </c>
      <c r="BH227">
        <f>9.6*SIN(RADIANS(74*3.6))</f>
        <v>-9.5810565929114073</v>
      </c>
      <c r="BI227">
        <f>9.6*COS(RADIANS(74*3.6))</f>
        <v>-0.60278898748140675</v>
      </c>
    </row>
    <row r="229" spans="1:61" x14ac:dyDescent="0.25">
      <c r="A229">
        <v>75</v>
      </c>
      <c r="B229">
        <v>0</v>
      </c>
      <c r="AN229">
        <f>IF(MOD(75,10)=0,7.9,IF(MOD(75,5)=0,8.5,8.9))*SIN(RADIANS(75*3.6))</f>
        <v>-8.5</v>
      </c>
      <c r="AO229">
        <f>IF(MOD(75,10)=0,7.9,IF(MOD(75,5)=0,8.5,8.9))*COS(RADIANS(75*3.6))</f>
        <v>-1.5620642800084905E-15</v>
      </c>
      <c r="BH229">
        <f>IF(MOD(75,10)=0,7.9,IF(MOD(75,5)=0,8.5,8.9))*SIN(RADIANS(75*3.6))</f>
        <v>-8.5</v>
      </c>
      <c r="BI229">
        <f>IF(MOD(75,10)=0,7.9,IF(MOD(75,5)=0,8.5,8.9))*COS(RADIANS(75*3.6))</f>
        <v>-1.5620642800084905E-15</v>
      </c>
    </row>
    <row r="230" spans="1:61" x14ac:dyDescent="0.25">
      <c r="A230">
        <v>75</v>
      </c>
      <c r="B230">
        <f>IF(MOD(75,'Pie de rey'!$B$52)=0,2,IF(MOD(75,'Pie de rey'!$B$53)=0,1.5,IF(MOD(75,'Pie de rey'!$B$54)=0,1.1,0.75)))</f>
        <v>0.75</v>
      </c>
      <c r="AN230">
        <f>9.6*SIN(RADIANS(75*3.6))</f>
        <v>-9.6</v>
      </c>
      <c r="AO230">
        <f>9.6*COS(RADIANS(75*3.6))</f>
        <v>-1.7642137750684128E-15</v>
      </c>
      <c r="BH230">
        <f>9.6*SIN(RADIANS(75*3.6))</f>
        <v>-9.6</v>
      </c>
      <c r="BI230">
        <f>9.6*COS(RADIANS(75*3.6))</f>
        <v>-1.7642137750684128E-15</v>
      </c>
    </row>
    <row r="232" spans="1:61" x14ac:dyDescent="0.25">
      <c r="A232">
        <v>76</v>
      </c>
      <c r="B232">
        <v>0</v>
      </c>
      <c r="AN232">
        <f>IF(MOD(76,10)=0,7.9,IF(MOD(76,5)=0,8.5,8.9))*SIN(RADIANS(76*3.6))</f>
        <v>-8.8824378830116171</v>
      </c>
      <c r="AO232">
        <f>IF(MOD(76,10)=0,7.9,IF(MOD(76,5)=0,8.5,8.9))*COS(RADIANS(76*3.6))</f>
        <v>0.55883562381089213</v>
      </c>
      <c r="BH232">
        <f>IF(MOD(76,10)=0,7.9,IF(MOD(76,5)=0,8.5,8.9))*SIN(RADIANS(76*3.6))</f>
        <v>-8.8824378830116171</v>
      </c>
      <c r="BI232">
        <f>IF(MOD(76,10)=0,7.9,IF(MOD(76,5)=0,8.5,8.9))*COS(RADIANS(76*3.6))</f>
        <v>0.55883562381089213</v>
      </c>
    </row>
    <row r="233" spans="1:61" x14ac:dyDescent="0.25">
      <c r="A233">
        <v>76</v>
      </c>
      <c r="B233">
        <f>IF(MOD(76,'Pie de rey'!$B$52)=0,2,IF(MOD(76,'Pie de rey'!$B$53)=0,1.5,IF(MOD(76,'Pie de rey'!$B$54)=0,1.1,0.75)))</f>
        <v>1.1000000000000001</v>
      </c>
      <c r="AN233">
        <f>9.6*SIN(RADIANS(76*3.6))</f>
        <v>-9.5810565929114073</v>
      </c>
      <c r="AO233">
        <f>9.6*COS(RADIANS(76*3.6))</f>
        <v>0.60278898748141174</v>
      </c>
      <c r="BH233">
        <f>9.6*SIN(RADIANS(76*3.6))</f>
        <v>-9.5810565929114073</v>
      </c>
      <c r="BI233">
        <f>9.6*COS(RADIANS(76*3.6))</f>
        <v>0.60278898748141174</v>
      </c>
    </row>
    <row r="235" spans="1:61" x14ac:dyDescent="0.25">
      <c r="A235">
        <v>77</v>
      </c>
      <c r="B235">
        <v>0</v>
      </c>
      <c r="AN235">
        <f>IF(MOD(77,10)=0,7.9,IF(MOD(77,5)=0,8.5,8.9))*SIN(RADIANS(77*3.6))</f>
        <v>-8.8298208416988526</v>
      </c>
      <c r="AO235">
        <f>IF(MOD(77,10)=0,7.9,IF(MOD(77,5)=0,8.5,8.9))*COS(RADIANS(77*3.6))</f>
        <v>1.1154657787223077</v>
      </c>
      <c r="BH235">
        <f>IF(MOD(77,10)=0,7.9,IF(MOD(77,5)=0,8.5,8.9))*SIN(RADIANS(77*3.6))</f>
        <v>-8.8298208416988526</v>
      </c>
      <c r="BI235">
        <f>IF(MOD(77,10)=0,7.9,IF(MOD(77,5)=0,8.5,8.9))*COS(RADIANS(77*3.6))</f>
        <v>1.1154657787223077</v>
      </c>
    </row>
    <row r="236" spans="1:61" x14ac:dyDescent="0.25">
      <c r="A236">
        <v>77</v>
      </c>
      <c r="B236">
        <f>IF(MOD(77,'Pie de rey'!$B$52)=0,2,IF(MOD(77,'Pie de rey'!$B$53)=0,1.5,IF(MOD(77,'Pie de rey'!$B$54)=0,1.1,0.75)))</f>
        <v>0.75</v>
      </c>
      <c r="AN236">
        <f>9.6*SIN(RADIANS(77*3.6))</f>
        <v>-9.5243011326189873</v>
      </c>
      <c r="AO236">
        <f>9.6*COS(RADIANS(77*3.6))</f>
        <v>1.2031990422173207</v>
      </c>
      <c r="BH236">
        <f>9.6*SIN(RADIANS(77*3.6))</f>
        <v>-9.5243011326189873</v>
      </c>
      <c r="BI236">
        <f>9.6*COS(RADIANS(77*3.6))</f>
        <v>1.2031990422173207</v>
      </c>
    </row>
    <row r="238" spans="1:61" x14ac:dyDescent="0.25">
      <c r="A238">
        <v>78</v>
      </c>
      <c r="B238">
        <v>0</v>
      </c>
      <c r="AN238">
        <f>IF(MOD(78,10)=0,7.9,IF(MOD(78,5)=0,8.5,8.9))*SIN(RADIANS(78*3.6))</f>
        <v>-8.7423565314853295</v>
      </c>
      <c r="AO238">
        <f>IF(MOD(78,10)=0,7.9,IF(MOD(78,5)=0,8.5,8.9))*COS(RADIANS(78*3.6))</f>
        <v>1.6676936998129537</v>
      </c>
      <c r="BH238">
        <f>IF(MOD(78,10)=0,7.9,IF(MOD(78,5)=0,8.5,8.9))*SIN(RADIANS(78*3.6))</f>
        <v>-8.7423565314853295</v>
      </c>
      <c r="BI238">
        <f>IF(MOD(78,10)=0,7.9,IF(MOD(78,5)=0,8.5,8.9))*COS(RADIANS(78*3.6))</f>
        <v>1.6676936998129537</v>
      </c>
    </row>
    <row r="239" spans="1:61" x14ac:dyDescent="0.25">
      <c r="A239">
        <v>78</v>
      </c>
      <c r="B239">
        <f>IF(MOD(78,'Pie de rey'!$B$52)=0,2,IF(MOD(78,'Pie de rey'!$B$53)=0,1.5,IF(MOD(78,'Pie de rey'!$B$54)=0,1.1,0.75)))</f>
        <v>0.75</v>
      </c>
      <c r="AN239">
        <f>9.6*SIN(RADIANS(78*3.6))</f>
        <v>-9.4299576069954103</v>
      </c>
      <c r="AO239">
        <f>9.6*COS(RADIANS(78*3.6))</f>
        <v>1.7988606200229611</v>
      </c>
      <c r="BH239">
        <f>9.6*SIN(RADIANS(78*3.6))</f>
        <v>-9.4299576069954103</v>
      </c>
      <c r="BI239">
        <f>9.6*COS(RADIANS(78*3.6))</f>
        <v>1.7988606200229611</v>
      </c>
    </row>
    <row r="241" spans="1:61" x14ac:dyDescent="0.25">
      <c r="A241">
        <v>79</v>
      </c>
      <c r="B241">
        <v>0</v>
      </c>
      <c r="AN241">
        <f>IF(MOD(79,10)=0,7.9,IF(MOD(79,5)=0,8.5,8.9))*SIN(RADIANS(79*3.6))</f>
        <v>-8.6203901340448166</v>
      </c>
      <c r="AO241">
        <f>IF(MOD(79,10)=0,7.9,IF(MOD(79,5)=0,8.5,8.9))*COS(RADIANS(79*3.6))</f>
        <v>2.2133399957672091</v>
      </c>
      <c r="BH241">
        <f>IF(MOD(79,10)=0,7.9,IF(MOD(79,5)=0,8.5,8.9))*SIN(RADIANS(79*3.6))</f>
        <v>-8.6203901340448166</v>
      </c>
      <c r="BI241">
        <f>IF(MOD(79,10)=0,7.9,IF(MOD(79,5)=0,8.5,8.9))*COS(RADIANS(79*3.6))</f>
        <v>2.2133399957672091</v>
      </c>
    </row>
    <row r="242" spans="1:61" x14ac:dyDescent="0.25">
      <c r="A242">
        <v>79</v>
      </c>
      <c r="B242">
        <f>IF(MOD(79,'Pie de rey'!$B$52)=0,2,IF(MOD(79,'Pie de rey'!$B$53)=0,1.5,IF(MOD(79,'Pie de rey'!$B$54)=0,1.1,0.75)))</f>
        <v>0.75</v>
      </c>
      <c r="AN242">
        <f>9.6*SIN(RADIANS(79*3.6))</f>
        <v>-9.2983983468348583</v>
      </c>
      <c r="AO242">
        <f>9.6*COS(RADIANS(79*3.6))</f>
        <v>2.3874229167826071</v>
      </c>
      <c r="BH242">
        <f>9.6*SIN(RADIANS(79*3.6))</f>
        <v>-9.2983983468348583</v>
      </c>
      <c r="BI242">
        <f>9.6*COS(RADIANS(79*3.6))</f>
        <v>2.3874229167826071</v>
      </c>
    </row>
    <row r="244" spans="1:61" x14ac:dyDescent="0.25">
      <c r="A244">
        <v>80</v>
      </c>
      <c r="B244">
        <v>0</v>
      </c>
      <c r="AN244">
        <f>IF(MOD(80,10)=0,7.9,IF(MOD(80,5)=0,8.5,8.9))*SIN(RADIANS(80*3.6))</f>
        <v>-7.5133464787317141</v>
      </c>
      <c r="AO244">
        <f>IF(MOD(80,10)=0,7.9,IF(MOD(80,5)=0,8.5,8.9))*COS(RADIANS(80*3.6))</f>
        <v>2.4412342555620832</v>
      </c>
      <c r="BH244">
        <f>IF(MOD(80,10)=0,7.9,IF(MOD(80,5)=0,8.5,8.9))*SIN(RADIANS(80*3.6))</f>
        <v>-7.5133464787317141</v>
      </c>
      <c r="BI244">
        <f>IF(MOD(80,10)=0,7.9,IF(MOD(80,5)=0,8.5,8.9))*COS(RADIANS(80*3.6))</f>
        <v>2.4412342555620832</v>
      </c>
    </row>
    <row r="245" spans="1:61" x14ac:dyDescent="0.25">
      <c r="A245">
        <v>80</v>
      </c>
      <c r="B245">
        <f>IF(MOD(80,'Pie de rey'!$B$52)=0,2,IF(MOD(80,'Pie de rey'!$B$53)=0,1.5,IF(MOD(80,'Pie de rey'!$B$54)=0,1.1,0.75)))</f>
        <v>2</v>
      </c>
      <c r="AN245">
        <f>9.6*SIN(RADIANS(80*3.6))</f>
        <v>-9.1301425564334746</v>
      </c>
      <c r="AO245">
        <f>9.6*COS(RADIANS(80*3.6))</f>
        <v>2.9665631459994932</v>
      </c>
      <c r="BH245">
        <f>9.6*SIN(RADIANS(80*3.6))</f>
        <v>-9.1301425564334746</v>
      </c>
      <c r="BI245">
        <f>9.6*COS(RADIANS(80*3.6))</f>
        <v>2.9665631459994932</v>
      </c>
    </row>
    <row r="247" spans="1:61" x14ac:dyDescent="0.25">
      <c r="A247">
        <v>81</v>
      </c>
      <c r="B247">
        <v>0</v>
      </c>
      <c r="AN247">
        <f>IF(MOD(81,10)=0,7.9,IF(MOD(81,5)=0,8.5,8.9))*SIN(RADIANS(81*3.6))</f>
        <v>-8.2750107244054369</v>
      </c>
      <c r="AO247">
        <f>IF(MOD(81,10)=0,7.9,IF(MOD(81,5)=0,8.5,8.9))*COS(RADIANS(81*3.6))</f>
        <v>3.2763085188936367</v>
      </c>
      <c r="BH247">
        <f>IF(MOD(81,10)=0,7.9,IF(MOD(81,5)=0,8.5,8.9))*SIN(RADIANS(81*3.6))</f>
        <v>-8.2750107244054369</v>
      </c>
      <c r="BI247">
        <f>IF(MOD(81,10)=0,7.9,IF(MOD(81,5)=0,8.5,8.9))*COS(RADIANS(81*3.6))</f>
        <v>3.2763085188936367</v>
      </c>
    </row>
    <row r="248" spans="1:61" x14ac:dyDescent="0.25">
      <c r="A248">
        <v>81</v>
      </c>
      <c r="B248">
        <f>IF(MOD(81,'Pie de rey'!$B$52)=0,2,IF(MOD(81,'Pie de rey'!$B$53)=0,1.5,IF(MOD(81,'Pie de rey'!$B$54)=0,1.1,0.75)))</f>
        <v>0.75</v>
      </c>
      <c r="AN248">
        <f>9.6*SIN(RADIANS(81*3.6))</f>
        <v>-8.9258542645272119</v>
      </c>
      <c r="AO248">
        <f>9.6*COS(RADIANS(81*3.6))</f>
        <v>3.5339957057729112</v>
      </c>
      <c r="BH248">
        <f>9.6*SIN(RADIANS(81*3.6))</f>
        <v>-8.9258542645272119</v>
      </c>
      <c r="BI248">
        <f>9.6*COS(RADIANS(81*3.6))</f>
        <v>3.5339957057729112</v>
      </c>
    </row>
    <row r="250" spans="1:61" x14ac:dyDescent="0.25">
      <c r="A250">
        <v>82</v>
      </c>
      <c r="B250">
        <v>0</v>
      </c>
      <c r="AN250">
        <f>IF(MOD(82,10)=0,7.9,IF(MOD(82,5)=0,8.5,8.9))*SIN(RADIANS(82*3.6))</f>
        <v>-8.0529607669475745</v>
      </c>
      <c r="AO250">
        <f>IF(MOD(82,10)=0,7.9,IF(MOD(82,5)=0,8.5,8.9))*COS(RADIANS(82*3.6))</f>
        <v>3.7894356949291463</v>
      </c>
      <c r="BH250">
        <f>IF(MOD(82,10)=0,7.9,IF(MOD(82,5)=0,8.5,8.9))*SIN(RADIANS(82*3.6))</f>
        <v>-8.0529607669475745</v>
      </c>
      <c r="BI250">
        <f>IF(MOD(82,10)=0,7.9,IF(MOD(82,5)=0,8.5,8.9))*COS(RADIANS(82*3.6))</f>
        <v>3.7894356949291463</v>
      </c>
    </row>
    <row r="251" spans="1:61" x14ac:dyDescent="0.25">
      <c r="A251">
        <v>82</v>
      </c>
      <c r="B251">
        <f>IF(MOD(82,'Pie de rey'!$B$52)=0,2,IF(MOD(82,'Pie de rey'!$B$53)=0,1.5,IF(MOD(82,'Pie de rey'!$B$54)=0,1.1,0.75)))</f>
        <v>0.75</v>
      </c>
      <c r="AN251">
        <f>9.6*SIN(RADIANS(82*3.6))</f>
        <v>-8.6863397036737879</v>
      </c>
      <c r="AO251">
        <f>9.6*COS(RADIANS(82*3.6))</f>
        <v>4.0874811990246966</v>
      </c>
      <c r="BH251">
        <f>9.6*SIN(RADIANS(82*3.6))</f>
        <v>-8.6863397036737879</v>
      </c>
      <c r="BI251">
        <f>9.6*COS(RADIANS(82*3.6))</f>
        <v>4.0874811990246966</v>
      </c>
    </row>
    <row r="253" spans="1:61" x14ac:dyDescent="0.25">
      <c r="A253">
        <v>83</v>
      </c>
      <c r="B253">
        <v>0</v>
      </c>
      <c r="AN253">
        <f>IF(MOD(83,10)=0,7.9,IF(MOD(83,5)=0,8.5,8.9))*SIN(RADIANS(83*3.6))</f>
        <v>-7.7991294523903845</v>
      </c>
      <c r="AO253">
        <f>IF(MOD(83,10)=0,7.9,IF(MOD(83,5)=0,8.5,8.9))*COS(RADIANS(83*3.6))</f>
        <v>4.2876076995052701</v>
      </c>
      <c r="BH253">
        <f>IF(MOD(83,10)=0,7.9,IF(MOD(83,5)=0,8.5,8.9))*SIN(RADIANS(83*3.6))</f>
        <v>-7.7991294523903845</v>
      </c>
      <c r="BI253">
        <f>IF(MOD(83,10)=0,7.9,IF(MOD(83,5)=0,8.5,8.9))*COS(RADIANS(83*3.6))</f>
        <v>4.2876076995052701</v>
      </c>
    </row>
    <row r="254" spans="1:61" x14ac:dyDescent="0.25">
      <c r="A254">
        <v>83</v>
      </c>
      <c r="B254">
        <f>IF(MOD(83,'Pie de rey'!$B$52)=0,2,IF(MOD(83,'Pie de rey'!$B$53)=0,1.5,IF(MOD(83,'Pie de rey'!$B$54)=0,1.1,0.75)))</f>
        <v>0.75</v>
      </c>
      <c r="AN254">
        <f>9.6*SIN(RADIANS(83*3.6))</f>
        <v>-8.4125441284210876</v>
      </c>
      <c r="AO254">
        <f>9.6*COS(RADIANS(83*3.6))</f>
        <v>4.6248352713764707</v>
      </c>
      <c r="BH254">
        <f>9.6*SIN(RADIANS(83*3.6))</f>
        <v>-8.4125441284210876</v>
      </c>
      <c r="BI254">
        <f>9.6*COS(RADIANS(83*3.6))</f>
        <v>4.6248352713764707</v>
      </c>
    </row>
    <row r="256" spans="1:61" x14ac:dyDescent="0.25">
      <c r="A256">
        <v>84</v>
      </c>
      <c r="B256">
        <v>0</v>
      </c>
      <c r="AN256">
        <f>IF(MOD(84,10)=0,7.9,IF(MOD(84,5)=0,8.5,8.9))*SIN(RADIANS(84*3.6))</f>
        <v>-7.5145185369679339</v>
      </c>
      <c r="AO256">
        <f>IF(MOD(84,10)=0,7.9,IF(MOD(84,5)=0,8.5,8.9))*COS(RADIANS(84*3.6))</f>
        <v>4.7688584753130714</v>
      </c>
      <c r="BH256">
        <f>IF(MOD(84,10)=0,7.9,IF(MOD(84,5)=0,8.5,8.9))*SIN(RADIANS(84*3.6))</f>
        <v>-7.5145185369679339</v>
      </c>
      <c r="BI256">
        <f>IF(MOD(84,10)=0,7.9,IF(MOD(84,5)=0,8.5,8.9))*COS(RADIANS(84*3.6))</f>
        <v>4.7688584753130714</v>
      </c>
    </row>
    <row r="257" spans="1:61" x14ac:dyDescent="0.25">
      <c r="A257">
        <v>84</v>
      </c>
      <c r="B257">
        <f>IF(MOD(84,'Pie de rey'!$B$52)=0,2,IF(MOD(84,'Pie de rey'!$B$53)=0,1.5,IF(MOD(84,'Pie de rey'!$B$54)=0,1.1,0.75)))</f>
        <v>1.1000000000000001</v>
      </c>
      <c r="AN257">
        <f>9.6*SIN(RADIANS(84*3.6))</f>
        <v>-8.1055480848193433</v>
      </c>
      <c r="AO257">
        <f>9.6*COS(RADIANS(84*3.6))</f>
        <v>5.1439372317983691</v>
      </c>
      <c r="BH257">
        <f>9.6*SIN(RADIANS(84*3.6))</f>
        <v>-8.1055480848193433</v>
      </c>
      <c r="BI257">
        <f>9.6*COS(RADIANS(84*3.6))</f>
        <v>5.1439372317983691</v>
      </c>
    </row>
    <row r="259" spans="1:61" x14ac:dyDescent="0.25">
      <c r="A259">
        <v>85</v>
      </c>
      <c r="B259">
        <v>0</v>
      </c>
      <c r="AN259">
        <f>IF(MOD(85,10)=0,7.9,IF(MOD(85,5)=0,8.5,8.9))*SIN(RADIANS(85*3.6))</f>
        <v>-6.8766444521870547</v>
      </c>
      <c r="AO259">
        <f>IF(MOD(85,10)=0,7.9,IF(MOD(85,5)=0,8.5,8.9))*COS(RADIANS(85*3.6))</f>
        <v>4.99617464448602</v>
      </c>
      <c r="BH259">
        <f>IF(MOD(85,10)=0,7.9,IF(MOD(85,5)=0,8.5,8.9))*SIN(RADIANS(85*3.6))</f>
        <v>-6.8766444521870547</v>
      </c>
      <c r="BI259">
        <f>IF(MOD(85,10)=0,7.9,IF(MOD(85,5)=0,8.5,8.9))*COS(RADIANS(85*3.6))</f>
        <v>4.99617464448602</v>
      </c>
    </row>
    <row r="260" spans="1:61" x14ac:dyDescent="0.25">
      <c r="A260">
        <v>85</v>
      </c>
      <c r="B260">
        <f>IF(MOD(85,'Pie de rey'!$B$52)=0,2,IF(MOD(85,'Pie de rey'!$B$53)=0,1.5,IF(MOD(85,'Pie de rey'!$B$54)=0,1.1,0.75)))</f>
        <v>0.75</v>
      </c>
      <c r="AN260">
        <f>9.6*SIN(RADIANS(85*3.6))</f>
        <v>-7.7665631459994966</v>
      </c>
      <c r="AO260">
        <f>9.6*COS(RADIANS(85*3.6))</f>
        <v>5.6427384220077395</v>
      </c>
      <c r="BH260">
        <f>9.6*SIN(RADIANS(85*3.6))</f>
        <v>-7.7665631459994966</v>
      </c>
      <c r="BI260">
        <f>9.6*COS(RADIANS(85*3.6))</f>
        <v>5.6427384220077395</v>
      </c>
    </row>
    <row r="262" spans="1:61" x14ac:dyDescent="0.25">
      <c r="A262">
        <v>86</v>
      </c>
      <c r="B262">
        <v>0</v>
      </c>
      <c r="AN262">
        <f>IF(MOD(86,10)=0,7.9,IF(MOD(86,5)=0,8.5,8.9))*SIN(RADIANS(86*3.6))</f>
        <v>-6.8575678607045223</v>
      </c>
      <c r="AO262">
        <f>IF(MOD(86,10)=0,7.9,IF(MOD(86,5)=0,8.5,8.9))*COS(RADIANS(86*3.6))</f>
        <v>5.6730735087633413</v>
      </c>
      <c r="BH262">
        <f>IF(MOD(86,10)=0,7.9,IF(MOD(86,5)=0,8.5,8.9))*SIN(RADIANS(86*3.6))</f>
        <v>-6.8575678607045223</v>
      </c>
      <c r="BI262">
        <f>IF(MOD(86,10)=0,7.9,IF(MOD(86,5)=0,8.5,8.9))*COS(RADIANS(86*3.6))</f>
        <v>5.6730735087633413</v>
      </c>
    </row>
    <row r="263" spans="1:61" x14ac:dyDescent="0.25">
      <c r="A263">
        <v>86</v>
      </c>
      <c r="B263">
        <f>IF(MOD(86,'Pie de rey'!$B$52)=0,2,IF(MOD(86,'Pie de rey'!$B$53)=0,1.5,IF(MOD(86,'Pie de rey'!$B$54)=0,1.1,0.75)))</f>
        <v>0.75</v>
      </c>
      <c r="AN263">
        <f>9.6*SIN(RADIANS(86*3.6))</f>
        <v>-7.3969271306475743</v>
      </c>
      <c r="AO263">
        <f>9.6*COS(RADIANS(86*3.6))</f>
        <v>6.1192703015874237</v>
      </c>
      <c r="BH263">
        <f>9.6*SIN(RADIANS(86*3.6))</f>
        <v>-7.3969271306475743</v>
      </c>
      <c r="BI263">
        <f>9.6*COS(RADIANS(86*3.6))</f>
        <v>6.1192703015874237</v>
      </c>
    </row>
    <row r="265" spans="1:61" x14ac:dyDescent="0.25">
      <c r="A265">
        <v>87</v>
      </c>
      <c r="B265">
        <v>0</v>
      </c>
      <c r="AN265">
        <f>IF(MOD(87,10)=0,7.9,IF(MOD(87,5)=0,8.5,8.9))*SIN(RADIANS(87*3.6))</f>
        <v>-6.4878207840505633</v>
      </c>
      <c r="AO265">
        <f>IF(MOD(87,10)=0,7.9,IF(MOD(87,5)=0,8.5,8.9))*COS(RADIANS(87*3.6))</f>
        <v>6.0924692427653291</v>
      </c>
      <c r="BH265">
        <f>IF(MOD(87,10)=0,7.9,IF(MOD(87,5)=0,8.5,8.9))*SIN(RADIANS(87*3.6))</f>
        <v>-6.4878207840505633</v>
      </c>
      <c r="BI265">
        <f>IF(MOD(87,10)=0,7.9,IF(MOD(87,5)=0,8.5,8.9))*COS(RADIANS(87*3.6))</f>
        <v>6.0924692427653291</v>
      </c>
    </row>
    <row r="266" spans="1:61" x14ac:dyDescent="0.25">
      <c r="A266">
        <v>87</v>
      </c>
      <c r="B266">
        <f>IF(MOD(87,'Pie de rey'!$B$52)=0,2,IF(MOD(87,'Pie de rey'!$B$53)=0,1.5,IF(MOD(87,'Pie de rey'!$B$54)=0,1.1,0.75)))</f>
        <v>0.75</v>
      </c>
      <c r="AN266">
        <f>9.6*SIN(RADIANS(87*3.6))</f>
        <v>-6.9980988232455505</v>
      </c>
      <c r="AO266">
        <f>9.6*COS(RADIANS(87*3.6))</f>
        <v>6.5716522169154103</v>
      </c>
      <c r="BH266">
        <f>9.6*SIN(RADIANS(87*3.6))</f>
        <v>-6.9980988232455505</v>
      </c>
      <c r="BI266">
        <f>9.6*COS(RADIANS(87*3.6))</f>
        <v>6.5716522169154103</v>
      </c>
    </row>
    <row r="268" spans="1:61" x14ac:dyDescent="0.25">
      <c r="A268">
        <v>88</v>
      </c>
      <c r="B268">
        <v>0</v>
      </c>
      <c r="AN268">
        <f>IF(MOD(88,10)=0,7.9,IF(MOD(88,5)=0,8.5,8.9))*SIN(RADIANS(88*3.6))</f>
        <v>-6.0924692427653255</v>
      </c>
      <c r="AO268">
        <f>IF(MOD(88,10)=0,7.9,IF(MOD(88,5)=0,8.5,8.9))*COS(RADIANS(88*3.6))</f>
        <v>6.4878207840505659</v>
      </c>
      <c r="BH268">
        <f>IF(MOD(88,10)=0,7.9,IF(MOD(88,5)=0,8.5,8.9))*SIN(RADIANS(88*3.6))</f>
        <v>-6.0924692427653255</v>
      </c>
      <c r="BI268">
        <f>IF(MOD(88,10)=0,7.9,IF(MOD(88,5)=0,8.5,8.9))*COS(RADIANS(88*3.6))</f>
        <v>6.4878207840505659</v>
      </c>
    </row>
    <row r="269" spans="1:61" x14ac:dyDescent="0.25">
      <c r="A269">
        <v>88</v>
      </c>
      <c r="B269">
        <f>IF(MOD(88,'Pie de rey'!$B$52)=0,2,IF(MOD(88,'Pie de rey'!$B$53)=0,1.5,IF(MOD(88,'Pie de rey'!$B$54)=0,1.1,0.75)))</f>
        <v>1.5</v>
      </c>
      <c r="AN269">
        <f>9.6*SIN(RADIANS(88*3.6))</f>
        <v>-6.5716522169154077</v>
      </c>
      <c r="AO269">
        <f>9.6*COS(RADIANS(88*3.6))</f>
        <v>6.9980988232455541</v>
      </c>
      <c r="BH269">
        <f>9.6*SIN(RADIANS(88*3.6))</f>
        <v>-6.5716522169154077</v>
      </c>
      <c r="BI269">
        <f>9.6*COS(RADIANS(88*3.6))</f>
        <v>6.9980988232455541</v>
      </c>
    </row>
    <row r="271" spans="1:61" x14ac:dyDescent="0.25">
      <c r="A271">
        <v>89</v>
      </c>
      <c r="B271">
        <v>0</v>
      </c>
      <c r="AN271">
        <f>IF(MOD(89,10)=0,7.9,IF(MOD(89,5)=0,8.5,8.9))*SIN(RADIANS(89*3.6))</f>
        <v>-5.6730735087633377</v>
      </c>
      <c r="AO271">
        <f>IF(MOD(89,10)=0,7.9,IF(MOD(89,5)=0,8.5,8.9))*COS(RADIANS(89*3.6))</f>
        <v>6.8575678607045258</v>
      </c>
      <c r="BH271">
        <f>IF(MOD(89,10)=0,7.9,IF(MOD(89,5)=0,8.5,8.9))*SIN(RADIANS(89*3.6))</f>
        <v>-5.6730735087633377</v>
      </c>
      <c r="BI271">
        <f>IF(MOD(89,10)=0,7.9,IF(MOD(89,5)=0,8.5,8.9))*COS(RADIANS(89*3.6))</f>
        <v>6.8575678607045258</v>
      </c>
    </row>
    <row r="272" spans="1:61" x14ac:dyDescent="0.25">
      <c r="A272">
        <v>89</v>
      </c>
      <c r="B272">
        <f>IF(MOD(89,'Pie de rey'!$B$52)=0,2,IF(MOD(89,'Pie de rey'!$B$53)=0,1.5,IF(MOD(89,'Pie de rey'!$B$54)=0,1.1,0.75)))</f>
        <v>0.75</v>
      </c>
      <c r="AN272">
        <f>9.6*SIN(RADIANS(89*3.6))</f>
        <v>-6.1192703015874201</v>
      </c>
      <c r="AO272">
        <f>9.6*COS(RADIANS(89*3.6))</f>
        <v>7.3969271306475779</v>
      </c>
      <c r="BH272">
        <f>9.6*SIN(RADIANS(89*3.6))</f>
        <v>-6.1192703015874201</v>
      </c>
      <c r="BI272">
        <f>9.6*COS(RADIANS(89*3.6))</f>
        <v>7.3969271306475779</v>
      </c>
    </row>
    <row r="274" spans="1:61" x14ac:dyDescent="0.25">
      <c r="A274">
        <v>90</v>
      </c>
      <c r="B274">
        <v>0</v>
      </c>
      <c r="AN274">
        <f>IF(MOD(90,10)=0,7.9,IF(MOD(90,5)=0,8.5,8.9))*SIN(RADIANS(90*3.6))</f>
        <v>-4.6435034931105399</v>
      </c>
      <c r="AO274">
        <f>IF(MOD(90,10)=0,7.9,IF(MOD(90,5)=0,8.5,8.9))*COS(RADIANS(90*3.6))</f>
        <v>6.3912342555620842</v>
      </c>
      <c r="BH274">
        <f>IF(MOD(90,10)=0,7.9,IF(MOD(90,5)=0,8.5,8.9))*SIN(RADIANS(90*3.6))</f>
        <v>-4.6435034931105399</v>
      </c>
      <c r="BI274">
        <f>IF(MOD(90,10)=0,7.9,IF(MOD(90,5)=0,8.5,8.9))*COS(RADIANS(90*3.6))</f>
        <v>6.3912342555620842</v>
      </c>
    </row>
    <row r="275" spans="1:61" x14ac:dyDescent="0.25">
      <c r="A275">
        <v>90</v>
      </c>
      <c r="B275">
        <f>IF(MOD(90,'Pie de rey'!$B$52)=0,2,IF(MOD(90,'Pie de rey'!$B$53)=0,1.5,IF(MOD(90,'Pie de rey'!$B$54)=0,1.1,0.75)))</f>
        <v>0.75</v>
      </c>
      <c r="AN275">
        <f>9.6*SIN(RADIANS(90*3.6))</f>
        <v>-5.6427384220077439</v>
      </c>
      <c r="AO275">
        <f>9.6*COS(RADIANS(90*3.6))</f>
        <v>7.7665631459994939</v>
      </c>
      <c r="BH275">
        <f>9.6*SIN(RADIANS(90*3.6))</f>
        <v>-5.6427384220077439</v>
      </c>
      <c r="BI275">
        <f>9.6*COS(RADIANS(90*3.6))</f>
        <v>7.7665631459994939</v>
      </c>
    </row>
    <row r="277" spans="1:61" x14ac:dyDescent="0.25">
      <c r="A277">
        <v>91</v>
      </c>
      <c r="B277">
        <v>0</v>
      </c>
      <c r="AN277">
        <f>IF(MOD(91,10)=0,7.9,IF(MOD(91,5)=0,8.5,8.9))*SIN(RADIANS(91*3.6))</f>
        <v>-4.7688584753130678</v>
      </c>
      <c r="AO277">
        <f>IF(MOD(91,10)=0,7.9,IF(MOD(91,5)=0,8.5,8.9))*COS(RADIANS(91*3.6))</f>
        <v>7.5145185369679366</v>
      </c>
      <c r="BH277">
        <f>IF(MOD(91,10)=0,7.9,IF(MOD(91,5)=0,8.5,8.9))*SIN(RADIANS(91*3.6))</f>
        <v>-4.7688584753130678</v>
      </c>
      <c r="BI277">
        <f>IF(MOD(91,10)=0,7.9,IF(MOD(91,5)=0,8.5,8.9))*COS(RADIANS(91*3.6))</f>
        <v>7.5145185369679366</v>
      </c>
    </row>
    <row r="278" spans="1:61" x14ac:dyDescent="0.25">
      <c r="A278">
        <v>91</v>
      </c>
      <c r="B278">
        <f>IF(MOD(91,'Pie de rey'!$B$52)=0,2,IF(MOD(91,'Pie de rey'!$B$53)=0,1.5,IF(MOD(91,'Pie de rey'!$B$54)=0,1.1,0.75)))</f>
        <v>0.75</v>
      </c>
      <c r="AN278">
        <f>9.6*SIN(RADIANS(91*3.6))</f>
        <v>-5.1439372317983647</v>
      </c>
      <c r="AO278">
        <f>9.6*COS(RADIANS(91*3.6))</f>
        <v>8.1055480848193469</v>
      </c>
      <c r="BH278">
        <f>9.6*SIN(RADIANS(91*3.6))</f>
        <v>-5.1439372317983647</v>
      </c>
      <c r="BI278">
        <f>9.6*COS(RADIANS(91*3.6))</f>
        <v>8.1055480848193469</v>
      </c>
    </row>
    <row r="280" spans="1:61" x14ac:dyDescent="0.25">
      <c r="A280">
        <v>92</v>
      </c>
      <c r="B280">
        <v>0</v>
      </c>
      <c r="AN280">
        <f>IF(MOD(92,10)=0,7.9,IF(MOD(92,5)=0,8.5,8.9))*SIN(RADIANS(92*3.6))</f>
        <v>-4.2876076995052665</v>
      </c>
      <c r="AO280">
        <f>IF(MOD(92,10)=0,7.9,IF(MOD(92,5)=0,8.5,8.9))*COS(RADIANS(92*3.6))</f>
        <v>7.7991294523903862</v>
      </c>
      <c r="BH280">
        <f>IF(MOD(92,10)=0,7.9,IF(MOD(92,5)=0,8.5,8.9))*SIN(RADIANS(92*3.6))</f>
        <v>-4.2876076995052665</v>
      </c>
      <c r="BI280">
        <f>IF(MOD(92,10)=0,7.9,IF(MOD(92,5)=0,8.5,8.9))*COS(RADIANS(92*3.6))</f>
        <v>7.7991294523903862</v>
      </c>
    </row>
    <row r="281" spans="1:61" x14ac:dyDescent="0.25">
      <c r="A281">
        <v>92</v>
      </c>
      <c r="B281">
        <f>IF(MOD(92,'Pie de rey'!$B$52)=0,2,IF(MOD(92,'Pie de rey'!$B$53)=0,1.5,IF(MOD(92,'Pie de rey'!$B$54)=0,1.1,0.75)))</f>
        <v>1.1000000000000001</v>
      </c>
      <c r="AN281">
        <f>9.6*SIN(RADIANS(92*3.6))</f>
        <v>-4.6248352713764671</v>
      </c>
      <c r="AO281">
        <f>9.6*COS(RADIANS(92*3.6))</f>
        <v>8.4125441284210893</v>
      </c>
      <c r="BH281">
        <f>9.6*SIN(RADIANS(92*3.6))</f>
        <v>-4.6248352713764671</v>
      </c>
      <c r="BI281">
        <f>9.6*COS(RADIANS(92*3.6))</f>
        <v>8.4125441284210893</v>
      </c>
    </row>
    <row r="283" spans="1:61" x14ac:dyDescent="0.25">
      <c r="A283">
        <v>93</v>
      </c>
      <c r="B283">
        <v>0</v>
      </c>
      <c r="AN283">
        <f>IF(MOD(93,10)=0,7.9,IF(MOD(93,5)=0,8.5,8.9))*SIN(RADIANS(93*3.6))</f>
        <v>-3.7894356949291428</v>
      </c>
      <c r="AO283">
        <f>IF(MOD(93,10)=0,7.9,IF(MOD(93,5)=0,8.5,8.9))*COS(RADIANS(93*3.6))</f>
        <v>8.0529607669475762</v>
      </c>
      <c r="BH283">
        <f>IF(MOD(93,10)=0,7.9,IF(MOD(93,5)=0,8.5,8.9))*SIN(RADIANS(93*3.6))</f>
        <v>-3.7894356949291428</v>
      </c>
      <c r="BI283">
        <f>IF(MOD(93,10)=0,7.9,IF(MOD(93,5)=0,8.5,8.9))*COS(RADIANS(93*3.6))</f>
        <v>8.0529607669475762</v>
      </c>
    </row>
    <row r="284" spans="1:61" x14ac:dyDescent="0.25">
      <c r="A284">
        <v>93</v>
      </c>
      <c r="B284">
        <f>IF(MOD(93,'Pie de rey'!$B$52)=0,2,IF(MOD(93,'Pie de rey'!$B$53)=0,1.5,IF(MOD(93,'Pie de rey'!$B$54)=0,1.1,0.75)))</f>
        <v>0.75</v>
      </c>
      <c r="AN284">
        <f>9.6*SIN(RADIANS(93*3.6))</f>
        <v>-4.0874811990246931</v>
      </c>
      <c r="AO284">
        <f>9.6*COS(RADIANS(93*3.6))</f>
        <v>8.6863397036737879</v>
      </c>
      <c r="BH284">
        <f>9.6*SIN(RADIANS(93*3.6))</f>
        <v>-4.0874811990246931</v>
      </c>
      <c r="BI284">
        <f>9.6*COS(RADIANS(93*3.6))</f>
        <v>8.6863397036737879</v>
      </c>
    </row>
    <row r="286" spans="1:61" x14ac:dyDescent="0.25">
      <c r="A286">
        <v>94</v>
      </c>
      <c r="B286">
        <v>0</v>
      </c>
      <c r="AN286">
        <f>IF(MOD(94,10)=0,7.9,IF(MOD(94,5)=0,8.5,8.9))*SIN(RADIANS(94*3.6))</f>
        <v>-3.2763085188936332</v>
      </c>
      <c r="AO286">
        <f>IF(MOD(94,10)=0,7.9,IF(MOD(94,5)=0,8.5,8.9))*COS(RADIANS(94*3.6))</f>
        <v>8.2750107244054387</v>
      </c>
      <c r="BH286">
        <f>IF(MOD(94,10)=0,7.9,IF(MOD(94,5)=0,8.5,8.9))*SIN(RADIANS(94*3.6))</f>
        <v>-3.2763085188936332</v>
      </c>
      <c r="BI286">
        <f>IF(MOD(94,10)=0,7.9,IF(MOD(94,5)=0,8.5,8.9))*COS(RADIANS(94*3.6))</f>
        <v>8.2750107244054387</v>
      </c>
    </row>
    <row r="287" spans="1:61" x14ac:dyDescent="0.25">
      <c r="A287">
        <v>94</v>
      </c>
      <c r="B287">
        <f>IF(MOD(94,'Pie de rey'!$B$52)=0,2,IF(MOD(94,'Pie de rey'!$B$53)=0,1.5,IF(MOD(94,'Pie de rey'!$B$54)=0,1.1,0.75)))</f>
        <v>0.75</v>
      </c>
      <c r="AN287">
        <f>9.6*SIN(RADIANS(94*3.6))</f>
        <v>-3.5339957057729072</v>
      </c>
      <c r="AO287">
        <f>9.6*COS(RADIANS(94*3.6))</f>
        <v>8.9258542645272136</v>
      </c>
      <c r="BH287">
        <f>9.6*SIN(RADIANS(94*3.6))</f>
        <v>-3.5339957057729072</v>
      </c>
      <c r="BI287">
        <f>9.6*COS(RADIANS(94*3.6))</f>
        <v>8.9258542645272136</v>
      </c>
    </row>
    <row r="289" spans="1:61" x14ac:dyDescent="0.25">
      <c r="A289">
        <v>95</v>
      </c>
      <c r="B289">
        <v>0</v>
      </c>
      <c r="AN289">
        <f>IF(MOD(95,10)=0,7.9,IF(MOD(95,5)=0,8.5,8.9))*SIN(RADIANS(95*3.6))</f>
        <v>-2.6266444521870547</v>
      </c>
      <c r="AO289">
        <f>IF(MOD(95,10)=0,7.9,IF(MOD(95,5)=0,8.5,8.9))*COS(RADIANS(95*3.6))</f>
        <v>8.0839803885088042</v>
      </c>
      <c r="BH289">
        <f>IF(MOD(95,10)=0,7.9,IF(MOD(95,5)=0,8.5,8.9))*SIN(RADIANS(95*3.6))</f>
        <v>-2.6266444521870547</v>
      </c>
      <c r="BI289">
        <f>IF(MOD(95,10)=0,7.9,IF(MOD(95,5)=0,8.5,8.9))*COS(RADIANS(95*3.6))</f>
        <v>8.0839803885088042</v>
      </c>
    </row>
    <row r="290" spans="1:61" x14ac:dyDescent="0.25">
      <c r="A290">
        <v>95</v>
      </c>
      <c r="B290">
        <f>IF(MOD(95,'Pie de rey'!$B$52)=0,2,IF(MOD(95,'Pie de rey'!$B$53)=0,1.5,IF(MOD(95,'Pie de rey'!$B$54)=0,1.1,0.75)))</f>
        <v>0.75</v>
      </c>
      <c r="AN290">
        <f>9.6*SIN(RADIANS(95*3.6))</f>
        <v>-2.9665631459994972</v>
      </c>
      <c r="AO290">
        <f>9.6*COS(RADIANS(95*3.6))</f>
        <v>9.1301425564334728</v>
      </c>
      <c r="BH290">
        <f>9.6*SIN(RADIANS(95*3.6))</f>
        <v>-2.9665631459994972</v>
      </c>
      <c r="BI290">
        <f>9.6*COS(RADIANS(95*3.6))</f>
        <v>9.1301425564334728</v>
      </c>
    </row>
    <row r="292" spans="1:61" x14ac:dyDescent="0.25">
      <c r="A292">
        <v>96</v>
      </c>
      <c r="B292">
        <v>0</v>
      </c>
      <c r="AN292">
        <f>IF(MOD(96,10)=0,7.9,IF(MOD(96,5)=0,8.5,8.9))*SIN(RADIANS(96*3.6))</f>
        <v>-2.2133399957672051</v>
      </c>
      <c r="AO292">
        <f>IF(MOD(96,10)=0,7.9,IF(MOD(96,5)=0,8.5,8.9))*COS(RADIANS(96*3.6))</f>
        <v>8.6203901340448184</v>
      </c>
      <c r="BH292">
        <f>IF(MOD(96,10)=0,7.9,IF(MOD(96,5)=0,8.5,8.9))*SIN(RADIANS(96*3.6))</f>
        <v>-2.2133399957672051</v>
      </c>
      <c r="BI292">
        <f>IF(MOD(96,10)=0,7.9,IF(MOD(96,5)=0,8.5,8.9))*COS(RADIANS(96*3.6))</f>
        <v>8.6203901340448184</v>
      </c>
    </row>
    <row r="293" spans="1:61" x14ac:dyDescent="0.25">
      <c r="A293">
        <v>96</v>
      </c>
      <c r="B293">
        <f>IF(MOD(96,'Pie de rey'!$B$52)=0,2,IF(MOD(96,'Pie de rey'!$B$53)=0,1.5,IF(MOD(96,'Pie de rey'!$B$54)=0,1.1,0.75)))</f>
        <v>2</v>
      </c>
      <c r="AN293">
        <f>9.6*SIN(RADIANS(96*3.6))</f>
        <v>-2.3874229167826031</v>
      </c>
      <c r="AO293">
        <f>9.6*COS(RADIANS(96*3.6))</f>
        <v>9.2983983468348583</v>
      </c>
      <c r="BH293">
        <f>9.6*SIN(RADIANS(96*3.6))</f>
        <v>-2.3874229167826031</v>
      </c>
      <c r="BI293">
        <f>9.6*COS(RADIANS(96*3.6))</f>
        <v>9.2983983468348583</v>
      </c>
    </row>
    <row r="295" spans="1:61" x14ac:dyDescent="0.25">
      <c r="A295">
        <v>97</v>
      </c>
      <c r="B295">
        <v>0</v>
      </c>
      <c r="AN295">
        <f>IF(MOD(97,10)=0,7.9,IF(MOD(97,5)=0,8.5,8.9))*SIN(RADIANS(97*3.6))</f>
        <v>-1.6676936998129497</v>
      </c>
      <c r="AO295">
        <f>IF(MOD(97,10)=0,7.9,IF(MOD(97,5)=0,8.5,8.9))*COS(RADIANS(97*3.6))</f>
        <v>8.7423565314853295</v>
      </c>
      <c r="BH295">
        <f>IF(MOD(97,10)=0,7.9,IF(MOD(97,5)=0,8.5,8.9))*SIN(RADIANS(97*3.6))</f>
        <v>-1.6676936998129497</v>
      </c>
      <c r="BI295">
        <f>IF(MOD(97,10)=0,7.9,IF(MOD(97,5)=0,8.5,8.9))*COS(RADIANS(97*3.6))</f>
        <v>8.7423565314853295</v>
      </c>
    </row>
    <row r="296" spans="1:61" x14ac:dyDescent="0.25">
      <c r="A296">
        <v>97</v>
      </c>
      <c r="B296">
        <f>IF(MOD(97,'Pie de rey'!$B$52)=0,2,IF(MOD(97,'Pie de rey'!$B$53)=0,1.5,IF(MOD(97,'Pie de rey'!$B$54)=0,1.1,0.75)))</f>
        <v>0.75</v>
      </c>
      <c r="AN296">
        <f>9.6*SIN(RADIANS(97*3.6))</f>
        <v>-1.7988606200229569</v>
      </c>
      <c r="AO296">
        <f>9.6*COS(RADIANS(97*3.6))</f>
        <v>9.4299576069954121</v>
      </c>
      <c r="BH296">
        <f>9.6*SIN(RADIANS(97*3.6))</f>
        <v>-1.7988606200229569</v>
      </c>
      <c r="BI296">
        <f>9.6*COS(RADIANS(97*3.6))</f>
        <v>9.4299576069954121</v>
      </c>
    </row>
    <row r="298" spans="1:61" x14ac:dyDescent="0.25">
      <c r="A298">
        <v>98</v>
      </c>
      <c r="B298">
        <v>0</v>
      </c>
      <c r="AN298">
        <f>IF(MOD(98,10)=0,7.9,IF(MOD(98,5)=0,8.5,8.9))*SIN(RADIANS(98*3.6))</f>
        <v>-1.1154657787223037</v>
      </c>
      <c r="AO298">
        <f>IF(MOD(98,10)=0,7.9,IF(MOD(98,5)=0,8.5,8.9))*COS(RADIANS(98*3.6))</f>
        <v>8.8298208416988526</v>
      </c>
      <c r="BH298">
        <f>IF(MOD(98,10)=0,7.9,IF(MOD(98,5)=0,8.5,8.9))*SIN(RADIANS(98*3.6))</f>
        <v>-1.1154657787223037</v>
      </c>
      <c r="BI298">
        <f>IF(MOD(98,10)=0,7.9,IF(MOD(98,5)=0,8.5,8.9))*COS(RADIANS(98*3.6))</f>
        <v>8.8298208416988526</v>
      </c>
    </row>
    <row r="299" spans="1:61" x14ac:dyDescent="0.25">
      <c r="A299">
        <v>98</v>
      </c>
      <c r="B299">
        <f>IF(MOD(98,'Pie de rey'!$B$52)=0,2,IF(MOD(98,'Pie de rey'!$B$53)=0,1.5,IF(MOD(98,'Pie de rey'!$B$54)=0,1.1,0.75)))</f>
        <v>0.75</v>
      </c>
      <c r="AN299">
        <f>9.6*SIN(RADIANS(98*3.6))</f>
        <v>-1.2031990422173162</v>
      </c>
      <c r="AO299">
        <f>9.6*COS(RADIANS(98*3.6))</f>
        <v>9.5243011326189873</v>
      </c>
      <c r="BH299">
        <f>9.6*SIN(RADIANS(98*3.6))</f>
        <v>-1.2031990422173162</v>
      </c>
      <c r="BI299">
        <f>9.6*COS(RADIANS(98*3.6))</f>
        <v>9.5243011326189873</v>
      </c>
    </row>
    <row r="301" spans="1:61" x14ac:dyDescent="0.25">
      <c r="A301">
        <v>99</v>
      </c>
      <c r="B301">
        <v>0</v>
      </c>
      <c r="AN301">
        <f>IF(MOD(99,10)=0,7.9,IF(MOD(99,5)=0,8.5,8.9))*SIN(RADIANS(99*3.6))</f>
        <v>-0.55883562381088803</v>
      </c>
      <c r="AO301">
        <f>IF(MOD(99,10)=0,7.9,IF(MOD(99,5)=0,8.5,8.9))*COS(RADIANS(99*3.6))</f>
        <v>8.8824378830116171</v>
      </c>
      <c r="BH301">
        <f>IF(MOD(99,10)=0,7.9,IF(MOD(99,5)=0,8.5,8.9))*SIN(RADIANS(99*3.6))</f>
        <v>-0.55883562381088803</v>
      </c>
      <c r="BI301">
        <f>IF(MOD(99,10)=0,7.9,IF(MOD(99,5)=0,8.5,8.9))*COS(RADIANS(99*3.6))</f>
        <v>8.8824378830116171</v>
      </c>
    </row>
    <row r="302" spans="1:61" x14ac:dyDescent="0.25">
      <c r="A302">
        <v>99</v>
      </c>
      <c r="B302">
        <f>IF(MOD(99,'Pie de rey'!$B$52)=0,2,IF(MOD(99,'Pie de rey'!$B$53)=0,1.5,IF(MOD(99,'Pie de rey'!$B$54)=0,1.1,0.75)))</f>
        <v>0.75</v>
      </c>
      <c r="AN302">
        <f>9.6*SIN(RADIANS(99*3.6))</f>
        <v>-0.6027889874814073</v>
      </c>
      <c r="AO302">
        <f>9.6*COS(RADIANS(99*3.6))</f>
        <v>9.5810565929114073</v>
      </c>
      <c r="BH302">
        <f>9.6*SIN(RADIANS(99*3.6))</f>
        <v>-0.6027889874814073</v>
      </c>
      <c r="BI302">
        <f>9.6*COS(RADIANS(99*3.6))</f>
        <v>9.5810565929114073</v>
      </c>
    </row>
    <row r="304" spans="1:61" x14ac:dyDescent="0.25">
      <c r="A304">
        <v>100</v>
      </c>
      <c r="B304">
        <v>0</v>
      </c>
    </row>
    <row r="305" spans="1:2" x14ac:dyDescent="0.25">
      <c r="A305">
        <v>100</v>
      </c>
      <c r="B305">
        <f>IF(MOD(100,'Pie de rey'!$B$52)=0,2,IF(MOD(100,'Pie de rey'!$B$53)=0,1.5,IF(MOD(100,'Pie de rey'!$B$54)=0,1.1,0.75)))</f>
        <v>1.1000000000000001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C8C8C"/>
  </sheetPr>
  <dimension ref="A1:J27"/>
  <sheetViews>
    <sheetView workbookViewId="0"/>
  </sheetViews>
  <sheetFormatPr baseColWidth="10" defaultColWidth="9.140625" defaultRowHeight="15" x14ac:dyDescent="0.25"/>
  <sheetData>
    <row r="1" spans="1:10" x14ac:dyDescent="0.25">
      <c r="A1" s="44" t="s">
        <v>352</v>
      </c>
    </row>
    <row r="2" spans="1:10" ht="75" x14ac:dyDescent="0.25">
      <c r="A2" s="3" t="s">
        <v>353</v>
      </c>
      <c r="C2" s="3" t="s">
        <v>354</v>
      </c>
      <c r="D2" s="3" t="s">
        <v>355</v>
      </c>
      <c r="F2" s="3" t="s">
        <v>302</v>
      </c>
      <c r="G2" s="3" t="s">
        <v>303</v>
      </c>
      <c r="H2" s="3" t="s">
        <v>356</v>
      </c>
      <c r="I2" s="3" t="s">
        <v>357</v>
      </c>
      <c r="J2" s="3" t="s">
        <v>358</v>
      </c>
    </row>
    <row r="3" spans="1:10" x14ac:dyDescent="0.25">
      <c r="A3" t="s">
        <v>359</v>
      </c>
      <c r="C3">
        <v>0.47</v>
      </c>
      <c r="D3">
        <v>1.25</v>
      </c>
      <c r="F3">
        <v>0</v>
      </c>
      <c r="G3">
        <f>('Trucaje del motor'!$C$23+('Trucaje del motor'!$C$25+'Trucaje del motor'!$C$22*'Trucaje del motor'!$B$11/10-'Trucaje del motor'!$C$22*F3/10))/('Trucaje del motor'!$C$25+'Trucaje del motor'!$C$22*'Trucaje del motor'!$B$11/10-'Trucaje del motor'!$C$22*F3/10)</f>
        <v>10.058677917899464</v>
      </c>
      <c r="H3">
        <v>11</v>
      </c>
      <c r="I3">
        <f>'Trucaje del motor'!B11</f>
        <v>0.2</v>
      </c>
      <c r="J3">
        <f>'Trucaje del motor'!C26</f>
        <v>10.253621111440903</v>
      </c>
    </row>
    <row r="4" spans="1:10" x14ac:dyDescent="0.25">
      <c r="A4" t="s">
        <v>334</v>
      </c>
      <c r="C4">
        <v>0.505</v>
      </c>
      <c r="D4">
        <v>1.3</v>
      </c>
      <c r="F4">
        <v>0.05</v>
      </c>
      <c r="G4">
        <f>('Trucaje del motor'!$C$23+('Trucaje del motor'!$C$25+'Trucaje del motor'!$C$22*'Trucaje del motor'!$B$11/10-'Trucaje del motor'!$C$22*F4/10))/('Trucaje del motor'!$C$25+'Trucaje del motor'!$C$22*'Trucaje del motor'!$B$11/10-'Trucaje del motor'!$C$22*F4/10)</f>
        <v>10.106639612763658</v>
      </c>
      <c r="H4">
        <v>11</v>
      </c>
    </row>
    <row r="5" spans="1:10" x14ac:dyDescent="0.25">
      <c r="A5" t="s">
        <v>185</v>
      </c>
      <c r="C5">
        <v>0.55500000000000005</v>
      </c>
      <c r="D5">
        <v>1.35</v>
      </c>
      <c r="F5">
        <v>0.1</v>
      </c>
      <c r="G5">
        <f>('Trucaje del motor'!$C$23+('Trucaje del motor'!$C$25+'Trucaje del motor'!$C$22*'Trucaje del motor'!$B$11/10-'Trucaje del motor'!$C$22*F5/10))/('Trucaje del motor'!$C$25+'Trucaje del motor'!$C$22*'Trucaje del motor'!$B$11/10-'Trucaje del motor'!$C$22*F5/10)</f>
        <v>10.155111882840142</v>
      </c>
      <c r="H5">
        <v>11</v>
      </c>
    </row>
    <row r="6" spans="1:10" x14ac:dyDescent="0.25">
      <c r="A6" t="s">
        <v>336</v>
      </c>
      <c r="C6">
        <v>0.70499999999999996</v>
      </c>
      <c r="D6">
        <v>1.4</v>
      </c>
      <c r="F6">
        <v>0.15</v>
      </c>
      <c r="G6">
        <f>('Trucaje del motor'!$C$23+('Trucaje del motor'!$C$25+'Trucaje del motor'!$C$22*'Trucaje del motor'!$B$11/10-'Trucaje del motor'!$C$22*F6/10))/('Trucaje del motor'!$C$25+'Trucaje del motor'!$C$22*'Trucaje del motor'!$B$11/10-'Trucaje del motor'!$C$22*F6/10)</f>
        <v>10.204102924733814</v>
      </c>
      <c r="H6">
        <v>11</v>
      </c>
    </row>
    <row r="7" spans="1:10" x14ac:dyDescent="0.25">
      <c r="A7" t="s">
        <v>337</v>
      </c>
      <c r="F7">
        <v>0.2</v>
      </c>
      <c r="G7">
        <f>('Trucaje del motor'!$C$23+('Trucaje del motor'!$C$25+'Trucaje del motor'!$C$22*'Trucaje del motor'!$B$11/10-'Trucaje del motor'!$C$22*F7/10))/('Trucaje del motor'!$C$25+'Trucaje del motor'!$C$22*'Trucaje del motor'!$B$11/10-'Trucaje del motor'!$C$22*F7/10)</f>
        <v>10.253621111440903</v>
      </c>
      <c r="H7">
        <v>11</v>
      </c>
    </row>
    <row r="8" spans="1:10" x14ac:dyDescent="0.25">
      <c r="A8" t="s">
        <v>338</v>
      </c>
      <c r="F8">
        <v>0.25</v>
      </c>
      <c r="G8">
        <f>('Trucaje del motor'!$C$23+('Trucaje del motor'!$C$25+'Trucaje del motor'!$C$22*'Trucaje del motor'!$B$11/10-'Trucaje del motor'!$C$22*F8/10))/('Trucaje del motor'!$C$25+'Trucaje del motor'!$C$22*'Trucaje del motor'!$B$11/10-'Trucaje del motor'!$C$22*F8/10)</f>
        <v>10.303674997119582</v>
      </c>
      <c r="H8">
        <v>11</v>
      </c>
    </row>
    <row r="9" spans="1:10" x14ac:dyDescent="0.25">
      <c r="A9" t="s">
        <v>339</v>
      </c>
      <c r="F9">
        <v>0.3</v>
      </c>
      <c r="G9">
        <f>('Trucaje del motor'!$C$23+('Trucaje del motor'!$C$25+'Trucaje del motor'!$C$22*'Trucaje del motor'!$B$11/10-'Trucaje del motor'!$C$22*F9/10))/('Trucaje del motor'!$C$25+'Trucaje del motor'!$C$22*'Trucaje del motor'!$B$11/10-'Trucaje del motor'!$C$22*F9/10)</f>
        <v>10.354273322016249</v>
      </c>
      <c r="H9">
        <v>11</v>
      </c>
    </row>
    <row r="10" spans="1:10" x14ac:dyDescent="0.25">
      <c r="F10">
        <v>0.35</v>
      </c>
      <c r="G10">
        <f>('Trucaje del motor'!$C$23+('Trucaje del motor'!$C$25+'Trucaje del motor'!$C$22*'Trucaje del motor'!$B$11/10-'Trucaje del motor'!$C$22*F10/10))/('Trucaje del motor'!$C$25+'Trucaje del motor'!$C$22*'Trucaje del motor'!$B$11/10-'Trucaje del motor'!$C$22*F10/10)</f>
        <v>10.405425017553414</v>
      </c>
      <c r="H10">
        <v>11</v>
      </c>
    </row>
    <row r="11" spans="1:10" x14ac:dyDescent="0.25">
      <c r="F11">
        <v>0.4</v>
      </c>
      <c r="G11">
        <f>('Trucaje del motor'!$C$23+('Trucaje del motor'!$C$25+'Trucaje del motor'!$C$22*'Trucaje del motor'!$B$11/10-'Trucaje del motor'!$C$22*F11/10))/('Trucaje del motor'!$C$25+'Trucaje del motor'!$C$22*'Trucaje del motor'!$B$11/10-'Trucaje del motor'!$C$22*F11/10)</f>
        <v>10.457139211585467</v>
      </c>
      <c r="H11">
        <v>11</v>
      </c>
    </row>
    <row r="12" spans="1:10" x14ac:dyDescent="0.25">
      <c r="F12">
        <v>0.45</v>
      </c>
      <c r="G12">
        <f>('Trucaje del motor'!$C$23+('Trucaje del motor'!$C$25+'Trucaje del motor'!$C$22*'Trucaje del motor'!$B$11/10-'Trucaje del motor'!$C$22*F12/10))/('Trucaje del motor'!$C$25+'Trucaje del motor'!$C$22*'Trucaje del motor'!$B$11/10-'Trucaje del motor'!$C$22*F12/10)</f>
        <v>10.509425233828772</v>
      </c>
      <c r="H12">
        <v>11</v>
      </c>
    </row>
    <row r="13" spans="1:10" x14ac:dyDescent="0.25">
      <c r="F13">
        <v>0.5</v>
      </c>
      <c r="G13">
        <f>('Trucaje del motor'!$C$23+('Trucaje del motor'!$C$25+'Trucaje del motor'!$C$22*'Trucaje del motor'!$B$11/10-'Trucaje del motor'!$C$22*F13/10))/('Trucaje del motor'!$C$25+'Trucaje del motor'!$C$22*'Trucaje del motor'!$B$11/10-'Trucaje del motor'!$C$22*F13/10)</f>
        <v>10.562292621472892</v>
      </c>
      <c r="H13">
        <v>11</v>
      </c>
    </row>
    <row r="14" spans="1:10" x14ac:dyDescent="0.25">
      <c r="F14">
        <v>0.55000000000000004</v>
      </c>
      <c r="G14">
        <f>('Trucaje del motor'!$C$23+('Trucaje del motor'!$C$25+'Trucaje del motor'!$C$22*'Trucaje del motor'!$B$11/10-'Trucaje del motor'!$C$22*F14/10))/('Trucaje del motor'!$C$25+'Trucaje del motor'!$C$22*'Trucaje del motor'!$B$11/10-'Trucaje del motor'!$C$22*F14/10)</f>
        <v>10.615751124980052</v>
      </c>
      <c r="H14">
        <v>11</v>
      </c>
    </row>
    <row r="15" spans="1:10" x14ac:dyDescent="0.25">
      <c r="F15">
        <v>0.6</v>
      </c>
      <c r="G15">
        <f>('Trucaje del motor'!$C$23+('Trucaje del motor'!$C$25+'Trucaje del motor'!$C$22*'Trucaje del motor'!$B$11/10-'Trucaje del motor'!$C$22*F15/10))/('Trucaje del motor'!$C$25+'Trucaje del motor'!$C$22*'Trucaje del motor'!$B$11/10-'Trucaje del motor'!$C$22*F15/10)</f>
        <v>10.669810714080205</v>
      </c>
      <c r="H15">
        <v>11</v>
      </c>
    </row>
    <row r="16" spans="1:10" x14ac:dyDescent="0.25">
      <c r="F16">
        <v>0.65</v>
      </c>
      <c r="G16">
        <f>('Trucaje del motor'!$C$23+('Trucaje del motor'!$C$25+'Trucaje del motor'!$C$22*'Trucaje del motor'!$B$11/10-'Trucaje del motor'!$C$22*F16/10))/('Trucaje del motor'!$C$25+'Trucaje del motor'!$C$22*'Trucaje del motor'!$B$11/10-'Trucaje del motor'!$C$22*F16/10)</f>
        <v>10.724481583969473</v>
      </c>
      <c r="H16">
        <v>11</v>
      </c>
    </row>
    <row r="17" spans="6:8" x14ac:dyDescent="0.25">
      <c r="F17">
        <v>0.7</v>
      </c>
      <c r="G17">
        <f>('Trucaje del motor'!$C$23+('Trucaje del motor'!$C$25+'Trucaje del motor'!$C$22*'Trucaje del motor'!$B$11/10-'Trucaje del motor'!$C$22*F17/10))/('Trucaje del motor'!$C$25+'Trucaje del motor'!$C$22*'Trucaje del motor'!$B$11/10-'Trucaje del motor'!$C$22*F17/10)</f>
        <v>10.77977416172007</v>
      </c>
      <c r="H17">
        <v>11</v>
      </c>
    </row>
    <row r="18" spans="6:8" x14ac:dyDescent="0.25">
      <c r="F18">
        <v>0.75</v>
      </c>
      <c r="G18">
        <f>('Trucaje del motor'!$C$23+('Trucaje del motor'!$C$25+'Trucaje del motor'!$C$22*'Trucaje del motor'!$B$11/10-'Trucaje del motor'!$C$22*F18/10))/('Trucaje del motor'!$C$25+'Trucaje del motor'!$C$22*'Trucaje del motor'!$B$11/10-'Trucaje del motor'!$C$22*F18/10)</f>
        <v>10.835699112910124</v>
      </c>
      <c r="H18">
        <v>11</v>
      </c>
    </row>
    <row r="19" spans="6:8" x14ac:dyDescent="0.25">
      <c r="F19">
        <v>0.8</v>
      </c>
      <c r="G19">
        <f>('Trucaje del motor'!$C$23+('Trucaje del motor'!$C$25+'Trucaje del motor'!$C$22*'Trucaje del motor'!$B$11/10-'Trucaje del motor'!$C$22*F19/10))/('Trucaje del motor'!$C$25+'Trucaje del motor'!$C$22*'Trucaje del motor'!$B$11/10-'Trucaje del motor'!$C$22*F19/10)</f>
        <v>10.892267348482296</v>
      </c>
      <c r="H19">
        <v>11</v>
      </c>
    </row>
    <row r="20" spans="6:8" x14ac:dyDescent="0.25">
      <c r="F20">
        <v>0.85</v>
      </c>
      <c r="G20">
        <f>('Trucaje del motor'!$C$23+('Trucaje del motor'!$C$25+'Trucaje del motor'!$C$22*'Trucaje del motor'!$B$11/10-'Trucaje del motor'!$C$22*F20/10))/('Trucaje del motor'!$C$25+'Trucaje del motor'!$C$22*'Trucaje del motor'!$B$11/10-'Trucaje del motor'!$C$22*F20/10)</f>
        <v>10.949490031840451</v>
      </c>
      <c r="H20">
        <v>11</v>
      </c>
    </row>
    <row r="21" spans="6:8" x14ac:dyDescent="0.25">
      <c r="F21">
        <v>0.9</v>
      </c>
      <c r="G21">
        <f>('Trucaje del motor'!$C$23+('Trucaje del motor'!$C$25+'Trucaje del motor'!$C$22*'Trucaje del motor'!$B$11/10-'Trucaje del motor'!$C$22*F21/10))/('Trucaje del motor'!$C$25+'Trucaje del motor'!$C$22*'Trucaje del motor'!$B$11/10-'Trucaje del motor'!$C$22*F21/10)</f>
        <v>11.007378586194049</v>
      </c>
      <c r="H21">
        <v>11</v>
      </c>
    </row>
    <row r="22" spans="6:8" x14ac:dyDescent="0.25">
      <c r="F22">
        <v>0.95</v>
      </c>
      <c r="G22">
        <f>('Trucaje del motor'!$C$23+('Trucaje del motor'!$C$25+'Trucaje del motor'!$C$22*'Trucaje del motor'!$B$11/10-'Trucaje del motor'!$C$22*F22/10))/('Trucaje del motor'!$C$25+'Trucaje del motor'!$C$22*'Trucaje del motor'!$B$11/10-'Trucaje del motor'!$C$22*F22/10)</f>
        <v>11.065944702160454</v>
      </c>
      <c r="H22">
        <v>11</v>
      </c>
    </row>
    <row r="23" spans="6:8" x14ac:dyDescent="0.25">
      <c r="F23">
        <v>1</v>
      </c>
      <c r="G23">
        <f>('Trucaje del motor'!$C$23+('Trucaje del motor'!$C$25+'Trucaje del motor'!$C$22*'Trucaje del motor'!$B$11/10-'Trucaje del motor'!$C$22*F23/10))/('Trucaje del motor'!$C$25+'Trucaje del motor'!$C$22*'Trucaje del motor'!$B$11/10-'Trucaje del motor'!$C$22*F23/10)</f>
        <v>11.125200345635726</v>
      </c>
      <c r="H23">
        <v>11</v>
      </c>
    </row>
    <row r="24" spans="6:8" x14ac:dyDescent="0.25">
      <c r="F24">
        <v>1.05</v>
      </c>
      <c r="G24">
        <f>('Trucaje del motor'!$C$23+('Trucaje del motor'!$C$25+'Trucaje del motor'!$C$22*'Trucaje del motor'!$B$11/10-'Trucaje del motor'!$C$22*F24/10))/('Trucaje del motor'!$C$25+'Trucaje del motor'!$C$22*'Trucaje del motor'!$B$11/10-'Trucaje del motor'!$C$22*F24/10)</f>
        <v>11.185157765945085</v>
      </c>
      <c r="H24">
        <v>11</v>
      </c>
    </row>
    <row r="25" spans="6:8" x14ac:dyDescent="0.25">
      <c r="F25">
        <v>1.1000000000000001</v>
      </c>
      <c r="G25">
        <f>('Trucaje del motor'!$C$23+('Trucaje del motor'!$C$25+'Trucaje del motor'!$C$22*'Trucaje del motor'!$B$11/10-'Trucaje del motor'!$C$22*F25/10))/('Trucaje del motor'!$C$25+'Trucaje del motor'!$C$22*'Trucaje del motor'!$B$11/10-'Trucaje del motor'!$C$22*F25/10)</f>
        <v>11.245829504284687</v>
      </c>
      <c r="H25">
        <v>11</v>
      </c>
    </row>
    <row r="26" spans="6:8" x14ac:dyDescent="0.25">
      <c r="F26">
        <v>1.1499999999999999</v>
      </c>
      <c r="G26">
        <f>('Trucaje del motor'!$C$23+('Trucaje del motor'!$C$25+'Trucaje del motor'!$C$22*'Trucaje del motor'!$B$11/10-'Trucaje del motor'!$C$22*F26/10))/('Trucaje del motor'!$C$25+'Trucaje del motor'!$C$22*'Trucaje del motor'!$B$11/10-'Trucaje del motor'!$C$22*F26/10)</f>
        <v>11.307228402466896</v>
      </c>
      <c r="H26">
        <v>11</v>
      </c>
    </row>
    <row r="27" spans="6:8" x14ac:dyDescent="0.25">
      <c r="F27">
        <v>1.2</v>
      </c>
      <c r="G27">
        <f>('Trucaje del motor'!$C$23+('Trucaje del motor'!$C$25+'Trucaje del motor'!$C$22*'Trucaje del motor'!$B$11/10-'Trucaje del motor'!$C$22*F27/10))/('Trucaje del motor'!$C$25+'Trucaje del motor'!$C$22*'Trucaje del motor'!$B$11/10-'Trucaje del motor'!$C$22*F27/10)</f>
        <v>11.369367611981918</v>
      </c>
      <c r="H27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C8C8C"/>
  </sheetPr>
  <dimension ref="A1:E54"/>
  <sheetViews>
    <sheetView workbookViewId="0"/>
  </sheetViews>
  <sheetFormatPr baseColWidth="10" defaultColWidth="9.140625" defaultRowHeight="15" x14ac:dyDescent="0.25"/>
  <sheetData>
    <row r="1" spans="1:5" x14ac:dyDescent="0.25">
      <c r="A1" s="44" t="s">
        <v>360</v>
      </c>
    </row>
    <row r="2" spans="1:5" x14ac:dyDescent="0.25">
      <c r="A2" t="s">
        <v>361</v>
      </c>
      <c r="B2">
        <f>0.5*ABS(SUMPRODUCT(A4:A53,B5:B54)-SUMPRODUCT(A5:A54,B4:B53))</f>
        <v>6518.9738516346406</v>
      </c>
      <c r="D2" t="s">
        <v>362</v>
      </c>
      <c r="E2">
        <f>0.5*ABS(SUMPRODUCT(D4:D49,E5:E50)-SUMPRODUCT(D5:D50,E4:E49))</f>
        <v>5344.5898527075915</v>
      </c>
    </row>
    <row r="3" spans="1:5" ht="30" x14ac:dyDescent="0.25">
      <c r="A3" s="3" t="s">
        <v>363</v>
      </c>
      <c r="B3" s="3" t="s">
        <v>364</v>
      </c>
      <c r="D3" s="3" t="s">
        <v>365</v>
      </c>
      <c r="E3" s="3" t="s">
        <v>366</v>
      </c>
    </row>
    <row r="4" spans="1:5" x14ac:dyDescent="0.25">
      <c r="A4">
        <f>'Ciclo Otto'!$B$15*('Ciclo Otto'!$B$14/'Ciclo Otto'!$B$15)^(0/24)</f>
        <v>555.11111111111109</v>
      </c>
      <c r="B4">
        <f>'Ciclo Otto'!$B$7*('Ciclo Otto'!$B$15/A4)^'Ciclo Otto'!$B$8</f>
        <v>1.0329999999999999</v>
      </c>
      <c r="D4">
        <f>'Ciclo Otto'!$B$15*('Ciclo Otto'!$B$14/'Ciclo Otto'!$B$15)^(0/19)</f>
        <v>555.11111111111109</v>
      </c>
      <c r="E4">
        <f>'Ciclo Otto'!$B$7*('Ciclo Otto'!$B$15/D4)^'Ciclo Otto'!$B$9*(1-'Ciclo Otto'!$B$11/100*0/19)</f>
        <v>1.0329999999999999</v>
      </c>
    </row>
    <row r="5" spans="1:5" x14ac:dyDescent="0.25">
      <c r="A5">
        <f>'Ciclo Otto'!$B$15*('Ciclo Otto'!$B$14/'Ciclo Otto'!$B$15)^(1/24)</f>
        <v>504.3282008839808</v>
      </c>
      <c r="B5">
        <f>'Ciclo Otto'!$B$7*('Ciclo Otto'!$B$15/A5)^'Ciclo Otto'!$B$8</f>
        <v>1.1814998065301729</v>
      </c>
      <c r="D5">
        <f>'Ciclo Otto'!$B$15*('Ciclo Otto'!$B$14/'Ciclo Otto'!$B$15)^(1/19)</f>
        <v>491.75449832097473</v>
      </c>
      <c r="E5">
        <f>'Ciclo Otto'!$B$7*('Ciclo Otto'!$B$15/D5)^'Ciclo Otto'!$B$9*(1-'Ciclo Otto'!$B$11/100*1/19)</f>
        <v>1.1997178698598621</v>
      </c>
    </row>
    <row r="6" spans="1:5" x14ac:dyDescent="0.25">
      <c r="A6">
        <f>'Ciclo Otto'!$B$15*('Ciclo Otto'!$B$14/'Ciclo Otto'!$B$15)^(2/24)</f>
        <v>458.19103439989112</v>
      </c>
      <c r="B6">
        <f>'Ciclo Otto'!$B$7*('Ciclo Otto'!$B$15/A6)^'Ciclo Otto'!$B$8</f>
        <v>1.3513473309107802</v>
      </c>
      <c r="D6">
        <f>'Ciclo Otto'!$B$15*('Ciclo Otto'!$B$14/'Ciclo Otto'!$B$15)^(2/19)</f>
        <v>435.62897909732226</v>
      </c>
      <c r="E6">
        <f>'Ciclo Otto'!$B$7*('Ciclo Otto'!$B$15/D6)^'Ciclo Otto'!$B$9*(1-'Ciclo Otto'!$B$11/100*2/19)</f>
        <v>1.3932544292002882</v>
      </c>
    </row>
    <row r="7" spans="1:5" x14ac:dyDescent="0.25">
      <c r="A7">
        <f>'Ciclo Otto'!$B$15*('Ciclo Otto'!$B$14/'Ciclo Otto'!$B$15)^(3/24)</f>
        <v>416.2746077583277</v>
      </c>
      <c r="B7">
        <f>'Ciclo Otto'!$B$7*('Ciclo Otto'!$B$15/A7)^'Ciclo Otto'!$B$8</f>
        <v>1.5456114327455495</v>
      </c>
      <c r="D7">
        <f>'Ciclo Otto'!$B$15*('Ciclo Otto'!$B$14/'Ciclo Otto'!$B$15)^(3/19)</f>
        <v>385.90924552256587</v>
      </c>
      <c r="E7">
        <f>'Ciclo Otto'!$B$7*('Ciclo Otto'!$B$15/D7)^'Ciclo Otto'!$B$9*(1-'Ciclo Otto'!$B$11/100*3/19)</f>
        <v>1.617907888098211</v>
      </c>
    </row>
    <row r="8" spans="1:5" x14ac:dyDescent="0.25">
      <c r="A8">
        <f>'Ciclo Otto'!$B$15*('Ciclo Otto'!$B$14/'Ciclo Otto'!$B$15)^(4/24)</f>
        <v>378.19279744595275</v>
      </c>
      <c r="B8">
        <f>'Ciclo Otto'!$B$7*('Ciclo Otto'!$B$15/A8)^'Ciclo Otto'!$B$8</f>
        <v>1.7678021381991189</v>
      </c>
      <c r="D8">
        <f>'Ciclo Otto'!$B$15*('Ciclo Otto'!$B$14/'Ciclo Otto'!$B$15)^(4/19)</f>
        <v>341.86418472065196</v>
      </c>
      <c r="E8">
        <f>'Ciclo Otto'!$B$7*('Ciclo Otto'!$B$15/D8)^'Ciclo Otto'!$B$9*(1-'Ciclo Otto'!$B$11/100*4/19)</f>
        <v>1.8786624463658772</v>
      </c>
    </row>
    <row r="9" spans="1:5" x14ac:dyDescent="0.25">
      <c r="A9">
        <f>'Ciclo Otto'!$B$15*('Ciclo Otto'!$B$14/'Ciclo Otto'!$B$15)^(5/24)</f>
        <v>343.59480346452642</v>
      </c>
      <c r="B9">
        <f>'Ciclo Otto'!$B$7*('Ciclo Otto'!$B$15/A9)^'Ciclo Otto'!$B$8</f>
        <v>2.0219340602767524</v>
      </c>
      <c r="D9">
        <f>'Ciclo Otto'!$B$15*('Ciclo Otto'!$B$14/'Ciclo Otto'!$B$15)^(5/19)</f>
        <v>302.84612807464362</v>
      </c>
      <c r="E9">
        <f>'Ciclo Otto'!$B$7*('Ciclo Otto'!$B$15/D9)^'Ciclo Otto'!$B$9*(1-'Ciclo Otto'!$B$11/100*5/19)</f>
        <v>2.1812972533954782</v>
      </c>
    </row>
    <row r="10" spans="1:5" x14ac:dyDescent="0.25">
      <c r="A10">
        <f>'Ciclo Otto'!$B$15*('Ciclo Otto'!$B$14/'Ciclo Otto'!$B$15)^(6/24)</f>
        <v>312.16191785010932</v>
      </c>
      <c r="B10">
        <f>'Ciclo Otto'!$B$7*('Ciclo Otto'!$B$15/A10)^'Ciclo Otto'!$B$8</f>
        <v>2.3125989361410944</v>
      </c>
      <c r="D10">
        <f>'Ciclo Otto'!$B$15*('Ciclo Otto'!$B$14/'Ciclo Otto'!$B$15)^(6/19)</f>
        <v>268.28132746560533</v>
      </c>
      <c r="E10">
        <f>'Ciclo Otto'!$B$7*('Ciclo Otto'!$B$15/D10)^'Ciclo Otto'!$B$9*(1-'Ciclo Otto'!$B$11/100*6/19)</f>
        <v>2.5325125792645355</v>
      </c>
    </row>
    <row r="11" spans="1:5" x14ac:dyDescent="0.25">
      <c r="A11">
        <f>'Ciclo Otto'!$B$15*('Ciclo Otto'!$B$14/'Ciclo Otto'!$B$15)^(7/24)</f>
        <v>283.60458881596236</v>
      </c>
      <c r="B11">
        <f>'Ciclo Otto'!$B$7*('Ciclo Otto'!$B$15/A11)^'Ciclo Otto'!$B$8</f>
        <v>2.6450485920935014</v>
      </c>
      <c r="D11">
        <f>'Ciclo Otto'!$B$15*('Ciclo Otto'!$B$14/'Ciclo Otto'!$B$15)^(7/19)</f>
        <v>237.66151848891215</v>
      </c>
      <c r="E11">
        <f>'Ciclo Otto'!$B$7*('Ciclo Otto'!$B$15/D11)^'Ciclo Otto'!$B$9*(1-'Ciclo Otto'!$B$11/100*7/19)</f>
        <v>2.9400758982844843</v>
      </c>
    </row>
    <row r="12" spans="1:5" x14ac:dyDescent="0.25">
      <c r="A12">
        <f>'Ciclo Otto'!$B$15*('Ciclo Otto'!$B$14/'Ciclo Otto'!$B$15)^(8/24)</f>
        <v>257.65975347477161</v>
      </c>
      <c r="B12">
        <f>'Ciclo Otto'!$B$7*('Ciclo Otto'!$B$15/A12)^'Ciclo Otto'!$B$8</f>
        <v>3.0252898352578677</v>
      </c>
      <c r="D12">
        <f>'Ciclo Otto'!$B$15*('Ciclo Otto'!$B$14/'Ciclo Otto'!$B$15)^(8/19)</f>
        <v>210.53644658775912</v>
      </c>
      <c r="E12">
        <f>'Ciclo Otto'!$B$7*('Ciclo Otto'!$B$15/D12)^'Ciclo Otto'!$B$9*(1-'Ciclo Otto'!$B$11/100*8/19)</f>
        <v>3.4129910068797438</v>
      </c>
    </row>
    <row r="13" spans="1:5" x14ac:dyDescent="0.25">
      <c r="A13">
        <f>'Ciclo Otto'!$B$15*('Ciclo Otto'!$B$14/'Ciclo Otto'!$B$15)^(9/24)</f>
        <v>234.08841456991078</v>
      </c>
      <c r="B13">
        <f>'Ciclo Otto'!$B$7*('Ciclo Otto'!$B$15/A13)^'Ciclo Otto'!$B$8</f>
        <v>3.4601929865003589</v>
      </c>
      <c r="D13">
        <f>'Ciclo Otto'!$B$15*('Ciclo Otto'!$B$14/'Ciclo Otto'!$B$15)^(9/19)</f>
        <v>186.50724620304197</v>
      </c>
      <c r="E13">
        <f>'Ciclo Otto'!$B$7*('Ciclo Otto'!$B$15/D13)^'Ciclo Otto'!$B$9*(1-'Ciclo Otto'!$B$11/100*9/19)</f>
        <v>3.9616937833149168</v>
      </c>
    </row>
    <row r="14" spans="1:5" x14ac:dyDescent="0.25">
      <c r="A14">
        <f>'Ciclo Otto'!$B$15*('Ciclo Otto'!$B$14/'Ciclo Otto'!$B$15)^(10/24)</f>
        <v>212.6734388932023</v>
      </c>
      <c r="B14">
        <f>'Ciclo Otto'!$B$7*('Ciclo Otto'!$B$15/A14)^'Ciclo Otto'!$B$8</f>
        <v>3.9576160155926776</v>
      </c>
      <c r="D14">
        <f>'Ciclo Otto'!$B$15*('Ciclo Otto'!$B$14/'Ciclo Otto'!$B$15)^(10/19)</f>
        <v>165.22057558211185</v>
      </c>
      <c r="E14">
        <f>'Ciclo Otto'!$B$7*('Ciclo Otto'!$B$15/D14)^'Ciclo Otto'!$B$9*(1-'Ciclo Otto'!$B$11/100*10/19)</f>
        <v>4.5982787572516228</v>
      </c>
    </row>
    <row r="15" spans="1:5" x14ac:dyDescent="0.25">
      <c r="A15">
        <f>'Ciclo Otto'!$B$15*('Ciclo Otto'!$B$14/'Ciclo Otto'!$B$15)^(11/24)</f>
        <v>193.21755710875937</v>
      </c>
      <c r="B15">
        <f>'Ciclo Otto'!$B$7*('Ciclo Otto'!$B$15/A15)^'Ciclo Otto'!$B$8</f>
        <v>4.5265465215328762</v>
      </c>
      <c r="D15">
        <f>'Ciclo Otto'!$B$15*('Ciclo Otto'!$B$14/'Ciclo Otto'!$B$15)^(11/19)</f>
        <v>146.36342100063192</v>
      </c>
      <c r="E15">
        <f>'Ciclo Otto'!$B$7*('Ciclo Otto'!$B$15/D15)^'Ciclo Otto'!$B$9*(1-'Ciclo Otto'!$B$11/100*11/19)</f>
        <v>5.3367613038122395</v>
      </c>
    </row>
    <row r="16" spans="1:5" x14ac:dyDescent="0.25">
      <c r="A16">
        <f>'Ciclo Otto'!$B$15*('Ciclo Otto'!$B$14/'Ciclo Otto'!$B$15)^(12/24)</f>
        <v>175.54154655779138</v>
      </c>
      <c r="B16">
        <f>'Ciclo Otto'!$B$7*('Ciclo Otto'!$B$15/A16)^'Ciclo Otto'!$B$8</f>
        <v>5.1772641233697216</v>
      </c>
      <c r="D16">
        <f>'Ciclo Otto'!$B$15*('Ciclo Otto'!$B$14/'Ciclo Otto'!$B$15)^(12/19)</f>
        <v>129.65849399526948</v>
      </c>
      <c r="E16">
        <f>'Ciclo Otto'!$B$7*('Ciclo Otto'!$B$15/D16)^'Ciclo Otto'!$B$9*(1-'Ciclo Otto'!$B$11/100*12/19)</f>
        <v>6.1933810228655037</v>
      </c>
    </row>
    <row r="17" spans="1:5" x14ac:dyDescent="0.25">
      <c r="A17">
        <f>'Ciclo Otto'!$B$15*('Ciclo Otto'!$B$14/'Ciclo Otto'!$B$15)^(13/24)</f>
        <v>159.48258030483234</v>
      </c>
      <c r="B17">
        <f>'Ciclo Otto'!$B$7*('Ciclo Otto'!$B$15/A17)^'Ciclo Otto'!$B$8</f>
        <v>5.921526195660145</v>
      </c>
      <c r="D17">
        <f>'Ciclo Otto'!$B$15*('Ciclo Otto'!$B$14/'Ciclo Otto'!$B$15)^(13/19)</f>
        <v>114.86015392499434</v>
      </c>
      <c r="E17">
        <f>'Ciclo Otto'!$B$7*('Ciclo Otto'!$B$15/D17)^'Ciclo Otto'!$B$9*(1-'Ciclo Otto'!$B$11/100*13/19)</f>
        <v>7.1869527247014595</v>
      </c>
    </row>
    <row r="18" spans="1:5" x14ac:dyDescent="0.25">
      <c r="A18">
        <f>'Ciclo Otto'!$B$15*('Ciclo Otto'!$B$14/'Ciclo Otto'!$B$15)^(14/24)</f>
        <v>144.8927272172217</v>
      </c>
      <c r="B18">
        <f>'Ciclo Otto'!$B$7*('Ciclo Otto'!$B$15/A18)^'Ciclo Otto'!$B$8</f>
        <v>6.7727803044877222</v>
      </c>
      <c r="D18">
        <f>'Ciclo Otto'!$B$15*('Ciclo Otto'!$B$14/'Ciclo Otto'!$B$15)^(14/19)</f>
        <v>101.75079590354281</v>
      </c>
      <c r="E18">
        <f>'Ciclo Otto'!$B$7*('Ciclo Otto'!$B$15/D18)^'Ciclo Otto'!$B$9*(1-'Ciclo Otto'!$B$11/100*14/19)</f>
        <v>8.3392724354550527</v>
      </c>
    </row>
    <row r="19" spans="1:5" x14ac:dyDescent="0.25">
      <c r="A19">
        <f>'Ciclo Otto'!$B$15*('Ciclo Otto'!$B$14/'Ciclo Otto'!$B$15)^(15/24)</f>
        <v>131.63758926095147</v>
      </c>
      <c r="B19">
        <f>'Ciclo Otto'!$B$7*('Ciclo Otto'!$B$15/A19)^'Ciclo Otto'!$B$8</f>
        <v>7.7464071824042655</v>
      </c>
      <c r="D19">
        <f>'Ciclo Otto'!$B$15*('Ciclo Otto'!$B$14/'Ciclo Otto'!$B$15)^(15/19)</f>
        <v>90.137650988742834</v>
      </c>
      <c r="E19">
        <f>'Ciclo Otto'!$B$7*('Ciclo Otto'!$B$15/D19)^'Ciclo Otto'!$B$9*(1-'Ciclo Otto'!$B$11/100*15/19)</f>
        <v>9.6755869794746694</v>
      </c>
    </row>
    <row r="20" spans="1:5" x14ac:dyDescent="0.25">
      <c r="A20">
        <f>'Ciclo Otto'!$B$15*('Ciclo Otto'!$B$14/'Ciclo Otto'!$B$15)^(16/24)</f>
        <v>119.59506345999216</v>
      </c>
      <c r="B20">
        <f>'Ciclo Otto'!$B$7*('Ciclo Otto'!$B$15/A20)^'Ciclo Otto'!$B$8</f>
        <v>8.8599986324439293</v>
      </c>
      <c r="D20">
        <f>'Ciclo Otto'!$B$15*('Ciclo Otto'!$B$14/'Ciclo Otto'!$B$15)^(16/19)</f>
        <v>79.849951576501823</v>
      </c>
      <c r="E20">
        <f>'Ciclo Otto'!$B$7*('Ciclo Otto'!$B$15/D20)^'Ciclo Otto'!$B$9*(1-'Ciclo Otto'!$B$11/100*16/19)</f>
        <v>11.2251370141762</v>
      </c>
    </row>
    <row r="21" spans="1:5" x14ac:dyDescent="0.25">
      <c r="A21">
        <f>'Ciclo Otto'!$B$15*('Ciclo Otto'!$B$14/'Ciclo Otto'!$B$15)^(17/24)</f>
        <v>108.65421711458168</v>
      </c>
      <c r="B21">
        <f>'Ciclo Otto'!$B$7*('Ciclo Otto'!$B$15/A21)^'Ciclo Otto'!$B$8</f>
        <v>10.13367538246864</v>
      </c>
      <c r="D21">
        <f>'Ciclo Otto'!$B$15*('Ciclo Otto'!$B$14/'Ciclo Otto'!$B$15)^(17/19)</f>
        <v>70.736420317476217</v>
      </c>
      <c r="E21">
        <f>'Ciclo Otto'!$B$7*('Ciclo Otto'!$B$15/D21)^'Ciclo Otto'!$B$9*(1-'Ciclo Otto'!$B$11/100*17/19)</f>
        <v>13.021784912026366</v>
      </c>
    </row>
    <row r="22" spans="1:5" x14ac:dyDescent="0.25">
      <c r="A22">
        <f>'Ciclo Otto'!$B$15*('Ciclo Otto'!$B$14/'Ciclo Otto'!$B$15)^(18/24)</f>
        <v>98.71426591727176</v>
      </c>
      <c r="B22">
        <f>'Ciclo Otto'!$B$7*('Ciclo Otto'!$B$15/A22)^'Ciclo Otto'!$B$8</f>
        <v>11.590450632939278</v>
      </c>
      <c r="D22">
        <f>'Ciclo Otto'!$B$15*('Ciclo Otto'!$B$14/'Ciclo Otto'!$B$15)^(18/19)</f>
        <v>62.663045631741213</v>
      </c>
      <c r="E22">
        <f>'Ciclo Otto'!$B$7*('Ciclo Otto'!$B$15/D22)^'Ciclo Otto'!$B$9*(1-'Ciclo Otto'!$B$11/100*18/19)</f>
        <v>15.10474063428639</v>
      </c>
    </row>
    <row r="23" spans="1:5" x14ac:dyDescent="0.25">
      <c r="A23">
        <f>'Ciclo Otto'!$B$15*('Ciclo Otto'!$B$14/'Ciclo Otto'!$B$15)^(19/24)</f>
        <v>89.683645553395692</v>
      </c>
      <c r="B23">
        <f>'Ciclo Otto'!$B$7*('Ciclo Otto'!$B$15/A23)^'Ciclo Otto'!$B$8</f>
        <v>13.256645866810532</v>
      </c>
      <c r="D23">
        <f>'Ciclo Otto'!$B$15*('Ciclo Otto'!$B$14/'Ciclo Otto'!$B$15)^(19/19)</f>
        <v>55.511111111111113</v>
      </c>
      <c r="E23">
        <f>'Ciclo Otto'!$B$7*('Ciclo Otto'!$B$15/D23)^'Ciclo Otto'!$B$9*(1-'Ciclo Otto'!$B$11/100*19/19)</f>
        <v>17.519400756584254</v>
      </c>
    </row>
    <row r="24" spans="1:5" x14ac:dyDescent="0.25">
      <c r="A24">
        <f>'Ciclo Otto'!$B$15*('Ciclo Otto'!$B$14/'Ciclo Otto'!$B$15)^(20/24)</f>
        <v>81.479168233776221</v>
      </c>
      <c r="B24">
        <f>'Ciclo Otto'!$B$7*('Ciclo Otto'!$B$15/A24)^'Ciclo Otto'!$B$8</f>
        <v>15.162366434535976</v>
      </c>
      <c r="D24">
        <f>'Ciclo Otto'!$B$14*1.02</f>
        <v>56.62133333333334</v>
      </c>
      <c r="E24">
        <f>'Ciclo Otto'!$B$20*1.8</f>
        <v>31.534921361851659</v>
      </c>
    </row>
    <row r="25" spans="1:5" x14ac:dyDescent="0.25">
      <c r="A25">
        <f>'Ciclo Otto'!$B$15*('Ciclo Otto'!$B$14/'Ciclo Otto'!$B$15)^(21/24)</f>
        <v>74.025256389866328</v>
      </c>
      <c r="B25">
        <f>'Ciclo Otto'!$B$7*('Ciclo Otto'!$B$15/A25)^'Ciclo Otto'!$B$8</f>
        <v>17.342045507206038</v>
      </c>
      <c r="D25">
        <f>'Ciclo Otto'!$B$14*1.06</f>
        <v>58.841777777777786</v>
      </c>
      <c r="E25">
        <f>'Ciclo Otto'!$B$20*3.2</f>
        <v>56.062082421069618</v>
      </c>
    </row>
    <row r="26" spans="1:5" x14ac:dyDescent="0.25">
      <c r="A26">
        <f>'Ciclo Otto'!$B$15*('Ciclo Otto'!$B$14/'Ciclo Otto'!$B$15)^(22/24)</f>
        <v>67.253246472315894</v>
      </c>
      <c r="B26">
        <f>'Ciclo Otto'!$B$7*('Ciclo Otto'!$B$15/A26)^'Ciclo Otto'!$B$8</f>
        <v>19.8350662261388</v>
      </c>
      <c r="D26">
        <f>'Ciclo Otto'!$B$14*1.12</f>
        <v>62.172444444444452</v>
      </c>
      <c r="E26">
        <f>'Ciclo Otto'!$B$21</f>
        <v>70.077603026337016</v>
      </c>
    </row>
    <row r="27" spans="1:5" x14ac:dyDescent="0.25">
      <c r="A27">
        <f>'Ciclo Otto'!$B$15*('Ciclo Otto'!$B$14/'Ciclo Otto'!$B$15)^(23/24)</f>
        <v>61.100756439733772</v>
      </c>
      <c r="B27">
        <f>'Ciclo Otto'!$B$7*('Ciclo Otto'!$B$15/A27)^'Ciclo Otto'!$B$8</f>
        <v>22.686473290122141</v>
      </c>
      <c r="D27">
        <f>'Ciclo Otto'!$B$14*1.12*(0.85*'Ciclo Otto'!$B$15/('Ciclo Otto'!$B$14*1.12))^(1/18)</f>
        <v>69.582173926386474</v>
      </c>
      <c r="E27">
        <f>'Ciclo Otto'!$B$21*('Ciclo Otto'!$B$14*1.12/D27)^'Ciclo Otto'!$B$9</f>
        <v>60.535366114140636</v>
      </c>
    </row>
    <row r="28" spans="1:5" x14ac:dyDescent="0.25">
      <c r="A28">
        <f>'Ciclo Otto'!$B$15*('Ciclo Otto'!$B$14/'Ciclo Otto'!$B$15)^(24/24)</f>
        <v>55.511111111111113</v>
      </c>
      <c r="B28">
        <f>'Ciclo Otto'!$B$7*('Ciclo Otto'!$B$15/A28)^'Ciclo Otto'!$B$8</f>
        <v>25.947786837493958</v>
      </c>
      <c r="D28">
        <f>'Ciclo Otto'!$B$14*1.12*(0.85*'Ciclo Otto'!$B$15/('Ciclo Otto'!$B$14*1.12))^(2/18)</f>
        <v>77.874997059964173</v>
      </c>
      <c r="E28">
        <f>'Ciclo Otto'!$B$21*('Ciclo Otto'!$B$14*1.12/D28)^'Ciclo Otto'!$B$9</f>
        <v>52.292464244186817</v>
      </c>
    </row>
    <row r="29" spans="1:5" x14ac:dyDescent="0.25">
      <c r="A29">
        <f>'Ciclo Otto'!$B$14*('Ciclo Otto'!$B$15/'Ciclo Otto'!$B$14)^(0/24)</f>
        <v>55.511111111111113</v>
      </c>
      <c r="B29">
        <f>'Ciclo Otto'!$B$17*('Ciclo Otto'!$B$14/A29)^'Ciclo Otto'!$B$8</f>
        <v>103.79114734997583</v>
      </c>
      <c r="D29">
        <f>'Ciclo Otto'!$B$14*1.12*(0.85*'Ciclo Otto'!$B$15/('Ciclo Otto'!$B$14*1.12))^(3/18)</f>
        <v>87.156161195901987</v>
      </c>
      <c r="E29">
        <f>'Ciclo Otto'!$B$21*('Ciclo Otto'!$B$14*1.12/D29)^'Ciclo Otto'!$B$9</f>
        <v>45.171971233701626</v>
      </c>
    </row>
    <row r="30" spans="1:5" x14ac:dyDescent="0.25">
      <c r="A30">
        <f>'Ciclo Otto'!$B$14*('Ciclo Otto'!$B$15/'Ciclo Otto'!$B$14)^(1/24)</f>
        <v>61.100756439733772</v>
      </c>
      <c r="B30">
        <f>'Ciclo Otto'!$B$17*('Ciclo Otto'!$B$14/A30)^'Ciclo Otto'!$B$8</f>
        <v>90.745893160488592</v>
      </c>
      <c r="D30">
        <f>'Ciclo Otto'!$B$14*1.12*(0.85*'Ciclo Otto'!$B$15/('Ciclo Otto'!$B$14*1.12))^(4/18)</f>
        <v>97.543457093898056</v>
      </c>
      <c r="E30">
        <f>'Ciclo Otto'!$B$21*('Ciclo Otto'!$B$14*1.12/D30)^'Ciclo Otto'!$B$9</f>
        <v>39.021052356797348</v>
      </c>
    </row>
    <row r="31" spans="1:5" x14ac:dyDescent="0.25">
      <c r="A31">
        <f>'Ciclo Otto'!$B$14*('Ciclo Otto'!$B$15/'Ciclo Otto'!$B$14)^(2/24)</f>
        <v>67.25324647231588</v>
      </c>
      <c r="B31">
        <f>'Ciclo Otto'!$B$17*('Ciclo Otto'!$B$14/A31)^'Ciclo Otto'!$B$8</f>
        <v>79.340264904555255</v>
      </c>
      <c r="D31">
        <f>'Ciclo Otto'!$B$14*1.12*(0.85*'Ciclo Otto'!$B$15/('Ciclo Otto'!$B$14*1.12))^(5/18)</f>
        <v>109.16871384964698</v>
      </c>
      <c r="E31">
        <f>'Ciclo Otto'!$B$21*('Ciclo Otto'!$B$14*1.12/D31)^'Ciclo Otto'!$B$9</f>
        <v>33.707683889958652</v>
      </c>
    </row>
    <row r="32" spans="1:5" x14ac:dyDescent="0.25">
      <c r="A32">
        <f>'Ciclo Otto'!$B$14*('Ciclo Otto'!$B$15/'Ciclo Otto'!$B$14)^(3/24)</f>
        <v>74.0252563898663</v>
      </c>
      <c r="B32">
        <f>'Ciclo Otto'!$B$17*('Ciclo Otto'!$B$14/A32)^'Ciclo Otto'!$B$8</f>
        <v>69.368182028824179</v>
      </c>
      <c r="D32">
        <f>'Ciclo Otto'!$B$14*1.12*(0.85*'Ciclo Otto'!$B$15/('Ciclo Otto'!$B$14*1.12))^(6/18)</f>
        <v>122.17947198768736</v>
      </c>
      <c r="E32">
        <f>'Ciclo Otto'!$B$21*('Ciclo Otto'!$B$14*1.12/D32)^'Ciclo Otto'!$B$9</f>
        <v>29.1178193462395</v>
      </c>
    </row>
    <row r="33" spans="1:5" x14ac:dyDescent="0.25">
      <c r="A33">
        <f>'Ciclo Otto'!$B$14*('Ciclo Otto'!$B$15/'Ciclo Otto'!$B$14)^(4/24)</f>
        <v>81.479168233776221</v>
      </c>
      <c r="B33">
        <f>'Ciclo Otto'!$B$17*('Ciclo Otto'!$B$14/A33)^'Ciclo Otto'!$B$8</f>
        <v>60.649465738143896</v>
      </c>
      <c r="D33">
        <f>'Ciclo Otto'!$B$14*1.12*(0.85*'Ciclo Otto'!$B$15/('Ciclo Otto'!$B$14*1.12))^(7/18)</f>
        <v>136.74085595392734</v>
      </c>
      <c r="E33">
        <f>'Ciclo Otto'!$B$21*('Ciclo Otto'!$B$14*1.12/D33)^'Ciclo Otto'!$B$9</f>
        <v>25.152941574037019</v>
      </c>
    </row>
    <row r="34" spans="1:5" x14ac:dyDescent="0.25">
      <c r="A34">
        <f>'Ciclo Otto'!$B$14*('Ciclo Otto'!$B$15/'Ciclo Otto'!$B$14)^(5/24)</f>
        <v>89.683645553395678</v>
      </c>
      <c r="B34">
        <f>'Ciclo Otto'!$B$17*('Ciclo Otto'!$B$14/A34)^'Ciclo Otto'!$B$8</f>
        <v>53.026583467242141</v>
      </c>
      <c r="D34">
        <f>'Ciclo Otto'!$B$14*1.12*(0.85*'Ciclo Otto'!$B$15/('Ciclo Otto'!$B$14*1.12))^(8/18)</f>
        <v>153.03766977235745</v>
      </c>
      <c r="E34">
        <f>'Ciclo Otto'!$B$21*('Ciclo Otto'!$B$14*1.12/D34)^'Ciclo Otto'!$B$9</f>
        <v>21.727948178531033</v>
      </c>
    </row>
    <row r="35" spans="1:5" x14ac:dyDescent="0.25">
      <c r="A35">
        <f>'Ciclo Otto'!$B$14*('Ciclo Otto'!$B$15/'Ciclo Otto'!$B$14)^(6/24)</f>
        <v>98.714265917271774</v>
      </c>
      <c r="B35">
        <f>'Ciclo Otto'!$B$17*('Ciclo Otto'!$B$14/A35)^'Ciclo Otto'!$B$8</f>
        <v>46.361802531757114</v>
      </c>
      <c r="D35">
        <f>'Ciclo Otto'!$B$14*1.12*(0.85*'Ciclo Otto'!$B$15/('Ciclo Otto'!$B$14*1.12))^(9/18)</f>
        <v>171.27674246272312</v>
      </c>
      <c r="E35">
        <f>'Ciclo Otto'!$B$21*('Ciclo Otto'!$B$14*1.12/D35)^'Ciclo Otto'!$B$9</f>
        <v>18.769324878336995</v>
      </c>
    </row>
    <row r="36" spans="1:5" x14ac:dyDescent="0.25">
      <c r="A36">
        <f>'Ciclo Otto'!$B$14*('Ciclo Otto'!$B$15/'Ciclo Otto'!$B$14)^(7/24)</f>
        <v>108.65421711458168</v>
      </c>
      <c r="B36">
        <f>'Ciclo Otto'!$B$17*('Ciclo Otto'!$B$14/A36)^'Ciclo Otto'!$B$8</f>
        <v>40.53470152987456</v>
      </c>
      <c r="D36">
        <f>'Ciclo Otto'!$B$14*1.12*(0.85*'Ciclo Otto'!$B$15/('Ciclo Otto'!$B$14*1.12))^(10/18)</f>
        <v>191.68955298573664</v>
      </c>
      <c r="E36">
        <f>'Ciclo Otto'!$B$21*('Ciclo Otto'!$B$14*1.12/D36)^'Ciclo Otto'!$B$9</f>
        <v>16.213567590180862</v>
      </c>
    </row>
    <row r="37" spans="1:5" x14ac:dyDescent="0.25">
      <c r="A37">
        <f>'Ciclo Otto'!$B$14*('Ciclo Otto'!$B$15/'Ciclo Otto'!$B$14)^(8/24)</f>
        <v>119.59506345999213</v>
      </c>
      <c r="B37">
        <f>'Ciclo Otto'!$B$17*('Ciclo Otto'!$B$14/A37)^'Ciclo Otto'!$B$8</f>
        <v>35.439994529775738</v>
      </c>
      <c r="D37">
        <f>'Ciclo Otto'!$B$14*1.12*(0.85*'Ciclo Otto'!$B$15/('Ciclo Otto'!$B$14*1.12))^(11/18)</f>
        <v>214.53516803000116</v>
      </c>
      <c r="E37">
        <f>'Ciclo Otto'!$B$21*('Ciclo Otto'!$B$14*1.12/D37)^'Ciclo Otto'!$B$9</f>
        <v>14.005819373118285</v>
      </c>
    </row>
    <row r="38" spans="1:5" x14ac:dyDescent="0.25">
      <c r="A38">
        <f>'Ciclo Otto'!$B$14*('Ciclo Otto'!$B$15/'Ciclo Otto'!$B$14)^(9/24)</f>
        <v>131.63758926095147</v>
      </c>
      <c r="B38">
        <f>'Ciclo Otto'!$B$17*('Ciclo Otto'!$B$14/A38)^'Ciclo Otto'!$B$8</f>
        <v>30.985628729617066</v>
      </c>
      <c r="D38">
        <f>'Ciclo Otto'!$B$14*1.12*(0.85*'Ciclo Otto'!$B$15/('Ciclo Otto'!$B$14*1.12))^(12/18)</f>
        <v>240.10352992520936</v>
      </c>
      <c r="E38">
        <f>'Ciclo Otto'!$B$21*('Ciclo Otto'!$B$14*1.12/D38)^'Ciclo Otto'!$B$9</f>
        <v>12.098692975580169</v>
      </c>
    </row>
    <row r="39" spans="1:5" x14ac:dyDescent="0.25">
      <c r="A39">
        <f>'Ciclo Otto'!$B$14*('Ciclo Otto'!$B$15/'Ciclo Otto'!$B$14)^(10/24)</f>
        <v>144.89272721722173</v>
      </c>
      <c r="B39">
        <f>'Ciclo Otto'!$B$17*('Ciclo Otto'!$B$14/A39)^'Ciclo Otto'!$B$8</f>
        <v>27.091121217950878</v>
      </c>
      <c r="D39">
        <f>'Ciclo Otto'!$B$14*1.12*(0.85*'Ciclo Otto'!$B$15/('Ciclo Otto'!$B$14*1.12))^(13/18)</f>
        <v>268.71913640976584</v>
      </c>
      <c r="E39">
        <f>'Ciclo Otto'!$B$21*('Ciclo Otto'!$B$14*1.12/D39)^'Ciclo Otto'!$B$9</f>
        <v>10.451253712317646</v>
      </c>
    </row>
    <row r="40" spans="1:5" x14ac:dyDescent="0.25">
      <c r="A40">
        <f>'Ciclo Otto'!$B$14*('Ciclo Otto'!$B$15/'Ciclo Otto'!$B$14)^(11/24)</f>
        <v>159.48258030483231</v>
      </c>
      <c r="B40">
        <f>'Ciclo Otto'!$B$17*('Ciclo Otto'!$B$14/A40)^'Ciclo Otto'!$B$8</f>
        <v>23.686104782640591</v>
      </c>
      <c r="D40">
        <f>'Ciclo Otto'!$B$14*1.12*(0.85*'Ciclo Otto'!$B$15/('Ciclo Otto'!$B$14*1.12))^(14/18)</f>
        <v>300.74515895415311</v>
      </c>
      <c r="E40">
        <f>'Ciclo Otto'!$B$21*('Ciclo Otto'!$B$14*1.12/D40)^'Ciclo Otto'!$B$9</f>
        <v>9.0281408396509484</v>
      </c>
    </row>
    <row r="41" spans="1:5" x14ac:dyDescent="0.25">
      <c r="A41">
        <f>'Ciclo Otto'!$B$14*('Ciclo Otto'!$B$15/'Ciclo Otto'!$B$14)^(12/24)</f>
        <v>175.54154655779138</v>
      </c>
      <c r="B41">
        <f>'Ciclo Otto'!$B$17*('Ciclo Otto'!$B$14/A41)^'Ciclo Otto'!$B$8</f>
        <v>20.70905649347889</v>
      </c>
      <c r="D41">
        <f>'Ciclo Otto'!$B$14*1.12*(0.85*'Ciclo Otto'!$B$15/('Ciclo Otto'!$B$14*1.12))^(15/18)</f>
        <v>336.58805190723939</v>
      </c>
      <c r="E41">
        <f>'Ciclo Otto'!$B$21*('Ciclo Otto'!$B$14*1.12/D41)^'Ciclo Otto'!$B$9</f>
        <v>7.7988085701632492</v>
      </c>
    </row>
    <row r="42" spans="1:5" x14ac:dyDescent="0.25">
      <c r="A42">
        <f>'Ciclo Otto'!$B$14*('Ciclo Otto'!$B$15/'Ciclo Otto'!$B$14)^(13/24)</f>
        <v>193.21755710875934</v>
      </c>
      <c r="B42">
        <f>'Ciclo Otto'!$B$17*('Ciclo Otto'!$B$14/A42)^'Ciclo Otto'!$B$8</f>
        <v>18.106186086131512</v>
      </c>
      <c r="D42">
        <f>'Ciclo Otto'!$B$14*1.12*(0.85*'Ciclo Otto'!$B$15/('Ciclo Otto'!$B$14*1.12))^(16/18)</f>
        <v>376.70271096194477</v>
      </c>
      <c r="E42">
        <f>'Ciclo Otto'!$B$21*('Ciclo Otto'!$B$14*1.12/D42)^'Ciclo Otto'!$B$9</f>
        <v>6.7368704359294505</v>
      </c>
    </row>
    <row r="43" spans="1:5" x14ac:dyDescent="0.25">
      <c r="A43">
        <f>'Ciclo Otto'!$B$14*('Ciclo Otto'!$B$15/'Ciclo Otto'!$B$14)^(14/24)</f>
        <v>212.67343889320236</v>
      </c>
      <c r="B43">
        <f>'Ciclo Otto'!$B$17*('Ciclo Otto'!$B$14/A43)^'Ciclo Otto'!$B$8</f>
        <v>15.830464062370709</v>
      </c>
      <c r="D43">
        <f>'Ciclo Otto'!$B$14*1.12*(0.85*'Ciclo Otto'!$B$15/('Ciclo Otto'!$B$14*1.12))^(17/18)</f>
        <v>421.59824640830158</v>
      </c>
      <c r="E43">
        <f>'Ciclo Otto'!$B$21*('Ciclo Otto'!$B$14*1.12/D43)^'Ciclo Otto'!$B$9</f>
        <v>5.819532927649516</v>
      </c>
    </row>
    <row r="44" spans="1:5" x14ac:dyDescent="0.25">
      <c r="A44">
        <f>'Ciclo Otto'!$B$14*('Ciclo Otto'!$B$15/'Ciclo Otto'!$B$14)^(15/24)</f>
        <v>234.08841456991081</v>
      </c>
      <c r="B44">
        <f>'Ciclo Otto'!$B$17*('Ciclo Otto'!$B$14/A44)^'Ciclo Otto'!$B$8</f>
        <v>13.840771946001436</v>
      </c>
      <c r="D44">
        <f>'Ciclo Otto'!$B$14*1.12*(0.85*'Ciclo Otto'!$B$15/('Ciclo Otto'!$B$14*1.12))^(18/18)</f>
        <v>471.84444444444443</v>
      </c>
      <c r="E44">
        <f>'Ciclo Otto'!$B$21*('Ciclo Otto'!$B$14*1.12/D44)^'Ciclo Otto'!$B$9</f>
        <v>5.0271062532798254</v>
      </c>
    </row>
    <row r="45" spans="1:5" x14ac:dyDescent="0.25">
      <c r="A45">
        <f>'Ciclo Otto'!$B$14*('Ciclo Otto'!$B$15/'Ciclo Otto'!$B$14)^(16/24)</f>
        <v>257.65975347477161</v>
      </c>
      <c r="B45">
        <f>'Ciclo Otto'!$B$17*('Ciclo Otto'!$B$14/A45)^'Ciclo Otto'!$B$8</f>
        <v>12.101159341031472</v>
      </c>
      <c r="D45">
        <f>'Ciclo Otto'!$B$15*0.93</f>
        <v>516.25333333333333</v>
      </c>
      <c r="E45">
        <f>(E44+'Ciclo Otto'!$B$7*1.15)/2*0.8</f>
        <v>2.4860225013119304</v>
      </c>
    </row>
    <row r="46" spans="1:5" x14ac:dyDescent="0.25">
      <c r="A46">
        <f>'Ciclo Otto'!$B$14*('Ciclo Otto'!$B$15/'Ciclo Otto'!$B$14)^(17/24)</f>
        <v>283.60458881596242</v>
      </c>
      <c r="B46">
        <f>'Ciclo Otto'!$B$17*('Ciclo Otto'!$B$14/A46)^'Ciclo Otto'!$B$8</f>
        <v>10.580194368374004</v>
      </c>
      <c r="D46">
        <f>'Ciclo Otto'!$B$15</f>
        <v>555.11111111111109</v>
      </c>
      <c r="E46">
        <f>'Ciclo Otto'!$B$7*1.15</f>
        <v>1.1879499999999998</v>
      </c>
    </row>
    <row r="47" spans="1:5" x14ac:dyDescent="0.25">
      <c r="A47">
        <f>'Ciclo Otto'!$B$14*('Ciclo Otto'!$B$15/'Ciclo Otto'!$B$14)^(18/24)</f>
        <v>312.16191785010943</v>
      </c>
      <c r="B47">
        <f>'Ciclo Otto'!$B$17*('Ciclo Otto'!$B$14/A47)^'Ciclo Otto'!$B$8</f>
        <v>9.2503957445643756</v>
      </c>
      <c r="D47">
        <f>'Ciclo Otto'!$B$14</f>
        <v>55.511111111111113</v>
      </c>
      <c r="E47">
        <f>'Ciclo Otto'!$B$7*1.1</f>
        <v>1.1363000000000001</v>
      </c>
    </row>
    <row r="48" spans="1:5" x14ac:dyDescent="0.25">
      <c r="A48">
        <f>'Ciclo Otto'!$B$14*('Ciclo Otto'!$B$15/'Ciclo Otto'!$B$14)^(19/24)</f>
        <v>343.59480346452648</v>
      </c>
      <c r="B48">
        <f>'Ciclo Otto'!$B$17*('Ciclo Otto'!$B$14/A48)^'Ciclo Otto'!$B$8</f>
        <v>8.0877362411070131</v>
      </c>
      <c r="D48">
        <f>'Ciclo Otto'!$B$14</f>
        <v>55.511111111111113</v>
      </c>
      <c r="E48">
        <f>'Ciclo Otto'!$B$7*0.9</f>
        <v>0.92969999999999997</v>
      </c>
    </row>
    <row r="49" spans="1:5" x14ac:dyDescent="0.25">
      <c r="A49">
        <f>'Ciclo Otto'!$B$14*('Ciclo Otto'!$B$15/'Ciclo Otto'!$B$14)^(20/24)</f>
        <v>378.19279744595281</v>
      </c>
      <c r="B49">
        <f>'Ciclo Otto'!$B$17*('Ciclo Otto'!$B$14/A49)^'Ciclo Otto'!$B$8</f>
        <v>7.0712085527964756</v>
      </c>
      <c r="D49">
        <f>'Ciclo Otto'!$B$15</f>
        <v>555.11111111111109</v>
      </c>
      <c r="E49">
        <f>'Ciclo Otto'!$B$7*0.9</f>
        <v>0.92969999999999997</v>
      </c>
    </row>
    <row r="50" spans="1:5" x14ac:dyDescent="0.25">
      <c r="A50">
        <f>'Ciclo Otto'!$B$14*('Ciclo Otto'!$B$15/'Ciclo Otto'!$B$14)^(21/24)</f>
        <v>416.27460775832776</v>
      </c>
      <c r="B50">
        <f>'Ciclo Otto'!$B$17*('Ciclo Otto'!$B$14/A50)^'Ciclo Otto'!$B$8</f>
        <v>6.1824457309821987</v>
      </c>
      <c r="D50">
        <f>'Ciclo Otto'!$B$15*('Ciclo Otto'!$B$14/'Ciclo Otto'!$B$15)^(0/19)</f>
        <v>555.11111111111109</v>
      </c>
      <c r="E50">
        <f>'Ciclo Otto'!$B$7*('Ciclo Otto'!$B$15/D50)^'Ciclo Otto'!$B$9</f>
        <v>1.0329999999999999</v>
      </c>
    </row>
    <row r="51" spans="1:5" x14ac:dyDescent="0.25">
      <c r="A51">
        <f>'Ciclo Otto'!$B$14*('Ciclo Otto'!$B$15/'Ciclo Otto'!$B$14)^(22/24)</f>
        <v>458.19103439989107</v>
      </c>
      <c r="B51">
        <f>'Ciclo Otto'!$B$17*('Ciclo Otto'!$B$14/A51)^'Ciclo Otto'!$B$8</f>
        <v>5.4053893236431216</v>
      </c>
    </row>
    <row r="52" spans="1:5" x14ac:dyDescent="0.25">
      <c r="A52">
        <f>'Ciclo Otto'!$B$14*('Ciclo Otto'!$B$15/'Ciclo Otto'!$B$14)^(23/24)</f>
        <v>504.32820088398091</v>
      </c>
      <c r="B52">
        <f>'Ciclo Otto'!$B$17*('Ciclo Otto'!$B$14/A52)^'Ciclo Otto'!$B$8</f>
        <v>4.7259992261206891</v>
      </c>
    </row>
    <row r="53" spans="1:5" x14ac:dyDescent="0.25">
      <c r="A53">
        <f>'Ciclo Otto'!$B$14*('Ciclo Otto'!$B$15/'Ciclo Otto'!$B$14)^(24/24)</f>
        <v>555.11111111111109</v>
      </c>
      <c r="B53">
        <f>'Ciclo Otto'!$B$17*('Ciclo Otto'!$B$14/A53)^'Ciclo Otto'!$B$8</f>
        <v>4.1320000000000014</v>
      </c>
    </row>
    <row r="54" spans="1:5" x14ac:dyDescent="0.25">
      <c r="A54">
        <f>'Ciclo Otto'!$B$15</f>
        <v>555.11111111111109</v>
      </c>
      <c r="B54">
        <f>'Ciclo Otto'!$B$7</f>
        <v>1.0329999999999999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C8C8C"/>
  </sheetPr>
  <dimension ref="A1:X37"/>
  <sheetViews>
    <sheetView workbookViewId="0"/>
  </sheetViews>
  <sheetFormatPr baseColWidth="10" defaultColWidth="9.140625" defaultRowHeight="15" x14ac:dyDescent="0.25"/>
  <sheetData>
    <row r="1" spans="1:24" x14ac:dyDescent="0.25">
      <c r="A1" s="44" t="s">
        <v>367</v>
      </c>
    </row>
    <row r="2" spans="1:24" ht="45" x14ac:dyDescent="0.25">
      <c r="A2" s="3" t="s">
        <v>368</v>
      </c>
      <c r="B2" s="3" t="s">
        <v>255</v>
      </c>
      <c r="D2" s="3" t="s">
        <v>255</v>
      </c>
      <c r="E2" s="3" t="s">
        <v>368</v>
      </c>
      <c r="F2" s="3" t="s">
        <v>369</v>
      </c>
      <c r="G2" s="3" t="s">
        <v>370</v>
      </c>
      <c r="N2" s="3" t="s">
        <v>371</v>
      </c>
      <c r="O2" s="3" t="s">
        <v>313</v>
      </c>
      <c r="P2" s="3" t="s">
        <v>372</v>
      </c>
      <c r="Q2" s="3" t="s">
        <v>313</v>
      </c>
      <c r="R2" s="3" t="s">
        <v>373</v>
      </c>
      <c r="S2" s="3" t="s">
        <v>313</v>
      </c>
      <c r="T2" s="3" t="s">
        <v>374</v>
      </c>
      <c r="U2" s="3" t="s">
        <v>313</v>
      </c>
    </row>
    <row r="3" spans="1:24" x14ac:dyDescent="0.25">
      <c r="A3">
        <v>1</v>
      </c>
      <c r="B3">
        <f>IF(A3&gt;'Orden de encendido'!$B$5,"",IFERROR(VALUE(TRIM(MID(SUBSTITUTE('Orden de encendido'!$B$6,"-",REPT(" ",20)),(A3-1)*20+1,20))),""))</f>
        <v>1</v>
      </c>
      <c r="D3">
        <v>1</v>
      </c>
      <c r="E3">
        <f>IF(D3&gt;'Orden de encendido'!$B$5,"",IFERROR(MATCH(D3,$B$3:$B$8,0),""))</f>
        <v>1</v>
      </c>
      <c r="F3">
        <f>IF(E3="","",(E3-1)*720/'Orden de encendido'!$B$5)</f>
        <v>0</v>
      </c>
      <c r="G3">
        <f>IF(F3="","",MOD('Orden de encendido'!$B$7-F3,720))</f>
        <v>0</v>
      </c>
      <c r="L3">
        <v>4</v>
      </c>
      <c r="N3">
        <f>IF($F$3="",0,MOD(0-MOD(-'Datos orden'!$F$3,720),720))</f>
        <v>0</v>
      </c>
      <c r="O3">
        <f>IF(1&gt;'Orden de encendido'!$B$5,-5,1)</f>
        <v>1</v>
      </c>
      <c r="P3">
        <f>IF($F$3="",0,MOD(180-MOD(-'Datos orden'!$F$3,720),720))</f>
        <v>180</v>
      </c>
      <c r="Q3">
        <f>IF(1&gt;'Orden de encendido'!$B$5,-5,1)</f>
        <v>1</v>
      </c>
      <c r="R3">
        <f>IF($F$3="",0,MOD(360-MOD(-'Datos orden'!$F$3,720),720))</f>
        <v>360</v>
      </c>
      <c r="S3">
        <f>IF(1&gt;'Orden de encendido'!$B$5,-5,1)</f>
        <v>1</v>
      </c>
      <c r="T3">
        <f>IF($F$3="",0,MOD(540-MOD(-'Datos orden'!$F$3,720),720))</f>
        <v>540</v>
      </c>
      <c r="U3">
        <f>IF(1&gt;'Orden de encendido'!$B$5,-5,1)</f>
        <v>1</v>
      </c>
      <c r="W3">
        <f>'Orden de encendido'!B7</f>
        <v>0</v>
      </c>
      <c r="X3">
        <v>0</v>
      </c>
    </row>
    <row r="4" spans="1:24" x14ac:dyDescent="0.25">
      <c r="A4">
        <v>2</v>
      </c>
      <c r="B4">
        <f>IF(A4&gt;'Orden de encendido'!$B$5,"",IFERROR(VALUE(TRIM(MID(SUBSTITUTE('Orden de encendido'!$B$6,"-",REPT(" ",20)),(A4-1)*20+1,20))),""))</f>
        <v>3</v>
      </c>
      <c r="D4">
        <v>2</v>
      </c>
      <c r="E4">
        <f>IF(D4&gt;'Orden de encendido'!$B$5,"",IFERROR(MATCH(D4,$B$3:$B$8,0),""))</f>
        <v>4</v>
      </c>
      <c r="F4">
        <f>IF(E4="","",(E4-1)*720/'Orden de encendido'!$B$5)</f>
        <v>540</v>
      </c>
      <c r="G4">
        <f>IF(F4="","",MOD('Orden de encendido'!$B$7-F4,720))</f>
        <v>180</v>
      </c>
      <c r="L4">
        <v>6</v>
      </c>
      <c r="N4">
        <f>MIN(N3+180,720)</f>
        <v>180</v>
      </c>
      <c r="O4">
        <f>IF(1&gt;'Orden de encendido'!$B$5,-5,1)</f>
        <v>1</v>
      </c>
      <c r="P4">
        <f>MIN(P3+180,720)</f>
        <v>360</v>
      </c>
      <c r="Q4">
        <f>IF(1&gt;'Orden de encendido'!$B$5,-5,1)</f>
        <v>1</v>
      </c>
      <c r="R4">
        <f>MIN(R3+180,720)</f>
        <v>540</v>
      </c>
      <c r="S4">
        <f>IF(1&gt;'Orden de encendido'!$B$5,-5,1)</f>
        <v>1</v>
      </c>
      <c r="T4">
        <f>MIN(T3+180,720)</f>
        <v>720</v>
      </c>
      <c r="U4">
        <f>IF(1&gt;'Orden de encendido'!$B$5,-5,1)</f>
        <v>1</v>
      </c>
      <c r="W4">
        <f>'Orden de encendido'!B7</f>
        <v>0</v>
      </c>
      <c r="X4">
        <f>'Orden de encendido'!B5+0.5</f>
        <v>4.5</v>
      </c>
    </row>
    <row r="5" spans="1:24" x14ac:dyDescent="0.25">
      <c r="A5">
        <v>3</v>
      </c>
      <c r="B5">
        <f>IF(A5&gt;'Orden de encendido'!$B$5,"",IFERROR(VALUE(TRIM(MID(SUBSTITUTE('Orden de encendido'!$B$6,"-",REPT(" ",20)),(A5-1)*20+1,20))),""))</f>
        <v>4</v>
      </c>
      <c r="D5">
        <v>3</v>
      </c>
      <c r="E5">
        <f>IF(D5&gt;'Orden de encendido'!$B$5,"",IFERROR(MATCH(D5,$B$3:$B$8,0),""))</f>
        <v>2</v>
      </c>
      <c r="F5">
        <f>IF(E5="","",(E5-1)*720/'Orden de encendido'!$B$5)</f>
        <v>180</v>
      </c>
      <c r="G5">
        <f>IF(F5="","",MOD('Orden de encendido'!$B$7-F5,720))</f>
        <v>540</v>
      </c>
    </row>
    <row r="6" spans="1:24" x14ac:dyDescent="0.25">
      <c r="A6">
        <v>4</v>
      </c>
      <c r="B6">
        <f>IF(A6&gt;'Orden de encendido'!$B$5,"",IFERROR(VALUE(TRIM(MID(SUBSTITUTE('Orden de encendido'!$B$6,"-",REPT(" ",20)),(A6-1)*20+1,20))),""))</f>
        <v>2</v>
      </c>
      <c r="D6">
        <v>4</v>
      </c>
      <c r="E6">
        <f>IF(D6&gt;'Orden de encendido'!$B$5,"",IFERROR(MATCH(D6,$B$3:$B$8,0),""))</f>
        <v>3</v>
      </c>
      <c r="F6">
        <f>IF(E6="","",(E6-1)*720/'Orden de encendido'!$B$5)</f>
        <v>360</v>
      </c>
      <c r="G6">
        <f>IF(F6="","",MOD('Orden de encendido'!$B$7-F6,720))</f>
        <v>360</v>
      </c>
      <c r="N6">
        <f>IF(N3+180&gt;720,0,N4)</f>
        <v>180</v>
      </c>
      <c r="O6">
        <f>IF(1&gt;'Orden de encendido'!$B$5,-5,1)</f>
        <v>1</v>
      </c>
      <c r="P6">
        <f>IF(P3+180&gt;720,0,P4)</f>
        <v>360</v>
      </c>
      <c r="Q6">
        <f>IF(1&gt;'Orden de encendido'!$B$5,-5,1)</f>
        <v>1</v>
      </c>
      <c r="R6">
        <f>IF(R3+180&gt;720,0,R4)</f>
        <v>540</v>
      </c>
      <c r="S6">
        <f>IF(1&gt;'Orden de encendido'!$B$5,-5,1)</f>
        <v>1</v>
      </c>
      <c r="T6">
        <f>IF(T3+180&gt;720,0,T4)</f>
        <v>720</v>
      </c>
      <c r="U6">
        <f>IF(1&gt;'Orden de encendido'!$B$5,-5,1)</f>
        <v>1</v>
      </c>
    </row>
    <row r="7" spans="1:24" x14ac:dyDescent="0.25">
      <c r="A7">
        <v>5</v>
      </c>
      <c r="B7" t="str">
        <f>IF(A7&gt;'Orden de encendido'!$B$5,"",IFERROR(VALUE(TRIM(MID(SUBSTITUTE('Orden de encendido'!$B$6,"-",REPT(" ",20)),(A7-1)*20+1,20))),""))</f>
        <v/>
      </c>
      <c r="D7">
        <v>5</v>
      </c>
      <c r="E7" t="str">
        <f>IF(D7&gt;'Orden de encendido'!$B$5,"",IFERROR(MATCH(D7,$B$3:$B$8,0),""))</f>
        <v/>
      </c>
      <c r="F7" t="str">
        <f>IF(E7="","",(E7-1)*720/'Orden de encendido'!$B$5)</f>
        <v/>
      </c>
      <c r="G7" t="str">
        <f>IF(F7="","",MOD('Orden de encendido'!$B$7-F7,720))</f>
        <v/>
      </c>
      <c r="N7">
        <f>IF(N3+180&gt;720,N3+180-720,N4)</f>
        <v>180</v>
      </c>
      <c r="O7">
        <f>IF(1&gt;'Orden de encendido'!$B$5,-5,1)</f>
        <v>1</v>
      </c>
      <c r="P7">
        <f>IF(P3+180&gt;720,P3+180-720,P4)</f>
        <v>360</v>
      </c>
      <c r="Q7">
        <f>IF(1&gt;'Orden de encendido'!$B$5,-5,1)</f>
        <v>1</v>
      </c>
      <c r="R7">
        <f>IF(R3+180&gt;720,R3+180-720,R4)</f>
        <v>540</v>
      </c>
      <c r="S7">
        <f>IF(1&gt;'Orden de encendido'!$B$5,-5,1)</f>
        <v>1</v>
      </c>
      <c r="T7">
        <f>IF(T3+180&gt;720,T3+180-720,T4)</f>
        <v>720</v>
      </c>
      <c r="U7">
        <f>IF(1&gt;'Orden de encendido'!$B$5,-5,1)</f>
        <v>1</v>
      </c>
    </row>
    <row r="8" spans="1:24" x14ac:dyDescent="0.25">
      <c r="A8">
        <v>6</v>
      </c>
      <c r="B8" t="str">
        <f>IF(A8&gt;'Orden de encendido'!$B$5,"",IFERROR(VALUE(TRIM(MID(SUBSTITUTE('Orden de encendido'!$B$6,"-",REPT(" ",20)),(A8-1)*20+1,20))),""))</f>
        <v/>
      </c>
      <c r="D8">
        <v>6</v>
      </c>
      <c r="E8" t="str">
        <f>IF(D8&gt;'Orden de encendido'!$B$5,"",IFERROR(MATCH(D8,$B$3:$B$8,0),""))</f>
        <v/>
      </c>
      <c r="F8" t="str">
        <f>IF(E8="","",(E8-1)*720/'Orden de encendido'!$B$5)</f>
        <v/>
      </c>
      <c r="G8" t="str">
        <f>IF(F8="","",MOD('Orden de encendido'!$B$7-F8,720))</f>
        <v/>
      </c>
    </row>
    <row r="9" spans="1:24" x14ac:dyDescent="0.25">
      <c r="N9">
        <f>IF($F$4="",0,MOD(0-MOD(-'Datos orden'!$F$4,720),720))</f>
        <v>540</v>
      </c>
      <c r="O9">
        <f>IF(2&gt;'Orden de encendido'!$B$5,-5,2)</f>
        <v>2</v>
      </c>
      <c r="P9">
        <f>IF($F$4="",0,MOD(180-MOD(-'Datos orden'!$F$4,720),720))</f>
        <v>0</v>
      </c>
      <c r="Q9">
        <f>IF(2&gt;'Orden de encendido'!$B$5,-5,2)</f>
        <v>2</v>
      </c>
      <c r="R9">
        <f>IF($F$4="",0,MOD(360-MOD(-'Datos orden'!$F$4,720),720))</f>
        <v>180</v>
      </c>
      <c r="S9">
        <f>IF(2&gt;'Orden de encendido'!$B$5,-5,2)</f>
        <v>2</v>
      </c>
      <c r="T9">
        <f>IF($F$4="",0,MOD(540-MOD(-'Datos orden'!$F$4,720),720))</f>
        <v>360</v>
      </c>
      <c r="U9">
        <f>IF(2&gt;'Orden de encendido'!$B$5,-5,2)</f>
        <v>2</v>
      </c>
    </row>
    <row r="10" spans="1:24" x14ac:dyDescent="0.25">
      <c r="N10">
        <f>MIN(N9+180,720)</f>
        <v>720</v>
      </c>
      <c r="O10">
        <f>IF(2&gt;'Orden de encendido'!$B$5,-5,2)</f>
        <v>2</v>
      </c>
      <c r="P10">
        <f>MIN(P9+180,720)</f>
        <v>180</v>
      </c>
      <c r="Q10">
        <f>IF(2&gt;'Orden de encendido'!$B$5,-5,2)</f>
        <v>2</v>
      </c>
      <c r="R10">
        <f>MIN(R9+180,720)</f>
        <v>360</v>
      </c>
      <c r="S10">
        <f>IF(2&gt;'Orden de encendido'!$B$5,-5,2)</f>
        <v>2</v>
      </c>
      <c r="T10">
        <f>MIN(T9+180,720)</f>
        <v>540</v>
      </c>
      <c r="U10">
        <f>IF(2&gt;'Orden de encendido'!$B$5,-5,2)</f>
        <v>2</v>
      </c>
    </row>
    <row r="12" spans="1:24" x14ac:dyDescent="0.25">
      <c r="A12" t="s">
        <v>375</v>
      </c>
      <c r="B12" t="str">
        <f>IF(AND(COUNT(B3:B8)='Orden de encendido'!B5,SUMPRODUCT((E3:E8&lt;&gt;"")*1)='Orden de encendido'!B5,INDEX(B3:B8,1)=1),"Orden válido","Revise el orden: debe empezar en 1 y contener cada cilindro una sola vez")</f>
        <v>Orden válido</v>
      </c>
      <c r="N12">
        <f>IF(N9+180&gt;720,0,N10)</f>
        <v>720</v>
      </c>
      <c r="O12">
        <f>IF(2&gt;'Orden de encendido'!$B$5,-5,2)</f>
        <v>2</v>
      </c>
      <c r="P12">
        <f>IF(P9+180&gt;720,0,P10)</f>
        <v>180</v>
      </c>
      <c r="Q12">
        <f>IF(2&gt;'Orden de encendido'!$B$5,-5,2)</f>
        <v>2</v>
      </c>
      <c r="R12">
        <f>IF(R9+180&gt;720,0,R10)</f>
        <v>360</v>
      </c>
      <c r="S12">
        <f>IF(2&gt;'Orden de encendido'!$B$5,-5,2)</f>
        <v>2</v>
      </c>
      <c r="T12">
        <f>IF(T9+180&gt;720,0,T10)</f>
        <v>540</v>
      </c>
      <c r="U12">
        <f>IF(2&gt;'Orden de encendido'!$B$5,-5,2)</f>
        <v>2</v>
      </c>
    </row>
    <row r="13" spans="1:24" x14ac:dyDescent="0.25">
      <c r="N13">
        <f>IF(N9+180&gt;720,N9+180-720,N10)</f>
        <v>720</v>
      </c>
      <c r="O13">
        <f>IF(2&gt;'Orden de encendido'!$B$5,-5,2)</f>
        <v>2</v>
      </c>
      <c r="P13">
        <f>IF(P9+180&gt;720,P9+180-720,P10)</f>
        <v>180</v>
      </c>
      <c r="Q13">
        <f>IF(2&gt;'Orden de encendido'!$B$5,-5,2)</f>
        <v>2</v>
      </c>
      <c r="R13">
        <f>IF(R9+180&gt;720,R9+180-720,R10)</f>
        <v>360</v>
      </c>
      <c r="S13">
        <f>IF(2&gt;'Orden de encendido'!$B$5,-5,2)</f>
        <v>2</v>
      </c>
      <c r="T13">
        <f>IF(T9+180&gt;720,T9+180-720,T10)</f>
        <v>540</v>
      </c>
      <c r="U13">
        <f>IF(2&gt;'Orden de encendido'!$B$5,-5,2)</f>
        <v>2</v>
      </c>
    </row>
    <row r="15" spans="1:24" x14ac:dyDescent="0.25">
      <c r="N15">
        <f>IF($F$5="",0,MOD(0-MOD(-'Datos orden'!$F$5,720),720))</f>
        <v>180</v>
      </c>
      <c r="O15">
        <f>IF(3&gt;'Orden de encendido'!$B$5,-5,3)</f>
        <v>3</v>
      </c>
      <c r="P15">
        <f>IF($F$5="",0,MOD(180-MOD(-'Datos orden'!$F$5,720),720))</f>
        <v>360</v>
      </c>
      <c r="Q15">
        <f>IF(3&gt;'Orden de encendido'!$B$5,-5,3)</f>
        <v>3</v>
      </c>
      <c r="R15">
        <f>IF($F$5="",0,MOD(360-MOD(-'Datos orden'!$F$5,720),720))</f>
        <v>540</v>
      </c>
      <c r="S15">
        <f>IF(3&gt;'Orden de encendido'!$B$5,-5,3)</f>
        <v>3</v>
      </c>
      <c r="T15">
        <f>IF($F$5="",0,MOD(540-MOD(-'Datos orden'!$F$5,720),720))</f>
        <v>0</v>
      </c>
      <c r="U15">
        <f>IF(3&gt;'Orden de encendido'!$B$5,-5,3)</f>
        <v>3</v>
      </c>
    </row>
    <row r="16" spans="1:24" x14ac:dyDescent="0.25">
      <c r="N16">
        <f>MIN(N15+180,720)</f>
        <v>360</v>
      </c>
      <c r="O16">
        <f>IF(3&gt;'Orden de encendido'!$B$5,-5,3)</f>
        <v>3</v>
      </c>
      <c r="P16">
        <f>MIN(P15+180,720)</f>
        <v>540</v>
      </c>
      <c r="Q16">
        <f>IF(3&gt;'Orden de encendido'!$B$5,-5,3)</f>
        <v>3</v>
      </c>
      <c r="R16">
        <f>MIN(R15+180,720)</f>
        <v>720</v>
      </c>
      <c r="S16">
        <f>IF(3&gt;'Orden de encendido'!$B$5,-5,3)</f>
        <v>3</v>
      </c>
      <c r="T16">
        <f>MIN(T15+180,720)</f>
        <v>180</v>
      </c>
      <c r="U16">
        <f>IF(3&gt;'Orden de encendido'!$B$5,-5,3)</f>
        <v>3</v>
      </c>
    </row>
    <row r="18" spans="14:21" x14ac:dyDescent="0.25">
      <c r="N18">
        <f>IF(N15+180&gt;720,0,N16)</f>
        <v>360</v>
      </c>
      <c r="O18">
        <f>IF(3&gt;'Orden de encendido'!$B$5,-5,3)</f>
        <v>3</v>
      </c>
      <c r="P18">
        <f>IF(P15+180&gt;720,0,P16)</f>
        <v>540</v>
      </c>
      <c r="Q18">
        <f>IF(3&gt;'Orden de encendido'!$B$5,-5,3)</f>
        <v>3</v>
      </c>
      <c r="R18">
        <f>IF(R15+180&gt;720,0,R16)</f>
        <v>720</v>
      </c>
      <c r="S18">
        <f>IF(3&gt;'Orden de encendido'!$B$5,-5,3)</f>
        <v>3</v>
      </c>
      <c r="T18">
        <f>IF(T15+180&gt;720,0,T16)</f>
        <v>180</v>
      </c>
      <c r="U18">
        <f>IF(3&gt;'Orden de encendido'!$B$5,-5,3)</f>
        <v>3</v>
      </c>
    </row>
    <row r="19" spans="14:21" x14ac:dyDescent="0.25">
      <c r="N19">
        <f>IF(N15+180&gt;720,N15+180-720,N16)</f>
        <v>360</v>
      </c>
      <c r="O19">
        <f>IF(3&gt;'Orden de encendido'!$B$5,-5,3)</f>
        <v>3</v>
      </c>
      <c r="P19">
        <f>IF(P15+180&gt;720,P15+180-720,P16)</f>
        <v>540</v>
      </c>
      <c r="Q19">
        <f>IF(3&gt;'Orden de encendido'!$B$5,-5,3)</f>
        <v>3</v>
      </c>
      <c r="R19">
        <f>IF(R15+180&gt;720,R15+180-720,R16)</f>
        <v>720</v>
      </c>
      <c r="S19">
        <f>IF(3&gt;'Orden de encendido'!$B$5,-5,3)</f>
        <v>3</v>
      </c>
      <c r="T19">
        <f>IF(T15+180&gt;720,T15+180-720,T16)</f>
        <v>180</v>
      </c>
      <c r="U19">
        <f>IF(3&gt;'Orden de encendido'!$B$5,-5,3)</f>
        <v>3</v>
      </c>
    </row>
    <row r="21" spans="14:21" x14ac:dyDescent="0.25">
      <c r="N21">
        <f>IF($F$6="",0,MOD(0-MOD(-'Datos orden'!$F$6,720),720))</f>
        <v>360</v>
      </c>
      <c r="O21">
        <f>IF(4&gt;'Orden de encendido'!$B$5,-5,4)</f>
        <v>4</v>
      </c>
      <c r="P21">
        <f>IF($F$6="",0,MOD(180-MOD(-'Datos orden'!$F$6,720),720))</f>
        <v>540</v>
      </c>
      <c r="Q21">
        <f>IF(4&gt;'Orden de encendido'!$B$5,-5,4)</f>
        <v>4</v>
      </c>
      <c r="R21">
        <f>IF($F$6="",0,MOD(360-MOD(-'Datos orden'!$F$6,720),720))</f>
        <v>0</v>
      </c>
      <c r="S21">
        <f>IF(4&gt;'Orden de encendido'!$B$5,-5,4)</f>
        <v>4</v>
      </c>
      <c r="T21">
        <f>IF($F$6="",0,MOD(540-MOD(-'Datos orden'!$F$6,720),720))</f>
        <v>180</v>
      </c>
      <c r="U21">
        <f>IF(4&gt;'Orden de encendido'!$B$5,-5,4)</f>
        <v>4</v>
      </c>
    </row>
    <row r="22" spans="14:21" x14ac:dyDescent="0.25">
      <c r="N22">
        <f>MIN(N21+180,720)</f>
        <v>540</v>
      </c>
      <c r="O22">
        <f>IF(4&gt;'Orden de encendido'!$B$5,-5,4)</f>
        <v>4</v>
      </c>
      <c r="P22">
        <f>MIN(P21+180,720)</f>
        <v>720</v>
      </c>
      <c r="Q22">
        <f>IF(4&gt;'Orden de encendido'!$B$5,-5,4)</f>
        <v>4</v>
      </c>
      <c r="R22">
        <f>MIN(R21+180,720)</f>
        <v>180</v>
      </c>
      <c r="S22">
        <f>IF(4&gt;'Orden de encendido'!$B$5,-5,4)</f>
        <v>4</v>
      </c>
      <c r="T22">
        <f>MIN(T21+180,720)</f>
        <v>360</v>
      </c>
      <c r="U22">
        <f>IF(4&gt;'Orden de encendido'!$B$5,-5,4)</f>
        <v>4</v>
      </c>
    </row>
    <row r="24" spans="14:21" x14ac:dyDescent="0.25">
      <c r="N24">
        <f>IF(N21+180&gt;720,0,N22)</f>
        <v>540</v>
      </c>
      <c r="O24">
        <f>IF(4&gt;'Orden de encendido'!$B$5,-5,4)</f>
        <v>4</v>
      </c>
      <c r="P24">
        <f>IF(P21+180&gt;720,0,P22)</f>
        <v>720</v>
      </c>
      <c r="Q24">
        <f>IF(4&gt;'Orden de encendido'!$B$5,-5,4)</f>
        <v>4</v>
      </c>
      <c r="R24">
        <f>IF(R21+180&gt;720,0,R22)</f>
        <v>180</v>
      </c>
      <c r="S24">
        <f>IF(4&gt;'Orden de encendido'!$B$5,-5,4)</f>
        <v>4</v>
      </c>
      <c r="T24">
        <f>IF(T21+180&gt;720,0,T22)</f>
        <v>360</v>
      </c>
      <c r="U24">
        <f>IF(4&gt;'Orden de encendido'!$B$5,-5,4)</f>
        <v>4</v>
      </c>
    </row>
    <row r="25" spans="14:21" x14ac:dyDescent="0.25">
      <c r="N25">
        <f>IF(N21+180&gt;720,N21+180-720,N22)</f>
        <v>540</v>
      </c>
      <c r="O25">
        <f>IF(4&gt;'Orden de encendido'!$B$5,-5,4)</f>
        <v>4</v>
      </c>
      <c r="P25">
        <f>IF(P21+180&gt;720,P21+180-720,P22)</f>
        <v>720</v>
      </c>
      <c r="Q25">
        <f>IF(4&gt;'Orden de encendido'!$B$5,-5,4)</f>
        <v>4</v>
      </c>
      <c r="R25">
        <f>IF(R21+180&gt;720,R21+180-720,R22)</f>
        <v>180</v>
      </c>
      <c r="S25">
        <f>IF(4&gt;'Orden de encendido'!$B$5,-5,4)</f>
        <v>4</v>
      </c>
      <c r="T25">
        <f>IF(T21+180&gt;720,T21+180-720,T22)</f>
        <v>360</v>
      </c>
      <c r="U25">
        <f>IF(4&gt;'Orden de encendido'!$B$5,-5,4)</f>
        <v>4</v>
      </c>
    </row>
    <row r="27" spans="14:21" x14ac:dyDescent="0.25">
      <c r="N27">
        <f>IF($F$7="",0,MOD(0-MOD(-'Datos orden'!$F$7,720),720))</f>
        <v>0</v>
      </c>
      <c r="O27">
        <f>IF(5&gt;'Orden de encendido'!$B$5,-5,5)</f>
        <v>-5</v>
      </c>
      <c r="P27">
        <f>IF($F$7="",0,MOD(180-MOD(-'Datos orden'!$F$7,720),720))</f>
        <v>0</v>
      </c>
      <c r="Q27">
        <f>IF(5&gt;'Orden de encendido'!$B$5,-5,5)</f>
        <v>-5</v>
      </c>
      <c r="R27">
        <f>IF($F$7="",0,MOD(360-MOD(-'Datos orden'!$F$7,720),720))</f>
        <v>0</v>
      </c>
      <c r="S27">
        <f>IF(5&gt;'Orden de encendido'!$B$5,-5,5)</f>
        <v>-5</v>
      </c>
      <c r="T27">
        <f>IF($F$7="",0,MOD(540-MOD(-'Datos orden'!$F$7,720),720))</f>
        <v>0</v>
      </c>
      <c r="U27">
        <f>IF(5&gt;'Orden de encendido'!$B$5,-5,5)</f>
        <v>-5</v>
      </c>
    </row>
    <row r="28" spans="14:21" x14ac:dyDescent="0.25">
      <c r="N28">
        <f>MIN(N27+180,720)</f>
        <v>180</v>
      </c>
      <c r="O28">
        <f>IF(5&gt;'Orden de encendido'!$B$5,-5,5)</f>
        <v>-5</v>
      </c>
      <c r="P28">
        <f>MIN(P27+180,720)</f>
        <v>180</v>
      </c>
      <c r="Q28">
        <f>IF(5&gt;'Orden de encendido'!$B$5,-5,5)</f>
        <v>-5</v>
      </c>
      <c r="R28">
        <f>MIN(R27+180,720)</f>
        <v>180</v>
      </c>
      <c r="S28">
        <f>IF(5&gt;'Orden de encendido'!$B$5,-5,5)</f>
        <v>-5</v>
      </c>
      <c r="T28">
        <f>MIN(T27+180,720)</f>
        <v>180</v>
      </c>
      <c r="U28">
        <f>IF(5&gt;'Orden de encendido'!$B$5,-5,5)</f>
        <v>-5</v>
      </c>
    </row>
    <row r="30" spans="14:21" x14ac:dyDescent="0.25">
      <c r="N30">
        <f>IF(N27+180&gt;720,0,N28)</f>
        <v>180</v>
      </c>
      <c r="O30">
        <f>IF(5&gt;'Orden de encendido'!$B$5,-5,5)</f>
        <v>-5</v>
      </c>
      <c r="P30">
        <f>IF(P27+180&gt;720,0,P28)</f>
        <v>180</v>
      </c>
      <c r="Q30">
        <f>IF(5&gt;'Orden de encendido'!$B$5,-5,5)</f>
        <v>-5</v>
      </c>
      <c r="R30">
        <f>IF(R27+180&gt;720,0,R28)</f>
        <v>180</v>
      </c>
      <c r="S30">
        <f>IF(5&gt;'Orden de encendido'!$B$5,-5,5)</f>
        <v>-5</v>
      </c>
      <c r="T30">
        <f>IF(T27+180&gt;720,0,T28)</f>
        <v>180</v>
      </c>
      <c r="U30">
        <f>IF(5&gt;'Orden de encendido'!$B$5,-5,5)</f>
        <v>-5</v>
      </c>
    </row>
    <row r="31" spans="14:21" x14ac:dyDescent="0.25">
      <c r="N31">
        <f>IF(N27+180&gt;720,N27+180-720,N28)</f>
        <v>180</v>
      </c>
      <c r="O31">
        <f>IF(5&gt;'Orden de encendido'!$B$5,-5,5)</f>
        <v>-5</v>
      </c>
      <c r="P31">
        <f>IF(P27+180&gt;720,P27+180-720,P28)</f>
        <v>180</v>
      </c>
      <c r="Q31">
        <f>IF(5&gt;'Orden de encendido'!$B$5,-5,5)</f>
        <v>-5</v>
      </c>
      <c r="R31">
        <f>IF(R27+180&gt;720,R27+180-720,R28)</f>
        <v>180</v>
      </c>
      <c r="S31">
        <f>IF(5&gt;'Orden de encendido'!$B$5,-5,5)</f>
        <v>-5</v>
      </c>
      <c r="T31">
        <f>IF(T27+180&gt;720,T27+180-720,T28)</f>
        <v>180</v>
      </c>
      <c r="U31">
        <f>IF(5&gt;'Orden de encendido'!$B$5,-5,5)</f>
        <v>-5</v>
      </c>
    </row>
    <row r="33" spans="14:21" x14ac:dyDescent="0.25">
      <c r="N33">
        <f>IF($F$8="",0,MOD(0-MOD(-'Datos orden'!$F$8,720),720))</f>
        <v>0</v>
      </c>
      <c r="O33">
        <f>IF(6&gt;'Orden de encendido'!$B$5,-5,6)</f>
        <v>-5</v>
      </c>
      <c r="P33">
        <f>IF($F$8="",0,MOD(180-MOD(-'Datos orden'!$F$8,720),720))</f>
        <v>0</v>
      </c>
      <c r="Q33">
        <f>IF(6&gt;'Orden de encendido'!$B$5,-5,6)</f>
        <v>-5</v>
      </c>
      <c r="R33">
        <f>IF($F$8="",0,MOD(360-MOD(-'Datos orden'!$F$8,720),720))</f>
        <v>0</v>
      </c>
      <c r="S33">
        <f>IF(6&gt;'Orden de encendido'!$B$5,-5,6)</f>
        <v>-5</v>
      </c>
      <c r="T33">
        <f>IF($F$8="",0,MOD(540-MOD(-'Datos orden'!$F$8,720),720))</f>
        <v>0</v>
      </c>
      <c r="U33">
        <f>IF(6&gt;'Orden de encendido'!$B$5,-5,6)</f>
        <v>-5</v>
      </c>
    </row>
    <row r="34" spans="14:21" x14ac:dyDescent="0.25">
      <c r="N34">
        <f>MIN(N33+180,720)</f>
        <v>180</v>
      </c>
      <c r="O34">
        <f>IF(6&gt;'Orden de encendido'!$B$5,-5,6)</f>
        <v>-5</v>
      </c>
      <c r="P34">
        <f>MIN(P33+180,720)</f>
        <v>180</v>
      </c>
      <c r="Q34">
        <f>IF(6&gt;'Orden de encendido'!$B$5,-5,6)</f>
        <v>-5</v>
      </c>
      <c r="R34">
        <f>MIN(R33+180,720)</f>
        <v>180</v>
      </c>
      <c r="S34">
        <f>IF(6&gt;'Orden de encendido'!$B$5,-5,6)</f>
        <v>-5</v>
      </c>
      <c r="T34">
        <f>MIN(T33+180,720)</f>
        <v>180</v>
      </c>
      <c r="U34">
        <f>IF(6&gt;'Orden de encendido'!$B$5,-5,6)</f>
        <v>-5</v>
      </c>
    </row>
    <row r="36" spans="14:21" x14ac:dyDescent="0.25">
      <c r="N36">
        <f>IF(N33+180&gt;720,0,N34)</f>
        <v>180</v>
      </c>
      <c r="O36">
        <f>IF(6&gt;'Orden de encendido'!$B$5,-5,6)</f>
        <v>-5</v>
      </c>
      <c r="P36">
        <f>IF(P33+180&gt;720,0,P34)</f>
        <v>180</v>
      </c>
      <c r="Q36">
        <f>IF(6&gt;'Orden de encendido'!$B$5,-5,6)</f>
        <v>-5</v>
      </c>
      <c r="R36">
        <f>IF(R33+180&gt;720,0,R34)</f>
        <v>180</v>
      </c>
      <c r="S36">
        <f>IF(6&gt;'Orden de encendido'!$B$5,-5,6)</f>
        <v>-5</v>
      </c>
      <c r="T36">
        <f>IF(T33+180&gt;720,0,T34)</f>
        <v>180</v>
      </c>
      <c r="U36">
        <f>IF(6&gt;'Orden de encendido'!$B$5,-5,6)</f>
        <v>-5</v>
      </c>
    </row>
    <row r="37" spans="14:21" x14ac:dyDescent="0.25">
      <c r="N37">
        <f>IF(N33+180&gt;720,N33+180-720,N34)</f>
        <v>180</v>
      </c>
      <c r="O37">
        <f>IF(6&gt;'Orden de encendido'!$B$5,-5,6)</f>
        <v>-5</v>
      </c>
      <c r="P37">
        <f>IF(P33+180&gt;720,P33+180-720,P34)</f>
        <v>180</v>
      </c>
      <c r="Q37">
        <f>IF(6&gt;'Orden de encendido'!$B$5,-5,6)</f>
        <v>-5</v>
      </c>
      <c r="R37">
        <f>IF(R33+180&gt;720,R33+180-720,R34)</f>
        <v>180</v>
      </c>
      <c r="S37">
        <f>IF(6&gt;'Orden de encendido'!$B$5,-5,6)</f>
        <v>-5</v>
      </c>
      <c r="T37">
        <f>IF(T33+180&gt;720,T33+180-720,T34)</f>
        <v>180</v>
      </c>
      <c r="U37">
        <f>IF(6&gt;'Orden de encendido'!$B$5,-5,6)</f>
        <v>-5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544"/>
  <sheetViews>
    <sheetView workbookViewId="0"/>
  </sheetViews>
  <sheetFormatPr baseColWidth="10" defaultColWidth="9.140625" defaultRowHeight="15" x14ac:dyDescent="0.25"/>
  <cols>
    <col min="1" max="1" width="34" customWidth="1"/>
    <col min="2" max="2" width="40" customWidth="1"/>
    <col min="3" max="3" width="9" customWidth="1"/>
    <col min="4" max="4" width="30" customWidth="1"/>
    <col min="5" max="5" width="12" customWidth="1"/>
    <col min="6" max="6" width="50" customWidth="1"/>
    <col min="7" max="7" width="12" customWidth="1"/>
    <col min="8" max="8" width="8" customWidth="1"/>
    <col min="11" max="11" width="44" customWidth="1"/>
    <col min="14" max="14" width="44" customWidth="1"/>
  </cols>
  <sheetData>
    <row r="1" spans="1:15" ht="15.75" x14ac:dyDescent="0.25">
      <c r="A1" s="50" t="s">
        <v>376</v>
      </c>
      <c r="F1" t="str">
        <f>IF(('Pie de rey'!$B$47*8+'Pie de rey'!$B$48)=0,"0",IF(INT(('Pie de rey'!$B$47*8+'Pie de rey'!$B$48)/128)&gt;0,INT(('Pie de rey'!$B$47*8+'Pie de rey'!$B$48)/128)&amp;" ","")&amp;IF(MOD(('Pie de rey'!$B$47*8+'Pie de rey'!$B$48),128)=0,"",MOD(('Pie de rey'!$B$47*8+'Pie de rey'!$B$48),128)/GCD(MOD(('Pie de rey'!$B$47*8+'Pie de rey'!$B$48),128),128)&amp;"/"&amp;128/GCD(MOD(('Pie de rey'!$B$47*8+'Pie de rey'!$B$48),128),128)))&amp;""""</f>
        <v>47/64"</v>
      </c>
    </row>
    <row r="2" spans="1:15" x14ac:dyDescent="0.25">
      <c r="A2" t="s">
        <v>377</v>
      </c>
    </row>
    <row r="4" spans="1:15" x14ac:dyDescent="0.25">
      <c r="A4" s="51" t="s">
        <v>378</v>
      </c>
      <c r="B4" s="51" t="s">
        <v>379</v>
      </c>
      <c r="C4" s="51" t="s">
        <v>380</v>
      </c>
      <c r="D4" s="51" t="s">
        <v>381</v>
      </c>
      <c r="E4" s="51" t="s">
        <v>382</v>
      </c>
      <c r="F4" s="51" t="s">
        <v>108</v>
      </c>
      <c r="G4" s="51" t="s">
        <v>383</v>
      </c>
      <c r="H4" s="51" t="s">
        <v>384</v>
      </c>
      <c r="K4" s="51" t="s">
        <v>385</v>
      </c>
      <c r="L4" s="51" t="s">
        <v>386</v>
      </c>
      <c r="N4" s="51" t="s">
        <v>387</v>
      </c>
      <c r="O4" s="51" t="s">
        <v>386</v>
      </c>
    </row>
    <row r="5" spans="1:15" x14ac:dyDescent="0.25">
      <c r="A5" t="s">
        <v>388</v>
      </c>
      <c r="B5" t="s">
        <v>389</v>
      </c>
      <c r="C5">
        <v>21</v>
      </c>
      <c r="D5" t="s">
        <v>89</v>
      </c>
      <c r="E5">
        <v>21.4</v>
      </c>
      <c r="F5" t="s">
        <v>390</v>
      </c>
      <c r="K5" t="s">
        <v>93</v>
      </c>
      <c r="L5">
        <v>1</v>
      </c>
      <c r="N5" t="s">
        <v>93</v>
      </c>
      <c r="O5">
        <v>1</v>
      </c>
    </row>
    <row r="6" spans="1:15" x14ac:dyDescent="0.25">
      <c r="A6" t="s">
        <v>391</v>
      </c>
      <c r="B6" t="s">
        <v>389</v>
      </c>
      <c r="C6">
        <v>22</v>
      </c>
      <c r="D6" t="s">
        <v>89</v>
      </c>
      <c r="E6">
        <v>102.2</v>
      </c>
      <c r="F6" t="s">
        <v>392</v>
      </c>
      <c r="K6" t="s">
        <v>389</v>
      </c>
      <c r="L6">
        <v>21</v>
      </c>
      <c r="N6" t="s">
        <v>393</v>
      </c>
      <c r="O6">
        <v>21</v>
      </c>
    </row>
    <row r="7" spans="1:15" x14ac:dyDescent="0.25">
      <c r="A7" t="s">
        <v>394</v>
      </c>
      <c r="B7" t="s">
        <v>389</v>
      </c>
      <c r="C7">
        <v>23</v>
      </c>
      <c r="D7" t="s">
        <v>89</v>
      </c>
      <c r="E7">
        <v>12.3</v>
      </c>
      <c r="F7" t="s">
        <v>395</v>
      </c>
      <c r="K7" t="s">
        <v>396</v>
      </c>
      <c r="L7">
        <v>21</v>
      </c>
      <c r="N7" t="s">
        <v>397</v>
      </c>
      <c r="O7">
        <v>1</v>
      </c>
    </row>
    <row r="8" spans="1:15" x14ac:dyDescent="0.25">
      <c r="A8" t="s">
        <v>398</v>
      </c>
      <c r="B8" t="s">
        <v>389</v>
      </c>
      <c r="C8">
        <v>24</v>
      </c>
      <c r="D8" t="s">
        <v>89</v>
      </c>
      <c r="E8">
        <v>11.8</v>
      </c>
      <c r="F8" t="s">
        <v>399</v>
      </c>
      <c r="K8" t="s">
        <v>400</v>
      </c>
      <c r="L8">
        <v>41</v>
      </c>
      <c r="N8" t="s">
        <v>401</v>
      </c>
      <c r="O8">
        <v>1</v>
      </c>
    </row>
    <row r="9" spans="1:15" x14ac:dyDescent="0.25">
      <c r="A9" t="s">
        <v>402</v>
      </c>
      <c r="B9" t="s">
        <v>389</v>
      </c>
      <c r="C9">
        <v>25</v>
      </c>
      <c r="D9" t="s">
        <v>89</v>
      </c>
      <c r="E9">
        <v>112</v>
      </c>
      <c r="F9" t="s">
        <v>403</v>
      </c>
      <c r="K9" t="s">
        <v>404</v>
      </c>
      <c r="L9">
        <v>21</v>
      </c>
      <c r="N9" t="s">
        <v>405</v>
      </c>
      <c r="O9">
        <v>1</v>
      </c>
    </row>
    <row r="10" spans="1:15" x14ac:dyDescent="0.25">
      <c r="A10" t="s">
        <v>406</v>
      </c>
      <c r="B10" t="s">
        <v>389</v>
      </c>
      <c r="C10">
        <v>26</v>
      </c>
      <c r="D10" t="s">
        <v>89</v>
      </c>
      <c r="E10">
        <v>122.2</v>
      </c>
      <c r="F10" t="s">
        <v>407</v>
      </c>
      <c r="K10" t="s">
        <v>408</v>
      </c>
      <c r="L10">
        <v>1</v>
      </c>
      <c r="N10" t="s">
        <v>409</v>
      </c>
      <c r="O10">
        <v>41</v>
      </c>
    </row>
    <row r="11" spans="1:15" x14ac:dyDescent="0.25">
      <c r="A11" t="s">
        <v>410</v>
      </c>
      <c r="B11" t="s">
        <v>389</v>
      </c>
      <c r="C11">
        <v>27</v>
      </c>
      <c r="D11" t="s">
        <v>89</v>
      </c>
      <c r="E11">
        <v>52.2</v>
      </c>
      <c r="F11" t="s">
        <v>411</v>
      </c>
      <c r="K11" t="s">
        <v>412</v>
      </c>
      <c r="L11">
        <v>1</v>
      </c>
      <c r="N11" t="s">
        <v>413</v>
      </c>
      <c r="O11">
        <v>21</v>
      </c>
    </row>
    <row r="12" spans="1:15" x14ac:dyDescent="0.25">
      <c r="A12" t="s">
        <v>414</v>
      </c>
      <c r="B12" t="s">
        <v>389</v>
      </c>
      <c r="C12">
        <v>28</v>
      </c>
      <c r="D12" t="s">
        <v>89</v>
      </c>
      <c r="E12">
        <v>81.099999999999994</v>
      </c>
      <c r="F12" t="s">
        <v>415</v>
      </c>
      <c r="K12" t="s">
        <v>416</v>
      </c>
      <c r="L12">
        <v>1</v>
      </c>
      <c r="N12" t="s">
        <v>417</v>
      </c>
      <c r="O12">
        <v>41</v>
      </c>
    </row>
    <row r="13" spans="1:15" x14ac:dyDescent="0.25">
      <c r="A13" t="s">
        <v>418</v>
      </c>
      <c r="B13" t="s">
        <v>389</v>
      </c>
      <c r="C13">
        <v>29</v>
      </c>
      <c r="D13" t="s">
        <v>89</v>
      </c>
      <c r="E13">
        <v>81.8</v>
      </c>
      <c r="F13" t="s">
        <v>419</v>
      </c>
      <c r="K13" t="s">
        <v>420</v>
      </c>
      <c r="L13">
        <v>41</v>
      </c>
      <c r="N13" t="s">
        <v>421</v>
      </c>
      <c r="O13">
        <v>21</v>
      </c>
    </row>
    <row r="14" spans="1:15" x14ac:dyDescent="0.25">
      <c r="A14" t="s">
        <v>422</v>
      </c>
      <c r="B14" t="s">
        <v>389</v>
      </c>
      <c r="C14">
        <v>30</v>
      </c>
      <c r="D14" t="s">
        <v>89</v>
      </c>
      <c r="E14">
        <v>41.8</v>
      </c>
      <c r="F14" t="s">
        <v>423</v>
      </c>
      <c r="K14" t="s">
        <v>424</v>
      </c>
      <c r="L14">
        <v>61</v>
      </c>
      <c r="N14" t="s">
        <v>425</v>
      </c>
      <c r="O14">
        <v>41</v>
      </c>
    </row>
    <row r="15" spans="1:15" x14ac:dyDescent="0.25">
      <c r="A15" t="s">
        <v>426</v>
      </c>
      <c r="B15" t="s">
        <v>389</v>
      </c>
      <c r="C15">
        <v>31</v>
      </c>
      <c r="D15" t="s">
        <v>89</v>
      </c>
      <c r="E15">
        <v>101.6</v>
      </c>
      <c r="F15" t="s">
        <v>427</v>
      </c>
      <c r="K15" t="s">
        <v>428</v>
      </c>
      <c r="L15">
        <v>61</v>
      </c>
      <c r="N15" t="s">
        <v>429</v>
      </c>
      <c r="O15">
        <v>21</v>
      </c>
    </row>
    <row r="16" spans="1:15" x14ac:dyDescent="0.25">
      <c r="A16" t="s">
        <v>430</v>
      </c>
      <c r="B16" t="s">
        <v>389</v>
      </c>
      <c r="C16">
        <v>32</v>
      </c>
      <c r="D16" t="s">
        <v>89</v>
      </c>
      <c r="E16">
        <v>111.4</v>
      </c>
      <c r="F16" t="s">
        <v>431</v>
      </c>
      <c r="K16" t="s">
        <v>432</v>
      </c>
      <c r="L16">
        <v>41</v>
      </c>
      <c r="N16" t="s">
        <v>433</v>
      </c>
      <c r="O16">
        <v>41</v>
      </c>
    </row>
    <row r="17" spans="1:12" x14ac:dyDescent="0.25">
      <c r="A17" t="s">
        <v>434</v>
      </c>
      <c r="B17" t="s">
        <v>389</v>
      </c>
      <c r="C17">
        <v>33</v>
      </c>
      <c r="D17" t="s">
        <v>89</v>
      </c>
      <c r="E17">
        <v>112.9</v>
      </c>
      <c r="F17" t="s">
        <v>435</v>
      </c>
      <c r="K17" t="s">
        <v>436</v>
      </c>
      <c r="L17">
        <v>61</v>
      </c>
    </row>
    <row r="18" spans="1:12" x14ac:dyDescent="0.25">
      <c r="A18" t="s">
        <v>437</v>
      </c>
      <c r="B18" t="s">
        <v>389</v>
      </c>
      <c r="C18">
        <v>34</v>
      </c>
      <c r="D18" t="s">
        <v>89</v>
      </c>
      <c r="E18">
        <v>72.8</v>
      </c>
      <c r="F18" t="s">
        <v>438</v>
      </c>
      <c r="K18" t="s">
        <v>439</v>
      </c>
      <c r="L18">
        <v>21</v>
      </c>
    </row>
    <row r="19" spans="1:12" x14ac:dyDescent="0.25">
      <c r="A19" t="s">
        <v>440</v>
      </c>
      <c r="B19" t="s">
        <v>389</v>
      </c>
      <c r="C19">
        <v>35</v>
      </c>
      <c r="D19" t="s">
        <v>89</v>
      </c>
      <c r="E19">
        <v>21.8</v>
      </c>
      <c r="F19" t="s">
        <v>441</v>
      </c>
      <c r="K19" t="s">
        <v>442</v>
      </c>
      <c r="L19">
        <v>41</v>
      </c>
    </row>
    <row r="20" spans="1:12" x14ac:dyDescent="0.25">
      <c r="A20" t="s">
        <v>443</v>
      </c>
      <c r="B20" t="s">
        <v>389</v>
      </c>
      <c r="C20">
        <v>36</v>
      </c>
      <c r="D20" t="s">
        <v>89</v>
      </c>
      <c r="E20">
        <v>101</v>
      </c>
      <c r="F20" t="s">
        <v>444</v>
      </c>
      <c r="K20" t="s">
        <v>445</v>
      </c>
      <c r="L20">
        <v>21</v>
      </c>
    </row>
    <row r="21" spans="1:12" x14ac:dyDescent="0.25">
      <c r="A21" t="s">
        <v>446</v>
      </c>
      <c r="B21" t="s">
        <v>389</v>
      </c>
      <c r="C21">
        <v>37</v>
      </c>
      <c r="D21" t="s">
        <v>89</v>
      </c>
      <c r="E21">
        <v>90.9</v>
      </c>
      <c r="F21" t="s">
        <v>447</v>
      </c>
      <c r="K21" t="s">
        <v>448</v>
      </c>
      <c r="L21">
        <v>41</v>
      </c>
    </row>
    <row r="22" spans="1:12" x14ac:dyDescent="0.25">
      <c r="A22" t="s">
        <v>449</v>
      </c>
      <c r="B22" t="s">
        <v>389</v>
      </c>
      <c r="C22">
        <v>38</v>
      </c>
      <c r="D22" t="s">
        <v>89</v>
      </c>
      <c r="E22">
        <v>10.8</v>
      </c>
      <c r="F22" t="s">
        <v>450</v>
      </c>
    </row>
    <row r="23" spans="1:12" x14ac:dyDescent="0.25">
      <c r="A23" t="s">
        <v>451</v>
      </c>
      <c r="B23" t="s">
        <v>389</v>
      </c>
      <c r="C23">
        <v>39</v>
      </c>
      <c r="D23" t="s">
        <v>89</v>
      </c>
      <c r="E23">
        <v>70.3</v>
      </c>
      <c r="F23" t="s">
        <v>452</v>
      </c>
    </row>
    <row r="24" spans="1:12" x14ac:dyDescent="0.25">
      <c r="A24" t="s">
        <v>453</v>
      </c>
      <c r="B24" t="s">
        <v>389</v>
      </c>
      <c r="C24">
        <v>40</v>
      </c>
      <c r="D24" t="s">
        <v>89</v>
      </c>
      <c r="E24">
        <v>81.7</v>
      </c>
      <c r="F24" t="s">
        <v>454</v>
      </c>
    </row>
    <row r="25" spans="1:12" x14ac:dyDescent="0.25">
      <c r="A25" t="s">
        <v>455</v>
      </c>
      <c r="B25" t="s">
        <v>396</v>
      </c>
      <c r="C25">
        <v>21</v>
      </c>
      <c r="D25" t="s">
        <v>91</v>
      </c>
      <c r="E25">
        <v>21.45</v>
      </c>
      <c r="F25" t="s">
        <v>456</v>
      </c>
    </row>
    <row r="26" spans="1:12" x14ac:dyDescent="0.25">
      <c r="A26" t="s">
        <v>457</v>
      </c>
      <c r="B26" t="s">
        <v>396</v>
      </c>
      <c r="C26">
        <v>22</v>
      </c>
      <c r="D26" t="s">
        <v>91</v>
      </c>
      <c r="E26">
        <v>102.2</v>
      </c>
      <c r="F26" t="s">
        <v>458</v>
      </c>
    </row>
    <row r="27" spans="1:12" x14ac:dyDescent="0.25">
      <c r="A27" t="s">
        <v>459</v>
      </c>
      <c r="B27" t="s">
        <v>396</v>
      </c>
      <c r="C27">
        <v>23</v>
      </c>
      <c r="D27" t="s">
        <v>91</v>
      </c>
      <c r="E27">
        <v>12.3</v>
      </c>
      <c r="F27" t="s">
        <v>460</v>
      </c>
    </row>
    <row r="28" spans="1:12" x14ac:dyDescent="0.25">
      <c r="A28" t="s">
        <v>461</v>
      </c>
      <c r="B28" t="s">
        <v>396</v>
      </c>
      <c r="C28">
        <v>24</v>
      </c>
      <c r="D28" t="s">
        <v>91</v>
      </c>
      <c r="E28">
        <v>11.8</v>
      </c>
      <c r="F28" t="s">
        <v>462</v>
      </c>
    </row>
    <row r="29" spans="1:12" x14ac:dyDescent="0.25">
      <c r="A29" t="s">
        <v>463</v>
      </c>
      <c r="B29" t="s">
        <v>396</v>
      </c>
      <c r="C29">
        <v>25</v>
      </c>
      <c r="D29" t="s">
        <v>91</v>
      </c>
      <c r="E29">
        <v>112.05</v>
      </c>
      <c r="F29" t="s">
        <v>464</v>
      </c>
    </row>
    <row r="30" spans="1:12" x14ac:dyDescent="0.25">
      <c r="A30" t="s">
        <v>465</v>
      </c>
      <c r="B30" t="s">
        <v>396</v>
      </c>
      <c r="C30">
        <v>26</v>
      </c>
      <c r="D30" t="s">
        <v>91</v>
      </c>
      <c r="E30">
        <v>122.25</v>
      </c>
      <c r="F30" t="s">
        <v>466</v>
      </c>
    </row>
    <row r="31" spans="1:12" x14ac:dyDescent="0.25">
      <c r="A31" t="s">
        <v>467</v>
      </c>
      <c r="B31" t="s">
        <v>396</v>
      </c>
      <c r="C31">
        <v>27</v>
      </c>
      <c r="D31" t="s">
        <v>91</v>
      </c>
      <c r="E31">
        <v>52.25</v>
      </c>
      <c r="F31" t="s">
        <v>468</v>
      </c>
    </row>
    <row r="32" spans="1:12" x14ac:dyDescent="0.25">
      <c r="A32" t="s">
        <v>469</v>
      </c>
      <c r="B32" t="s">
        <v>396</v>
      </c>
      <c r="C32">
        <v>28</v>
      </c>
      <c r="D32" t="s">
        <v>91</v>
      </c>
      <c r="E32">
        <v>81.150000000000006</v>
      </c>
      <c r="F32" t="s">
        <v>470</v>
      </c>
    </row>
    <row r="33" spans="1:6" x14ac:dyDescent="0.25">
      <c r="A33" t="s">
        <v>471</v>
      </c>
      <c r="B33" t="s">
        <v>396</v>
      </c>
      <c r="C33">
        <v>29</v>
      </c>
      <c r="D33" t="s">
        <v>91</v>
      </c>
      <c r="E33">
        <v>81.8</v>
      </c>
      <c r="F33" t="s">
        <v>472</v>
      </c>
    </row>
    <row r="34" spans="1:6" x14ac:dyDescent="0.25">
      <c r="A34" t="s">
        <v>473</v>
      </c>
      <c r="B34" t="s">
        <v>396</v>
      </c>
      <c r="C34">
        <v>30</v>
      </c>
      <c r="D34" t="s">
        <v>91</v>
      </c>
      <c r="E34">
        <v>41.8</v>
      </c>
      <c r="F34" t="s">
        <v>474</v>
      </c>
    </row>
    <row r="35" spans="1:6" x14ac:dyDescent="0.25">
      <c r="A35" t="s">
        <v>475</v>
      </c>
      <c r="B35" t="s">
        <v>396</v>
      </c>
      <c r="C35">
        <v>31</v>
      </c>
      <c r="D35" t="s">
        <v>91</v>
      </c>
      <c r="E35">
        <v>101.6</v>
      </c>
      <c r="F35" t="s">
        <v>476</v>
      </c>
    </row>
    <row r="36" spans="1:6" x14ac:dyDescent="0.25">
      <c r="A36" t="s">
        <v>477</v>
      </c>
      <c r="B36" t="s">
        <v>396</v>
      </c>
      <c r="C36">
        <v>32</v>
      </c>
      <c r="D36" t="s">
        <v>91</v>
      </c>
      <c r="E36">
        <v>111.4</v>
      </c>
      <c r="F36" t="s">
        <v>478</v>
      </c>
    </row>
    <row r="37" spans="1:6" x14ac:dyDescent="0.25">
      <c r="A37" t="s">
        <v>479</v>
      </c>
      <c r="B37" t="s">
        <v>396</v>
      </c>
      <c r="C37">
        <v>33</v>
      </c>
      <c r="D37" t="s">
        <v>91</v>
      </c>
      <c r="E37">
        <v>112.9</v>
      </c>
      <c r="F37" t="s">
        <v>480</v>
      </c>
    </row>
    <row r="38" spans="1:6" x14ac:dyDescent="0.25">
      <c r="A38" t="s">
        <v>481</v>
      </c>
      <c r="B38" t="s">
        <v>396</v>
      </c>
      <c r="C38">
        <v>34</v>
      </c>
      <c r="D38" t="s">
        <v>91</v>
      </c>
      <c r="E38">
        <v>72.849999999999994</v>
      </c>
      <c r="F38" t="s">
        <v>482</v>
      </c>
    </row>
    <row r="39" spans="1:6" x14ac:dyDescent="0.25">
      <c r="A39" t="s">
        <v>483</v>
      </c>
      <c r="B39" t="s">
        <v>396</v>
      </c>
      <c r="C39">
        <v>35</v>
      </c>
      <c r="D39" t="s">
        <v>91</v>
      </c>
      <c r="E39">
        <v>21.85</v>
      </c>
      <c r="F39" t="s">
        <v>484</v>
      </c>
    </row>
    <row r="40" spans="1:6" x14ac:dyDescent="0.25">
      <c r="A40" t="s">
        <v>485</v>
      </c>
      <c r="B40" t="s">
        <v>396</v>
      </c>
      <c r="C40">
        <v>36</v>
      </c>
      <c r="D40" t="s">
        <v>91</v>
      </c>
      <c r="E40">
        <v>101.05</v>
      </c>
      <c r="F40" t="s">
        <v>486</v>
      </c>
    </row>
    <row r="41" spans="1:6" x14ac:dyDescent="0.25">
      <c r="A41" t="s">
        <v>487</v>
      </c>
      <c r="B41" t="s">
        <v>396</v>
      </c>
      <c r="C41">
        <v>37</v>
      </c>
      <c r="D41" t="s">
        <v>91</v>
      </c>
      <c r="E41">
        <v>90.95</v>
      </c>
      <c r="F41" t="s">
        <v>488</v>
      </c>
    </row>
    <row r="42" spans="1:6" x14ac:dyDescent="0.25">
      <c r="A42" t="s">
        <v>489</v>
      </c>
      <c r="B42" t="s">
        <v>396</v>
      </c>
      <c r="C42">
        <v>38</v>
      </c>
      <c r="D42" t="s">
        <v>91</v>
      </c>
      <c r="E42">
        <v>10.8</v>
      </c>
      <c r="F42" t="s">
        <v>490</v>
      </c>
    </row>
    <row r="43" spans="1:6" x14ac:dyDescent="0.25">
      <c r="A43" t="s">
        <v>491</v>
      </c>
      <c r="B43" t="s">
        <v>396</v>
      </c>
      <c r="C43">
        <v>39</v>
      </c>
      <c r="D43" t="s">
        <v>91</v>
      </c>
      <c r="E43">
        <v>70.349999999999994</v>
      </c>
      <c r="F43" t="s">
        <v>492</v>
      </c>
    </row>
    <row r="44" spans="1:6" x14ac:dyDescent="0.25">
      <c r="A44" t="s">
        <v>493</v>
      </c>
      <c r="B44" t="s">
        <v>396</v>
      </c>
      <c r="C44">
        <v>40</v>
      </c>
      <c r="D44" t="s">
        <v>91</v>
      </c>
      <c r="E44">
        <v>81.7</v>
      </c>
      <c r="F44" t="s">
        <v>494</v>
      </c>
    </row>
    <row r="45" spans="1:6" x14ac:dyDescent="0.25">
      <c r="A45" t="s">
        <v>495</v>
      </c>
      <c r="B45" t="s">
        <v>400</v>
      </c>
      <c r="C45">
        <v>41</v>
      </c>
      <c r="D45" t="s">
        <v>91</v>
      </c>
      <c r="E45">
        <v>80</v>
      </c>
      <c r="F45" t="s">
        <v>496</v>
      </c>
    </row>
    <row r="46" spans="1:6" x14ac:dyDescent="0.25">
      <c r="A46" t="s">
        <v>497</v>
      </c>
      <c r="B46" t="s">
        <v>400</v>
      </c>
      <c r="C46">
        <v>42</v>
      </c>
      <c r="D46" t="s">
        <v>91</v>
      </c>
      <c r="E46">
        <v>20.5</v>
      </c>
      <c r="F46" t="s">
        <v>498</v>
      </c>
    </row>
    <row r="47" spans="1:6" x14ac:dyDescent="0.25">
      <c r="A47" t="s">
        <v>499</v>
      </c>
      <c r="B47" t="s">
        <v>400</v>
      </c>
      <c r="C47">
        <v>43</v>
      </c>
      <c r="D47" t="s">
        <v>91</v>
      </c>
      <c r="E47">
        <v>72.45</v>
      </c>
      <c r="F47" t="s">
        <v>500</v>
      </c>
    </row>
    <row r="48" spans="1:6" x14ac:dyDescent="0.25">
      <c r="A48" t="s">
        <v>501</v>
      </c>
      <c r="B48" t="s">
        <v>400</v>
      </c>
      <c r="C48">
        <v>44</v>
      </c>
      <c r="D48" t="s">
        <v>91</v>
      </c>
      <c r="E48">
        <v>92.65</v>
      </c>
      <c r="F48" t="s">
        <v>502</v>
      </c>
    </row>
    <row r="49" spans="1:6" x14ac:dyDescent="0.25">
      <c r="A49" t="s">
        <v>503</v>
      </c>
      <c r="B49" t="s">
        <v>400</v>
      </c>
      <c r="C49">
        <v>45</v>
      </c>
      <c r="D49" t="s">
        <v>91</v>
      </c>
      <c r="E49">
        <v>0</v>
      </c>
      <c r="F49" t="s">
        <v>504</v>
      </c>
    </row>
    <row r="50" spans="1:6" x14ac:dyDescent="0.25">
      <c r="A50" t="s">
        <v>505</v>
      </c>
      <c r="B50" t="s">
        <v>400</v>
      </c>
      <c r="C50">
        <v>46</v>
      </c>
      <c r="D50" t="s">
        <v>91</v>
      </c>
      <c r="E50">
        <v>102.1</v>
      </c>
      <c r="F50" t="s">
        <v>506</v>
      </c>
    </row>
    <row r="51" spans="1:6" x14ac:dyDescent="0.25">
      <c r="A51" t="s">
        <v>507</v>
      </c>
      <c r="B51" t="s">
        <v>400</v>
      </c>
      <c r="C51">
        <v>47</v>
      </c>
      <c r="D51" t="s">
        <v>91</v>
      </c>
      <c r="E51">
        <v>42.6</v>
      </c>
      <c r="F51" t="s">
        <v>508</v>
      </c>
    </row>
    <row r="52" spans="1:6" x14ac:dyDescent="0.25">
      <c r="A52" t="s">
        <v>509</v>
      </c>
      <c r="B52" t="s">
        <v>400</v>
      </c>
      <c r="C52">
        <v>48</v>
      </c>
      <c r="D52" t="s">
        <v>91</v>
      </c>
      <c r="E52">
        <v>41.55</v>
      </c>
      <c r="F52" t="s">
        <v>510</v>
      </c>
    </row>
    <row r="53" spans="1:6" x14ac:dyDescent="0.25">
      <c r="A53" t="s">
        <v>511</v>
      </c>
      <c r="B53" t="s">
        <v>400</v>
      </c>
      <c r="C53">
        <v>49</v>
      </c>
      <c r="D53" t="s">
        <v>91</v>
      </c>
      <c r="E53">
        <v>21.35</v>
      </c>
      <c r="F53" t="s">
        <v>512</v>
      </c>
    </row>
    <row r="54" spans="1:6" x14ac:dyDescent="0.25">
      <c r="A54" t="s">
        <v>513</v>
      </c>
      <c r="B54" t="s">
        <v>400</v>
      </c>
      <c r="C54">
        <v>50</v>
      </c>
      <c r="D54" t="s">
        <v>91</v>
      </c>
      <c r="E54">
        <v>120.35</v>
      </c>
      <c r="F54" t="s">
        <v>514</v>
      </c>
    </row>
    <row r="55" spans="1:6" x14ac:dyDescent="0.25">
      <c r="A55" t="s">
        <v>515</v>
      </c>
      <c r="B55" t="s">
        <v>400</v>
      </c>
      <c r="C55">
        <v>51</v>
      </c>
      <c r="D55" t="s">
        <v>91</v>
      </c>
      <c r="E55">
        <v>112.85</v>
      </c>
      <c r="F55" t="s">
        <v>516</v>
      </c>
    </row>
    <row r="56" spans="1:6" x14ac:dyDescent="0.25">
      <c r="A56" t="s">
        <v>517</v>
      </c>
      <c r="B56" t="s">
        <v>400</v>
      </c>
      <c r="C56">
        <v>52</v>
      </c>
      <c r="D56" t="s">
        <v>91</v>
      </c>
      <c r="E56">
        <v>92.95</v>
      </c>
      <c r="F56" t="s">
        <v>518</v>
      </c>
    </row>
    <row r="57" spans="1:6" x14ac:dyDescent="0.25">
      <c r="A57" t="s">
        <v>519</v>
      </c>
      <c r="B57" t="s">
        <v>400</v>
      </c>
      <c r="C57">
        <v>53</v>
      </c>
      <c r="D57" t="s">
        <v>91</v>
      </c>
      <c r="E57">
        <v>42.65</v>
      </c>
      <c r="F57" t="s">
        <v>520</v>
      </c>
    </row>
    <row r="58" spans="1:6" x14ac:dyDescent="0.25">
      <c r="A58" t="s">
        <v>521</v>
      </c>
      <c r="B58" t="s">
        <v>400</v>
      </c>
      <c r="C58">
        <v>54</v>
      </c>
      <c r="D58" t="s">
        <v>91</v>
      </c>
      <c r="E58">
        <v>62.75</v>
      </c>
      <c r="F58" t="s">
        <v>522</v>
      </c>
    </row>
    <row r="59" spans="1:6" x14ac:dyDescent="0.25">
      <c r="A59" t="s">
        <v>523</v>
      </c>
      <c r="B59" t="s">
        <v>400</v>
      </c>
      <c r="C59">
        <v>55</v>
      </c>
      <c r="D59" t="s">
        <v>91</v>
      </c>
      <c r="E59">
        <v>82.15</v>
      </c>
      <c r="F59" t="s">
        <v>524</v>
      </c>
    </row>
    <row r="60" spans="1:6" x14ac:dyDescent="0.25">
      <c r="A60" t="s">
        <v>525</v>
      </c>
      <c r="B60" t="s">
        <v>400</v>
      </c>
      <c r="C60">
        <v>56</v>
      </c>
      <c r="D60" t="s">
        <v>91</v>
      </c>
      <c r="E60">
        <v>120.1</v>
      </c>
      <c r="F60" t="s">
        <v>526</v>
      </c>
    </row>
    <row r="61" spans="1:6" x14ac:dyDescent="0.25">
      <c r="A61" t="s">
        <v>527</v>
      </c>
      <c r="B61" t="s">
        <v>400</v>
      </c>
      <c r="C61">
        <v>57</v>
      </c>
      <c r="D61" t="s">
        <v>91</v>
      </c>
      <c r="E61">
        <v>40.700000000000003</v>
      </c>
      <c r="F61" t="s">
        <v>528</v>
      </c>
    </row>
    <row r="62" spans="1:6" x14ac:dyDescent="0.25">
      <c r="A62" t="s">
        <v>529</v>
      </c>
      <c r="B62" t="s">
        <v>400</v>
      </c>
      <c r="C62">
        <v>58</v>
      </c>
      <c r="D62" t="s">
        <v>91</v>
      </c>
      <c r="E62">
        <v>50.55</v>
      </c>
      <c r="F62" t="s">
        <v>530</v>
      </c>
    </row>
    <row r="63" spans="1:6" x14ac:dyDescent="0.25">
      <c r="A63" t="s">
        <v>531</v>
      </c>
      <c r="B63" t="s">
        <v>400</v>
      </c>
      <c r="C63">
        <v>59</v>
      </c>
      <c r="D63" t="s">
        <v>91</v>
      </c>
      <c r="E63">
        <v>120.35</v>
      </c>
      <c r="F63" t="s">
        <v>514</v>
      </c>
    </row>
    <row r="64" spans="1:6" x14ac:dyDescent="0.25">
      <c r="A64" t="s">
        <v>532</v>
      </c>
      <c r="B64" t="s">
        <v>400</v>
      </c>
      <c r="C64">
        <v>60</v>
      </c>
      <c r="D64" t="s">
        <v>91</v>
      </c>
      <c r="E64">
        <v>32.15</v>
      </c>
      <c r="F64" t="s">
        <v>533</v>
      </c>
    </row>
    <row r="65" spans="1:6" x14ac:dyDescent="0.25">
      <c r="A65" t="s">
        <v>534</v>
      </c>
      <c r="B65" t="s">
        <v>404</v>
      </c>
      <c r="C65">
        <v>21</v>
      </c>
      <c r="D65" t="s">
        <v>94</v>
      </c>
      <c r="E65">
        <v>21.48</v>
      </c>
      <c r="F65" t="s">
        <v>535</v>
      </c>
    </row>
    <row r="66" spans="1:6" x14ac:dyDescent="0.25">
      <c r="A66" t="s">
        <v>536</v>
      </c>
      <c r="B66" t="s">
        <v>404</v>
      </c>
      <c r="C66">
        <v>22</v>
      </c>
      <c r="D66" t="s">
        <v>94</v>
      </c>
      <c r="E66">
        <v>102.2</v>
      </c>
      <c r="F66" t="s">
        <v>458</v>
      </c>
    </row>
    <row r="67" spans="1:6" x14ac:dyDescent="0.25">
      <c r="A67" t="s">
        <v>537</v>
      </c>
      <c r="B67" t="s">
        <v>404</v>
      </c>
      <c r="C67">
        <v>23</v>
      </c>
      <c r="D67" t="s">
        <v>94</v>
      </c>
      <c r="E67">
        <v>12.32</v>
      </c>
      <c r="F67" t="s">
        <v>538</v>
      </c>
    </row>
    <row r="68" spans="1:6" x14ac:dyDescent="0.25">
      <c r="A68" t="s">
        <v>539</v>
      </c>
      <c r="B68" t="s">
        <v>404</v>
      </c>
      <c r="C68">
        <v>24</v>
      </c>
      <c r="D68" t="s">
        <v>94</v>
      </c>
      <c r="E68">
        <v>11.8</v>
      </c>
      <c r="F68" t="s">
        <v>462</v>
      </c>
    </row>
    <row r="69" spans="1:6" x14ac:dyDescent="0.25">
      <c r="A69" t="s">
        <v>540</v>
      </c>
      <c r="B69" t="s">
        <v>404</v>
      </c>
      <c r="C69">
        <v>25</v>
      </c>
      <c r="D69" t="s">
        <v>94</v>
      </c>
      <c r="E69">
        <v>112.08</v>
      </c>
      <c r="F69" t="s">
        <v>541</v>
      </c>
    </row>
    <row r="70" spans="1:6" x14ac:dyDescent="0.25">
      <c r="A70" t="s">
        <v>542</v>
      </c>
      <c r="B70" t="s">
        <v>404</v>
      </c>
      <c r="C70">
        <v>26</v>
      </c>
      <c r="D70" t="s">
        <v>94</v>
      </c>
      <c r="E70">
        <v>122.26</v>
      </c>
      <c r="F70" t="s">
        <v>543</v>
      </c>
    </row>
    <row r="71" spans="1:6" x14ac:dyDescent="0.25">
      <c r="A71" t="s">
        <v>544</v>
      </c>
      <c r="B71" t="s">
        <v>404</v>
      </c>
      <c r="C71">
        <v>27</v>
      </c>
      <c r="D71" t="s">
        <v>94</v>
      </c>
      <c r="E71">
        <v>52.28</v>
      </c>
      <c r="F71" t="s">
        <v>545</v>
      </c>
    </row>
    <row r="72" spans="1:6" x14ac:dyDescent="0.25">
      <c r="A72" t="s">
        <v>546</v>
      </c>
      <c r="B72" t="s">
        <v>404</v>
      </c>
      <c r="C72">
        <v>28</v>
      </c>
      <c r="D72" t="s">
        <v>94</v>
      </c>
      <c r="E72">
        <v>81.180000000000007</v>
      </c>
      <c r="F72" t="s">
        <v>547</v>
      </c>
    </row>
    <row r="73" spans="1:6" x14ac:dyDescent="0.25">
      <c r="A73" t="s">
        <v>548</v>
      </c>
      <c r="B73" t="s">
        <v>404</v>
      </c>
      <c r="C73">
        <v>29</v>
      </c>
      <c r="D73" t="s">
        <v>94</v>
      </c>
      <c r="E73">
        <v>81.84</v>
      </c>
      <c r="F73" t="s">
        <v>549</v>
      </c>
    </row>
    <row r="74" spans="1:6" x14ac:dyDescent="0.25">
      <c r="A74" t="s">
        <v>550</v>
      </c>
      <c r="B74" t="s">
        <v>404</v>
      </c>
      <c r="C74">
        <v>30</v>
      </c>
      <c r="D74" t="s">
        <v>94</v>
      </c>
      <c r="E74">
        <v>41.82</v>
      </c>
      <c r="F74" t="s">
        <v>551</v>
      </c>
    </row>
    <row r="75" spans="1:6" x14ac:dyDescent="0.25">
      <c r="A75" t="s">
        <v>552</v>
      </c>
      <c r="B75" t="s">
        <v>404</v>
      </c>
      <c r="C75">
        <v>31</v>
      </c>
      <c r="D75" t="s">
        <v>94</v>
      </c>
      <c r="E75">
        <v>101.62</v>
      </c>
      <c r="F75" t="s">
        <v>553</v>
      </c>
    </row>
    <row r="76" spans="1:6" x14ac:dyDescent="0.25">
      <c r="A76" t="s">
        <v>554</v>
      </c>
      <c r="B76" t="s">
        <v>404</v>
      </c>
      <c r="C76">
        <v>32</v>
      </c>
      <c r="D76" t="s">
        <v>94</v>
      </c>
      <c r="E76">
        <v>111.4</v>
      </c>
      <c r="F76" t="s">
        <v>478</v>
      </c>
    </row>
    <row r="77" spans="1:6" x14ac:dyDescent="0.25">
      <c r="A77" t="s">
        <v>555</v>
      </c>
      <c r="B77" t="s">
        <v>404</v>
      </c>
      <c r="C77">
        <v>33</v>
      </c>
      <c r="D77" t="s">
        <v>94</v>
      </c>
      <c r="E77">
        <v>112.92</v>
      </c>
      <c r="F77" t="s">
        <v>556</v>
      </c>
    </row>
    <row r="78" spans="1:6" x14ac:dyDescent="0.25">
      <c r="A78" t="s">
        <v>557</v>
      </c>
      <c r="B78" t="s">
        <v>404</v>
      </c>
      <c r="C78">
        <v>34</v>
      </c>
      <c r="D78" t="s">
        <v>94</v>
      </c>
      <c r="E78">
        <v>72.86</v>
      </c>
      <c r="F78" t="s">
        <v>558</v>
      </c>
    </row>
    <row r="79" spans="1:6" x14ac:dyDescent="0.25">
      <c r="A79" t="s">
        <v>559</v>
      </c>
      <c r="B79" t="s">
        <v>404</v>
      </c>
      <c r="C79">
        <v>35</v>
      </c>
      <c r="D79" t="s">
        <v>94</v>
      </c>
      <c r="E79">
        <v>21.86</v>
      </c>
      <c r="F79" t="s">
        <v>560</v>
      </c>
    </row>
    <row r="80" spans="1:6" x14ac:dyDescent="0.25">
      <c r="A80" t="s">
        <v>561</v>
      </c>
      <c r="B80" t="s">
        <v>404</v>
      </c>
      <c r="C80">
        <v>36</v>
      </c>
      <c r="D80" t="s">
        <v>94</v>
      </c>
      <c r="E80">
        <v>101.04</v>
      </c>
      <c r="F80" t="s">
        <v>562</v>
      </c>
    </row>
    <row r="81" spans="1:6" x14ac:dyDescent="0.25">
      <c r="A81" t="s">
        <v>563</v>
      </c>
      <c r="B81" t="s">
        <v>404</v>
      </c>
      <c r="C81">
        <v>37</v>
      </c>
      <c r="D81" t="s">
        <v>94</v>
      </c>
      <c r="E81">
        <v>90.94</v>
      </c>
      <c r="F81" t="s">
        <v>564</v>
      </c>
    </row>
    <row r="82" spans="1:6" x14ac:dyDescent="0.25">
      <c r="A82" t="s">
        <v>565</v>
      </c>
      <c r="B82" t="s">
        <v>404</v>
      </c>
      <c r="C82">
        <v>38</v>
      </c>
      <c r="D82" t="s">
        <v>94</v>
      </c>
      <c r="E82">
        <v>10.8</v>
      </c>
      <c r="F82" t="s">
        <v>490</v>
      </c>
    </row>
    <row r="83" spans="1:6" x14ac:dyDescent="0.25">
      <c r="A83" t="s">
        <v>566</v>
      </c>
      <c r="B83" t="s">
        <v>404</v>
      </c>
      <c r="C83">
        <v>39</v>
      </c>
      <c r="D83" t="s">
        <v>94</v>
      </c>
      <c r="E83">
        <v>70.38</v>
      </c>
      <c r="F83" t="s">
        <v>567</v>
      </c>
    </row>
    <row r="84" spans="1:6" x14ac:dyDescent="0.25">
      <c r="A84" t="s">
        <v>568</v>
      </c>
      <c r="B84" t="s">
        <v>404</v>
      </c>
      <c r="C84">
        <v>40</v>
      </c>
      <c r="D84" t="s">
        <v>94</v>
      </c>
      <c r="E84">
        <v>81.7</v>
      </c>
      <c r="F84" t="s">
        <v>494</v>
      </c>
    </row>
    <row r="85" spans="1:6" x14ac:dyDescent="0.25">
      <c r="A85" t="s">
        <v>569</v>
      </c>
      <c r="B85" t="s">
        <v>408</v>
      </c>
      <c r="C85">
        <v>1</v>
      </c>
      <c r="D85" t="s">
        <v>101</v>
      </c>
      <c r="E85">
        <v>2.5546875</v>
      </c>
      <c r="F85" t="s">
        <v>570</v>
      </c>
    </row>
    <row r="86" spans="1:6" x14ac:dyDescent="0.25">
      <c r="A86" t="s">
        <v>571</v>
      </c>
      <c r="B86" t="s">
        <v>408</v>
      </c>
      <c r="C86">
        <v>2</v>
      </c>
      <c r="D86" t="s">
        <v>101</v>
      </c>
      <c r="E86">
        <v>0.515625</v>
      </c>
      <c r="F86" t="s">
        <v>572</v>
      </c>
    </row>
    <row r="87" spans="1:6" x14ac:dyDescent="0.25">
      <c r="A87" t="s">
        <v>573</v>
      </c>
      <c r="B87" t="s">
        <v>408</v>
      </c>
      <c r="C87">
        <v>3</v>
      </c>
      <c r="D87" t="s">
        <v>101</v>
      </c>
      <c r="E87">
        <v>5.9921875</v>
      </c>
      <c r="F87" t="s">
        <v>574</v>
      </c>
    </row>
    <row r="88" spans="1:6" x14ac:dyDescent="0.25">
      <c r="A88" t="s">
        <v>575</v>
      </c>
      <c r="B88" t="s">
        <v>408</v>
      </c>
      <c r="C88">
        <v>4</v>
      </c>
      <c r="D88" t="s">
        <v>101</v>
      </c>
      <c r="E88">
        <v>5.375</v>
      </c>
      <c r="F88" t="s">
        <v>576</v>
      </c>
    </row>
    <row r="89" spans="1:6" x14ac:dyDescent="0.25">
      <c r="A89" t="s">
        <v>577</v>
      </c>
      <c r="B89" t="s">
        <v>408</v>
      </c>
      <c r="C89">
        <v>5</v>
      </c>
      <c r="D89" t="s">
        <v>101</v>
      </c>
      <c r="E89">
        <v>4.828125</v>
      </c>
      <c r="F89" t="s">
        <v>578</v>
      </c>
    </row>
    <row r="90" spans="1:6" x14ac:dyDescent="0.25">
      <c r="A90" t="s">
        <v>579</v>
      </c>
      <c r="B90" t="s">
        <v>408</v>
      </c>
      <c r="C90">
        <v>6</v>
      </c>
      <c r="D90" t="s">
        <v>101</v>
      </c>
      <c r="E90">
        <v>4.4609375</v>
      </c>
      <c r="F90" t="s">
        <v>580</v>
      </c>
    </row>
    <row r="91" spans="1:6" x14ac:dyDescent="0.25">
      <c r="A91" t="s">
        <v>581</v>
      </c>
      <c r="B91" t="s">
        <v>408</v>
      </c>
      <c r="C91">
        <v>7</v>
      </c>
      <c r="D91" t="s">
        <v>101</v>
      </c>
      <c r="E91">
        <v>4.1015625</v>
      </c>
      <c r="F91" t="s">
        <v>582</v>
      </c>
    </row>
    <row r="92" spans="1:6" x14ac:dyDescent="0.25">
      <c r="A92" t="s">
        <v>583</v>
      </c>
      <c r="B92" t="s">
        <v>408</v>
      </c>
      <c r="C92">
        <v>8</v>
      </c>
      <c r="D92" t="s">
        <v>101</v>
      </c>
      <c r="E92">
        <v>5.953125</v>
      </c>
      <c r="F92" t="s">
        <v>584</v>
      </c>
    </row>
    <row r="93" spans="1:6" x14ac:dyDescent="0.25">
      <c r="A93" t="s">
        <v>585</v>
      </c>
      <c r="B93" t="s">
        <v>408</v>
      </c>
      <c r="C93">
        <v>9</v>
      </c>
      <c r="D93" t="s">
        <v>101</v>
      </c>
      <c r="E93">
        <v>4.859375</v>
      </c>
      <c r="F93" t="s">
        <v>586</v>
      </c>
    </row>
    <row r="94" spans="1:6" x14ac:dyDescent="0.25">
      <c r="A94" t="s">
        <v>587</v>
      </c>
      <c r="B94" t="s">
        <v>408</v>
      </c>
      <c r="C94">
        <v>10</v>
      </c>
      <c r="D94" t="s">
        <v>101</v>
      </c>
      <c r="E94">
        <v>3.15625</v>
      </c>
      <c r="F94" t="s">
        <v>588</v>
      </c>
    </row>
    <row r="95" spans="1:6" x14ac:dyDescent="0.25">
      <c r="A95" t="s">
        <v>589</v>
      </c>
      <c r="B95" t="s">
        <v>408</v>
      </c>
      <c r="C95">
        <v>11</v>
      </c>
      <c r="D95" t="s">
        <v>101</v>
      </c>
      <c r="E95">
        <v>4.921875</v>
      </c>
      <c r="F95" t="s">
        <v>590</v>
      </c>
    </row>
    <row r="96" spans="1:6" x14ac:dyDescent="0.25">
      <c r="A96" t="s">
        <v>591</v>
      </c>
      <c r="B96" t="s">
        <v>408</v>
      </c>
      <c r="C96">
        <v>12</v>
      </c>
      <c r="D96" t="s">
        <v>101</v>
      </c>
      <c r="E96">
        <v>5.296875</v>
      </c>
      <c r="F96" t="s">
        <v>592</v>
      </c>
    </row>
    <row r="97" spans="1:6" x14ac:dyDescent="0.25">
      <c r="A97" t="s">
        <v>593</v>
      </c>
      <c r="B97" t="s">
        <v>408</v>
      </c>
      <c r="C97">
        <v>13</v>
      </c>
      <c r="D97" t="s">
        <v>101</v>
      </c>
      <c r="E97">
        <v>0.421875</v>
      </c>
      <c r="F97" t="s">
        <v>594</v>
      </c>
    </row>
    <row r="98" spans="1:6" x14ac:dyDescent="0.25">
      <c r="A98" t="s">
        <v>595</v>
      </c>
      <c r="B98" t="s">
        <v>408</v>
      </c>
      <c r="C98">
        <v>14</v>
      </c>
      <c r="D98" t="s">
        <v>101</v>
      </c>
      <c r="E98">
        <v>4.7109375</v>
      </c>
      <c r="F98" t="s">
        <v>596</v>
      </c>
    </row>
    <row r="99" spans="1:6" x14ac:dyDescent="0.25">
      <c r="A99" t="s">
        <v>597</v>
      </c>
      <c r="B99" t="s">
        <v>408</v>
      </c>
      <c r="C99">
        <v>15</v>
      </c>
      <c r="D99" t="s">
        <v>101</v>
      </c>
      <c r="E99">
        <v>5.828125</v>
      </c>
      <c r="F99" t="s">
        <v>598</v>
      </c>
    </row>
    <row r="100" spans="1:6" x14ac:dyDescent="0.25">
      <c r="A100" t="s">
        <v>599</v>
      </c>
      <c r="B100" t="s">
        <v>408</v>
      </c>
      <c r="C100">
        <v>16</v>
      </c>
      <c r="D100" t="s">
        <v>101</v>
      </c>
      <c r="E100">
        <v>4.2265625</v>
      </c>
      <c r="F100" t="s">
        <v>600</v>
      </c>
    </row>
    <row r="101" spans="1:6" x14ac:dyDescent="0.25">
      <c r="A101" t="s">
        <v>601</v>
      </c>
      <c r="B101" t="s">
        <v>408</v>
      </c>
      <c r="C101">
        <v>17</v>
      </c>
      <c r="D101" t="s">
        <v>101</v>
      </c>
      <c r="E101">
        <v>5.6640625</v>
      </c>
      <c r="F101" t="s">
        <v>602</v>
      </c>
    </row>
    <row r="102" spans="1:6" x14ac:dyDescent="0.25">
      <c r="A102" t="s">
        <v>603</v>
      </c>
      <c r="B102" t="s">
        <v>408</v>
      </c>
      <c r="C102">
        <v>18</v>
      </c>
      <c r="D102" t="s">
        <v>101</v>
      </c>
      <c r="E102">
        <v>3.609375</v>
      </c>
      <c r="F102" t="s">
        <v>604</v>
      </c>
    </row>
    <row r="103" spans="1:6" x14ac:dyDescent="0.25">
      <c r="A103" t="s">
        <v>605</v>
      </c>
      <c r="B103" t="s">
        <v>408</v>
      </c>
      <c r="C103">
        <v>19</v>
      </c>
      <c r="D103" t="s">
        <v>101</v>
      </c>
      <c r="E103">
        <v>2.8046875</v>
      </c>
      <c r="F103" t="s">
        <v>606</v>
      </c>
    </row>
    <row r="104" spans="1:6" x14ac:dyDescent="0.25">
      <c r="A104" t="s">
        <v>607</v>
      </c>
      <c r="B104" t="s">
        <v>408</v>
      </c>
      <c r="C104">
        <v>20</v>
      </c>
      <c r="D104" t="s">
        <v>101</v>
      </c>
      <c r="E104">
        <v>4.6640625</v>
      </c>
      <c r="F104" t="s">
        <v>608</v>
      </c>
    </row>
    <row r="105" spans="1:6" x14ac:dyDescent="0.25">
      <c r="A105" t="s">
        <v>609</v>
      </c>
      <c r="B105" t="s">
        <v>412</v>
      </c>
      <c r="C105">
        <v>1</v>
      </c>
      <c r="D105" t="s">
        <v>96</v>
      </c>
      <c r="E105">
        <v>0.82499999999999996</v>
      </c>
      <c r="F105" t="s">
        <v>610</v>
      </c>
    </row>
    <row r="106" spans="1:6" x14ac:dyDescent="0.25">
      <c r="A106" t="s">
        <v>611</v>
      </c>
      <c r="B106" t="s">
        <v>412</v>
      </c>
      <c r="C106">
        <v>2</v>
      </c>
      <c r="D106" t="s">
        <v>96</v>
      </c>
      <c r="E106">
        <v>3.5840000000000001</v>
      </c>
      <c r="F106" t="s">
        <v>612</v>
      </c>
    </row>
    <row r="107" spans="1:6" x14ac:dyDescent="0.25">
      <c r="A107" t="s">
        <v>613</v>
      </c>
      <c r="B107" t="s">
        <v>412</v>
      </c>
      <c r="C107">
        <v>3</v>
      </c>
      <c r="D107" t="s">
        <v>96</v>
      </c>
      <c r="E107">
        <v>5.2530000000000001</v>
      </c>
      <c r="F107" t="s">
        <v>614</v>
      </c>
    </row>
    <row r="108" spans="1:6" x14ac:dyDescent="0.25">
      <c r="A108" t="s">
        <v>615</v>
      </c>
      <c r="B108" t="s">
        <v>412</v>
      </c>
      <c r="C108">
        <v>4</v>
      </c>
      <c r="D108" t="s">
        <v>96</v>
      </c>
      <c r="E108">
        <v>0.438</v>
      </c>
      <c r="F108" t="s">
        <v>616</v>
      </c>
    </row>
    <row r="109" spans="1:6" x14ac:dyDescent="0.25">
      <c r="A109" t="s">
        <v>617</v>
      </c>
      <c r="B109" t="s">
        <v>412</v>
      </c>
      <c r="C109">
        <v>5</v>
      </c>
      <c r="D109" t="s">
        <v>96</v>
      </c>
      <c r="E109">
        <v>4.8479999999999999</v>
      </c>
      <c r="F109" t="s">
        <v>618</v>
      </c>
    </row>
    <row r="110" spans="1:6" x14ac:dyDescent="0.25">
      <c r="A110" t="s">
        <v>619</v>
      </c>
      <c r="B110" t="s">
        <v>412</v>
      </c>
      <c r="C110">
        <v>6</v>
      </c>
      <c r="D110" t="s">
        <v>96</v>
      </c>
      <c r="E110">
        <v>0.61199999999999999</v>
      </c>
      <c r="F110" t="s">
        <v>620</v>
      </c>
    </row>
    <row r="111" spans="1:6" x14ac:dyDescent="0.25">
      <c r="A111" t="s">
        <v>621</v>
      </c>
      <c r="B111" t="s">
        <v>412</v>
      </c>
      <c r="C111">
        <v>7</v>
      </c>
      <c r="D111" t="s">
        <v>96</v>
      </c>
      <c r="E111">
        <v>1.2090000000000001</v>
      </c>
      <c r="F111" t="s">
        <v>622</v>
      </c>
    </row>
    <row r="112" spans="1:6" x14ac:dyDescent="0.25">
      <c r="A112" t="s">
        <v>623</v>
      </c>
      <c r="B112" t="s">
        <v>412</v>
      </c>
      <c r="C112">
        <v>8</v>
      </c>
      <c r="D112" t="s">
        <v>96</v>
      </c>
      <c r="E112">
        <v>4.1710000000000003</v>
      </c>
      <c r="F112" t="s">
        <v>624</v>
      </c>
    </row>
    <row r="113" spans="1:6" x14ac:dyDescent="0.25">
      <c r="A113" t="s">
        <v>625</v>
      </c>
      <c r="B113" t="s">
        <v>412</v>
      </c>
      <c r="C113">
        <v>9</v>
      </c>
      <c r="D113" t="s">
        <v>96</v>
      </c>
      <c r="E113">
        <v>1.7989999999999999</v>
      </c>
      <c r="F113" t="s">
        <v>626</v>
      </c>
    </row>
    <row r="114" spans="1:6" x14ac:dyDescent="0.25">
      <c r="A114" t="s">
        <v>627</v>
      </c>
      <c r="B114" t="s">
        <v>412</v>
      </c>
      <c r="C114">
        <v>10</v>
      </c>
      <c r="D114" t="s">
        <v>96</v>
      </c>
      <c r="E114">
        <v>3.976</v>
      </c>
      <c r="F114" t="s">
        <v>628</v>
      </c>
    </row>
    <row r="115" spans="1:6" x14ac:dyDescent="0.25">
      <c r="A115" t="s">
        <v>629</v>
      </c>
      <c r="B115" t="s">
        <v>412</v>
      </c>
      <c r="C115">
        <v>11</v>
      </c>
      <c r="D115" t="s">
        <v>96</v>
      </c>
      <c r="E115">
        <v>2.3450000000000002</v>
      </c>
      <c r="F115" t="s">
        <v>630</v>
      </c>
    </row>
    <row r="116" spans="1:6" x14ac:dyDescent="0.25">
      <c r="A116" t="s">
        <v>631</v>
      </c>
      <c r="B116" t="s">
        <v>412</v>
      </c>
      <c r="C116">
        <v>12</v>
      </c>
      <c r="D116" t="s">
        <v>96</v>
      </c>
      <c r="E116">
        <v>1.306</v>
      </c>
      <c r="F116" t="s">
        <v>632</v>
      </c>
    </row>
    <row r="117" spans="1:6" x14ac:dyDescent="0.25">
      <c r="A117" t="s">
        <v>633</v>
      </c>
      <c r="B117" t="s">
        <v>412</v>
      </c>
      <c r="C117">
        <v>13</v>
      </c>
      <c r="D117" t="s">
        <v>96</v>
      </c>
      <c r="E117">
        <v>3.2469999999999999</v>
      </c>
      <c r="F117" t="s">
        <v>634</v>
      </c>
    </row>
    <row r="118" spans="1:6" x14ac:dyDescent="0.25">
      <c r="A118" t="s">
        <v>635</v>
      </c>
      <c r="B118" t="s">
        <v>412</v>
      </c>
      <c r="C118">
        <v>14</v>
      </c>
      <c r="D118" t="s">
        <v>96</v>
      </c>
      <c r="E118">
        <v>5.1619999999999999</v>
      </c>
      <c r="F118" t="s">
        <v>636</v>
      </c>
    </row>
    <row r="119" spans="1:6" x14ac:dyDescent="0.25">
      <c r="A119" t="s">
        <v>637</v>
      </c>
      <c r="B119" t="s">
        <v>412</v>
      </c>
      <c r="C119">
        <v>15</v>
      </c>
      <c r="D119" t="s">
        <v>96</v>
      </c>
      <c r="E119">
        <v>1.9750000000000001</v>
      </c>
      <c r="F119" t="s">
        <v>638</v>
      </c>
    </row>
    <row r="120" spans="1:6" x14ac:dyDescent="0.25">
      <c r="A120" t="s">
        <v>639</v>
      </c>
      <c r="B120" t="s">
        <v>412</v>
      </c>
      <c r="C120">
        <v>16</v>
      </c>
      <c r="D120" t="s">
        <v>96</v>
      </c>
      <c r="E120">
        <v>3.694</v>
      </c>
      <c r="F120" t="s">
        <v>640</v>
      </c>
    </row>
    <row r="121" spans="1:6" x14ac:dyDescent="0.25">
      <c r="A121" t="s">
        <v>641</v>
      </c>
      <c r="B121" t="s">
        <v>412</v>
      </c>
      <c r="C121">
        <v>17</v>
      </c>
      <c r="D121" t="s">
        <v>96</v>
      </c>
      <c r="E121">
        <v>4.1130000000000004</v>
      </c>
      <c r="F121" t="s">
        <v>642</v>
      </c>
    </row>
    <row r="122" spans="1:6" x14ac:dyDescent="0.25">
      <c r="A122" t="s">
        <v>643</v>
      </c>
      <c r="B122" t="s">
        <v>412</v>
      </c>
      <c r="C122">
        <v>18</v>
      </c>
      <c r="D122" t="s">
        <v>96</v>
      </c>
      <c r="E122">
        <v>5.1879999999999997</v>
      </c>
      <c r="F122" t="s">
        <v>644</v>
      </c>
    </row>
    <row r="123" spans="1:6" x14ac:dyDescent="0.25">
      <c r="A123" t="s">
        <v>645</v>
      </c>
      <c r="B123" t="s">
        <v>412</v>
      </c>
      <c r="C123">
        <v>19</v>
      </c>
      <c r="D123" t="s">
        <v>96</v>
      </c>
      <c r="E123">
        <v>4.5229999999999997</v>
      </c>
      <c r="F123" t="s">
        <v>646</v>
      </c>
    </row>
    <row r="124" spans="1:6" x14ac:dyDescent="0.25">
      <c r="A124" t="s">
        <v>647</v>
      </c>
      <c r="B124" t="s">
        <v>412</v>
      </c>
      <c r="C124">
        <v>20</v>
      </c>
      <c r="D124" t="s">
        <v>96</v>
      </c>
      <c r="E124">
        <v>6.3E-2</v>
      </c>
      <c r="F124" t="s">
        <v>648</v>
      </c>
    </row>
    <row r="125" spans="1:6" x14ac:dyDescent="0.25">
      <c r="A125" t="s">
        <v>649</v>
      </c>
      <c r="B125" t="s">
        <v>416</v>
      </c>
      <c r="C125">
        <v>1</v>
      </c>
      <c r="D125" t="s">
        <v>89</v>
      </c>
      <c r="E125">
        <v>0.3</v>
      </c>
      <c r="F125" t="s">
        <v>650</v>
      </c>
    </row>
    <row r="126" spans="1:6" x14ac:dyDescent="0.25">
      <c r="A126" t="s">
        <v>651</v>
      </c>
      <c r="B126" t="s">
        <v>416</v>
      </c>
      <c r="C126">
        <v>2</v>
      </c>
      <c r="D126" t="s">
        <v>89</v>
      </c>
      <c r="E126">
        <v>2.5</v>
      </c>
      <c r="F126" t="s">
        <v>652</v>
      </c>
    </row>
    <row r="127" spans="1:6" x14ac:dyDescent="0.25">
      <c r="A127" t="s">
        <v>653</v>
      </c>
      <c r="B127" t="s">
        <v>416</v>
      </c>
      <c r="C127">
        <v>3</v>
      </c>
      <c r="D127" t="s">
        <v>89</v>
      </c>
      <c r="E127">
        <v>7</v>
      </c>
      <c r="F127" t="s">
        <v>654</v>
      </c>
    </row>
    <row r="128" spans="1:6" x14ac:dyDescent="0.25">
      <c r="A128" t="s">
        <v>655</v>
      </c>
      <c r="B128" t="s">
        <v>416</v>
      </c>
      <c r="C128">
        <v>4</v>
      </c>
      <c r="D128" t="s">
        <v>89</v>
      </c>
      <c r="E128">
        <v>14.8</v>
      </c>
      <c r="F128" t="s">
        <v>656</v>
      </c>
    </row>
    <row r="129" spans="1:6" x14ac:dyDescent="0.25">
      <c r="A129" t="s">
        <v>657</v>
      </c>
      <c r="B129" t="s">
        <v>416</v>
      </c>
      <c r="C129">
        <v>5</v>
      </c>
      <c r="D129" t="s">
        <v>89</v>
      </c>
      <c r="E129">
        <v>4.4000000000000004</v>
      </c>
      <c r="F129" t="s">
        <v>658</v>
      </c>
    </row>
    <row r="130" spans="1:6" x14ac:dyDescent="0.25">
      <c r="A130" t="s">
        <v>659</v>
      </c>
      <c r="B130" t="s">
        <v>416</v>
      </c>
      <c r="C130">
        <v>6</v>
      </c>
      <c r="D130" t="s">
        <v>89</v>
      </c>
      <c r="E130">
        <v>20.9</v>
      </c>
      <c r="F130" t="s">
        <v>660</v>
      </c>
    </row>
    <row r="131" spans="1:6" x14ac:dyDescent="0.25">
      <c r="A131" t="s">
        <v>661</v>
      </c>
      <c r="B131" t="s">
        <v>416</v>
      </c>
      <c r="C131">
        <v>7</v>
      </c>
      <c r="D131" t="s">
        <v>91</v>
      </c>
      <c r="E131">
        <v>71.400000000000006</v>
      </c>
      <c r="F131" t="s">
        <v>662</v>
      </c>
    </row>
    <row r="132" spans="1:6" x14ac:dyDescent="0.25">
      <c r="A132" t="s">
        <v>663</v>
      </c>
      <c r="B132" t="s">
        <v>416</v>
      </c>
      <c r="C132">
        <v>8</v>
      </c>
      <c r="D132" t="s">
        <v>91</v>
      </c>
      <c r="E132">
        <v>120.25</v>
      </c>
      <c r="F132" t="s">
        <v>664</v>
      </c>
    </row>
    <row r="133" spans="1:6" x14ac:dyDescent="0.25">
      <c r="A133" t="s">
        <v>665</v>
      </c>
      <c r="B133" t="s">
        <v>416</v>
      </c>
      <c r="C133">
        <v>9</v>
      </c>
      <c r="D133" t="s">
        <v>91</v>
      </c>
      <c r="E133">
        <v>12.1</v>
      </c>
      <c r="F133" t="s">
        <v>666</v>
      </c>
    </row>
    <row r="134" spans="1:6" x14ac:dyDescent="0.25">
      <c r="A134" t="s">
        <v>667</v>
      </c>
      <c r="B134" t="s">
        <v>416</v>
      </c>
      <c r="C134">
        <v>10</v>
      </c>
      <c r="D134" t="s">
        <v>91</v>
      </c>
      <c r="E134">
        <v>34.75</v>
      </c>
      <c r="F134" t="s">
        <v>668</v>
      </c>
    </row>
    <row r="135" spans="1:6" x14ac:dyDescent="0.25">
      <c r="A135" t="s">
        <v>669</v>
      </c>
      <c r="B135" t="s">
        <v>416</v>
      </c>
      <c r="C135">
        <v>11</v>
      </c>
      <c r="D135" t="s">
        <v>91</v>
      </c>
      <c r="E135">
        <v>110.3</v>
      </c>
      <c r="F135" t="s">
        <v>670</v>
      </c>
    </row>
    <row r="136" spans="1:6" x14ac:dyDescent="0.25">
      <c r="A136" t="s">
        <v>671</v>
      </c>
      <c r="B136" t="s">
        <v>416</v>
      </c>
      <c r="C136">
        <v>12</v>
      </c>
      <c r="D136" t="s">
        <v>91</v>
      </c>
      <c r="E136">
        <v>5.05</v>
      </c>
      <c r="F136" t="s">
        <v>672</v>
      </c>
    </row>
    <row r="137" spans="1:6" x14ac:dyDescent="0.25">
      <c r="A137" t="s">
        <v>673</v>
      </c>
      <c r="B137" t="s">
        <v>416</v>
      </c>
      <c r="C137">
        <v>13</v>
      </c>
      <c r="D137" t="s">
        <v>94</v>
      </c>
      <c r="E137">
        <v>1.02</v>
      </c>
      <c r="F137" t="s">
        <v>674</v>
      </c>
    </row>
    <row r="138" spans="1:6" x14ac:dyDescent="0.25">
      <c r="A138" t="s">
        <v>675</v>
      </c>
      <c r="B138" t="s">
        <v>416</v>
      </c>
      <c r="C138">
        <v>14</v>
      </c>
      <c r="D138" t="s">
        <v>94</v>
      </c>
      <c r="E138">
        <v>123.14</v>
      </c>
      <c r="F138" t="s">
        <v>676</v>
      </c>
    </row>
    <row r="139" spans="1:6" x14ac:dyDescent="0.25">
      <c r="A139" t="s">
        <v>677</v>
      </c>
      <c r="B139" t="s">
        <v>416</v>
      </c>
      <c r="C139">
        <v>15</v>
      </c>
      <c r="D139" t="s">
        <v>94</v>
      </c>
      <c r="E139">
        <v>110</v>
      </c>
      <c r="F139" t="s">
        <v>678</v>
      </c>
    </row>
    <row r="140" spans="1:6" x14ac:dyDescent="0.25">
      <c r="A140" t="s">
        <v>679</v>
      </c>
      <c r="B140" t="s">
        <v>416</v>
      </c>
      <c r="C140">
        <v>16</v>
      </c>
      <c r="D140" t="s">
        <v>94</v>
      </c>
      <c r="E140">
        <v>41.9</v>
      </c>
      <c r="F140" t="s">
        <v>680</v>
      </c>
    </row>
    <row r="141" spans="1:6" x14ac:dyDescent="0.25">
      <c r="A141" t="s">
        <v>681</v>
      </c>
      <c r="B141" t="s">
        <v>416</v>
      </c>
      <c r="C141">
        <v>17</v>
      </c>
      <c r="D141" t="s">
        <v>94</v>
      </c>
      <c r="E141">
        <v>52</v>
      </c>
      <c r="F141" t="s">
        <v>682</v>
      </c>
    </row>
    <row r="142" spans="1:6" x14ac:dyDescent="0.25">
      <c r="A142" t="s">
        <v>683</v>
      </c>
      <c r="B142" t="s">
        <v>416</v>
      </c>
      <c r="C142">
        <v>18</v>
      </c>
      <c r="D142" t="s">
        <v>94</v>
      </c>
      <c r="E142">
        <v>21.74</v>
      </c>
      <c r="F142" t="s">
        <v>684</v>
      </c>
    </row>
    <row r="143" spans="1:6" x14ac:dyDescent="0.25">
      <c r="A143" t="s">
        <v>685</v>
      </c>
      <c r="B143" t="s">
        <v>416</v>
      </c>
      <c r="C143">
        <v>19</v>
      </c>
      <c r="D143" t="s">
        <v>94</v>
      </c>
      <c r="E143">
        <v>20.92</v>
      </c>
      <c r="F143" t="s">
        <v>686</v>
      </c>
    </row>
    <row r="144" spans="1:6" x14ac:dyDescent="0.25">
      <c r="A144" t="s">
        <v>687</v>
      </c>
      <c r="B144" t="s">
        <v>416</v>
      </c>
      <c r="C144">
        <v>20</v>
      </c>
      <c r="D144" t="s">
        <v>94</v>
      </c>
      <c r="E144">
        <v>12.3</v>
      </c>
      <c r="F144" t="s">
        <v>460</v>
      </c>
    </row>
    <row r="145" spans="1:6" x14ac:dyDescent="0.25">
      <c r="A145" t="s">
        <v>688</v>
      </c>
      <c r="B145" t="s">
        <v>420</v>
      </c>
      <c r="C145">
        <v>41</v>
      </c>
      <c r="D145" t="s">
        <v>89</v>
      </c>
      <c r="E145">
        <v>80</v>
      </c>
      <c r="F145" t="s">
        <v>689</v>
      </c>
    </row>
    <row r="146" spans="1:6" x14ac:dyDescent="0.25">
      <c r="A146" t="s">
        <v>690</v>
      </c>
      <c r="B146" t="s">
        <v>420</v>
      </c>
      <c r="C146">
        <v>42</v>
      </c>
      <c r="D146" t="s">
        <v>89</v>
      </c>
      <c r="E146">
        <v>20.5</v>
      </c>
      <c r="F146" t="s">
        <v>691</v>
      </c>
    </row>
    <row r="147" spans="1:6" x14ac:dyDescent="0.25">
      <c r="A147" t="s">
        <v>692</v>
      </c>
      <c r="B147" t="s">
        <v>420</v>
      </c>
      <c r="C147">
        <v>43</v>
      </c>
      <c r="D147" t="s">
        <v>89</v>
      </c>
      <c r="E147">
        <v>72.400000000000006</v>
      </c>
      <c r="F147" t="s">
        <v>693</v>
      </c>
    </row>
    <row r="148" spans="1:6" x14ac:dyDescent="0.25">
      <c r="A148" t="s">
        <v>694</v>
      </c>
      <c r="B148" t="s">
        <v>420</v>
      </c>
      <c r="C148">
        <v>44</v>
      </c>
      <c r="D148" t="s">
        <v>89</v>
      </c>
      <c r="E148">
        <v>92.6</v>
      </c>
      <c r="F148" t="s">
        <v>695</v>
      </c>
    </row>
    <row r="149" spans="1:6" x14ac:dyDescent="0.25">
      <c r="A149" t="s">
        <v>696</v>
      </c>
      <c r="B149" t="s">
        <v>420</v>
      </c>
      <c r="C149">
        <v>45</v>
      </c>
      <c r="D149" t="s">
        <v>89</v>
      </c>
      <c r="E149">
        <v>0</v>
      </c>
      <c r="F149" t="s">
        <v>697</v>
      </c>
    </row>
    <row r="150" spans="1:6" x14ac:dyDescent="0.25">
      <c r="A150" t="s">
        <v>698</v>
      </c>
      <c r="B150" t="s">
        <v>420</v>
      </c>
      <c r="C150">
        <v>46</v>
      </c>
      <c r="D150" t="s">
        <v>89</v>
      </c>
      <c r="E150">
        <v>102.1</v>
      </c>
      <c r="F150" t="s">
        <v>699</v>
      </c>
    </row>
    <row r="151" spans="1:6" x14ac:dyDescent="0.25">
      <c r="A151" t="s">
        <v>700</v>
      </c>
      <c r="B151" t="s">
        <v>420</v>
      </c>
      <c r="C151">
        <v>47</v>
      </c>
      <c r="D151" t="s">
        <v>89</v>
      </c>
      <c r="E151">
        <v>42.6</v>
      </c>
      <c r="F151" t="s">
        <v>701</v>
      </c>
    </row>
    <row r="152" spans="1:6" x14ac:dyDescent="0.25">
      <c r="A152" t="s">
        <v>702</v>
      </c>
      <c r="B152" t="s">
        <v>420</v>
      </c>
      <c r="C152">
        <v>48</v>
      </c>
      <c r="D152" t="s">
        <v>89</v>
      </c>
      <c r="E152">
        <v>41.5</v>
      </c>
      <c r="F152" t="s">
        <v>703</v>
      </c>
    </row>
    <row r="153" spans="1:6" x14ac:dyDescent="0.25">
      <c r="A153" t="s">
        <v>704</v>
      </c>
      <c r="B153" t="s">
        <v>420</v>
      </c>
      <c r="C153">
        <v>49</v>
      </c>
      <c r="D153" t="s">
        <v>89</v>
      </c>
      <c r="E153">
        <v>21.3</v>
      </c>
      <c r="F153" t="s">
        <v>705</v>
      </c>
    </row>
    <row r="154" spans="1:6" x14ac:dyDescent="0.25">
      <c r="A154" t="s">
        <v>706</v>
      </c>
      <c r="B154" t="s">
        <v>420</v>
      </c>
      <c r="C154">
        <v>50</v>
      </c>
      <c r="D154" t="s">
        <v>89</v>
      </c>
      <c r="E154">
        <v>120.3</v>
      </c>
      <c r="F154" t="s">
        <v>707</v>
      </c>
    </row>
    <row r="155" spans="1:6" x14ac:dyDescent="0.25">
      <c r="A155" t="s">
        <v>708</v>
      </c>
      <c r="B155" t="s">
        <v>420</v>
      </c>
      <c r="C155">
        <v>51</v>
      </c>
      <c r="D155" t="s">
        <v>89</v>
      </c>
      <c r="E155">
        <v>112.8</v>
      </c>
      <c r="F155" t="s">
        <v>709</v>
      </c>
    </row>
    <row r="156" spans="1:6" x14ac:dyDescent="0.25">
      <c r="A156" t="s">
        <v>710</v>
      </c>
      <c r="B156" t="s">
        <v>420</v>
      </c>
      <c r="C156">
        <v>52</v>
      </c>
      <c r="D156" t="s">
        <v>89</v>
      </c>
      <c r="E156">
        <v>92.9</v>
      </c>
      <c r="F156" t="s">
        <v>711</v>
      </c>
    </row>
    <row r="157" spans="1:6" x14ac:dyDescent="0.25">
      <c r="A157" t="s">
        <v>712</v>
      </c>
      <c r="B157" t="s">
        <v>420</v>
      </c>
      <c r="C157">
        <v>53</v>
      </c>
      <c r="D157" t="s">
        <v>89</v>
      </c>
      <c r="E157">
        <v>42.6</v>
      </c>
      <c r="F157" t="s">
        <v>701</v>
      </c>
    </row>
    <row r="158" spans="1:6" x14ac:dyDescent="0.25">
      <c r="A158" t="s">
        <v>713</v>
      </c>
      <c r="B158" t="s">
        <v>420</v>
      </c>
      <c r="C158">
        <v>54</v>
      </c>
      <c r="D158" t="s">
        <v>89</v>
      </c>
      <c r="E158">
        <v>62.7</v>
      </c>
      <c r="F158" t="s">
        <v>714</v>
      </c>
    </row>
    <row r="159" spans="1:6" x14ac:dyDescent="0.25">
      <c r="A159" t="s">
        <v>715</v>
      </c>
      <c r="B159" t="s">
        <v>420</v>
      </c>
      <c r="C159">
        <v>55</v>
      </c>
      <c r="D159" t="s">
        <v>89</v>
      </c>
      <c r="E159">
        <v>82.1</v>
      </c>
      <c r="F159" t="s">
        <v>716</v>
      </c>
    </row>
    <row r="160" spans="1:6" x14ac:dyDescent="0.25">
      <c r="A160" t="s">
        <v>717</v>
      </c>
      <c r="B160" t="s">
        <v>420</v>
      </c>
      <c r="C160">
        <v>56</v>
      </c>
      <c r="D160" t="s">
        <v>89</v>
      </c>
      <c r="E160">
        <v>120.1</v>
      </c>
      <c r="F160" t="s">
        <v>718</v>
      </c>
    </row>
    <row r="161" spans="1:6" x14ac:dyDescent="0.25">
      <c r="A161" t="s">
        <v>719</v>
      </c>
      <c r="B161" t="s">
        <v>420</v>
      </c>
      <c r="C161">
        <v>57</v>
      </c>
      <c r="D161" t="s">
        <v>89</v>
      </c>
      <c r="E161">
        <v>40.700000000000003</v>
      </c>
      <c r="F161" t="s">
        <v>720</v>
      </c>
    </row>
    <row r="162" spans="1:6" x14ac:dyDescent="0.25">
      <c r="A162" t="s">
        <v>721</v>
      </c>
      <c r="B162" t="s">
        <v>420</v>
      </c>
      <c r="C162">
        <v>58</v>
      </c>
      <c r="D162" t="s">
        <v>89</v>
      </c>
      <c r="E162">
        <v>50.5</v>
      </c>
      <c r="F162" t="s">
        <v>722</v>
      </c>
    </row>
    <row r="163" spans="1:6" x14ac:dyDescent="0.25">
      <c r="A163" t="s">
        <v>723</v>
      </c>
      <c r="B163" t="s">
        <v>420</v>
      </c>
      <c r="C163">
        <v>59</v>
      </c>
      <c r="D163" t="s">
        <v>89</v>
      </c>
      <c r="E163">
        <v>120.3</v>
      </c>
      <c r="F163" t="s">
        <v>707</v>
      </c>
    </row>
    <row r="164" spans="1:6" x14ac:dyDescent="0.25">
      <c r="A164" t="s">
        <v>724</v>
      </c>
      <c r="B164" t="s">
        <v>420</v>
      </c>
      <c r="C164">
        <v>60</v>
      </c>
      <c r="D164" t="s">
        <v>89</v>
      </c>
      <c r="E164">
        <v>32.1</v>
      </c>
      <c r="F164" t="s">
        <v>725</v>
      </c>
    </row>
    <row r="165" spans="1:6" x14ac:dyDescent="0.25">
      <c r="A165" t="s">
        <v>726</v>
      </c>
      <c r="B165" t="s">
        <v>424</v>
      </c>
      <c r="C165">
        <v>61</v>
      </c>
      <c r="D165" t="s">
        <v>89</v>
      </c>
      <c r="E165">
        <v>51.4</v>
      </c>
      <c r="F165" t="s">
        <v>727</v>
      </c>
    </row>
    <row r="166" spans="1:6" x14ac:dyDescent="0.25">
      <c r="A166" t="s">
        <v>728</v>
      </c>
      <c r="B166" t="s">
        <v>424</v>
      </c>
      <c r="C166">
        <v>62</v>
      </c>
      <c r="D166" t="s">
        <v>89</v>
      </c>
      <c r="E166">
        <v>2.1</v>
      </c>
      <c r="F166" t="s">
        <v>729</v>
      </c>
    </row>
    <row r="167" spans="1:6" x14ac:dyDescent="0.25">
      <c r="A167" t="s">
        <v>730</v>
      </c>
      <c r="B167" t="s">
        <v>424</v>
      </c>
      <c r="C167">
        <v>63</v>
      </c>
      <c r="D167" t="s">
        <v>89</v>
      </c>
      <c r="E167">
        <v>42.1</v>
      </c>
      <c r="F167" t="s">
        <v>731</v>
      </c>
    </row>
    <row r="168" spans="1:6" x14ac:dyDescent="0.25">
      <c r="A168" t="s">
        <v>732</v>
      </c>
      <c r="B168" t="s">
        <v>424</v>
      </c>
      <c r="C168">
        <v>64</v>
      </c>
      <c r="D168" t="s">
        <v>89</v>
      </c>
      <c r="E168">
        <v>21.8</v>
      </c>
      <c r="F168" t="s">
        <v>441</v>
      </c>
    </row>
    <row r="169" spans="1:6" x14ac:dyDescent="0.25">
      <c r="A169" t="s">
        <v>733</v>
      </c>
      <c r="B169" t="s">
        <v>424</v>
      </c>
      <c r="C169">
        <v>65</v>
      </c>
      <c r="D169" t="s">
        <v>89</v>
      </c>
      <c r="E169">
        <v>70.7</v>
      </c>
      <c r="F169" t="s">
        <v>734</v>
      </c>
    </row>
    <row r="170" spans="1:6" x14ac:dyDescent="0.25">
      <c r="A170" t="s">
        <v>735</v>
      </c>
      <c r="B170" t="s">
        <v>424</v>
      </c>
      <c r="C170">
        <v>66</v>
      </c>
      <c r="D170" t="s">
        <v>89</v>
      </c>
      <c r="E170">
        <v>41.8</v>
      </c>
      <c r="F170" t="s">
        <v>423</v>
      </c>
    </row>
    <row r="171" spans="1:6" x14ac:dyDescent="0.25">
      <c r="A171" t="s">
        <v>736</v>
      </c>
      <c r="B171" t="s">
        <v>424</v>
      </c>
      <c r="C171">
        <v>67</v>
      </c>
      <c r="D171" t="s">
        <v>89</v>
      </c>
      <c r="E171">
        <v>61.1</v>
      </c>
      <c r="F171" t="s">
        <v>737</v>
      </c>
    </row>
    <row r="172" spans="1:6" x14ac:dyDescent="0.25">
      <c r="A172" t="s">
        <v>738</v>
      </c>
      <c r="B172" t="s">
        <v>424</v>
      </c>
      <c r="C172">
        <v>68</v>
      </c>
      <c r="D172" t="s">
        <v>89</v>
      </c>
      <c r="E172">
        <v>72.3</v>
      </c>
      <c r="F172" t="s">
        <v>739</v>
      </c>
    </row>
    <row r="173" spans="1:6" x14ac:dyDescent="0.25">
      <c r="A173" t="s">
        <v>740</v>
      </c>
      <c r="B173" t="s">
        <v>424</v>
      </c>
      <c r="C173">
        <v>69</v>
      </c>
      <c r="D173" t="s">
        <v>89</v>
      </c>
      <c r="E173">
        <v>100</v>
      </c>
      <c r="F173" t="s">
        <v>741</v>
      </c>
    </row>
    <row r="174" spans="1:6" x14ac:dyDescent="0.25">
      <c r="A174" t="s">
        <v>742</v>
      </c>
      <c r="B174" t="s">
        <v>424</v>
      </c>
      <c r="C174">
        <v>70</v>
      </c>
      <c r="D174" t="s">
        <v>89</v>
      </c>
      <c r="E174">
        <v>50.6</v>
      </c>
      <c r="F174" t="s">
        <v>743</v>
      </c>
    </row>
    <row r="175" spans="1:6" x14ac:dyDescent="0.25">
      <c r="A175" t="s">
        <v>744</v>
      </c>
      <c r="B175" t="s">
        <v>424</v>
      </c>
      <c r="C175">
        <v>71</v>
      </c>
      <c r="D175" t="s">
        <v>89</v>
      </c>
      <c r="E175">
        <v>50.4</v>
      </c>
      <c r="F175" t="s">
        <v>745</v>
      </c>
    </row>
    <row r="176" spans="1:6" x14ac:dyDescent="0.25">
      <c r="A176" t="s">
        <v>746</v>
      </c>
      <c r="B176" t="s">
        <v>424</v>
      </c>
      <c r="C176">
        <v>72</v>
      </c>
      <c r="D176" t="s">
        <v>89</v>
      </c>
      <c r="E176">
        <v>51.4</v>
      </c>
      <c r="F176" t="s">
        <v>727</v>
      </c>
    </row>
    <row r="177" spans="1:6" x14ac:dyDescent="0.25">
      <c r="A177" t="s">
        <v>747</v>
      </c>
      <c r="B177" t="s">
        <v>424</v>
      </c>
      <c r="C177">
        <v>73</v>
      </c>
      <c r="D177" t="s">
        <v>89</v>
      </c>
      <c r="E177">
        <v>12</v>
      </c>
      <c r="F177" t="s">
        <v>748</v>
      </c>
    </row>
    <row r="178" spans="1:6" x14ac:dyDescent="0.25">
      <c r="A178" t="s">
        <v>749</v>
      </c>
      <c r="B178" t="s">
        <v>424</v>
      </c>
      <c r="C178">
        <v>74</v>
      </c>
      <c r="D178" t="s">
        <v>89</v>
      </c>
      <c r="E178">
        <v>61.3</v>
      </c>
      <c r="F178" t="s">
        <v>750</v>
      </c>
    </row>
    <row r="179" spans="1:6" x14ac:dyDescent="0.25">
      <c r="A179" t="s">
        <v>751</v>
      </c>
      <c r="B179" t="s">
        <v>424</v>
      </c>
      <c r="C179">
        <v>75</v>
      </c>
      <c r="D179" t="s">
        <v>89</v>
      </c>
      <c r="E179">
        <v>112.7</v>
      </c>
      <c r="F179" t="s">
        <v>752</v>
      </c>
    </row>
    <row r="180" spans="1:6" x14ac:dyDescent="0.25">
      <c r="A180" t="s">
        <v>753</v>
      </c>
      <c r="B180" t="s">
        <v>424</v>
      </c>
      <c r="C180">
        <v>76</v>
      </c>
      <c r="D180" t="s">
        <v>89</v>
      </c>
      <c r="E180">
        <v>60.7</v>
      </c>
      <c r="F180" t="s">
        <v>754</v>
      </c>
    </row>
    <row r="181" spans="1:6" x14ac:dyDescent="0.25">
      <c r="A181" t="s">
        <v>755</v>
      </c>
      <c r="B181" t="s">
        <v>424</v>
      </c>
      <c r="C181">
        <v>77</v>
      </c>
      <c r="D181" t="s">
        <v>89</v>
      </c>
      <c r="E181">
        <v>92.9</v>
      </c>
      <c r="F181" t="s">
        <v>711</v>
      </c>
    </row>
    <row r="182" spans="1:6" x14ac:dyDescent="0.25">
      <c r="A182" t="s">
        <v>756</v>
      </c>
      <c r="B182" t="s">
        <v>424</v>
      </c>
      <c r="C182">
        <v>78</v>
      </c>
      <c r="D182" t="s">
        <v>89</v>
      </c>
      <c r="E182">
        <v>12.6</v>
      </c>
      <c r="F182" t="s">
        <v>757</v>
      </c>
    </row>
    <row r="183" spans="1:6" x14ac:dyDescent="0.25">
      <c r="A183" t="s">
        <v>758</v>
      </c>
      <c r="B183" t="s">
        <v>424</v>
      </c>
      <c r="C183">
        <v>79</v>
      </c>
      <c r="D183" t="s">
        <v>89</v>
      </c>
      <c r="E183">
        <v>91.3</v>
      </c>
      <c r="F183" t="s">
        <v>759</v>
      </c>
    </row>
    <row r="184" spans="1:6" x14ac:dyDescent="0.25">
      <c r="A184" t="s">
        <v>760</v>
      </c>
      <c r="B184" t="s">
        <v>424</v>
      </c>
      <c r="C184">
        <v>80</v>
      </c>
      <c r="D184" t="s">
        <v>89</v>
      </c>
      <c r="E184">
        <v>22.8</v>
      </c>
      <c r="F184" t="s">
        <v>761</v>
      </c>
    </row>
    <row r="185" spans="1:6" x14ac:dyDescent="0.25">
      <c r="A185" t="s">
        <v>762</v>
      </c>
      <c r="B185" t="s">
        <v>428</v>
      </c>
      <c r="C185">
        <v>61</v>
      </c>
      <c r="D185" t="s">
        <v>91</v>
      </c>
      <c r="E185">
        <v>51.4</v>
      </c>
      <c r="F185" t="s">
        <v>763</v>
      </c>
    </row>
    <row r="186" spans="1:6" x14ac:dyDescent="0.25">
      <c r="A186" t="s">
        <v>764</v>
      </c>
      <c r="B186" t="s">
        <v>428</v>
      </c>
      <c r="C186">
        <v>62</v>
      </c>
      <c r="D186" t="s">
        <v>91</v>
      </c>
      <c r="E186">
        <v>2.15</v>
      </c>
      <c r="F186" t="s">
        <v>765</v>
      </c>
    </row>
    <row r="187" spans="1:6" x14ac:dyDescent="0.25">
      <c r="A187" t="s">
        <v>766</v>
      </c>
      <c r="B187" t="s">
        <v>428</v>
      </c>
      <c r="C187">
        <v>63</v>
      </c>
      <c r="D187" t="s">
        <v>91</v>
      </c>
      <c r="E187">
        <v>42.1</v>
      </c>
      <c r="F187" t="s">
        <v>767</v>
      </c>
    </row>
    <row r="188" spans="1:6" x14ac:dyDescent="0.25">
      <c r="A188" t="s">
        <v>768</v>
      </c>
      <c r="B188" t="s">
        <v>428</v>
      </c>
      <c r="C188">
        <v>64</v>
      </c>
      <c r="D188" t="s">
        <v>91</v>
      </c>
      <c r="E188">
        <v>21.85</v>
      </c>
      <c r="F188" t="s">
        <v>484</v>
      </c>
    </row>
    <row r="189" spans="1:6" x14ac:dyDescent="0.25">
      <c r="A189" t="s">
        <v>769</v>
      </c>
      <c r="B189" t="s">
        <v>428</v>
      </c>
      <c r="C189">
        <v>65</v>
      </c>
      <c r="D189" t="s">
        <v>91</v>
      </c>
      <c r="E189">
        <v>70.7</v>
      </c>
      <c r="F189" t="s">
        <v>770</v>
      </c>
    </row>
    <row r="190" spans="1:6" x14ac:dyDescent="0.25">
      <c r="A190" t="s">
        <v>771</v>
      </c>
      <c r="B190" t="s">
        <v>428</v>
      </c>
      <c r="C190">
        <v>66</v>
      </c>
      <c r="D190" t="s">
        <v>91</v>
      </c>
      <c r="E190">
        <v>41.85</v>
      </c>
      <c r="F190" t="s">
        <v>772</v>
      </c>
    </row>
    <row r="191" spans="1:6" x14ac:dyDescent="0.25">
      <c r="A191" t="s">
        <v>773</v>
      </c>
      <c r="B191" t="s">
        <v>428</v>
      </c>
      <c r="C191">
        <v>67</v>
      </c>
      <c r="D191" t="s">
        <v>91</v>
      </c>
      <c r="E191">
        <v>61.15</v>
      </c>
      <c r="F191" t="s">
        <v>774</v>
      </c>
    </row>
    <row r="192" spans="1:6" x14ac:dyDescent="0.25">
      <c r="A192" t="s">
        <v>775</v>
      </c>
      <c r="B192" t="s">
        <v>428</v>
      </c>
      <c r="C192">
        <v>68</v>
      </c>
      <c r="D192" t="s">
        <v>91</v>
      </c>
      <c r="E192">
        <v>72.349999999999994</v>
      </c>
      <c r="F192" t="s">
        <v>776</v>
      </c>
    </row>
    <row r="193" spans="1:6" x14ac:dyDescent="0.25">
      <c r="A193" t="s">
        <v>777</v>
      </c>
      <c r="B193" t="s">
        <v>428</v>
      </c>
      <c r="C193">
        <v>69</v>
      </c>
      <c r="D193" t="s">
        <v>91</v>
      </c>
      <c r="E193">
        <v>100</v>
      </c>
      <c r="F193" t="s">
        <v>778</v>
      </c>
    </row>
    <row r="194" spans="1:6" x14ac:dyDescent="0.25">
      <c r="A194" t="s">
        <v>779</v>
      </c>
      <c r="B194" t="s">
        <v>428</v>
      </c>
      <c r="C194">
        <v>70</v>
      </c>
      <c r="D194" t="s">
        <v>91</v>
      </c>
      <c r="E194">
        <v>50.65</v>
      </c>
      <c r="F194" t="s">
        <v>780</v>
      </c>
    </row>
    <row r="195" spans="1:6" x14ac:dyDescent="0.25">
      <c r="A195" t="s">
        <v>781</v>
      </c>
      <c r="B195" t="s">
        <v>428</v>
      </c>
      <c r="C195">
        <v>71</v>
      </c>
      <c r="D195" t="s">
        <v>91</v>
      </c>
      <c r="E195">
        <v>50.45</v>
      </c>
      <c r="F195" t="s">
        <v>782</v>
      </c>
    </row>
    <row r="196" spans="1:6" x14ac:dyDescent="0.25">
      <c r="A196" t="s">
        <v>783</v>
      </c>
      <c r="B196" t="s">
        <v>428</v>
      </c>
      <c r="C196">
        <v>72</v>
      </c>
      <c r="D196" t="s">
        <v>91</v>
      </c>
      <c r="E196">
        <v>51.4</v>
      </c>
      <c r="F196" t="s">
        <v>763</v>
      </c>
    </row>
    <row r="197" spans="1:6" x14ac:dyDescent="0.25">
      <c r="A197" t="s">
        <v>784</v>
      </c>
      <c r="B197" t="s">
        <v>428</v>
      </c>
      <c r="C197">
        <v>73</v>
      </c>
      <c r="D197" t="s">
        <v>91</v>
      </c>
      <c r="E197">
        <v>12.05</v>
      </c>
      <c r="F197" t="s">
        <v>785</v>
      </c>
    </row>
    <row r="198" spans="1:6" x14ac:dyDescent="0.25">
      <c r="A198" t="s">
        <v>786</v>
      </c>
      <c r="B198" t="s">
        <v>428</v>
      </c>
      <c r="C198">
        <v>74</v>
      </c>
      <c r="D198" t="s">
        <v>91</v>
      </c>
      <c r="E198">
        <v>61.3</v>
      </c>
      <c r="F198" t="s">
        <v>787</v>
      </c>
    </row>
    <row r="199" spans="1:6" x14ac:dyDescent="0.25">
      <c r="A199" t="s">
        <v>788</v>
      </c>
      <c r="B199" t="s">
        <v>428</v>
      </c>
      <c r="C199">
        <v>75</v>
      </c>
      <c r="D199" t="s">
        <v>91</v>
      </c>
      <c r="E199">
        <v>112.75</v>
      </c>
      <c r="F199" t="s">
        <v>789</v>
      </c>
    </row>
    <row r="200" spans="1:6" x14ac:dyDescent="0.25">
      <c r="A200" t="s">
        <v>790</v>
      </c>
      <c r="B200" t="s">
        <v>428</v>
      </c>
      <c r="C200">
        <v>76</v>
      </c>
      <c r="D200" t="s">
        <v>91</v>
      </c>
      <c r="E200">
        <v>60.75</v>
      </c>
      <c r="F200" t="s">
        <v>791</v>
      </c>
    </row>
    <row r="201" spans="1:6" x14ac:dyDescent="0.25">
      <c r="A201" t="s">
        <v>792</v>
      </c>
      <c r="B201" t="s">
        <v>428</v>
      </c>
      <c r="C201">
        <v>77</v>
      </c>
      <c r="D201" t="s">
        <v>91</v>
      </c>
      <c r="E201">
        <v>92.9</v>
      </c>
      <c r="F201" t="s">
        <v>793</v>
      </c>
    </row>
    <row r="202" spans="1:6" x14ac:dyDescent="0.25">
      <c r="A202" t="s">
        <v>794</v>
      </c>
      <c r="B202" t="s">
        <v>428</v>
      </c>
      <c r="C202">
        <v>78</v>
      </c>
      <c r="D202" t="s">
        <v>91</v>
      </c>
      <c r="E202">
        <v>12.65</v>
      </c>
      <c r="F202" t="s">
        <v>795</v>
      </c>
    </row>
    <row r="203" spans="1:6" x14ac:dyDescent="0.25">
      <c r="A203" t="s">
        <v>796</v>
      </c>
      <c r="B203" t="s">
        <v>428</v>
      </c>
      <c r="C203">
        <v>79</v>
      </c>
      <c r="D203" t="s">
        <v>91</v>
      </c>
      <c r="E203">
        <v>91.3</v>
      </c>
      <c r="F203" t="s">
        <v>797</v>
      </c>
    </row>
    <row r="204" spans="1:6" x14ac:dyDescent="0.25">
      <c r="A204" t="s">
        <v>798</v>
      </c>
      <c r="B204" t="s">
        <v>428</v>
      </c>
      <c r="C204">
        <v>80</v>
      </c>
      <c r="D204" t="s">
        <v>91</v>
      </c>
      <c r="E204">
        <v>22.8</v>
      </c>
      <c r="F204" t="s">
        <v>799</v>
      </c>
    </row>
    <row r="205" spans="1:6" x14ac:dyDescent="0.25">
      <c r="A205" t="s">
        <v>800</v>
      </c>
      <c r="B205" t="s">
        <v>432</v>
      </c>
      <c r="C205">
        <v>41</v>
      </c>
      <c r="D205" t="s">
        <v>94</v>
      </c>
      <c r="E205">
        <v>80</v>
      </c>
      <c r="F205" t="s">
        <v>496</v>
      </c>
    </row>
    <row r="206" spans="1:6" x14ac:dyDescent="0.25">
      <c r="A206" t="s">
        <v>801</v>
      </c>
      <c r="B206" t="s">
        <v>432</v>
      </c>
      <c r="C206">
        <v>42</v>
      </c>
      <c r="D206" t="s">
        <v>94</v>
      </c>
      <c r="E206">
        <v>20.5</v>
      </c>
      <c r="F206" t="s">
        <v>498</v>
      </c>
    </row>
    <row r="207" spans="1:6" x14ac:dyDescent="0.25">
      <c r="A207" t="s">
        <v>802</v>
      </c>
      <c r="B207" t="s">
        <v>432</v>
      </c>
      <c r="C207">
        <v>43</v>
      </c>
      <c r="D207" t="s">
        <v>94</v>
      </c>
      <c r="E207">
        <v>72.48</v>
      </c>
      <c r="F207" t="s">
        <v>803</v>
      </c>
    </row>
    <row r="208" spans="1:6" x14ac:dyDescent="0.25">
      <c r="A208" t="s">
        <v>804</v>
      </c>
      <c r="B208" t="s">
        <v>432</v>
      </c>
      <c r="C208">
        <v>44</v>
      </c>
      <c r="D208" t="s">
        <v>94</v>
      </c>
      <c r="E208">
        <v>92.64</v>
      </c>
      <c r="F208" t="s">
        <v>805</v>
      </c>
    </row>
    <row r="209" spans="1:6" x14ac:dyDescent="0.25">
      <c r="A209" t="s">
        <v>806</v>
      </c>
      <c r="B209" t="s">
        <v>432</v>
      </c>
      <c r="C209">
        <v>45</v>
      </c>
      <c r="D209" t="s">
        <v>94</v>
      </c>
      <c r="E209">
        <v>0.04</v>
      </c>
      <c r="F209" t="s">
        <v>807</v>
      </c>
    </row>
    <row r="210" spans="1:6" x14ac:dyDescent="0.25">
      <c r="A210" t="s">
        <v>808</v>
      </c>
      <c r="B210" t="s">
        <v>432</v>
      </c>
      <c r="C210">
        <v>46</v>
      </c>
      <c r="D210" t="s">
        <v>94</v>
      </c>
      <c r="E210">
        <v>102.12</v>
      </c>
      <c r="F210" t="s">
        <v>809</v>
      </c>
    </row>
    <row r="211" spans="1:6" x14ac:dyDescent="0.25">
      <c r="A211" t="s">
        <v>810</v>
      </c>
      <c r="B211" t="s">
        <v>432</v>
      </c>
      <c r="C211">
        <v>47</v>
      </c>
      <c r="D211" t="s">
        <v>94</v>
      </c>
      <c r="E211">
        <v>42.62</v>
      </c>
      <c r="F211" t="s">
        <v>811</v>
      </c>
    </row>
    <row r="212" spans="1:6" x14ac:dyDescent="0.25">
      <c r="A212" t="s">
        <v>812</v>
      </c>
      <c r="B212" t="s">
        <v>432</v>
      </c>
      <c r="C212">
        <v>48</v>
      </c>
      <c r="D212" t="s">
        <v>94</v>
      </c>
      <c r="E212">
        <v>41.58</v>
      </c>
      <c r="F212" t="s">
        <v>813</v>
      </c>
    </row>
    <row r="213" spans="1:6" x14ac:dyDescent="0.25">
      <c r="A213" t="s">
        <v>814</v>
      </c>
      <c r="B213" t="s">
        <v>432</v>
      </c>
      <c r="C213">
        <v>49</v>
      </c>
      <c r="D213" t="s">
        <v>94</v>
      </c>
      <c r="E213">
        <v>21.38</v>
      </c>
      <c r="F213" t="s">
        <v>815</v>
      </c>
    </row>
    <row r="214" spans="1:6" x14ac:dyDescent="0.25">
      <c r="A214" t="s">
        <v>816</v>
      </c>
      <c r="B214" t="s">
        <v>432</v>
      </c>
      <c r="C214">
        <v>50</v>
      </c>
      <c r="D214" t="s">
        <v>94</v>
      </c>
      <c r="E214">
        <v>120.38</v>
      </c>
      <c r="F214" t="s">
        <v>817</v>
      </c>
    </row>
    <row r="215" spans="1:6" x14ac:dyDescent="0.25">
      <c r="A215" t="s">
        <v>818</v>
      </c>
      <c r="B215" t="s">
        <v>432</v>
      </c>
      <c r="C215">
        <v>51</v>
      </c>
      <c r="D215" t="s">
        <v>94</v>
      </c>
      <c r="E215">
        <v>112.86</v>
      </c>
      <c r="F215" t="s">
        <v>819</v>
      </c>
    </row>
    <row r="216" spans="1:6" x14ac:dyDescent="0.25">
      <c r="A216" t="s">
        <v>820</v>
      </c>
      <c r="B216" t="s">
        <v>432</v>
      </c>
      <c r="C216">
        <v>52</v>
      </c>
      <c r="D216" t="s">
        <v>94</v>
      </c>
      <c r="E216">
        <v>92.96</v>
      </c>
      <c r="F216" t="s">
        <v>821</v>
      </c>
    </row>
    <row r="217" spans="1:6" x14ac:dyDescent="0.25">
      <c r="A217" t="s">
        <v>822</v>
      </c>
      <c r="B217" t="s">
        <v>432</v>
      </c>
      <c r="C217">
        <v>53</v>
      </c>
      <c r="D217" t="s">
        <v>94</v>
      </c>
      <c r="E217">
        <v>42.64</v>
      </c>
      <c r="F217" t="s">
        <v>823</v>
      </c>
    </row>
    <row r="218" spans="1:6" x14ac:dyDescent="0.25">
      <c r="A218" t="s">
        <v>824</v>
      </c>
      <c r="B218" t="s">
        <v>432</v>
      </c>
      <c r="C218">
        <v>54</v>
      </c>
      <c r="D218" t="s">
        <v>94</v>
      </c>
      <c r="E218">
        <v>62.74</v>
      </c>
      <c r="F218" t="s">
        <v>825</v>
      </c>
    </row>
    <row r="219" spans="1:6" x14ac:dyDescent="0.25">
      <c r="A219" t="s">
        <v>826</v>
      </c>
      <c r="B219" t="s">
        <v>432</v>
      </c>
      <c r="C219">
        <v>55</v>
      </c>
      <c r="D219" t="s">
        <v>94</v>
      </c>
      <c r="E219">
        <v>82.16</v>
      </c>
      <c r="F219" t="s">
        <v>827</v>
      </c>
    </row>
    <row r="220" spans="1:6" x14ac:dyDescent="0.25">
      <c r="A220" t="s">
        <v>828</v>
      </c>
      <c r="B220" t="s">
        <v>432</v>
      </c>
      <c r="C220">
        <v>56</v>
      </c>
      <c r="D220" t="s">
        <v>94</v>
      </c>
      <c r="E220">
        <v>120.12</v>
      </c>
      <c r="F220" t="s">
        <v>829</v>
      </c>
    </row>
    <row r="221" spans="1:6" x14ac:dyDescent="0.25">
      <c r="A221" t="s">
        <v>830</v>
      </c>
      <c r="B221" t="s">
        <v>432</v>
      </c>
      <c r="C221">
        <v>57</v>
      </c>
      <c r="D221" t="s">
        <v>94</v>
      </c>
      <c r="E221">
        <v>40.74</v>
      </c>
      <c r="F221" t="s">
        <v>831</v>
      </c>
    </row>
    <row r="222" spans="1:6" x14ac:dyDescent="0.25">
      <c r="A222" t="s">
        <v>832</v>
      </c>
      <c r="B222" t="s">
        <v>432</v>
      </c>
      <c r="C222">
        <v>58</v>
      </c>
      <c r="D222" t="s">
        <v>94</v>
      </c>
      <c r="E222">
        <v>50.58</v>
      </c>
      <c r="F222" t="s">
        <v>833</v>
      </c>
    </row>
    <row r="223" spans="1:6" x14ac:dyDescent="0.25">
      <c r="A223" t="s">
        <v>834</v>
      </c>
      <c r="B223" t="s">
        <v>432</v>
      </c>
      <c r="C223">
        <v>59</v>
      </c>
      <c r="D223" t="s">
        <v>94</v>
      </c>
      <c r="E223">
        <v>120.36</v>
      </c>
      <c r="F223" t="s">
        <v>835</v>
      </c>
    </row>
    <row r="224" spans="1:6" x14ac:dyDescent="0.25">
      <c r="A224" t="s">
        <v>836</v>
      </c>
      <c r="B224" t="s">
        <v>432</v>
      </c>
      <c r="C224">
        <v>60</v>
      </c>
      <c r="D224" t="s">
        <v>94</v>
      </c>
      <c r="E224">
        <v>32.159999999999997</v>
      </c>
      <c r="F224" t="s">
        <v>837</v>
      </c>
    </row>
    <row r="225" spans="1:6" x14ac:dyDescent="0.25">
      <c r="A225" t="s">
        <v>838</v>
      </c>
      <c r="B225" t="s">
        <v>436</v>
      </c>
      <c r="C225">
        <v>61</v>
      </c>
      <c r="D225" t="s">
        <v>94</v>
      </c>
      <c r="E225">
        <v>51.44</v>
      </c>
      <c r="F225" t="s">
        <v>839</v>
      </c>
    </row>
    <row r="226" spans="1:6" x14ac:dyDescent="0.25">
      <c r="A226" t="s">
        <v>840</v>
      </c>
      <c r="B226" t="s">
        <v>436</v>
      </c>
      <c r="C226">
        <v>62</v>
      </c>
      <c r="D226" t="s">
        <v>94</v>
      </c>
      <c r="E226">
        <v>2.16</v>
      </c>
      <c r="F226" t="s">
        <v>841</v>
      </c>
    </row>
    <row r="227" spans="1:6" x14ac:dyDescent="0.25">
      <c r="A227" t="s">
        <v>842</v>
      </c>
      <c r="B227" t="s">
        <v>436</v>
      </c>
      <c r="C227">
        <v>63</v>
      </c>
      <c r="D227" t="s">
        <v>94</v>
      </c>
      <c r="E227">
        <v>42.12</v>
      </c>
      <c r="F227" t="s">
        <v>843</v>
      </c>
    </row>
    <row r="228" spans="1:6" x14ac:dyDescent="0.25">
      <c r="A228" t="s">
        <v>844</v>
      </c>
      <c r="B228" t="s">
        <v>436</v>
      </c>
      <c r="C228">
        <v>64</v>
      </c>
      <c r="D228" t="s">
        <v>94</v>
      </c>
      <c r="E228">
        <v>21.86</v>
      </c>
      <c r="F228" t="s">
        <v>560</v>
      </c>
    </row>
    <row r="229" spans="1:6" x14ac:dyDescent="0.25">
      <c r="A229" t="s">
        <v>845</v>
      </c>
      <c r="B229" t="s">
        <v>436</v>
      </c>
      <c r="C229">
        <v>65</v>
      </c>
      <c r="D229" t="s">
        <v>94</v>
      </c>
      <c r="E229">
        <v>70.72</v>
      </c>
      <c r="F229" t="s">
        <v>846</v>
      </c>
    </row>
    <row r="230" spans="1:6" x14ac:dyDescent="0.25">
      <c r="A230" t="s">
        <v>847</v>
      </c>
      <c r="B230" t="s">
        <v>436</v>
      </c>
      <c r="C230">
        <v>66</v>
      </c>
      <c r="D230" t="s">
        <v>94</v>
      </c>
      <c r="E230">
        <v>41.86</v>
      </c>
      <c r="F230" t="s">
        <v>848</v>
      </c>
    </row>
    <row r="231" spans="1:6" x14ac:dyDescent="0.25">
      <c r="A231" t="s">
        <v>849</v>
      </c>
      <c r="B231" t="s">
        <v>436</v>
      </c>
      <c r="C231">
        <v>67</v>
      </c>
      <c r="D231" t="s">
        <v>94</v>
      </c>
      <c r="E231">
        <v>61.14</v>
      </c>
      <c r="F231" t="s">
        <v>850</v>
      </c>
    </row>
    <row r="232" spans="1:6" x14ac:dyDescent="0.25">
      <c r="A232" t="s">
        <v>851</v>
      </c>
      <c r="B232" t="s">
        <v>436</v>
      </c>
      <c r="C232">
        <v>68</v>
      </c>
      <c r="D232" t="s">
        <v>94</v>
      </c>
      <c r="E232">
        <v>72.38</v>
      </c>
      <c r="F232" t="s">
        <v>852</v>
      </c>
    </row>
    <row r="233" spans="1:6" x14ac:dyDescent="0.25">
      <c r="A233" t="s">
        <v>853</v>
      </c>
      <c r="B233" t="s">
        <v>436</v>
      </c>
      <c r="C233">
        <v>69</v>
      </c>
      <c r="D233" t="s">
        <v>94</v>
      </c>
      <c r="E233">
        <v>100</v>
      </c>
      <c r="F233" t="s">
        <v>778</v>
      </c>
    </row>
    <row r="234" spans="1:6" x14ac:dyDescent="0.25">
      <c r="A234" t="s">
        <v>854</v>
      </c>
      <c r="B234" t="s">
        <v>436</v>
      </c>
      <c r="C234">
        <v>70</v>
      </c>
      <c r="D234" t="s">
        <v>94</v>
      </c>
      <c r="E234">
        <v>50.66</v>
      </c>
      <c r="F234" t="s">
        <v>855</v>
      </c>
    </row>
    <row r="235" spans="1:6" x14ac:dyDescent="0.25">
      <c r="A235" t="s">
        <v>856</v>
      </c>
      <c r="B235" t="s">
        <v>436</v>
      </c>
      <c r="C235">
        <v>71</v>
      </c>
      <c r="D235" t="s">
        <v>94</v>
      </c>
      <c r="E235">
        <v>50.48</v>
      </c>
      <c r="F235" t="s">
        <v>857</v>
      </c>
    </row>
    <row r="236" spans="1:6" x14ac:dyDescent="0.25">
      <c r="A236" t="s">
        <v>858</v>
      </c>
      <c r="B236" t="s">
        <v>436</v>
      </c>
      <c r="C236">
        <v>72</v>
      </c>
      <c r="D236" t="s">
        <v>94</v>
      </c>
      <c r="E236">
        <v>51.4</v>
      </c>
      <c r="F236" t="s">
        <v>763</v>
      </c>
    </row>
    <row r="237" spans="1:6" x14ac:dyDescent="0.25">
      <c r="A237" t="s">
        <v>859</v>
      </c>
      <c r="B237" t="s">
        <v>436</v>
      </c>
      <c r="C237">
        <v>73</v>
      </c>
      <c r="D237" t="s">
        <v>94</v>
      </c>
      <c r="E237">
        <v>12.04</v>
      </c>
      <c r="F237" t="s">
        <v>860</v>
      </c>
    </row>
    <row r="238" spans="1:6" x14ac:dyDescent="0.25">
      <c r="A238" t="s">
        <v>861</v>
      </c>
      <c r="B238" t="s">
        <v>436</v>
      </c>
      <c r="C238">
        <v>74</v>
      </c>
      <c r="D238" t="s">
        <v>94</v>
      </c>
      <c r="E238">
        <v>61.34</v>
      </c>
      <c r="F238" t="s">
        <v>862</v>
      </c>
    </row>
    <row r="239" spans="1:6" x14ac:dyDescent="0.25">
      <c r="A239" t="s">
        <v>863</v>
      </c>
      <c r="B239" t="s">
        <v>436</v>
      </c>
      <c r="C239">
        <v>75</v>
      </c>
      <c r="D239" t="s">
        <v>94</v>
      </c>
      <c r="E239">
        <v>112.76</v>
      </c>
      <c r="F239" t="s">
        <v>864</v>
      </c>
    </row>
    <row r="240" spans="1:6" x14ac:dyDescent="0.25">
      <c r="A240" t="s">
        <v>865</v>
      </c>
      <c r="B240" t="s">
        <v>436</v>
      </c>
      <c r="C240">
        <v>76</v>
      </c>
      <c r="D240" t="s">
        <v>94</v>
      </c>
      <c r="E240">
        <v>60.78</v>
      </c>
      <c r="F240" t="s">
        <v>866</v>
      </c>
    </row>
    <row r="241" spans="1:6" x14ac:dyDescent="0.25">
      <c r="A241" t="s">
        <v>867</v>
      </c>
      <c r="B241" t="s">
        <v>436</v>
      </c>
      <c r="C241">
        <v>77</v>
      </c>
      <c r="D241" t="s">
        <v>94</v>
      </c>
      <c r="E241">
        <v>92.9</v>
      </c>
      <c r="F241" t="s">
        <v>793</v>
      </c>
    </row>
    <row r="242" spans="1:6" x14ac:dyDescent="0.25">
      <c r="A242" t="s">
        <v>868</v>
      </c>
      <c r="B242" t="s">
        <v>436</v>
      </c>
      <c r="C242">
        <v>78</v>
      </c>
      <c r="D242" t="s">
        <v>94</v>
      </c>
      <c r="E242">
        <v>12.64</v>
      </c>
      <c r="F242" t="s">
        <v>869</v>
      </c>
    </row>
    <row r="243" spans="1:6" x14ac:dyDescent="0.25">
      <c r="A243" t="s">
        <v>870</v>
      </c>
      <c r="B243" t="s">
        <v>436</v>
      </c>
      <c r="C243">
        <v>79</v>
      </c>
      <c r="D243" t="s">
        <v>94</v>
      </c>
      <c r="E243">
        <v>91.34</v>
      </c>
      <c r="F243" t="s">
        <v>871</v>
      </c>
    </row>
    <row r="244" spans="1:6" x14ac:dyDescent="0.25">
      <c r="A244" t="s">
        <v>872</v>
      </c>
      <c r="B244" t="s">
        <v>436</v>
      </c>
      <c r="C244">
        <v>80</v>
      </c>
      <c r="D244" t="s">
        <v>94</v>
      </c>
      <c r="E244">
        <v>22.8</v>
      </c>
      <c r="F244" t="s">
        <v>799</v>
      </c>
    </row>
    <row r="245" spans="1:6" x14ac:dyDescent="0.25">
      <c r="A245" t="s">
        <v>873</v>
      </c>
      <c r="B245" t="s">
        <v>439</v>
      </c>
      <c r="C245">
        <v>21</v>
      </c>
      <c r="D245" t="s">
        <v>101</v>
      </c>
      <c r="E245">
        <v>4.2578125</v>
      </c>
      <c r="F245" t="s">
        <v>874</v>
      </c>
    </row>
    <row r="246" spans="1:6" x14ac:dyDescent="0.25">
      <c r="A246" t="s">
        <v>875</v>
      </c>
      <c r="B246" t="s">
        <v>439</v>
      </c>
      <c r="C246">
        <v>22</v>
      </c>
      <c r="D246" t="s">
        <v>101</v>
      </c>
      <c r="E246">
        <v>2.375</v>
      </c>
      <c r="F246" t="s">
        <v>876</v>
      </c>
    </row>
    <row r="247" spans="1:6" x14ac:dyDescent="0.25">
      <c r="A247" t="s">
        <v>877</v>
      </c>
      <c r="B247" t="s">
        <v>439</v>
      </c>
      <c r="C247">
        <v>23</v>
      </c>
      <c r="D247" t="s">
        <v>101</v>
      </c>
      <c r="E247">
        <v>1.34375</v>
      </c>
      <c r="F247" t="s">
        <v>878</v>
      </c>
    </row>
    <row r="248" spans="1:6" x14ac:dyDescent="0.25">
      <c r="A248" t="s">
        <v>879</v>
      </c>
      <c r="B248" t="s">
        <v>439</v>
      </c>
      <c r="C248">
        <v>24</v>
      </c>
      <c r="D248" t="s">
        <v>101</v>
      </c>
      <c r="E248">
        <v>2.7578125</v>
      </c>
      <c r="F248" t="s">
        <v>880</v>
      </c>
    </row>
    <row r="249" spans="1:6" x14ac:dyDescent="0.25">
      <c r="A249" t="s">
        <v>881</v>
      </c>
      <c r="B249" t="s">
        <v>439</v>
      </c>
      <c r="C249">
        <v>25</v>
      </c>
      <c r="D249" t="s">
        <v>101</v>
      </c>
      <c r="E249">
        <v>4.484375</v>
      </c>
      <c r="F249" t="s">
        <v>882</v>
      </c>
    </row>
    <row r="250" spans="1:6" x14ac:dyDescent="0.25">
      <c r="A250" t="s">
        <v>883</v>
      </c>
      <c r="B250" t="s">
        <v>439</v>
      </c>
      <c r="C250">
        <v>26</v>
      </c>
      <c r="D250" t="s">
        <v>101</v>
      </c>
      <c r="E250">
        <v>3.453125</v>
      </c>
      <c r="F250" t="s">
        <v>884</v>
      </c>
    </row>
    <row r="251" spans="1:6" x14ac:dyDescent="0.25">
      <c r="A251" t="s">
        <v>885</v>
      </c>
      <c r="B251" t="s">
        <v>439</v>
      </c>
      <c r="C251">
        <v>27</v>
      </c>
      <c r="D251" t="s">
        <v>101</v>
      </c>
      <c r="E251">
        <v>5.015625</v>
      </c>
      <c r="F251" t="s">
        <v>886</v>
      </c>
    </row>
    <row r="252" spans="1:6" x14ac:dyDescent="0.25">
      <c r="A252" t="s">
        <v>887</v>
      </c>
      <c r="B252" t="s">
        <v>439</v>
      </c>
      <c r="C252">
        <v>28</v>
      </c>
      <c r="D252" t="s">
        <v>101</v>
      </c>
      <c r="E252">
        <v>0.296875</v>
      </c>
      <c r="F252" t="s">
        <v>888</v>
      </c>
    </row>
    <row r="253" spans="1:6" x14ac:dyDescent="0.25">
      <c r="A253" t="s">
        <v>889</v>
      </c>
      <c r="B253" t="s">
        <v>439</v>
      </c>
      <c r="C253">
        <v>29</v>
      </c>
      <c r="D253" t="s">
        <v>101</v>
      </c>
      <c r="E253">
        <v>0.28125</v>
      </c>
      <c r="F253" t="s">
        <v>890</v>
      </c>
    </row>
    <row r="254" spans="1:6" x14ac:dyDescent="0.25">
      <c r="A254" t="s">
        <v>891</v>
      </c>
      <c r="B254" t="s">
        <v>439</v>
      </c>
      <c r="C254">
        <v>30</v>
      </c>
      <c r="D254" t="s">
        <v>101</v>
      </c>
      <c r="E254">
        <v>4.046875</v>
      </c>
      <c r="F254" t="s">
        <v>892</v>
      </c>
    </row>
    <row r="255" spans="1:6" x14ac:dyDescent="0.25">
      <c r="A255" t="s">
        <v>893</v>
      </c>
      <c r="B255" t="s">
        <v>439</v>
      </c>
      <c r="C255">
        <v>31</v>
      </c>
      <c r="D255" t="s">
        <v>101</v>
      </c>
      <c r="E255">
        <v>5.5</v>
      </c>
      <c r="F255" t="s">
        <v>894</v>
      </c>
    </row>
    <row r="256" spans="1:6" x14ac:dyDescent="0.25">
      <c r="A256" t="s">
        <v>895</v>
      </c>
      <c r="B256" t="s">
        <v>439</v>
      </c>
      <c r="C256">
        <v>32</v>
      </c>
      <c r="D256" t="s">
        <v>101</v>
      </c>
      <c r="E256">
        <v>4.2109375</v>
      </c>
      <c r="F256" t="s">
        <v>896</v>
      </c>
    </row>
    <row r="257" spans="1:6" x14ac:dyDescent="0.25">
      <c r="A257" t="s">
        <v>897</v>
      </c>
      <c r="B257" t="s">
        <v>439</v>
      </c>
      <c r="C257">
        <v>33</v>
      </c>
      <c r="D257" t="s">
        <v>101</v>
      </c>
      <c r="E257">
        <v>0.84375</v>
      </c>
      <c r="F257" t="s">
        <v>898</v>
      </c>
    </row>
    <row r="258" spans="1:6" x14ac:dyDescent="0.25">
      <c r="A258" t="s">
        <v>899</v>
      </c>
      <c r="B258" t="s">
        <v>439</v>
      </c>
      <c r="C258">
        <v>34</v>
      </c>
      <c r="D258" t="s">
        <v>101</v>
      </c>
      <c r="E258">
        <v>2.3671875</v>
      </c>
      <c r="F258" t="s">
        <v>900</v>
      </c>
    </row>
    <row r="259" spans="1:6" x14ac:dyDescent="0.25">
      <c r="A259" t="s">
        <v>901</v>
      </c>
      <c r="B259" t="s">
        <v>439</v>
      </c>
      <c r="C259">
        <v>35</v>
      </c>
      <c r="D259" t="s">
        <v>101</v>
      </c>
      <c r="E259">
        <v>5.546875</v>
      </c>
      <c r="F259" t="s">
        <v>902</v>
      </c>
    </row>
    <row r="260" spans="1:6" x14ac:dyDescent="0.25">
      <c r="A260" t="s">
        <v>903</v>
      </c>
      <c r="B260" t="s">
        <v>439</v>
      </c>
      <c r="C260">
        <v>36</v>
      </c>
      <c r="D260" t="s">
        <v>101</v>
      </c>
      <c r="E260">
        <v>2.3203125</v>
      </c>
      <c r="F260" t="s">
        <v>904</v>
      </c>
    </row>
    <row r="261" spans="1:6" x14ac:dyDescent="0.25">
      <c r="A261" t="s">
        <v>905</v>
      </c>
      <c r="B261" t="s">
        <v>439</v>
      </c>
      <c r="C261">
        <v>37</v>
      </c>
      <c r="D261" t="s">
        <v>101</v>
      </c>
      <c r="E261">
        <v>0.96875</v>
      </c>
      <c r="F261" t="s">
        <v>906</v>
      </c>
    </row>
    <row r="262" spans="1:6" x14ac:dyDescent="0.25">
      <c r="A262" t="s">
        <v>907</v>
      </c>
      <c r="B262" t="s">
        <v>439</v>
      </c>
      <c r="C262">
        <v>38</v>
      </c>
      <c r="D262" t="s">
        <v>101</v>
      </c>
      <c r="E262">
        <v>1.90625</v>
      </c>
      <c r="F262" t="s">
        <v>908</v>
      </c>
    </row>
    <row r="263" spans="1:6" x14ac:dyDescent="0.25">
      <c r="A263" t="s">
        <v>909</v>
      </c>
      <c r="B263" t="s">
        <v>439</v>
      </c>
      <c r="C263">
        <v>39</v>
      </c>
      <c r="D263" t="s">
        <v>101</v>
      </c>
      <c r="E263">
        <v>1.875</v>
      </c>
      <c r="F263" t="s">
        <v>910</v>
      </c>
    </row>
    <row r="264" spans="1:6" x14ac:dyDescent="0.25">
      <c r="A264" t="s">
        <v>911</v>
      </c>
      <c r="B264" t="s">
        <v>439</v>
      </c>
      <c r="C264">
        <v>40</v>
      </c>
      <c r="D264" t="s">
        <v>101</v>
      </c>
      <c r="E264">
        <v>3.0234375</v>
      </c>
      <c r="F264" t="s">
        <v>912</v>
      </c>
    </row>
    <row r="265" spans="1:6" x14ac:dyDescent="0.25">
      <c r="A265" t="s">
        <v>913</v>
      </c>
      <c r="B265" t="s">
        <v>442</v>
      </c>
      <c r="C265">
        <v>41</v>
      </c>
      <c r="D265" t="s">
        <v>101</v>
      </c>
      <c r="E265">
        <v>3.5859375</v>
      </c>
      <c r="F265" t="s">
        <v>914</v>
      </c>
    </row>
    <row r="266" spans="1:6" x14ac:dyDescent="0.25">
      <c r="A266" t="s">
        <v>915</v>
      </c>
      <c r="B266" t="s">
        <v>442</v>
      </c>
      <c r="C266">
        <v>42</v>
      </c>
      <c r="D266" t="s">
        <v>101</v>
      </c>
      <c r="E266">
        <v>3.9453125</v>
      </c>
      <c r="F266" t="s">
        <v>916</v>
      </c>
    </row>
    <row r="267" spans="1:6" x14ac:dyDescent="0.25">
      <c r="A267" t="s">
        <v>917</v>
      </c>
      <c r="B267" t="s">
        <v>442</v>
      </c>
      <c r="C267">
        <v>43</v>
      </c>
      <c r="D267" t="s">
        <v>101</v>
      </c>
      <c r="E267">
        <v>1.546875</v>
      </c>
      <c r="F267" t="s">
        <v>918</v>
      </c>
    </row>
    <row r="268" spans="1:6" x14ac:dyDescent="0.25">
      <c r="A268" t="s">
        <v>919</v>
      </c>
      <c r="B268" t="s">
        <v>442</v>
      </c>
      <c r="C268">
        <v>44</v>
      </c>
      <c r="D268" t="s">
        <v>101</v>
      </c>
      <c r="E268">
        <v>0.1875</v>
      </c>
      <c r="F268" t="s">
        <v>920</v>
      </c>
    </row>
    <row r="269" spans="1:6" x14ac:dyDescent="0.25">
      <c r="A269" t="s">
        <v>921</v>
      </c>
      <c r="B269" t="s">
        <v>442</v>
      </c>
      <c r="C269">
        <v>45</v>
      </c>
      <c r="D269" t="s">
        <v>101</v>
      </c>
      <c r="E269">
        <v>0.21875</v>
      </c>
      <c r="F269" t="s">
        <v>922</v>
      </c>
    </row>
    <row r="270" spans="1:6" x14ac:dyDescent="0.25">
      <c r="A270" t="s">
        <v>923</v>
      </c>
      <c r="B270" t="s">
        <v>442</v>
      </c>
      <c r="C270">
        <v>46</v>
      </c>
      <c r="D270" t="s">
        <v>101</v>
      </c>
      <c r="E270">
        <v>4.609375</v>
      </c>
      <c r="F270" t="s">
        <v>924</v>
      </c>
    </row>
    <row r="271" spans="1:6" x14ac:dyDescent="0.25">
      <c r="A271" t="s">
        <v>925</v>
      </c>
      <c r="B271" t="s">
        <v>442</v>
      </c>
      <c r="C271">
        <v>47</v>
      </c>
      <c r="D271" t="s">
        <v>101</v>
      </c>
      <c r="E271">
        <v>5.0546875</v>
      </c>
      <c r="F271" t="s">
        <v>926</v>
      </c>
    </row>
    <row r="272" spans="1:6" x14ac:dyDescent="0.25">
      <c r="A272" t="s">
        <v>927</v>
      </c>
      <c r="B272" t="s">
        <v>442</v>
      </c>
      <c r="C272">
        <v>48</v>
      </c>
      <c r="D272" t="s">
        <v>101</v>
      </c>
      <c r="E272">
        <v>2.125</v>
      </c>
      <c r="F272" t="s">
        <v>928</v>
      </c>
    </row>
    <row r="273" spans="1:6" x14ac:dyDescent="0.25">
      <c r="A273" t="s">
        <v>929</v>
      </c>
      <c r="B273" t="s">
        <v>442</v>
      </c>
      <c r="C273">
        <v>49</v>
      </c>
      <c r="D273" t="s">
        <v>101</v>
      </c>
      <c r="E273">
        <v>1.546875</v>
      </c>
      <c r="F273" t="s">
        <v>918</v>
      </c>
    </row>
    <row r="274" spans="1:6" x14ac:dyDescent="0.25">
      <c r="A274" t="s">
        <v>930</v>
      </c>
      <c r="B274" t="s">
        <v>442</v>
      </c>
      <c r="C274">
        <v>50</v>
      </c>
      <c r="D274" t="s">
        <v>101</v>
      </c>
      <c r="E274">
        <v>5.8359375</v>
      </c>
      <c r="F274" t="s">
        <v>931</v>
      </c>
    </row>
    <row r="275" spans="1:6" x14ac:dyDescent="0.25">
      <c r="A275" t="s">
        <v>932</v>
      </c>
      <c r="B275" t="s">
        <v>442</v>
      </c>
      <c r="C275">
        <v>51</v>
      </c>
      <c r="D275" t="s">
        <v>101</v>
      </c>
      <c r="E275">
        <v>3.734375</v>
      </c>
      <c r="F275" t="s">
        <v>933</v>
      </c>
    </row>
    <row r="276" spans="1:6" x14ac:dyDescent="0.25">
      <c r="A276" t="s">
        <v>934</v>
      </c>
      <c r="B276" t="s">
        <v>442</v>
      </c>
      <c r="C276">
        <v>52</v>
      </c>
      <c r="D276" t="s">
        <v>101</v>
      </c>
      <c r="E276">
        <v>5.0546875</v>
      </c>
      <c r="F276" t="s">
        <v>926</v>
      </c>
    </row>
    <row r="277" spans="1:6" x14ac:dyDescent="0.25">
      <c r="A277" t="s">
        <v>935</v>
      </c>
      <c r="B277" t="s">
        <v>442</v>
      </c>
      <c r="C277">
        <v>53</v>
      </c>
      <c r="D277" t="s">
        <v>101</v>
      </c>
      <c r="E277">
        <v>3.546875</v>
      </c>
      <c r="F277" t="s">
        <v>936</v>
      </c>
    </row>
    <row r="278" spans="1:6" x14ac:dyDescent="0.25">
      <c r="A278" t="s">
        <v>937</v>
      </c>
      <c r="B278" t="s">
        <v>442</v>
      </c>
      <c r="C278">
        <v>54</v>
      </c>
      <c r="D278" t="s">
        <v>101</v>
      </c>
      <c r="E278">
        <v>0.46875</v>
      </c>
      <c r="F278" t="s">
        <v>938</v>
      </c>
    </row>
    <row r="279" spans="1:6" x14ac:dyDescent="0.25">
      <c r="A279" t="s">
        <v>939</v>
      </c>
      <c r="B279" t="s">
        <v>442</v>
      </c>
      <c r="C279">
        <v>55</v>
      </c>
      <c r="D279" t="s">
        <v>101</v>
      </c>
      <c r="E279">
        <v>2.375</v>
      </c>
      <c r="F279" t="s">
        <v>876</v>
      </c>
    </row>
    <row r="280" spans="1:6" x14ac:dyDescent="0.25">
      <c r="A280" t="s">
        <v>940</v>
      </c>
      <c r="B280" t="s">
        <v>442</v>
      </c>
      <c r="C280">
        <v>56</v>
      </c>
      <c r="D280" t="s">
        <v>101</v>
      </c>
      <c r="E280">
        <v>5.2265625</v>
      </c>
      <c r="F280" t="s">
        <v>941</v>
      </c>
    </row>
    <row r="281" spans="1:6" x14ac:dyDescent="0.25">
      <c r="A281" t="s">
        <v>942</v>
      </c>
      <c r="B281" t="s">
        <v>442</v>
      </c>
      <c r="C281">
        <v>57</v>
      </c>
      <c r="D281" t="s">
        <v>101</v>
      </c>
      <c r="E281">
        <v>2.4375</v>
      </c>
      <c r="F281" t="s">
        <v>943</v>
      </c>
    </row>
    <row r="282" spans="1:6" x14ac:dyDescent="0.25">
      <c r="A282" t="s">
        <v>944</v>
      </c>
      <c r="B282" t="s">
        <v>442</v>
      </c>
      <c r="C282">
        <v>58</v>
      </c>
      <c r="D282" t="s">
        <v>101</v>
      </c>
      <c r="E282">
        <v>3.8046875</v>
      </c>
      <c r="F282" t="s">
        <v>945</v>
      </c>
    </row>
    <row r="283" spans="1:6" x14ac:dyDescent="0.25">
      <c r="A283" t="s">
        <v>946</v>
      </c>
      <c r="B283" t="s">
        <v>442</v>
      </c>
      <c r="C283">
        <v>59</v>
      </c>
      <c r="D283" t="s">
        <v>101</v>
      </c>
      <c r="E283">
        <v>0.71875</v>
      </c>
      <c r="F283" t="s">
        <v>947</v>
      </c>
    </row>
    <row r="284" spans="1:6" x14ac:dyDescent="0.25">
      <c r="A284" t="s">
        <v>948</v>
      </c>
      <c r="B284" t="s">
        <v>442</v>
      </c>
      <c r="C284">
        <v>60</v>
      </c>
      <c r="D284" t="s">
        <v>101</v>
      </c>
      <c r="E284">
        <v>2.4453125</v>
      </c>
      <c r="F284" t="s">
        <v>949</v>
      </c>
    </row>
    <row r="285" spans="1:6" x14ac:dyDescent="0.25">
      <c r="A285" t="s">
        <v>950</v>
      </c>
      <c r="B285" t="s">
        <v>445</v>
      </c>
      <c r="C285">
        <v>21</v>
      </c>
      <c r="D285" t="s">
        <v>96</v>
      </c>
      <c r="E285">
        <v>1.585</v>
      </c>
      <c r="F285" t="s">
        <v>951</v>
      </c>
    </row>
    <row r="286" spans="1:6" x14ac:dyDescent="0.25">
      <c r="A286" t="s">
        <v>952</v>
      </c>
      <c r="B286" t="s">
        <v>445</v>
      </c>
      <c r="C286">
        <v>22</v>
      </c>
      <c r="D286" t="s">
        <v>96</v>
      </c>
      <c r="E286">
        <v>5.5030000000000001</v>
      </c>
      <c r="F286" t="s">
        <v>953</v>
      </c>
    </row>
    <row r="287" spans="1:6" x14ac:dyDescent="0.25">
      <c r="A287" t="s">
        <v>954</v>
      </c>
      <c r="B287" t="s">
        <v>445</v>
      </c>
      <c r="C287">
        <v>23</v>
      </c>
      <c r="D287" t="s">
        <v>96</v>
      </c>
      <c r="E287">
        <v>3.5070000000000001</v>
      </c>
      <c r="F287" t="s">
        <v>955</v>
      </c>
    </row>
    <row r="288" spans="1:6" x14ac:dyDescent="0.25">
      <c r="A288" t="s">
        <v>956</v>
      </c>
      <c r="B288" t="s">
        <v>445</v>
      </c>
      <c r="C288">
        <v>24</v>
      </c>
      <c r="D288" t="s">
        <v>96</v>
      </c>
      <c r="E288">
        <v>0.76400000000000001</v>
      </c>
      <c r="F288" t="s">
        <v>957</v>
      </c>
    </row>
    <row r="289" spans="1:6" x14ac:dyDescent="0.25">
      <c r="A289" t="s">
        <v>958</v>
      </c>
      <c r="B289" t="s">
        <v>445</v>
      </c>
      <c r="C289">
        <v>25</v>
      </c>
      <c r="D289" t="s">
        <v>96</v>
      </c>
      <c r="E289">
        <v>4.5129999999999999</v>
      </c>
      <c r="F289" t="s">
        <v>959</v>
      </c>
    </row>
    <row r="290" spans="1:6" x14ac:dyDescent="0.25">
      <c r="A290" t="s">
        <v>960</v>
      </c>
      <c r="B290" t="s">
        <v>445</v>
      </c>
      <c r="C290">
        <v>26</v>
      </c>
      <c r="D290" t="s">
        <v>96</v>
      </c>
      <c r="E290">
        <v>4.3600000000000003</v>
      </c>
      <c r="F290" t="s">
        <v>961</v>
      </c>
    </row>
    <row r="291" spans="1:6" x14ac:dyDescent="0.25">
      <c r="A291" t="s">
        <v>962</v>
      </c>
      <c r="B291" t="s">
        <v>445</v>
      </c>
      <c r="C291">
        <v>27</v>
      </c>
      <c r="D291" t="s">
        <v>96</v>
      </c>
      <c r="E291">
        <v>4.1589999999999998</v>
      </c>
      <c r="F291" t="s">
        <v>963</v>
      </c>
    </row>
    <row r="292" spans="1:6" x14ac:dyDescent="0.25">
      <c r="A292" t="s">
        <v>964</v>
      </c>
      <c r="B292" t="s">
        <v>445</v>
      </c>
      <c r="C292">
        <v>28</v>
      </c>
      <c r="D292" t="s">
        <v>96</v>
      </c>
      <c r="E292">
        <v>5.7779999999999996</v>
      </c>
      <c r="F292" t="s">
        <v>965</v>
      </c>
    </row>
    <row r="293" spans="1:6" x14ac:dyDescent="0.25">
      <c r="A293" t="s">
        <v>966</v>
      </c>
      <c r="B293" t="s">
        <v>445</v>
      </c>
      <c r="C293">
        <v>29</v>
      </c>
      <c r="D293" t="s">
        <v>96</v>
      </c>
      <c r="E293">
        <v>0.16600000000000001</v>
      </c>
      <c r="F293" t="s">
        <v>967</v>
      </c>
    </row>
    <row r="294" spans="1:6" x14ac:dyDescent="0.25">
      <c r="A294" t="s">
        <v>968</v>
      </c>
      <c r="B294" t="s">
        <v>445</v>
      </c>
      <c r="C294">
        <v>30</v>
      </c>
      <c r="D294" t="s">
        <v>96</v>
      </c>
      <c r="E294">
        <v>1.153</v>
      </c>
      <c r="F294" t="s">
        <v>969</v>
      </c>
    </row>
    <row r="295" spans="1:6" x14ac:dyDescent="0.25">
      <c r="A295" t="s">
        <v>970</v>
      </c>
      <c r="B295" t="s">
        <v>445</v>
      </c>
      <c r="C295">
        <v>31</v>
      </c>
      <c r="D295" t="s">
        <v>96</v>
      </c>
      <c r="E295">
        <v>2.1259999999999999</v>
      </c>
      <c r="F295" t="s">
        <v>971</v>
      </c>
    </row>
    <row r="296" spans="1:6" x14ac:dyDescent="0.25">
      <c r="A296" t="s">
        <v>972</v>
      </c>
      <c r="B296" t="s">
        <v>445</v>
      </c>
      <c r="C296">
        <v>32</v>
      </c>
      <c r="D296" t="s">
        <v>96</v>
      </c>
      <c r="E296">
        <v>2.476</v>
      </c>
      <c r="F296" t="s">
        <v>973</v>
      </c>
    </row>
    <row r="297" spans="1:6" x14ac:dyDescent="0.25">
      <c r="A297" t="s">
        <v>974</v>
      </c>
      <c r="B297" t="s">
        <v>445</v>
      </c>
      <c r="C297">
        <v>33</v>
      </c>
      <c r="D297" t="s">
        <v>96</v>
      </c>
      <c r="E297">
        <v>0.20799999999999999</v>
      </c>
      <c r="F297" t="s">
        <v>975</v>
      </c>
    </row>
    <row r="298" spans="1:6" x14ac:dyDescent="0.25">
      <c r="A298" t="s">
        <v>976</v>
      </c>
      <c r="B298" t="s">
        <v>445</v>
      </c>
      <c r="C298">
        <v>34</v>
      </c>
      <c r="D298" t="s">
        <v>96</v>
      </c>
      <c r="E298">
        <v>2.169</v>
      </c>
      <c r="F298" t="s">
        <v>977</v>
      </c>
    </row>
    <row r="299" spans="1:6" x14ac:dyDescent="0.25">
      <c r="A299" t="s">
        <v>978</v>
      </c>
      <c r="B299" t="s">
        <v>445</v>
      </c>
      <c r="C299">
        <v>35</v>
      </c>
      <c r="D299" t="s">
        <v>96</v>
      </c>
      <c r="E299">
        <v>1.1259999999999999</v>
      </c>
      <c r="F299" t="s">
        <v>979</v>
      </c>
    </row>
    <row r="300" spans="1:6" x14ac:dyDescent="0.25">
      <c r="A300" t="s">
        <v>980</v>
      </c>
      <c r="B300" t="s">
        <v>445</v>
      </c>
      <c r="C300">
        <v>36</v>
      </c>
      <c r="D300" t="s">
        <v>96</v>
      </c>
      <c r="E300">
        <v>3.9910000000000001</v>
      </c>
      <c r="F300" t="s">
        <v>981</v>
      </c>
    </row>
    <row r="301" spans="1:6" x14ac:dyDescent="0.25">
      <c r="A301" t="s">
        <v>982</v>
      </c>
      <c r="B301" t="s">
        <v>445</v>
      </c>
      <c r="C301">
        <v>37</v>
      </c>
      <c r="D301" t="s">
        <v>96</v>
      </c>
      <c r="E301">
        <v>5.8739999999999997</v>
      </c>
      <c r="F301" t="s">
        <v>983</v>
      </c>
    </row>
    <row r="302" spans="1:6" x14ac:dyDescent="0.25">
      <c r="A302" t="s">
        <v>984</v>
      </c>
      <c r="B302" t="s">
        <v>445</v>
      </c>
      <c r="C302">
        <v>38</v>
      </c>
      <c r="D302" t="s">
        <v>96</v>
      </c>
      <c r="E302">
        <v>1.04</v>
      </c>
      <c r="F302" t="s">
        <v>985</v>
      </c>
    </row>
    <row r="303" spans="1:6" x14ac:dyDescent="0.25">
      <c r="A303" t="s">
        <v>986</v>
      </c>
      <c r="B303" t="s">
        <v>445</v>
      </c>
      <c r="C303">
        <v>39</v>
      </c>
      <c r="D303" t="s">
        <v>96</v>
      </c>
      <c r="E303">
        <v>1.5229999999999999</v>
      </c>
      <c r="F303" t="s">
        <v>987</v>
      </c>
    </row>
    <row r="304" spans="1:6" x14ac:dyDescent="0.25">
      <c r="A304" t="s">
        <v>988</v>
      </c>
      <c r="B304" t="s">
        <v>445</v>
      </c>
      <c r="C304">
        <v>40</v>
      </c>
      <c r="D304" t="s">
        <v>96</v>
      </c>
      <c r="E304">
        <v>4.4999999999999998E-2</v>
      </c>
      <c r="F304" t="s">
        <v>989</v>
      </c>
    </row>
    <row r="305" spans="1:6" x14ac:dyDescent="0.25">
      <c r="A305" t="s">
        <v>990</v>
      </c>
      <c r="B305" t="s">
        <v>448</v>
      </c>
      <c r="C305">
        <v>41</v>
      </c>
      <c r="D305" t="s">
        <v>96</v>
      </c>
      <c r="E305">
        <v>0.34899999999999998</v>
      </c>
      <c r="F305" t="s">
        <v>991</v>
      </c>
    </row>
    <row r="306" spans="1:6" x14ac:dyDescent="0.25">
      <c r="A306" t="s">
        <v>992</v>
      </c>
      <c r="B306" t="s">
        <v>448</v>
      </c>
      <c r="C306">
        <v>42</v>
      </c>
      <c r="D306" t="s">
        <v>96</v>
      </c>
      <c r="E306">
        <v>3.6629999999999998</v>
      </c>
      <c r="F306" t="s">
        <v>993</v>
      </c>
    </row>
    <row r="307" spans="1:6" x14ac:dyDescent="0.25">
      <c r="A307" t="s">
        <v>994</v>
      </c>
      <c r="B307" t="s">
        <v>448</v>
      </c>
      <c r="C307">
        <v>43</v>
      </c>
      <c r="D307" t="s">
        <v>96</v>
      </c>
      <c r="E307">
        <v>5.7869999999999999</v>
      </c>
      <c r="F307" t="s">
        <v>995</v>
      </c>
    </row>
    <row r="308" spans="1:6" x14ac:dyDescent="0.25">
      <c r="A308" t="s">
        <v>996</v>
      </c>
      <c r="B308" t="s">
        <v>448</v>
      </c>
      <c r="C308">
        <v>44</v>
      </c>
      <c r="D308" t="s">
        <v>96</v>
      </c>
      <c r="E308">
        <v>0.36699999999999999</v>
      </c>
      <c r="F308" t="s">
        <v>997</v>
      </c>
    </row>
    <row r="309" spans="1:6" x14ac:dyDescent="0.25">
      <c r="A309" t="s">
        <v>998</v>
      </c>
      <c r="B309" t="s">
        <v>448</v>
      </c>
      <c r="C309">
        <v>45</v>
      </c>
      <c r="D309" t="s">
        <v>96</v>
      </c>
      <c r="E309">
        <v>4.0659999999999998</v>
      </c>
      <c r="F309" t="s">
        <v>999</v>
      </c>
    </row>
    <row r="310" spans="1:6" x14ac:dyDescent="0.25">
      <c r="A310" t="s">
        <v>1000</v>
      </c>
      <c r="B310" t="s">
        <v>448</v>
      </c>
      <c r="C310">
        <v>46</v>
      </c>
      <c r="D310" t="s">
        <v>96</v>
      </c>
      <c r="E310">
        <v>0.65100000000000002</v>
      </c>
      <c r="F310" t="s">
        <v>1001</v>
      </c>
    </row>
    <row r="311" spans="1:6" x14ac:dyDescent="0.25">
      <c r="A311" t="s">
        <v>1002</v>
      </c>
      <c r="B311" t="s">
        <v>448</v>
      </c>
      <c r="C311">
        <v>47</v>
      </c>
      <c r="D311" t="s">
        <v>96</v>
      </c>
      <c r="E311">
        <v>4.0060000000000002</v>
      </c>
      <c r="F311" t="s">
        <v>1003</v>
      </c>
    </row>
    <row r="312" spans="1:6" x14ac:dyDescent="0.25">
      <c r="A312" t="s">
        <v>1004</v>
      </c>
      <c r="B312" t="s">
        <v>448</v>
      </c>
      <c r="C312">
        <v>48</v>
      </c>
      <c r="D312" t="s">
        <v>96</v>
      </c>
      <c r="E312">
        <v>5.1749999999999998</v>
      </c>
      <c r="F312" t="s">
        <v>1005</v>
      </c>
    </row>
    <row r="313" spans="1:6" x14ac:dyDescent="0.25">
      <c r="A313" t="s">
        <v>1006</v>
      </c>
      <c r="B313" t="s">
        <v>448</v>
      </c>
      <c r="C313">
        <v>49</v>
      </c>
      <c r="D313" t="s">
        <v>96</v>
      </c>
      <c r="E313">
        <v>3.919</v>
      </c>
      <c r="F313" t="s">
        <v>1007</v>
      </c>
    </row>
    <row r="314" spans="1:6" x14ac:dyDescent="0.25">
      <c r="A314" t="s">
        <v>1008</v>
      </c>
      <c r="B314" t="s">
        <v>448</v>
      </c>
      <c r="C314">
        <v>50</v>
      </c>
      <c r="D314" t="s">
        <v>96</v>
      </c>
      <c r="E314">
        <v>2.5110000000000001</v>
      </c>
      <c r="F314" t="s">
        <v>1009</v>
      </c>
    </row>
    <row r="315" spans="1:6" x14ac:dyDescent="0.25">
      <c r="A315" t="s">
        <v>1010</v>
      </c>
      <c r="B315" t="s">
        <v>448</v>
      </c>
      <c r="C315">
        <v>51</v>
      </c>
      <c r="D315" t="s">
        <v>96</v>
      </c>
      <c r="E315">
        <v>2.0680000000000001</v>
      </c>
      <c r="F315" t="s">
        <v>1011</v>
      </c>
    </row>
    <row r="316" spans="1:6" x14ac:dyDescent="0.25">
      <c r="A316" t="s">
        <v>1012</v>
      </c>
      <c r="B316" t="s">
        <v>448</v>
      </c>
      <c r="C316">
        <v>52</v>
      </c>
      <c r="D316" t="s">
        <v>96</v>
      </c>
      <c r="E316">
        <v>1.3640000000000001</v>
      </c>
      <c r="F316" t="s">
        <v>1013</v>
      </c>
    </row>
    <row r="317" spans="1:6" x14ac:dyDescent="0.25">
      <c r="A317" t="s">
        <v>1014</v>
      </c>
      <c r="B317" t="s">
        <v>448</v>
      </c>
      <c r="C317">
        <v>53</v>
      </c>
      <c r="D317" t="s">
        <v>96</v>
      </c>
      <c r="E317">
        <v>1.899</v>
      </c>
      <c r="F317" t="s">
        <v>1015</v>
      </c>
    </row>
    <row r="318" spans="1:6" x14ac:dyDescent="0.25">
      <c r="A318" t="s">
        <v>1016</v>
      </c>
      <c r="B318" t="s">
        <v>448</v>
      </c>
      <c r="C318">
        <v>54</v>
      </c>
      <c r="D318" t="s">
        <v>96</v>
      </c>
      <c r="E318">
        <v>2.3809999999999998</v>
      </c>
      <c r="F318" t="s">
        <v>1017</v>
      </c>
    </row>
    <row r="319" spans="1:6" x14ac:dyDescent="0.25">
      <c r="A319" t="s">
        <v>1018</v>
      </c>
      <c r="B319" t="s">
        <v>448</v>
      </c>
      <c r="C319">
        <v>55</v>
      </c>
      <c r="D319" t="s">
        <v>96</v>
      </c>
      <c r="E319">
        <v>5.391</v>
      </c>
      <c r="F319" t="s">
        <v>1019</v>
      </c>
    </row>
    <row r="320" spans="1:6" x14ac:dyDescent="0.25">
      <c r="A320" t="s">
        <v>1020</v>
      </c>
      <c r="B320" t="s">
        <v>448</v>
      </c>
      <c r="C320">
        <v>56</v>
      </c>
      <c r="D320" t="s">
        <v>96</v>
      </c>
      <c r="E320">
        <v>3.7690000000000001</v>
      </c>
      <c r="F320" t="s">
        <v>1021</v>
      </c>
    </row>
    <row r="321" spans="1:8" x14ac:dyDescent="0.25">
      <c r="A321" t="s">
        <v>1022</v>
      </c>
      <c r="B321" t="s">
        <v>448</v>
      </c>
      <c r="C321">
        <v>57</v>
      </c>
      <c r="D321" t="s">
        <v>96</v>
      </c>
      <c r="E321">
        <v>3.5950000000000002</v>
      </c>
      <c r="F321" t="s">
        <v>1023</v>
      </c>
    </row>
    <row r="322" spans="1:8" x14ac:dyDescent="0.25">
      <c r="A322" t="s">
        <v>1024</v>
      </c>
      <c r="B322" t="s">
        <v>448</v>
      </c>
      <c r="C322">
        <v>58</v>
      </c>
      <c r="D322" t="s">
        <v>96</v>
      </c>
      <c r="E322">
        <v>0.42199999999999999</v>
      </c>
      <c r="F322" t="s">
        <v>1025</v>
      </c>
    </row>
    <row r="323" spans="1:8" x14ac:dyDescent="0.25">
      <c r="A323" t="s">
        <v>1026</v>
      </c>
      <c r="B323" t="s">
        <v>448</v>
      </c>
      <c r="C323">
        <v>59</v>
      </c>
      <c r="D323" t="s">
        <v>96</v>
      </c>
      <c r="E323">
        <v>4.0060000000000002</v>
      </c>
      <c r="F323" t="s">
        <v>1003</v>
      </c>
    </row>
    <row r="324" spans="1:8" x14ac:dyDescent="0.25">
      <c r="A324" t="s">
        <v>1027</v>
      </c>
      <c r="B324" t="s">
        <v>448</v>
      </c>
      <c r="C324">
        <v>60</v>
      </c>
      <c r="D324" t="s">
        <v>96</v>
      </c>
      <c r="E324">
        <v>4.7119999999999997</v>
      </c>
      <c r="F324" t="s">
        <v>1028</v>
      </c>
    </row>
    <row r="325" spans="1:8" x14ac:dyDescent="0.25">
      <c r="A325" t="s">
        <v>1029</v>
      </c>
      <c r="B325" t="s">
        <v>393</v>
      </c>
      <c r="C325">
        <v>21</v>
      </c>
      <c r="D325" t="s">
        <v>142</v>
      </c>
      <c r="E325">
        <v>94.18</v>
      </c>
      <c r="F325" t="s">
        <v>1030</v>
      </c>
      <c r="H325">
        <v>75</v>
      </c>
    </row>
    <row r="326" spans="1:8" x14ac:dyDescent="0.25">
      <c r="A326" t="s">
        <v>1031</v>
      </c>
      <c r="B326" t="s">
        <v>393</v>
      </c>
      <c r="C326">
        <v>22</v>
      </c>
      <c r="D326" t="s">
        <v>142</v>
      </c>
      <c r="E326">
        <v>1.64</v>
      </c>
      <c r="F326" t="s">
        <v>1032</v>
      </c>
      <c r="H326">
        <v>0</v>
      </c>
    </row>
    <row r="327" spans="1:8" x14ac:dyDescent="0.25">
      <c r="A327" t="s">
        <v>1033</v>
      </c>
      <c r="B327" t="s">
        <v>393</v>
      </c>
      <c r="C327">
        <v>23</v>
      </c>
      <c r="D327" t="s">
        <v>142</v>
      </c>
      <c r="E327">
        <v>43.01</v>
      </c>
      <c r="F327" t="s">
        <v>1034</v>
      </c>
      <c r="H327">
        <v>25</v>
      </c>
    </row>
    <row r="328" spans="1:8" x14ac:dyDescent="0.25">
      <c r="A328" t="s">
        <v>1035</v>
      </c>
      <c r="B328" t="s">
        <v>393</v>
      </c>
      <c r="C328">
        <v>24</v>
      </c>
      <c r="D328" t="s">
        <v>142</v>
      </c>
      <c r="E328">
        <v>178.2</v>
      </c>
      <c r="F328" t="s">
        <v>1036</v>
      </c>
      <c r="H328">
        <v>175</v>
      </c>
    </row>
    <row r="329" spans="1:8" x14ac:dyDescent="0.25">
      <c r="A329" t="s">
        <v>1037</v>
      </c>
      <c r="B329" t="s">
        <v>393</v>
      </c>
      <c r="C329">
        <v>25</v>
      </c>
      <c r="D329" t="s">
        <v>142</v>
      </c>
      <c r="E329">
        <v>57.06</v>
      </c>
      <c r="F329" t="s">
        <v>1038</v>
      </c>
      <c r="H329">
        <v>50</v>
      </c>
    </row>
    <row r="330" spans="1:8" x14ac:dyDescent="0.25">
      <c r="A330" t="s">
        <v>1039</v>
      </c>
      <c r="B330" t="s">
        <v>393</v>
      </c>
      <c r="C330">
        <v>26</v>
      </c>
      <c r="D330" t="s">
        <v>142</v>
      </c>
      <c r="E330">
        <v>259.75</v>
      </c>
      <c r="F330" t="s">
        <v>1040</v>
      </c>
      <c r="H330">
        <v>250</v>
      </c>
    </row>
    <row r="331" spans="1:8" x14ac:dyDescent="0.25">
      <c r="A331" t="s">
        <v>1041</v>
      </c>
      <c r="B331" t="s">
        <v>393</v>
      </c>
      <c r="C331">
        <v>27</v>
      </c>
      <c r="D331" t="s">
        <v>142</v>
      </c>
      <c r="E331">
        <v>159.69</v>
      </c>
      <c r="F331" t="s">
        <v>1042</v>
      </c>
      <c r="H331">
        <v>150</v>
      </c>
    </row>
    <row r="332" spans="1:8" x14ac:dyDescent="0.25">
      <c r="A332" t="s">
        <v>1043</v>
      </c>
      <c r="B332" t="s">
        <v>393</v>
      </c>
      <c r="C332">
        <v>28</v>
      </c>
      <c r="D332" t="s">
        <v>142</v>
      </c>
      <c r="E332">
        <v>329.32</v>
      </c>
      <c r="F332" t="s">
        <v>1044</v>
      </c>
      <c r="H332">
        <v>325</v>
      </c>
    </row>
    <row r="333" spans="1:8" x14ac:dyDescent="0.25">
      <c r="A333" t="s">
        <v>1045</v>
      </c>
      <c r="B333" t="s">
        <v>393</v>
      </c>
      <c r="C333">
        <v>29</v>
      </c>
      <c r="D333" t="s">
        <v>142</v>
      </c>
      <c r="E333">
        <v>206.43</v>
      </c>
      <c r="F333" t="s">
        <v>1046</v>
      </c>
      <c r="H333">
        <v>200</v>
      </c>
    </row>
    <row r="334" spans="1:8" x14ac:dyDescent="0.25">
      <c r="A334" t="s">
        <v>1047</v>
      </c>
      <c r="B334" t="s">
        <v>393</v>
      </c>
      <c r="C334">
        <v>30</v>
      </c>
      <c r="D334" t="s">
        <v>142</v>
      </c>
      <c r="E334">
        <v>136.78</v>
      </c>
      <c r="F334" t="s">
        <v>1048</v>
      </c>
      <c r="H334">
        <v>125</v>
      </c>
    </row>
    <row r="335" spans="1:8" x14ac:dyDescent="0.25">
      <c r="A335" t="s">
        <v>1049</v>
      </c>
      <c r="B335" t="s">
        <v>393</v>
      </c>
      <c r="C335">
        <v>31</v>
      </c>
      <c r="D335" t="s">
        <v>142</v>
      </c>
      <c r="E335">
        <v>83.56</v>
      </c>
      <c r="F335" t="s">
        <v>1050</v>
      </c>
      <c r="H335">
        <v>75</v>
      </c>
    </row>
    <row r="336" spans="1:8" x14ac:dyDescent="0.25">
      <c r="A336" t="s">
        <v>1051</v>
      </c>
      <c r="B336" t="s">
        <v>393</v>
      </c>
      <c r="C336">
        <v>32</v>
      </c>
      <c r="D336" t="s">
        <v>142</v>
      </c>
      <c r="E336">
        <v>129.44</v>
      </c>
      <c r="F336" t="s">
        <v>1052</v>
      </c>
      <c r="H336">
        <v>125</v>
      </c>
    </row>
    <row r="337" spans="1:8" x14ac:dyDescent="0.25">
      <c r="A337" t="s">
        <v>1053</v>
      </c>
      <c r="B337" t="s">
        <v>393</v>
      </c>
      <c r="C337">
        <v>33</v>
      </c>
      <c r="D337" t="s">
        <v>142</v>
      </c>
      <c r="E337">
        <v>390.93</v>
      </c>
      <c r="F337" t="s">
        <v>1054</v>
      </c>
      <c r="H337">
        <v>375</v>
      </c>
    </row>
    <row r="338" spans="1:8" x14ac:dyDescent="0.25">
      <c r="A338" t="s">
        <v>1055</v>
      </c>
      <c r="B338" t="s">
        <v>393</v>
      </c>
      <c r="C338">
        <v>34</v>
      </c>
      <c r="D338" t="s">
        <v>142</v>
      </c>
      <c r="E338">
        <v>263.48</v>
      </c>
      <c r="F338" t="s">
        <v>1056</v>
      </c>
      <c r="H338">
        <v>250</v>
      </c>
    </row>
    <row r="339" spans="1:8" x14ac:dyDescent="0.25">
      <c r="A339" t="s">
        <v>1057</v>
      </c>
      <c r="B339" t="s">
        <v>393</v>
      </c>
      <c r="C339">
        <v>35</v>
      </c>
      <c r="D339" t="s">
        <v>142</v>
      </c>
      <c r="E339">
        <v>254.99</v>
      </c>
      <c r="F339" t="s">
        <v>1058</v>
      </c>
      <c r="H339">
        <v>250</v>
      </c>
    </row>
    <row r="340" spans="1:8" x14ac:dyDescent="0.25">
      <c r="A340" t="s">
        <v>1059</v>
      </c>
      <c r="B340" t="s">
        <v>393</v>
      </c>
      <c r="C340">
        <v>36</v>
      </c>
      <c r="D340" t="s">
        <v>142</v>
      </c>
      <c r="E340">
        <v>2.0299999999999998</v>
      </c>
      <c r="F340" t="s">
        <v>1060</v>
      </c>
      <c r="H340">
        <v>0</v>
      </c>
    </row>
    <row r="341" spans="1:8" x14ac:dyDescent="0.25">
      <c r="A341" t="s">
        <v>1061</v>
      </c>
      <c r="B341" t="s">
        <v>393</v>
      </c>
      <c r="C341">
        <v>37</v>
      </c>
      <c r="D341" t="s">
        <v>142</v>
      </c>
      <c r="E341">
        <v>21.11</v>
      </c>
      <c r="F341" t="s">
        <v>1062</v>
      </c>
      <c r="G341">
        <v>21.117000000000001</v>
      </c>
      <c r="H341">
        <v>0</v>
      </c>
    </row>
    <row r="342" spans="1:8" x14ac:dyDescent="0.25">
      <c r="A342" t="s">
        <v>1063</v>
      </c>
      <c r="B342" t="s">
        <v>393</v>
      </c>
      <c r="C342">
        <v>38</v>
      </c>
      <c r="D342" t="s">
        <v>142</v>
      </c>
      <c r="E342">
        <v>317.24</v>
      </c>
      <c r="F342" t="s">
        <v>1064</v>
      </c>
      <c r="G342">
        <v>317.24299999999999</v>
      </c>
      <c r="H342">
        <v>300</v>
      </c>
    </row>
    <row r="343" spans="1:8" x14ac:dyDescent="0.25">
      <c r="A343" t="s">
        <v>1065</v>
      </c>
      <c r="B343" t="s">
        <v>393</v>
      </c>
      <c r="C343">
        <v>39</v>
      </c>
      <c r="D343" t="s">
        <v>142</v>
      </c>
      <c r="E343">
        <v>81.8</v>
      </c>
      <c r="F343" t="s">
        <v>472</v>
      </c>
      <c r="H343">
        <v>75</v>
      </c>
    </row>
    <row r="344" spans="1:8" x14ac:dyDescent="0.25">
      <c r="A344" t="s">
        <v>1066</v>
      </c>
      <c r="B344" t="s">
        <v>393</v>
      </c>
      <c r="C344">
        <v>40</v>
      </c>
      <c r="D344" t="s">
        <v>142</v>
      </c>
      <c r="E344">
        <v>285.97000000000003</v>
      </c>
      <c r="F344" t="s">
        <v>1067</v>
      </c>
      <c r="G344">
        <v>285.97300000000001</v>
      </c>
      <c r="H344">
        <v>275</v>
      </c>
    </row>
    <row r="345" spans="1:8" x14ac:dyDescent="0.25">
      <c r="A345" t="s">
        <v>1068</v>
      </c>
      <c r="B345" t="s">
        <v>397</v>
      </c>
      <c r="C345">
        <v>1</v>
      </c>
      <c r="D345" t="s">
        <v>143</v>
      </c>
      <c r="E345">
        <v>40.063000000000002</v>
      </c>
      <c r="F345" t="s">
        <v>1069</v>
      </c>
      <c r="H345">
        <v>25</v>
      </c>
    </row>
    <row r="346" spans="1:8" x14ac:dyDescent="0.25">
      <c r="A346" t="s">
        <v>1070</v>
      </c>
      <c r="B346" t="s">
        <v>397</v>
      </c>
      <c r="C346">
        <v>2</v>
      </c>
      <c r="D346" t="s">
        <v>143</v>
      </c>
      <c r="E346">
        <v>167.89400000000001</v>
      </c>
      <c r="F346" t="s">
        <v>1071</v>
      </c>
      <c r="H346">
        <v>150</v>
      </c>
    </row>
    <row r="347" spans="1:8" x14ac:dyDescent="0.25">
      <c r="A347" t="s">
        <v>1072</v>
      </c>
      <c r="B347" t="s">
        <v>397</v>
      </c>
      <c r="C347">
        <v>3</v>
      </c>
      <c r="D347" t="s">
        <v>143</v>
      </c>
      <c r="E347">
        <v>38.387</v>
      </c>
      <c r="F347" t="s">
        <v>1073</v>
      </c>
      <c r="H347">
        <v>25</v>
      </c>
    </row>
    <row r="348" spans="1:8" x14ac:dyDescent="0.25">
      <c r="A348" t="s">
        <v>1074</v>
      </c>
      <c r="B348" t="s">
        <v>397</v>
      </c>
      <c r="C348">
        <v>4</v>
      </c>
      <c r="D348" t="s">
        <v>143</v>
      </c>
      <c r="E348">
        <v>196.90100000000001</v>
      </c>
      <c r="F348" t="s">
        <v>1075</v>
      </c>
      <c r="H348">
        <v>175</v>
      </c>
    </row>
    <row r="349" spans="1:8" x14ac:dyDescent="0.25">
      <c r="A349" t="s">
        <v>1076</v>
      </c>
      <c r="B349" t="s">
        <v>397</v>
      </c>
      <c r="C349">
        <v>5</v>
      </c>
      <c r="D349" t="s">
        <v>143</v>
      </c>
      <c r="E349">
        <v>296.15800000000002</v>
      </c>
      <c r="F349" t="s">
        <v>1077</v>
      </c>
      <c r="H349">
        <v>275</v>
      </c>
    </row>
    <row r="350" spans="1:8" x14ac:dyDescent="0.25">
      <c r="A350" t="s">
        <v>1078</v>
      </c>
      <c r="B350" t="s">
        <v>397</v>
      </c>
      <c r="C350">
        <v>6</v>
      </c>
      <c r="D350" t="s">
        <v>143</v>
      </c>
      <c r="E350">
        <v>36.036000000000001</v>
      </c>
      <c r="F350" t="s">
        <v>1079</v>
      </c>
      <c r="H350">
        <v>25</v>
      </c>
    </row>
    <row r="351" spans="1:8" x14ac:dyDescent="0.25">
      <c r="A351" t="s">
        <v>1080</v>
      </c>
      <c r="B351" t="s">
        <v>397</v>
      </c>
      <c r="C351">
        <v>7</v>
      </c>
      <c r="D351" t="s">
        <v>143</v>
      </c>
      <c r="E351">
        <v>140.39500000000001</v>
      </c>
      <c r="F351" t="s">
        <v>1081</v>
      </c>
      <c r="H351">
        <v>125</v>
      </c>
    </row>
    <row r="352" spans="1:8" x14ac:dyDescent="0.25">
      <c r="A352" t="s">
        <v>1082</v>
      </c>
      <c r="B352" t="s">
        <v>397</v>
      </c>
      <c r="C352">
        <v>8</v>
      </c>
      <c r="D352" t="s">
        <v>143</v>
      </c>
      <c r="E352">
        <v>21.678000000000001</v>
      </c>
      <c r="F352" t="s">
        <v>1083</v>
      </c>
      <c r="H352">
        <v>0</v>
      </c>
    </row>
    <row r="353" spans="1:8" x14ac:dyDescent="0.25">
      <c r="A353" t="s">
        <v>1084</v>
      </c>
      <c r="B353" t="s">
        <v>397</v>
      </c>
      <c r="C353">
        <v>9</v>
      </c>
      <c r="D353" t="s">
        <v>143</v>
      </c>
      <c r="E353">
        <v>145.59399999999999</v>
      </c>
      <c r="F353" t="s">
        <v>1085</v>
      </c>
      <c r="H353">
        <v>125</v>
      </c>
    </row>
    <row r="354" spans="1:8" x14ac:dyDescent="0.25">
      <c r="A354" t="s">
        <v>1086</v>
      </c>
      <c r="B354" t="s">
        <v>397</v>
      </c>
      <c r="C354">
        <v>10</v>
      </c>
      <c r="D354" t="s">
        <v>143</v>
      </c>
      <c r="E354">
        <v>353.84</v>
      </c>
      <c r="F354" t="s">
        <v>1087</v>
      </c>
      <c r="H354">
        <v>350</v>
      </c>
    </row>
    <row r="355" spans="1:8" x14ac:dyDescent="0.25">
      <c r="A355" t="s">
        <v>1088</v>
      </c>
      <c r="B355" t="s">
        <v>397</v>
      </c>
      <c r="C355">
        <v>11</v>
      </c>
      <c r="D355" t="s">
        <v>143</v>
      </c>
      <c r="E355">
        <v>7.3250000000000002</v>
      </c>
      <c r="F355" t="s">
        <v>1089</v>
      </c>
      <c r="H355">
        <v>0</v>
      </c>
    </row>
    <row r="356" spans="1:8" x14ac:dyDescent="0.25">
      <c r="A356" t="s">
        <v>1090</v>
      </c>
      <c r="B356" t="s">
        <v>397</v>
      </c>
      <c r="C356">
        <v>12</v>
      </c>
      <c r="D356" t="s">
        <v>143</v>
      </c>
      <c r="E356">
        <v>124.19</v>
      </c>
      <c r="F356" t="s">
        <v>1091</v>
      </c>
      <c r="H356">
        <v>100</v>
      </c>
    </row>
    <row r="357" spans="1:8" x14ac:dyDescent="0.25">
      <c r="A357" t="s">
        <v>1092</v>
      </c>
      <c r="B357" t="s">
        <v>397</v>
      </c>
      <c r="C357">
        <v>13</v>
      </c>
      <c r="D357" t="s">
        <v>143</v>
      </c>
      <c r="E357">
        <v>170.87700000000001</v>
      </c>
      <c r="F357" t="s">
        <v>1093</v>
      </c>
      <c r="H357">
        <v>150</v>
      </c>
    </row>
    <row r="358" spans="1:8" x14ac:dyDescent="0.25">
      <c r="A358" t="s">
        <v>1094</v>
      </c>
      <c r="B358" t="s">
        <v>397</v>
      </c>
      <c r="C358">
        <v>14</v>
      </c>
      <c r="D358" t="s">
        <v>143</v>
      </c>
      <c r="E358">
        <v>282.536</v>
      </c>
      <c r="F358" t="s">
        <v>1095</v>
      </c>
      <c r="H358">
        <v>275</v>
      </c>
    </row>
    <row r="359" spans="1:8" x14ac:dyDescent="0.25">
      <c r="A359" t="s">
        <v>1096</v>
      </c>
      <c r="B359" t="s">
        <v>397</v>
      </c>
      <c r="C359">
        <v>15</v>
      </c>
      <c r="D359" t="s">
        <v>143</v>
      </c>
      <c r="E359">
        <v>285.39999999999998</v>
      </c>
      <c r="F359" t="s">
        <v>1097</v>
      </c>
      <c r="H359">
        <v>275</v>
      </c>
    </row>
    <row r="360" spans="1:8" x14ac:dyDescent="0.25">
      <c r="A360" t="s">
        <v>1098</v>
      </c>
      <c r="B360" t="s">
        <v>397</v>
      </c>
      <c r="C360">
        <v>16</v>
      </c>
      <c r="D360" t="s">
        <v>143</v>
      </c>
      <c r="E360">
        <v>142.24700000000001</v>
      </c>
      <c r="F360" t="s">
        <v>1099</v>
      </c>
      <c r="H360">
        <v>125</v>
      </c>
    </row>
    <row r="361" spans="1:8" x14ac:dyDescent="0.25">
      <c r="A361" t="s">
        <v>1100</v>
      </c>
      <c r="B361" t="s">
        <v>397</v>
      </c>
      <c r="C361">
        <v>17</v>
      </c>
      <c r="D361" t="s">
        <v>143</v>
      </c>
      <c r="E361">
        <v>126.229</v>
      </c>
      <c r="F361" t="s">
        <v>1101</v>
      </c>
      <c r="H361">
        <v>125</v>
      </c>
    </row>
    <row r="362" spans="1:8" x14ac:dyDescent="0.25">
      <c r="A362" t="s">
        <v>1102</v>
      </c>
      <c r="B362" t="s">
        <v>397</v>
      </c>
      <c r="C362">
        <v>18</v>
      </c>
      <c r="D362" t="s">
        <v>143</v>
      </c>
      <c r="E362">
        <v>43.539000000000001</v>
      </c>
      <c r="F362" t="s">
        <v>1103</v>
      </c>
      <c r="H362">
        <v>25</v>
      </c>
    </row>
    <row r="363" spans="1:8" x14ac:dyDescent="0.25">
      <c r="A363" t="s">
        <v>1104</v>
      </c>
      <c r="B363" t="s">
        <v>397</v>
      </c>
      <c r="C363">
        <v>19</v>
      </c>
      <c r="D363" t="s">
        <v>143</v>
      </c>
      <c r="E363">
        <v>135.93600000000001</v>
      </c>
      <c r="F363" t="s">
        <v>1105</v>
      </c>
      <c r="H363">
        <v>125</v>
      </c>
    </row>
    <row r="364" spans="1:8" x14ac:dyDescent="0.25">
      <c r="A364" t="s">
        <v>1106</v>
      </c>
      <c r="B364" t="s">
        <v>397</v>
      </c>
      <c r="C364">
        <v>20</v>
      </c>
      <c r="D364" t="s">
        <v>143</v>
      </c>
      <c r="E364">
        <v>200.08199999999999</v>
      </c>
      <c r="F364" t="s">
        <v>1107</v>
      </c>
      <c r="H364">
        <v>200</v>
      </c>
    </row>
    <row r="365" spans="1:8" x14ac:dyDescent="0.25">
      <c r="A365" t="s">
        <v>1108</v>
      </c>
      <c r="B365" t="s">
        <v>401</v>
      </c>
      <c r="C365">
        <v>1</v>
      </c>
      <c r="D365" t="s">
        <v>145</v>
      </c>
      <c r="E365">
        <v>0.86399999999999999</v>
      </c>
      <c r="F365" t="s">
        <v>1109</v>
      </c>
      <c r="H365">
        <v>0</v>
      </c>
    </row>
    <row r="366" spans="1:8" x14ac:dyDescent="0.25">
      <c r="A366" t="s">
        <v>1110</v>
      </c>
      <c r="B366" t="s">
        <v>401</v>
      </c>
      <c r="C366">
        <v>2</v>
      </c>
      <c r="D366" t="s">
        <v>145</v>
      </c>
      <c r="E366">
        <v>0.16200000000000001</v>
      </c>
      <c r="F366" t="s">
        <v>1111</v>
      </c>
      <c r="H366">
        <v>0</v>
      </c>
    </row>
    <row r="367" spans="1:8" x14ac:dyDescent="0.25">
      <c r="A367" t="s">
        <v>1112</v>
      </c>
      <c r="B367" t="s">
        <v>401</v>
      </c>
      <c r="C367">
        <v>3</v>
      </c>
      <c r="D367" t="s">
        <v>145</v>
      </c>
      <c r="E367">
        <v>0.503</v>
      </c>
      <c r="F367" t="s">
        <v>1113</v>
      </c>
      <c r="H367">
        <v>0</v>
      </c>
    </row>
    <row r="368" spans="1:8" x14ac:dyDescent="0.25">
      <c r="A368" t="s">
        <v>1114</v>
      </c>
      <c r="B368" t="s">
        <v>401</v>
      </c>
      <c r="C368">
        <v>4</v>
      </c>
      <c r="D368" t="s">
        <v>145</v>
      </c>
      <c r="E368">
        <v>0.495</v>
      </c>
      <c r="F368" t="s">
        <v>1115</v>
      </c>
      <c r="H368">
        <v>0</v>
      </c>
    </row>
    <row r="369" spans="1:8" x14ac:dyDescent="0.25">
      <c r="A369" t="s">
        <v>1116</v>
      </c>
      <c r="B369" t="s">
        <v>401</v>
      </c>
      <c r="C369">
        <v>5</v>
      </c>
      <c r="D369" t="s">
        <v>145</v>
      </c>
      <c r="E369">
        <v>0.41599999999999998</v>
      </c>
      <c r="F369" t="s">
        <v>1117</v>
      </c>
      <c r="H369">
        <v>0</v>
      </c>
    </row>
    <row r="370" spans="1:8" x14ac:dyDescent="0.25">
      <c r="A370" t="s">
        <v>1118</v>
      </c>
      <c r="B370" t="s">
        <v>401</v>
      </c>
      <c r="C370">
        <v>6</v>
      </c>
      <c r="D370" t="s">
        <v>145</v>
      </c>
      <c r="E370">
        <v>6.9000000000000006E-2</v>
      </c>
      <c r="F370" t="s">
        <v>1119</v>
      </c>
      <c r="H370">
        <v>0</v>
      </c>
    </row>
    <row r="371" spans="1:8" x14ac:dyDescent="0.25">
      <c r="A371" t="s">
        <v>1120</v>
      </c>
      <c r="B371" t="s">
        <v>401</v>
      </c>
      <c r="C371">
        <v>7</v>
      </c>
      <c r="D371" t="s">
        <v>145</v>
      </c>
      <c r="E371">
        <v>0.54700000000000004</v>
      </c>
      <c r="F371" t="s">
        <v>1121</v>
      </c>
      <c r="H371">
        <v>0</v>
      </c>
    </row>
    <row r="372" spans="1:8" x14ac:dyDescent="0.25">
      <c r="A372" t="s">
        <v>1122</v>
      </c>
      <c r="B372" t="s">
        <v>401</v>
      </c>
      <c r="C372">
        <v>8</v>
      </c>
      <c r="D372" t="s">
        <v>145</v>
      </c>
      <c r="E372">
        <v>0.13900000000000001</v>
      </c>
      <c r="F372" t="s">
        <v>1123</v>
      </c>
      <c r="H372">
        <v>0</v>
      </c>
    </row>
    <row r="373" spans="1:8" x14ac:dyDescent="0.25">
      <c r="A373" t="s">
        <v>1124</v>
      </c>
      <c r="B373" t="s">
        <v>401</v>
      </c>
      <c r="C373">
        <v>9</v>
      </c>
      <c r="D373" t="s">
        <v>145</v>
      </c>
      <c r="E373">
        <v>0.40600000000000003</v>
      </c>
      <c r="F373" t="s">
        <v>1125</v>
      </c>
      <c r="H373">
        <v>0</v>
      </c>
    </row>
    <row r="374" spans="1:8" x14ac:dyDescent="0.25">
      <c r="A374" t="s">
        <v>1126</v>
      </c>
      <c r="B374" t="s">
        <v>401</v>
      </c>
      <c r="C374">
        <v>10</v>
      </c>
      <c r="D374" t="s">
        <v>145</v>
      </c>
      <c r="E374">
        <v>0.7</v>
      </c>
      <c r="F374" t="s">
        <v>1127</v>
      </c>
      <c r="H374">
        <v>0</v>
      </c>
    </row>
    <row r="375" spans="1:8" x14ac:dyDescent="0.25">
      <c r="A375" t="s">
        <v>1128</v>
      </c>
      <c r="B375" t="s">
        <v>401</v>
      </c>
      <c r="C375">
        <v>11</v>
      </c>
      <c r="D375" t="s">
        <v>145</v>
      </c>
      <c r="E375">
        <v>1.4E-2</v>
      </c>
      <c r="F375" t="s">
        <v>1129</v>
      </c>
      <c r="H375">
        <v>0</v>
      </c>
    </row>
    <row r="376" spans="1:8" x14ac:dyDescent="0.25">
      <c r="A376" t="s">
        <v>1130</v>
      </c>
      <c r="B376" t="s">
        <v>401</v>
      </c>
      <c r="C376">
        <v>12</v>
      </c>
      <c r="D376" t="s">
        <v>145</v>
      </c>
      <c r="E376">
        <v>0.88800000000000001</v>
      </c>
      <c r="F376" t="s">
        <v>1131</v>
      </c>
      <c r="H376">
        <v>0</v>
      </c>
    </row>
    <row r="377" spans="1:8" x14ac:dyDescent="0.25">
      <c r="A377" t="s">
        <v>1132</v>
      </c>
      <c r="B377" t="s">
        <v>401</v>
      </c>
      <c r="C377">
        <v>13</v>
      </c>
      <c r="D377" t="s">
        <v>145</v>
      </c>
      <c r="E377">
        <v>0.745</v>
      </c>
      <c r="F377" t="s">
        <v>1133</v>
      </c>
      <c r="H377">
        <v>0</v>
      </c>
    </row>
    <row r="378" spans="1:8" x14ac:dyDescent="0.25">
      <c r="A378" t="s">
        <v>1134</v>
      </c>
      <c r="B378" t="s">
        <v>401</v>
      </c>
      <c r="C378">
        <v>14</v>
      </c>
      <c r="D378" t="s">
        <v>145</v>
      </c>
      <c r="E378">
        <v>0.91100000000000003</v>
      </c>
      <c r="F378" t="s">
        <v>1135</v>
      </c>
      <c r="H378">
        <v>0</v>
      </c>
    </row>
    <row r="379" spans="1:8" x14ac:dyDescent="0.25">
      <c r="A379" t="s">
        <v>1136</v>
      </c>
      <c r="B379" t="s">
        <v>401</v>
      </c>
      <c r="C379">
        <v>15</v>
      </c>
      <c r="D379" t="s">
        <v>145</v>
      </c>
      <c r="E379">
        <v>3.4660000000000002</v>
      </c>
      <c r="F379" t="s">
        <v>1137</v>
      </c>
      <c r="G379">
        <v>3.4664999999999999</v>
      </c>
      <c r="H379">
        <v>3</v>
      </c>
    </row>
    <row r="380" spans="1:8" x14ac:dyDescent="0.25">
      <c r="A380" t="s">
        <v>1138</v>
      </c>
      <c r="B380" t="s">
        <v>401</v>
      </c>
      <c r="C380">
        <v>16</v>
      </c>
      <c r="D380" t="s">
        <v>145</v>
      </c>
      <c r="E380">
        <v>1.843</v>
      </c>
      <c r="F380" t="s">
        <v>1139</v>
      </c>
      <c r="H380">
        <v>1</v>
      </c>
    </row>
    <row r="381" spans="1:8" x14ac:dyDescent="0.25">
      <c r="A381" t="s">
        <v>1140</v>
      </c>
      <c r="B381" t="s">
        <v>401</v>
      </c>
      <c r="C381">
        <v>17</v>
      </c>
      <c r="D381" t="s">
        <v>145</v>
      </c>
      <c r="E381">
        <v>9.4329999999999998</v>
      </c>
      <c r="F381" t="s">
        <v>1141</v>
      </c>
      <c r="H381">
        <v>9</v>
      </c>
    </row>
    <row r="382" spans="1:8" x14ac:dyDescent="0.25">
      <c r="A382" t="s">
        <v>1142</v>
      </c>
      <c r="B382" t="s">
        <v>401</v>
      </c>
      <c r="C382">
        <v>18</v>
      </c>
      <c r="D382" t="s">
        <v>145</v>
      </c>
      <c r="E382">
        <v>1.9790000000000001</v>
      </c>
      <c r="F382" t="s">
        <v>1143</v>
      </c>
      <c r="H382">
        <v>1</v>
      </c>
    </row>
    <row r="383" spans="1:8" x14ac:dyDescent="0.25">
      <c r="A383" t="s">
        <v>1144</v>
      </c>
      <c r="B383" t="s">
        <v>401</v>
      </c>
      <c r="C383">
        <v>19</v>
      </c>
      <c r="D383" t="s">
        <v>145</v>
      </c>
      <c r="E383">
        <v>1.1519999999999999</v>
      </c>
      <c r="F383" t="s">
        <v>1145</v>
      </c>
      <c r="G383">
        <v>1.1524000000000001</v>
      </c>
      <c r="H383">
        <v>1</v>
      </c>
    </row>
    <row r="384" spans="1:8" x14ac:dyDescent="0.25">
      <c r="A384" t="s">
        <v>1146</v>
      </c>
      <c r="B384" t="s">
        <v>401</v>
      </c>
      <c r="C384">
        <v>20</v>
      </c>
      <c r="D384" t="s">
        <v>145</v>
      </c>
      <c r="E384">
        <v>0.997</v>
      </c>
      <c r="F384" t="s">
        <v>1147</v>
      </c>
      <c r="H384">
        <v>0</v>
      </c>
    </row>
    <row r="385" spans="1:8" x14ac:dyDescent="0.25">
      <c r="A385" t="s">
        <v>1148</v>
      </c>
      <c r="B385" t="s">
        <v>405</v>
      </c>
      <c r="C385">
        <v>1</v>
      </c>
      <c r="D385" t="s">
        <v>146</v>
      </c>
      <c r="E385">
        <v>0.85299999999999998</v>
      </c>
      <c r="F385" t="s">
        <v>1149</v>
      </c>
      <c r="H385">
        <v>0</v>
      </c>
    </row>
    <row r="386" spans="1:8" x14ac:dyDescent="0.25">
      <c r="A386" t="s">
        <v>1150</v>
      </c>
      <c r="B386" t="s">
        <v>405</v>
      </c>
      <c r="C386">
        <v>2</v>
      </c>
      <c r="D386" t="s">
        <v>146</v>
      </c>
      <c r="E386">
        <v>0.1273</v>
      </c>
      <c r="F386" t="s">
        <v>1151</v>
      </c>
      <c r="H386">
        <v>0</v>
      </c>
    </row>
    <row r="387" spans="1:8" x14ac:dyDescent="0.25">
      <c r="A387" t="s">
        <v>1152</v>
      </c>
      <c r="B387" t="s">
        <v>405</v>
      </c>
      <c r="C387">
        <v>3</v>
      </c>
      <c r="D387" t="s">
        <v>146</v>
      </c>
      <c r="E387">
        <v>0.75819999999999999</v>
      </c>
      <c r="F387" t="s">
        <v>1153</v>
      </c>
      <c r="H387">
        <v>0</v>
      </c>
    </row>
    <row r="388" spans="1:8" x14ac:dyDescent="0.25">
      <c r="A388" t="s">
        <v>1154</v>
      </c>
      <c r="B388" t="s">
        <v>405</v>
      </c>
      <c r="C388">
        <v>4</v>
      </c>
      <c r="D388" t="s">
        <v>146</v>
      </c>
      <c r="E388">
        <v>0.88900000000000001</v>
      </c>
      <c r="F388" t="s">
        <v>1155</v>
      </c>
      <c r="H388">
        <v>0</v>
      </c>
    </row>
    <row r="389" spans="1:8" x14ac:dyDescent="0.25">
      <c r="A389" t="s">
        <v>1156</v>
      </c>
      <c r="B389" t="s">
        <v>405</v>
      </c>
      <c r="C389">
        <v>5</v>
      </c>
      <c r="D389" t="s">
        <v>146</v>
      </c>
      <c r="E389">
        <v>0.1178</v>
      </c>
      <c r="F389" t="s">
        <v>1157</v>
      </c>
      <c r="H389">
        <v>0</v>
      </c>
    </row>
    <row r="390" spans="1:8" x14ac:dyDescent="0.25">
      <c r="A390" t="s">
        <v>1158</v>
      </c>
      <c r="B390" t="s">
        <v>405</v>
      </c>
      <c r="C390">
        <v>6</v>
      </c>
      <c r="D390" t="s">
        <v>146</v>
      </c>
      <c r="E390">
        <v>0.79079999999999995</v>
      </c>
      <c r="F390" t="s">
        <v>1159</v>
      </c>
      <c r="H390">
        <v>0</v>
      </c>
    </row>
    <row r="391" spans="1:8" x14ac:dyDescent="0.25">
      <c r="A391" t="s">
        <v>1160</v>
      </c>
      <c r="B391" t="s">
        <v>405</v>
      </c>
      <c r="C391">
        <v>7</v>
      </c>
      <c r="D391" t="s">
        <v>146</v>
      </c>
      <c r="E391">
        <v>0.85919999999999996</v>
      </c>
      <c r="F391" t="s">
        <v>1161</v>
      </c>
      <c r="H391">
        <v>0</v>
      </c>
    </row>
    <row r="392" spans="1:8" x14ac:dyDescent="0.25">
      <c r="A392" t="s">
        <v>1162</v>
      </c>
      <c r="B392" t="s">
        <v>405</v>
      </c>
      <c r="C392">
        <v>8</v>
      </c>
      <c r="D392" t="s">
        <v>146</v>
      </c>
      <c r="E392">
        <v>8.7499999999999994E-2</v>
      </c>
      <c r="F392" t="s">
        <v>1163</v>
      </c>
      <c r="H392">
        <v>0</v>
      </c>
    </row>
    <row r="393" spans="1:8" x14ac:dyDescent="0.25">
      <c r="A393" t="s">
        <v>1164</v>
      </c>
      <c r="B393" t="s">
        <v>405</v>
      </c>
      <c r="C393">
        <v>9</v>
      </c>
      <c r="D393" t="s">
        <v>146</v>
      </c>
      <c r="E393">
        <v>0.56730000000000003</v>
      </c>
      <c r="F393" t="s">
        <v>1165</v>
      </c>
      <c r="H393">
        <v>0</v>
      </c>
    </row>
    <row r="394" spans="1:8" x14ac:dyDescent="0.25">
      <c r="A394" t="s">
        <v>1166</v>
      </c>
      <c r="B394" t="s">
        <v>405</v>
      </c>
      <c r="C394">
        <v>10</v>
      </c>
      <c r="D394" t="s">
        <v>146</v>
      </c>
      <c r="E394">
        <v>7.9500000000000001E-2</v>
      </c>
      <c r="F394" t="s">
        <v>1167</v>
      </c>
      <c r="H394">
        <v>0</v>
      </c>
    </row>
    <row r="395" spans="1:8" x14ac:dyDescent="0.25">
      <c r="A395" t="s">
        <v>1168</v>
      </c>
      <c r="B395" t="s">
        <v>405</v>
      </c>
      <c r="C395">
        <v>11</v>
      </c>
      <c r="D395" t="s">
        <v>146</v>
      </c>
      <c r="E395">
        <v>0.88990000000000002</v>
      </c>
      <c r="F395" t="s">
        <v>1169</v>
      </c>
      <c r="H395">
        <v>0</v>
      </c>
    </row>
    <row r="396" spans="1:8" x14ac:dyDescent="0.25">
      <c r="A396" t="s">
        <v>1170</v>
      </c>
      <c r="B396" t="s">
        <v>405</v>
      </c>
      <c r="C396">
        <v>12</v>
      </c>
      <c r="D396" t="s">
        <v>146</v>
      </c>
      <c r="E396">
        <v>0.82089999999999996</v>
      </c>
      <c r="F396" t="s">
        <v>1171</v>
      </c>
      <c r="H396">
        <v>0</v>
      </c>
    </row>
    <row r="397" spans="1:8" x14ac:dyDescent="0.25">
      <c r="A397" t="s">
        <v>1172</v>
      </c>
      <c r="B397" t="s">
        <v>405</v>
      </c>
      <c r="C397">
        <v>13</v>
      </c>
      <c r="D397" t="s">
        <v>146</v>
      </c>
      <c r="E397">
        <v>0.3609</v>
      </c>
      <c r="F397" t="s">
        <v>1173</v>
      </c>
      <c r="H397">
        <v>0</v>
      </c>
    </row>
    <row r="398" spans="1:8" x14ac:dyDescent="0.25">
      <c r="A398" t="s">
        <v>1174</v>
      </c>
      <c r="B398" t="s">
        <v>405</v>
      </c>
      <c r="C398">
        <v>14</v>
      </c>
      <c r="D398" t="s">
        <v>146</v>
      </c>
      <c r="E398">
        <v>0.27360000000000001</v>
      </c>
      <c r="F398" t="s">
        <v>1175</v>
      </c>
      <c r="H398">
        <v>0</v>
      </c>
    </row>
    <row r="399" spans="1:8" x14ac:dyDescent="0.25">
      <c r="A399" t="s">
        <v>1176</v>
      </c>
      <c r="B399" t="s">
        <v>405</v>
      </c>
      <c r="C399">
        <v>15</v>
      </c>
      <c r="D399" t="s">
        <v>146</v>
      </c>
      <c r="E399">
        <v>1.7253000000000001</v>
      </c>
      <c r="F399" t="s">
        <v>1177</v>
      </c>
      <c r="H399">
        <v>1</v>
      </c>
    </row>
    <row r="400" spans="1:8" x14ac:dyDescent="0.25">
      <c r="A400" t="s">
        <v>1178</v>
      </c>
      <c r="B400" t="s">
        <v>405</v>
      </c>
      <c r="C400">
        <v>16</v>
      </c>
      <c r="D400" t="s">
        <v>146</v>
      </c>
      <c r="E400">
        <v>9</v>
      </c>
      <c r="F400" t="s">
        <v>1179</v>
      </c>
      <c r="H400">
        <v>9</v>
      </c>
    </row>
    <row r="401" spans="1:8" x14ac:dyDescent="0.25">
      <c r="A401" t="s">
        <v>1180</v>
      </c>
      <c r="B401" t="s">
        <v>405</v>
      </c>
      <c r="C401">
        <v>17</v>
      </c>
      <c r="D401" t="s">
        <v>146</v>
      </c>
      <c r="E401">
        <v>0.93520000000000003</v>
      </c>
      <c r="F401" t="s">
        <v>1181</v>
      </c>
      <c r="H401">
        <v>0</v>
      </c>
    </row>
    <row r="402" spans="1:8" x14ac:dyDescent="0.25">
      <c r="A402" t="s">
        <v>1182</v>
      </c>
      <c r="B402" t="s">
        <v>405</v>
      </c>
      <c r="C402">
        <v>18</v>
      </c>
      <c r="D402" t="s">
        <v>146</v>
      </c>
      <c r="E402">
        <v>0.63290000000000002</v>
      </c>
      <c r="F402" t="s">
        <v>1183</v>
      </c>
      <c r="H402">
        <v>0</v>
      </c>
    </row>
    <row r="403" spans="1:8" x14ac:dyDescent="0.25">
      <c r="A403" t="s">
        <v>1184</v>
      </c>
      <c r="B403" t="s">
        <v>405</v>
      </c>
      <c r="C403">
        <v>19</v>
      </c>
      <c r="D403" t="s">
        <v>146</v>
      </c>
      <c r="E403">
        <v>8.5571999999999999</v>
      </c>
      <c r="F403" t="s">
        <v>1185</v>
      </c>
      <c r="H403">
        <v>8</v>
      </c>
    </row>
    <row r="404" spans="1:8" x14ac:dyDescent="0.25">
      <c r="A404" t="s">
        <v>1186</v>
      </c>
      <c r="B404" t="s">
        <v>405</v>
      </c>
      <c r="C404">
        <v>20</v>
      </c>
      <c r="D404" t="s">
        <v>146</v>
      </c>
      <c r="E404">
        <v>8.7086000000000006</v>
      </c>
      <c r="F404" t="s">
        <v>1187</v>
      </c>
      <c r="H404">
        <v>8</v>
      </c>
    </row>
    <row r="405" spans="1:8" x14ac:dyDescent="0.25">
      <c r="A405" t="s">
        <v>1188</v>
      </c>
      <c r="B405" t="s">
        <v>409</v>
      </c>
      <c r="C405">
        <v>41</v>
      </c>
      <c r="D405" t="s">
        <v>142</v>
      </c>
      <c r="E405">
        <v>259.74</v>
      </c>
      <c r="F405" t="s">
        <v>1189</v>
      </c>
      <c r="H405">
        <v>250</v>
      </c>
    </row>
    <row r="406" spans="1:8" x14ac:dyDescent="0.25">
      <c r="A406" t="s">
        <v>1190</v>
      </c>
      <c r="B406" t="s">
        <v>409</v>
      </c>
      <c r="C406">
        <v>42</v>
      </c>
      <c r="D406" t="s">
        <v>142</v>
      </c>
      <c r="E406">
        <v>198.84</v>
      </c>
      <c r="F406" t="s">
        <v>1191</v>
      </c>
      <c r="H406">
        <v>175</v>
      </c>
    </row>
    <row r="407" spans="1:8" x14ac:dyDescent="0.25">
      <c r="A407" t="s">
        <v>1192</v>
      </c>
      <c r="B407" t="s">
        <v>409</v>
      </c>
      <c r="C407">
        <v>43</v>
      </c>
      <c r="D407" t="s">
        <v>142</v>
      </c>
      <c r="E407">
        <v>124.21</v>
      </c>
      <c r="F407" t="s">
        <v>1193</v>
      </c>
      <c r="H407">
        <v>100</v>
      </c>
    </row>
    <row r="408" spans="1:8" x14ac:dyDescent="0.25">
      <c r="A408" t="s">
        <v>1194</v>
      </c>
      <c r="B408" t="s">
        <v>409</v>
      </c>
      <c r="C408">
        <v>44</v>
      </c>
      <c r="D408" t="s">
        <v>142</v>
      </c>
      <c r="E408">
        <v>180.46</v>
      </c>
      <c r="F408" t="s">
        <v>1195</v>
      </c>
      <c r="H408">
        <v>175</v>
      </c>
    </row>
    <row r="409" spans="1:8" x14ac:dyDescent="0.25">
      <c r="A409" t="s">
        <v>1196</v>
      </c>
      <c r="B409" t="s">
        <v>409</v>
      </c>
      <c r="C409">
        <v>45</v>
      </c>
      <c r="D409" t="s">
        <v>142</v>
      </c>
      <c r="E409">
        <v>284.64</v>
      </c>
      <c r="F409" t="s">
        <v>1197</v>
      </c>
      <c r="H409">
        <v>275</v>
      </c>
    </row>
    <row r="410" spans="1:8" x14ac:dyDescent="0.25">
      <c r="A410" t="s">
        <v>1198</v>
      </c>
      <c r="B410" t="s">
        <v>409</v>
      </c>
      <c r="C410">
        <v>46</v>
      </c>
      <c r="D410" t="s">
        <v>142</v>
      </c>
      <c r="E410">
        <v>58.95</v>
      </c>
      <c r="F410" t="s">
        <v>1199</v>
      </c>
      <c r="H410">
        <v>50</v>
      </c>
    </row>
    <row r="411" spans="1:8" x14ac:dyDescent="0.25">
      <c r="A411" t="s">
        <v>1200</v>
      </c>
      <c r="B411" t="s">
        <v>409</v>
      </c>
      <c r="C411">
        <v>47</v>
      </c>
      <c r="D411" t="s">
        <v>142</v>
      </c>
      <c r="E411">
        <v>283.20999999999998</v>
      </c>
      <c r="F411" t="s">
        <v>1201</v>
      </c>
      <c r="H411">
        <v>275</v>
      </c>
    </row>
    <row r="412" spans="1:8" x14ac:dyDescent="0.25">
      <c r="A412" t="s">
        <v>1202</v>
      </c>
      <c r="B412" t="s">
        <v>409</v>
      </c>
      <c r="C412">
        <v>48</v>
      </c>
      <c r="D412" t="s">
        <v>142</v>
      </c>
      <c r="E412">
        <v>156.16</v>
      </c>
      <c r="F412" t="s">
        <v>1203</v>
      </c>
      <c r="H412">
        <v>150</v>
      </c>
    </row>
    <row r="413" spans="1:8" x14ac:dyDescent="0.25">
      <c r="A413" t="s">
        <v>1204</v>
      </c>
      <c r="B413" t="s">
        <v>409</v>
      </c>
      <c r="C413">
        <v>49</v>
      </c>
      <c r="D413" t="s">
        <v>142</v>
      </c>
      <c r="E413">
        <v>71</v>
      </c>
      <c r="F413" t="s">
        <v>1205</v>
      </c>
      <c r="H413">
        <v>50</v>
      </c>
    </row>
    <row r="414" spans="1:8" x14ac:dyDescent="0.25">
      <c r="A414" t="s">
        <v>1206</v>
      </c>
      <c r="B414" t="s">
        <v>409</v>
      </c>
      <c r="C414">
        <v>50</v>
      </c>
      <c r="D414" t="s">
        <v>142</v>
      </c>
      <c r="E414">
        <v>223.01</v>
      </c>
      <c r="F414" t="s">
        <v>1207</v>
      </c>
      <c r="G414">
        <v>223.01499999999999</v>
      </c>
      <c r="H414">
        <v>200</v>
      </c>
    </row>
    <row r="415" spans="1:8" x14ac:dyDescent="0.25">
      <c r="A415" t="s">
        <v>1208</v>
      </c>
      <c r="B415" t="s">
        <v>409</v>
      </c>
      <c r="C415">
        <v>51</v>
      </c>
      <c r="D415" t="s">
        <v>142</v>
      </c>
      <c r="E415">
        <v>274.62</v>
      </c>
      <c r="F415" t="s">
        <v>1209</v>
      </c>
      <c r="G415">
        <v>274.62200000000001</v>
      </c>
      <c r="H415">
        <v>250</v>
      </c>
    </row>
    <row r="416" spans="1:8" x14ac:dyDescent="0.25">
      <c r="A416" t="s">
        <v>1210</v>
      </c>
      <c r="B416" t="s">
        <v>409</v>
      </c>
      <c r="C416">
        <v>52</v>
      </c>
      <c r="D416" t="s">
        <v>142</v>
      </c>
      <c r="E416">
        <v>287.89999999999998</v>
      </c>
      <c r="F416" t="s">
        <v>1211</v>
      </c>
      <c r="G416">
        <v>287.90600000000001</v>
      </c>
      <c r="H416">
        <v>275</v>
      </c>
    </row>
    <row r="417" spans="1:8" x14ac:dyDescent="0.25">
      <c r="A417" t="s">
        <v>1212</v>
      </c>
      <c r="B417" t="s">
        <v>409</v>
      </c>
      <c r="C417">
        <v>53</v>
      </c>
      <c r="D417" t="s">
        <v>142</v>
      </c>
      <c r="E417">
        <v>174.61</v>
      </c>
      <c r="F417" t="s">
        <v>1213</v>
      </c>
      <c r="G417">
        <v>174.61799999999999</v>
      </c>
      <c r="H417">
        <v>150</v>
      </c>
    </row>
    <row r="418" spans="1:8" x14ac:dyDescent="0.25">
      <c r="A418" t="s">
        <v>1214</v>
      </c>
      <c r="B418" t="s">
        <v>409</v>
      </c>
      <c r="C418">
        <v>54</v>
      </c>
      <c r="D418" t="s">
        <v>142</v>
      </c>
      <c r="E418">
        <v>69.709999999999994</v>
      </c>
      <c r="F418" t="s">
        <v>1215</v>
      </c>
      <c r="G418">
        <v>69.712999999999994</v>
      </c>
      <c r="H418">
        <v>50</v>
      </c>
    </row>
    <row r="419" spans="1:8" x14ac:dyDescent="0.25">
      <c r="A419" t="s">
        <v>1216</v>
      </c>
      <c r="B419" t="s">
        <v>409</v>
      </c>
      <c r="C419">
        <v>55</v>
      </c>
      <c r="D419" t="s">
        <v>142</v>
      </c>
      <c r="E419">
        <v>29.34</v>
      </c>
      <c r="F419" t="s">
        <v>1217</v>
      </c>
      <c r="G419">
        <v>29.344999999999999</v>
      </c>
      <c r="H419">
        <v>25</v>
      </c>
    </row>
    <row r="420" spans="1:8" x14ac:dyDescent="0.25">
      <c r="A420" t="s">
        <v>1218</v>
      </c>
      <c r="B420" t="s">
        <v>409</v>
      </c>
      <c r="C420">
        <v>56</v>
      </c>
      <c r="D420" t="s">
        <v>142</v>
      </c>
      <c r="E420">
        <v>103.35</v>
      </c>
      <c r="F420" t="s">
        <v>1219</v>
      </c>
      <c r="G420">
        <v>103.357</v>
      </c>
      <c r="H420">
        <v>100</v>
      </c>
    </row>
    <row r="421" spans="1:8" x14ac:dyDescent="0.25">
      <c r="A421" t="s">
        <v>1220</v>
      </c>
      <c r="B421" t="s">
        <v>409</v>
      </c>
      <c r="C421">
        <v>57</v>
      </c>
      <c r="D421" t="s">
        <v>142</v>
      </c>
      <c r="E421">
        <v>148.87</v>
      </c>
      <c r="F421" t="s">
        <v>1221</v>
      </c>
      <c r="H421">
        <v>125</v>
      </c>
    </row>
    <row r="422" spans="1:8" x14ac:dyDescent="0.25">
      <c r="A422" t="s">
        <v>1222</v>
      </c>
      <c r="B422" t="s">
        <v>409</v>
      </c>
      <c r="C422">
        <v>58</v>
      </c>
      <c r="D422" t="s">
        <v>142</v>
      </c>
      <c r="E422">
        <v>17.57</v>
      </c>
      <c r="F422" t="s">
        <v>1223</v>
      </c>
      <c r="H422">
        <v>0</v>
      </c>
    </row>
    <row r="423" spans="1:8" x14ac:dyDescent="0.25">
      <c r="A423" t="s">
        <v>1224</v>
      </c>
      <c r="B423" t="s">
        <v>409</v>
      </c>
      <c r="C423">
        <v>59</v>
      </c>
      <c r="D423" t="s">
        <v>142</v>
      </c>
      <c r="E423">
        <v>66.010000000000005</v>
      </c>
      <c r="F423" t="s">
        <v>1225</v>
      </c>
      <c r="G423">
        <v>66.013999999999996</v>
      </c>
      <c r="H423">
        <v>50</v>
      </c>
    </row>
    <row r="424" spans="1:8" x14ac:dyDescent="0.25">
      <c r="A424" t="s">
        <v>1226</v>
      </c>
      <c r="B424" t="s">
        <v>409</v>
      </c>
      <c r="C424">
        <v>60</v>
      </c>
      <c r="D424" t="s">
        <v>142</v>
      </c>
      <c r="E424">
        <v>250.62</v>
      </c>
      <c r="F424" t="s">
        <v>1227</v>
      </c>
      <c r="G424">
        <v>250.62299999999999</v>
      </c>
      <c r="H424">
        <v>250</v>
      </c>
    </row>
    <row r="425" spans="1:8" x14ac:dyDescent="0.25">
      <c r="A425" t="s">
        <v>1228</v>
      </c>
      <c r="B425" t="s">
        <v>413</v>
      </c>
      <c r="C425">
        <v>21</v>
      </c>
      <c r="D425" t="s">
        <v>143</v>
      </c>
      <c r="E425">
        <v>56.005000000000003</v>
      </c>
      <c r="F425" t="s">
        <v>1229</v>
      </c>
      <c r="H425">
        <v>50</v>
      </c>
    </row>
    <row r="426" spans="1:8" x14ac:dyDescent="0.25">
      <c r="A426" t="s">
        <v>1230</v>
      </c>
      <c r="B426" t="s">
        <v>413</v>
      </c>
      <c r="C426">
        <v>22</v>
      </c>
      <c r="D426" t="s">
        <v>143</v>
      </c>
      <c r="E426">
        <v>59.112000000000002</v>
      </c>
      <c r="F426" t="s">
        <v>1231</v>
      </c>
      <c r="H426">
        <v>50</v>
      </c>
    </row>
    <row r="427" spans="1:8" x14ac:dyDescent="0.25">
      <c r="A427" t="s">
        <v>1232</v>
      </c>
      <c r="B427" t="s">
        <v>413</v>
      </c>
      <c r="C427">
        <v>23</v>
      </c>
      <c r="D427" t="s">
        <v>143</v>
      </c>
      <c r="E427">
        <v>291.584</v>
      </c>
      <c r="F427" t="s">
        <v>1233</v>
      </c>
      <c r="H427">
        <v>275</v>
      </c>
    </row>
    <row r="428" spans="1:8" x14ac:dyDescent="0.25">
      <c r="A428" t="s">
        <v>1234</v>
      </c>
      <c r="B428" t="s">
        <v>413</v>
      </c>
      <c r="C428">
        <v>24</v>
      </c>
      <c r="D428" t="s">
        <v>143</v>
      </c>
      <c r="E428">
        <v>240.191</v>
      </c>
      <c r="F428" t="s">
        <v>1235</v>
      </c>
      <c r="H428">
        <v>225</v>
      </c>
    </row>
    <row r="429" spans="1:8" x14ac:dyDescent="0.25">
      <c r="A429" t="s">
        <v>1236</v>
      </c>
      <c r="B429" t="s">
        <v>413</v>
      </c>
      <c r="C429">
        <v>25</v>
      </c>
      <c r="D429" t="s">
        <v>143</v>
      </c>
      <c r="E429">
        <v>79.373999999999995</v>
      </c>
      <c r="F429" t="s">
        <v>1237</v>
      </c>
      <c r="H429">
        <v>75</v>
      </c>
    </row>
    <row r="430" spans="1:8" x14ac:dyDescent="0.25">
      <c r="A430" t="s">
        <v>1238</v>
      </c>
      <c r="B430" t="s">
        <v>413</v>
      </c>
      <c r="C430">
        <v>26</v>
      </c>
      <c r="D430" t="s">
        <v>143</v>
      </c>
      <c r="E430">
        <v>103.07899999999999</v>
      </c>
      <c r="F430" t="s">
        <v>1239</v>
      </c>
      <c r="H430">
        <v>100</v>
      </c>
    </row>
    <row r="431" spans="1:8" x14ac:dyDescent="0.25">
      <c r="A431" t="s">
        <v>1240</v>
      </c>
      <c r="B431" t="s">
        <v>413</v>
      </c>
      <c r="C431">
        <v>27</v>
      </c>
      <c r="D431" t="s">
        <v>143</v>
      </c>
      <c r="E431">
        <v>7.9569999999999999</v>
      </c>
      <c r="F431" t="s">
        <v>1241</v>
      </c>
      <c r="H431">
        <v>0</v>
      </c>
    </row>
    <row r="432" spans="1:8" x14ac:dyDescent="0.25">
      <c r="A432" t="s">
        <v>1242</v>
      </c>
      <c r="B432" t="s">
        <v>413</v>
      </c>
      <c r="C432">
        <v>28</v>
      </c>
      <c r="D432" t="s">
        <v>143</v>
      </c>
      <c r="E432">
        <v>296.14699999999999</v>
      </c>
      <c r="F432" t="s">
        <v>1243</v>
      </c>
      <c r="H432">
        <v>275</v>
      </c>
    </row>
    <row r="433" spans="1:8" x14ac:dyDescent="0.25">
      <c r="A433" t="s">
        <v>1244</v>
      </c>
      <c r="B433" t="s">
        <v>413</v>
      </c>
      <c r="C433">
        <v>29</v>
      </c>
      <c r="D433" t="s">
        <v>143</v>
      </c>
      <c r="E433">
        <v>131.58000000000001</v>
      </c>
      <c r="F433" t="s">
        <v>1245</v>
      </c>
      <c r="H433">
        <v>125</v>
      </c>
    </row>
    <row r="434" spans="1:8" x14ac:dyDescent="0.25">
      <c r="A434" t="s">
        <v>1246</v>
      </c>
      <c r="B434" t="s">
        <v>413</v>
      </c>
      <c r="C434">
        <v>30</v>
      </c>
      <c r="D434" t="s">
        <v>143</v>
      </c>
      <c r="E434">
        <v>293.30500000000001</v>
      </c>
      <c r="F434" t="s">
        <v>1247</v>
      </c>
      <c r="H434">
        <v>275</v>
      </c>
    </row>
    <row r="435" spans="1:8" x14ac:dyDescent="0.25">
      <c r="A435" t="s">
        <v>1248</v>
      </c>
      <c r="B435" t="s">
        <v>413</v>
      </c>
      <c r="C435">
        <v>31</v>
      </c>
      <c r="D435" t="s">
        <v>143</v>
      </c>
      <c r="E435">
        <v>2.4809999999999999</v>
      </c>
      <c r="F435" t="s">
        <v>1249</v>
      </c>
      <c r="H435">
        <v>0</v>
      </c>
    </row>
    <row r="436" spans="1:8" x14ac:dyDescent="0.25">
      <c r="A436" t="s">
        <v>1250</v>
      </c>
      <c r="B436" t="s">
        <v>413</v>
      </c>
      <c r="C436">
        <v>32</v>
      </c>
      <c r="D436" t="s">
        <v>143</v>
      </c>
      <c r="E436">
        <v>52.643999999999998</v>
      </c>
      <c r="F436" t="s">
        <v>1251</v>
      </c>
      <c r="H436">
        <v>50</v>
      </c>
    </row>
    <row r="437" spans="1:8" x14ac:dyDescent="0.25">
      <c r="A437" t="s">
        <v>1252</v>
      </c>
      <c r="B437" t="s">
        <v>413</v>
      </c>
      <c r="C437">
        <v>33</v>
      </c>
      <c r="D437" t="s">
        <v>143</v>
      </c>
      <c r="E437">
        <v>142.446</v>
      </c>
      <c r="F437" t="s">
        <v>1253</v>
      </c>
      <c r="H437">
        <v>125</v>
      </c>
    </row>
    <row r="438" spans="1:8" x14ac:dyDescent="0.25">
      <c r="A438" t="s">
        <v>1254</v>
      </c>
      <c r="B438" t="s">
        <v>413</v>
      </c>
      <c r="C438">
        <v>34</v>
      </c>
      <c r="D438" t="s">
        <v>143</v>
      </c>
      <c r="E438">
        <v>249.72900000000001</v>
      </c>
      <c r="F438" t="s">
        <v>1255</v>
      </c>
      <c r="H438">
        <v>225</v>
      </c>
    </row>
    <row r="439" spans="1:8" x14ac:dyDescent="0.25">
      <c r="A439" t="s">
        <v>1256</v>
      </c>
      <c r="B439" t="s">
        <v>413</v>
      </c>
      <c r="C439">
        <v>35</v>
      </c>
      <c r="D439" t="s">
        <v>143</v>
      </c>
      <c r="E439">
        <v>141.52099999999999</v>
      </c>
      <c r="F439" t="s">
        <v>1257</v>
      </c>
      <c r="H439">
        <v>125</v>
      </c>
    </row>
    <row r="440" spans="1:8" x14ac:dyDescent="0.25">
      <c r="A440" t="s">
        <v>1258</v>
      </c>
      <c r="B440" t="s">
        <v>413</v>
      </c>
      <c r="C440">
        <v>36</v>
      </c>
      <c r="D440" t="s">
        <v>143</v>
      </c>
      <c r="E440">
        <v>284.642</v>
      </c>
      <c r="F440" t="s">
        <v>1259</v>
      </c>
      <c r="H440">
        <v>275</v>
      </c>
    </row>
    <row r="441" spans="1:8" x14ac:dyDescent="0.25">
      <c r="A441" t="s">
        <v>1260</v>
      </c>
      <c r="B441" t="s">
        <v>413</v>
      </c>
      <c r="C441">
        <v>37</v>
      </c>
      <c r="D441" t="s">
        <v>143</v>
      </c>
      <c r="E441">
        <v>193.608</v>
      </c>
      <c r="F441" t="s">
        <v>1261</v>
      </c>
      <c r="H441">
        <v>175</v>
      </c>
    </row>
    <row r="442" spans="1:8" x14ac:dyDescent="0.25">
      <c r="A442" t="s">
        <v>1262</v>
      </c>
      <c r="B442" t="s">
        <v>413</v>
      </c>
      <c r="C442">
        <v>38</v>
      </c>
      <c r="D442" t="s">
        <v>143</v>
      </c>
      <c r="E442">
        <v>216.17400000000001</v>
      </c>
      <c r="F442" t="s">
        <v>1263</v>
      </c>
      <c r="H442">
        <v>200</v>
      </c>
    </row>
    <row r="443" spans="1:8" x14ac:dyDescent="0.25">
      <c r="A443" t="s">
        <v>1264</v>
      </c>
      <c r="B443" t="s">
        <v>413</v>
      </c>
      <c r="C443">
        <v>39</v>
      </c>
      <c r="D443" t="s">
        <v>143</v>
      </c>
      <c r="E443">
        <v>226.83099999999999</v>
      </c>
      <c r="F443" t="s">
        <v>1265</v>
      </c>
      <c r="H443">
        <v>225</v>
      </c>
    </row>
    <row r="444" spans="1:8" x14ac:dyDescent="0.25">
      <c r="A444" t="s">
        <v>1266</v>
      </c>
      <c r="B444" t="s">
        <v>413</v>
      </c>
      <c r="C444">
        <v>40</v>
      </c>
      <c r="D444" t="s">
        <v>143</v>
      </c>
      <c r="E444">
        <v>93.78</v>
      </c>
      <c r="F444" t="s">
        <v>1267</v>
      </c>
      <c r="H444">
        <v>75</v>
      </c>
    </row>
    <row r="445" spans="1:8" x14ac:dyDescent="0.25">
      <c r="A445" t="s">
        <v>1268</v>
      </c>
      <c r="B445" t="s">
        <v>417</v>
      </c>
      <c r="C445">
        <v>41</v>
      </c>
      <c r="D445" t="s">
        <v>143</v>
      </c>
      <c r="E445">
        <v>44.856000000000002</v>
      </c>
      <c r="F445" t="s">
        <v>1269</v>
      </c>
      <c r="H445">
        <v>25</v>
      </c>
    </row>
    <row r="446" spans="1:8" x14ac:dyDescent="0.25">
      <c r="A446" t="s">
        <v>1270</v>
      </c>
      <c r="B446" t="s">
        <v>417</v>
      </c>
      <c r="C446">
        <v>42</v>
      </c>
      <c r="D446" t="s">
        <v>143</v>
      </c>
      <c r="E446">
        <v>153.89400000000001</v>
      </c>
      <c r="F446" t="s">
        <v>1271</v>
      </c>
      <c r="H446">
        <v>150</v>
      </c>
    </row>
    <row r="447" spans="1:8" x14ac:dyDescent="0.25">
      <c r="A447" t="s">
        <v>1272</v>
      </c>
      <c r="B447" t="s">
        <v>417</v>
      </c>
      <c r="C447">
        <v>43</v>
      </c>
      <c r="D447" t="s">
        <v>143</v>
      </c>
      <c r="E447">
        <v>162.22999999999999</v>
      </c>
      <c r="F447" t="s">
        <v>1273</v>
      </c>
      <c r="H447">
        <v>150</v>
      </c>
    </row>
    <row r="448" spans="1:8" x14ac:dyDescent="0.25">
      <c r="A448" t="s">
        <v>1274</v>
      </c>
      <c r="B448" t="s">
        <v>417</v>
      </c>
      <c r="C448">
        <v>44</v>
      </c>
      <c r="D448" t="s">
        <v>143</v>
      </c>
      <c r="E448">
        <v>139.405</v>
      </c>
      <c r="F448" t="s">
        <v>1275</v>
      </c>
      <c r="H448">
        <v>125</v>
      </c>
    </row>
    <row r="449" spans="1:8" x14ac:dyDescent="0.25">
      <c r="A449" t="s">
        <v>1276</v>
      </c>
      <c r="B449" t="s">
        <v>417</v>
      </c>
      <c r="C449">
        <v>45</v>
      </c>
      <c r="D449" t="s">
        <v>143</v>
      </c>
      <c r="E449">
        <v>93.927000000000007</v>
      </c>
      <c r="F449" t="s">
        <v>1277</v>
      </c>
      <c r="H449">
        <v>75</v>
      </c>
    </row>
    <row r="450" spans="1:8" x14ac:dyDescent="0.25">
      <c r="A450" t="s">
        <v>1278</v>
      </c>
      <c r="B450" t="s">
        <v>417</v>
      </c>
      <c r="C450">
        <v>46</v>
      </c>
      <c r="D450" t="s">
        <v>143</v>
      </c>
      <c r="E450">
        <v>257.923</v>
      </c>
      <c r="F450" t="s">
        <v>1279</v>
      </c>
      <c r="H450">
        <v>250</v>
      </c>
    </row>
    <row r="451" spans="1:8" x14ac:dyDescent="0.25">
      <c r="A451" t="s">
        <v>1280</v>
      </c>
      <c r="B451" t="s">
        <v>417</v>
      </c>
      <c r="C451">
        <v>47</v>
      </c>
      <c r="D451" t="s">
        <v>143</v>
      </c>
      <c r="E451">
        <v>244.55600000000001</v>
      </c>
      <c r="F451" t="s">
        <v>1281</v>
      </c>
      <c r="H451">
        <v>225</v>
      </c>
    </row>
    <row r="452" spans="1:8" x14ac:dyDescent="0.25">
      <c r="A452" t="s">
        <v>1282</v>
      </c>
      <c r="B452" t="s">
        <v>417</v>
      </c>
      <c r="C452">
        <v>48</v>
      </c>
      <c r="D452" t="s">
        <v>143</v>
      </c>
      <c r="E452">
        <v>16.893999999999998</v>
      </c>
      <c r="F452" t="s">
        <v>1283</v>
      </c>
      <c r="H452">
        <v>0</v>
      </c>
    </row>
    <row r="453" spans="1:8" x14ac:dyDescent="0.25">
      <c r="A453" t="s">
        <v>1284</v>
      </c>
      <c r="B453" t="s">
        <v>417</v>
      </c>
      <c r="C453">
        <v>49</v>
      </c>
      <c r="D453" t="s">
        <v>143</v>
      </c>
      <c r="E453">
        <v>107.161</v>
      </c>
      <c r="F453" t="s">
        <v>1285</v>
      </c>
      <c r="H453">
        <v>100</v>
      </c>
    </row>
    <row r="454" spans="1:8" x14ac:dyDescent="0.25">
      <c r="A454" t="s">
        <v>1286</v>
      </c>
      <c r="B454" t="s">
        <v>417</v>
      </c>
      <c r="C454">
        <v>50</v>
      </c>
      <c r="D454" t="s">
        <v>143</v>
      </c>
      <c r="E454">
        <v>90.728999999999999</v>
      </c>
      <c r="F454" t="s">
        <v>1287</v>
      </c>
      <c r="H454">
        <v>75</v>
      </c>
    </row>
    <row r="455" spans="1:8" x14ac:dyDescent="0.25">
      <c r="A455" t="s">
        <v>1288</v>
      </c>
      <c r="B455" t="s">
        <v>417</v>
      </c>
      <c r="C455">
        <v>51</v>
      </c>
      <c r="D455" t="s">
        <v>143</v>
      </c>
      <c r="E455">
        <v>196.13300000000001</v>
      </c>
      <c r="F455" t="s">
        <v>1289</v>
      </c>
      <c r="H455">
        <v>175</v>
      </c>
    </row>
    <row r="456" spans="1:8" x14ac:dyDescent="0.25">
      <c r="A456" t="s">
        <v>1290</v>
      </c>
      <c r="B456" t="s">
        <v>417</v>
      </c>
      <c r="C456">
        <v>52</v>
      </c>
      <c r="D456" t="s">
        <v>143</v>
      </c>
      <c r="E456">
        <v>177.97399999999999</v>
      </c>
      <c r="F456" t="s">
        <v>1291</v>
      </c>
      <c r="H456">
        <v>175</v>
      </c>
    </row>
    <row r="457" spans="1:8" x14ac:dyDescent="0.25">
      <c r="A457" t="s">
        <v>1292</v>
      </c>
      <c r="B457" t="s">
        <v>417</v>
      </c>
      <c r="C457">
        <v>53</v>
      </c>
      <c r="D457" t="s">
        <v>143</v>
      </c>
      <c r="E457">
        <v>123.996</v>
      </c>
      <c r="F457" t="s">
        <v>1293</v>
      </c>
      <c r="H457">
        <v>100</v>
      </c>
    </row>
    <row r="458" spans="1:8" x14ac:dyDescent="0.25">
      <c r="A458" t="s">
        <v>1294</v>
      </c>
      <c r="B458" t="s">
        <v>417</v>
      </c>
      <c r="C458">
        <v>54</v>
      </c>
      <c r="D458" t="s">
        <v>143</v>
      </c>
      <c r="E458">
        <v>126.59099999999999</v>
      </c>
      <c r="F458" t="s">
        <v>1295</v>
      </c>
      <c r="H458">
        <v>125</v>
      </c>
    </row>
    <row r="459" spans="1:8" x14ac:dyDescent="0.25">
      <c r="A459" t="s">
        <v>1296</v>
      </c>
      <c r="B459" t="s">
        <v>417</v>
      </c>
      <c r="C459">
        <v>55</v>
      </c>
      <c r="D459" t="s">
        <v>143</v>
      </c>
      <c r="E459">
        <v>75.491</v>
      </c>
      <c r="F459" t="s">
        <v>1297</v>
      </c>
      <c r="H459">
        <v>75</v>
      </c>
    </row>
    <row r="460" spans="1:8" x14ac:dyDescent="0.25">
      <c r="A460" t="s">
        <v>1298</v>
      </c>
      <c r="B460" t="s">
        <v>417</v>
      </c>
      <c r="C460">
        <v>56</v>
      </c>
      <c r="D460" t="s">
        <v>143</v>
      </c>
      <c r="E460">
        <v>250.48</v>
      </c>
      <c r="F460" t="s">
        <v>1299</v>
      </c>
      <c r="H460">
        <v>250</v>
      </c>
    </row>
    <row r="461" spans="1:8" x14ac:dyDescent="0.25">
      <c r="A461" t="s">
        <v>1300</v>
      </c>
      <c r="B461" t="s">
        <v>417</v>
      </c>
      <c r="C461">
        <v>57</v>
      </c>
      <c r="D461" t="s">
        <v>143</v>
      </c>
      <c r="E461">
        <v>52.167999999999999</v>
      </c>
      <c r="F461" t="s">
        <v>1301</v>
      </c>
      <c r="H461">
        <v>50</v>
      </c>
    </row>
    <row r="462" spans="1:8" x14ac:dyDescent="0.25">
      <c r="A462" t="s">
        <v>1302</v>
      </c>
      <c r="B462" t="s">
        <v>417</v>
      </c>
      <c r="C462">
        <v>58</v>
      </c>
      <c r="D462" t="s">
        <v>143</v>
      </c>
      <c r="E462">
        <v>142.648</v>
      </c>
      <c r="F462" t="s">
        <v>1303</v>
      </c>
      <c r="H462">
        <v>125</v>
      </c>
    </row>
    <row r="463" spans="1:8" x14ac:dyDescent="0.25">
      <c r="A463" t="s">
        <v>1304</v>
      </c>
      <c r="B463" t="s">
        <v>417</v>
      </c>
      <c r="C463">
        <v>59</v>
      </c>
      <c r="D463" t="s">
        <v>143</v>
      </c>
      <c r="E463">
        <v>60.875999999999998</v>
      </c>
      <c r="F463" t="s">
        <v>1305</v>
      </c>
      <c r="H463">
        <v>50</v>
      </c>
    </row>
    <row r="464" spans="1:8" x14ac:dyDescent="0.25">
      <c r="A464" t="s">
        <v>1306</v>
      </c>
      <c r="B464" t="s">
        <v>417</v>
      </c>
      <c r="C464">
        <v>60</v>
      </c>
      <c r="D464" t="s">
        <v>143</v>
      </c>
      <c r="E464">
        <v>286.767</v>
      </c>
      <c r="F464" t="s">
        <v>1307</v>
      </c>
      <c r="H464">
        <v>275</v>
      </c>
    </row>
    <row r="465" spans="1:8" x14ac:dyDescent="0.25">
      <c r="A465" t="s">
        <v>1308</v>
      </c>
      <c r="B465" t="s">
        <v>421</v>
      </c>
      <c r="C465">
        <v>21</v>
      </c>
      <c r="D465" t="s">
        <v>145</v>
      </c>
      <c r="E465">
        <v>6.1740000000000004</v>
      </c>
      <c r="F465" t="s">
        <v>1309</v>
      </c>
      <c r="H465">
        <v>6</v>
      </c>
    </row>
    <row r="466" spans="1:8" x14ac:dyDescent="0.25">
      <c r="A466" t="s">
        <v>1310</v>
      </c>
      <c r="B466" t="s">
        <v>421</v>
      </c>
      <c r="C466">
        <v>22</v>
      </c>
      <c r="D466" t="s">
        <v>145</v>
      </c>
      <c r="E466">
        <v>4.8470000000000004</v>
      </c>
      <c r="F466" t="s">
        <v>1311</v>
      </c>
      <c r="G466">
        <v>4.8472999999999997</v>
      </c>
      <c r="H466">
        <v>4</v>
      </c>
    </row>
    <row r="467" spans="1:8" x14ac:dyDescent="0.25">
      <c r="A467" t="s">
        <v>1312</v>
      </c>
      <c r="B467" t="s">
        <v>421</v>
      </c>
      <c r="C467">
        <v>23</v>
      </c>
      <c r="D467" t="s">
        <v>145</v>
      </c>
      <c r="E467">
        <v>2.5419999999999998</v>
      </c>
      <c r="F467" t="s">
        <v>1313</v>
      </c>
      <c r="H467">
        <v>2</v>
      </c>
    </row>
    <row r="468" spans="1:8" x14ac:dyDescent="0.25">
      <c r="A468" t="s">
        <v>1314</v>
      </c>
      <c r="B468" t="s">
        <v>421</v>
      </c>
      <c r="C468">
        <v>24</v>
      </c>
      <c r="D468" t="s">
        <v>145</v>
      </c>
      <c r="E468">
        <v>8.3260000000000005</v>
      </c>
      <c r="F468" t="s">
        <v>1315</v>
      </c>
      <c r="G468">
        <v>8.3262999999999998</v>
      </c>
      <c r="H468">
        <v>8</v>
      </c>
    </row>
    <row r="469" spans="1:8" x14ac:dyDescent="0.25">
      <c r="A469" t="s">
        <v>1316</v>
      </c>
      <c r="B469" t="s">
        <v>421</v>
      </c>
      <c r="C469">
        <v>25</v>
      </c>
      <c r="D469" t="s">
        <v>145</v>
      </c>
      <c r="E469">
        <v>8.2449999999999992</v>
      </c>
      <c r="F469" t="s">
        <v>1317</v>
      </c>
      <c r="H469">
        <v>8</v>
      </c>
    </row>
    <row r="470" spans="1:8" x14ac:dyDescent="0.25">
      <c r="A470" t="s">
        <v>1318</v>
      </c>
      <c r="B470" t="s">
        <v>421</v>
      </c>
      <c r="C470">
        <v>26</v>
      </c>
      <c r="D470" t="s">
        <v>145</v>
      </c>
      <c r="E470">
        <v>6.306</v>
      </c>
      <c r="F470" t="s">
        <v>1319</v>
      </c>
      <c r="G470">
        <v>6.3063000000000002</v>
      </c>
      <c r="H470">
        <v>6</v>
      </c>
    </row>
    <row r="471" spans="1:8" x14ac:dyDescent="0.25">
      <c r="A471" t="s">
        <v>1320</v>
      </c>
      <c r="B471" t="s">
        <v>421</v>
      </c>
      <c r="C471">
        <v>27</v>
      </c>
      <c r="D471" t="s">
        <v>145</v>
      </c>
      <c r="E471">
        <v>3.5</v>
      </c>
      <c r="F471" t="s">
        <v>1321</v>
      </c>
      <c r="G471">
        <v>3.5001000000000002</v>
      </c>
      <c r="H471">
        <v>3</v>
      </c>
    </row>
    <row r="472" spans="1:8" x14ac:dyDescent="0.25">
      <c r="A472" t="s">
        <v>1322</v>
      </c>
      <c r="B472" t="s">
        <v>421</v>
      </c>
      <c r="C472">
        <v>28</v>
      </c>
      <c r="D472" t="s">
        <v>145</v>
      </c>
      <c r="E472">
        <v>3.3290000000000002</v>
      </c>
      <c r="F472" t="s">
        <v>1323</v>
      </c>
      <c r="G472">
        <v>3.3292999999999999</v>
      </c>
      <c r="H472">
        <v>3</v>
      </c>
    </row>
    <row r="473" spans="1:8" x14ac:dyDescent="0.25">
      <c r="A473" t="s">
        <v>1324</v>
      </c>
      <c r="B473" t="s">
        <v>421</v>
      </c>
      <c r="C473">
        <v>29</v>
      </c>
      <c r="D473" t="s">
        <v>145</v>
      </c>
      <c r="E473">
        <v>2.121</v>
      </c>
      <c r="F473" t="s">
        <v>1325</v>
      </c>
      <c r="H473">
        <v>2</v>
      </c>
    </row>
    <row r="474" spans="1:8" x14ac:dyDescent="0.25">
      <c r="A474" t="s">
        <v>1326</v>
      </c>
      <c r="B474" t="s">
        <v>421</v>
      </c>
      <c r="C474">
        <v>30</v>
      </c>
      <c r="D474" t="s">
        <v>145</v>
      </c>
      <c r="E474">
        <v>13.045999999999999</v>
      </c>
      <c r="F474" t="s">
        <v>1327</v>
      </c>
      <c r="G474">
        <v>13.0465</v>
      </c>
      <c r="H474">
        <v>13</v>
      </c>
    </row>
    <row r="475" spans="1:8" x14ac:dyDescent="0.25">
      <c r="A475" t="s">
        <v>1328</v>
      </c>
      <c r="B475" t="s">
        <v>421</v>
      </c>
      <c r="C475">
        <v>31</v>
      </c>
      <c r="D475" t="s">
        <v>145</v>
      </c>
      <c r="E475">
        <v>24.518000000000001</v>
      </c>
      <c r="F475" t="s">
        <v>1329</v>
      </c>
      <c r="H475">
        <v>24</v>
      </c>
    </row>
    <row r="476" spans="1:8" x14ac:dyDescent="0.25">
      <c r="A476" t="s">
        <v>1330</v>
      </c>
      <c r="B476" t="s">
        <v>421</v>
      </c>
      <c r="C476">
        <v>32</v>
      </c>
      <c r="D476" t="s">
        <v>145</v>
      </c>
      <c r="E476">
        <v>15.129</v>
      </c>
      <c r="F476" t="s">
        <v>1331</v>
      </c>
      <c r="H476">
        <v>15</v>
      </c>
    </row>
    <row r="477" spans="1:8" x14ac:dyDescent="0.25">
      <c r="A477" t="s">
        <v>1332</v>
      </c>
      <c r="B477" t="s">
        <v>421</v>
      </c>
      <c r="C477">
        <v>33</v>
      </c>
      <c r="D477" t="s">
        <v>145</v>
      </c>
      <c r="E477">
        <v>5.2830000000000004</v>
      </c>
      <c r="F477" t="s">
        <v>1333</v>
      </c>
      <c r="G477">
        <v>5.2832999999999997</v>
      </c>
      <c r="H477">
        <v>5</v>
      </c>
    </row>
    <row r="478" spans="1:8" x14ac:dyDescent="0.25">
      <c r="A478" t="s">
        <v>1334</v>
      </c>
      <c r="B478" t="s">
        <v>421</v>
      </c>
      <c r="C478">
        <v>34</v>
      </c>
      <c r="D478" t="s">
        <v>145</v>
      </c>
      <c r="E478">
        <v>15.98</v>
      </c>
      <c r="F478" t="s">
        <v>1335</v>
      </c>
      <c r="G478">
        <v>15.9808</v>
      </c>
      <c r="H478">
        <v>15</v>
      </c>
    </row>
    <row r="479" spans="1:8" x14ac:dyDescent="0.25">
      <c r="A479" t="s">
        <v>1336</v>
      </c>
      <c r="B479" t="s">
        <v>421</v>
      </c>
      <c r="C479">
        <v>35</v>
      </c>
      <c r="D479" t="s">
        <v>145</v>
      </c>
      <c r="E479">
        <v>2.6890000000000001</v>
      </c>
      <c r="F479" t="s">
        <v>1337</v>
      </c>
      <c r="H479">
        <v>2</v>
      </c>
    </row>
    <row r="480" spans="1:8" x14ac:dyDescent="0.25">
      <c r="A480" t="s">
        <v>1338</v>
      </c>
      <c r="B480" t="s">
        <v>421</v>
      </c>
      <c r="C480">
        <v>36</v>
      </c>
      <c r="D480" t="s">
        <v>145</v>
      </c>
      <c r="E480">
        <v>17.876999999999999</v>
      </c>
      <c r="F480" t="s">
        <v>1339</v>
      </c>
      <c r="H480">
        <v>17</v>
      </c>
    </row>
    <row r="481" spans="1:8" x14ac:dyDescent="0.25">
      <c r="A481" t="s">
        <v>1340</v>
      </c>
      <c r="B481" t="s">
        <v>421</v>
      </c>
      <c r="C481">
        <v>37</v>
      </c>
      <c r="D481" t="s">
        <v>145</v>
      </c>
      <c r="E481">
        <v>14.962</v>
      </c>
      <c r="F481" t="s">
        <v>1341</v>
      </c>
      <c r="G481">
        <v>14.9628</v>
      </c>
      <c r="H481">
        <v>14</v>
      </c>
    </row>
    <row r="482" spans="1:8" x14ac:dyDescent="0.25">
      <c r="A482" t="s">
        <v>1342</v>
      </c>
      <c r="B482" t="s">
        <v>421</v>
      </c>
      <c r="C482">
        <v>38</v>
      </c>
      <c r="D482" t="s">
        <v>145</v>
      </c>
      <c r="E482">
        <v>13.88</v>
      </c>
      <c r="F482" t="s">
        <v>1343</v>
      </c>
      <c r="G482">
        <v>13.880599999999999</v>
      </c>
      <c r="H482">
        <v>13</v>
      </c>
    </row>
    <row r="483" spans="1:8" x14ac:dyDescent="0.25">
      <c r="A483" t="s">
        <v>1344</v>
      </c>
      <c r="B483" t="s">
        <v>421</v>
      </c>
      <c r="C483">
        <v>39</v>
      </c>
      <c r="D483" t="s">
        <v>145</v>
      </c>
      <c r="E483">
        <v>16.346</v>
      </c>
      <c r="F483" t="s">
        <v>1345</v>
      </c>
      <c r="G483">
        <v>16.346800000000002</v>
      </c>
      <c r="H483">
        <v>16</v>
      </c>
    </row>
    <row r="484" spans="1:8" x14ac:dyDescent="0.25">
      <c r="A484" t="s">
        <v>1346</v>
      </c>
      <c r="B484" t="s">
        <v>421</v>
      </c>
      <c r="C484">
        <v>40</v>
      </c>
      <c r="D484" t="s">
        <v>145</v>
      </c>
      <c r="E484">
        <v>0.41299999999999998</v>
      </c>
      <c r="F484" t="s">
        <v>1347</v>
      </c>
      <c r="G484">
        <v>0.41349999999999998</v>
      </c>
      <c r="H484">
        <v>0</v>
      </c>
    </row>
    <row r="485" spans="1:8" x14ac:dyDescent="0.25">
      <c r="A485" t="s">
        <v>1348</v>
      </c>
      <c r="B485" t="s">
        <v>425</v>
      </c>
      <c r="C485">
        <v>41</v>
      </c>
      <c r="D485" t="s">
        <v>145</v>
      </c>
      <c r="E485">
        <v>3.4420000000000002</v>
      </c>
      <c r="F485" t="s">
        <v>1349</v>
      </c>
      <c r="H485">
        <v>3</v>
      </c>
    </row>
    <row r="486" spans="1:8" x14ac:dyDescent="0.25">
      <c r="A486" t="s">
        <v>1350</v>
      </c>
      <c r="B486" t="s">
        <v>425</v>
      </c>
      <c r="C486">
        <v>42</v>
      </c>
      <c r="D486" t="s">
        <v>145</v>
      </c>
      <c r="E486">
        <v>1.6910000000000001</v>
      </c>
      <c r="F486" t="s">
        <v>1351</v>
      </c>
      <c r="H486">
        <v>1</v>
      </c>
    </row>
    <row r="487" spans="1:8" x14ac:dyDescent="0.25">
      <c r="A487" t="s">
        <v>1352</v>
      </c>
      <c r="B487" t="s">
        <v>425</v>
      </c>
      <c r="C487">
        <v>43</v>
      </c>
      <c r="D487" t="s">
        <v>145</v>
      </c>
      <c r="E487">
        <v>8.8170000000000002</v>
      </c>
      <c r="F487" t="s">
        <v>1353</v>
      </c>
      <c r="G487">
        <v>8.8172999999999995</v>
      </c>
      <c r="H487">
        <v>8</v>
      </c>
    </row>
    <row r="488" spans="1:8" x14ac:dyDescent="0.25">
      <c r="A488" t="s">
        <v>1354</v>
      </c>
      <c r="B488" t="s">
        <v>425</v>
      </c>
      <c r="C488">
        <v>44</v>
      </c>
      <c r="D488" t="s">
        <v>145</v>
      </c>
      <c r="E488">
        <v>19.95</v>
      </c>
      <c r="F488" t="s">
        <v>1355</v>
      </c>
      <c r="G488">
        <v>19.950700000000001</v>
      </c>
      <c r="H488">
        <v>19</v>
      </c>
    </row>
    <row r="489" spans="1:8" x14ac:dyDescent="0.25">
      <c r="A489" t="s">
        <v>1356</v>
      </c>
      <c r="B489" t="s">
        <v>425</v>
      </c>
      <c r="C489">
        <v>45</v>
      </c>
      <c r="D489" t="s">
        <v>145</v>
      </c>
      <c r="E489">
        <v>13.747</v>
      </c>
      <c r="F489" t="s">
        <v>1357</v>
      </c>
      <c r="G489">
        <v>13.7479</v>
      </c>
      <c r="H489">
        <v>13</v>
      </c>
    </row>
    <row r="490" spans="1:8" x14ac:dyDescent="0.25">
      <c r="A490" t="s">
        <v>1358</v>
      </c>
      <c r="B490" t="s">
        <v>425</v>
      </c>
      <c r="C490">
        <v>46</v>
      </c>
      <c r="D490" t="s">
        <v>145</v>
      </c>
      <c r="E490">
        <v>6.319</v>
      </c>
      <c r="F490" t="s">
        <v>1359</v>
      </c>
      <c r="G490">
        <v>6.3193000000000001</v>
      </c>
      <c r="H490">
        <v>6</v>
      </c>
    </row>
    <row r="491" spans="1:8" x14ac:dyDescent="0.25">
      <c r="A491" t="s">
        <v>1360</v>
      </c>
      <c r="B491" t="s">
        <v>425</v>
      </c>
      <c r="C491">
        <v>47</v>
      </c>
      <c r="D491" t="s">
        <v>145</v>
      </c>
      <c r="E491">
        <v>12.862</v>
      </c>
      <c r="F491" t="s">
        <v>1361</v>
      </c>
      <c r="G491">
        <v>12.8628</v>
      </c>
      <c r="H491">
        <v>12</v>
      </c>
    </row>
    <row r="492" spans="1:8" x14ac:dyDescent="0.25">
      <c r="A492" t="s">
        <v>1362</v>
      </c>
      <c r="B492" t="s">
        <v>425</v>
      </c>
      <c r="C492">
        <v>48</v>
      </c>
      <c r="D492" t="s">
        <v>145</v>
      </c>
      <c r="E492">
        <v>17.382999999999999</v>
      </c>
      <c r="F492" t="s">
        <v>1363</v>
      </c>
      <c r="G492">
        <v>17.383400000000002</v>
      </c>
      <c r="H492">
        <v>17</v>
      </c>
    </row>
    <row r="493" spans="1:8" x14ac:dyDescent="0.25">
      <c r="A493" t="s">
        <v>1364</v>
      </c>
      <c r="B493" t="s">
        <v>425</v>
      </c>
      <c r="C493">
        <v>49</v>
      </c>
      <c r="D493" t="s">
        <v>145</v>
      </c>
      <c r="E493">
        <v>27.05</v>
      </c>
      <c r="F493" t="s">
        <v>1365</v>
      </c>
      <c r="G493">
        <v>27.0503</v>
      </c>
      <c r="H493">
        <v>27</v>
      </c>
    </row>
    <row r="494" spans="1:8" x14ac:dyDescent="0.25">
      <c r="A494" t="s">
        <v>1366</v>
      </c>
      <c r="B494" t="s">
        <v>425</v>
      </c>
      <c r="C494">
        <v>50</v>
      </c>
      <c r="D494" t="s">
        <v>145</v>
      </c>
      <c r="E494">
        <v>24.06</v>
      </c>
      <c r="F494" t="s">
        <v>1367</v>
      </c>
      <c r="G494">
        <v>24.060300000000002</v>
      </c>
      <c r="H494">
        <v>24</v>
      </c>
    </row>
    <row r="495" spans="1:8" x14ac:dyDescent="0.25">
      <c r="A495" t="s">
        <v>1368</v>
      </c>
      <c r="B495" t="s">
        <v>425</v>
      </c>
      <c r="C495">
        <v>51</v>
      </c>
      <c r="D495" t="s">
        <v>145</v>
      </c>
      <c r="E495">
        <v>19.335999999999999</v>
      </c>
      <c r="F495" t="s">
        <v>1369</v>
      </c>
      <c r="G495">
        <v>19.336400000000001</v>
      </c>
      <c r="H495">
        <v>19</v>
      </c>
    </row>
    <row r="496" spans="1:8" x14ac:dyDescent="0.25">
      <c r="A496" t="s">
        <v>1370</v>
      </c>
      <c r="B496" t="s">
        <v>425</v>
      </c>
      <c r="C496">
        <v>52</v>
      </c>
      <c r="D496" t="s">
        <v>145</v>
      </c>
      <c r="E496">
        <v>24.678999999999998</v>
      </c>
      <c r="F496" t="s">
        <v>1371</v>
      </c>
      <c r="H496">
        <v>24</v>
      </c>
    </row>
    <row r="497" spans="1:8" x14ac:dyDescent="0.25">
      <c r="A497" t="s">
        <v>1372</v>
      </c>
      <c r="B497" t="s">
        <v>425</v>
      </c>
      <c r="C497">
        <v>53</v>
      </c>
      <c r="D497" t="s">
        <v>145</v>
      </c>
      <c r="E497">
        <v>22.382999999999999</v>
      </c>
      <c r="F497" t="s">
        <v>1373</v>
      </c>
      <c r="G497">
        <v>22.383800000000001</v>
      </c>
      <c r="H497">
        <v>22</v>
      </c>
    </row>
    <row r="498" spans="1:8" x14ac:dyDescent="0.25">
      <c r="A498" t="s">
        <v>1374</v>
      </c>
      <c r="B498" t="s">
        <v>425</v>
      </c>
      <c r="C498">
        <v>54</v>
      </c>
      <c r="D498" t="s">
        <v>145</v>
      </c>
      <c r="E498">
        <v>8.3510000000000009</v>
      </c>
      <c r="F498" t="s">
        <v>1375</v>
      </c>
      <c r="G498">
        <v>8.3516999999999992</v>
      </c>
      <c r="H498">
        <v>8</v>
      </c>
    </row>
    <row r="499" spans="1:8" x14ac:dyDescent="0.25">
      <c r="A499" t="s">
        <v>1376</v>
      </c>
      <c r="B499" t="s">
        <v>425</v>
      </c>
      <c r="C499">
        <v>55</v>
      </c>
      <c r="D499" t="s">
        <v>145</v>
      </c>
      <c r="E499">
        <v>4.7869999999999999</v>
      </c>
      <c r="F499" t="s">
        <v>1377</v>
      </c>
      <c r="H499">
        <v>4</v>
      </c>
    </row>
    <row r="500" spans="1:8" x14ac:dyDescent="0.25">
      <c r="A500" t="s">
        <v>1378</v>
      </c>
      <c r="B500" t="s">
        <v>425</v>
      </c>
      <c r="C500">
        <v>56</v>
      </c>
      <c r="D500" t="s">
        <v>145</v>
      </c>
      <c r="E500">
        <v>13.308</v>
      </c>
      <c r="F500" t="s">
        <v>1379</v>
      </c>
      <c r="G500">
        <v>13.308199999999999</v>
      </c>
      <c r="H500">
        <v>13</v>
      </c>
    </row>
    <row r="501" spans="1:8" x14ac:dyDescent="0.25">
      <c r="A501" t="s">
        <v>1380</v>
      </c>
      <c r="B501" t="s">
        <v>425</v>
      </c>
      <c r="C501">
        <v>57</v>
      </c>
      <c r="D501" t="s">
        <v>145</v>
      </c>
      <c r="E501">
        <v>15.013</v>
      </c>
      <c r="F501" t="s">
        <v>1381</v>
      </c>
      <c r="G501">
        <v>15.0138</v>
      </c>
      <c r="H501">
        <v>15</v>
      </c>
    </row>
    <row r="502" spans="1:8" x14ac:dyDescent="0.25">
      <c r="A502" t="s">
        <v>1382</v>
      </c>
      <c r="B502" t="s">
        <v>425</v>
      </c>
      <c r="C502">
        <v>58</v>
      </c>
      <c r="D502" t="s">
        <v>145</v>
      </c>
      <c r="E502">
        <v>3.7450000000000001</v>
      </c>
      <c r="F502" t="s">
        <v>1383</v>
      </c>
      <c r="G502">
        <v>3.7452000000000001</v>
      </c>
      <c r="H502">
        <v>3</v>
      </c>
    </row>
    <row r="503" spans="1:8" x14ac:dyDescent="0.25">
      <c r="A503" t="s">
        <v>1384</v>
      </c>
      <c r="B503" t="s">
        <v>425</v>
      </c>
      <c r="C503">
        <v>59</v>
      </c>
      <c r="D503" t="s">
        <v>145</v>
      </c>
      <c r="E503">
        <v>21.585000000000001</v>
      </c>
      <c r="F503" t="s">
        <v>1385</v>
      </c>
      <c r="G503">
        <v>21.5852</v>
      </c>
      <c r="H503">
        <v>21</v>
      </c>
    </row>
    <row r="504" spans="1:8" x14ac:dyDescent="0.25">
      <c r="A504" t="s">
        <v>1386</v>
      </c>
      <c r="B504" t="s">
        <v>425</v>
      </c>
      <c r="C504">
        <v>60</v>
      </c>
      <c r="D504" t="s">
        <v>145</v>
      </c>
      <c r="E504">
        <v>24.434999999999999</v>
      </c>
      <c r="F504" t="s">
        <v>1387</v>
      </c>
      <c r="H504">
        <v>24</v>
      </c>
    </row>
    <row r="505" spans="1:8" x14ac:dyDescent="0.25">
      <c r="A505" t="s">
        <v>1388</v>
      </c>
      <c r="B505" t="s">
        <v>429</v>
      </c>
      <c r="C505">
        <v>21</v>
      </c>
      <c r="D505" t="s">
        <v>146</v>
      </c>
      <c r="E505">
        <v>6.2355</v>
      </c>
      <c r="F505" t="s">
        <v>1389</v>
      </c>
      <c r="H505">
        <v>6</v>
      </c>
    </row>
    <row r="506" spans="1:8" x14ac:dyDescent="0.25">
      <c r="A506" t="s">
        <v>1390</v>
      </c>
      <c r="B506" t="s">
        <v>429</v>
      </c>
      <c r="C506">
        <v>22</v>
      </c>
      <c r="D506" t="s">
        <v>146</v>
      </c>
      <c r="E506">
        <v>5.1345999999999998</v>
      </c>
      <c r="F506" t="s">
        <v>1391</v>
      </c>
      <c r="H506">
        <v>5</v>
      </c>
    </row>
    <row r="507" spans="1:8" x14ac:dyDescent="0.25">
      <c r="A507" t="s">
        <v>1392</v>
      </c>
      <c r="B507" t="s">
        <v>429</v>
      </c>
      <c r="C507">
        <v>23</v>
      </c>
      <c r="D507" t="s">
        <v>146</v>
      </c>
      <c r="E507">
        <v>7.4466000000000001</v>
      </c>
      <c r="F507" t="s">
        <v>1393</v>
      </c>
      <c r="H507">
        <v>7</v>
      </c>
    </row>
    <row r="508" spans="1:8" x14ac:dyDescent="0.25">
      <c r="A508" t="s">
        <v>1394</v>
      </c>
      <c r="B508" t="s">
        <v>429</v>
      </c>
      <c r="C508">
        <v>24</v>
      </c>
      <c r="D508" t="s">
        <v>146</v>
      </c>
      <c r="E508">
        <v>6.1154000000000002</v>
      </c>
      <c r="F508" t="s">
        <v>1395</v>
      </c>
      <c r="H508">
        <v>6</v>
      </c>
    </row>
    <row r="509" spans="1:8" x14ac:dyDescent="0.25">
      <c r="A509" t="s">
        <v>1396</v>
      </c>
      <c r="B509" t="s">
        <v>429</v>
      </c>
      <c r="C509">
        <v>25</v>
      </c>
      <c r="D509" t="s">
        <v>146</v>
      </c>
      <c r="E509">
        <v>5.9695</v>
      </c>
      <c r="F509" t="s">
        <v>1397</v>
      </c>
      <c r="H509">
        <v>5</v>
      </c>
    </row>
    <row r="510" spans="1:8" x14ac:dyDescent="0.25">
      <c r="A510" t="s">
        <v>1398</v>
      </c>
      <c r="B510" t="s">
        <v>429</v>
      </c>
      <c r="C510">
        <v>26</v>
      </c>
      <c r="D510" t="s">
        <v>146</v>
      </c>
      <c r="E510">
        <v>3.9962</v>
      </c>
      <c r="F510" t="s">
        <v>1399</v>
      </c>
      <c r="H510">
        <v>3</v>
      </c>
    </row>
    <row r="511" spans="1:8" x14ac:dyDescent="0.25">
      <c r="A511" t="s">
        <v>1400</v>
      </c>
      <c r="B511" t="s">
        <v>429</v>
      </c>
      <c r="C511">
        <v>27</v>
      </c>
      <c r="D511" t="s">
        <v>146</v>
      </c>
      <c r="E511">
        <v>9.391</v>
      </c>
      <c r="F511" t="s">
        <v>1401</v>
      </c>
      <c r="H511">
        <v>9</v>
      </c>
    </row>
    <row r="512" spans="1:8" x14ac:dyDescent="0.25">
      <c r="A512" t="s">
        <v>1402</v>
      </c>
      <c r="B512" t="s">
        <v>429</v>
      </c>
      <c r="C512">
        <v>28</v>
      </c>
      <c r="D512" t="s">
        <v>146</v>
      </c>
      <c r="E512">
        <v>2.8561000000000001</v>
      </c>
      <c r="F512" t="s">
        <v>1403</v>
      </c>
      <c r="H512">
        <v>2</v>
      </c>
    </row>
    <row r="513" spans="1:8" x14ac:dyDescent="0.25">
      <c r="A513" t="s">
        <v>1404</v>
      </c>
      <c r="B513" t="s">
        <v>429</v>
      </c>
      <c r="C513">
        <v>29</v>
      </c>
      <c r="D513" t="s">
        <v>146</v>
      </c>
      <c r="E513">
        <v>5.7137000000000002</v>
      </c>
      <c r="F513" t="s">
        <v>1405</v>
      </c>
      <c r="H513">
        <v>5</v>
      </c>
    </row>
    <row r="514" spans="1:8" x14ac:dyDescent="0.25">
      <c r="A514" t="s">
        <v>1406</v>
      </c>
      <c r="B514" t="s">
        <v>429</v>
      </c>
      <c r="C514">
        <v>30</v>
      </c>
      <c r="D514" t="s">
        <v>146</v>
      </c>
      <c r="E514">
        <v>12.844900000000001</v>
      </c>
      <c r="F514" t="s">
        <v>1407</v>
      </c>
      <c r="H514">
        <v>12</v>
      </c>
    </row>
    <row r="515" spans="1:8" x14ac:dyDescent="0.25">
      <c r="A515" t="s">
        <v>1408</v>
      </c>
      <c r="B515" t="s">
        <v>429</v>
      </c>
      <c r="C515">
        <v>31</v>
      </c>
      <c r="D515" t="s">
        <v>146</v>
      </c>
      <c r="E515">
        <v>2.9611000000000001</v>
      </c>
      <c r="F515" t="s">
        <v>1409</v>
      </c>
      <c r="H515">
        <v>2</v>
      </c>
    </row>
    <row r="516" spans="1:8" x14ac:dyDescent="0.25">
      <c r="A516" t="s">
        <v>1410</v>
      </c>
      <c r="B516" t="s">
        <v>429</v>
      </c>
      <c r="C516">
        <v>32</v>
      </c>
      <c r="D516" t="s">
        <v>146</v>
      </c>
      <c r="E516">
        <v>20.523800000000001</v>
      </c>
      <c r="F516" t="s">
        <v>1411</v>
      </c>
      <c r="H516">
        <v>20</v>
      </c>
    </row>
    <row r="517" spans="1:8" x14ac:dyDescent="0.25">
      <c r="A517" t="s">
        <v>1412</v>
      </c>
      <c r="B517" t="s">
        <v>429</v>
      </c>
      <c r="C517">
        <v>33</v>
      </c>
      <c r="D517" t="s">
        <v>146</v>
      </c>
      <c r="E517">
        <v>23.118300000000001</v>
      </c>
      <c r="F517" t="s">
        <v>1413</v>
      </c>
      <c r="H517">
        <v>23</v>
      </c>
    </row>
    <row r="518" spans="1:8" x14ac:dyDescent="0.25">
      <c r="A518" t="s">
        <v>1414</v>
      </c>
      <c r="B518" t="s">
        <v>429</v>
      </c>
      <c r="C518">
        <v>34</v>
      </c>
      <c r="D518" t="s">
        <v>146</v>
      </c>
      <c r="E518">
        <v>27.644300000000001</v>
      </c>
      <c r="F518" t="s">
        <v>1415</v>
      </c>
      <c r="H518">
        <v>27</v>
      </c>
    </row>
    <row r="519" spans="1:8" x14ac:dyDescent="0.25">
      <c r="A519" t="s">
        <v>1416</v>
      </c>
      <c r="B519" t="s">
        <v>429</v>
      </c>
      <c r="C519">
        <v>35</v>
      </c>
      <c r="D519" t="s">
        <v>146</v>
      </c>
      <c r="E519">
        <v>26.879799999999999</v>
      </c>
      <c r="F519" t="s">
        <v>1417</v>
      </c>
      <c r="H519">
        <v>26</v>
      </c>
    </row>
    <row r="520" spans="1:8" x14ac:dyDescent="0.25">
      <c r="A520" t="s">
        <v>1418</v>
      </c>
      <c r="B520" t="s">
        <v>429</v>
      </c>
      <c r="C520">
        <v>36</v>
      </c>
      <c r="D520" t="s">
        <v>146</v>
      </c>
      <c r="E520">
        <v>7.6510999999999996</v>
      </c>
      <c r="F520" t="s">
        <v>1419</v>
      </c>
      <c r="H520">
        <v>7</v>
      </c>
    </row>
    <row r="521" spans="1:8" x14ac:dyDescent="0.25">
      <c r="A521" t="s">
        <v>1420</v>
      </c>
      <c r="B521" t="s">
        <v>429</v>
      </c>
      <c r="C521">
        <v>37</v>
      </c>
      <c r="D521" t="s">
        <v>146</v>
      </c>
      <c r="E521">
        <v>16.960699999999999</v>
      </c>
      <c r="F521" t="s">
        <v>1421</v>
      </c>
      <c r="H521">
        <v>16</v>
      </c>
    </row>
    <row r="522" spans="1:8" x14ac:dyDescent="0.25">
      <c r="A522" t="s">
        <v>1422</v>
      </c>
      <c r="B522" t="s">
        <v>429</v>
      </c>
      <c r="C522">
        <v>38</v>
      </c>
      <c r="D522" t="s">
        <v>146</v>
      </c>
      <c r="E522">
        <v>27.633299999999998</v>
      </c>
      <c r="F522" t="s">
        <v>1423</v>
      </c>
      <c r="H522">
        <v>27</v>
      </c>
    </row>
    <row r="523" spans="1:8" x14ac:dyDescent="0.25">
      <c r="A523" t="s">
        <v>1424</v>
      </c>
      <c r="B523" t="s">
        <v>429</v>
      </c>
      <c r="C523">
        <v>39</v>
      </c>
      <c r="D523" t="s">
        <v>146</v>
      </c>
      <c r="E523">
        <v>13.5944</v>
      </c>
      <c r="F523" t="s">
        <v>1425</v>
      </c>
      <c r="H523">
        <v>13</v>
      </c>
    </row>
    <row r="524" spans="1:8" x14ac:dyDescent="0.25">
      <c r="A524" t="s">
        <v>1426</v>
      </c>
      <c r="B524" t="s">
        <v>429</v>
      </c>
      <c r="C524">
        <v>40</v>
      </c>
      <c r="D524" t="s">
        <v>146</v>
      </c>
      <c r="E524">
        <v>26.571999999999999</v>
      </c>
      <c r="F524" t="s">
        <v>1427</v>
      </c>
      <c r="H524">
        <v>26</v>
      </c>
    </row>
    <row r="525" spans="1:8" x14ac:dyDescent="0.25">
      <c r="A525" t="s">
        <v>1428</v>
      </c>
      <c r="B525" t="s">
        <v>433</v>
      </c>
      <c r="C525">
        <v>41</v>
      </c>
      <c r="D525" t="s">
        <v>146</v>
      </c>
      <c r="E525">
        <v>6.4180999999999999</v>
      </c>
      <c r="F525" t="s">
        <v>1429</v>
      </c>
      <c r="H525">
        <v>6</v>
      </c>
    </row>
    <row r="526" spans="1:8" x14ac:dyDescent="0.25">
      <c r="A526" t="s">
        <v>1430</v>
      </c>
      <c r="B526" t="s">
        <v>433</v>
      </c>
      <c r="C526">
        <v>42</v>
      </c>
      <c r="D526" t="s">
        <v>146</v>
      </c>
      <c r="E526">
        <v>19.686699999999998</v>
      </c>
      <c r="F526" t="s">
        <v>1431</v>
      </c>
      <c r="H526">
        <v>19</v>
      </c>
    </row>
    <row r="527" spans="1:8" x14ac:dyDescent="0.25">
      <c r="A527" t="s">
        <v>1432</v>
      </c>
      <c r="B527" t="s">
        <v>433</v>
      </c>
      <c r="C527">
        <v>43</v>
      </c>
      <c r="D527" t="s">
        <v>146</v>
      </c>
      <c r="E527">
        <v>11.6159</v>
      </c>
      <c r="F527" t="s">
        <v>1433</v>
      </c>
      <c r="H527">
        <v>11</v>
      </c>
    </row>
    <row r="528" spans="1:8" x14ac:dyDescent="0.25">
      <c r="A528" t="s">
        <v>1434</v>
      </c>
      <c r="B528" t="s">
        <v>433</v>
      </c>
      <c r="C528">
        <v>44</v>
      </c>
      <c r="D528" t="s">
        <v>146</v>
      </c>
      <c r="E528">
        <v>28.631699999999999</v>
      </c>
      <c r="F528" t="s">
        <v>1435</v>
      </c>
      <c r="H528">
        <v>28</v>
      </c>
    </row>
    <row r="529" spans="1:8" x14ac:dyDescent="0.25">
      <c r="A529" t="s">
        <v>1436</v>
      </c>
      <c r="B529" t="s">
        <v>433</v>
      </c>
      <c r="C529">
        <v>45</v>
      </c>
      <c r="D529" t="s">
        <v>146</v>
      </c>
      <c r="E529">
        <v>11.825100000000001</v>
      </c>
      <c r="F529" t="s">
        <v>1437</v>
      </c>
      <c r="H529">
        <v>11</v>
      </c>
    </row>
    <row r="530" spans="1:8" x14ac:dyDescent="0.25">
      <c r="A530" t="s">
        <v>1438</v>
      </c>
      <c r="B530" t="s">
        <v>433</v>
      </c>
      <c r="C530">
        <v>46</v>
      </c>
      <c r="D530" t="s">
        <v>146</v>
      </c>
      <c r="E530">
        <v>1.5995999999999999</v>
      </c>
      <c r="F530" t="s">
        <v>1439</v>
      </c>
      <c r="H530">
        <v>1</v>
      </c>
    </row>
    <row r="531" spans="1:8" x14ac:dyDescent="0.25">
      <c r="A531" t="s">
        <v>1440</v>
      </c>
      <c r="B531" t="s">
        <v>433</v>
      </c>
      <c r="C531">
        <v>47</v>
      </c>
      <c r="D531" t="s">
        <v>146</v>
      </c>
      <c r="E531">
        <v>12.7951</v>
      </c>
      <c r="F531" t="s">
        <v>1441</v>
      </c>
      <c r="H531">
        <v>12</v>
      </c>
    </row>
    <row r="532" spans="1:8" x14ac:dyDescent="0.25">
      <c r="A532" t="s">
        <v>1442</v>
      </c>
      <c r="B532" t="s">
        <v>433</v>
      </c>
      <c r="C532">
        <v>48</v>
      </c>
      <c r="D532" t="s">
        <v>146</v>
      </c>
      <c r="E532">
        <v>3.2418999999999998</v>
      </c>
      <c r="F532" t="s">
        <v>1443</v>
      </c>
      <c r="H532">
        <v>3</v>
      </c>
    </row>
    <row r="533" spans="1:8" x14ac:dyDescent="0.25">
      <c r="A533" t="s">
        <v>1444</v>
      </c>
      <c r="B533" t="s">
        <v>433</v>
      </c>
      <c r="C533">
        <v>49</v>
      </c>
      <c r="D533" t="s">
        <v>146</v>
      </c>
      <c r="E533">
        <v>9.3003999999999998</v>
      </c>
      <c r="F533" t="s">
        <v>1445</v>
      </c>
      <c r="H533">
        <v>9</v>
      </c>
    </row>
    <row r="534" spans="1:8" x14ac:dyDescent="0.25">
      <c r="A534" t="s">
        <v>1446</v>
      </c>
      <c r="B534" t="s">
        <v>433</v>
      </c>
      <c r="C534">
        <v>50</v>
      </c>
      <c r="D534" t="s">
        <v>146</v>
      </c>
      <c r="E534">
        <v>27.4711</v>
      </c>
      <c r="F534" t="s">
        <v>1447</v>
      </c>
      <c r="H534">
        <v>27</v>
      </c>
    </row>
    <row r="535" spans="1:8" x14ac:dyDescent="0.25">
      <c r="A535" t="s">
        <v>1448</v>
      </c>
      <c r="B535" t="s">
        <v>433</v>
      </c>
      <c r="C535">
        <v>51</v>
      </c>
      <c r="D535" t="s">
        <v>146</v>
      </c>
      <c r="E535">
        <v>25.212700000000002</v>
      </c>
      <c r="F535" t="s">
        <v>1449</v>
      </c>
      <c r="H535">
        <v>25</v>
      </c>
    </row>
    <row r="536" spans="1:8" x14ac:dyDescent="0.25">
      <c r="A536" t="s">
        <v>1450</v>
      </c>
      <c r="B536" t="s">
        <v>433</v>
      </c>
      <c r="C536">
        <v>52</v>
      </c>
      <c r="D536" t="s">
        <v>146</v>
      </c>
      <c r="E536">
        <v>28.790500000000002</v>
      </c>
      <c r="F536" t="s">
        <v>1451</v>
      </c>
      <c r="H536">
        <v>28</v>
      </c>
    </row>
    <row r="537" spans="1:8" x14ac:dyDescent="0.25">
      <c r="A537" t="s">
        <v>1452</v>
      </c>
      <c r="B537" t="s">
        <v>433</v>
      </c>
      <c r="C537">
        <v>53</v>
      </c>
      <c r="D537" t="s">
        <v>146</v>
      </c>
      <c r="E537">
        <v>6.7664999999999997</v>
      </c>
      <c r="F537" t="s">
        <v>1453</v>
      </c>
      <c r="H537">
        <v>6</v>
      </c>
    </row>
    <row r="538" spans="1:8" x14ac:dyDescent="0.25">
      <c r="A538" t="s">
        <v>1454</v>
      </c>
      <c r="B538" t="s">
        <v>433</v>
      </c>
      <c r="C538">
        <v>54</v>
      </c>
      <c r="D538" t="s">
        <v>146</v>
      </c>
      <c r="E538">
        <v>13.983599999999999</v>
      </c>
      <c r="F538" t="s">
        <v>1455</v>
      </c>
      <c r="H538">
        <v>13</v>
      </c>
    </row>
    <row r="539" spans="1:8" x14ac:dyDescent="0.25">
      <c r="A539" t="s">
        <v>1456</v>
      </c>
      <c r="B539" t="s">
        <v>433</v>
      </c>
      <c r="C539">
        <v>55</v>
      </c>
      <c r="D539" t="s">
        <v>146</v>
      </c>
      <c r="E539">
        <v>23.969000000000001</v>
      </c>
      <c r="F539" t="s">
        <v>1457</v>
      </c>
      <c r="H539">
        <v>23</v>
      </c>
    </row>
    <row r="540" spans="1:8" x14ac:dyDescent="0.25">
      <c r="A540" t="s">
        <v>1458</v>
      </c>
      <c r="B540" t="s">
        <v>433</v>
      </c>
      <c r="C540">
        <v>56</v>
      </c>
      <c r="D540" t="s">
        <v>146</v>
      </c>
      <c r="E540">
        <v>14.555999999999999</v>
      </c>
      <c r="F540" t="s">
        <v>1459</v>
      </c>
      <c r="H540">
        <v>14</v>
      </c>
    </row>
    <row r="541" spans="1:8" x14ac:dyDescent="0.25">
      <c r="A541" t="s">
        <v>1460</v>
      </c>
      <c r="B541" t="s">
        <v>433</v>
      </c>
      <c r="C541">
        <v>57</v>
      </c>
      <c r="D541" t="s">
        <v>146</v>
      </c>
      <c r="E541">
        <v>11.0565</v>
      </c>
      <c r="F541" t="s">
        <v>1461</v>
      </c>
      <c r="H541">
        <v>11</v>
      </c>
    </row>
    <row r="542" spans="1:8" x14ac:dyDescent="0.25">
      <c r="A542" t="s">
        <v>1462</v>
      </c>
      <c r="B542" t="s">
        <v>433</v>
      </c>
      <c r="C542">
        <v>58</v>
      </c>
      <c r="D542" t="s">
        <v>146</v>
      </c>
      <c r="E542">
        <v>5.6658999999999997</v>
      </c>
      <c r="F542" t="s">
        <v>1463</v>
      </c>
      <c r="H542">
        <v>5</v>
      </c>
    </row>
    <row r="543" spans="1:8" x14ac:dyDescent="0.25">
      <c r="A543" t="s">
        <v>1464</v>
      </c>
      <c r="B543" t="s">
        <v>433</v>
      </c>
      <c r="C543">
        <v>59</v>
      </c>
      <c r="D543" t="s">
        <v>146</v>
      </c>
      <c r="E543">
        <v>15.907299999999999</v>
      </c>
      <c r="F543" t="s">
        <v>1465</v>
      </c>
      <c r="H543">
        <v>15</v>
      </c>
    </row>
    <row r="544" spans="1:8" x14ac:dyDescent="0.25">
      <c r="A544" t="s">
        <v>1466</v>
      </c>
      <c r="B544" t="s">
        <v>433</v>
      </c>
      <c r="C544">
        <v>60</v>
      </c>
      <c r="D544" t="s">
        <v>146</v>
      </c>
      <c r="E544">
        <v>0.1699</v>
      </c>
      <c r="F544" t="s">
        <v>1467</v>
      </c>
      <c r="H54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Biela-manivela</vt:lpstr>
      <vt:lpstr>Cilindrada y Rc</vt:lpstr>
      <vt:lpstr>Curvas par-potencia</vt:lpstr>
      <vt:lpstr>Pie de rey</vt:lpstr>
      <vt:lpstr>Micrómetro</vt:lpstr>
      <vt:lpstr>Reloj comparador</vt:lpstr>
      <vt:lpstr>Alexómetro</vt:lpstr>
      <vt:lpstr>Trucaje del motor</vt:lpstr>
      <vt:lpstr>Ciclo Otto</vt:lpstr>
      <vt:lpstr>Orden de encendido</vt:lpstr>
      <vt:lpstr>Guía</vt:lpstr>
      <vt:lpstr>Datos</vt:lpstr>
      <vt:lpstr>Datos metrología</vt:lpstr>
      <vt:lpstr>Datos trucaje</vt:lpstr>
      <vt:lpstr>Datos Otto</vt:lpstr>
      <vt:lpstr>Datos orden</vt:lpstr>
      <vt:lpstr>Datos guía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Ing. Miguel Angel  Minga Gonzalez</cp:lastModifiedBy>
  <dcterms:created xsi:type="dcterms:W3CDTF">2026-10-15T12:17:35Z</dcterms:created>
  <dcterms:modified xsi:type="dcterms:W3CDTF">2026-10-16T16:57:56Z</dcterms:modified>
</cp:coreProperties>
</file>