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charts/chartT1_chart1.xml" ContentType="application/vnd.openxmlformats-officedocument.drawingml.chart+xml"/>
  <Override PartName="/xl/drawings/drawingT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otor" sheetId="1" state="visible" r:id="rId1"/>
    <sheet xmlns:r="http://schemas.openxmlformats.org/officeDocument/2006/relationships" name="Presion" sheetId="2" state="visible" r:id="rId2"/>
    <sheet xmlns:r="http://schemas.openxmlformats.org/officeDocument/2006/relationships" name="Aceite" sheetId="3" state="visible" r:id="rId3"/>
    <sheet xmlns:r="http://schemas.openxmlformats.org/officeDocument/2006/relationships" name="Bomba" sheetId="4" state="visible" r:id="rId4"/>
    <sheet xmlns:r="http://schemas.openxmlformats.org/officeDocument/2006/relationships" name="Graficas" sheetId="5" state="visible" r:id="rId5"/>
    <sheet xmlns:r="http://schemas.openxmlformats.org/officeDocument/2006/relationships" name="Intercambiador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"/>
    <numFmt numFmtId="165" formatCode="0.0##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sz val="11"/>
    </font>
    <font>
      <name val="Arial"/>
      <charset val="1"/>
      <family val="0"/>
      <i val="1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FF"/>
      <sz val="11"/>
    </font>
    <font>
      <name val="Arial"/>
      <charset val="1"/>
      <family val="0"/>
      <sz val="11"/>
    </font>
    <font>
      <name val="Arial"/>
      <charset val="1"/>
      <family val="0"/>
      <b val="1"/>
      <sz val="11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b val="1"/>
      <color rgb="001F3864"/>
      <sz val="13"/>
    </font>
    <font>
      <b val="1"/>
    </font>
    <font>
      <b val="1"/>
      <color rgb="FF0000FF"/>
    </font>
    <font>
      <b val="1"/>
      <color rgb="FFFFFFFF"/>
    </font>
    <font>
      <b val="1"/>
      <color rgb="FF000000"/>
    </font>
  </fonts>
  <fills count="7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2F5597"/>
      </patternFill>
    </fill>
    <fill>
      <patternFill patternType="solid">
        <fgColor rgb="FFFFFF00"/>
      </patternFill>
    </fill>
    <fill>
      <patternFill patternType="solid">
        <fgColor rgb="001F3864"/>
      </patternFill>
    </fill>
    <fill>
      <patternFill patternType="solid">
        <fgColor rgb="00E2EFDA"/>
      </patternFill>
    </fill>
  </fills>
  <borders count="7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1" fontId="8" fillId="2" borderId="1" applyAlignment="1" pivotButton="0" quotePrefix="0" xfId="0">
      <alignment horizontal="general" vertical="bottom"/>
    </xf>
    <xf numFmtId="2" fontId="8" fillId="2" borderId="1" applyAlignment="1" pivotButton="0" quotePrefix="0" xfId="0">
      <alignment horizontal="general" vertical="bottom"/>
    </xf>
    <xf numFmtId="1" fontId="9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49" fontId="9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2" fontId="9" fillId="0" borderId="1" applyAlignment="1" pivotButton="0" quotePrefix="0" xfId="0">
      <alignment horizontal="general" vertical="bottom"/>
    </xf>
    <xf numFmtId="164" fontId="8" fillId="2" borderId="1" applyAlignment="1" pivotButton="0" quotePrefix="0" xfId="0">
      <alignment horizontal="general" vertical="bottom"/>
    </xf>
    <xf numFmtId="49" fontId="10" fillId="0" borderId="1" applyAlignment="1" pivotButton="0" quotePrefix="0" xfId="0">
      <alignment horizontal="general" vertical="bottom"/>
    </xf>
    <xf numFmtId="0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4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0" applyAlignment="1" pivotButton="0" quotePrefix="0" xfId="0">
      <alignment vertical="top" wrapText="1"/>
    </xf>
    <xf numFmtId="0" fontId="17" fillId="5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165" fontId="0" fillId="0" borderId="2" applyAlignment="1" pivotButton="0" quotePrefix="0" xfId="0">
      <alignment horizontal="center" vertical="center" wrapText="1"/>
    </xf>
    <xf numFmtId="165" fontId="15" fillId="6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1" fontId="8" fillId="2" borderId="1" applyAlignment="1" pivotButton="0" quotePrefix="0" xfId="0">
      <alignment horizontal="general" vertical="bottom"/>
    </xf>
    <xf numFmtId="2" fontId="8" fillId="2" borderId="1" applyAlignment="1" pivotButton="0" quotePrefix="0" xfId="0">
      <alignment horizontal="general" vertical="bottom"/>
    </xf>
    <xf numFmtId="2" fontId="18" fillId="6" borderId="1" applyAlignment="1" pivotButton="0" quotePrefix="0" xfId="0">
      <alignment horizontal="general" vertical="bottom"/>
    </xf>
    <xf numFmtId="1" fontId="9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49" fontId="9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2" fontId="9" fillId="0" borderId="1" applyAlignment="1" pivotButton="0" quotePrefix="0" xfId="0">
      <alignment horizontal="general" vertical="bottom"/>
    </xf>
    <xf numFmtId="164" fontId="8" fillId="2" borderId="1" applyAlignment="1" pivotButton="0" quotePrefix="0" xfId="0">
      <alignment horizontal="general" vertical="bottom"/>
    </xf>
    <xf numFmtId="49" fontId="1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fgColor rgb="00FFF2CC"/>
          <bgColor rgb="00FFF2CC"/>
        </patternFill>
      </fill>
    </dxf>
    <dxf>
      <fill>
        <patternFill patternType="solid">
          <fgColor rgb="00C65911"/>
          <bgColor rgb="00C65911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2F5597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Presión de aceite en función del régimen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scatterChart>
        <scatterStyle val="lineMarker"/>
        <varyColors val="0"/>
        <ser>
          <idx val="0"/>
          <order val="0"/>
          <tx>
            <strRef>
              <f>"Medida"</f>
              <strCache>
                <ptCount val="1"/>
                <pt idx="0">
                  <v>Medida</v>
                </pt>
              </strCache>
            </strRef>
          </tx>
          <spPr>
            <a:solidFill xmlns:a="http://schemas.openxmlformats.org/drawingml/2006/main">
              <a:srgbClr val="2f5597"/>
            </a:solidFill>
            <a:ln xmlns:a="http://schemas.openxmlformats.org/drawingml/2006/main" w="24840">
              <a:solidFill>
                <a:srgbClr val="2f5597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2f5597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Presion!$A$6:$A$12</f>
              <numCache>
                <formatCode>0</formatCode>
                <ptCount val="7"/>
                <pt idx="0">
                  <v>800</v>
                </pt>
                <pt idx="1">
                  <v>1500</v>
                </pt>
                <pt idx="2">
                  <v>2000</v>
                </pt>
                <pt idx="3">
                  <v>2500</v>
                </pt>
                <pt idx="4">
                  <v>3000</v>
                </pt>
                <pt idx="5">
                  <v>3500</v>
                </pt>
                <pt idx="6">
                  <v>4000</v>
                </pt>
              </numCache>
            </numRef>
          </xVal>
          <yVal>
            <numRef>
              <f>Presion!$C$6:$C$12</f>
              <numCache>
                <formatCode>0.00</formatCode>
                <ptCount val="7"/>
                <pt idx="0">
                  <v>1.2</v>
                </pt>
                <pt idx="1">
                  <v>2.1</v>
                </pt>
                <pt idx="2">
                  <v>2.9</v>
                </pt>
                <pt idx="3">
                  <v>3.3</v>
                </pt>
                <pt idx="4">
                  <v>3.7</v>
                </pt>
                <pt idx="5">
                  <v>3.9</v>
                </pt>
                <pt idx="6">
                  <v>4</v>
                </pt>
              </numCache>
            </numRef>
          </yVal>
          <smooth val="1"/>
        </ser>
        <ser>
          <idx val="1"/>
          <order val="1"/>
          <tx>
            <strRef>
              <f>"Mínimo"</f>
              <strCache>
                <ptCount val="1"/>
                <pt idx="0">
                  <v>Mínimo</v>
                </pt>
              </strCache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 w="24840">
              <a:solidFill>
                <a:srgbClr val="c0000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Presion!$A$6:$A$12</f>
              <numCache>
                <formatCode>0</formatCode>
                <ptCount val="7"/>
                <pt idx="0">
                  <v>800</v>
                </pt>
                <pt idx="1">
                  <v>1500</v>
                </pt>
                <pt idx="2">
                  <v>2000</v>
                </pt>
                <pt idx="3">
                  <v>2500</v>
                </pt>
                <pt idx="4">
                  <v>3000</v>
                </pt>
                <pt idx="5">
                  <v>3500</v>
                </pt>
                <pt idx="6">
                  <v>4000</v>
                </pt>
              </numCache>
            </numRef>
          </xVal>
          <yVal>
            <numRef>
              <f>Presion!$D$6:$D$12</f>
              <numCache>
                <formatCode>0.00</formatCode>
                <ptCount val="7"/>
                <pt idx="0">
                  <v>0.8</v>
                </pt>
                <pt idx="2">
                  <v>2</v>
                </pt>
                <pt idx="4">
                  <v>3</v>
                </pt>
                <pt idx="6">
                  <v>3.5</v>
                </pt>
              </numCache>
            </numRef>
          </yVal>
          <smooth val="1"/>
        </ser>
        <ser>
          <idx val="2"/>
          <order val="2"/>
          <tx>
            <strRef>
              <f>"Máximo"</f>
              <strCache>
                <ptCount val="1"/>
                <pt idx="0">
                  <v>Máximo</v>
                </pt>
              </strCache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 w="24840">
              <a:solidFill>
                <a:srgbClr val="37562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375623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Presion!$A$6:$A$12</f>
              <numCache>
                <formatCode>0</formatCode>
                <ptCount val="7"/>
                <pt idx="0">
                  <v>800</v>
                </pt>
                <pt idx="1">
                  <v>1500</v>
                </pt>
                <pt idx="2">
                  <v>2000</v>
                </pt>
                <pt idx="3">
                  <v>2500</v>
                </pt>
                <pt idx="4">
                  <v>3000</v>
                </pt>
                <pt idx="5">
                  <v>3500</v>
                </pt>
                <pt idx="6">
                  <v>4000</v>
                </pt>
              </numCache>
            </numRef>
          </xVal>
          <yVal>
            <numRef>
              <f>Presion!$E$6:$E$12</f>
              <numCache>
                <formatCode>0.00</formatCode>
                <ptCount val="7"/>
                <pt idx="4">
                  <v>4.5</v>
                </pt>
                <pt idx="6">
                  <v>5</v>
                </pt>
              </numCache>
            </numRef>
          </yVal>
          <smooth val="1"/>
        </ser>
        <axId val="26351589"/>
        <axId val="3176181"/>
      </scatterChart>
      <valAx>
        <axId val="26351589"/>
        <scaling>
          <orientation val="minMax"/>
        </scaling>
        <delete val="0"/>
        <axPos val="b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Régimen (rpm)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3176181"/>
        <crosses val="autoZero"/>
        <crossBetween val="midCat"/>
      </valAx>
      <valAx>
        <axId val="317618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Presión (bar)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26351589"/>
        <crosses val="autoZero"/>
        <crossBetween val="midCat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T1_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Presión de aceite en función del régimen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"Medida"</c:f>
              <c:strCache>
                <c:ptCount val="1"/>
                <c:pt idx="0">
                  <c:v>Medida</c:v>
                </c:pt>
              </c:strCache>
            </c:strRef>
          </c:tx>
          <c:spPr>
            <a:solidFill>
              <a:srgbClr val="2f5597"/>
            </a:solidFill>
            <a:ln w="24840">
              <a:solidFill>
                <a:srgbClr val="2f5597"/>
              </a:solidFill>
              <a:round/>
            </a:ln>
          </c:spPr>
          <c:marker>
            <c:symbol val="circle"/>
            <c:size val="5"/>
            <c:spPr>
              <a:solidFill>
                <a:srgbClr val="2f559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Presion!$A$6:$A$12</c:f>
              <c:numCache>
                <c:formatCode>0</c:formatCode>
                <c:ptCount val="7"/>
                <c:pt idx="0">
                  <c:v>800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</c:numCache>
            </c:numRef>
          </c:xVal>
          <c:yVal>
            <c:numRef>
              <c:f>Presion!$C$6:$C$12</c:f>
              <c:numCache>
                <c:formatCode>0.00</c:formatCode>
                <c:ptCount val="7"/>
                <c:pt idx="0">
                  <c:v>1.2</c:v>
                </c:pt>
                <c:pt idx="1">
                  <c:v>2.1</c:v>
                </c:pt>
                <c:pt idx="2">
                  <c:v>2.9</c:v>
                </c:pt>
                <c:pt idx="3">
                  <c:v>3.3</c:v>
                </c:pt>
                <c:pt idx="4">
                  <c:v>3.7</c:v>
                </c:pt>
                <c:pt idx="5">
                  <c:v>3.9</c:v>
                </c:pt>
                <c:pt idx="6">
                  <c:v>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"Mínimo"</c:f>
              <c:strCache>
                <c:ptCount val="1"/>
                <c:pt idx="0">
                  <c:v>Mínimo</c:v>
                </c:pt>
              </c:strCache>
            </c:strRef>
          </c:tx>
          <c:spPr>
            <a:solidFill>
              <a:srgbClr val="c00000"/>
            </a:solidFill>
            <a:ln w="24840">
              <a:solidFill>
                <a:srgbClr val="c00000"/>
              </a:solidFill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Presion!$A$6:$A$12</c:f>
              <c:numCache>
                <c:formatCode>0</c:formatCode>
                <c:ptCount val="7"/>
                <c:pt idx="0">
                  <c:v>800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</c:numCache>
            </c:numRef>
          </c:xVal>
          <c:yVal>
            <c:numRef>
              <c:f>Presion!$D$6:$D$12</c:f>
              <c:numCache>
                <c:formatCode>0.00</c:formatCode>
                <c:ptCount val="7"/>
                <c:pt idx="0">
                  <c:v>0.8</c:v>
                </c:pt>
                <c:pt idx="2">
                  <c:v>2</c:v>
                </c:pt>
                <c:pt idx="4">
                  <c:v>3</c:v>
                </c:pt>
                <c:pt idx="6">
                  <c:v>3.5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"Máximo"</c:f>
              <c:strCache>
                <c:ptCount val="1"/>
                <c:pt idx="0">
                  <c:v>Máximo</c:v>
                </c:pt>
              </c:strCache>
            </c:strRef>
          </c:tx>
          <c:spPr>
            <a:solidFill>
              <a:srgbClr val="375623"/>
            </a:solidFill>
            <a:ln w="24840">
              <a:solidFill>
                <a:srgbClr val="375623"/>
              </a:solidFill>
              <a:round/>
            </a:ln>
          </c:spPr>
          <c:marker>
            <c:symbol val="circle"/>
            <c:size val="5"/>
            <c:spPr>
              <a:solidFill>
                <a:srgbClr val="37562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Presion!$A$6:$A$12</c:f>
              <c:numCache>
                <c:formatCode>0</c:formatCode>
                <c:ptCount val="7"/>
                <c:pt idx="0">
                  <c:v>800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</c:numCache>
            </c:numRef>
          </c:xVal>
          <c:yVal>
            <c:numRef>
              <c:f>Presion!$E$6:$E$12</c:f>
              <c:numCache>
                <c:formatCode>0.00</c:formatCode>
                <c:ptCount val="7"/>
                <c:pt idx="4">
                  <c:v>4.5</c:v>
                </c:pt>
                <c:pt idx="6">
                  <c:v>5</c:v>
                </c:pt>
              </c:numCache>
            </c:numRef>
          </c:yVal>
          <c:smooth val="1"/>
        </c:ser>
        <c:axId val="26351589"/>
        <c:axId val="3176181"/>
      </c:scatterChart>
      <c:valAx>
        <c:axId val="2635158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Régimen (rpm)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76181"/>
        <c:crosses val="autoZero"/>
        <c:crossBetween val="midCat"/>
      </c:valAx>
      <c:valAx>
        <c:axId val="31761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Presión (bar)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35158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T1.xml.rels><?xml version="1.0" encoding="UTF-8"?>
<Relationships xmlns="http://schemas.openxmlformats.org/package/2006/relationships"><Relationship Id="rId1" Type="http://schemas.openxmlformats.org/officeDocument/2006/relationships/chart" Target="../charts/chartT1_chart1.xml"/>
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10</col>
      <colOff>4680</colOff>
      <row>16</row>
      <rowOff>11520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T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10</xdr:col>
      <xdr:colOff>4680</xdr:colOff>
      <xdr:row>16</xdr:row>
      <xdr:rowOff>11520</xdr:rowOff>
    </xdr:to>
    <xdr:graphicFrame>
      <xdr:nvGraphicFramePr>
        <xdr:cNvPr id="0" name="Chart 1"/>
        <xdr:cNvGraphicFramePr/>
      </xdr:nvGraphicFramePr>
      <xdr:xfrm>
        <a:off x="0" y="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Relationship Id="rIdDrw1" Type="http://schemas.openxmlformats.org/officeDocument/2006/relationships/drawing" Target="../drawings/drawingT1.xml"/></Relationships>
</file>

<file path=xl/worksheets/sheet1.xml><?xml version="1.0" encoding="utf-8"?>
<worksheet xmlns="http://schemas.openxmlformats.org/spreadsheetml/2006/main">
  <sheetPr>
    <tabColor rgb="00C65911"/>
    <outlinePr summaryBelow="1" summaryRight="1"/>
    <pageSetUpPr/>
  </sheetPr>
  <dimension ref="A1:J2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4" customWidth="1" style="17" min="1" max="1"/>
    <col width="8" customWidth="1" style="17" min="2" max="2"/>
    <col width="13" customWidth="1" style="17" min="3" max="3"/>
    <col width="13" customWidth="1" style="17" min="4" max="4"/>
    <col width="13" customWidth="1" style="17" min="5" max="5"/>
    <col width="15" customWidth="1" style="17" min="6" max="6"/>
    <col width="13" customWidth="1" style="17" min="7" max="7"/>
    <col width="13" customWidth="1" style="17" min="8" max="8"/>
    <col width="24" customWidth="1" style="17" min="9" max="9"/>
    <col width="60" customWidth="1" style="17" min="10" max="10"/>
  </cols>
  <sheetData>
    <row r="1">
      <c r="A1" s="18" t="inlineStr">
        <is>
          <t>ESPECIFICACIONES DEL FABRICANTE – MOTOR ASIGNADO</t>
        </is>
      </c>
    </row>
    <row r="3">
      <c r="A3" s="19" t="inlineStr">
        <is>
          <t>Motor asignado (elija de la lista):</t>
        </is>
      </c>
      <c r="C3" s="20" t="inlineStr">
        <is>
          <t>Daihatsu CB-20</t>
        </is>
      </c>
      <c r="D3" s="21" t="n"/>
      <c r="E3" s="22" t="n"/>
    </row>
    <row r="4" ht="45" customHeight="1" s="17">
      <c r="A4" s="23" t="inlineStr">
        <is>
          <t>Las celdas verdes de las demás hojas toman el «Valor aplicado» de esta tabla. Cuando el manual da un límite de servicio, el máximo/mínimo es ese límite. Si el manual del motor no especifica el dato, se aplica el valor orientativo y la columna «Origen» lo indica.</t>
        </is>
      </c>
    </row>
    <row r="6" ht="32" customHeight="1" s="17">
      <c r="A6" s="24" t="inlineStr">
        <is>
          <t>Comprobación</t>
        </is>
      </c>
      <c r="B6" s="24" t="inlineStr">
        <is>
          <t>Unidad</t>
        </is>
      </c>
      <c r="C6" s="24" t="inlineStr">
        <is>
          <t>Daihatsu CB-20</t>
        </is>
      </c>
      <c r="D6" s="24" t="inlineStr">
        <is>
          <t>Nissan A14</t>
        </is>
      </c>
      <c r="E6" s="24" t="inlineStr">
        <is>
          <t>Hyundai G4EC</t>
        </is>
      </c>
      <c r="F6" s="24" t="inlineStr">
        <is>
          <t>Chevrolet Monza 2.0</t>
        </is>
      </c>
      <c r="G6" s="24" t="inlineStr">
        <is>
          <t>Valor orientativo</t>
        </is>
      </c>
      <c r="H6" s="24" t="inlineStr">
        <is>
          <t>Valor aplicado</t>
        </is>
      </c>
      <c r="I6" s="24" t="inlineStr">
        <is>
          <t>Origen</t>
        </is>
      </c>
      <c r="J6" s="24" t="inlineStr">
        <is>
          <t>Fuente en el manual</t>
        </is>
      </c>
    </row>
    <row r="7">
      <c r="A7" s="25" t="inlineStr">
        <is>
          <t>Presión de aceite en ralentí – mín.</t>
        </is>
      </c>
      <c r="B7" s="26" t="inlineStr">
        <is>
          <t>bar</t>
        </is>
      </c>
      <c r="C7" s="27" t="n"/>
      <c r="D7" s="27" t="n">
        <v>0.78</v>
      </c>
      <c r="E7" s="27" t="n">
        <v>0.9</v>
      </c>
      <c r="F7" s="27" t="n"/>
      <c r="G7" s="27" t="n">
        <v>0.8</v>
      </c>
      <c r="H7" s="28">
        <f>IF(ISNUMBER(INDEX($C7:$F7,MATCH($C$3,$C$6:$F$6,0))),INDEX($C7:$F7,MATCH($C$3,$C$6:$F$6,0)),IF(INDEX($C7:$F7,MATCH($C$3,$C$6:$F$6,0))&lt;&gt;"","",IF($G7="","",$G7)))</f>
        <v/>
      </c>
      <c r="I7" s="25">
        <f>IF(ISNUMBER(INDEX($C7:$F7,MATCH($C$3,$C$6:$F$6,0))),"Manual",IF(INDEX($C7:$F7,MATCH($C$3,$C$6:$F$6,0))&lt;&gt;"","No aplica a este motor",IF($G7="","Sin dato","Orientativo: el manual no lo especifica")))</f>
        <v/>
      </c>
      <c r="J7" s="25" t="inlineStr">
        <is>
          <t>A14 &gt; 0,8 kg/cm² (Nissan B310 p. EL-5); Hyundai: 90–147 kPa en ralentí</t>
        </is>
      </c>
    </row>
    <row r="8">
      <c r="A8" s="25" t="inlineStr">
        <is>
          <t>Presión de aceite en ralentí – máx.</t>
        </is>
      </c>
      <c r="B8" s="26" t="inlineStr">
        <is>
          <t>bar</t>
        </is>
      </c>
      <c r="C8" s="27" t="n"/>
      <c r="D8" s="27" t="n"/>
      <c r="E8" s="27" t="n">
        <v>1.47</v>
      </c>
      <c r="F8" s="27" t="n"/>
      <c r="G8" s="27" t="n"/>
      <c r="H8" s="28">
        <f>IF(ISNUMBER(INDEX($C8:$F8,MATCH($C$3,$C$6:$F$6,0))),INDEX($C8:$F8,MATCH($C$3,$C$6:$F$6,0)),IF(INDEX($C8:$F8,MATCH($C$3,$C$6:$F$6,0))&lt;&gt;"","",IF($G8="","",$G8)))</f>
        <v/>
      </c>
      <c r="I8" s="25">
        <f>IF(ISNUMBER(INDEX($C8:$F8,MATCH($C$3,$C$6:$F$6,0))),"Manual",IF(INDEX($C8:$F8,MATCH($C$3,$C$6:$F$6,0))&lt;&gt;"","No aplica a este motor",IF($G8="","Sin dato","Orientativo: el manual no lo especifica")))</f>
        <v/>
      </c>
      <c r="J8" s="25" t="inlineStr">
        <is>
          <t>Hyundai</t>
        </is>
      </c>
    </row>
    <row r="9">
      <c r="A9" s="25" t="inlineStr">
        <is>
          <t>Presión de aceite a 1500 rpm – mín.</t>
        </is>
      </c>
      <c r="B9" s="26" t="inlineStr">
        <is>
          <t>bar</t>
        </is>
      </c>
      <c r="C9" s="27" t="n"/>
      <c r="D9" s="27" t="n"/>
      <c r="E9" s="27" t="n"/>
      <c r="F9" s="27" t="n">
        <v>2.82</v>
      </c>
      <c r="G9" s="27" t="n"/>
      <c r="H9" s="28">
        <f>IF(ISNUMBER(INDEX($C9:$F9,MATCH($C$3,$C$6:$F$6,0))),INDEX($C9:$F9,MATCH($C$3,$C$6:$F$6,0)),IF(INDEX($C9:$F9,MATCH($C$3,$C$6:$F$6,0))&lt;&gt;"","",IF($G9="","",$G9)))</f>
        <v/>
      </c>
      <c r="I9" s="25">
        <f>IF(ISNUMBER(INDEX($C9:$F9,MATCH($C$3,$C$6:$F$6,0))),"Manual",IF(INDEX($C9:$F9,MATCH($C$3,$C$6:$F$6,0))&lt;&gt;"","No aplica a este motor",IF($G9="","Sin dato","Orientativo: el manual no lo especifica")))</f>
        <v/>
      </c>
      <c r="J9" s="25" t="inlineStr">
        <is>
          <t>Monza: 282–324 kPa a 1400 rpm</t>
        </is>
      </c>
    </row>
    <row r="10">
      <c r="A10" s="25" t="inlineStr">
        <is>
          <t>Presión de aceite a 1500 rpm – máx.</t>
        </is>
      </c>
      <c r="B10" s="26" t="inlineStr">
        <is>
          <t>bar</t>
        </is>
      </c>
      <c r="C10" s="27" t="n"/>
      <c r="D10" s="27" t="n"/>
      <c r="E10" s="27" t="n"/>
      <c r="F10" s="27" t="n">
        <v>3.24</v>
      </c>
      <c r="G10" s="27" t="n"/>
      <c r="H10" s="28">
        <f>IF(ISNUMBER(INDEX($C10:$F10,MATCH($C$3,$C$6:$F$6,0))),INDEX($C10:$F10,MATCH($C$3,$C$6:$F$6,0)),IF(INDEX($C10:$F10,MATCH($C$3,$C$6:$F$6,0))&lt;&gt;"","",IF($G10="","",$G10)))</f>
        <v/>
      </c>
      <c r="I10" s="25">
        <f>IF(ISNUMBER(INDEX($C10:$F10,MATCH($C$3,$C$6:$F$6,0))),"Manual",IF(INDEX($C10:$F10,MATCH($C$3,$C$6:$F$6,0))&lt;&gt;"","No aplica a este motor",IF($G10="","Sin dato","Orientativo: el manual no lo especifica")))</f>
        <v/>
      </c>
      <c r="J10" s="25" t="inlineStr">
        <is>
          <t>Monza: a 1400 rpm</t>
        </is>
      </c>
    </row>
    <row r="11">
      <c r="A11" s="25" t="inlineStr">
        <is>
          <t>Presión de aceite a 2000 rpm – mín.</t>
        </is>
      </c>
      <c r="B11" s="26" t="inlineStr">
        <is>
          <t>bar</t>
        </is>
      </c>
      <c r="C11" s="27" t="n"/>
      <c r="D11" s="27" t="n"/>
      <c r="E11" s="27" t="n"/>
      <c r="F11" s="27" t="n"/>
      <c r="G11" s="27" t="n">
        <v>2</v>
      </c>
      <c r="H11" s="28">
        <f>IF(ISNUMBER(INDEX($C11:$F11,MATCH($C$3,$C$6:$F$6,0))),INDEX($C11:$F11,MATCH($C$3,$C$6:$F$6,0)),IF(INDEX($C11:$F11,MATCH($C$3,$C$6:$F$6,0))&lt;&gt;"","",IF($G11="","",$G11)))</f>
        <v/>
      </c>
      <c r="I11" s="25">
        <f>IF(ISNUMBER(INDEX($C11:$F11,MATCH($C$3,$C$6:$F$6,0))),"Manual",IF(INDEX($C11:$F11,MATCH($C$3,$C$6:$F$6,0))&lt;&gt;"","No aplica a este motor",IF($G11="","Sin dato","Orientativo: el manual no lo especifica")))</f>
        <v/>
      </c>
      <c r="J11" s="25" t="inlineStr">
        <is>
          <t>No consta en los manuales disponibles</t>
        </is>
      </c>
    </row>
    <row r="12">
      <c r="A12" s="25" t="inlineStr">
        <is>
          <t>Presión de aceite a 3000 rpm – mín.</t>
        </is>
      </c>
      <c r="B12" s="26" t="inlineStr">
        <is>
          <t>bar</t>
        </is>
      </c>
      <c r="C12" s="27" t="n"/>
      <c r="D12" s="27" t="n">
        <v>3.73</v>
      </c>
      <c r="E12" s="27" t="n"/>
      <c r="F12" s="27" t="n">
        <v>3.65</v>
      </c>
      <c r="G12" s="27" t="n">
        <v>3</v>
      </c>
      <c r="H12" s="28">
        <f>IF(ISNUMBER(INDEX($C12:$F12,MATCH($C$3,$C$6:$F$6,0))),INDEX($C12:$F12,MATCH($C$3,$C$6:$F$6,0)),IF(INDEX($C12:$F12,MATCH($C$3,$C$6:$F$6,0))&lt;&gt;"","",IF($G12="","",$G12)))</f>
        <v/>
      </c>
      <c r="I12" s="25">
        <f>IF(ISNUMBER(INDEX($C12:$F12,MATCH($C$3,$C$6:$F$6,0))),"Manual",IF(INDEX($C12:$F12,MATCH($C$3,$C$6:$F$6,0))&lt;&gt;"","No aplica a este motor",IF($G12="","Sin dato","Orientativo: el manual no lo especifica")))</f>
        <v/>
      </c>
      <c r="J12" s="25" t="inlineStr">
        <is>
          <t>A14 3,8–5,2 kg/cm² (Nissan B310 p. EL-5); Monza: 365–407 kPa a 3000 rpm</t>
        </is>
      </c>
    </row>
    <row r="13">
      <c r="A13" s="25" t="inlineStr">
        <is>
          <t>Presión de aceite a 3000 rpm – máx.</t>
        </is>
      </c>
      <c r="B13" s="26" t="inlineStr">
        <is>
          <t>bar</t>
        </is>
      </c>
      <c r="C13" s="27" t="n"/>
      <c r="D13" s="27" t="n">
        <v>5.1</v>
      </c>
      <c r="E13" s="27" t="n"/>
      <c r="F13" s="27" t="n">
        <v>4.07</v>
      </c>
      <c r="G13" s="27" t="n">
        <v>4.5</v>
      </c>
      <c r="H13" s="28">
        <f>IF(ISNUMBER(INDEX($C13:$F13,MATCH($C$3,$C$6:$F$6,0))),INDEX($C13:$F13,MATCH($C$3,$C$6:$F$6,0)),IF(INDEX($C13:$F13,MATCH($C$3,$C$6:$F$6,0))&lt;&gt;"","",IF($G13="","",$G13)))</f>
        <v/>
      </c>
      <c r="I13" s="25">
        <f>IF(ISNUMBER(INDEX($C13:$F13,MATCH($C$3,$C$6:$F$6,0))),"Manual",IF(INDEX($C13:$F13,MATCH($C$3,$C$6:$F$6,0))&lt;&gt;"","No aplica a este motor",IF($G13="","Sin dato","Orientativo: el manual no lo especifica")))</f>
        <v/>
      </c>
      <c r="J13" s="25" t="inlineStr">
        <is>
          <t>A14 (Nissan B310 p. EL-5); Monza</t>
        </is>
      </c>
    </row>
    <row r="14">
      <c r="A14" s="25" t="inlineStr">
        <is>
          <t>Presión de aceite a 4000 rpm – mín.</t>
        </is>
      </c>
      <c r="B14" s="26" t="inlineStr">
        <is>
          <t>bar</t>
        </is>
      </c>
      <c r="C14" s="27" t="n"/>
      <c r="D14" s="27" t="n"/>
      <c r="E14" s="27" t="n"/>
      <c r="F14" s="27" t="n"/>
      <c r="G14" s="27" t="n">
        <v>3.5</v>
      </c>
      <c r="H14" s="28">
        <f>IF(ISNUMBER(INDEX($C14:$F14,MATCH($C$3,$C$6:$F$6,0))),INDEX($C14:$F14,MATCH($C$3,$C$6:$F$6,0)),IF(INDEX($C14:$F14,MATCH($C$3,$C$6:$F$6,0))&lt;&gt;"","",IF($G14="","",$G14)))</f>
        <v/>
      </c>
      <c r="I14" s="25">
        <f>IF(ISNUMBER(INDEX($C14:$F14,MATCH($C$3,$C$6:$F$6,0))),"Manual",IF(INDEX($C14:$F14,MATCH($C$3,$C$6:$F$6,0))&lt;&gt;"","No aplica a este motor",IF($G14="","Sin dato","Orientativo: el manual no lo especifica")))</f>
        <v/>
      </c>
      <c r="J14" s="25" t="inlineStr">
        <is>
          <t>No consta en los manuales disponibles</t>
        </is>
      </c>
    </row>
    <row r="15">
      <c r="A15" s="25" t="inlineStr">
        <is>
          <t>Presión de aceite a 4000 rpm – máx.</t>
        </is>
      </c>
      <c r="B15" s="26" t="inlineStr">
        <is>
          <t>bar</t>
        </is>
      </c>
      <c r="C15" s="27" t="n"/>
      <c r="D15" s="27" t="n"/>
      <c r="E15" s="27" t="n"/>
      <c r="F15" s="27" t="n"/>
      <c r="G15" s="27" t="n">
        <v>5</v>
      </c>
      <c r="H15" s="28">
        <f>IF(ISNUMBER(INDEX($C15:$F15,MATCH($C$3,$C$6:$F$6,0))),INDEX($C15:$F15,MATCH($C$3,$C$6:$F$6,0)),IF(INDEX($C15:$F15,MATCH($C$3,$C$6:$F$6,0))&lt;&gt;"","",IF($G15="","",$G15)))</f>
        <v/>
      </c>
      <c r="I15" s="25">
        <f>IF(ISNUMBER(INDEX($C15:$F15,MATCH($C$3,$C$6:$F$6,0))),"Manual",IF(INDEX($C15:$F15,MATCH($C$3,$C$6:$F$6,0))&lt;&gt;"","No aplica a este motor",IF($G15="","Sin dato","Orientativo: el manual no lo especifica")))</f>
        <v/>
      </c>
      <c r="J15" s="25" t="inlineStr">
        <is>
          <t>No consta en los manuales disponibles</t>
        </is>
      </c>
    </row>
    <row r="16">
      <c r="A16" s="25" t="inlineStr">
        <is>
          <t>Capacidad de aceite</t>
        </is>
      </c>
      <c r="B16" s="26" t="inlineStr">
        <is>
          <t>L</t>
        </is>
      </c>
      <c r="C16" s="27" t="n">
        <v>2.9</v>
      </c>
      <c r="D16" s="27" t="n">
        <v>3.2</v>
      </c>
      <c r="E16" s="27" t="n"/>
      <c r="F16" s="27" t="n"/>
      <c r="G16" s="27" t="n">
        <v>3.8</v>
      </c>
      <c r="H16" s="28">
        <f>IF(ISNUMBER(INDEX($C16:$F16,MATCH($C$3,$C$6:$F$6,0))),INDEX($C16:$F16,MATCH($C$3,$C$6:$F$6,0)),IF(INDEX($C16:$F16,MATCH($C$3,$C$6:$F$6,0))&lt;&gt;"","",IF($G16="","",$G16)))</f>
        <v/>
      </c>
      <c r="I16" s="25">
        <f>IF(ISNUMBER(INDEX($C16:$F16,MATCH($C$3,$C$6:$F$6,0))),"Manual",IF(INDEX($C16:$F16,MATCH($C$3,$C$6:$F$6,0))&lt;&gt;"","No aplica a este motor",IF($G16="","Sin dato","Orientativo: el manual no lo especifica")))</f>
        <v/>
      </c>
      <c r="J16" s="25" t="inlineStr">
        <is>
          <t>CB-20: G10 p. 13; Haynes p. 18 (con filtro)</t>
        </is>
      </c>
    </row>
    <row r="17">
      <c r="A17" s="25" t="inlineStr">
        <is>
          <t>Bomba de aceite: juego entre rotores/engranajes máx.</t>
        </is>
      </c>
      <c r="B17" s="26" t="inlineStr">
        <is>
          <t>mm</t>
        </is>
      </c>
      <c r="C17" s="27" t="n">
        <v>0.25</v>
      </c>
      <c r="D17" s="27" t="n">
        <v>0.2</v>
      </c>
      <c r="E17" s="27" t="n">
        <v>0.06900000000000001</v>
      </c>
      <c r="F17" s="27" t="n">
        <v>0.45</v>
      </c>
      <c r="G17" s="27" t="n">
        <v>0.2</v>
      </c>
      <c r="H17" s="28">
        <f>IF(ISNUMBER(INDEX($C17:$F17,MATCH($C$3,$C$6:$F$6,0))),INDEX($C17:$F17,MATCH($C$3,$C$6:$F$6,0)),IF(INDEX($C17:$F17,MATCH($C$3,$C$6:$F$6,0))&lt;&gt;"","",IF($G17="","",$G17)))</f>
        <v/>
      </c>
      <c r="I17" s="25">
        <f>IF(ISNUMBER(INDEX($C17:$F17,MATCH($C$3,$C$6:$F$6,0))),"Manual",IF(INDEX($C17:$F17,MATCH($C$3,$C$6:$F$6,0))&lt;&gt;"","No aplica a este motor",IF($G17="","Sin dato","Orientativo: el manual no lo especifica")))</f>
        <v/>
      </c>
      <c r="J17" s="25" t="inlineStr">
        <is>
          <t>CB p. 7-3 (límite); A14 límite (Nissan B310 p. EL-5); Hyundai; Monza (engranaje–media luna)</t>
        </is>
      </c>
    </row>
    <row r="18">
      <c r="A18" s="25" t="inlineStr">
        <is>
          <t>Bomba de aceite: juego rotor–cuerpo máx.</t>
        </is>
      </c>
      <c r="B18" s="26" t="inlineStr">
        <is>
          <t>mm</t>
        </is>
      </c>
      <c r="C18" s="27" t="n">
        <v>0.3</v>
      </c>
      <c r="D18" s="27" t="n">
        <v>0.5</v>
      </c>
      <c r="E18" s="27" t="n">
        <v>0.18</v>
      </c>
      <c r="F18" s="27" t="n">
        <v>0.19</v>
      </c>
      <c r="G18" s="27" t="n">
        <v>0.2</v>
      </c>
      <c r="H18" s="28">
        <f>IF(ISNUMBER(INDEX($C18:$F18,MATCH($C$3,$C$6:$F$6,0))),INDEX($C18:$F18,MATCH($C$3,$C$6:$F$6,0)),IF(INDEX($C18:$F18,MATCH($C$3,$C$6:$F$6,0))&lt;&gt;"","",IF($G18="","",$G18)))</f>
        <v/>
      </c>
      <c r="I18" s="25">
        <f>IF(ISNUMBER(INDEX($C18:$F18,MATCH($C$3,$C$6:$F$6,0))),"Manual",IF(INDEX($C18:$F18,MATCH($C$3,$C$6:$F$6,0))&lt;&gt;"","No aplica a este motor",IF($G18="","Sin dato","Orientativo: el manual no lo especifica")))</f>
        <v/>
      </c>
      <c r="J18" s="25" t="inlineStr">
        <is>
          <t>CB p. 7-4 (límite); Hyundai; Monza</t>
        </is>
      </c>
    </row>
    <row r="19">
      <c r="A19" s="25" t="inlineStr">
        <is>
          <t>Bomba de aceite: juego lateral máx.</t>
        </is>
      </c>
      <c r="B19" s="26" t="inlineStr">
        <is>
          <t>mm</t>
        </is>
      </c>
      <c r="C19" s="27" t="n">
        <v>0.2</v>
      </c>
      <c r="D19" s="27" t="n">
        <v>0.2</v>
      </c>
      <c r="E19" s="27" t="n">
        <v>0.09</v>
      </c>
      <c r="F19" s="27" t="n">
        <v>0.1</v>
      </c>
      <c r="G19" s="27" t="n">
        <v>0.1</v>
      </c>
      <c r="H19" s="28">
        <f>IF(ISNUMBER(INDEX($C19:$F19,MATCH($C$3,$C$6:$F$6,0))),INDEX($C19:$F19,MATCH($C$3,$C$6:$F$6,0)),IF(INDEX($C19:$F19,MATCH($C$3,$C$6:$F$6,0))&lt;&gt;"","",IF($G19="","",$G19)))</f>
        <v/>
      </c>
      <c r="I19" s="25">
        <f>IF(ISNUMBER(INDEX($C19:$F19,MATCH($C$3,$C$6:$F$6,0))),"Manual",IF(INDEX($C19:$F19,MATCH($C$3,$C$6:$F$6,0))&lt;&gt;"","No aplica a este motor",IF($G19="","Sin dato","Orientativo: el manual no lo especifica")))</f>
        <v/>
      </c>
      <c r="J19" s="25" t="inlineStr">
        <is>
          <t>CB p. 7-3 (límite); Hyundai; Monza</t>
        </is>
      </c>
    </row>
    <row r="20">
      <c r="A20" s="25" t="inlineStr">
        <is>
          <t>Longitud libre mín. del muelle de la válvula de alivio</t>
        </is>
      </c>
      <c r="B20" s="26" t="inlineStr">
        <is>
          <t>mm</t>
        </is>
      </c>
      <c r="C20" s="27" t="n"/>
      <c r="D20" s="27" t="n">
        <v>43.49</v>
      </c>
      <c r="E20" s="27" t="n">
        <v>46.6</v>
      </c>
      <c r="F20" s="27" t="n"/>
      <c r="G20" s="27" t="n">
        <v>45</v>
      </c>
      <c r="H20" s="28">
        <f>IF(ISNUMBER(INDEX($C20:$F20,MATCH($C$3,$C$6:$F$6,0))),INDEX($C20:$F20,MATCH($C$3,$C$6:$F$6,0)),IF(INDEX($C20:$F20,MATCH($C$3,$C$6:$F$6,0))&lt;&gt;"","",IF($G20="","",$G20)))</f>
        <v/>
      </c>
      <c r="I20" s="25">
        <f>IF(ISNUMBER(INDEX($C20:$F20,MATCH($C$3,$C$6:$F$6,0))),"Manual",IF(INDEX($C20:$F20,MATCH($C$3,$C$6:$F$6,0))&lt;&gt;"","No aplica a este motor",IF($G20="","Sin dato","Orientativo: el manual no lo especifica")))</f>
        <v/>
      </c>
      <c r="J20" s="25" t="inlineStr">
        <is>
          <t>A14 (Nissan B310 p. EL-5, nominal); Hyundai</t>
        </is>
      </c>
    </row>
    <row r="22" ht="48" customHeight="1" s="17">
      <c r="A22" s="23" t="inlineStr">
        <is>
          <t>Fuentes: Daihatsu Motor Co. (1987), Workshop manual Type CB engine; Daihatsu Motor Sales (1979), Technical information Charade (CB-20); Jones (1988), Haynes Datsun Sunny (A14); Hyundai Motor Company (2001), Accent LC G 1.6 DOHC (familia Alpha, como el G4EC); General Motors do Brasil (1990), Monza: Manual de reparações. Conversiones: 1 kg/cm² = 0,980665 bar; 1 kg·m = 9,80665 N·m.</t>
        </is>
      </c>
    </row>
  </sheetData>
  <mergeCells count="3">
    <mergeCell ref="A22:J22"/>
    <mergeCell ref="C3:E3"/>
    <mergeCell ref="A4:J4"/>
  </mergeCells>
  <conditionalFormatting sqref="C7:F20">
    <cfRule type="expression" priority="1" dxfId="0">
      <formula>C$6=$C$3</formula>
    </cfRule>
  </conditionalFormatting>
  <conditionalFormatting sqref="C6:F6">
    <cfRule type="expression" priority="2" dxfId="1">
      <formula>C$6=$C$3</formula>
    </cfRule>
  </conditionalFormatting>
  <dataValidations count="1">
    <dataValidation sqref="C3" showDropDown="0" showInputMessage="0" showErrorMessage="1" allowBlank="0" errorTitle="Motor no válido" error="Elija uno de los cuatro motores del laboratorio." type="list">
      <formula1>"Daihatsu CB-20,Nissan A14,Hyundai G4EC,Chevrolet Monza 2.0"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1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29" min="1" max="2"/>
    <col width="20" customWidth="1" style="29" min="3" max="3"/>
    <col width="22" customWidth="1" style="29" min="4" max="5"/>
    <col width="14" customWidth="1" style="29" min="6" max="7"/>
    <col width="38" customWidth="1" style="29" min="8" max="8"/>
  </cols>
  <sheetData>
    <row r="1" ht="17.35" customHeight="1" s="17">
      <c r="A1" s="30" t="inlineStr">
        <is>
          <t>SFM GUÍA 13 – SISTEMA DE LUBRICACIÓN</t>
        </is>
      </c>
    </row>
    <row r="2" ht="15" customHeight="1" s="17">
      <c r="A2" s="31" t="inlineStr">
        <is>
          <t>Presión de aceite frente al régimen y a la especificación</t>
        </is>
      </c>
    </row>
    <row r="3" ht="15" customHeight="1" s="17">
      <c r="A3" s="32" t="inlineStr">
        <is>
          <t>Leyenda: celdas amarillas con texto azul = datos de entrada (editar). Texto negro = fórmulas (no editar). Celdas verdes = especificación del fabricante del motor elegido en la hoja «Motor» (no editar).</t>
        </is>
      </c>
    </row>
    <row r="4"/>
    <row r="5" ht="31.5" customHeight="1" s="17">
      <c r="A5" s="33" t="inlineStr">
        <is>
          <t>Régimen (rpm)</t>
        </is>
      </c>
      <c r="B5" s="33" t="inlineStr">
        <is>
          <t>Temperatura (°C)</t>
        </is>
      </c>
      <c r="C5" s="33" t="inlineStr">
        <is>
          <t>Presión medida (bar)</t>
        </is>
      </c>
      <c r="D5" s="33" t="inlineStr">
        <is>
          <t>Especificación mín. (bar)</t>
        </is>
      </c>
      <c r="E5" s="33" t="inlineStr">
        <is>
          <t>Especificación máx. (bar)</t>
        </is>
      </c>
      <c r="F5" s="33" t="inlineStr">
        <is>
          <t>Presión (kPa)</t>
        </is>
      </c>
      <c r="G5" s="33" t="inlineStr">
        <is>
          <t>Presión (psi)</t>
        </is>
      </c>
      <c r="H5" s="33" t="inlineStr">
        <is>
          <t>Diagnóstico</t>
        </is>
      </c>
    </row>
    <row r="6" ht="15" customHeight="1" s="17">
      <c r="A6" s="34" t="n">
        <v>800</v>
      </c>
      <c r="B6" s="34" t="n">
        <v>90</v>
      </c>
      <c r="C6" s="35" t="n"/>
      <c r="D6" s="36">
        <f>Motor!$H$7</f>
        <v/>
      </c>
      <c r="E6" s="36">
        <f>Motor!$H$8</f>
        <v/>
      </c>
      <c r="F6" s="37">
        <f>IF(COUNTA(C6)=0,"",C6*100)</f>
        <v/>
      </c>
      <c r="G6" s="38">
        <f>IF(COUNTA(C6)=0,"",C6*14.5038)</f>
        <v/>
      </c>
      <c r="H6" s="39">
        <f>IF(COUNTA(C6)=0,"",IF(AND(D6="",E6=""),"—",IF(AND(D6&lt;&gt;"",C6&lt;D6),"Baja: holguras, bomba, tamiz o aceite",IF(AND(E6&lt;&gt;"",C6&gt;E6),"Alta: válvula limitadora o viscosidad","Correcta"))))</f>
        <v/>
      </c>
    </row>
    <row r="7" ht="15" customHeight="1" s="17">
      <c r="A7" s="34" t="n">
        <v>1500</v>
      </c>
      <c r="B7" s="34" t="n">
        <v>90</v>
      </c>
      <c r="C7" s="35" t="n"/>
      <c r="D7" s="36">
        <f>Motor!$H$9</f>
        <v/>
      </c>
      <c r="E7" s="36">
        <f>Motor!$H$10</f>
        <v/>
      </c>
      <c r="F7" s="37">
        <f>IF(COUNTA(C7)=0,"",C7*100)</f>
        <v/>
      </c>
      <c r="G7" s="38">
        <f>IF(COUNTA(C7)=0,"",C7*14.5038)</f>
        <v/>
      </c>
      <c r="H7" s="39">
        <f>IF(COUNTA(C7)=0,"",IF(AND(D7="",E7=""),"—",IF(AND(D7&lt;&gt;"",C7&lt;D7),"Baja: holguras, bomba, tamiz o aceite",IF(AND(E7&lt;&gt;"",C7&gt;E7),"Alta: válvula limitadora o viscosidad","Correcta"))))</f>
        <v/>
      </c>
    </row>
    <row r="8" ht="15" customHeight="1" s="17">
      <c r="A8" s="34" t="n">
        <v>2000</v>
      </c>
      <c r="B8" s="34" t="n">
        <v>90</v>
      </c>
      <c r="C8" s="35" t="n"/>
      <c r="D8" s="36">
        <f>Motor!$H$11</f>
        <v/>
      </c>
      <c r="E8" s="35" t="n"/>
      <c r="F8" s="37">
        <f>IF(COUNTA(C8)=0,"",C8*100)</f>
        <v/>
      </c>
      <c r="G8" s="38">
        <f>IF(COUNTA(C8)=0,"",C8*14.5038)</f>
        <v/>
      </c>
      <c r="H8" s="39">
        <f>IF(COUNTA(C8)=0,"",IF(AND(D8="",E8=""),"—",IF(AND(D8&lt;&gt;"",C8&lt;D8),"Baja: holguras, bomba, tamiz o aceite",IF(AND(E8&lt;&gt;"",C8&gt;E8),"Alta: válvula limitadora o viscosidad","Correcta"))))</f>
        <v/>
      </c>
    </row>
    <row r="9" ht="15" customHeight="1" s="17">
      <c r="A9" s="34" t="n">
        <v>2500</v>
      </c>
      <c r="B9" s="34" t="n">
        <v>90</v>
      </c>
      <c r="C9" s="35" t="n"/>
      <c r="D9" s="35" t="n"/>
      <c r="E9" s="35" t="n"/>
      <c r="F9" s="37">
        <f>IF(COUNTA(C9)=0,"",C9*100)</f>
        <v/>
      </c>
      <c r="G9" s="38">
        <f>IF(COUNTA(C9)=0,"",C9*14.5038)</f>
        <v/>
      </c>
      <c r="H9" s="39">
        <f>IF(COUNTA(C9)=0,"",IF(AND(D9="",E9=""),"—",IF(AND(D9&lt;&gt;"",C9&lt;D9),"Baja: holguras, bomba, tamiz o aceite",IF(AND(E9&lt;&gt;"",C9&gt;E9),"Alta: válvula limitadora o viscosidad","Correcta"))))</f>
        <v/>
      </c>
    </row>
    <row r="10" ht="15" customHeight="1" s="17">
      <c r="A10" s="34" t="n">
        <v>3000</v>
      </c>
      <c r="B10" s="34" t="n">
        <v>90</v>
      </c>
      <c r="C10" s="35" t="n"/>
      <c r="D10" s="36">
        <f>Motor!$H$12</f>
        <v/>
      </c>
      <c r="E10" s="36">
        <f>Motor!$H$13</f>
        <v/>
      </c>
      <c r="F10" s="37">
        <f>IF(COUNTA(C10)=0,"",C10*100)</f>
        <v/>
      </c>
      <c r="G10" s="38">
        <f>IF(COUNTA(C10)=0,"",C10*14.5038)</f>
        <v/>
      </c>
      <c r="H10" s="39">
        <f>IF(COUNTA(C10)=0,"",IF(AND(D10="",E10=""),"—",IF(AND(D10&lt;&gt;"",C10&lt;D10),"Baja: holguras, bomba, tamiz o aceite",IF(AND(E10&lt;&gt;"",C10&gt;E10),"Alta: válvula limitadora o viscosidad","Correcta"))))</f>
        <v/>
      </c>
    </row>
    <row r="11" ht="15" customHeight="1" s="17">
      <c r="A11" s="34" t="n">
        <v>3500</v>
      </c>
      <c r="B11" s="34" t="n">
        <v>90</v>
      </c>
      <c r="C11" s="35" t="n"/>
      <c r="D11" s="35" t="n"/>
      <c r="E11" s="35" t="n"/>
      <c r="F11" s="37">
        <f>IF(COUNTA(C11)=0,"",C11*100)</f>
        <v/>
      </c>
      <c r="G11" s="38">
        <f>IF(COUNTA(C11)=0,"",C11*14.5038)</f>
        <v/>
      </c>
      <c r="H11" s="39">
        <f>IF(COUNTA(C11)=0,"",IF(AND(D11="",E11=""),"—",IF(AND(D11&lt;&gt;"",C11&lt;D11),"Baja: holguras, bomba, tamiz o aceite",IF(AND(E11&lt;&gt;"",C11&gt;E11),"Alta: válvula limitadora o viscosidad","Correcta"))))</f>
        <v/>
      </c>
    </row>
    <row r="12" ht="15" customHeight="1" s="17">
      <c r="A12" s="34" t="n">
        <v>4000</v>
      </c>
      <c r="B12" s="34" t="n">
        <v>90</v>
      </c>
      <c r="C12" s="35" t="n"/>
      <c r="D12" s="36">
        <f>Motor!$H$14</f>
        <v/>
      </c>
      <c r="E12" s="36">
        <f>Motor!$H$15</f>
        <v/>
      </c>
      <c r="F12" s="37">
        <f>IF(COUNTA(C12)=0,"",C12*100)</f>
        <v/>
      </c>
      <c r="G12" s="38">
        <f>IF(COUNTA(C12)=0,"",C12*14.5038)</f>
        <v/>
      </c>
      <c r="H12" s="39">
        <f>IF(COUNTA(C12)=0,"",IF(AND(D12="",E12=""),"—",IF(AND(D12&lt;&gt;"",C12&lt;D12),"Baja: holguras, bomba, tamiz o aceite",IF(AND(E12&lt;&gt;"",C12&gt;E12),"Alta: válvula limitadora o viscosidad","Correcta"))))</f>
        <v/>
      </c>
    </row>
    <row r="13"/>
    <row r="14" ht="15" customHeight="1" s="17">
      <c r="A14" s="40" t="inlineStr">
        <is>
          <t>Mida con el aceite a temperatura de funcionamiento. Especificaciones de ejemplo: use las del manual del motor.</t>
        </is>
      </c>
    </row>
    <row r="15"/>
    <row r="16" ht="15" customHeight="1" s="17">
      <c r="A16" s="41" t="inlineStr">
        <is>
          <t>Manocontacto: presión de conmutación (bar)</t>
        </is>
      </c>
      <c r="D16" s="35" t="n">
        <v>0.4</v>
      </c>
    </row>
    <row r="17" ht="15" customHeight="1" s="17">
      <c r="A17" s="41" t="inlineStr">
        <is>
          <t>¿El testigo se apaga al arrancar? (Sí/No)</t>
        </is>
      </c>
      <c r="D17" s="42" t="n"/>
    </row>
    <row r="18" ht="15" customHeight="1" s="17">
      <c r="A18" s="41" t="inlineStr">
        <is>
          <t>Estado del manocontacto</t>
        </is>
      </c>
      <c r="D18" s="39">
        <f>IF(COUNTA(D17)=0,"",IF(D17="Sí","Correcto","Revisar manocontacto o presión"))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29" min="1" max="1"/>
    <col width="34" customWidth="1" style="29" min="2" max="2"/>
    <col width="44" customWidth="1" style="29" min="4" max="4"/>
    <col width="12" customWidth="1" style="29" min="7" max="7"/>
  </cols>
  <sheetData>
    <row r="1" ht="17.35" customHeight="1" s="17">
      <c r="A1" s="30" t="inlineStr">
        <is>
          <t>Selección del grado de viscosidad SAE</t>
        </is>
      </c>
    </row>
    <row r="2" ht="15" customHeight="1" s="17">
      <c r="A2" s="31" t="inlineStr">
        <is>
          <t>Temperatura mínima orientativa de arranque según el grado W (SAE J300)</t>
        </is>
      </c>
    </row>
    <row r="3" ht="15" customHeight="1" s="17">
      <c r="A3" s="32" t="inlineStr">
        <is>
          <t>Leyenda: celdas amarillas con texto azul = datos de entrada (editar). Texto negro = fórmulas (no editar). Celdas verdes = especificación del fabricante del motor elegido en la hoja «Motor» (no editar).</t>
        </is>
      </c>
    </row>
    <row r="4"/>
    <row r="5" ht="31.5" customHeight="1" s="17">
      <c r="A5" s="33" t="inlineStr">
        <is>
          <t>Grado W</t>
        </is>
      </c>
      <c r="B5" s="33" t="inlineStr">
        <is>
          <t>Temperatura mínima de arranque (°C)</t>
        </is>
      </c>
      <c r="D5" s="41" t="inlineStr">
        <is>
          <t>Grado del aceite a utilizar (W)</t>
        </is>
      </c>
      <c r="G5" s="42" t="inlineStr">
        <is>
          <t>15W</t>
        </is>
      </c>
    </row>
    <row r="6" ht="15" customHeight="1" s="17">
      <c r="A6" s="43" t="inlineStr">
        <is>
          <t>0W</t>
        </is>
      </c>
      <c r="B6" s="34" t="n">
        <v>-35</v>
      </c>
      <c r="D6" s="41" t="inlineStr">
        <is>
          <t>Temperatura mínima del lugar (°C)</t>
        </is>
      </c>
      <c r="G6" s="34" t="n">
        <v>2</v>
      </c>
    </row>
    <row r="7" ht="15" customHeight="1" s="17">
      <c r="A7" s="43" t="inlineStr">
        <is>
          <t>5W</t>
        </is>
      </c>
      <c r="B7" s="34" t="n">
        <v>-30</v>
      </c>
      <c r="D7" s="41" t="inlineStr">
        <is>
          <t>Temperatura mínima admisible del grado (°C)</t>
        </is>
      </c>
      <c r="G7" s="37">
        <f>INDEX(B6:B11,MATCH(G5,A6:A11,0))</f>
        <v/>
      </c>
    </row>
    <row r="8" ht="15" customHeight="1" s="17">
      <c r="A8" s="43" t="inlineStr">
        <is>
          <t>10W</t>
        </is>
      </c>
      <c r="B8" s="34" t="n">
        <v>-25</v>
      </c>
      <c r="D8" s="41" t="inlineStr">
        <is>
          <t>¿Grado adecuado para el clima?</t>
        </is>
      </c>
      <c r="G8" s="39">
        <f>IF(G6&gt;=G7,"Sí","No: elegir un grado W menor")</f>
        <v/>
      </c>
    </row>
    <row r="9" ht="15" customHeight="1" s="17">
      <c r="A9" s="43" t="inlineStr">
        <is>
          <t>15W</t>
        </is>
      </c>
      <c r="B9" s="34" t="n">
        <v>-20</v>
      </c>
    </row>
    <row r="10" ht="15" customHeight="1" s="17">
      <c r="A10" s="43" t="inlineStr">
        <is>
          <t>20W</t>
        </is>
      </c>
      <c r="B10" s="34" t="n">
        <v>-15</v>
      </c>
      <c r="D10" s="41" t="inlineStr">
        <is>
          <t>Capacidad de aceite con filtro (L)</t>
        </is>
      </c>
      <c r="G10" s="36">
        <f>Motor!$H$16</f>
        <v/>
      </c>
    </row>
    <row r="11" ht="15" customHeight="1" s="17">
      <c r="A11" s="43" t="inlineStr">
        <is>
          <t>25W</t>
        </is>
      </c>
      <c r="B11" s="34" t="n">
        <v>-10</v>
      </c>
      <c r="D11" s="41" t="inlineStr">
        <is>
          <t>Aceite añadido (L)</t>
        </is>
      </c>
      <c r="G11" s="35" t="n"/>
    </row>
    <row r="12" ht="15" customHeight="1" s="17">
      <c r="D12" s="41" t="inlineStr">
        <is>
          <t>Diferencia (L)</t>
        </is>
      </c>
      <c r="G12" s="44">
        <f>IF(COUNTA(G11)=0,"",G11-G10)</f>
        <v/>
      </c>
    </row>
    <row r="13"/>
    <row r="14" ht="15" customHeight="1" s="17">
      <c r="A14" s="40" t="inlineStr">
        <is>
          <t>Tabla orientativa; el fabricante del vehículo prevalece (SAE, API/ACEA y capacidad).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29" min="1" max="1"/>
    <col width="14" customWidth="1" style="29" min="2" max="2"/>
    <col width="16" customWidth="1" style="29" min="3" max="4"/>
    <col width="30" customWidth="1" style="29" min="5" max="5"/>
  </cols>
  <sheetData>
    <row r="1" ht="17.35" customHeight="1" s="17">
      <c r="A1" s="30" t="inlineStr">
        <is>
          <t>Juegos de la bomba de aceite</t>
        </is>
      </c>
    </row>
    <row r="2" ht="15" customHeight="1" s="17">
      <c r="A2" s="31" t="n"/>
    </row>
    <row r="3" ht="15" customHeight="1" s="17">
      <c r="A3" s="32" t="inlineStr">
        <is>
          <t>Leyenda: celdas amarillas con texto azul = datos de entrada (editar). Texto negro = fórmulas (no editar). Celdas verdes = especificación del fabricante del motor elegido en la hoja «Motor» (no editar).</t>
        </is>
      </c>
    </row>
    <row r="4"/>
    <row r="5" ht="31.5" customHeight="1" s="17">
      <c r="A5" s="33" t="inlineStr">
        <is>
          <t>Comprobación</t>
        </is>
      </c>
      <c r="B5" s="33" t="inlineStr">
        <is>
          <t>Medido (mm)</t>
        </is>
      </c>
      <c r="C5" s="33" t="inlineStr">
        <is>
          <t>Límite máx. (mm)</t>
        </is>
      </c>
      <c r="D5" s="33" t="inlineStr">
        <is>
          <t>Límite mín. (mm)</t>
        </is>
      </c>
      <c r="E5" s="33" t="inlineStr">
        <is>
          <t>Estado</t>
        </is>
      </c>
    </row>
    <row r="6" ht="15" customHeight="1" s="17">
      <c r="A6" s="43" t="inlineStr">
        <is>
          <t>Juego entre rotores o engranajes</t>
        </is>
      </c>
      <c r="B6" s="35" t="n"/>
      <c r="C6" s="36">
        <f>Motor!$H$17</f>
        <v/>
      </c>
      <c r="D6" s="35" t="n"/>
      <c r="E6" s="39">
        <f>IF(COUNTA(B6)=0,"",IF(AND(OR(C6="",B6&lt;=C6),OR(D6="",B6&gt;=D6)),"Correcto","Sustituir bomba o componente"))</f>
        <v/>
      </c>
    </row>
    <row r="7" ht="15" customHeight="1" s="17">
      <c r="A7" s="43" t="inlineStr">
        <is>
          <t>Juego rotor–cuerpo</t>
        </is>
      </c>
      <c r="B7" s="35" t="n"/>
      <c r="C7" s="36">
        <f>Motor!$H$18</f>
        <v/>
      </c>
      <c r="D7" s="35" t="n"/>
      <c r="E7" s="39">
        <f>IF(COUNTA(B7)=0,"",IF(AND(OR(C7="",B7&lt;=C7),OR(D7="",B7&gt;=D7)),"Correcto","Sustituir bomba o componente"))</f>
        <v/>
      </c>
    </row>
    <row r="8" ht="15" customHeight="1" s="17">
      <c r="A8" s="43" t="inlineStr">
        <is>
          <t>Juego lateral</t>
        </is>
      </c>
      <c r="B8" s="35" t="n"/>
      <c r="C8" s="36">
        <f>Motor!$H$19</f>
        <v/>
      </c>
      <c r="D8" s="35" t="n"/>
      <c r="E8" s="39">
        <f>IF(COUNTA(B8)=0,"",IF(AND(OR(C8="",B8&lt;=C8),OR(D8="",B8&gt;=D8)),"Correcto","Sustituir bomba o componente"))</f>
        <v/>
      </c>
    </row>
    <row r="9" ht="15" customHeight="1" s="17">
      <c r="A9" s="43" t="inlineStr">
        <is>
          <t>Longitud libre del muelle limitador</t>
        </is>
      </c>
      <c r="B9" s="35" t="n"/>
      <c r="C9" s="35" t="n"/>
      <c r="D9" s="36">
        <f>Motor!$H$20</f>
        <v/>
      </c>
      <c r="E9" s="39">
        <f>IF(COUNTA(B9)=0,"",IF(AND(OR(C9="",B9&lt;=C9),OR(D9="",B9&gt;=D9)),"Correcto","Sustituir bomba o componente"))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3:A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  <drawing r:id="rIdDrw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6" customWidth="1" style="29" min="1" max="1"/>
    <col width="52" customWidth="1" style="29" min="2" max="2"/>
    <col width="14" customWidth="1" style="29" min="3" max="4"/>
    <col width="34" customWidth="1" style="29" min="5" max="5"/>
  </cols>
  <sheetData>
    <row r="1" ht="17.35" customHeight="1" s="17">
      <c r="A1" s="30" t="inlineStr">
        <is>
          <t>Verificación del intercambiador aceite–agua (práctica 16 del cuaderno)</t>
        </is>
      </c>
    </row>
    <row r="2" ht="15" customHeight="1" s="17">
      <c r="A2" s="31" t="inlineStr">
        <is>
          <t>Prueba neumática sumergido en agua caliente</t>
        </is>
      </c>
    </row>
    <row r="3" ht="15" customHeight="1" s="17">
      <c r="A3" s="32" t="inlineStr">
        <is>
          <t>Leyenda: celdas amarillas con texto azul = datos de entrada (editar). Texto negro = fórmulas (no editar). Celdas verdes = especificación del fabricante del motor elegido en la hoja «Motor» (no editar).</t>
        </is>
      </c>
    </row>
    <row r="4"/>
    <row r="5" ht="31.5" customHeight="1" s="17">
      <c r="A5" s="33" t="inlineStr">
        <is>
          <t>Comprobación</t>
        </is>
      </c>
      <c r="B5" s="33" t="inlineStr">
        <is>
          <t>Valor</t>
        </is>
      </c>
      <c r="C5" s="33" t="inlineStr">
        <is>
          <t>Criterio mín.</t>
        </is>
      </c>
      <c r="D5" s="33" t="inlineStr">
        <is>
          <t>Criterio máx.</t>
        </is>
      </c>
      <c r="E5" s="33" t="inlineStr">
        <is>
          <t>Resultado</t>
        </is>
      </c>
    </row>
    <row r="6" ht="15" customHeight="1" s="17">
      <c r="A6" s="43" t="inlineStr">
        <is>
          <t>Máxima presión de engrase del manual (bar)</t>
        </is>
      </c>
      <c r="B6" s="45" t="n">
        <v>5</v>
      </c>
      <c r="C6" s="45" t="n">
        <v>4</v>
      </c>
      <c r="D6" s="45" t="n">
        <v>6</v>
      </c>
      <c r="E6" s="39">
        <f>IF(AND(OR(C6="",B6&gt;=C6),OR(D6="",B6&lt;=D6)),"Correcto","Ajustar condición de prueba")</f>
        <v/>
      </c>
    </row>
    <row r="7" ht="15" customHeight="1" s="17">
      <c r="A7" s="43" t="inlineStr">
        <is>
          <t>Presión de prueba aplicada (bar)</t>
        </is>
      </c>
      <c r="B7" s="45" t="n"/>
      <c r="C7" s="45" t="n"/>
      <c r="D7" s="45" t="n"/>
      <c r="E7" s="39">
        <f>IF(COUNTA(B7)=0,"",IF(ABS(B7-B6)&lt;=0.2,"Correcto","Ajustar a la máxima presión de engrase"))</f>
        <v/>
      </c>
    </row>
    <row r="8" ht="15" customHeight="1" s="17">
      <c r="A8" s="43" t="inlineStr">
        <is>
          <t>Temperatura del agua (°C)</t>
        </is>
      </c>
      <c r="B8" s="45" t="n"/>
      <c r="C8" s="45" t="n">
        <v>85</v>
      </c>
      <c r="D8" s="45" t="n">
        <v>95</v>
      </c>
      <c r="E8" s="39">
        <f>IF(COUNTA(B8)=0,"",IF(AND(OR(C8="",B8&gt;=C8),OR(D8="",B8&lt;=D8)),"Correcto","Ajustar condición de prueba"))</f>
        <v/>
      </c>
    </row>
    <row r="9" ht="15" customHeight="1" s="17">
      <c r="A9" s="43" t="inlineStr">
        <is>
          <t>Tiempo de observación (min)</t>
        </is>
      </c>
      <c r="B9" s="45" t="n"/>
      <c r="C9" s="45" t="n">
        <v>2</v>
      </c>
      <c r="D9" s="45" t="n"/>
      <c r="E9" s="39">
        <f>IF(COUNTA(B9)=0,"",IF(AND(OR(C9="",B9&gt;=C9),OR(D9="",B9&lt;=D9)),"Correcto","Ajustar condición de prueba"))</f>
        <v/>
      </c>
    </row>
    <row r="10"/>
    <row r="11" ht="15" customHeight="1" s="17">
      <c r="A11" s="43" t="inlineStr">
        <is>
          <t>¿Aparecen burbujas? (Sí/No)</t>
        </is>
      </c>
      <c r="B11" s="42" t="n"/>
    </row>
    <row r="12" ht="15" customHeight="1" s="17">
      <c r="A12" s="43" t="inlineStr">
        <is>
          <t>¿Hay pasta marrón bajo el tapón de aceite? (Sí/No)</t>
        </is>
      </c>
      <c r="B12" s="42" t="n"/>
    </row>
    <row r="13" ht="15" customHeight="1" s="17">
      <c r="A13" s="43" t="inlineStr">
        <is>
          <t>¿Burbujas en el vaso de expansión con el motor en marcha? (Sí/No)</t>
        </is>
      </c>
      <c r="B13" s="42" t="n"/>
    </row>
    <row r="14"/>
    <row r="15" ht="15" customHeight="1" s="17">
      <c r="A15" s="43" t="inlineStr">
        <is>
          <t>Diagnóstico del intercambiador</t>
        </is>
      </c>
      <c r="B15" s="46">
        <f>IF(COUNTA(B11)=0,"",IF(B11="Sí","Sustituir intercambiador (comunicación aceite–agua)","Intercambiador estanco"))</f>
        <v/>
      </c>
    </row>
    <row r="16" ht="15" customHeight="1" s="17">
      <c r="A16" s="43" t="inlineStr">
        <is>
          <t>Diagnóstico de la mezcla aceite–refrigerante</t>
        </is>
      </c>
      <c r="B16" s="46">
        <f>IF(COUNTA(B11,B12,B13)=0,"",IF(B12="No","Sin mezcla de fluidos",IF(B11="Sí","Causa: intercambiador. Cambiar aceite, filtro y refrigerante",IF(B13="Sí","Probable junta de culata: verificar (Guía 11)","Revisar otras causas antes de levantar la culata"))))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2026-09-15T22:29:36Z</dcterms:created>
  <dcterms:modified xmlns:dcterms="http://purl.org/dc/terms/" xmlns:xsi="http://www.w3.org/2001/XMLSchema-instance" xsi:type="dcterms:W3CDTF">2026-10-16T11:46:45Z</dcterms:modified>
  <cp:revision>1</cp:revision>
</cp:coreProperties>
</file>