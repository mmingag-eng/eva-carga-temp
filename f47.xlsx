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codeName="ThisWorkbook" defaultThemeVersion="124226"/>
  <mc:AlternateContent xmlns:mc="http://schemas.openxmlformats.org/markup-compatibility/2006">
    <mc:Choice Requires="x15">
      <x15ac:absPath xmlns:x15ac="http://schemas.microsoft.com/office/spreadsheetml/2010/11/ac" url="C:\Users\H P\Downloads\"/>
    </mc:Choice>
  </mc:AlternateContent>
  <xr:revisionPtr revIDLastSave="0" documentId="13_ncr:1_{F78405F1-944C-4C0A-AD4C-32A667DB44C6}" xr6:coauthVersionLast="47" xr6:coauthVersionMax="47" xr10:uidLastSave="{00000000-0000-0000-0000-000000000000}"/>
  <bookViews>
    <workbookView xWindow="-120" yWindow="-120" windowWidth="20730" windowHeight="11040" firstSheet="5" activeTab="9" xr2:uid="{00000000-000D-0000-FFFF-FFFF00000000}"/>
  </bookViews>
  <sheets>
    <sheet name="Inicio" sheetId="1" r:id="rId1"/>
    <sheet name="U1 Caja de cambios" sheetId="2" r:id="rId2"/>
    <sheet name="U1 Embrague" sheetId="3" r:id="rId3"/>
    <sheet name="U2 Junta cardán" sheetId="4" r:id="rId4"/>
    <sheet name="U2 Diferencial" sheetId="5" r:id="rId5"/>
    <sheet name="U3 Tren epicicloidal" sheetId="6" r:id="rId6"/>
    <sheet name="U3 Convertidor" sheetId="7" r:id="rId7"/>
    <sheet name="U4 CVT" sheetId="8" r:id="rId8"/>
    <sheet name="U4 Híbrido" sheetId="9" r:id="rId9"/>
    <sheet name="U4 Sensores y PWM" sheetId="10" r:id="rId10"/>
  </sheets>
  <definedNames>
    <definedName name="_xlnm.Print_Area" localSheetId="0">Inicio!$A$1:$E$30</definedName>
    <definedName name="_xlnm.Print_Area" localSheetId="1">'U1 Caja de cambios'!$A$1:$Y$70</definedName>
    <definedName name="_xlnm.Print_Area" localSheetId="2">'U1 Embrague'!$A$1:$Y$70</definedName>
    <definedName name="_xlnm.Print_Area" localSheetId="4">'U2 Diferencial'!$A$1:$Y$70</definedName>
    <definedName name="_xlnm.Print_Area" localSheetId="3">'U2 Junta cardán'!$A$1:$Y$70</definedName>
    <definedName name="_xlnm.Print_Area" localSheetId="6">'U3 Convertidor'!$A$1:$Y$70</definedName>
    <definedName name="_xlnm.Print_Area" localSheetId="5">'U3 Tren epicicloidal'!$A$1:$Y$70</definedName>
    <definedName name="_xlnm.Print_Area" localSheetId="7">'U4 CVT'!$A$1:$Y$70</definedName>
    <definedName name="_xlnm.Print_Area" localSheetId="8">'U4 Híbrido'!$A$1:$Y$70</definedName>
    <definedName name="_xlnm.Print_Area" localSheetId="9">'U4 Sensores y PWM'!$A$1:$Y$70</definedName>
  </definedNames>
  <calcPr calcId="181029"/>
</workbook>
</file>

<file path=xl/calcChain.xml><?xml version="1.0" encoding="utf-8"?>
<calcChain xmlns="http://schemas.openxmlformats.org/spreadsheetml/2006/main">
  <c r="AA123" i="10" l="1"/>
  <c r="AA122" i="10"/>
  <c r="AC121" i="10"/>
  <c r="AA121" i="10"/>
  <c r="AA120" i="10"/>
  <c r="AA119" i="10"/>
  <c r="AA118" i="10"/>
  <c r="AC117" i="10"/>
  <c r="AA117" i="10"/>
  <c r="AA116" i="10"/>
  <c r="AA115" i="10"/>
  <c r="AA114" i="10"/>
  <c r="AC113" i="10"/>
  <c r="AA113" i="10"/>
  <c r="AA112" i="10"/>
  <c r="AA111" i="10"/>
  <c r="AA110" i="10"/>
  <c r="AC109" i="10"/>
  <c r="AA109" i="10"/>
  <c r="AA108" i="10"/>
  <c r="AA107" i="10"/>
  <c r="AA106" i="10"/>
  <c r="AC105" i="10"/>
  <c r="AA105" i="10"/>
  <c r="AA104" i="10"/>
  <c r="AA103" i="10"/>
  <c r="AA102" i="10"/>
  <c r="AC101" i="10"/>
  <c r="AA101" i="10"/>
  <c r="AA100" i="10"/>
  <c r="AA99" i="10"/>
  <c r="AA98" i="10"/>
  <c r="AC97" i="10"/>
  <c r="AA97" i="10"/>
  <c r="AA96" i="10"/>
  <c r="AA95" i="10"/>
  <c r="AA94" i="10"/>
  <c r="AC93" i="10"/>
  <c r="AA93" i="10"/>
  <c r="AA92" i="10"/>
  <c r="AA91" i="10"/>
  <c r="AA90" i="10"/>
  <c r="AC89" i="10"/>
  <c r="AA89" i="10"/>
  <c r="AA88" i="10"/>
  <c r="AA87" i="10"/>
  <c r="AA86" i="10"/>
  <c r="AC85" i="10"/>
  <c r="AA85" i="10"/>
  <c r="AA84" i="10"/>
  <c r="AA83" i="10"/>
  <c r="AA82" i="10"/>
  <c r="AC81" i="10"/>
  <c r="AA81" i="10"/>
  <c r="AA80" i="10"/>
  <c r="AA79" i="10"/>
  <c r="AA78" i="10"/>
  <c r="AC77" i="10"/>
  <c r="AA77" i="10"/>
  <c r="AA76" i="10"/>
  <c r="AA75" i="10"/>
  <c r="AA74" i="10"/>
  <c r="AC73" i="10"/>
  <c r="AA73" i="10"/>
  <c r="AA72" i="10"/>
  <c r="AA71" i="10"/>
  <c r="AA70" i="10"/>
  <c r="AC69" i="10"/>
  <c r="AA69" i="10"/>
  <c r="AA68" i="10"/>
  <c r="AA67" i="10"/>
  <c r="AA66" i="10"/>
  <c r="AC65" i="10"/>
  <c r="AA65" i="10"/>
  <c r="AA64" i="10"/>
  <c r="AA63" i="10"/>
  <c r="AA62" i="10"/>
  <c r="AC61" i="10"/>
  <c r="AA61" i="10"/>
  <c r="AA60" i="10"/>
  <c r="AA59" i="10"/>
  <c r="AA58" i="10"/>
  <c r="AC57" i="10"/>
  <c r="AA57" i="10"/>
  <c r="AA56" i="10"/>
  <c r="AA55" i="10"/>
  <c r="AA54" i="10"/>
  <c r="AC53" i="10"/>
  <c r="AA53" i="10"/>
  <c r="AA52" i="10"/>
  <c r="AA51" i="10"/>
  <c r="AA50" i="10"/>
  <c r="AC49" i="10"/>
  <c r="AA49" i="10"/>
  <c r="AA48" i="10"/>
  <c r="AA47" i="10"/>
  <c r="AA46" i="10"/>
  <c r="AC45" i="10"/>
  <c r="AA45" i="10"/>
  <c r="AA44" i="10"/>
  <c r="AA43" i="10"/>
  <c r="AA42" i="10"/>
  <c r="AC41" i="10"/>
  <c r="AA41" i="10"/>
  <c r="C41" i="10"/>
  <c r="AC40" i="10"/>
  <c r="AA40" i="10"/>
  <c r="C40" i="10"/>
  <c r="AC39" i="10"/>
  <c r="AA39" i="10"/>
  <c r="AA38" i="10"/>
  <c r="AA37" i="10"/>
  <c r="AA36" i="10"/>
  <c r="AC35" i="10"/>
  <c r="AA35" i="10"/>
  <c r="C35" i="10"/>
  <c r="AC34" i="10"/>
  <c r="AA34" i="10"/>
  <c r="AA33" i="10"/>
  <c r="AA32" i="10"/>
  <c r="AA31" i="10"/>
  <c r="AC30" i="10"/>
  <c r="AA30" i="10"/>
  <c r="AA29" i="10"/>
  <c r="AA28" i="10"/>
  <c r="AA27" i="10"/>
  <c r="AA26" i="10"/>
  <c r="C26" i="10"/>
  <c r="C27" i="10" s="1"/>
  <c r="AB25" i="10"/>
  <c r="AA25" i="10"/>
  <c r="AA24" i="10"/>
  <c r="AC23" i="10"/>
  <c r="AA23" i="10"/>
  <c r="AF22" i="10"/>
  <c r="AG22" i="10" s="1"/>
  <c r="AE22" i="10"/>
  <c r="AB22" i="10"/>
  <c r="AA22" i="10"/>
  <c r="AE21" i="10"/>
  <c r="AF21" i="10" s="1"/>
  <c r="AG21" i="10" s="1"/>
  <c r="AC21" i="10"/>
  <c r="AA21" i="10"/>
  <c r="AF20" i="10"/>
  <c r="AG20" i="10" s="1"/>
  <c r="AE20" i="10"/>
  <c r="AB20" i="10"/>
  <c r="AA20" i="10"/>
  <c r="AE19" i="10"/>
  <c r="AF19" i="10" s="1"/>
  <c r="AG19" i="10" s="1"/>
  <c r="AC19" i="10"/>
  <c r="AA19" i="10"/>
  <c r="AF18" i="10"/>
  <c r="AG18" i="10" s="1"/>
  <c r="AE18" i="10"/>
  <c r="AB18" i="10"/>
  <c r="AA18" i="10"/>
  <c r="AE17" i="10"/>
  <c r="AF17" i="10" s="1"/>
  <c r="AG17" i="10" s="1"/>
  <c r="AC17" i="10"/>
  <c r="AA17" i="10"/>
  <c r="AF16" i="10"/>
  <c r="AG16" i="10" s="1"/>
  <c r="AE16" i="10"/>
  <c r="AB16" i="10"/>
  <c r="AA16" i="10"/>
  <c r="AQ15" i="10"/>
  <c r="AF15" i="10"/>
  <c r="AG15" i="10" s="1"/>
  <c r="AE15" i="10"/>
  <c r="AA15" i="10"/>
  <c r="C15" i="10"/>
  <c r="AQ14" i="10"/>
  <c r="AF14" i="10"/>
  <c r="AG14" i="10" s="1"/>
  <c r="AE14" i="10"/>
  <c r="AA14" i="10"/>
  <c r="C14" i="10"/>
  <c r="B16" i="10" s="1"/>
  <c r="AR13" i="10"/>
  <c r="AQ13" i="10"/>
  <c r="AG13" i="10"/>
  <c r="AF13" i="10"/>
  <c r="AE13" i="10"/>
  <c r="AA13" i="10"/>
  <c r="C13" i="10"/>
  <c r="AR12" i="10"/>
  <c r="AQ12" i="10"/>
  <c r="AE12" i="10"/>
  <c r="AF12" i="10" s="1"/>
  <c r="AG12" i="10" s="1"/>
  <c r="AC12" i="10"/>
  <c r="AA12" i="10"/>
  <c r="C12" i="10"/>
  <c r="AQ11" i="10"/>
  <c r="AE11" i="10"/>
  <c r="AF11" i="10" s="1"/>
  <c r="AG11" i="10" s="1"/>
  <c r="AA11" i="10"/>
  <c r="C11" i="10"/>
  <c r="AQ10" i="10"/>
  <c r="AE10" i="10"/>
  <c r="AF10" i="10" s="1"/>
  <c r="AG10" i="10" s="1"/>
  <c r="AC10" i="10"/>
  <c r="AA10" i="10"/>
  <c r="AR9" i="10"/>
  <c r="AQ9" i="10"/>
  <c r="AE9" i="10"/>
  <c r="AF9" i="10" s="1"/>
  <c r="AG9" i="10" s="1"/>
  <c r="AC9" i="10"/>
  <c r="AA9" i="10"/>
  <c r="AR8" i="10"/>
  <c r="AQ8" i="10"/>
  <c r="AE8" i="10"/>
  <c r="AF8" i="10" s="1"/>
  <c r="AG8" i="10" s="1"/>
  <c r="AC8" i="10"/>
  <c r="AA8" i="10"/>
  <c r="AQ7" i="10"/>
  <c r="AG7" i="10"/>
  <c r="AF7" i="10"/>
  <c r="AE7" i="10"/>
  <c r="AC7" i="10"/>
  <c r="AB7" i="10"/>
  <c r="AA7" i="10"/>
  <c r="AQ6" i="10"/>
  <c r="AF6" i="10"/>
  <c r="AG6" i="10" s="1"/>
  <c r="AE6" i="10"/>
  <c r="AA6" i="10"/>
  <c r="AR5" i="10"/>
  <c r="AQ5" i="10"/>
  <c r="AF5" i="10"/>
  <c r="AG5" i="10" s="1"/>
  <c r="AE5" i="10"/>
  <c r="AB5" i="10"/>
  <c r="AA5" i="10"/>
  <c r="AT4" i="10"/>
  <c r="AS4" i="10"/>
  <c r="AR4" i="10"/>
  <c r="AQ4" i="10"/>
  <c r="AE4" i="10"/>
  <c r="AF4" i="10" s="1"/>
  <c r="AG4" i="10" s="1"/>
  <c r="AC4" i="10"/>
  <c r="AA4" i="10"/>
  <c r="AT3" i="10"/>
  <c r="AQ3" i="10"/>
  <c r="AJ3" i="10"/>
  <c r="AI3" i="10"/>
  <c r="AE3" i="10"/>
  <c r="AF3" i="10" s="1"/>
  <c r="AG3" i="10" s="1"/>
  <c r="AC3" i="10"/>
  <c r="AA3" i="10"/>
  <c r="C15" i="9"/>
  <c r="C13" i="9"/>
  <c r="AJ5" i="9"/>
  <c r="AR4" i="9"/>
  <c r="AQ4" i="9"/>
  <c r="AP4" i="9"/>
  <c r="AO4" i="9"/>
  <c r="AK4" i="9"/>
  <c r="AJ4" i="9"/>
  <c r="AI4" i="9"/>
  <c r="AC4" i="9"/>
  <c r="AT3" i="9"/>
  <c r="AR3" i="9"/>
  <c r="AQ3" i="9"/>
  <c r="AM3" i="9"/>
  <c r="AL3" i="9"/>
  <c r="AK3" i="9"/>
  <c r="AC3" i="9"/>
  <c r="AF39" i="8"/>
  <c r="AE39" i="8"/>
  <c r="AD39" i="8"/>
  <c r="AC39" i="8"/>
  <c r="AF38" i="8"/>
  <c r="AE38" i="8"/>
  <c r="AD38" i="8"/>
  <c r="AC38" i="8"/>
  <c r="AF37" i="8"/>
  <c r="AE37" i="8"/>
  <c r="AD37" i="8"/>
  <c r="AC37" i="8"/>
  <c r="AF36" i="8"/>
  <c r="AE36" i="8"/>
  <c r="AD36" i="8"/>
  <c r="AC36" i="8"/>
  <c r="AF35" i="8"/>
  <c r="AE35" i="8"/>
  <c r="AD35" i="8"/>
  <c r="AC35" i="8"/>
  <c r="AF34" i="8"/>
  <c r="AE34" i="8"/>
  <c r="AD34" i="8"/>
  <c r="AC34" i="8"/>
  <c r="AF33" i="8"/>
  <c r="AE33" i="8"/>
  <c r="AD33" i="8"/>
  <c r="AC33" i="8"/>
  <c r="AF32" i="8"/>
  <c r="AE32" i="8"/>
  <c r="AD32" i="8"/>
  <c r="AC32" i="8"/>
  <c r="AF31" i="8"/>
  <c r="AE31" i="8"/>
  <c r="AD31" i="8"/>
  <c r="AC31" i="8"/>
  <c r="AF30" i="8"/>
  <c r="AE30" i="8"/>
  <c r="AD30" i="8"/>
  <c r="AC30" i="8"/>
  <c r="AF29" i="8"/>
  <c r="AE29" i="8"/>
  <c r="AD29" i="8"/>
  <c r="AC29" i="8"/>
  <c r="AF28" i="8"/>
  <c r="AE28" i="8"/>
  <c r="AD28" i="8"/>
  <c r="AC28" i="8"/>
  <c r="AF27" i="8"/>
  <c r="AE27" i="8"/>
  <c r="AD27" i="8"/>
  <c r="AC27" i="8"/>
  <c r="AF26" i="8"/>
  <c r="AE26" i="8"/>
  <c r="AD26" i="8"/>
  <c r="AC26" i="8"/>
  <c r="AF25" i="8"/>
  <c r="AE25" i="8"/>
  <c r="AD25" i="8"/>
  <c r="AC25" i="8"/>
  <c r="AF24" i="8"/>
  <c r="AE24" i="8"/>
  <c r="AD24" i="8"/>
  <c r="AC24" i="8"/>
  <c r="AF23" i="8"/>
  <c r="AE23" i="8"/>
  <c r="AD23" i="8"/>
  <c r="AC23" i="8"/>
  <c r="AF22" i="8"/>
  <c r="AE22" i="8"/>
  <c r="AD22" i="8"/>
  <c r="AC22" i="8"/>
  <c r="AF21" i="8"/>
  <c r="AE21" i="8"/>
  <c r="AD21" i="8"/>
  <c r="AC21" i="8"/>
  <c r="AF20" i="8"/>
  <c r="AE20" i="8"/>
  <c r="AD20" i="8"/>
  <c r="AC20" i="8"/>
  <c r="AF19" i="8"/>
  <c r="AE19" i="8"/>
  <c r="AD19" i="8"/>
  <c r="AC19" i="8"/>
  <c r="C19" i="8"/>
  <c r="AF18" i="8"/>
  <c r="AE18" i="8"/>
  <c r="AD18" i="8"/>
  <c r="AC18" i="8"/>
  <c r="C18" i="8"/>
  <c r="AF17" i="8"/>
  <c r="AE17" i="8"/>
  <c r="AD17" i="8"/>
  <c r="AC17" i="8"/>
  <c r="AF16" i="8"/>
  <c r="AE16" i="8"/>
  <c r="AD16" i="8"/>
  <c r="AC16" i="8"/>
  <c r="AF15" i="8"/>
  <c r="AE15" i="8"/>
  <c r="AD15" i="8"/>
  <c r="AC15" i="8"/>
  <c r="AF14" i="8"/>
  <c r="AE14" i="8"/>
  <c r="AD14" i="8"/>
  <c r="AC14" i="8"/>
  <c r="C14" i="8"/>
  <c r="AF13" i="8"/>
  <c r="AE13" i="8"/>
  <c r="AD13" i="8"/>
  <c r="AC13" i="8"/>
  <c r="C13" i="8"/>
  <c r="C17" i="8" s="1"/>
  <c r="AF12" i="8"/>
  <c r="AE12" i="8"/>
  <c r="AD12" i="8"/>
  <c r="AC12" i="8"/>
  <c r="AF11" i="8"/>
  <c r="AE11" i="8"/>
  <c r="AD11" i="8"/>
  <c r="AC11" i="8"/>
  <c r="AF10" i="8"/>
  <c r="AE10" i="8"/>
  <c r="AD10" i="8"/>
  <c r="AC10" i="8"/>
  <c r="AF9" i="8"/>
  <c r="AE9" i="8"/>
  <c r="AD9" i="8"/>
  <c r="AC9" i="8"/>
  <c r="AF8" i="8"/>
  <c r="AE8" i="8"/>
  <c r="AD8" i="8"/>
  <c r="AC8" i="8"/>
  <c r="AF7" i="8"/>
  <c r="AE7" i="8"/>
  <c r="AD7" i="8"/>
  <c r="AC7" i="8"/>
  <c r="AF6" i="8"/>
  <c r="AE6" i="8"/>
  <c r="AD6" i="8"/>
  <c r="AC6" i="8"/>
  <c r="AF5" i="8"/>
  <c r="AE5" i="8"/>
  <c r="AD5" i="8"/>
  <c r="AC5" i="8"/>
  <c r="AM4" i="8"/>
  <c r="AK4" i="8"/>
  <c r="AL4" i="8" s="1"/>
  <c r="AG4" i="8"/>
  <c r="AF4" i="8"/>
  <c r="AE4" i="8"/>
  <c r="AD4" i="8"/>
  <c r="AC4" i="8"/>
  <c r="AP3" i="8"/>
  <c r="AK3" i="8"/>
  <c r="AF3" i="8"/>
  <c r="AE3" i="8"/>
  <c r="AD3" i="8"/>
  <c r="AC3" i="8"/>
  <c r="C35" i="7"/>
  <c r="C29" i="7"/>
  <c r="C28" i="7"/>
  <c r="C27" i="7"/>
  <c r="C26" i="7"/>
  <c r="AL23" i="7"/>
  <c r="AM23" i="7" s="1"/>
  <c r="AN23" i="7" s="1"/>
  <c r="AM22" i="7"/>
  <c r="AN22" i="7" s="1"/>
  <c r="AL22" i="7"/>
  <c r="AM21" i="7"/>
  <c r="AL21" i="7"/>
  <c r="AL20" i="7"/>
  <c r="AL19" i="7"/>
  <c r="AM19" i="7" s="1"/>
  <c r="AN19" i="7" s="1"/>
  <c r="B19" i="7"/>
  <c r="AL18" i="7"/>
  <c r="AM18" i="7" s="1"/>
  <c r="AN18" i="7" s="1"/>
  <c r="AN17" i="7"/>
  <c r="AL17" i="7"/>
  <c r="AM17" i="7" s="1"/>
  <c r="AN16" i="7"/>
  <c r="AL16" i="7"/>
  <c r="AM16" i="7" s="1"/>
  <c r="AL15" i="7"/>
  <c r="AM15" i="7" s="1"/>
  <c r="AN15" i="7" s="1"/>
  <c r="AL14" i="7"/>
  <c r="AM14" i="7" s="1"/>
  <c r="AN14" i="7" s="1"/>
  <c r="AB14" i="7"/>
  <c r="AA14" i="7"/>
  <c r="AC14" i="7" s="1"/>
  <c r="AM13" i="7"/>
  <c r="AL13" i="7"/>
  <c r="AG13" i="7"/>
  <c r="AH13" i="7" s="1"/>
  <c r="AD13" i="7"/>
  <c r="AC13" i="7"/>
  <c r="AB13" i="7"/>
  <c r="AA13" i="7"/>
  <c r="C13" i="7"/>
  <c r="AN12" i="7"/>
  <c r="AM12" i="7"/>
  <c r="AL12" i="7"/>
  <c r="AB12" i="7"/>
  <c r="AA12" i="7"/>
  <c r="C12" i="7"/>
  <c r="AL11" i="7"/>
  <c r="AG11" i="7"/>
  <c r="AH11" i="7" s="1"/>
  <c r="AC11" i="7"/>
  <c r="AD11" i="7" s="1"/>
  <c r="AB11" i="7"/>
  <c r="AA11" i="7"/>
  <c r="C11" i="7"/>
  <c r="AN10" i="7"/>
  <c r="AM10" i="7"/>
  <c r="AL10" i="7"/>
  <c r="AB10" i="7"/>
  <c r="AA10" i="7"/>
  <c r="C10" i="7"/>
  <c r="AL9" i="7"/>
  <c r="AH9" i="7"/>
  <c r="AG9" i="7"/>
  <c r="AC9" i="7"/>
  <c r="AD9" i="7" s="1"/>
  <c r="AB9" i="7"/>
  <c r="AA9" i="7"/>
  <c r="AM8" i="7"/>
  <c r="AN8" i="7" s="1"/>
  <c r="AL8" i="7"/>
  <c r="AB8" i="7"/>
  <c r="AA8" i="7"/>
  <c r="AN7" i="7"/>
  <c r="AM7" i="7"/>
  <c r="AL7" i="7"/>
  <c r="AB7" i="7"/>
  <c r="AA7" i="7"/>
  <c r="AL6" i="7"/>
  <c r="AG6" i="7"/>
  <c r="AC6" i="7"/>
  <c r="AB6" i="7"/>
  <c r="AA6" i="7"/>
  <c r="AL5" i="7"/>
  <c r="AG5" i="7"/>
  <c r="AH5" i="7" s="1"/>
  <c r="AC5" i="7"/>
  <c r="AD5" i="7" s="1"/>
  <c r="AB5" i="7"/>
  <c r="AA5" i="7"/>
  <c r="AM4" i="7"/>
  <c r="AN4" i="7" s="1"/>
  <c r="AL4" i="7"/>
  <c r="AB4" i="7"/>
  <c r="AA4" i="7"/>
  <c r="AS3" i="7"/>
  <c r="AR3" i="7"/>
  <c r="AQ3" i="7"/>
  <c r="AP3" i="7"/>
  <c r="AN3" i="7"/>
  <c r="AM3" i="7"/>
  <c r="AL3" i="7"/>
  <c r="AB3" i="7"/>
  <c r="AA3" i="7"/>
  <c r="CC76" i="6"/>
  <c r="CB76" i="6"/>
  <c r="CC75" i="6"/>
  <c r="CB75" i="6"/>
  <c r="CC74" i="6"/>
  <c r="CB74" i="6"/>
  <c r="CC73" i="6"/>
  <c r="CB73" i="6"/>
  <c r="CC72" i="6"/>
  <c r="CB72" i="6"/>
  <c r="CC71" i="6"/>
  <c r="CB71" i="6"/>
  <c r="CC70" i="6"/>
  <c r="CB70" i="6"/>
  <c r="CC69" i="6"/>
  <c r="CB69" i="6"/>
  <c r="CC68" i="6"/>
  <c r="CB68" i="6"/>
  <c r="CC67" i="6"/>
  <c r="CB67" i="6"/>
  <c r="CC66" i="6"/>
  <c r="CB66" i="6"/>
  <c r="CC65" i="6"/>
  <c r="CB65" i="6"/>
  <c r="CC64" i="6"/>
  <c r="CB64" i="6"/>
  <c r="CC63" i="6"/>
  <c r="CB63" i="6"/>
  <c r="CC62" i="6"/>
  <c r="CB62" i="6"/>
  <c r="CC61" i="6"/>
  <c r="CB61" i="6"/>
  <c r="CC60" i="6"/>
  <c r="CB60" i="6"/>
  <c r="CC59" i="6"/>
  <c r="CB59" i="6"/>
  <c r="CC58" i="6"/>
  <c r="CB58" i="6"/>
  <c r="CC57" i="6"/>
  <c r="CB57" i="6"/>
  <c r="CC56" i="6"/>
  <c r="CB56" i="6"/>
  <c r="CC55" i="6"/>
  <c r="CB55" i="6"/>
  <c r="CC54" i="6"/>
  <c r="CB54" i="6"/>
  <c r="CC53" i="6"/>
  <c r="CB53" i="6"/>
  <c r="CC52" i="6"/>
  <c r="CB52" i="6"/>
  <c r="CC51" i="6"/>
  <c r="CB51" i="6"/>
  <c r="CC50" i="6"/>
  <c r="CB50" i="6"/>
  <c r="CC49" i="6"/>
  <c r="CB49" i="6"/>
  <c r="CC48" i="6"/>
  <c r="CB48" i="6"/>
  <c r="CC47" i="6"/>
  <c r="CB47" i="6"/>
  <c r="CC46" i="6"/>
  <c r="CB46" i="6"/>
  <c r="CC45" i="6"/>
  <c r="CB45" i="6"/>
  <c r="CC44" i="6"/>
  <c r="CB44" i="6"/>
  <c r="CC43" i="6"/>
  <c r="CB43" i="6"/>
  <c r="CC42" i="6"/>
  <c r="CB42" i="6"/>
  <c r="CC41" i="6"/>
  <c r="CB41" i="6"/>
  <c r="CE40" i="6"/>
  <c r="CD40" i="6"/>
  <c r="CC40" i="6"/>
  <c r="CB40" i="6"/>
  <c r="CE39" i="6"/>
  <c r="CD39" i="6"/>
  <c r="CC39" i="6"/>
  <c r="CB39" i="6"/>
  <c r="CE38" i="6"/>
  <c r="CD38" i="6"/>
  <c r="CC38" i="6"/>
  <c r="CB38" i="6"/>
  <c r="CE37" i="6"/>
  <c r="CD37" i="6"/>
  <c r="CC37" i="6"/>
  <c r="CB37" i="6"/>
  <c r="CE36" i="6"/>
  <c r="CD36" i="6"/>
  <c r="CC36" i="6"/>
  <c r="CB36" i="6"/>
  <c r="CE35" i="6"/>
  <c r="CD35" i="6"/>
  <c r="CC35" i="6"/>
  <c r="CB35" i="6"/>
  <c r="CE34" i="6"/>
  <c r="CD34" i="6"/>
  <c r="CC34" i="6"/>
  <c r="CB34" i="6"/>
  <c r="CE33" i="6"/>
  <c r="CD33" i="6"/>
  <c r="CC33" i="6"/>
  <c r="CB33" i="6"/>
  <c r="CE32" i="6"/>
  <c r="CD32" i="6"/>
  <c r="CC32" i="6"/>
  <c r="CB32" i="6"/>
  <c r="CE31" i="6"/>
  <c r="CD31" i="6"/>
  <c r="CC31" i="6"/>
  <c r="CB31" i="6"/>
  <c r="CE30" i="6"/>
  <c r="CD30" i="6"/>
  <c r="CC30" i="6"/>
  <c r="CB30" i="6"/>
  <c r="CE29" i="6"/>
  <c r="CD29" i="6"/>
  <c r="CC29" i="6"/>
  <c r="CB29" i="6"/>
  <c r="CE28" i="6"/>
  <c r="CD28" i="6"/>
  <c r="CC28" i="6"/>
  <c r="CB28" i="6"/>
  <c r="CE27" i="6"/>
  <c r="CD27" i="6"/>
  <c r="CC27" i="6"/>
  <c r="CB27" i="6"/>
  <c r="CE26" i="6"/>
  <c r="CD26" i="6"/>
  <c r="CC26" i="6"/>
  <c r="CB26" i="6"/>
  <c r="CE25" i="6"/>
  <c r="CD25" i="6"/>
  <c r="CC25" i="6"/>
  <c r="CB25" i="6"/>
  <c r="C25" i="6"/>
  <c r="CE24" i="6"/>
  <c r="CD24" i="6"/>
  <c r="CC24" i="6"/>
  <c r="CB24" i="6"/>
  <c r="C24" i="6"/>
  <c r="CE23" i="6"/>
  <c r="CD23" i="6"/>
  <c r="CC23" i="6"/>
  <c r="CB23" i="6"/>
  <c r="C23" i="6"/>
  <c r="CE22" i="6"/>
  <c r="CD22" i="6"/>
  <c r="CC22" i="6"/>
  <c r="CB22" i="6"/>
  <c r="C22" i="6"/>
  <c r="CE21" i="6"/>
  <c r="CD21" i="6"/>
  <c r="CC21" i="6"/>
  <c r="CB21" i="6"/>
  <c r="CE20" i="6"/>
  <c r="CD20" i="6"/>
  <c r="CC20" i="6"/>
  <c r="CB20" i="6"/>
  <c r="CE19" i="6"/>
  <c r="CD19" i="6"/>
  <c r="CC19" i="6"/>
  <c r="CB19" i="6"/>
  <c r="CE18" i="6"/>
  <c r="CD18" i="6"/>
  <c r="CC18" i="6"/>
  <c r="CB18" i="6"/>
  <c r="CE17" i="6"/>
  <c r="CD17" i="6"/>
  <c r="CC17" i="6"/>
  <c r="CB17" i="6"/>
  <c r="CE16" i="6"/>
  <c r="CD16" i="6"/>
  <c r="CC16" i="6"/>
  <c r="CB16" i="6"/>
  <c r="CE15" i="6"/>
  <c r="CD15" i="6"/>
  <c r="CC15" i="6"/>
  <c r="CB15" i="6"/>
  <c r="CE14" i="6"/>
  <c r="CD14" i="6"/>
  <c r="CC14" i="6"/>
  <c r="CB14" i="6"/>
  <c r="CE13" i="6"/>
  <c r="CD13" i="6"/>
  <c r="CC13" i="6"/>
  <c r="CB13" i="6"/>
  <c r="CE12" i="6"/>
  <c r="CD12" i="6"/>
  <c r="CC12" i="6"/>
  <c r="CB12" i="6"/>
  <c r="CE11" i="6"/>
  <c r="CD11" i="6"/>
  <c r="CC11" i="6"/>
  <c r="CB11" i="6"/>
  <c r="C11" i="6"/>
  <c r="CE10" i="6"/>
  <c r="CD10" i="6"/>
  <c r="CC10" i="6"/>
  <c r="CB10" i="6"/>
  <c r="CE9" i="6"/>
  <c r="CD9" i="6"/>
  <c r="CC9" i="6"/>
  <c r="CB9" i="6"/>
  <c r="CE8" i="6"/>
  <c r="CD8" i="6"/>
  <c r="CC8" i="6"/>
  <c r="CB8" i="6"/>
  <c r="H8" i="6"/>
  <c r="C12" i="6" s="1"/>
  <c r="CE7" i="6"/>
  <c r="CD7" i="6"/>
  <c r="CC7" i="6"/>
  <c r="CB7" i="6"/>
  <c r="CE6" i="6"/>
  <c r="CD6" i="6"/>
  <c r="CC6" i="6"/>
  <c r="CB6" i="6"/>
  <c r="DB5" i="6"/>
  <c r="CV5" i="6"/>
  <c r="CE5" i="6"/>
  <c r="CD5" i="6"/>
  <c r="CC5" i="6"/>
  <c r="CB5" i="6"/>
  <c r="DC4" i="6"/>
  <c r="CV4" i="6"/>
  <c r="CE4" i="6"/>
  <c r="CD4" i="6"/>
  <c r="CC4" i="6"/>
  <c r="CB4" i="6"/>
  <c r="C16" i="5"/>
  <c r="C15" i="5"/>
  <c r="C27" i="5" s="1"/>
  <c r="C14" i="5"/>
  <c r="AO7" i="5"/>
  <c r="AM7" i="5"/>
  <c r="AK7" i="5"/>
  <c r="AI7" i="5"/>
  <c r="AG7" i="5"/>
  <c r="AO6" i="5"/>
  <c r="AM6" i="5"/>
  <c r="AK6" i="5"/>
  <c r="AI6" i="5"/>
  <c r="AG6" i="5"/>
  <c r="AO5" i="5"/>
  <c r="AM5" i="5"/>
  <c r="AK5" i="5"/>
  <c r="AI5" i="5"/>
  <c r="AG5" i="5"/>
  <c r="AQ4" i="5"/>
  <c r="AO4" i="5"/>
  <c r="AM4" i="5"/>
  <c r="AK4" i="5"/>
  <c r="AI4" i="5"/>
  <c r="AG4" i="5"/>
  <c r="AS3" i="5"/>
  <c r="AQ3" i="5"/>
  <c r="AO3" i="5"/>
  <c r="AM3" i="5"/>
  <c r="AK3" i="5"/>
  <c r="AI3" i="5"/>
  <c r="AG3" i="5"/>
  <c r="AA1" i="5"/>
  <c r="AB25" i="5" s="1"/>
  <c r="AC75" i="4"/>
  <c r="AD75" i="4" s="1"/>
  <c r="AB75" i="4"/>
  <c r="AE75" i="4" s="1"/>
  <c r="AA75" i="4"/>
  <c r="AC74" i="4"/>
  <c r="AD74" i="4" s="1"/>
  <c r="AB74" i="4"/>
  <c r="AA74" i="4"/>
  <c r="AA73" i="4"/>
  <c r="AC73" i="4" s="1"/>
  <c r="AD73" i="4" s="1"/>
  <c r="AA72" i="4"/>
  <c r="AC71" i="4"/>
  <c r="AD71" i="4" s="1"/>
  <c r="AB71" i="4"/>
  <c r="AE71" i="4" s="1"/>
  <c r="AA71" i="4"/>
  <c r="AC70" i="4"/>
  <c r="AD70" i="4" s="1"/>
  <c r="AB70" i="4"/>
  <c r="AA70" i="4"/>
  <c r="AA69" i="4"/>
  <c r="AC69" i="4" s="1"/>
  <c r="AD69" i="4" s="1"/>
  <c r="AA68" i="4"/>
  <c r="AC67" i="4"/>
  <c r="AD67" i="4" s="1"/>
  <c r="AB67" i="4"/>
  <c r="AE67" i="4" s="1"/>
  <c r="AA67" i="4"/>
  <c r="AC66" i="4"/>
  <c r="AD66" i="4" s="1"/>
  <c r="AB66" i="4"/>
  <c r="AA66" i="4"/>
  <c r="AA65" i="4"/>
  <c r="AC65" i="4" s="1"/>
  <c r="AD65" i="4" s="1"/>
  <c r="AA64" i="4"/>
  <c r="AC63" i="4"/>
  <c r="AD63" i="4" s="1"/>
  <c r="AB63" i="4"/>
  <c r="AE63" i="4" s="1"/>
  <c r="AA63" i="4"/>
  <c r="AC62" i="4"/>
  <c r="AD62" i="4" s="1"/>
  <c r="AB62" i="4"/>
  <c r="AA62" i="4"/>
  <c r="AA61" i="4"/>
  <c r="AC61" i="4" s="1"/>
  <c r="AD61" i="4" s="1"/>
  <c r="AA60" i="4"/>
  <c r="AC59" i="4"/>
  <c r="AD59" i="4" s="1"/>
  <c r="AB59" i="4"/>
  <c r="AE59" i="4" s="1"/>
  <c r="AA59" i="4"/>
  <c r="AC58" i="4"/>
  <c r="AD58" i="4" s="1"/>
  <c r="AB58" i="4"/>
  <c r="AA58" i="4"/>
  <c r="AA57" i="4"/>
  <c r="AC57" i="4" s="1"/>
  <c r="AD57" i="4" s="1"/>
  <c r="AA56" i="4"/>
  <c r="AC55" i="4"/>
  <c r="AD55" i="4" s="1"/>
  <c r="AB55" i="4"/>
  <c r="AA55" i="4"/>
  <c r="AC54" i="4"/>
  <c r="AD54" i="4" s="1"/>
  <c r="AB54" i="4"/>
  <c r="AE54" i="4" s="1"/>
  <c r="AA54" i="4"/>
  <c r="AA53" i="4"/>
  <c r="AC53" i="4" s="1"/>
  <c r="AD53" i="4" s="1"/>
  <c r="AA52" i="4"/>
  <c r="AC51" i="4"/>
  <c r="AD51" i="4" s="1"/>
  <c r="AB51" i="4"/>
  <c r="AE51" i="4" s="1"/>
  <c r="AA51" i="4"/>
  <c r="AC50" i="4"/>
  <c r="AD50" i="4" s="1"/>
  <c r="AB50" i="4"/>
  <c r="AA50" i="4"/>
  <c r="AD49" i="4"/>
  <c r="AA49" i="4"/>
  <c r="AC49" i="4" s="1"/>
  <c r="AA48" i="4"/>
  <c r="AC47" i="4"/>
  <c r="AD47" i="4" s="1"/>
  <c r="AB47" i="4"/>
  <c r="AA47" i="4"/>
  <c r="AC46" i="4"/>
  <c r="AD46" i="4" s="1"/>
  <c r="AB46" i="4"/>
  <c r="AE46" i="4" s="1"/>
  <c r="AA46" i="4"/>
  <c r="AA45" i="4"/>
  <c r="AC45" i="4" s="1"/>
  <c r="AD45" i="4" s="1"/>
  <c r="AA44" i="4"/>
  <c r="AC43" i="4"/>
  <c r="AD43" i="4" s="1"/>
  <c r="AB43" i="4"/>
  <c r="AE43" i="4" s="1"/>
  <c r="AA43" i="4"/>
  <c r="AC42" i="4"/>
  <c r="AD42" i="4" s="1"/>
  <c r="AB42" i="4"/>
  <c r="AA42" i="4"/>
  <c r="AD41" i="4"/>
  <c r="AA41" i="4"/>
  <c r="AC41" i="4" s="1"/>
  <c r="AA40" i="4"/>
  <c r="BD39" i="4"/>
  <c r="BC39" i="4"/>
  <c r="AZ39" i="4"/>
  <c r="AY39" i="4"/>
  <c r="AV39" i="4"/>
  <c r="AU39" i="4"/>
  <c r="AA39" i="4"/>
  <c r="AC39" i="4" s="1"/>
  <c r="AD39" i="4" s="1"/>
  <c r="BD38" i="4"/>
  <c r="BC38" i="4"/>
  <c r="AZ38" i="4"/>
  <c r="AY38" i="4"/>
  <c r="AV38" i="4"/>
  <c r="AU38" i="4"/>
  <c r="AC38" i="4"/>
  <c r="AD38" i="4" s="1"/>
  <c r="AB38" i="4"/>
  <c r="AE38" i="4" s="1"/>
  <c r="AA38" i="4"/>
  <c r="BD37" i="4"/>
  <c r="BC37" i="4"/>
  <c r="AZ37" i="4"/>
  <c r="AY37" i="4"/>
  <c r="AV37" i="4"/>
  <c r="AU37" i="4"/>
  <c r="AC37" i="4"/>
  <c r="AD37" i="4" s="1"/>
  <c r="AB37" i="4"/>
  <c r="AE37" i="4" s="1"/>
  <c r="AA37" i="4"/>
  <c r="BD36" i="4"/>
  <c r="BC36" i="4"/>
  <c r="AZ36" i="4"/>
  <c r="AY36" i="4"/>
  <c r="AV36" i="4"/>
  <c r="AU36" i="4"/>
  <c r="AA36" i="4"/>
  <c r="BD35" i="4"/>
  <c r="BC35" i="4"/>
  <c r="AZ35" i="4"/>
  <c r="AY35" i="4"/>
  <c r="AV35" i="4"/>
  <c r="AU35" i="4"/>
  <c r="AD35" i="4"/>
  <c r="AA35" i="4"/>
  <c r="AC35" i="4" s="1"/>
  <c r="BD34" i="4"/>
  <c r="BC34" i="4"/>
  <c r="AZ34" i="4"/>
  <c r="AY34" i="4"/>
  <c r="AV34" i="4"/>
  <c r="AU34" i="4"/>
  <c r="AC34" i="4"/>
  <c r="AD34" i="4" s="1"/>
  <c r="AB34" i="4"/>
  <c r="AA34" i="4"/>
  <c r="BD33" i="4"/>
  <c r="BC33" i="4"/>
  <c r="AZ33" i="4"/>
  <c r="AY33" i="4"/>
  <c r="AV33" i="4"/>
  <c r="AU33" i="4"/>
  <c r="AC33" i="4"/>
  <c r="AD33" i="4" s="1"/>
  <c r="AB33" i="4"/>
  <c r="AA33" i="4"/>
  <c r="BD32" i="4"/>
  <c r="BC32" i="4"/>
  <c r="AZ32" i="4"/>
  <c r="AY32" i="4"/>
  <c r="AV32" i="4"/>
  <c r="AU32" i="4"/>
  <c r="AA32" i="4"/>
  <c r="BD31" i="4"/>
  <c r="BC31" i="4"/>
  <c r="AZ31" i="4"/>
  <c r="AY31" i="4"/>
  <c r="AV31" i="4"/>
  <c r="AU31" i="4"/>
  <c r="AA31" i="4"/>
  <c r="AC31" i="4" s="1"/>
  <c r="AD31" i="4" s="1"/>
  <c r="BD30" i="4"/>
  <c r="BC30" i="4"/>
  <c r="AZ30" i="4"/>
  <c r="AY30" i="4"/>
  <c r="AV30" i="4"/>
  <c r="AU30" i="4"/>
  <c r="AC30" i="4"/>
  <c r="AD30" i="4" s="1"/>
  <c r="AB30" i="4"/>
  <c r="AE30" i="4" s="1"/>
  <c r="AA30" i="4"/>
  <c r="BD29" i="4"/>
  <c r="BC29" i="4"/>
  <c r="AZ29" i="4"/>
  <c r="AY29" i="4"/>
  <c r="AV29" i="4"/>
  <c r="AU29" i="4"/>
  <c r="AC29" i="4"/>
  <c r="AD29" i="4" s="1"/>
  <c r="AB29" i="4"/>
  <c r="AE29" i="4" s="1"/>
  <c r="AA29" i="4"/>
  <c r="BD28" i="4"/>
  <c r="BC28" i="4"/>
  <c r="AZ28" i="4"/>
  <c r="AY28" i="4"/>
  <c r="AV28" i="4"/>
  <c r="AU28" i="4"/>
  <c r="AC28" i="4"/>
  <c r="AD28" i="4" s="1"/>
  <c r="AB28" i="4"/>
  <c r="AA28" i="4"/>
  <c r="C28" i="4"/>
  <c r="B30" i="4" s="1"/>
  <c r="BD27" i="4"/>
  <c r="BC27" i="4"/>
  <c r="AZ27" i="4"/>
  <c r="AY27" i="4"/>
  <c r="AV27" i="4"/>
  <c r="AU27" i="4"/>
  <c r="AC27" i="4"/>
  <c r="AD27" i="4" s="1"/>
  <c r="AB27" i="4"/>
  <c r="AE27" i="4" s="1"/>
  <c r="AA27" i="4"/>
  <c r="C27" i="4"/>
  <c r="BD26" i="4"/>
  <c r="BC26" i="4"/>
  <c r="AZ26" i="4"/>
  <c r="AY26" i="4"/>
  <c r="AV26" i="4"/>
  <c r="AU26" i="4"/>
  <c r="AC26" i="4"/>
  <c r="AD26" i="4" s="1"/>
  <c r="AB26" i="4"/>
  <c r="AA26" i="4"/>
  <c r="BD25" i="4"/>
  <c r="BC25" i="4"/>
  <c r="AZ25" i="4"/>
  <c r="AY25" i="4"/>
  <c r="AV25" i="4"/>
  <c r="AU25" i="4"/>
  <c r="AC25" i="4"/>
  <c r="AD25" i="4" s="1"/>
  <c r="AB25" i="4"/>
  <c r="AA25" i="4"/>
  <c r="BD24" i="4"/>
  <c r="BC24" i="4"/>
  <c r="AZ24" i="4"/>
  <c r="AY24" i="4"/>
  <c r="AV24" i="4"/>
  <c r="AU24" i="4"/>
  <c r="AA24" i="4"/>
  <c r="AC24" i="4" s="1"/>
  <c r="AD24" i="4" s="1"/>
  <c r="BD23" i="4"/>
  <c r="BC23" i="4"/>
  <c r="AZ23" i="4"/>
  <c r="AY23" i="4"/>
  <c r="AV23" i="4"/>
  <c r="AU23" i="4"/>
  <c r="AA23" i="4"/>
  <c r="BD22" i="4"/>
  <c r="BC22" i="4"/>
  <c r="AZ22" i="4"/>
  <c r="AY22" i="4"/>
  <c r="AV22" i="4"/>
  <c r="AU22" i="4"/>
  <c r="AD22" i="4"/>
  <c r="AC22" i="4"/>
  <c r="AB22" i="4"/>
  <c r="AA22" i="4"/>
  <c r="BD21" i="4"/>
  <c r="BC21" i="4"/>
  <c r="AZ21" i="4"/>
  <c r="AY21" i="4"/>
  <c r="AV21" i="4"/>
  <c r="AU21" i="4"/>
  <c r="AC21" i="4"/>
  <c r="AD21" i="4" s="1"/>
  <c r="AB21" i="4"/>
  <c r="AE21" i="4" s="1"/>
  <c r="AA21" i="4"/>
  <c r="BD20" i="4"/>
  <c r="BC20" i="4"/>
  <c r="AZ20" i="4"/>
  <c r="AY20" i="4"/>
  <c r="AV20" i="4"/>
  <c r="AU20" i="4"/>
  <c r="AB20" i="4"/>
  <c r="AE20" i="4" s="1"/>
  <c r="AA20" i="4"/>
  <c r="AC20" i="4" s="1"/>
  <c r="AD20" i="4" s="1"/>
  <c r="BK19" i="4"/>
  <c r="BI19" i="4"/>
  <c r="BJ19" i="4" s="1"/>
  <c r="BD19" i="4"/>
  <c r="BC19" i="4"/>
  <c r="AZ19" i="4"/>
  <c r="AY19" i="4"/>
  <c r="AV19" i="4"/>
  <c r="AU19" i="4"/>
  <c r="AC19" i="4"/>
  <c r="AD19" i="4" s="1"/>
  <c r="AB19" i="4"/>
  <c r="AA19" i="4"/>
  <c r="BK18" i="4"/>
  <c r="BJ18" i="4"/>
  <c r="BI18" i="4"/>
  <c r="BD18" i="4"/>
  <c r="BC18" i="4"/>
  <c r="AZ18" i="4"/>
  <c r="AY18" i="4"/>
  <c r="AV18" i="4"/>
  <c r="AU18" i="4"/>
  <c r="AB18" i="4"/>
  <c r="AE18" i="4" s="1"/>
  <c r="AA18" i="4"/>
  <c r="AC18" i="4" s="1"/>
  <c r="AD18" i="4" s="1"/>
  <c r="BK17" i="4"/>
  <c r="BI17" i="4"/>
  <c r="BJ17" i="4" s="1"/>
  <c r="BD17" i="4"/>
  <c r="BC17" i="4"/>
  <c r="AZ17" i="4"/>
  <c r="AY17" i="4"/>
  <c r="AV17" i="4"/>
  <c r="AU17" i="4"/>
  <c r="AA17" i="4"/>
  <c r="BK16" i="4"/>
  <c r="BI16" i="4"/>
  <c r="BJ16" i="4" s="1"/>
  <c r="BD16" i="4"/>
  <c r="BC16" i="4"/>
  <c r="AZ16" i="4"/>
  <c r="AY16" i="4"/>
  <c r="AV16" i="4"/>
  <c r="AU16" i="4"/>
  <c r="AC16" i="4"/>
  <c r="AD16" i="4" s="1"/>
  <c r="AB16" i="4"/>
  <c r="AA16" i="4"/>
  <c r="BK15" i="4"/>
  <c r="BJ15" i="4"/>
  <c r="BI15" i="4"/>
  <c r="BD15" i="4"/>
  <c r="BC15" i="4"/>
  <c r="AZ15" i="4"/>
  <c r="AY15" i="4"/>
  <c r="AV15" i="4"/>
  <c r="AU15" i="4"/>
  <c r="AC15" i="4"/>
  <c r="AD15" i="4" s="1"/>
  <c r="AB15" i="4"/>
  <c r="AA15" i="4"/>
  <c r="BK14" i="4"/>
  <c r="BJ14" i="4"/>
  <c r="BI14" i="4"/>
  <c r="BD14" i="4"/>
  <c r="BC14" i="4"/>
  <c r="AZ14" i="4"/>
  <c r="AY14" i="4"/>
  <c r="AV14" i="4"/>
  <c r="AU14" i="4"/>
  <c r="AA14" i="4"/>
  <c r="AC14" i="4" s="1"/>
  <c r="AD14" i="4" s="1"/>
  <c r="BK13" i="4"/>
  <c r="BJ13" i="4"/>
  <c r="BI13" i="4"/>
  <c r="BD13" i="4"/>
  <c r="BC13" i="4"/>
  <c r="AZ13" i="4"/>
  <c r="AY13" i="4"/>
  <c r="AV13" i="4"/>
  <c r="AU13" i="4"/>
  <c r="AA13" i="4"/>
  <c r="C13" i="4"/>
  <c r="BK12" i="4"/>
  <c r="BI12" i="4"/>
  <c r="BJ12" i="4" s="1"/>
  <c r="BD12" i="4"/>
  <c r="BC12" i="4"/>
  <c r="AZ12" i="4"/>
  <c r="AY12" i="4"/>
  <c r="AV12" i="4"/>
  <c r="AU12" i="4"/>
  <c r="AD12" i="4"/>
  <c r="AC12" i="4"/>
  <c r="AB12" i="4"/>
  <c r="AE12" i="4" s="1"/>
  <c r="AA12" i="4"/>
  <c r="C12" i="4"/>
  <c r="BK11" i="4"/>
  <c r="BJ11" i="4"/>
  <c r="BI11" i="4"/>
  <c r="BD11" i="4"/>
  <c r="BC11" i="4"/>
  <c r="AZ11" i="4"/>
  <c r="AY11" i="4"/>
  <c r="AV11" i="4"/>
  <c r="AU11" i="4"/>
  <c r="AC11" i="4"/>
  <c r="AD11" i="4" s="1"/>
  <c r="AB11" i="4"/>
  <c r="AE11" i="4" s="1"/>
  <c r="AA11" i="4"/>
  <c r="C11" i="4"/>
  <c r="BK10" i="4"/>
  <c r="BJ10" i="4"/>
  <c r="BI10" i="4"/>
  <c r="BD10" i="4"/>
  <c r="BC10" i="4"/>
  <c r="AZ10" i="4"/>
  <c r="AY10" i="4"/>
  <c r="AV10" i="4"/>
  <c r="AU10" i="4"/>
  <c r="AE10" i="4"/>
  <c r="AB10" i="4"/>
  <c r="AA10" i="4"/>
  <c r="AC10" i="4" s="1"/>
  <c r="AD10" i="4" s="1"/>
  <c r="BK9" i="4"/>
  <c r="BI9" i="4"/>
  <c r="BJ9" i="4" s="1"/>
  <c r="BD9" i="4"/>
  <c r="BC9" i="4"/>
  <c r="AZ9" i="4"/>
  <c r="AY9" i="4"/>
  <c r="AV9" i="4"/>
  <c r="AU9" i="4"/>
  <c r="AC9" i="4"/>
  <c r="AD9" i="4" s="1"/>
  <c r="AB9" i="4"/>
  <c r="AA9" i="4"/>
  <c r="BK8" i="4"/>
  <c r="BJ8" i="4"/>
  <c r="BI8" i="4"/>
  <c r="BD8" i="4"/>
  <c r="BC8" i="4"/>
  <c r="AZ8" i="4"/>
  <c r="AY8" i="4"/>
  <c r="AV8" i="4"/>
  <c r="AU8" i="4"/>
  <c r="AE8" i="4"/>
  <c r="AB8" i="4"/>
  <c r="AA8" i="4"/>
  <c r="AC8" i="4" s="1"/>
  <c r="AD8" i="4" s="1"/>
  <c r="BK7" i="4"/>
  <c r="BI7" i="4"/>
  <c r="BJ7" i="4" s="1"/>
  <c r="BD7" i="4"/>
  <c r="BC7" i="4"/>
  <c r="AZ7" i="4"/>
  <c r="AY7" i="4"/>
  <c r="AV7" i="4"/>
  <c r="AU7" i="4"/>
  <c r="AC7" i="4"/>
  <c r="AD7" i="4" s="1"/>
  <c r="AB7" i="4"/>
  <c r="AA7" i="4"/>
  <c r="BK6" i="4"/>
  <c r="BJ6" i="4"/>
  <c r="BI6" i="4"/>
  <c r="BD6" i="4"/>
  <c r="BC6" i="4"/>
  <c r="AZ6" i="4"/>
  <c r="AY6" i="4"/>
  <c r="AV6" i="4"/>
  <c r="AU6" i="4"/>
  <c r="AR6" i="4"/>
  <c r="AQ6" i="4"/>
  <c r="AC6" i="4"/>
  <c r="AD6" i="4" s="1"/>
  <c r="AB6" i="4"/>
  <c r="AA6" i="4"/>
  <c r="BK5" i="4"/>
  <c r="BI5" i="4"/>
  <c r="BJ5" i="4" s="1"/>
  <c r="BD5" i="4"/>
  <c r="BC5" i="4"/>
  <c r="AZ5" i="4"/>
  <c r="AY5" i="4"/>
  <c r="AV5" i="4"/>
  <c r="AU5" i="4"/>
  <c r="AR5" i="4"/>
  <c r="AQ5" i="4"/>
  <c r="AD5" i="4"/>
  <c r="AC5" i="4"/>
  <c r="AB5" i="4"/>
  <c r="AE5" i="4" s="1"/>
  <c r="AA5" i="4"/>
  <c r="BK4" i="4"/>
  <c r="BI4" i="4"/>
  <c r="BJ4" i="4" s="1"/>
  <c r="BE4" i="4"/>
  <c r="BD4" i="4"/>
  <c r="BC4" i="4"/>
  <c r="BA4" i="4"/>
  <c r="AZ4" i="4"/>
  <c r="AY4" i="4"/>
  <c r="AX4" i="4"/>
  <c r="AW4" i="4"/>
  <c r="AV4" i="4"/>
  <c r="AU4" i="4"/>
  <c r="AT4" i="4"/>
  <c r="AS4" i="4"/>
  <c r="AA4" i="4"/>
  <c r="AC4" i="4" s="1"/>
  <c r="AD4" i="4" s="1"/>
  <c r="BN3" i="4"/>
  <c r="BM3" i="4"/>
  <c r="BK3" i="4"/>
  <c r="BI3" i="4"/>
  <c r="BJ3" i="4" s="1"/>
  <c r="BD3" i="4"/>
  <c r="BC3" i="4"/>
  <c r="AZ3" i="4"/>
  <c r="AY3" i="4"/>
  <c r="AV3" i="4"/>
  <c r="AU3" i="4"/>
  <c r="AO3" i="4"/>
  <c r="AM3" i="4"/>
  <c r="AK3" i="4"/>
  <c r="AJ3" i="4"/>
  <c r="AP3" i="4" s="1"/>
  <c r="AI3" i="4"/>
  <c r="BB4" i="4" s="1"/>
  <c r="AH3" i="4"/>
  <c r="AN3" i="4" s="1"/>
  <c r="AG3" i="4"/>
  <c r="AC3" i="4"/>
  <c r="AD3" i="4" s="1"/>
  <c r="AE3" i="4" s="1"/>
  <c r="AB3" i="4"/>
  <c r="AA3" i="4"/>
  <c r="AQ75" i="3"/>
  <c r="AP75" i="3"/>
  <c r="AO75" i="3"/>
  <c r="AN75" i="3"/>
  <c r="AM75" i="3"/>
  <c r="AP74" i="3"/>
  <c r="AO74" i="3"/>
  <c r="AN74" i="3"/>
  <c r="AM74" i="3"/>
  <c r="AP73" i="3"/>
  <c r="AO73" i="3"/>
  <c r="AN73" i="3"/>
  <c r="AM73" i="3"/>
  <c r="AR72" i="3"/>
  <c r="AP72" i="3"/>
  <c r="AO72" i="3"/>
  <c r="AN72" i="3"/>
  <c r="AM72" i="3"/>
  <c r="AP71" i="3"/>
  <c r="AO71" i="3"/>
  <c r="AN71" i="3"/>
  <c r="AM71" i="3"/>
  <c r="AP70" i="3"/>
  <c r="AO70" i="3"/>
  <c r="AN70" i="3"/>
  <c r="AM70" i="3"/>
  <c r="AR69" i="3"/>
  <c r="AP69" i="3"/>
  <c r="AO69" i="3"/>
  <c r="AN69" i="3"/>
  <c r="AM69" i="3"/>
  <c r="AP68" i="3"/>
  <c r="AO68" i="3"/>
  <c r="AN68" i="3"/>
  <c r="AM68" i="3"/>
  <c r="AQ67" i="3"/>
  <c r="AP67" i="3"/>
  <c r="AO67" i="3"/>
  <c r="AN67" i="3"/>
  <c r="AM67" i="3"/>
  <c r="AP66" i="3"/>
  <c r="AO66" i="3"/>
  <c r="AN66" i="3"/>
  <c r="AM66" i="3"/>
  <c r="AP65" i="3"/>
  <c r="AO65" i="3"/>
  <c r="AN65" i="3"/>
  <c r="AM65" i="3"/>
  <c r="AR64" i="3"/>
  <c r="AP64" i="3"/>
  <c r="AO64" i="3"/>
  <c r="AN64" i="3"/>
  <c r="AM64" i="3"/>
  <c r="AP63" i="3"/>
  <c r="AO63" i="3"/>
  <c r="AN63" i="3"/>
  <c r="AM63" i="3"/>
  <c r="AP62" i="3"/>
  <c r="AO62" i="3"/>
  <c r="AN62" i="3"/>
  <c r="AM62" i="3"/>
  <c r="AR61" i="3"/>
  <c r="AP61" i="3"/>
  <c r="AO61" i="3"/>
  <c r="AN61" i="3"/>
  <c r="AM61" i="3"/>
  <c r="AP60" i="3"/>
  <c r="AO60" i="3"/>
  <c r="AN60" i="3"/>
  <c r="AM60" i="3"/>
  <c r="AQ59" i="3"/>
  <c r="AP59" i="3"/>
  <c r="AO59" i="3"/>
  <c r="AN59" i="3"/>
  <c r="AM59" i="3"/>
  <c r="AP58" i="3"/>
  <c r="AO58" i="3"/>
  <c r="AN58" i="3"/>
  <c r="AM58" i="3"/>
  <c r="AP57" i="3"/>
  <c r="AO57" i="3"/>
  <c r="AN57" i="3"/>
  <c r="AM57" i="3"/>
  <c r="AR56" i="3"/>
  <c r="AP56" i="3"/>
  <c r="AO56" i="3"/>
  <c r="AN56" i="3"/>
  <c r="AM56" i="3"/>
  <c r="AP55" i="3"/>
  <c r="AO55" i="3"/>
  <c r="AN55" i="3"/>
  <c r="AM55" i="3"/>
  <c r="AP54" i="3"/>
  <c r="AO54" i="3"/>
  <c r="AN54" i="3"/>
  <c r="AM54" i="3"/>
  <c r="AR53" i="3"/>
  <c r="AP53" i="3"/>
  <c r="AO53" i="3"/>
  <c r="AN53" i="3"/>
  <c r="AM53" i="3"/>
  <c r="AP52" i="3"/>
  <c r="AO52" i="3"/>
  <c r="AN52" i="3"/>
  <c r="AM52" i="3"/>
  <c r="AR51" i="3"/>
  <c r="AP51" i="3"/>
  <c r="AO51" i="3"/>
  <c r="AN51" i="3"/>
  <c r="AM51" i="3"/>
  <c r="AP50" i="3"/>
  <c r="AO50" i="3"/>
  <c r="AN50" i="3"/>
  <c r="AM50" i="3"/>
  <c r="AR49" i="3"/>
  <c r="AP49" i="3"/>
  <c r="AO49" i="3"/>
  <c r="AN49" i="3"/>
  <c r="AM49" i="3"/>
  <c r="AP48" i="3"/>
  <c r="AO48" i="3"/>
  <c r="AN48" i="3"/>
  <c r="AM48" i="3"/>
  <c r="AR47" i="3"/>
  <c r="AP47" i="3"/>
  <c r="AO47" i="3"/>
  <c r="AN47" i="3"/>
  <c r="AM47" i="3"/>
  <c r="AP46" i="3"/>
  <c r="AO46" i="3"/>
  <c r="AN46" i="3"/>
  <c r="AM46" i="3"/>
  <c r="AR45" i="3"/>
  <c r="AP45" i="3"/>
  <c r="AO45" i="3"/>
  <c r="AN45" i="3"/>
  <c r="AM45" i="3"/>
  <c r="AP44" i="3"/>
  <c r="AO44" i="3"/>
  <c r="AN44" i="3"/>
  <c r="AM44" i="3"/>
  <c r="AR43" i="3"/>
  <c r="AP43" i="3"/>
  <c r="AO43" i="3"/>
  <c r="AN43" i="3"/>
  <c r="AM43" i="3"/>
  <c r="AP42" i="3"/>
  <c r="AO42" i="3"/>
  <c r="AN42" i="3"/>
  <c r="AM42" i="3"/>
  <c r="AR41" i="3"/>
  <c r="AP41" i="3"/>
  <c r="AO41" i="3"/>
  <c r="AN41" i="3"/>
  <c r="AM41" i="3"/>
  <c r="AP40" i="3"/>
  <c r="AO40" i="3"/>
  <c r="AN40" i="3"/>
  <c r="AM40" i="3"/>
  <c r="AT39" i="3"/>
  <c r="AS39" i="3"/>
  <c r="AP39" i="3"/>
  <c r="AO39" i="3"/>
  <c r="AN39" i="3"/>
  <c r="AM39" i="3"/>
  <c r="AT38" i="3"/>
  <c r="AS38" i="3"/>
  <c r="AP38" i="3"/>
  <c r="AO38" i="3"/>
  <c r="AN38" i="3"/>
  <c r="AM38" i="3"/>
  <c r="AT37" i="3"/>
  <c r="AS37" i="3"/>
  <c r="AP37" i="3"/>
  <c r="AO37" i="3"/>
  <c r="AN37" i="3"/>
  <c r="AM37" i="3"/>
  <c r="B37" i="3"/>
  <c r="AT36" i="3"/>
  <c r="AS36" i="3"/>
  <c r="AQ36" i="3"/>
  <c r="AP36" i="3"/>
  <c r="AO36" i="3"/>
  <c r="AN36" i="3"/>
  <c r="AM36" i="3"/>
  <c r="C36" i="3"/>
  <c r="AT35" i="3"/>
  <c r="AS35" i="3"/>
  <c r="AR35" i="3"/>
  <c r="AP35" i="3"/>
  <c r="AO35" i="3"/>
  <c r="AN35" i="3"/>
  <c r="AM35" i="3"/>
  <c r="C35" i="3"/>
  <c r="AT34" i="3"/>
  <c r="AS34" i="3"/>
  <c r="AP34" i="3"/>
  <c r="AO34" i="3"/>
  <c r="AN34" i="3"/>
  <c r="AM34" i="3"/>
  <c r="C34" i="3"/>
  <c r="AT33" i="3"/>
  <c r="AS33" i="3"/>
  <c r="AP33" i="3"/>
  <c r="AO33" i="3"/>
  <c r="AN33" i="3"/>
  <c r="AM33" i="3"/>
  <c r="C33" i="3"/>
  <c r="AT32" i="3"/>
  <c r="AS32" i="3"/>
  <c r="AQ32" i="3"/>
  <c r="AP32" i="3"/>
  <c r="AO32" i="3"/>
  <c r="AN32" i="3"/>
  <c r="AM32" i="3"/>
  <c r="C32" i="3"/>
  <c r="AT31" i="3"/>
  <c r="AS31" i="3"/>
  <c r="AR31" i="3"/>
  <c r="AP31" i="3"/>
  <c r="AO31" i="3"/>
  <c r="AN31" i="3"/>
  <c r="AM31" i="3"/>
  <c r="C31" i="3"/>
  <c r="AT30" i="3"/>
  <c r="AS30" i="3"/>
  <c r="AP30" i="3"/>
  <c r="AO30" i="3"/>
  <c r="AN30" i="3"/>
  <c r="AM30" i="3"/>
  <c r="AT29" i="3"/>
  <c r="AS29" i="3"/>
  <c r="AP29" i="3"/>
  <c r="AO29" i="3"/>
  <c r="AN29" i="3"/>
  <c r="AM29" i="3"/>
  <c r="AT28" i="3"/>
  <c r="AS28" i="3"/>
  <c r="AP28" i="3"/>
  <c r="AO28" i="3"/>
  <c r="AN28" i="3"/>
  <c r="AM28" i="3"/>
  <c r="AT27" i="3"/>
  <c r="AS27" i="3"/>
  <c r="AP27" i="3"/>
  <c r="AO27" i="3"/>
  <c r="AN27" i="3"/>
  <c r="AM27" i="3"/>
  <c r="AT26" i="3"/>
  <c r="AS26" i="3"/>
  <c r="AR26" i="3"/>
  <c r="AP26" i="3"/>
  <c r="AO26" i="3"/>
  <c r="AN26" i="3"/>
  <c r="AM26" i="3"/>
  <c r="AT25" i="3"/>
  <c r="AS25" i="3"/>
  <c r="AR25" i="3"/>
  <c r="AP25" i="3"/>
  <c r="AO25" i="3"/>
  <c r="AN25" i="3"/>
  <c r="AM25" i="3"/>
  <c r="AT24" i="3"/>
  <c r="AS24" i="3"/>
  <c r="AR24" i="3"/>
  <c r="AP24" i="3"/>
  <c r="AO24" i="3"/>
  <c r="AN24" i="3"/>
  <c r="AM24" i="3"/>
  <c r="AT23" i="3"/>
  <c r="AS23" i="3"/>
  <c r="AR23" i="3"/>
  <c r="AP23" i="3"/>
  <c r="AO23" i="3"/>
  <c r="AN23" i="3"/>
  <c r="AM23" i="3"/>
  <c r="AT22" i="3"/>
  <c r="AS22" i="3"/>
  <c r="AR22" i="3"/>
  <c r="AP22" i="3"/>
  <c r="AO22" i="3"/>
  <c r="AN22" i="3"/>
  <c r="AM22" i="3"/>
  <c r="AT21" i="3"/>
  <c r="AS21" i="3"/>
  <c r="AR21" i="3"/>
  <c r="AP21" i="3"/>
  <c r="AO21" i="3"/>
  <c r="AN21" i="3"/>
  <c r="AM21" i="3"/>
  <c r="AT20" i="3"/>
  <c r="AS20" i="3"/>
  <c r="AQ20" i="3"/>
  <c r="AP20" i="3"/>
  <c r="AO20" i="3"/>
  <c r="AN20" i="3"/>
  <c r="AM20" i="3"/>
  <c r="AT19" i="3"/>
  <c r="AS19" i="3"/>
  <c r="AR19" i="3"/>
  <c r="AQ19" i="3"/>
  <c r="AP19" i="3"/>
  <c r="AO19" i="3"/>
  <c r="AN19" i="3"/>
  <c r="AM19" i="3"/>
  <c r="AT18" i="3"/>
  <c r="AS18" i="3"/>
  <c r="AR18" i="3"/>
  <c r="AQ18" i="3"/>
  <c r="AP18" i="3"/>
  <c r="AO18" i="3"/>
  <c r="AN18" i="3"/>
  <c r="AM18" i="3"/>
  <c r="AT17" i="3"/>
  <c r="AS17" i="3"/>
  <c r="AR17" i="3"/>
  <c r="AP17" i="3"/>
  <c r="AO17" i="3"/>
  <c r="AN17" i="3"/>
  <c r="AM17" i="3"/>
  <c r="AF17" i="3"/>
  <c r="AC17" i="3"/>
  <c r="AE17" i="3" s="1"/>
  <c r="AB17" i="3"/>
  <c r="AD17" i="3" s="1"/>
  <c r="AA17" i="3"/>
  <c r="AT16" i="3"/>
  <c r="AS16" i="3"/>
  <c r="AR16" i="3"/>
  <c r="AP16" i="3"/>
  <c r="AO16" i="3"/>
  <c r="AN16" i="3"/>
  <c r="AM16" i="3"/>
  <c r="AF16" i="3"/>
  <c r="AC16" i="3"/>
  <c r="AE16" i="3" s="1"/>
  <c r="AB16" i="3"/>
  <c r="AD16" i="3" s="1"/>
  <c r="AA16" i="3"/>
  <c r="AT15" i="3"/>
  <c r="AS15" i="3"/>
  <c r="AR15" i="3"/>
  <c r="AP15" i="3"/>
  <c r="AO15" i="3"/>
  <c r="AN15" i="3"/>
  <c r="AM15" i="3"/>
  <c r="AF15" i="3"/>
  <c r="AC15" i="3"/>
  <c r="AE15" i="3" s="1"/>
  <c r="AB15" i="3"/>
  <c r="AD15" i="3" s="1"/>
  <c r="AA15" i="3"/>
  <c r="AT14" i="3"/>
  <c r="AS14" i="3"/>
  <c r="AR14" i="3"/>
  <c r="AP14" i="3"/>
  <c r="AO14" i="3"/>
  <c r="AN14" i="3"/>
  <c r="AM14" i="3"/>
  <c r="AF14" i="3"/>
  <c r="AC14" i="3"/>
  <c r="AE14" i="3" s="1"/>
  <c r="AB14" i="3"/>
  <c r="AD14" i="3" s="1"/>
  <c r="AA14" i="3"/>
  <c r="C14" i="3"/>
  <c r="AR75" i="3" s="1"/>
  <c r="AT13" i="3"/>
  <c r="AS13" i="3"/>
  <c r="AR13" i="3"/>
  <c r="AQ13" i="3"/>
  <c r="AP13" i="3"/>
  <c r="AO13" i="3"/>
  <c r="AN13" i="3"/>
  <c r="AM13" i="3"/>
  <c r="AF13" i="3"/>
  <c r="AC13" i="3"/>
  <c r="AE13" i="3" s="1"/>
  <c r="AB13" i="3"/>
  <c r="AD13" i="3" s="1"/>
  <c r="AA13" i="3"/>
  <c r="AT12" i="3"/>
  <c r="AS12" i="3"/>
  <c r="AR12" i="3"/>
  <c r="AQ12" i="3"/>
  <c r="AP12" i="3"/>
  <c r="AO12" i="3"/>
  <c r="AN12" i="3"/>
  <c r="AM12" i="3"/>
  <c r="AA12" i="3"/>
  <c r="AT11" i="3"/>
  <c r="AS11" i="3"/>
  <c r="AR11" i="3"/>
  <c r="AQ11" i="3"/>
  <c r="AP11" i="3"/>
  <c r="AO11" i="3"/>
  <c r="AN11" i="3"/>
  <c r="AM11" i="3"/>
  <c r="AA11" i="3"/>
  <c r="AC11" i="3" s="1"/>
  <c r="AE11" i="3" s="1"/>
  <c r="AT10" i="3"/>
  <c r="AS10" i="3"/>
  <c r="AR10" i="3"/>
  <c r="AQ10" i="3"/>
  <c r="AP10" i="3"/>
  <c r="AO10" i="3"/>
  <c r="AN10" i="3"/>
  <c r="AM10" i="3"/>
  <c r="AG10" i="3"/>
  <c r="AD10" i="3"/>
  <c r="AC10" i="3"/>
  <c r="AE10" i="3" s="1"/>
  <c r="AB10" i="3"/>
  <c r="AA10" i="3"/>
  <c r="C10" i="3"/>
  <c r="AG11" i="3" s="1"/>
  <c r="BB9" i="3"/>
  <c r="AZ9" i="3"/>
  <c r="AT9" i="3"/>
  <c r="AS9" i="3"/>
  <c r="AR9" i="3"/>
  <c r="AQ9" i="3"/>
  <c r="AP9" i="3"/>
  <c r="AO9" i="3"/>
  <c r="AN9" i="3"/>
  <c r="AM9" i="3"/>
  <c r="AF9" i="3"/>
  <c r="AA9" i="3"/>
  <c r="BB8" i="3"/>
  <c r="AZ8" i="3"/>
  <c r="AT8" i="3"/>
  <c r="AS8" i="3"/>
  <c r="AR8" i="3"/>
  <c r="AQ8" i="3"/>
  <c r="AP8" i="3"/>
  <c r="AO8" i="3"/>
  <c r="AN8" i="3"/>
  <c r="AM8" i="3"/>
  <c r="AG8" i="3"/>
  <c r="AF8" i="3"/>
  <c r="AC8" i="3"/>
  <c r="AE8" i="3" s="1"/>
  <c r="AB8" i="3"/>
  <c r="AD8" i="3" s="1"/>
  <c r="AA8" i="3"/>
  <c r="BB7" i="3"/>
  <c r="BA7" i="3"/>
  <c r="AZ7" i="3"/>
  <c r="AY7" i="3"/>
  <c r="AT7" i="3"/>
  <c r="AS7" i="3"/>
  <c r="AR7" i="3"/>
  <c r="AQ7" i="3"/>
  <c r="AP7" i="3"/>
  <c r="AO7" i="3"/>
  <c r="AN7" i="3"/>
  <c r="AM7" i="3"/>
  <c r="AF7" i="3"/>
  <c r="AA7" i="3"/>
  <c r="BB6" i="3"/>
  <c r="BA6" i="3"/>
  <c r="AZ6" i="3"/>
  <c r="AY6" i="3"/>
  <c r="AW6" i="3"/>
  <c r="AU6" i="3"/>
  <c r="AT6" i="3"/>
  <c r="AS6" i="3"/>
  <c r="AR6" i="3"/>
  <c r="AQ6" i="3"/>
  <c r="AP6" i="3"/>
  <c r="AO6" i="3"/>
  <c r="AN6" i="3"/>
  <c r="AM6" i="3"/>
  <c r="AG6" i="3"/>
  <c r="AF6" i="3"/>
  <c r="AC6" i="3"/>
  <c r="AE6" i="3" s="1"/>
  <c r="AB6" i="3"/>
  <c r="AD6" i="3" s="1"/>
  <c r="AA6" i="3"/>
  <c r="BB5" i="3"/>
  <c r="BA5" i="3"/>
  <c r="AZ5" i="3"/>
  <c r="AY5" i="3"/>
  <c r="AW5" i="3"/>
  <c r="AU5" i="3"/>
  <c r="AT5" i="3"/>
  <c r="AS5" i="3"/>
  <c r="AR5" i="3"/>
  <c r="AQ5" i="3"/>
  <c r="AP5" i="3"/>
  <c r="AO5" i="3"/>
  <c r="AN5" i="3"/>
  <c r="AM5" i="3"/>
  <c r="AG5" i="3"/>
  <c r="AF5" i="3"/>
  <c r="AD5" i="3"/>
  <c r="AC5" i="3"/>
  <c r="AE5" i="3" s="1"/>
  <c r="AB5" i="3"/>
  <c r="AA5" i="3"/>
  <c r="BB4" i="3"/>
  <c r="BA4" i="3"/>
  <c r="AZ4" i="3"/>
  <c r="AY4" i="3"/>
  <c r="AW4" i="3"/>
  <c r="AU4" i="3"/>
  <c r="AT4" i="3"/>
  <c r="AS4" i="3"/>
  <c r="AR4" i="3"/>
  <c r="AQ4" i="3"/>
  <c r="AP4" i="3"/>
  <c r="AO4" i="3"/>
  <c r="AN4" i="3"/>
  <c r="AM4" i="3"/>
  <c r="AK4" i="3"/>
  <c r="AJ4" i="3"/>
  <c r="AI4" i="3"/>
  <c r="AG4" i="3"/>
  <c r="AA4" i="3"/>
  <c r="AC4" i="3" s="1"/>
  <c r="AE4" i="3" s="1"/>
  <c r="BB3" i="3"/>
  <c r="BA3" i="3"/>
  <c r="AZ3" i="3"/>
  <c r="AY3" i="3"/>
  <c r="AW3" i="3"/>
  <c r="AU3" i="3"/>
  <c r="AT3" i="3"/>
  <c r="AS3" i="3"/>
  <c r="AR3" i="3"/>
  <c r="AQ3" i="3"/>
  <c r="AP3" i="3"/>
  <c r="AO3" i="3"/>
  <c r="AN3" i="3"/>
  <c r="AM3" i="3"/>
  <c r="AK3" i="3"/>
  <c r="AJ3" i="3"/>
  <c r="AI3" i="3"/>
  <c r="AF3" i="3"/>
  <c r="AA3" i="3"/>
  <c r="BE2" i="3"/>
  <c r="BE1" i="3"/>
  <c r="C59" i="2"/>
  <c r="E47" i="2"/>
  <c r="G47" i="2" s="1"/>
  <c r="D47" i="2"/>
  <c r="C51" i="2" s="1"/>
  <c r="C47" i="2"/>
  <c r="E46" i="2"/>
  <c r="D46" i="2"/>
  <c r="C46" i="2"/>
  <c r="C45" i="2"/>
  <c r="E45" i="2" s="1"/>
  <c r="G45" i="2" s="1"/>
  <c r="C44" i="2"/>
  <c r="E43" i="2"/>
  <c r="G43" i="2" s="1"/>
  <c r="D43" i="2"/>
  <c r="C43" i="2"/>
  <c r="D39" i="2"/>
  <c r="D38" i="2"/>
  <c r="D37" i="2"/>
  <c r="D36" i="2"/>
  <c r="D35" i="2"/>
  <c r="D34" i="2"/>
  <c r="D33" i="2"/>
  <c r="D32" i="2"/>
  <c r="D31" i="2"/>
  <c r="D30" i="2"/>
  <c r="D29" i="2"/>
  <c r="D28" i="2"/>
  <c r="AV25" i="2"/>
  <c r="AW25" i="2" s="1"/>
  <c r="AW24" i="2"/>
  <c r="AV24" i="2"/>
  <c r="AV23" i="2"/>
  <c r="AW23" i="2" s="1"/>
  <c r="AW22" i="2"/>
  <c r="AV22" i="2"/>
  <c r="AV21" i="2"/>
  <c r="AW21" i="2" s="1"/>
  <c r="AV20" i="2"/>
  <c r="AW20" i="2" s="1"/>
  <c r="AV19" i="2"/>
  <c r="AW19" i="2" s="1"/>
  <c r="AW18" i="2"/>
  <c r="AV18" i="2"/>
  <c r="AV17" i="2"/>
  <c r="AW17" i="2" s="1"/>
  <c r="AV16" i="2"/>
  <c r="AW16" i="2" s="1"/>
  <c r="AV15" i="2"/>
  <c r="AW15" i="2" s="1"/>
  <c r="AW14" i="2"/>
  <c r="AV14" i="2"/>
  <c r="AJ14" i="2"/>
  <c r="AG14" i="2"/>
  <c r="AE14" i="2"/>
  <c r="BF4" i="2" s="1"/>
  <c r="AB14" i="2"/>
  <c r="AF14" i="2" s="1"/>
  <c r="AA14" i="2"/>
  <c r="AI14" i="2" s="1"/>
  <c r="AV13" i="2"/>
  <c r="AW13" i="2" s="1"/>
  <c r="AL13" i="2"/>
  <c r="AI13" i="2"/>
  <c r="AM13" i="2" s="1"/>
  <c r="AH13" i="2"/>
  <c r="AG13" i="2"/>
  <c r="AD13" i="2"/>
  <c r="AB13" i="2"/>
  <c r="AJ13" i="2" s="1"/>
  <c r="AA13" i="2"/>
  <c r="AC13" i="2" s="1"/>
  <c r="BB12" i="2"/>
  <c r="BA12" i="2"/>
  <c r="AV12" i="2"/>
  <c r="AW12" i="2" s="1"/>
  <c r="AL12" i="2"/>
  <c r="AI12" i="2"/>
  <c r="AM12" i="2" s="1"/>
  <c r="AH12" i="2"/>
  <c r="AG12" i="2"/>
  <c r="AD12" i="2"/>
  <c r="AC12" i="2"/>
  <c r="AB12" i="2"/>
  <c r="AJ12" i="2" s="1"/>
  <c r="AA12" i="2"/>
  <c r="AK12" i="2" s="1"/>
  <c r="AO12" i="2" s="1"/>
  <c r="BB11" i="2"/>
  <c r="BA11" i="2"/>
  <c r="AV11" i="2"/>
  <c r="AW11" i="2" s="1"/>
  <c r="AL11" i="2"/>
  <c r="AI11" i="2"/>
  <c r="AM11" i="2" s="1"/>
  <c r="AH11" i="2"/>
  <c r="AG11" i="2"/>
  <c r="AD11" i="2"/>
  <c r="AB11" i="2"/>
  <c r="AJ11" i="2" s="1"/>
  <c r="AA11" i="2"/>
  <c r="AC11" i="2" s="1"/>
  <c r="BB10" i="2"/>
  <c r="BA10" i="2"/>
  <c r="AV10" i="2"/>
  <c r="AW10" i="2" s="1"/>
  <c r="AL10" i="2"/>
  <c r="AI10" i="2"/>
  <c r="AM10" i="2" s="1"/>
  <c r="AH10" i="2"/>
  <c r="AG10" i="2"/>
  <c r="AD10" i="2"/>
  <c r="AB10" i="2"/>
  <c r="AJ10" i="2" s="1"/>
  <c r="AA10" i="2"/>
  <c r="AK10" i="2" s="1"/>
  <c r="AO10" i="2" s="1"/>
  <c r="BB9" i="2"/>
  <c r="AV9" i="2"/>
  <c r="AW9" i="2" s="1"/>
  <c r="AC9" i="2"/>
  <c r="AB9" i="2"/>
  <c r="AL9" i="2" s="1"/>
  <c r="AA9" i="2"/>
  <c r="AI9" i="2" s="1"/>
  <c r="AM9" i="2" s="1"/>
  <c r="BB8" i="2"/>
  <c r="AW8" i="2"/>
  <c r="AV8" i="2"/>
  <c r="AG8" i="2"/>
  <c r="AC8" i="2"/>
  <c r="AB8" i="2"/>
  <c r="AJ8" i="2" s="1"/>
  <c r="AA8" i="2"/>
  <c r="AI8" i="2" s="1"/>
  <c r="AM8" i="2" s="1"/>
  <c r="AW7" i="2"/>
  <c r="AV7" i="2"/>
  <c r="AK7" i="2"/>
  <c r="AO7" i="2" s="1"/>
  <c r="AG7" i="2"/>
  <c r="AC7" i="2"/>
  <c r="AB7" i="2"/>
  <c r="AF7" i="2" s="1"/>
  <c r="AA7" i="2"/>
  <c r="AI7" i="2" s="1"/>
  <c r="AM7" i="2" s="1"/>
  <c r="BB6" i="2"/>
  <c r="AW6" i="2"/>
  <c r="AV6" i="2"/>
  <c r="AK6" i="2"/>
  <c r="AO6" i="2" s="1"/>
  <c r="AG6" i="2"/>
  <c r="AC6" i="2"/>
  <c r="AB6" i="2"/>
  <c r="AL6" i="2" s="1"/>
  <c r="AA6" i="2"/>
  <c r="AI6" i="2" s="1"/>
  <c r="AM6" i="2" s="1"/>
  <c r="BA5" i="2"/>
  <c r="AW5" i="2"/>
  <c r="AV5" i="2"/>
  <c r="AK5" i="2"/>
  <c r="AO5" i="2" s="1"/>
  <c r="AG5" i="2"/>
  <c r="AC5" i="2"/>
  <c r="AB5" i="2"/>
  <c r="AL5" i="2" s="1"/>
  <c r="AA5" i="2"/>
  <c r="AI5" i="2" s="1"/>
  <c r="AM5" i="2" s="1"/>
  <c r="BM4" i="2"/>
  <c r="BK4" i="2"/>
  <c r="BI4" i="2"/>
  <c r="BH4" i="2"/>
  <c r="BG4" i="2"/>
  <c r="BE4" i="2"/>
  <c r="BB4" i="2"/>
  <c r="BA4" i="2"/>
  <c r="AY4" i="2"/>
  <c r="AV4" i="2"/>
  <c r="AW4" i="2" s="1"/>
  <c r="AB4" i="2"/>
  <c r="AL4" i="2" s="1"/>
  <c r="AA4" i="2"/>
  <c r="AG4" i="2" s="1"/>
  <c r="AY3" i="2"/>
  <c r="AW3" i="2"/>
  <c r="AV3" i="2"/>
  <c r="AL3" i="2"/>
  <c r="AH3" i="2"/>
  <c r="AD3" i="2"/>
  <c r="AB3" i="2"/>
  <c r="AJ3" i="2" s="1"/>
  <c r="AA3" i="2"/>
  <c r="BM3" i="2" s="1"/>
  <c r="BU2" i="2"/>
  <c r="AN8" i="2" l="1"/>
  <c r="C56" i="2"/>
  <c r="BQ3" i="2"/>
  <c r="BO3" i="2"/>
  <c r="AP5" i="2"/>
  <c r="AS5" i="2" s="1"/>
  <c r="AT5" i="2" s="1"/>
  <c r="AP6" i="2"/>
  <c r="AP10" i="2"/>
  <c r="AP12" i="2"/>
  <c r="BJ4" i="2"/>
  <c r="AM14" i="2"/>
  <c r="AN14" i="2" s="1"/>
  <c r="AE4" i="2"/>
  <c r="AJ5" i="2"/>
  <c r="AN5" i="2" s="1"/>
  <c r="AF6" i="2"/>
  <c r="AJ9" i="2"/>
  <c r="AN9" i="2" s="1"/>
  <c r="AJ7" i="2"/>
  <c r="AN7" i="2" s="1"/>
  <c r="AQ7" i="2" s="1"/>
  <c r="AR7" i="2" s="1"/>
  <c r="AF8" i="2"/>
  <c r="AF9" i="2"/>
  <c r="E44" i="2"/>
  <c r="D44" i="2"/>
  <c r="AE3" i="2"/>
  <c r="BF3" i="2" s="1"/>
  <c r="AI3" i="2"/>
  <c r="BB3" i="2"/>
  <c r="BG3" i="2"/>
  <c r="BK3" i="2"/>
  <c r="AF4" i="2"/>
  <c r="AJ4" i="2"/>
  <c r="AK8" i="2"/>
  <c r="AO8" i="2" s="1"/>
  <c r="AG9" i="2"/>
  <c r="AK9" i="2"/>
  <c r="AO9" i="2" s="1"/>
  <c r="AP9" i="2" s="1"/>
  <c r="AS9" i="2" s="1"/>
  <c r="AT9" i="2" s="1"/>
  <c r="AC10" i="2"/>
  <c r="AE11" i="2"/>
  <c r="AK11" i="2"/>
  <c r="AO11" i="2" s="1"/>
  <c r="AP11" i="2" s="1"/>
  <c r="AS11" i="2" s="1"/>
  <c r="AT11" i="2" s="1"/>
  <c r="AE13" i="2"/>
  <c r="AK13" i="2"/>
  <c r="AO13" i="2" s="1"/>
  <c r="AP13" i="2" s="1"/>
  <c r="AK14" i="2"/>
  <c r="AC12" i="3"/>
  <c r="AE12" i="3" s="1"/>
  <c r="AB12" i="3"/>
  <c r="AD12" i="3" s="1"/>
  <c r="AN12" i="2"/>
  <c r="AF3" i="2"/>
  <c r="AC4" i="2"/>
  <c r="AK4" i="2"/>
  <c r="AO4" i="2" s="1"/>
  <c r="AP4" i="2" s="1"/>
  <c r="AS4" i="2" s="1"/>
  <c r="AT4" i="2" s="1"/>
  <c r="AH5" i="2"/>
  <c r="BB5" i="2"/>
  <c r="AH6" i="2"/>
  <c r="AD7" i="2"/>
  <c r="AH7" i="2"/>
  <c r="AL7" i="2"/>
  <c r="AP7" i="2" s="1"/>
  <c r="BB7" i="2"/>
  <c r="AD8" i="2"/>
  <c r="AH8" i="2"/>
  <c r="AL8" i="2"/>
  <c r="AP8" i="2" s="1"/>
  <c r="AD9" i="2"/>
  <c r="AH9" i="2"/>
  <c r="AN11" i="2"/>
  <c r="AQ11" i="2" s="1"/>
  <c r="AR11" i="2" s="1"/>
  <c r="AN13" i="2"/>
  <c r="AL14" i="2"/>
  <c r="AH14" i="2"/>
  <c r="AD14" i="2"/>
  <c r="G46" i="2"/>
  <c r="F46" i="2"/>
  <c r="AC7" i="3"/>
  <c r="AE7" i="3" s="1"/>
  <c r="AB7" i="3"/>
  <c r="AD7" i="3" s="1"/>
  <c r="AI4" i="2"/>
  <c r="AM4" i="2" s="1"/>
  <c r="AF5" i="2"/>
  <c r="AJ6" i="2"/>
  <c r="AN6" i="2" s="1"/>
  <c r="AQ6" i="2" s="1"/>
  <c r="AR6" i="2" s="1"/>
  <c r="AN10" i="2"/>
  <c r="AQ10" i="2" s="1"/>
  <c r="AR10" i="2" s="1"/>
  <c r="AC9" i="3"/>
  <c r="AE9" i="3" s="1"/>
  <c r="AB9" i="3"/>
  <c r="AD9" i="3" s="1"/>
  <c r="AD5" i="2"/>
  <c r="AD6" i="2"/>
  <c r="AC3" i="2"/>
  <c r="AG3" i="2"/>
  <c r="BH3" i="2" s="1"/>
  <c r="AK3" i="2"/>
  <c r="BE3" i="2"/>
  <c r="BI3" i="2"/>
  <c r="AD4" i="2"/>
  <c r="AH4" i="2"/>
  <c r="AE5" i="2"/>
  <c r="AE6" i="2"/>
  <c r="AE7" i="2"/>
  <c r="AE8" i="2"/>
  <c r="AE9" i="2"/>
  <c r="AE10" i="2"/>
  <c r="AE12" i="2"/>
  <c r="AC14" i="2"/>
  <c r="BD4" i="2" s="1"/>
  <c r="F45" i="2"/>
  <c r="AC3" i="3"/>
  <c r="AE3" i="3" s="1"/>
  <c r="AB3" i="3"/>
  <c r="AD3" i="3" s="1"/>
  <c r="AF12" i="3"/>
  <c r="AG13" i="3"/>
  <c r="AG14" i="3"/>
  <c r="AG15" i="3"/>
  <c r="AG16" i="3"/>
  <c r="AG17" i="3"/>
  <c r="AR32" i="3"/>
  <c r="AQ33" i="3"/>
  <c r="AR36" i="3"/>
  <c r="AQ37" i="3"/>
  <c r="AQ38" i="3"/>
  <c r="AQ39" i="3"/>
  <c r="AQ40" i="3"/>
  <c r="AQ42" i="3"/>
  <c r="AQ44" i="3"/>
  <c r="AQ46" i="3"/>
  <c r="AQ48" i="3"/>
  <c r="AQ50" i="3"/>
  <c r="AQ52" i="3"/>
  <c r="AR54" i="3"/>
  <c r="AQ57" i="3"/>
  <c r="AR59" i="3"/>
  <c r="AR62" i="3"/>
  <c r="AQ65" i="3"/>
  <c r="AR67" i="3"/>
  <c r="AR70" i="3"/>
  <c r="AQ73" i="3"/>
  <c r="AC13" i="4"/>
  <c r="AD13" i="4" s="1"/>
  <c r="AB13" i="4"/>
  <c r="AE13" i="4" s="1"/>
  <c r="AB24" i="4"/>
  <c r="AE24" i="4" s="1"/>
  <c r="AC32" i="4"/>
  <c r="AD32" i="4" s="1"/>
  <c r="AB32" i="4"/>
  <c r="AE32" i="4" s="1"/>
  <c r="AC40" i="4"/>
  <c r="AD40" i="4" s="1"/>
  <c r="AB40" i="4"/>
  <c r="AC48" i="4"/>
  <c r="AD48" i="4" s="1"/>
  <c r="AB48" i="4"/>
  <c r="AE48" i="4" s="1"/>
  <c r="AC56" i="4"/>
  <c r="AD56" i="4" s="1"/>
  <c r="AB56" i="4"/>
  <c r="AC64" i="4"/>
  <c r="AD64" i="4" s="1"/>
  <c r="AB64" i="4"/>
  <c r="AC72" i="4"/>
  <c r="AD72" i="4" s="1"/>
  <c r="AB72" i="4"/>
  <c r="AD4" i="5"/>
  <c r="AF5" i="5"/>
  <c r="AC8" i="5"/>
  <c r="AA11" i="5"/>
  <c r="AE13" i="5"/>
  <c r="C28" i="5"/>
  <c r="C29" i="5"/>
  <c r="AZ4" i="5" s="1"/>
  <c r="C30" i="5"/>
  <c r="AZ5" i="5" s="1"/>
  <c r="AA17" i="5"/>
  <c r="AC19" i="5"/>
  <c r="AF21" i="5"/>
  <c r="AD24" i="5"/>
  <c r="AF10" i="2"/>
  <c r="AF11" i="2"/>
  <c r="AF12" i="2"/>
  <c r="AF13" i="2"/>
  <c r="F43" i="2"/>
  <c r="D45" i="2"/>
  <c r="F47" i="2"/>
  <c r="AG3" i="3"/>
  <c r="AB4" i="3"/>
  <c r="AD4" i="3" s="1"/>
  <c r="AF4" i="3"/>
  <c r="AG7" i="3"/>
  <c r="AG9" i="3"/>
  <c r="AB11" i="3"/>
  <c r="AD11" i="3" s="1"/>
  <c r="AF11" i="3"/>
  <c r="AG12" i="3"/>
  <c r="AQ74" i="3"/>
  <c r="AQ72" i="3"/>
  <c r="AQ70" i="3"/>
  <c r="AQ68" i="3"/>
  <c r="AQ66" i="3"/>
  <c r="AQ64" i="3"/>
  <c r="AQ62" i="3"/>
  <c r="AQ60" i="3"/>
  <c r="AQ58" i="3"/>
  <c r="AQ56" i="3"/>
  <c r="AQ54" i="3"/>
  <c r="AQ14" i="3"/>
  <c r="C15" i="3"/>
  <c r="C19" i="3" s="1"/>
  <c r="AQ15" i="3"/>
  <c r="C16" i="3"/>
  <c r="AQ16" i="3"/>
  <c r="C17" i="3"/>
  <c r="AQ17" i="3"/>
  <c r="AR20" i="3"/>
  <c r="AQ21" i="3"/>
  <c r="AQ22" i="3"/>
  <c r="AQ23" i="3"/>
  <c r="AQ24" i="3"/>
  <c r="AQ25" i="3"/>
  <c r="AQ26" i="3"/>
  <c r="AQ27" i="3"/>
  <c r="AQ28" i="3"/>
  <c r="AQ29" i="3"/>
  <c r="AQ30" i="3"/>
  <c r="AR33" i="3"/>
  <c r="AQ34" i="3"/>
  <c r="AR37" i="3"/>
  <c r="AR38" i="3"/>
  <c r="AR39" i="3"/>
  <c r="AR40" i="3"/>
  <c r="AR42" i="3"/>
  <c r="AR44" i="3"/>
  <c r="AR46" i="3"/>
  <c r="AR48" i="3"/>
  <c r="AR50" i="3"/>
  <c r="AR52" i="3"/>
  <c r="AQ55" i="3"/>
  <c r="AR57" i="3"/>
  <c r="AR60" i="3"/>
  <c r="AQ63" i="3"/>
  <c r="AR65" i="3"/>
  <c r="AR68" i="3"/>
  <c r="AQ71" i="3"/>
  <c r="AR73" i="3"/>
  <c r="BF4" i="4"/>
  <c r="BG1" i="4"/>
  <c r="AB4" i="4"/>
  <c r="AE4" i="4" s="1"/>
  <c r="AB14" i="4"/>
  <c r="AE14" i="4" s="1"/>
  <c r="AE15" i="4"/>
  <c r="C17" i="4"/>
  <c r="AE22" i="4"/>
  <c r="AE25" i="4"/>
  <c r="AE33" i="4"/>
  <c r="AE42" i="4"/>
  <c r="AE50" i="4"/>
  <c r="AE58" i="4"/>
  <c r="AE66" i="4"/>
  <c r="AE74" i="4"/>
  <c r="AB7" i="5"/>
  <c r="AA9" i="5"/>
  <c r="AE11" i="5"/>
  <c r="AC15" i="5"/>
  <c r="AE17" i="5"/>
  <c r="AD22" i="5"/>
  <c r="AF10" i="3"/>
  <c r="AR27" i="3"/>
  <c r="AR28" i="3"/>
  <c r="AR29" i="3"/>
  <c r="AR30" i="3"/>
  <c r="AQ31" i="3"/>
  <c r="AR34" i="3"/>
  <c r="AQ35" i="3"/>
  <c r="AQ41" i="3"/>
  <c r="AQ43" i="3"/>
  <c r="AQ45" i="3"/>
  <c r="AQ47" i="3"/>
  <c r="AQ49" i="3"/>
  <c r="AQ51" i="3"/>
  <c r="AQ53" i="3"/>
  <c r="AR55" i="3"/>
  <c r="AR58" i="3"/>
  <c r="AQ61" i="3"/>
  <c r="AR63" i="3"/>
  <c r="AR66" i="3"/>
  <c r="AQ69" i="3"/>
  <c r="AR71" i="3"/>
  <c r="AR74" i="3"/>
  <c r="AE7" i="4"/>
  <c r="AE9" i="4"/>
  <c r="AE16" i="4"/>
  <c r="AC17" i="4"/>
  <c r="AD17" i="4" s="1"/>
  <c r="AB17" i="4"/>
  <c r="AC23" i="4"/>
  <c r="AD23" i="4" s="1"/>
  <c r="AB23" i="4"/>
  <c r="AE23" i="4" s="1"/>
  <c r="AE26" i="4"/>
  <c r="AE28" i="4"/>
  <c r="AE34" i="4"/>
  <c r="AC36" i="4"/>
  <c r="AD36" i="4" s="1"/>
  <c r="AB36" i="4"/>
  <c r="AC44" i="4"/>
  <c r="AD44" i="4" s="1"/>
  <c r="AB44" i="4"/>
  <c r="AE44" i="4" s="1"/>
  <c r="AE47" i="4"/>
  <c r="AC52" i="4"/>
  <c r="AD52" i="4" s="1"/>
  <c r="AB52" i="4"/>
  <c r="AE55" i="4"/>
  <c r="AC60" i="4"/>
  <c r="AD60" i="4" s="1"/>
  <c r="AB60" i="4"/>
  <c r="AC68" i="4"/>
  <c r="AD68" i="4" s="1"/>
  <c r="AB68" i="4"/>
  <c r="AE68" i="4" s="1"/>
  <c r="AD33" i="5"/>
  <c r="AF32" i="5"/>
  <c r="AB32" i="5"/>
  <c r="AD31" i="5"/>
  <c r="AE33" i="5"/>
  <c r="AE32" i="5"/>
  <c r="AF31" i="5"/>
  <c r="AA31" i="5"/>
  <c r="AC30" i="5"/>
  <c r="AF29" i="5"/>
  <c r="AB29" i="5"/>
  <c r="AE28" i="5"/>
  <c r="AA28" i="5"/>
  <c r="AD27" i="5"/>
  <c r="AC26" i="5"/>
  <c r="AE25" i="5"/>
  <c r="AA25" i="5"/>
  <c r="AC24" i="5"/>
  <c r="AE23" i="5"/>
  <c r="AA23" i="5"/>
  <c r="AC22" i="5"/>
  <c r="AE21" i="5"/>
  <c r="AA21" i="5"/>
  <c r="AC20" i="5"/>
  <c r="AF19" i="5"/>
  <c r="AB19" i="5"/>
  <c r="AE18" i="5"/>
  <c r="AA18" i="5"/>
  <c r="AD17" i="5"/>
  <c r="AC16" i="5"/>
  <c r="AF15" i="5"/>
  <c r="AB15" i="5"/>
  <c r="AE14" i="5"/>
  <c r="AA14" i="5"/>
  <c r="AD13" i="5"/>
  <c r="AF12" i="5"/>
  <c r="AB12" i="5"/>
  <c r="AD11" i="5"/>
  <c r="AF10" i="5"/>
  <c r="AB10" i="5"/>
  <c r="AD9" i="5"/>
  <c r="AF8" i="5"/>
  <c r="AB8" i="5"/>
  <c r="AE7" i="5"/>
  <c r="AA7" i="5"/>
  <c r="AD6" i="5"/>
  <c r="AE5" i="5"/>
  <c r="AA5" i="5"/>
  <c r="AC4" i="5"/>
  <c r="AF3" i="5"/>
  <c r="AB3" i="5"/>
  <c r="AC33" i="5"/>
  <c r="AD32" i="5"/>
  <c r="AE31" i="5"/>
  <c r="AF30" i="5"/>
  <c r="AB30" i="5"/>
  <c r="AE29" i="5"/>
  <c r="AA29" i="5"/>
  <c r="AD28" i="5"/>
  <c r="AC27" i="5"/>
  <c r="AF26" i="5"/>
  <c r="AB26" i="5"/>
  <c r="AD25" i="5"/>
  <c r="AF24" i="5"/>
  <c r="AB24" i="5"/>
  <c r="AD23" i="5"/>
  <c r="AF22" i="5"/>
  <c r="AB22" i="5"/>
  <c r="AD21" i="5"/>
  <c r="AF20" i="5"/>
  <c r="AB20" i="5"/>
  <c r="AE19" i="5"/>
  <c r="AA19" i="5"/>
  <c r="AD18" i="5"/>
  <c r="AC17" i="5"/>
  <c r="AF16" i="5"/>
  <c r="AB16" i="5"/>
  <c r="AE15" i="5"/>
  <c r="AA15" i="5"/>
  <c r="AD14" i="5"/>
  <c r="AC13" i="5"/>
  <c r="AE12" i="5"/>
  <c r="AA12" i="5"/>
  <c r="AC11" i="5"/>
  <c r="AE10" i="5"/>
  <c r="AA10" i="5"/>
  <c r="AC9" i="5"/>
  <c r="AE8" i="5"/>
  <c r="AA8" i="5"/>
  <c r="AD7" i="5"/>
  <c r="AC6" i="5"/>
  <c r="AD5" i="5"/>
  <c r="AF4" i="5"/>
  <c r="AB4" i="5"/>
  <c r="AE3" i="5"/>
  <c r="AA3" i="5"/>
  <c r="AB33" i="5"/>
  <c r="AC32" i="5"/>
  <c r="AC31" i="5"/>
  <c r="AE30" i="5"/>
  <c r="AA30" i="5"/>
  <c r="AD29" i="5"/>
  <c r="AC28" i="5"/>
  <c r="AF27" i="5"/>
  <c r="AB27" i="5"/>
  <c r="AE26" i="5"/>
  <c r="AA26" i="5"/>
  <c r="AC25" i="5"/>
  <c r="AE24" i="5"/>
  <c r="AA24" i="5"/>
  <c r="AC23" i="5"/>
  <c r="AE22" i="5"/>
  <c r="AA22" i="5"/>
  <c r="AC21" i="5"/>
  <c r="AE20" i="5"/>
  <c r="AA20" i="5"/>
  <c r="AD19" i="5"/>
  <c r="AC18" i="5"/>
  <c r="AF17" i="5"/>
  <c r="AB17" i="5"/>
  <c r="AE16" i="5"/>
  <c r="AA16" i="5"/>
  <c r="AD15" i="5"/>
  <c r="AC14" i="5"/>
  <c r="AF13" i="5"/>
  <c r="AB13" i="5"/>
  <c r="AD12" i="5"/>
  <c r="AF11" i="5"/>
  <c r="AB11" i="5"/>
  <c r="AD10" i="5"/>
  <c r="AF9" i="5"/>
  <c r="AB9" i="5"/>
  <c r="AD8" i="5"/>
  <c r="AC7" i="5"/>
  <c r="AF6" i="5"/>
  <c r="AB6" i="5"/>
  <c r="AC5" i="5"/>
  <c r="AE4" i="5"/>
  <c r="AA4" i="5"/>
  <c r="AD3" i="5"/>
  <c r="AF33" i="5"/>
  <c r="AA33" i="5"/>
  <c r="AA32" i="5"/>
  <c r="AB31" i="5"/>
  <c r="AD30" i="5"/>
  <c r="AC29" i="5"/>
  <c r="AF28" i="5"/>
  <c r="AB28" i="5"/>
  <c r="AE27" i="5"/>
  <c r="AA27" i="5"/>
  <c r="AD26" i="5"/>
  <c r="AA6" i="5"/>
  <c r="AF7" i="5"/>
  <c r="AE9" i="5"/>
  <c r="AC12" i="5"/>
  <c r="AB14" i="5"/>
  <c r="C17" i="5"/>
  <c r="C18" i="5"/>
  <c r="C19" i="5"/>
  <c r="AX5" i="5" s="1"/>
  <c r="AX4" i="5"/>
  <c r="AB18" i="5"/>
  <c r="AD20" i="5"/>
  <c r="AB23" i="5"/>
  <c r="AF25" i="5"/>
  <c r="AE6" i="4"/>
  <c r="AE19" i="4"/>
  <c r="AE62" i="4"/>
  <c r="AE70" i="4"/>
  <c r="AC3" i="5"/>
  <c r="AB5" i="5"/>
  <c r="AE6" i="5"/>
  <c r="AC10" i="5"/>
  <c r="AA13" i="5"/>
  <c r="AF14" i="5"/>
  <c r="AD16" i="5"/>
  <c r="AF18" i="5"/>
  <c r="AB21" i="5"/>
  <c r="AF23" i="5"/>
  <c r="AM6" i="7"/>
  <c r="AN6" i="7" s="1"/>
  <c r="C29" i="4"/>
  <c r="AB31" i="4"/>
  <c r="AE31" i="4" s="1"/>
  <c r="AB35" i="4"/>
  <c r="AE35" i="4" s="1"/>
  <c r="AB39" i="4"/>
  <c r="AE39" i="4" s="1"/>
  <c r="AB41" i="4"/>
  <c r="AE41" i="4" s="1"/>
  <c r="AB45" i="4"/>
  <c r="AE45" i="4" s="1"/>
  <c r="AB49" i="4"/>
  <c r="AE49" i="4" s="1"/>
  <c r="AB53" i="4"/>
  <c r="AE53" i="4" s="1"/>
  <c r="AB57" i="4"/>
  <c r="AE57" i="4" s="1"/>
  <c r="AB61" i="4"/>
  <c r="AE61" i="4" s="1"/>
  <c r="AB65" i="4"/>
  <c r="AE65" i="4" s="1"/>
  <c r="AB69" i="4"/>
  <c r="AE69" i="4" s="1"/>
  <c r="AB73" i="4"/>
  <c r="AE73" i="4" s="1"/>
  <c r="AN11" i="7"/>
  <c r="AM11" i="7"/>
  <c r="CW5" i="6"/>
  <c r="AM5" i="7"/>
  <c r="AN5" i="7" s="1"/>
  <c r="AG10" i="7"/>
  <c r="AC10" i="7"/>
  <c r="AD10" i="7" s="1"/>
  <c r="C15" i="8"/>
  <c r="C14" i="6"/>
  <c r="AG4" i="7"/>
  <c r="AH4" i="7" s="1"/>
  <c r="AI4" i="7" s="1"/>
  <c r="AJ4" i="7" s="1"/>
  <c r="AC4" i="7"/>
  <c r="AD4" i="7" s="1"/>
  <c r="AE4" i="7" s="1"/>
  <c r="AF4" i="7" s="1"/>
  <c r="AG7" i="7"/>
  <c r="AC7" i="7"/>
  <c r="AN9" i="7"/>
  <c r="AH10" i="7"/>
  <c r="AI10" i="7" s="1"/>
  <c r="AJ10" i="7" s="1"/>
  <c r="C13" i="6"/>
  <c r="B18" i="6" s="1"/>
  <c r="AG3" i="7"/>
  <c r="AH3" i="7" s="1"/>
  <c r="AI3" i="7" s="1"/>
  <c r="AC3" i="7"/>
  <c r="AH7" i="7"/>
  <c r="AD7" i="7"/>
  <c r="AE7" i="7" s="1"/>
  <c r="AF7" i="7" s="1"/>
  <c r="AG8" i="7"/>
  <c r="AH8" i="7" s="1"/>
  <c r="AI8" i="7" s="1"/>
  <c r="AJ8" i="7" s="1"/>
  <c r="AC8" i="7"/>
  <c r="AD8" i="7" s="1"/>
  <c r="AE8" i="7" s="1"/>
  <c r="AF8" i="7" s="1"/>
  <c r="AM9" i="7"/>
  <c r="AD14" i="7"/>
  <c r="AE13" i="7" s="1"/>
  <c r="AF13" i="7" s="1"/>
  <c r="AN20" i="7"/>
  <c r="AM20" i="7"/>
  <c r="C37" i="7"/>
  <c r="C36" i="7"/>
  <c r="AM3" i="8"/>
  <c r="AL3" i="8"/>
  <c r="AD3" i="7"/>
  <c r="AE3" i="7" s="1"/>
  <c r="AH6" i="7"/>
  <c r="AI6" i="7" s="1"/>
  <c r="AJ6" i="7" s="1"/>
  <c r="AD6" i="7"/>
  <c r="AE5" i="7" s="1"/>
  <c r="AF5" i="7" s="1"/>
  <c r="AG12" i="7"/>
  <c r="AH12" i="7" s="1"/>
  <c r="AC12" i="7"/>
  <c r="AD12" i="7" s="1"/>
  <c r="AN13" i="7"/>
  <c r="AG14" i="7"/>
  <c r="AH14" i="7" s="1"/>
  <c r="AI13" i="7" s="1"/>
  <c r="AJ13" i="7" s="1"/>
  <c r="AN21" i="7"/>
  <c r="C38" i="7"/>
  <c r="AN4" i="9"/>
  <c r="AO3" i="9"/>
  <c r="C14" i="9"/>
  <c r="AM4" i="9"/>
  <c r="AN3" i="9"/>
  <c r="AB122" i="10"/>
  <c r="AB118" i="10"/>
  <c r="AB114" i="10"/>
  <c r="AB110" i="10"/>
  <c r="AB106" i="10"/>
  <c r="AB102" i="10"/>
  <c r="AB98" i="10"/>
  <c r="AB94" i="10"/>
  <c r="AB90" i="10"/>
  <c r="AB86" i="10"/>
  <c r="AB82" i="10"/>
  <c r="AB78" i="10"/>
  <c r="AB74" i="10"/>
  <c r="AB70" i="10"/>
  <c r="AB66" i="10"/>
  <c r="AB62" i="10"/>
  <c r="AB58" i="10"/>
  <c r="AB54" i="10"/>
  <c r="AB50" i="10"/>
  <c r="AB46" i="10"/>
  <c r="AB42" i="10"/>
  <c r="AB36" i="10"/>
  <c r="AB31" i="10"/>
  <c r="AB23" i="10"/>
  <c r="AB21" i="10"/>
  <c r="AB19" i="10"/>
  <c r="AB17" i="10"/>
  <c r="AB12" i="10"/>
  <c r="AB11" i="10"/>
  <c r="AB10" i="10"/>
  <c r="AB9" i="10"/>
  <c r="AB8" i="10"/>
  <c r="AB4" i="10"/>
  <c r="AB3" i="10"/>
  <c r="AB123" i="10"/>
  <c r="AB119" i="10"/>
  <c r="AB115" i="10"/>
  <c r="AB111" i="10"/>
  <c r="AB107" i="10"/>
  <c r="AB103" i="10"/>
  <c r="AB99" i="10"/>
  <c r="AB95" i="10"/>
  <c r="AB91" i="10"/>
  <c r="AB87" i="10"/>
  <c r="AB83" i="10"/>
  <c r="AB79" i="10"/>
  <c r="AB75" i="10"/>
  <c r="AB71" i="10"/>
  <c r="AB67" i="10"/>
  <c r="AB63" i="10"/>
  <c r="AB59" i="10"/>
  <c r="AB55" i="10"/>
  <c r="AB51" i="10"/>
  <c r="AB47" i="10"/>
  <c r="AB43" i="10"/>
  <c r="AB37" i="10"/>
  <c r="AB32" i="10"/>
  <c r="AB24" i="10"/>
  <c r="B29" i="10"/>
  <c r="C28" i="10"/>
  <c r="AK3" i="10" s="1"/>
  <c r="AL3" i="10"/>
  <c r="AB27" i="10"/>
  <c r="AB29" i="10"/>
  <c r="AB33" i="10"/>
  <c r="AB38" i="10"/>
  <c r="AB44" i="10"/>
  <c r="AB48" i="10"/>
  <c r="AB52" i="10"/>
  <c r="AB56" i="10"/>
  <c r="AB60" i="10"/>
  <c r="AB64" i="10"/>
  <c r="AB68" i="10"/>
  <c r="AB72" i="10"/>
  <c r="AB76" i="10"/>
  <c r="AB80" i="10"/>
  <c r="AB84" i="10"/>
  <c r="AB88" i="10"/>
  <c r="AB92" i="10"/>
  <c r="AB96" i="10"/>
  <c r="AB100" i="10"/>
  <c r="AB104" i="10"/>
  <c r="AB108" i="10"/>
  <c r="AB112" i="10"/>
  <c r="AB116" i="10"/>
  <c r="AB120" i="10"/>
  <c r="AP3" i="9"/>
  <c r="AC123" i="10"/>
  <c r="AC119" i="10"/>
  <c r="AC115" i="10"/>
  <c r="AC111" i="10"/>
  <c r="AC107" i="10"/>
  <c r="AC103" i="10"/>
  <c r="AC99" i="10"/>
  <c r="AC95" i="10"/>
  <c r="AC91" i="10"/>
  <c r="AC87" i="10"/>
  <c r="AC83" i="10"/>
  <c r="AC79" i="10"/>
  <c r="AC75" i="10"/>
  <c r="AC71" i="10"/>
  <c r="AC67" i="10"/>
  <c r="AC63" i="10"/>
  <c r="AC59" i="10"/>
  <c r="AC55" i="10"/>
  <c r="AC51" i="10"/>
  <c r="AC47" i="10"/>
  <c r="AC43" i="10"/>
  <c r="AC37" i="10"/>
  <c r="AC32" i="10"/>
  <c r="AC24" i="10"/>
  <c r="AC120" i="10"/>
  <c r="AC116" i="10"/>
  <c r="AC112" i="10"/>
  <c r="AC108" i="10"/>
  <c r="AC104" i="10"/>
  <c r="AC100" i="10"/>
  <c r="AC96" i="10"/>
  <c r="AC92" i="10"/>
  <c r="AC88" i="10"/>
  <c r="AC84" i="10"/>
  <c r="AC80" i="10"/>
  <c r="AC76" i="10"/>
  <c r="AC72" i="10"/>
  <c r="AC68" i="10"/>
  <c r="AC64" i="10"/>
  <c r="AC60" i="10"/>
  <c r="AC56" i="10"/>
  <c r="AC52" i="10"/>
  <c r="AC48" i="10"/>
  <c r="AC44" i="10"/>
  <c r="AC38" i="10"/>
  <c r="AC33" i="10"/>
  <c r="AC29" i="10"/>
  <c r="AC28" i="10"/>
  <c r="AC27" i="10"/>
  <c r="AC26" i="10"/>
  <c r="AC25" i="10"/>
  <c r="AC22" i="10"/>
  <c r="AC20" i="10"/>
  <c r="AC18" i="10"/>
  <c r="AC16" i="10"/>
  <c r="AC15" i="10"/>
  <c r="AC14" i="10"/>
  <c r="AC6" i="10"/>
  <c r="AC5" i="10"/>
  <c r="AB13" i="10"/>
  <c r="AB15" i="10"/>
  <c r="AC31" i="10"/>
  <c r="AC36" i="10"/>
  <c r="AC42" i="10"/>
  <c r="AC46" i="10"/>
  <c r="AC50" i="10"/>
  <c r="AC54" i="10"/>
  <c r="AC58" i="10"/>
  <c r="AC62" i="10"/>
  <c r="AC66" i="10"/>
  <c r="AC70" i="10"/>
  <c r="AC74" i="10"/>
  <c r="AC78" i="10"/>
  <c r="AC82" i="10"/>
  <c r="AC86" i="10"/>
  <c r="AC90" i="10"/>
  <c r="AC94" i="10"/>
  <c r="AC98" i="10"/>
  <c r="AC102" i="10"/>
  <c r="AC106" i="10"/>
  <c r="AC110" i="10"/>
  <c r="AC114" i="10"/>
  <c r="AC118" i="10"/>
  <c r="AC122" i="10"/>
  <c r="AL4" i="9"/>
  <c r="AB6" i="10"/>
  <c r="AC11" i="10"/>
  <c r="AC13" i="10"/>
  <c r="AB14" i="10"/>
  <c r="AB26" i="10"/>
  <c r="AB28" i="10"/>
  <c r="AB30" i="10"/>
  <c r="AB34" i="10"/>
  <c r="AB35" i="10"/>
  <c r="AB39" i="10"/>
  <c r="AB40" i="10"/>
  <c r="AB41" i="10"/>
  <c r="AB45" i="10"/>
  <c r="AB49" i="10"/>
  <c r="AB53" i="10"/>
  <c r="AB57" i="10"/>
  <c r="AB61" i="10"/>
  <c r="AB65" i="10"/>
  <c r="AB69" i="10"/>
  <c r="AB73" i="10"/>
  <c r="AB77" i="10"/>
  <c r="AB81" i="10"/>
  <c r="AB85" i="10"/>
  <c r="AB89" i="10"/>
  <c r="AB93" i="10"/>
  <c r="AB97" i="10"/>
  <c r="AB101" i="10"/>
  <c r="AB105" i="10"/>
  <c r="AB109" i="10"/>
  <c r="AB113" i="10"/>
  <c r="AB117" i="10"/>
  <c r="AB121" i="10"/>
  <c r="AI12" i="7" l="1"/>
  <c r="AJ12" i="7" s="1"/>
  <c r="AI11" i="7"/>
  <c r="AJ11" i="7" s="1"/>
  <c r="AJ3" i="7"/>
  <c r="AE12" i="7"/>
  <c r="AF12" i="7" s="1"/>
  <c r="AE11" i="7"/>
  <c r="AF11" i="7" s="1"/>
  <c r="AE10" i="7"/>
  <c r="AF10" i="7" s="1"/>
  <c r="AE9" i="7"/>
  <c r="AF9" i="7" s="1"/>
  <c r="AX3" i="5"/>
  <c r="AU1" i="5"/>
  <c r="B20" i="5"/>
  <c r="AE60" i="4"/>
  <c r="AE36" i="4"/>
  <c r="AO3" i="2"/>
  <c r="AP3" i="2" s="1"/>
  <c r="AS3" i="2" s="1"/>
  <c r="AT3" i="2" s="1"/>
  <c r="BL3" i="2"/>
  <c r="AM3" i="2"/>
  <c r="AN3" i="2" s="1"/>
  <c r="BJ3" i="2"/>
  <c r="AS12" i="2"/>
  <c r="AT12" i="2" s="1"/>
  <c r="AF3" i="7"/>
  <c r="AI9" i="7"/>
  <c r="AJ9" i="7" s="1"/>
  <c r="C18" i="3"/>
  <c r="AL3" i="3"/>
  <c r="B20" i="3"/>
  <c r="BA9" i="2"/>
  <c r="BA8" i="2"/>
  <c r="B31" i="5"/>
  <c r="AZ3" i="5"/>
  <c r="AE64" i="4"/>
  <c r="AQ9" i="2"/>
  <c r="AR9" i="2" s="1"/>
  <c r="AJ3" i="9"/>
  <c r="B16" i="9"/>
  <c r="AU3" i="9"/>
  <c r="B18" i="9"/>
  <c r="AI7" i="7"/>
  <c r="AJ7" i="7" s="1"/>
  <c r="DC6" i="6"/>
  <c r="CC2" i="6"/>
  <c r="CU5" i="6"/>
  <c r="CW4" i="6"/>
  <c r="CY5" i="6"/>
  <c r="CU4" i="6"/>
  <c r="CB2" i="6"/>
  <c r="CY4" i="6"/>
  <c r="DC5" i="6"/>
  <c r="CE2" i="6"/>
  <c r="CD2" i="6"/>
  <c r="C15" i="6"/>
  <c r="C16" i="6" s="1"/>
  <c r="B17" i="6" s="1"/>
  <c r="AI5" i="7"/>
  <c r="AJ5" i="7" s="1"/>
  <c r="BA3" i="2"/>
  <c r="BD3" i="2"/>
  <c r="AQ13" i="2"/>
  <c r="AR13" i="2" s="1"/>
  <c r="AS8" i="2"/>
  <c r="AT8" i="2" s="1"/>
  <c r="AS7" i="2"/>
  <c r="AT7" i="2" s="1"/>
  <c r="AO14" i="2"/>
  <c r="AP14" i="2" s="1"/>
  <c r="AS13" i="2" s="1"/>
  <c r="AT13" i="2" s="1"/>
  <c r="BL4" i="2"/>
  <c r="BA7" i="2"/>
  <c r="BA6" i="2"/>
  <c r="AS10" i="2"/>
  <c r="AT10" i="2" s="1"/>
  <c r="AE6" i="7"/>
  <c r="AF6" i="7" s="1"/>
  <c r="AA39" i="8"/>
  <c r="AA31" i="8"/>
  <c r="AA23" i="8"/>
  <c r="AA34" i="8"/>
  <c r="AB23" i="8"/>
  <c r="C16" i="8"/>
  <c r="AB33" i="8"/>
  <c r="AB22" i="8"/>
  <c r="AA30" i="8"/>
  <c r="AA32" i="8"/>
  <c r="AB26" i="8"/>
  <c r="AA1" i="8"/>
  <c r="AA35" i="8" s="1"/>
  <c r="AE52" i="4"/>
  <c r="C14" i="4" s="1"/>
  <c r="AE17" i="4"/>
  <c r="C15" i="4" s="1"/>
  <c r="AL4" i="3"/>
  <c r="B21" i="3"/>
  <c r="AE72" i="4"/>
  <c r="AE56" i="4"/>
  <c r="AE40" i="4"/>
  <c r="AQ12" i="2"/>
  <c r="AR12" i="2" s="1"/>
  <c r="AN4" i="2"/>
  <c r="AQ4" i="2" s="1"/>
  <c r="AR4" i="2" s="1"/>
  <c r="F44" i="2"/>
  <c r="G44" i="2"/>
  <c r="AQ5" i="2"/>
  <c r="AR5" i="2" s="1"/>
  <c r="AS6" i="2"/>
  <c r="AT6" i="2" s="1"/>
  <c r="C52" i="2"/>
  <c r="AQ8" i="2"/>
  <c r="AR8" i="2" s="1"/>
  <c r="C16" i="4" l="1"/>
  <c r="B18" i="4" s="1"/>
  <c r="AB37" i="8"/>
  <c r="AB32" i="8"/>
  <c r="AA36" i="8"/>
  <c r="AA26" i="8"/>
  <c r="AB36" i="8"/>
  <c r="AA25" i="8"/>
  <c r="AA33" i="8"/>
  <c r="C18" i="7"/>
  <c r="C14" i="7"/>
  <c r="AA22" i="8"/>
  <c r="AA24" i="8"/>
  <c r="AB29" i="8"/>
  <c r="AB24" i="8"/>
  <c r="AB35" i="8"/>
  <c r="AA28" i="8"/>
  <c r="AB38" i="8"/>
  <c r="AB28" i="8"/>
  <c r="AB39" i="8"/>
  <c r="AA27" i="8"/>
  <c r="CK40" i="6"/>
  <c r="CG40" i="6"/>
  <c r="CJ40" i="6"/>
  <c r="CF40" i="6"/>
  <c r="CH39" i="6"/>
  <c r="CJ38" i="6"/>
  <c r="CK39" i="6"/>
  <c r="CF39" i="6"/>
  <c r="CG38" i="6"/>
  <c r="CI37" i="6"/>
  <c r="CK36" i="6"/>
  <c r="CG36" i="6"/>
  <c r="CI35" i="6"/>
  <c r="CK34" i="6"/>
  <c r="CG34" i="6"/>
  <c r="CI33" i="6"/>
  <c r="CK32" i="6"/>
  <c r="CG32" i="6"/>
  <c r="CI31" i="6"/>
  <c r="CK30" i="6"/>
  <c r="CG30" i="6"/>
  <c r="CI29" i="6"/>
  <c r="CK28" i="6"/>
  <c r="CG28" i="6"/>
  <c r="CI27" i="6"/>
  <c r="CK26" i="6"/>
  <c r="CG26" i="6"/>
  <c r="CI25" i="6"/>
  <c r="CH24" i="6"/>
  <c r="CK23" i="6"/>
  <c r="CG23" i="6"/>
  <c r="CJ22" i="6"/>
  <c r="CF22" i="6"/>
  <c r="CI21" i="6"/>
  <c r="CK20" i="6"/>
  <c r="CG20" i="6"/>
  <c r="CI19" i="6"/>
  <c r="CK18" i="6"/>
  <c r="CG18" i="6"/>
  <c r="CJ17" i="6"/>
  <c r="CF17" i="6"/>
  <c r="CI16" i="6"/>
  <c r="CH15" i="6"/>
  <c r="CK14" i="6"/>
  <c r="CG14" i="6"/>
  <c r="CJ13" i="6"/>
  <c r="CF13" i="6"/>
  <c r="CI12" i="6"/>
  <c r="CH11" i="6"/>
  <c r="CK10" i="6"/>
  <c r="CG10" i="6"/>
  <c r="CK9" i="6"/>
  <c r="CG9" i="6"/>
  <c r="CI8" i="6"/>
  <c r="CJ39" i="6"/>
  <c r="CK38" i="6"/>
  <c r="CF38" i="6"/>
  <c r="CH37" i="6"/>
  <c r="CJ36" i="6"/>
  <c r="CF36" i="6"/>
  <c r="CH35" i="6"/>
  <c r="CJ34" i="6"/>
  <c r="CF34" i="6"/>
  <c r="CH33" i="6"/>
  <c r="CJ32" i="6"/>
  <c r="CF32" i="6"/>
  <c r="CH31" i="6"/>
  <c r="CJ30" i="6"/>
  <c r="CF30" i="6"/>
  <c r="CH29" i="6"/>
  <c r="CJ28" i="6"/>
  <c r="CF28" i="6"/>
  <c r="CH27" i="6"/>
  <c r="CJ26" i="6"/>
  <c r="CF26" i="6"/>
  <c r="CH25" i="6"/>
  <c r="CK24" i="6"/>
  <c r="CG24" i="6"/>
  <c r="CJ23" i="6"/>
  <c r="CF23" i="6"/>
  <c r="CI22" i="6"/>
  <c r="CH21" i="6"/>
  <c r="CJ20" i="6"/>
  <c r="CF20" i="6"/>
  <c r="CH19" i="6"/>
  <c r="CJ18" i="6"/>
  <c r="CF18" i="6"/>
  <c r="CI17" i="6"/>
  <c r="CH16" i="6"/>
  <c r="CK15" i="6"/>
  <c r="CG15" i="6"/>
  <c r="CJ14" i="6"/>
  <c r="CF14" i="6"/>
  <c r="CI13" i="6"/>
  <c r="CH12" i="6"/>
  <c r="CK11" i="6"/>
  <c r="CG11" i="6"/>
  <c r="CJ10" i="6"/>
  <c r="CF10" i="6"/>
  <c r="CJ9" i="6"/>
  <c r="CF9" i="6"/>
  <c r="CH8" i="6"/>
  <c r="CM7" i="6"/>
  <c r="CI7" i="6"/>
  <c r="CJ6" i="6"/>
  <c r="CF6" i="6"/>
  <c r="CR5" i="6"/>
  <c r="CJ5" i="6"/>
  <c r="CF5" i="6"/>
  <c r="CK4" i="6"/>
  <c r="CG4" i="6"/>
  <c r="CI40" i="6"/>
  <c r="CI39" i="6"/>
  <c r="CI38" i="6"/>
  <c r="CK37" i="6"/>
  <c r="CG37" i="6"/>
  <c r="CI36" i="6"/>
  <c r="CK35" i="6"/>
  <c r="CG35" i="6"/>
  <c r="CI34" i="6"/>
  <c r="CK33" i="6"/>
  <c r="CG33" i="6"/>
  <c r="CI32" i="6"/>
  <c r="CK31" i="6"/>
  <c r="CG31" i="6"/>
  <c r="CI30" i="6"/>
  <c r="CK29" i="6"/>
  <c r="CG29" i="6"/>
  <c r="CI28" i="6"/>
  <c r="CK27" i="6"/>
  <c r="CG27" i="6"/>
  <c r="CI26" i="6"/>
  <c r="CK25" i="6"/>
  <c r="CG25" i="6"/>
  <c r="CJ24" i="6"/>
  <c r="CF24" i="6"/>
  <c r="CI23" i="6"/>
  <c r="CH22" i="6"/>
  <c r="CK21" i="6"/>
  <c r="CG21" i="6"/>
  <c r="CI20" i="6"/>
  <c r="CK19" i="6"/>
  <c r="CG19" i="6"/>
  <c r="CI18" i="6"/>
  <c r="CH17" i="6"/>
  <c r="CK16" i="6"/>
  <c r="CG16" i="6"/>
  <c r="CJ15" i="6"/>
  <c r="CF15" i="6"/>
  <c r="CI14" i="6"/>
  <c r="CH13" i="6"/>
  <c r="CK12" i="6"/>
  <c r="CG12" i="6"/>
  <c r="CJ11" i="6"/>
  <c r="CF11" i="6"/>
  <c r="CI10" i="6"/>
  <c r="CM9" i="6"/>
  <c r="CI9" i="6"/>
  <c r="CK8" i="6"/>
  <c r="CG8" i="6"/>
  <c r="CL7" i="6"/>
  <c r="CH7" i="6"/>
  <c r="CS6" i="6"/>
  <c r="CI6" i="6"/>
  <c r="CM5" i="6"/>
  <c r="CI5" i="6"/>
  <c r="CJ37" i="6"/>
  <c r="CF35" i="6"/>
  <c r="CH32" i="6"/>
  <c r="CJ29" i="6"/>
  <c r="CF27" i="6"/>
  <c r="CJ21" i="6"/>
  <c r="CF19" i="6"/>
  <c r="CJ16" i="6"/>
  <c r="CH14" i="6"/>
  <c r="CF12" i="6"/>
  <c r="CL9" i="6"/>
  <c r="CF7" i="6"/>
  <c r="CG6" i="6"/>
  <c r="CH5" i="6"/>
  <c r="CR4" i="6"/>
  <c r="CJ4" i="6"/>
  <c r="CH40" i="6"/>
  <c r="CF37" i="6"/>
  <c r="CH34" i="6"/>
  <c r="CJ31" i="6"/>
  <c r="CF29" i="6"/>
  <c r="CH26" i="6"/>
  <c r="CI24" i="6"/>
  <c r="CK22" i="6"/>
  <c r="CF21" i="6"/>
  <c r="CH18" i="6"/>
  <c r="CF16" i="6"/>
  <c r="CK13" i="6"/>
  <c r="CI11" i="6"/>
  <c r="CH9" i="6"/>
  <c r="CK7" i="6"/>
  <c r="CR6" i="6"/>
  <c r="CS5" i="6"/>
  <c r="CG5" i="6"/>
  <c r="CI4" i="6"/>
  <c r="CG39" i="6"/>
  <c r="CH36" i="6"/>
  <c r="CJ33" i="6"/>
  <c r="CF31" i="6"/>
  <c r="CH28" i="6"/>
  <c r="CJ25" i="6"/>
  <c r="CG22" i="6"/>
  <c r="CH20" i="6"/>
  <c r="CK17" i="6"/>
  <c r="CI15" i="6"/>
  <c r="CG13" i="6"/>
  <c r="CJ8" i="6"/>
  <c r="CJ7" i="6"/>
  <c r="CK6" i="6"/>
  <c r="CL5" i="6"/>
  <c r="CH4" i="6"/>
  <c r="CH38" i="6"/>
  <c r="CJ35" i="6"/>
  <c r="CF33" i="6"/>
  <c r="CH30" i="6"/>
  <c r="CJ27" i="6"/>
  <c r="CF25" i="6"/>
  <c r="CH23" i="6"/>
  <c r="CJ19" i="6"/>
  <c r="CG17" i="6"/>
  <c r="CJ12" i="6"/>
  <c r="CH10" i="6"/>
  <c r="CF8" i="6"/>
  <c r="CG7" i="6"/>
  <c r="CH6" i="6"/>
  <c r="CK5" i="6"/>
  <c r="CS4" i="6"/>
  <c r="CF4" i="6"/>
  <c r="CO4" i="6"/>
  <c r="CN4" i="6"/>
  <c r="AQ3" i="2"/>
  <c r="AA12" i="8"/>
  <c r="AA8" i="8"/>
  <c r="AA17" i="8"/>
  <c r="AB9" i="8"/>
  <c r="AA3" i="8"/>
  <c r="AA14" i="8"/>
  <c r="AA5" i="8"/>
  <c r="AA19" i="8"/>
  <c r="AB17" i="8"/>
  <c r="AA20" i="8"/>
  <c r="AB3" i="8"/>
  <c r="AA41" i="8"/>
  <c r="AB14" i="8"/>
  <c r="AB7" i="8"/>
  <c r="AB19" i="8"/>
  <c r="AA11" i="8"/>
  <c r="AB16" i="8"/>
  <c r="AB13" i="8"/>
  <c r="AA16" i="8"/>
  <c r="AB12" i="8"/>
  <c r="AA21" i="8"/>
  <c r="AA13" i="8"/>
  <c r="AB5" i="8"/>
  <c r="AA18" i="8"/>
  <c r="AA9" i="8"/>
  <c r="AB41" i="8"/>
  <c r="AA15" i="8"/>
  <c r="AB10" i="8"/>
  <c r="AA10" i="8"/>
  <c r="AB8" i="8"/>
  <c r="AB18" i="8"/>
  <c r="AB11" i="8"/>
  <c r="AA4" i="8"/>
  <c r="AB15" i="8"/>
  <c r="AA7" i="8"/>
  <c r="AB20" i="8"/>
  <c r="AB21" i="8"/>
  <c r="AB6" i="8"/>
  <c r="AA6" i="8"/>
  <c r="AB4" i="8"/>
  <c r="AB25" i="8"/>
  <c r="BT2" i="2"/>
  <c r="BV2" i="2"/>
  <c r="BS2" i="2"/>
  <c r="BS1" i="2"/>
  <c r="C53" i="2"/>
  <c r="AB34" i="8"/>
  <c r="AA40" i="8"/>
  <c r="AB27" i="8"/>
  <c r="AA38" i="8"/>
  <c r="AB30" i="8"/>
  <c r="C20" i="8"/>
  <c r="AQ3" i="8" s="1"/>
  <c r="B21" i="8"/>
  <c r="AN3" i="8"/>
  <c r="AN4" i="8"/>
  <c r="AI1" i="8"/>
  <c r="AB31" i="8"/>
  <c r="AB40" i="8"/>
  <c r="AA29" i="8"/>
  <c r="AA37" i="8"/>
  <c r="CQ4" i="6"/>
  <c r="CP4" i="6"/>
  <c r="C54" i="2" l="1"/>
  <c r="C55" i="2" s="1"/>
  <c r="BP3" i="2"/>
  <c r="BU37" i="2"/>
  <c r="BV36" i="2"/>
  <c r="BU33" i="2"/>
  <c r="BV32" i="2"/>
  <c r="BU29" i="2"/>
  <c r="BV28" i="2"/>
  <c r="BU24" i="2"/>
  <c r="BU22" i="2"/>
  <c r="BV40" i="2"/>
  <c r="BV39" i="2"/>
  <c r="BU36" i="2"/>
  <c r="BV35" i="2"/>
  <c r="BU32" i="2"/>
  <c r="BV31" i="2"/>
  <c r="BU28" i="2"/>
  <c r="BV27" i="2"/>
  <c r="BV26" i="2"/>
  <c r="BV25" i="2"/>
  <c r="BV23" i="2"/>
  <c r="BV21" i="2"/>
  <c r="BV19" i="2"/>
  <c r="BV17" i="2"/>
  <c r="BV15" i="2"/>
  <c r="BV13" i="2"/>
  <c r="BU40" i="2"/>
  <c r="BU39" i="2"/>
  <c r="BV38" i="2"/>
  <c r="BV37" i="2"/>
  <c r="BV33" i="2"/>
  <c r="BV29" i="2"/>
  <c r="BU26" i="2"/>
  <c r="BV22" i="2"/>
  <c r="BU21" i="2"/>
  <c r="BU20" i="2"/>
  <c r="BU19" i="2"/>
  <c r="BV18" i="2"/>
  <c r="BU12" i="2"/>
  <c r="BU10" i="2"/>
  <c r="BV9" i="2"/>
  <c r="BV5" i="2"/>
  <c r="BU14" i="2"/>
  <c r="BV34" i="2"/>
  <c r="BV30" i="2"/>
  <c r="BV24" i="2"/>
  <c r="BU23" i="2"/>
  <c r="BU18" i="2"/>
  <c r="BU17" i="2"/>
  <c r="BV16" i="2"/>
  <c r="BV11" i="2"/>
  <c r="BZ9" i="2"/>
  <c r="BU9" i="2"/>
  <c r="BV8" i="2"/>
  <c r="BZ7" i="2"/>
  <c r="BV7" i="2"/>
  <c r="BV6" i="2"/>
  <c r="BZ5" i="2"/>
  <c r="BV4" i="2"/>
  <c r="BV10" i="2"/>
  <c r="BU38" i="2"/>
  <c r="BU35" i="2"/>
  <c r="BU34" i="2"/>
  <c r="BU31" i="2"/>
  <c r="BU30" i="2"/>
  <c r="BU27" i="2"/>
  <c r="BU25" i="2"/>
  <c r="BU16" i="2"/>
  <c r="BU15" i="2"/>
  <c r="BV14" i="2"/>
  <c r="BU11" i="2"/>
  <c r="BY9" i="2"/>
  <c r="BU8" i="2"/>
  <c r="BY7" i="2"/>
  <c r="BU7" i="2"/>
  <c r="BU6" i="2"/>
  <c r="BY5" i="2"/>
  <c r="BU5" i="2"/>
  <c r="BU4" i="2"/>
  <c r="BV20" i="2"/>
  <c r="BU13" i="2"/>
  <c r="BV12" i="2"/>
  <c r="AV3" i="7"/>
  <c r="C15" i="7"/>
  <c r="C16" i="7"/>
  <c r="BS40" i="2"/>
  <c r="BS39" i="2"/>
  <c r="BT38" i="2"/>
  <c r="BS35" i="2"/>
  <c r="BT34" i="2"/>
  <c r="BS31" i="2"/>
  <c r="BT30" i="2"/>
  <c r="BS27" i="2"/>
  <c r="BS26" i="2"/>
  <c r="BS25" i="2"/>
  <c r="BS23" i="2"/>
  <c r="BS21" i="2"/>
  <c r="BS38" i="2"/>
  <c r="BT37" i="2"/>
  <c r="BS34" i="2"/>
  <c r="BT33" i="2"/>
  <c r="BS30" i="2"/>
  <c r="BT29" i="2"/>
  <c r="BT24" i="2"/>
  <c r="BT22" i="2"/>
  <c r="BT20" i="2"/>
  <c r="BT18" i="2"/>
  <c r="BT16" i="2"/>
  <c r="BT14" i="2"/>
  <c r="BT12" i="2"/>
  <c r="BT11" i="2"/>
  <c r="BT10" i="2"/>
  <c r="BX9" i="2"/>
  <c r="BT9" i="2"/>
  <c r="BT39" i="2"/>
  <c r="BS36" i="2"/>
  <c r="BS32" i="2"/>
  <c r="BS28" i="2"/>
  <c r="BS15" i="2"/>
  <c r="BS14" i="2"/>
  <c r="BT13" i="2"/>
  <c r="BS8" i="2"/>
  <c r="BW7" i="2"/>
  <c r="BS7" i="2"/>
  <c r="BS6" i="2"/>
  <c r="BW5" i="2"/>
  <c r="BS5" i="2"/>
  <c r="BS4" i="2"/>
  <c r="BT36" i="2"/>
  <c r="BT31" i="2"/>
  <c r="BT28" i="2"/>
  <c r="BS17" i="2"/>
  <c r="BT8" i="2"/>
  <c r="BX7" i="2"/>
  <c r="BT6" i="2"/>
  <c r="BT5" i="2"/>
  <c r="BT4" i="2"/>
  <c r="BS37" i="2"/>
  <c r="BS33" i="2"/>
  <c r="BS29" i="2"/>
  <c r="BT26" i="2"/>
  <c r="BS22" i="2"/>
  <c r="BT21" i="2"/>
  <c r="BS20" i="2"/>
  <c r="BT19" i="2"/>
  <c r="BS13" i="2"/>
  <c r="BS12" i="2"/>
  <c r="BS10" i="2"/>
  <c r="BT32" i="2"/>
  <c r="BT27" i="2"/>
  <c r="BS16" i="2"/>
  <c r="BS24" i="2"/>
  <c r="BT23" i="2"/>
  <c r="BS19" i="2"/>
  <c r="BS18" i="2"/>
  <c r="BT17" i="2"/>
  <c r="BS9" i="2"/>
  <c r="BT35" i="2"/>
  <c r="BS11" i="2"/>
  <c r="BW9" i="2"/>
  <c r="BT7" i="2"/>
  <c r="BT40" i="2"/>
  <c r="BT25" i="2"/>
  <c r="BT15" i="2"/>
  <c r="BX5" i="2"/>
  <c r="C58" i="2"/>
  <c r="AR3" i="2"/>
  <c r="AU3" i="7"/>
  <c r="AT3" i="7"/>
  <c r="C17" i="7" l="1"/>
  <c r="AW3" i="7"/>
  <c r="C57" i="2"/>
  <c r="B60" i="2"/>
  <c r="BR3" i="2"/>
</calcChain>
</file>

<file path=xl/sharedStrings.xml><?xml version="1.0" encoding="utf-8"?>
<sst xmlns="http://schemas.openxmlformats.org/spreadsheetml/2006/main" count="621" uniqueCount="456">
  <si>
    <t>Simuladores del tren de fuerza motriz — Mecánica de Patio III</t>
  </si>
  <si>
    <t>Instituto Superior Tecnológico Sudamericano · Tecnología Superior en Mecánica Automotriz · Periodo octubre 2026 – febrero 2027 · Docente: Ing. Miguel Ángel Minga González</t>
  </si>
  <si>
    <t>Cómo usar el libro</t>
  </si>
  <si>
    <t>Paso 1</t>
  </si>
  <si>
    <t>Abra el archivo en Microsoft Excel (o en LibreOffice Calc). No usa macros: no necesita habilitar contenido. Si se abre en «Vista protegida», pulse «Habilitar edición».</t>
  </si>
  <si>
    <t>Paso 2</t>
  </si>
  <si>
    <t>Cambie los datos en las celdas AMARILLAS (escriba el valor y pulse Enter). Al seleccionar una celda aparece el rango de valores admitido.</t>
  </si>
  <si>
    <t>Paso 3</t>
  </si>
  <si>
    <t>Los resultados aparecen en las celdas VERDES y los esquemas y gráficos se redibujan al instante.</t>
  </si>
  <si>
    <t>Paso 4</t>
  </si>
  <si>
    <t>Para estudiar un caso, cambie un solo dato cada vez y compare el esquema antes y después. Los valores iniciales son los de los ejemplos de la guía: anótelos para volver a ellos.</t>
  </si>
  <si>
    <t>Paso 5</t>
  </si>
  <si>
    <t>Cada hoja termina con preguntas de análisis: resuelva primero el ejemplo a mano y compruebe su respuesta con el simulador.</t>
  </si>
  <si>
    <t>Paso 6</t>
  </si>
  <si>
    <t>Las hojas están protegidas sin contraseña para no borrar fórmulas por accidente (Revisar → Desproteger hoja si necesita modificarlas).</t>
  </si>
  <si>
    <t>Celda de dato</t>
  </si>
  <si>
    <t>Escriba aquí el valor</t>
  </si>
  <si>
    <t>Esquema</t>
  </si>
  <si>
    <t>Gráficos y diagramas que se redibujan con cada dato</t>
  </si>
  <si>
    <t>Resultado</t>
  </si>
  <si>
    <t>Calculado con las ecuaciones de la guía</t>
  </si>
  <si>
    <t>Índice de simuladores</t>
  </si>
  <si>
    <t>Hoja</t>
  </si>
  <si>
    <t>Qué simula</t>
  </si>
  <si>
    <t>Ejemplos de la guía</t>
  </si>
  <si>
    <t>U1 Caja de cambios</t>
  </si>
  <si>
    <t>Unidad 1 · Escalonamiento de la caja: diagrama de sierra, fuerza de tracción frente a resistencias al avance, velocidad máxima, pendiente superable y par de engranajes de la marcha engranada.</t>
  </si>
  <si>
    <t>Ej. 1.1 a 1.4</t>
  </si>
  <si>
    <t>U1 Embrague</t>
  </si>
  <si>
    <t>Unidad 1 · Par transmisible del embrague, efecto del desgaste del forro (diafragma frente a muelles helicoidales) y mando hidráulico al pisar el pedal.</t>
  </si>
  <si>
    <t>Ej. 1.5 y 1.6</t>
  </si>
  <si>
    <t>U2 Junta cardán</t>
  </si>
  <si>
    <t>Unidad 2 · Irregularidad de la junta cardán simple y compensación con doble junta (ángulos y fase de horquillas); velocidad crítica del árbol.</t>
  </si>
  <si>
    <t>Ej. 2.1</t>
  </si>
  <si>
    <t>U2 Diferencial</t>
  </si>
  <si>
    <t>Unidad 2 · Grupo reductor, velocidad de las ruedas en curva (vista superior) y reparto de tracción con diferencial abierto, autoblocante o bloqueado.</t>
  </si>
  <si>
    <t>Ej. 2.2 y 2.3</t>
  </si>
  <si>
    <t>U3 Tren epicicloidal</t>
  </si>
  <si>
    <t>Unidad 3 · Tren epicicloidal simple con vista frontal y nomograma de palanca (ecuación de Willis); relaciones de una caja Simpson.</t>
  </si>
  <si>
    <t>Ej. 3.2 y 3.3</t>
  </si>
  <si>
    <t>U3 Convertidor</t>
  </si>
  <si>
    <t>Unidad 3 · Curva característica del convertidor (multiplicación de par y rendimiento), régimen de calado y punto de acoplamiento; principio de Pascal.</t>
  </si>
  <si>
    <t>Ej. 3.1 y 3.4</t>
  </si>
  <si>
    <t>U4 CVT</t>
  </si>
  <si>
    <t>Unidad 4 · Variador continuo: radios de las poleas, correa, relación de transmisión y velocidad del vehículo a régimen constante.</t>
  </si>
  <si>
    <t>Ej. 4.4</t>
  </si>
  <si>
    <t>U4 Híbrido</t>
  </si>
  <si>
    <t>Unidad 4 · Tren de reparto de potencia (e-CVT): nomograma de MG1, motor térmico y MG2; modo eléctrico y límites de MG1.</t>
  </si>
  <si>
    <t>Ej. 4.3</t>
  </si>
  <si>
    <t>U4 Sensores y PWM</t>
  </si>
  <si>
    <t>Unidad 4 · Señal de los sensores de velocidad, patinamiento, sensor NTC de temperatura del ATF con fallas simuladas (P0712/P0713) y electroválvulas PWM.</t>
  </si>
  <si>
    <t>Ej. 4.1 y 4.2</t>
  </si>
  <si>
    <t>Nota técnica: los modelos son didácticos. Usan las ecuaciones de la guía de la asignatura (Domínguez y Ferrer, 2018; Águeda Casado et al., 2012) y valores típicos de vehículos de turismo. Los resultados sirven para comprender tendencias y comprobar ejercicios; para diagnosticar y reparar, use siempre los datos del fabricante.</t>
  </si>
  <si>
    <t>U1 · Escalonamiento de la caja de cambios</t>
  </si>
  <si>
    <t>Relaciona la curva del motor con la velocidad del vehículo en cada marcha (diagrama de sierra) y compara la fuerza de tracción con las resistencias al avance. Unidad 1: par y potencia, sistemas de transmisión, cálculo de una caja de cambios.</t>
  </si>
  <si>
    <t>◄ Volver al inicio</t>
  </si>
  <si>
    <t>Datos de cálculo para los gráficos (no editar)</t>
  </si>
  <si>
    <t>Datos del vehículo</t>
  </si>
  <si>
    <t>Masa del vehículo, m</t>
  </si>
  <si>
    <t>kg</t>
  </si>
  <si>
    <t>Radio dinámico de la rueda, r</t>
  </si>
  <si>
    <t>m</t>
  </si>
  <si>
    <t>Rendimiento de la transmisión, η</t>
  </si>
  <si>
    <t>Coeficiente de rodadura, Cr</t>
  </si>
  <si>
    <t>Coeficiente aerodinámico, Cx</t>
  </si>
  <si>
    <t>Área frontal, A</t>
  </si>
  <si>
    <t>m²</t>
  </si>
  <si>
    <t>Densidad del aire, ρ</t>
  </si>
  <si>
    <t>kg/m³</t>
  </si>
  <si>
    <t>Pendiente de la vía</t>
  </si>
  <si>
    <t>%</t>
  </si>
  <si>
    <t>Transmisión</t>
  </si>
  <si>
    <t>Relación del grupo reductor, i_d</t>
  </si>
  <si>
    <t>Relación de 1ª marcha, i1</t>
  </si>
  <si>
    <t>Relación de 2ª marcha, i2</t>
  </si>
  <si>
    <t>Relación de 3ª marcha, i3</t>
  </si>
  <si>
    <t>Relación de 4ª marcha, i4</t>
  </si>
  <si>
    <t>Relación de 5ª marcha, i5</t>
  </si>
  <si>
    <t>Régimen de cambio de marcha, n_c</t>
  </si>
  <si>
    <t>min⁻¹</t>
  </si>
  <si>
    <t>Coeficiente de adherencia, μ</t>
  </si>
  <si>
    <t>Peso sobre el eje motriz</t>
  </si>
  <si>
    <t>Punto de estudio</t>
  </si>
  <si>
    <t>Posición en la aceleración (0 = parado; 100 = v a n_c en 5ª)</t>
  </si>
  <si>
    <t>Curva del motor a plena carga (edite el par)</t>
  </si>
  <si>
    <t>Régimen n [min⁻¹]</t>
  </si>
  <si>
    <t>Par T [N·m]</t>
  </si>
  <si>
    <t>Potencia P [kW]</t>
  </si>
  <si>
    <t>Resultados por marcha</t>
  </si>
  <si>
    <t>Marcha</t>
  </si>
  <si>
    <t>i total</t>
  </si>
  <si>
    <t>v a n_c [km/h]</t>
  </si>
  <si>
    <t>F máx [N]</t>
  </si>
  <si>
    <t>Pend. máx [%]</t>
  </si>
  <si>
    <t>Límite</t>
  </si>
  <si>
    <t>1ª</t>
  </si>
  <si>
    <t>2ª</t>
  </si>
  <si>
    <t>3ª</t>
  </si>
  <si>
    <t>4ª</t>
  </si>
  <si>
    <t>5ª</t>
  </si>
  <si>
    <t>n</t>
  </si>
  <si>
    <t>T</t>
  </si>
  <si>
    <t>v1</t>
  </si>
  <si>
    <t>F1</t>
  </si>
  <si>
    <t>v2</t>
  </si>
  <si>
    <t>F2</t>
  </si>
  <si>
    <t>v3</t>
  </si>
  <si>
    <t>F3</t>
  </si>
  <si>
    <t>v4</t>
  </si>
  <si>
    <t>F4</t>
  </si>
  <si>
    <t>v5</t>
  </si>
  <si>
    <t>F5</t>
  </si>
  <si>
    <t>Fres v4</t>
  </si>
  <si>
    <t>exc4</t>
  </si>
  <si>
    <t>Fres v5</t>
  </si>
  <si>
    <t>exc5</t>
  </si>
  <si>
    <t>flag4</t>
  </si>
  <si>
    <t>vx4</t>
  </si>
  <si>
    <t>flag5</t>
  </si>
  <si>
    <t>vx5</t>
  </si>
  <si>
    <t>v</t>
  </si>
  <si>
    <t>F resist.</t>
  </si>
  <si>
    <t>F adher.</t>
  </si>
  <si>
    <t>v sierra</t>
  </si>
  <si>
    <t>n sierra</t>
  </si>
  <si>
    <t>Punto de funcionamiento estudiado</t>
  </si>
  <si>
    <t>Velocidad del vehículo</t>
  </si>
  <si>
    <t>km/h</t>
  </si>
  <si>
    <t>Marcha engranada</t>
  </si>
  <si>
    <t>ª</t>
  </si>
  <si>
    <t>Régimen del motor</t>
  </si>
  <si>
    <t>Par del motor</t>
  </si>
  <si>
    <t>N·m</t>
  </si>
  <si>
    <t>Fuerza de tracción en las ruedas</t>
  </si>
  <si>
    <t>N</t>
  </si>
  <si>
    <t>Resistencia al avance</t>
  </si>
  <si>
    <t>Aceleración disponible (masas rotativas ≈ 10 %)</t>
  </si>
  <si>
    <t>m/s²</t>
  </si>
  <si>
    <t>Velocidad máxima teórica</t>
  </si>
  <si>
    <t>Fuerza límite por adherencia</t>
  </si>
  <si>
    <t>Cambie la posición en la aceleración (celda C24): el punto rojo recorre el diagrama de sierra y el par de engranajes muestra la marcha engranada en ese instante.</t>
  </si>
  <si>
    <t>Preguntas de análisis</t>
  </si>
  <si>
    <t>1. Con los datos del ejemplo, ¿a qué velocidad se cambia de 2ª a 3ª y a qué régimen cae el motor? Compruébelo en el diagrama de sierra.</t>
  </si>
  <si>
    <t>2. Aumente la pendiente al 20 %. ¿En qué marchas todavía existe reserva de fuerza? ¿Qué marcha elegiría para subir?</t>
  </si>
  <si>
    <t>3. Alargue la 5ª marcha (i5 = 0,70). ¿Aumenta o disminuye la velocidad máxima? Explique por qué con el cruce de las curvas.</t>
  </si>
  <si>
    <t>4. Reduzca el coeficiente de adherencia a 0,3 (calzada mojada o con hielo). ¿Qué marchas quedan limitadas por adherencia y qué significa en la conducción?</t>
  </si>
  <si>
    <t>U1 · Embrague monodisco y mando hidráulico</t>
  </si>
  <si>
    <t>Par que transmite el embrague, efecto del desgaste de los forros según el tipo de muelle (diafragma o helicoidales) y multiplicación de fuerza del mando hidráulico. Unidad 1: el embrague, principio de funcionamiento y comprobaciones.</t>
  </si>
  <si>
    <t>Embrague monodisco (Ejemplo 1.5)</t>
  </si>
  <si>
    <t>Fuerza de apriete con forros nuevos, F</t>
  </si>
  <si>
    <t>Coeficiente de rozamiento, μ</t>
  </si>
  <si>
    <t>Radio exterior del forro, R</t>
  </si>
  <si>
    <t>Radio interior del forro, r</t>
  </si>
  <si>
    <t>Número de caras de fricción, z</t>
  </si>
  <si>
    <t>Par máximo del motor (hoja U1 Caja de cambios)</t>
  </si>
  <si>
    <t>Factor de seguridad requerido</t>
  </si>
  <si>
    <t>Desgaste del forro</t>
  </si>
  <si>
    <t>mm</t>
  </si>
  <si>
    <t>Resultados</t>
  </si>
  <si>
    <t>Radio medio, rm = (R + r)/2</t>
  </si>
  <si>
    <t>Par transmisible con forros nuevos, T = μ·F·rm·z</t>
  </si>
  <si>
    <t>Par con desgaste — muelle de diafragma</t>
  </si>
  <si>
    <t>Par con desgaste — muelles helicoidales</t>
  </si>
  <si>
    <t>Factor de seguridad actual (diafragma)</t>
  </si>
  <si>
    <t>Par máximo de motor admisible (forro nuevo)</t>
  </si>
  <si>
    <t>Mando hidráulico (Ejemplo 1.6)</t>
  </si>
  <si>
    <t>Fuerza del pie sobre el pedal</t>
  </si>
  <si>
    <t>Relación de palanca del pedal</t>
  </si>
  <si>
    <t>: 1</t>
  </si>
  <si>
    <t>Diámetro del pistón de la bomba</t>
  </si>
  <si>
    <t>Diámetro del pistón del bombín</t>
  </si>
  <si>
    <t>Carrera del pistón de la bomba</t>
  </si>
  <si>
    <t>Recorrido del pedal</t>
  </si>
  <si>
    <t>Resultados del mando</t>
  </si>
  <si>
    <t>Fuerza en la bomba = F_pie × relación</t>
  </si>
  <si>
    <t>Presión en el circuito</t>
  </si>
  <si>
    <t>bar</t>
  </si>
  <si>
    <t>Fuerza en el bombín</t>
  </si>
  <si>
    <t>Carrera total del bombín</t>
  </si>
  <si>
    <t>Desplazamiento actual de la bomba</t>
  </si>
  <si>
    <t>Desplazamiento actual del bombín</t>
  </si>
  <si>
    <t>desgaste</t>
  </si>
  <si>
    <t>F diafr.</t>
  </si>
  <si>
    <t>F helic.</t>
  </si>
  <si>
    <t>T diafr.</t>
  </si>
  <si>
    <t>T helic.</t>
  </si>
  <si>
    <t>T motor·FS</t>
  </si>
  <si>
    <t>T motor</t>
  </si>
  <si>
    <t>El pistón de la bomba (azul) es más pequeño que el del bombín (naranja): la fuerza crece en la relación de áreas y la carrera disminuye en la misma proporción.</t>
  </si>
  <si>
    <t>1. Con los datos del Ejemplo 1.5, ¿cuál es el par transmisible y el par máximo de motor admisible con FS = 1,2? Compare con el resultado hecho a mano.</t>
  </si>
  <si>
    <t>2. Aumente el desgaste de 0,5 en 0,5 mm. ¿A partir de cuántos milímetros patina el embrague de muelles helicoidales? ¿Y el de diafragma? Explique la diferencia con la curva de fuerza.</t>
  </si>
  <si>
    <t>3. Un forro contaminado con aceite baja μ a 0,20. ¿Qué ocurre con el par transmisible y con la seguridad? ¿Qué síntoma notaría el conductor?</t>
  </si>
  <si>
    <t>4. Si se cambia el bombín por uno de 22 mm, ¿qué pasa con la fuerza y con la carrera en la horquilla? ¿Por qué el pedal no se vuelve más duro?</t>
  </si>
  <si>
    <t>U2 · Junta cardán y árbol de transmisión</t>
  </si>
  <si>
    <t>Irregularidad de giro de la junta cardán simple, compensación con dos juntas (ángulos iguales y horquillas en fase) y velocidad crítica del árbol. Unidad 2: árbol de transmisión y palieres, juntas homocinéticas.</t>
  </si>
  <si>
    <t>Junta cardán (Ejemplo 2.1)</t>
  </si>
  <si>
    <t>Régimen del árbol de entrada, n₁</t>
  </si>
  <si>
    <t>Ángulo de la primera junta, β₁</t>
  </si>
  <si>
    <t>°</t>
  </si>
  <si>
    <t>Ángulo de la segunda junta, β₂</t>
  </si>
  <si>
    <t>Desfase de las horquillas del árbol, φ</t>
  </si>
  <si>
    <t>Ángulo de giro del árbol de entrada, θ</t>
  </si>
  <si>
    <t>Régimen máximo del eje intermedio = n₁ / cos β₁</t>
  </si>
  <si>
    <t>Régimen mínimo del eje intermedio = n₁ · cos β₁</t>
  </si>
  <si>
    <t>Irregularidad con una junta</t>
  </si>
  <si>
    <t>Régimen máximo de salida (dos juntas)</t>
  </si>
  <si>
    <t>Régimen mínimo de salida (dos juntas)</t>
  </si>
  <si>
    <t>Irregularidad con dos juntas</t>
  </si>
  <si>
    <t>Régimen instantáneo del eje intermedio</t>
  </si>
  <si>
    <t>Velocidad crítica del árbol tubular</t>
  </si>
  <si>
    <t>Longitud entre apoyos, L</t>
  </si>
  <si>
    <t>Diámetro exterior, D</t>
  </si>
  <si>
    <t>Espesor de pared, e</t>
  </si>
  <si>
    <t>Módulo de elasticidad, E</t>
  </si>
  <si>
    <t>MPa</t>
  </si>
  <si>
    <t>Densidad del material, ρ</t>
  </si>
  <si>
    <t>Régimen máximo del árbol en servicio</t>
  </si>
  <si>
    <t>Momento de inercia de la sección, I</t>
  </si>
  <si>
    <t>cm⁴</t>
  </si>
  <si>
    <t>Velocidad crítica, n_cr</t>
  </si>
  <si>
    <t>Margen respecto a la velocidad crítica</t>
  </si>
  <si>
    <t>θ</t>
  </si>
  <si>
    <t>ω2/ω1</t>
  </si>
  <si>
    <t>θ2</t>
  </si>
  <si>
    <t>ω3/ω2</t>
  </si>
  <si>
    <t>ω3/ω1</t>
  </si>
  <si>
    <t>L</t>
  </si>
  <si>
    <t>n crítica</t>
  </si>
  <si>
    <t>n máx</t>
  </si>
  <si>
    <t>Diales del esquema (de izquierda a derecha): eje de entrada (naranja), eje intermedio (morado) y eje de salida (azul). Con una junta inclinada, el eje intermedio se adelanta y se retrasa dos veces por vuelta. Con dos juntas de igual ángulo y horquillas en fase, la salida vuelve a girar igual que la entrada.</t>
  </si>
  <si>
    <t>1. Con β₁ = 10° y n₁ = 3000 min⁻¹ (Ejemplo 2.1), ¿cuáles son los regímenes máximo y mínimo del eje intermedio? ¿Cuántas veces por vuelta se repiten?</t>
  </si>
  <si>
    <t>2. Ponga β₂ = 10° y desfase φ = 90°. ¿Qué ocurre con la irregularidad de salida? ¿Qué error de montaje representa?</t>
  </si>
  <si>
    <t>3. Con φ = 0°, cambie β₂ a 15°. ¿La compensación es total? ¿Por qué deben ser iguales los ángulos de las dos juntas?</t>
  </si>
  <si>
    <t>4. Alargue el árbol a 1,9 m. ¿Qué pasa con la velocidad crítica? ¿Por qué los vehículos largos usan árboles divididos con apoyo central?</t>
  </si>
  <si>
    <t>U2 · Grupo reductor y diferencial</t>
  </si>
  <si>
    <t>Relación del grupo reductor, régimen de cada rueda en una curva y reparto de la tracción cuando las ruedas tienen distinta adherencia. Unidad 2: el conjunto diferencial, tipos de diferenciales.</t>
  </si>
  <si>
    <t>Grupo reductor y diferencial (Ejemplos 2.2 y 2.3)</t>
  </si>
  <si>
    <t>Dientes del piñón de ataque</t>
  </si>
  <si>
    <t>Dientes de la corona</t>
  </si>
  <si>
    <t>Par en el árbol de transmisión</t>
  </si>
  <si>
    <t>Rendimiento del grupo</t>
  </si>
  <si>
    <t>Radio dinámico de la rueda</t>
  </si>
  <si>
    <t>Vía del vehículo, b</t>
  </si>
  <si>
    <t>Radio de la curva (al centro del eje), R</t>
  </si>
  <si>
    <t>Relación del grupo, i = z_corona / z_piñón</t>
  </si>
  <si>
    <t>Par en la corona = T · i · η</t>
  </si>
  <si>
    <t>Régimen de la caja del diferencial, n_c</t>
  </si>
  <si>
    <t>Régimen del árbol de transmisión</t>
  </si>
  <si>
    <t>Rueda interior, n₁ = n_c·(R − b/2)/R</t>
  </si>
  <si>
    <t>Rueda exterior, n₂ = n_c·(R + b/2)/R</t>
  </si>
  <si>
    <t>Reparto de tracción según la adherencia de cada rueda</t>
  </si>
  <si>
    <t>Carga sobre cada rueda motriz</t>
  </si>
  <si>
    <t>Adherencia de la rueda izquierda, μ izq.</t>
  </si>
  <si>
    <t>Adherencia de la rueda derecha, μ der.</t>
  </si>
  <si>
    <t>Relación de bloqueo del autoblocante (TBR)</t>
  </si>
  <si>
    <t>Fuerza que puede dar el motor en las ruedas</t>
  </si>
  <si>
    <t>Tracción total con diferencial abierto</t>
  </si>
  <si>
    <t>Tracción total con autoblocante</t>
  </si>
  <si>
    <t>Tracción total con diferencial bloqueado</t>
  </si>
  <si>
    <t>Rueda</t>
  </si>
  <si>
    <t>n [min⁻¹]</t>
  </si>
  <si>
    <t>Diferencial</t>
  </si>
  <si>
    <t>F [N]</t>
  </si>
  <si>
    <t>Rueda interior</t>
  </si>
  <si>
    <t>Caja (corona)</t>
  </si>
  <si>
    <t>Rueda exterior</t>
  </si>
  <si>
    <t>Abierto</t>
  </si>
  <si>
    <t>Autoblocante</t>
  </si>
  <si>
    <t>Bloqueado</t>
  </si>
  <si>
    <t>Reduzca el radio de la curva (celda C12) de 60 m a 5 m: la rueda exterior recorre más camino y gira más rápido, la interior más despacio, y su promedio es siempre el régimen de la corona.</t>
  </si>
  <si>
    <t>1. Con los datos del Ejemplo 2.2, ¿cuál es la relación del grupo y el par en la corona? Compruebe con el simulador.</t>
  </si>
  <si>
    <t>2. Busque el radio de curva en que la rueda interior gira a 280 min⁻¹ y la corona a 300 min⁻¹ (Ejemplo 2.3, vía 1,40 m). ¿Coincide con su cálculo?</t>
  </si>
  <si>
    <t>3. Ponga μ izq. = 0,8 y μ der. = 0,1 (una rueda en hielo). Compare la tracción de los tres diferenciales. ¿Por qué el vehículo con diferencial abierto no sale?</t>
  </si>
  <si>
    <t>4. ¿Por qué no se puede circular por asfalto seco con el diferencial bloqueado en curva? Relacione su respuesta con el régimen de cada rueda.</t>
  </si>
  <si>
    <t>U3 · Tren epicicloidal y caja Simpson</t>
  </si>
  <si>
    <t>Vista frontal del tren, nomograma de palanca y relación de transmisión según el elemento de entrada y el bloqueado (ecuación de Willis). Unidad 3: grupo mecánico de la transmisión automática, tren epicicloidal, cajas Simpson y Ravigneaux.</t>
  </si>
  <si>
    <t>Tren epicicloidal simple (Ejemplo 3.2)</t>
  </si>
  <si>
    <t>Dientes del planetario, z_P</t>
  </si>
  <si>
    <t>Dientes de la corona, z_C</t>
  </si>
  <si>
    <t>Régimen del elemento de entrada</t>
  </si>
  <si>
    <t>Combinación (P planetario, C corona, PS portasatélites)</t>
  </si>
  <si>
    <t>Entra P, fija C, sale PS</t>
  </si>
  <si>
    <t>Entra C, fijo P, sale PS</t>
  </si>
  <si>
    <t>Entra PS, fija C, sale P</t>
  </si>
  <si>
    <t>Entra PS, fijo P, sale C</t>
  </si>
  <si>
    <t>Entra P, fijo PS, sale C</t>
  </si>
  <si>
    <t>Entra C, fijo PS, sale P</t>
  </si>
  <si>
    <t>Dos elementos unidos (directa)</t>
  </si>
  <si>
    <t>Ángulo girado por el elemento de entrada</t>
  </si>
  <si>
    <t>Relación de dientes, k = z_C / z_P</t>
  </si>
  <si>
    <t>Régimen del planetario, n_P</t>
  </si>
  <si>
    <t>Régimen de la corona, n_C</t>
  </si>
  <si>
    <t>Régimen del portasatélites, n_PS</t>
  </si>
  <si>
    <t>Régimen de salida</t>
  </si>
  <si>
    <t>Relación de transmisión, i = n_entrada / n_salida</t>
  </si>
  <si>
    <t>Caja Simpson de tres marchas (Ejemplo 3.3, trenes iguales)</t>
  </si>
  <si>
    <t>Relación</t>
  </si>
  <si>
    <t>Elementos aplicados</t>
  </si>
  <si>
    <t>E1 (embrague delantero) + F2 o rueda libre (portasatélites trasero)</t>
  </si>
  <si>
    <t>E1 + F1 (freno del planetario común)</t>
  </si>
  <si>
    <t>E1 + E2 (dos elementos unidos: directa)</t>
  </si>
  <si>
    <t>R</t>
  </si>
  <si>
    <t>E2 (entra por el planetario) + F2 (portasatélites trasero)</t>
  </si>
  <si>
    <t>Resaltar marcha</t>
  </si>
  <si>
    <t>Nomograma: las tres líneas verticales son el planetario (P, izquierda), el portasatélites (PS, centro) y la corona (C, derecha). La distancia P–PS es proporcional a z_C y la PS–C a z_P. Las velocidades de los tres elementos siempre quedan en una misma recta (la «palanca»). El elemento bloqueado queda en cero.</t>
  </si>
  <si>
    <t>1. Con z_P = 30, z_C = 72 y 3000 min⁻¹ de entrada (Ejemplo 3.2), calcule la relación con la corona bloqueada, con el planetario bloqueado y con el portasatélites bloqueado. Compruébelo cambiando la combinación.</t>
  </si>
  <si>
    <t>2. ¿Qué combinación da sobremarcha? Observe en el nomograma qué elemento queda por encima de la entrada.</t>
  </si>
  <si>
    <t>3. Con el portasatélites bloqueado, ¿en qué sentido gira la corona respecto al planetario? Obsérvelo en el nomograma y en las marcas de la vista frontal al aumentar el ángulo girado.</t>
  </si>
  <si>
    <t>4. Calcule las cuatro relaciones de la caja Simpson del Ejemplo 3.3 y compare con la tabla. ¿Qué elementos se aplican en cada marcha?</t>
  </si>
  <si>
    <t>U3 · Convertidor de par y circuito hidráulico</t>
  </si>
  <si>
    <t>Curva característica del convertidor (multiplicación de par y rendimiento), régimen de calado y punto de acoplamiento con el motor a plena carga; principio de Pascal. Unidad 3: introducción al sistema hidráulico, convertidor de par.</t>
  </si>
  <si>
    <t>Curva característica del convertidor</t>
  </si>
  <si>
    <t>Multiplicación de par en calado, μ₀</t>
  </si>
  <si>
    <t>Punto de acoplamiento, ν_c</t>
  </si>
  <si>
    <t>Factor de capacidad en calado, K</t>
  </si>
  <si>
    <t>min⁻¹/√(N·m)</t>
  </si>
  <si>
    <t>Relación de velocidades, ν = n_turbina / n_bomba</t>
  </si>
  <si>
    <t>Punto de funcionamiento (motor a plena carga)</t>
  </si>
  <si>
    <t>Multiplicación de par, μ</t>
  </si>
  <si>
    <t>Rendimiento, η = μ·ν</t>
  </si>
  <si>
    <t>Deslizamiento, s = 1 − ν</t>
  </si>
  <si>
    <t>T abs calado</t>
  </si>
  <si>
    <t>dif</t>
  </si>
  <si>
    <t>flag</t>
  </si>
  <si>
    <t>n cruce</t>
  </si>
  <si>
    <t>T abs actual</t>
  </si>
  <si>
    <t>Factor de capacidad actual, K(ν)</t>
  </si>
  <si>
    <t>Régimen de la bomba (= motor)</t>
  </si>
  <si>
    <t>Par absorbido por la bomba = (n/K)²</t>
  </si>
  <si>
    <t>Régimen de la turbina = ν · n_bomba</t>
  </si>
  <si>
    <t>Par en la turbina = μ · T_bomba</t>
  </si>
  <si>
    <t>Régimen de calado (turbina frenada, ν = 0)</t>
  </si>
  <si>
    <t>Magnitudes del convertidor (Ejemplo 3.4)</t>
  </si>
  <si>
    <t>Régimen de la bomba</t>
  </si>
  <si>
    <t>Par en la bomba</t>
  </si>
  <si>
    <t>Régimen de la turbina</t>
  </si>
  <si>
    <t>Factor de multiplicación</t>
  </si>
  <si>
    <t>Relación de velocidades, ν</t>
  </si>
  <si>
    <t>Deslizamiento</t>
  </si>
  <si>
    <t>Par en la turbina</t>
  </si>
  <si>
    <t>Rendimiento</t>
  </si>
  <si>
    <t>Multiplicación hidráulica de la fuerza (Ejemplo 3.1)</t>
  </si>
  <si>
    <t>Fuerza sobre el pistón pequeño</t>
  </si>
  <si>
    <t>lbf</t>
  </si>
  <si>
    <t>Radio del pistón pequeño</t>
  </si>
  <si>
    <t>in</t>
  </si>
  <si>
    <t>Radio del pistón grande</t>
  </si>
  <si>
    <t>Presión del circuito, p = F₁ / A₁</t>
  </si>
  <si>
    <t>psi</t>
  </si>
  <si>
    <t>Presión en el SI</t>
  </si>
  <si>
    <t>kPa</t>
  </si>
  <si>
    <t>Fuerza en el pistón grande, F₂ = p · A₂</t>
  </si>
  <si>
    <t>Fuerza en el pistón grande (SI)</t>
  </si>
  <si>
    <t>ν</t>
  </si>
  <si>
    <t>μ</t>
  </si>
  <si>
    <t>η</t>
  </si>
  <si>
    <t>Para simular la salida desde parado con el acelerador a fondo, aumente ν (celda C8) de 0 a 1: la turbina parte de cero (calado, μ máximo) y alcanza a la bomba. El régimen del motor sube a medida que el convertidor absorbe menos par. Después del punto de acoplamiento μ = 1 y el rendimiento cae por el deslizamiento: por eso se aplica el embrague de bloqueo.</t>
  </si>
  <si>
    <t>1. Resuelva el Ejemplo 3.4 a mano y compruebe ν, el deslizamiento, el par en la turbina y el rendimiento en el bloque correspondiente.</t>
  </si>
  <si>
    <t>2. ¿A qué régimen se cala el convertidor con K = 180? Cambie K a 150 y luego a 210: ¿qué convertidor es más «suelto» y qué ocurre con el régimen de calado?</t>
  </si>
  <si>
    <t>3. Aumente ν de 0,1 en 0,1. ¿En qué valor de ν el rendimiento es máximo antes del acoplamiento? ¿Qué hace el embrague de bloqueo para mejorar el consumo?</t>
  </si>
  <si>
    <t>4. En la prueba de calado del taller, ¿qué indicaría un régimen de calado bajo y qué uno alto? Relacione con el estado del motor, del estator y de los embragues.</t>
  </si>
  <si>
    <t>U4 · Transmisión de variación continua (CVT)</t>
  </si>
  <si>
    <t>Radios de trabajo de las poleas primaria y secundaria, relación de transmisión y velocidad del vehículo con el motor a régimen constante. Unidad 4: sistema de transmisión CVT, funcionamiento y características.</t>
  </si>
  <si>
    <t>Variador de poleas (Ejemplo 4.4)</t>
  </si>
  <si>
    <t>Radio mínimo de trabajo en la polea primaria</t>
  </si>
  <si>
    <t>Radio máximo de trabajo en la polea primaria</t>
  </si>
  <si>
    <t>Distancia entre ejes de las poleas</t>
  </si>
  <si>
    <t>Relación del grupo reductor</t>
  </si>
  <si>
    <t>Posición del variador (0 = arranque, 100 = crucero)</t>
  </si>
  <si>
    <t>Suma de radios (correa de longitud constante, aprox.)</t>
  </si>
  <si>
    <t>Radio en la polea primaria (conductora)</t>
  </si>
  <si>
    <t>Radio en la polea secundaria (conducida)</t>
  </si>
  <si>
    <t>Relación del variador, i = r₂ / r₁</t>
  </si>
  <si>
    <t>Relación máxima (arranque)</t>
  </si>
  <si>
    <t>Relación mínima (crucero)</t>
  </si>
  <si>
    <t>Margen de variación = i_máx / i_mín</t>
  </si>
  <si>
    <t>v i máx</t>
  </si>
  <si>
    <t>v i mín</t>
  </si>
  <si>
    <t>v i actual</t>
  </si>
  <si>
    <t>Con el motor a régimen constante (por ejemplo, el de mejor consumo), la unidad de control acerca las caras de la polea primaria (crece r₁) y separa las de la secundaria (baja r₂). La relación baja de forma continua y el vehículo acelera sin saltos de régimen: es el punto que se mueve en vertical en el gráfico inferior.</t>
  </si>
  <si>
    <t>1. Con los radios 30 y 75 mm del Ejemplo 4.4, ¿cuáles son la relación de arranque, la de crucero y el margen de variación?</t>
  </si>
  <si>
    <t>2. Con el motor a 2000 min⁻¹, ¿qué velocidad alcanza el vehículo al inicio y al final de la variación? Compare con su cálculo a mano.</t>
  </si>
  <si>
    <t>3. ¿Por qué el margen de variación de una CVT puede ser mayor que el de una caja de cinco marchas? Compárelo con la hoja U1 Caja de cambios.</t>
  </si>
  <si>
    <t>4. Si la correa patina, ¿qué diferencia verá la unidad de control entre los sensores de la polea primaria y la secundaria?</t>
  </si>
  <si>
    <t>U4 · Transmisión híbrida de reparto de potencia (e-CVT)</t>
  </si>
  <si>
    <t>Ecuación de Willis del tren de reparto: motor térmico en el portasatélites, MG1 en el planetario y MG2 en la corona (ruedas). Nomograma, modos de funcionamiento y límites de MG1. Unidad 4: transmisión automática híbrida, tipos y teoría de operación.</t>
  </si>
  <si>
    <t>Tren de reparto de potencia (Ejemplo 4.3)</t>
  </si>
  <si>
    <t>Dientes del planetario (MG1)</t>
  </si>
  <si>
    <t>Dientes de la corona (MG2)</t>
  </si>
  <si>
    <t>Reducción de la corona a las ruedas</t>
  </si>
  <si>
    <t>Régimen del motor térmico (portasatélites)</t>
  </si>
  <si>
    <t>Régimen de la corona (MG2)</t>
  </si>
  <si>
    <t>Régimen máximo admisible de MG1</t>
  </si>
  <si>
    <t>k = z_C / z_P</t>
  </si>
  <si>
    <t>Régimen de MG1 = (1 + k)·n_motor − k·n_corona</t>
  </si>
  <si>
    <t>n corona</t>
  </si>
  <si>
    <t>MG1 (0)</t>
  </si>
  <si>
    <t>MG1 (1000)</t>
  </si>
  <si>
    <t>MG1 (2000)</t>
  </si>
  <si>
    <t>MG1 (3000)</t>
  </si>
  <si>
    <t>MG1 (4000)</t>
  </si>
  <si>
    <t>+lím</t>
  </si>
  <si>
    <t>−lím</t>
  </si>
  <si>
    <t>Nomograma: la vertical izquierda es MG1 (planetario), la central el motor térmico (portasatélites) y la derecha MG2 unido a las ruedas (corona). Al acelerar, la palanca gira alrededor del punto del motor: MG1 baja de régimen, pasa por cero y luego gira al revés. Esta combinación permite variar la relación sin escalones.</t>
  </si>
  <si>
    <t>1. Resuelva el Ejemplo 4.3: régimen de MG1 con el motor a 2000 min⁻¹ y la corona a 1500 y a 3000 min⁻¹, y en modo eléctrico con la corona a 1000 min⁻¹.</t>
  </si>
  <si>
    <t>2. ¿A qué régimen de la corona se detiene MG1 con el motor a 2000 min⁻¹? ¿Qué significa este «punto mecánico»?</t>
  </si>
  <si>
    <t>3. En modo eléctrico a alta velocidad, ¿por qué la unidad de control arranca el motor térmico aunque la batería esté cargada? Use el límite de MG1.</t>
  </si>
  <si>
    <t>4. ¿Qué ventaja tiene esta transmisión frente a una CVT de correa? ¿Qué componentes sustituyen al embrague y a la caja?</t>
  </si>
  <si>
    <t>U4 · Sensores, diagnóstico y electroválvulas PWM</t>
  </si>
  <si>
    <t>Señal de los sensores de velocidad y cálculo del patinamiento; sensor NTC de temperatura del ATF con fallas simuladas y códigos DTC; corriente de las electroválvulas controladas por ancho de pulso. Unidad 4: entradas y salidas, actuadores, diagnóstico de problemas.</t>
  </si>
  <si>
    <t>Sensores de velocidad (Ejemplo 4.1)</t>
  </si>
  <si>
    <t>Dientes de la rueda fónica</t>
  </si>
  <si>
    <t>Régimen del eje de entrada (turbina)</t>
  </si>
  <si>
    <t>Régimen del eje de salida</t>
  </si>
  <si>
    <t>Relación teórica de la marcha engranada</t>
  </si>
  <si>
    <t>Régimen del motor (con bloqueo aplicado)</t>
  </si>
  <si>
    <t>Régimen de la turbina (con bloqueo aplicado)</t>
  </si>
  <si>
    <t>Frecuencia del sensor de entrada, f = z·n/60</t>
  </si>
  <si>
    <t>Hz</t>
  </si>
  <si>
    <t>Frecuencia del sensor de salida</t>
  </si>
  <si>
    <t>Relación medida = n_entrada / n_salida</t>
  </si>
  <si>
    <t>Diferencia con la relación teórica</t>
  </si>
  <si>
    <t>Deslizamiento del embrague de bloqueo</t>
  </si>
  <si>
    <t>Sensor de temperatura del ATF (NTC)</t>
  </si>
  <si>
    <t>Resistencia a 25 °C</t>
  </si>
  <si>
    <t>Ω</t>
  </si>
  <si>
    <t>Coeficiente β del termistor</t>
  </si>
  <si>
    <t>K</t>
  </si>
  <si>
    <t>Resistencia de polarización en la ECU</t>
  </si>
  <si>
    <t>Tensión de referencia</t>
  </si>
  <si>
    <t>V</t>
  </si>
  <si>
    <t>Temperatura real del ATF</t>
  </si>
  <si>
    <t>°C</t>
  </si>
  <si>
    <t>Estado del circuito</t>
  </si>
  <si>
    <t>Normal</t>
  </si>
  <si>
    <t>Resistencia del NTC</t>
  </si>
  <si>
    <t>Tensión de señal en la ECU</t>
  </si>
  <si>
    <t>Temperatura que interpreta la ECU</t>
  </si>
  <si>
    <t>Electroválvulas (Ejemplo 4.2)</t>
  </si>
  <si>
    <t>Resistencia de la electroválvula on/off</t>
  </si>
  <si>
    <t>Tensión de alimentación</t>
  </si>
  <si>
    <t>Corriente de la electroválvula on/off</t>
  </si>
  <si>
    <t>A</t>
  </si>
  <si>
    <t>Resistencia de la electroválvula moduladora</t>
  </si>
  <si>
    <t>Ciclo de trabajo (duty cycle)</t>
  </si>
  <si>
    <t>Frecuencia PWM</t>
  </si>
  <si>
    <t>Corriente media = (V/R)·D</t>
  </si>
  <si>
    <t>Corriente de pico = V/R</t>
  </si>
  <si>
    <t>t [ms]</t>
  </si>
  <si>
    <t>V entrada</t>
  </si>
  <si>
    <t>V salida</t>
  </si>
  <si>
    <t>Los sensores inductivos generan una señal alterna: su frecuencia (f = z·n/60) indica la velocidad, y su amplitud también crece con el régimen. Si la relación entre la entrada y la salida no coincide con la relación teórica de la marcha engranada, la ECU detecta patinamiento.</t>
  </si>
  <si>
    <t>1. Con los datos del Ejemplo 4.1, ¿cuál es la frecuencia del sensor de salida y cuánto patina la marcha? ¿Qué código registraría la ECU?</t>
  </si>
  <si>
    <t>2. Simule un circuito abierto del sensor de temperatura. ¿Qué tensión y qué temperatura lee la ECU? ¿Qué código aparece? Repita con un cortocircuito a masa.</t>
  </si>
  <si>
    <t>3. Con el circuito sano a −30 °C, ¿la tensión se acerca al umbral alto? ¿Por qué la ECU necesita un umbral de 4,9 V y no de 4,5 V?</t>
  </si>
  <si>
    <t>4. Calcule la corriente media de la electroválvula moduladora con ciclos del 20 %, 40 % y 80 % (Ejemplo 4.2). ¿Qué relación tiene la corriente con la presión que regula?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</si>
</sst>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5" x14ac:knownFonts="1">
    <font>
      <sz val="11"/>
      <color theme="1"/>
      <name val="Calibri"/>
      <family val="2"/>
      <scheme val="minor"/>
    </font>
    <font>
      <b/>
      <sz val="16"/>
      <color rgb="FFFFFFFF"/>
      <name val="Calibri"/>
      <family val="2"/>
      <scheme val="minor"/>
    </font>
    <font>
      <i/>
      <sz val="10"/>
      <color rgb="FF1F3864"/>
      <name val="Calibri"/>
      <family val="2"/>
      <scheme val="minor"/>
    </font>
    <font>
      <b/>
      <sz val="12"/>
      <color rgb="FF1F3864"/>
      <name val="Calibri"/>
      <family val="2"/>
      <scheme val="minor"/>
    </font>
    <font>
      <b/>
      <sz val="10"/>
      <color theme="1"/>
      <name val="Calibri"/>
      <family val="2"/>
      <scheme val="minor"/>
    </font>
    <font>
      <sz val="10"/>
      <color theme="1"/>
      <name val="Calibri"/>
      <family val="2"/>
      <scheme val="minor"/>
    </font>
    <font>
      <u/>
      <sz val="10"/>
      <color rgb="FF2E75B6"/>
      <name val="Calibri"/>
      <family val="2"/>
      <scheme val="minor"/>
    </font>
    <font>
      <i/>
      <sz val="9"/>
      <color rgb="FF595959"/>
      <name val="Calibri"/>
      <family val="2"/>
      <scheme val="minor"/>
    </font>
    <font>
      <sz val="7"/>
      <color rgb="FFD0D0D0"/>
      <name val="Calibri"/>
      <family val="2"/>
      <scheme val="minor"/>
    </font>
    <font>
      <sz val="8"/>
      <color rgb="FF808080"/>
      <name val="Calibri"/>
      <family val="2"/>
      <scheme val="minor"/>
    </font>
    <font>
      <b/>
      <sz val="9"/>
      <color rgb="FF7F7F7F"/>
      <name val="Calibri"/>
      <family val="2"/>
      <scheme val="minor"/>
    </font>
    <font>
      <b/>
      <sz val="8"/>
      <color rgb="FF595959"/>
      <name val="Calibri"/>
      <family val="2"/>
      <scheme val="minor"/>
    </font>
    <font>
      <b/>
      <sz val="10"/>
      <color rgb="FFFFFFFF"/>
      <name val="Calibri"/>
      <family val="2"/>
      <scheme val="minor"/>
    </font>
    <font>
      <i/>
      <sz val="10"/>
      <color rgb="FF7F7F7F"/>
      <name val="Calibri"/>
      <family val="2"/>
      <scheme val="minor"/>
    </font>
    <font>
      <b/>
      <sz val="11"/>
      <color rgb="FF1F3864"/>
      <name val="Calibri"/>
      <family val="2"/>
      <scheme val="minor"/>
    </font>
  </fonts>
  <fills count="10">
    <fill>
      <patternFill patternType="none"/>
    </fill>
    <fill>
      <patternFill patternType="gray125"/>
    </fill>
    <fill>
      <patternFill patternType="solid">
        <fgColor rgb="FF1F3864"/>
        <bgColor indexed="64"/>
      </patternFill>
    </fill>
    <fill>
      <patternFill patternType="solid">
        <fgColor rgb="FFDDEBF7"/>
        <bgColor indexed="64"/>
      </patternFill>
    </fill>
    <fill>
      <patternFill patternType="solid">
        <fgColor rgb="FFD9E1F2"/>
        <bgColor indexed="64"/>
      </patternFill>
    </fill>
    <fill>
      <patternFill patternType="solid">
        <fgColor rgb="FFFFF2CC"/>
        <bgColor indexed="64"/>
      </patternFill>
    </fill>
    <fill>
      <patternFill patternType="solid">
        <fgColor rgb="FFFCE4D6"/>
        <bgColor indexed="64"/>
      </patternFill>
    </fill>
    <fill>
      <patternFill patternType="solid">
        <fgColor rgb="FFE2EFDA"/>
        <bgColor indexed="64"/>
      </patternFill>
    </fill>
    <fill>
      <patternFill patternType="solid">
        <fgColor rgb="FFF2F2F2"/>
        <bgColor indexed="64"/>
      </patternFill>
    </fill>
    <fill>
      <patternFill patternType="solid">
        <fgColor rgb="FF2E75B6"/>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9000"/>
      </left>
      <right style="thin">
        <color rgb="FFBF9000"/>
      </right>
      <top style="thin">
        <color rgb="FFBF9000"/>
      </top>
      <bottom style="thin">
        <color rgb="FFBF9000"/>
      </bottom>
      <diagonal/>
    </border>
    <border>
      <left style="thin">
        <color rgb="FFC55A11"/>
      </left>
      <right style="thin">
        <color rgb="FFC55A11"/>
      </right>
      <top style="thin">
        <color rgb="FFC55A11"/>
      </top>
      <bottom style="thin">
        <color rgb="FFC55A11"/>
      </bottom>
      <diagonal/>
    </border>
    <border>
      <left style="thin">
        <color rgb="FF548235"/>
      </left>
      <right style="thin">
        <color rgb="FF548235"/>
      </right>
      <top style="thin">
        <color rgb="FF548235"/>
      </top>
      <bottom style="thin">
        <color rgb="FF548235"/>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3" fillId="0" borderId="0" xfId="0" applyFont="1" applyAlignment="1">
      <alignment vertical="center"/>
    </xf>
    <xf numFmtId="0" fontId="4" fillId="4" borderId="1" xfId="0" applyFont="1" applyFill="1" applyBorder="1" applyAlignment="1">
      <alignment horizontal="center" vertical="center" wrapText="1"/>
    </xf>
    <xf numFmtId="0" fontId="5" fillId="0" borderId="1" xfId="0" applyFont="1" applyBorder="1" applyAlignment="1">
      <alignment horizontal="left" vertical="center" wrapText="1" indent="1"/>
    </xf>
    <xf numFmtId="0" fontId="5" fillId="5" borderId="2" xfId="0" applyFont="1" applyFill="1" applyBorder="1" applyAlignment="1">
      <alignment vertical="center"/>
    </xf>
    <xf numFmtId="0" fontId="5" fillId="0" borderId="0" xfId="0" applyFont="1" applyAlignment="1">
      <alignment vertical="top" wrapText="1"/>
    </xf>
    <xf numFmtId="0" fontId="5" fillId="6" borderId="3" xfId="0" applyFont="1" applyFill="1" applyBorder="1" applyAlignment="1">
      <alignment vertical="center"/>
    </xf>
    <xf numFmtId="0" fontId="5" fillId="7" borderId="4" xfId="0" applyFont="1" applyFill="1" applyBorder="1" applyAlignment="1">
      <alignment vertical="center"/>
    </xf>
    <xf numFmtId="0" fontId="6" fillId="0" borderId="0" xfId="0" applyFont="1" applyAlignment="1">
      <alignment vertical="center"/>
    </xf>
    <xf numFmtId="2" fontId="5" fillId="0" borderId="1" xfId="0" applyNumberFormat="1" applyFont="1" applyBorder="1" applyAlignment="1">
      <alignment horizontal="center" vertical="center"/>
    </xf>
    <xf numFmtId="0" fontId="8" fillId="0" borderId="0" xfId="0" applyFont="1" applyAlignment="1" applyProtection="1">
      <alignment horizontal="center" vertical="center"/>
      <protection locked="0"/>
    </xf>
    <xf numFmtId="164" fontId="9" fillId="0" borderId="0" xfId="0" applyNumberFormat="1" applyFont="1" applyAlignment="1">
      <alignment vertical="center"/>
    </xf>
    <xf numFmtId="0" fontId="10" fillId="0" borderId="0" xfId="0" applyFont="1" applyAlignment="1">
      <alignment vertical="center"/>
    </xf>
    <xf numFmtId="0" fontId="11" fillId="8" borderId="0" xfId="0" applyFont="1" applyFill="1" applyAlignment="1">
      <alignment horizontal="center" vertical="center" wrapText="1"/>
    </xf>
    <xf numFmtId="0" fontId="5" fillId="0" borderId="0" xfId="0" applyFont="1" applyAlignment="1">
      <alignment horizontal="left" vertical="center" wrapText="1" indent="1"/>
    </xf>
    <xf numFmtId="0" fontId="5" fillId="5" borderId="2" xfId="0" applyFont="1" applyFill="1" applyBorder="1" applyAlignment="1" applyProtection="1">
      <alignment horizontal="center" vertical="center"/>
      <protection locked="0"/>
    </xf>
    <xf numFmtId="0" fontId="13" fillId="0" borderId="0" xfId="0" applyFont="1" applyAlignment="1">
      <alignment vertical="center"/>
    </xf>
    <xf numFmtId="2" fontId="5" fillId="5" borderId="2" xfId="0" applyNumberFormat="1" applyFont="1" applyFill="1" applyBorder="1" applyAlignment="1" applyProtection="1">
      <alignment horizontal="center" vertical="center"/>
      <protection locked="0"/>
    </xf>
    <xf numFmtId="164" fontId="5" fillId="5" borderId="2" xfId="0" applyNumberFormat="1" applyFont="1" applyFill="1" applyBorder="1" applyAlignment="1" applyProtection="1">
      <alignment horizontal="center" vertical="center"/>
      <protection locked="0"/>
    </xf>
    <xf numFmtId="3" fontId="5" fillId="0" borderId="1" xfId="0" applyNumberFormat="1" applyFont="1" applyBorder="1" applyAlignment="1">
      <alignment horizontal="center" vertical="center"/>
    </xf>
    <xf numFmtId="165" fontId="5" fillId="7" borderId="4" xfId="0" applyNumberFormat="1" applyFont="1" applyFill="1" applyBorder="1" applyAlignment="1">
      <alignment horizontal="center" vertical="center"/>
    </xf>
    <xf numFmtId="3" fontId="5" fillId="7" borderId="4" xfId="0" applyNumberFormat="1" applyFont="1" applyFill="1" applyBorder="1" applyAlignment="1">
      <alignment horizontal="center" vertical="center"/>
    </xf>
    <xf numFmtId="2" fontId="5" fillId="7" borderId="4" xfId="0" applyNumberFormat="1" applyFont="1" applyFill="1" applyBorder="1" applyAlignment="1">
      <alignment horizontal="center" vertical="center"/>
    </xf>
    <xf numFmtId="164" fontId="5" fillId="7" borderId="4" xfId="0" applyNumberFormat="1" applyFont="1" applyFill="1" applyBorder="1" applyAlignment="1">
      <alignment horizontal="center" vertical="center"/>
    </xf>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5" fillId="0" borderId="1" xfId="0" applyFont="1" applyBorder="1" applyAlignment="1">
      <alignment horizontal="left" vertical="center" wrapText="1" indent="1"/>
    </xf>
    <xf numFmtId="0" fontId="7" fillId="0" borderId="0" xfId="0" applyFont="1" applyAlignment="1">
      <alignment vertical="top" wrapText="1"/>
    </xf>
    <xf numFmtId="0" fontId="12" fillId="9" borderId="0" xfId="0" applyFont="1" applyFill="1" applyAlignment="1">
      <alignment horizontal="left" vertical="center" indent="1"/>
    </xf>
    <xf numFmtId="0" fontId="14" fillId="8" borderId="1" xfId="0" applyFont="1" applyFill="1" applyBorder="1" applyAlignment="1">
      <alignment horizontal="left" vertical="center" wrapText="1" indent="1"/>
    </xf>
    <xf numFmtId="0" fontId="5" fillId="0" borderId="5" xfId="0" applyFont="1" applyBorder="1" applyAlignment="1">
      <alignment vertical="top" wrapText="1" indent="1"/>
    </xf>
    <xf numFmtId="0" fontId="5" fillId="5" borderId="2" xfId="0" applyFont="1" applyFill="1" applyBorder="1" applyAlignment="1" applyProtection="1">
      <alignment horizontal="center" vertical="center"/>
      <protection locked="0"/>
    </xf>
    <xf numFmtId="0" fontId="4" fillId="4" borderId="1" xfId="0" applyFont="1" applyFill="1" applyBorder="1" applyAlignment="1">
      <alignment horizontal="center" vertical="center" wrapText="1"/>
    </xf>
  </cellXfs>
  <cellStyles count="1">
    <cellStyle name="Normal" xfId="0" builtinId="0"/>
  </cellStyles>
  <dxfs count="1">
    <dxf>
      <font>
        <b/>
      </font>
      <fill>
        <patternFill>
          <b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Diagrama de sierra: régimen del motor frente a velocidad</a:t>
            </a:r>
          </a:p>
        </c:rich>
      </c:tx>
      <c:overlay val="0"/>
    </c:title>
    <c:autoTitleDeleted val="0"/>
    <c:plotArea>
      <c:layout/>
      <c:scatterChart>
        <c:scatterStyle val="lineMarker"/>
        <c:varyColors val="0"/>
        <c:ser>
          <c:idx val="0"/>
          <c:order val="0"/>
          <c:tx>
            <c:v>1ª</c:v>
          </c:tx>
          <c:spPr>
            <a:ln w="15875">
              <a:solidFill>
                <a:srgbClr val="2E75B6"/>
              </a:solidFill>
              <a:prstDash val="dash"/>
            </a:ln>
          </c:spPr>
          <c:marker>
            <c:symbol val="none"/>
          </c:marker>
          <c:xVal>
            <c:numRef>
              <c:f>'U1 Caja de cambios'!$BD$3:$BD$4</c:f>
              <c:numCache>
                <c:formatCode>0.000</c:formatCode>
                <c:ptCount val="2"/>
                <c:pt idx="0">
                  <c:v>7.4485624744515606</c:v>
                </c:pt>
                <c:pt idx="1">
                  <c:v>48.41565608393514</c:v>
                </c:pt>
              </c:numCache>
            </c:numRef>
          </c:xVal>
          <c:yVal>
            <c:numRef>
              <c:f>'U1 Caja de cambios'!$BE$3:$BE$4</c:f>
              <c:numCache>
                <c:formatCode>0.000</c:formatCode>
                <c:ptCount val="2"/>
                <c:pt idx="0">
                  <c:v>1000</c:v>
                </c:pt>
                <c:pt idx="1">
                  <c:v>6500</c:v>
                </c:pt>
              </c:numCache>
            </c:numRef>
          </c:yVal>
          <c:smooth val="0"/>
          <c:extLst>
            <c:ext xmlns:c16="http://schemas.microsoft.com/office/drawing/2014/chart" uri="{C3380CC4-5D6E-409C-BE32-E72D297353CC}">
              <c16:uniqueId val="{00000000-E466-4536-A680-8358B715D2CE}"/>
            </c:ext>
          </c:extLst>
        </c:ser>
        <c:ser>
          <c:idx val="1"/>
          <c:order val="1"/>
          <c:tx>
            <c:v>2ª</c:v>
          </c:tx>
          <c:spPr>
            <a:ln w="15875">
              <a:solidFill>
                <a:srgbClr val="C55A11"/>
              </a:solidFill>
              <a:prstDash val="dash"/>
            </a:ln>
          </c:spPr>
          <c:marker>
            <c:symbol val="none"/>
          </c:marker>
          <c:xVal>
            <c:numRef>
              <c:f>'U1 Caja de cambios'!$BF$3:$BF$4</c:f>
              <c:numCache>
                <c:formatCode>0.000</c:formatCode>
                <c:ptCount val="2"/>
                <c:pt idx="0">
                  <c:v>13.200917652740884</c:v>
                </c:pt>
                <c:pt idx="1">
                  <c:v>85.805964742815746</c:v>
                </c:pt>
              </c:numCache>
            </c:numRef>
          </c:xVal>
          <c:yVal>
            <c:numRef>
              <c:f>'U1 Caja de cambios'!$BG$3:$BG$4</c:f>
              <c:numCache>
                <c:formatCode>0.000</c:formatCode>
                <c:ptCount val="2"/>
                <c:pt idx="0">
                  <c:v>1000</c:v>
                </c:pt>
                <c:pt idx="1">
                  <c:v>6500</c:v>
                </c:pt>
              </c:numCache>
            </c:numRef>
          </c:yVal>
          <c:smooth val="0"/>
          <c:extLst>
            <c:ext xmlns:c16="http://schemas.microsoft.com/office/drawing/2014/chart" uri="{C3380CC4-5D6E-409C-BE32-E72D297353CC}">
              <c16:uniqueId val="{00000001-E466-4536-A680-8358B715D2CE}"/>
            </c:ext>
          </c:extLst>
        </c:ser>
        <c:ser>
          <c:idx val="2"/>
          <c:order val="2"/>
          <c:tx>
            <c:v>3ª</c:v>
          </c:tx>
          <c:spPr>
            <a:ln w="15875">
              <a:solidFill>
                <a:srgbClr val="548235"/>
              </a:solidFill>
              <a:prstDash val="dash"/>
            </a:ln>
          </c:spPr>
          <c:marker>
            <c:symbol val="none"/>
          </c:marker>
          <c:xVal>
            <c:numRef>
              <c:f>'U1 Caja de cambios'!$BH$3:$BH$4</c:f>
              <c:numCache>
                <c:formatCode>0.000</c:formatCode>
                <c:ptCount val="2"/>
                <c:pt idx="0">
                  <c:v>20.201404286770142</c:v>
                </c:pt>
                <c:pt idx="1">
                  <c:v>131.30912786400592</c:v>
                </c:pt>
              </c:numCache>
            </c:numRef>
          </c:xVal>
          <c:yVal>
            <c:numRef>
              <c:f>'U1 Caja de cambios'!$BI$3:$BI$4</c:f>
              <c:numCache>
                <c:formatCode>0.000</c:formatCode>
                <c:ptCount val="2"/>
                <c:pt idx="0">
                  <c:v>1000</c:v>
                </c:pt>
                <c:pt idx="1">
                  <c:v>6500</c:v>
                </c:pt>
              </c:numCache>
            </c:numRef>
          </c:yVal>
          <c:smooth val="0"/>
          <c:extLst>
            <c:ext xmlns:c16="http://schemas.microsoft.com/office/drawing/2014/chart" uri="{C3380CC4-5D6E-409C-BE32-E72D297353CC}">
              <c16:uniqueId val="{00000002-E466-4536-A680-8358B715D2CE}"/>
            </c:ext>
          </c:extLst>
        </c:ser>
        <c:ser>
          <c:idx val="3"/>
          <c:order val="3"/>
          <c:tx>
            <c:v>4ª</c:v>
          </c:tx>
          <c:spPr>
            <a:ln w="15875">
              <a:solidFill>
                <a:srgbClr val="7030A0"/>
              </a:solidFill>
              <a:prstDash val="dash"/>
            </a:ln>
          </c:spPr>
          <c:marker>
            <c:symbol val="none"/>
          </c:marker>
          <c:xVal>
            <c:numRef>
              <c:f>'U1 Caja de cambios'!$BJ$3:$BJ$4</c:f>
              <c:numCache>
                <c:formatCode>0.000</c:formatCode>
                <c:ptCount val="2"/>
                <c:pt idx="0">
                  <c:v>27.490570781996482</c:v>
                </c:pt>
                <c:pt idx="1">
                  <c:v>178.68871008297714</c:v>
                </c:pt>
              </c:numCache>
            </c:numRef>
          </c:xVal>
          <c:yVal>
            <c:numRef>
              <c:f>'U1 Caja de cambios'!$BK$3:$BK$4</c:f>
              <c:numCache>
                <c:formatCode>0.000</c:formatCode>
                <c:ptCount val="2"/>
                <c:pt idx="0">
                  <c:v>1000</c:v>
                </c:pt>
                <c:pt idx="1">
                  <c:v>6500</c:v>
                </c:pt>
              </c:numCache>
            </c:numRef>
          </c:yVal>
          <c:smooth val="0"/>
          <c:extLst>
            <c:ext xmlns:c16="http://schemas.microsoft.com/office/drawing/2014/chart" uri="{C3380CC4-5D6E-409C-BE32-E72D297353CC}">
              <c16:uniqueId val="{00000003-E466-4536-A680-8358B715D2CE}"/>
            </c:ext>
          </c:extLst>
        </c:ser>
        <c:ser>
          <c:idx val="4"/>
          <c:order val="4"/>
          <c:tx>
            <c:v>5ª</c:v>
          </c:tx>
          <c:spPr>
            <a:ln w="15875">
              <a:solidFill>
                <a:srgbClr val="C00000"/>
              </a:solidFill>
              <a:prstDash val="dash"/>
            </a:ln>
          </c:spPr>
          <c:marker>
            <c:symbol val="none"/>
          </c:marker>
          <c:xVal>
            <c:numRef>
              <c:f>'U1 Caja de cambios'!$BL$3:$BL$4</c:f>
              <c:numCache>
                <c:formatCode>0.000</c:formatCode>
                <c:ptCount val="2"/>
                <c:pt idx="0">
                  <c:v>35.086649550706035</c:v>
                </c:pt>
                <c:pt idx="1">
                  <c:v>228.06322207958922</c:v>
                </c:pt>
              </c:numCache>
            </c:numRef>
          </c:xVal>
          <c:yVal>
            <c:numRef>
              <c:f>'U1 Caja de cambios'!$BM$3:$BM$4</c:f>
              <c:numCache>
                <c:formatCode>0.000</c:formatCode>
                <c:ptCount val="2"/>
                <c:pt idx="0">
                  <c:v>1000</c:v>
                </c:pt>
                <c:pt idx="1">
                  <c:v>6500</c:v>
                </c:pt>
              </c:numCache>
            </c:numRef>
          </c:yVal>
          <c:smooth val="0"/>
          <c:extLst>
            <c:ext xmlns:c16="http://schemas.microsoft.com/office/drawing/2014/chart" uri="{C3380CC4-5D6E-409C-BE32-E72D297353CC}">
              <c16:uniqueId val="{00000004-E466-4536-A680-8358B715D2CE}"/>
            </c:ext>
          </c:extLst>
        </c:ser>
        <c:ser>
          <c:idx val="5"/>
          <c:order val="5"/>
          <c:tx>
            <c:v>Cambios a n_c</c:v>
          </c:tx>
          <c:spPr>
            <a:ln w="34925">
              <a:solidFill>
                <a:srgbClr val="1F3864"/>
              </a:solidFill>
            </a:ln>
          </c:spPr>
          <c:marker>
            <c:symbol val="none"/>
          </c:marker>
          <c:xVal>
            <c:numRef>
              <c:f>'U1 Caja de cambios'!$BA$3:$BA$12</c:f>
              <c:numCache>
                <c:formatCode>0.000</c:formatCode>
                <c:ptCount val="10"/>
                <c:pt idx="0">
                  <c:v>7.4485624744515606</c:v>
                </c:pt>
                <c:pt idx="1">
                  <c:v>40.967093609483577</c:v>
                </c:pt>
                <c:pt idx="2">
                  <c:v>40.967093609483577</c:v>
                </c:pt>
                <c:pt idx="3">
                  <c:v>72.605047090074848</c:v>
                </c:pt>
                <c:pt idx="4">
                  <c:v>72.605047090074848</c:v>
                </c:pt>
                <c:pt idx="5">
                  <c:v>111.10772357723576</c:v>
                </c:pt>
                <c:pt idx="6">
                  <c:v>111.10772357723576</c:v>
                </c:pt>
                <c:pt idx="7">
                  <c:v>151.19813930098064</c:v>
                </c:pt>
                <c:pt idx="8">
                  <c:v>151.19813930098064</c:v>
                </c:pt>
                <c:pt idx="9">
                  <c:v>192.9765725288832</c:v>
                </c:pt>
              </c:numCache>
            </c:numRef>
          </c:xVal>
          <c:yVal>
            <c:numRef>
              <c:f>'U1 Caja de cambios'!$BB$3:$BB$12</c:f>
              <c:numCache>
                <c:formatCode>0.000</c:formatCode>
                <c:ptCount val="10"/>
                <c:pt idx="0">
                  <c:v>1000</c:v>
                </c:pt>
                <c:pt idx="1">
                  <c:v>5500</c:v>
                </c:pt>
                <c:pt idx="2">
                  <c:v>3103.3519553072629</c:v>
                </c:pt>
                <c:pt idx="3">
                  <c:v>5500</c:v>
                </c:pt>
                <c:pt idx="4">
                  <c:v>3594.0594059405939</c:v>
                </c:pt>
                <c:pt idx="5">
                  <c:v>5500</c:v>
                </c:pt>
                <c:pt idx="6">
                  <c:v>4041.6666666666661</c:v>
                </c:pt>
                <c:pt idx="7">
                  <c:v>5500</c:v>
                </c:pt>
                <c:pt idx="8">
                  <c:v>4309.2783505154639</c:v>
                </c:pt>
                <c:pt idx="9">
                  <c:v>5500</c:v>
                </c:pt>
              </c:numCache>
            </c:numRef>
          </c:yVal>
          <c:smooth val="0"/>
          <c:extLst>
            <c:ext xmlns:c16="http://schemas.microsoft.com/office/drawing/2014/chart" uri="{C3380CC4-5D6E-409C-BE32-E72D297353CC}">
              <c16:uniqueId val="{00000005-E466-4536-A680-8358B715D2CE}"/>
            </c:ext>
          </c:extLst>
        </c:ser>
        <c:ser>
          <c:idx val="6"/>
          <c:order val="6"/>
          <c:tx>
            <c:v>Punto actual</c:v>
          </c:tx>
          <c:spPr>
            <a:ln>
              <a:noFill/>
            </a:ln>
          </c:spPr>
          <c:marker>
            <c:symbol val="circle"/>
            <c:size val="9"/>
            <c:spPr>
              <a:solidFill>
                <a:srgbClr val="C00000"/>
              </a:solidFill>
              <a:ln>
                <a:solidFill>
                  <a:srgbClr val="000000"/>
                </a:solidFill>
              </a:ln>
            </c:spPr>
          </c:marker>
          <c:xVal>
            <c:numRef>
              <c:f>'U1 Caja de cambios'!$BO$3:$BO$3</c:f>
              <c:numCache>
                <c:formatCode>0.000</c:formatCode>
                <c:ptCount val="1"/>
                <c:pt idx="0">
                  <c:v>57.892971758664956</c:v>
                </c:pt>
              </c:numCache>
            </c:numRef>
          </c:xVal>
          <c:yVal>
            <c:numRef>
              <c:f>'U1 Caja de cambios'!$BP$3:$BP$3</c:f>
              <c:numCache>
                <c:formatCode>0.000</c:formatCode>
                <c:ptCount val="1"/>
                <c:pt idx="0">
                  <c:v>4385.5263157894742</c:v>
                </c:pt>
              </c:numCache>
            </c:numRef>
          </c:yVal>
          <c:smooth val="0"/>
          <c:extLst>
            <c:ext xmlns:c16="http://schemas.microsoft.com/office/drawing/2014/chart" uri="{C3380CC4-5D6E-409C-BE32-E72D297353CC}">
              <c16:uniqueId val="{00000006-E466-4536-A680-8358B715D2CE}"/>
            </c:ext>
          </c:extLst>
        </c:ser>
        <c:dLbls>
          <c:showLegendKey val="0"/>
          <c:showVal val="0"/>
          <c:showCatName val="0"/>
          <c:showSerName val="0"/>
          <c:showPercent val="0"/>
          <c:showBubbleSize val="0"/>
        </c:dLbls>
        <c:axId val="50010001"/>
        <c:axId val="50010002"/>
      </c:scatterChart>
      <c:valAx>
        <c:axId val="50010001"/>
        <c:scaling>
          <c:orientation val="minMax"/>
        </c:scaling>
        <c:delete val="0"/>
        <c:axPos val="b"/>
        <c:majorGridlines>
          <c:spPr>
            <a:ln>
              <a:solidFill>
                <a:srgbClr val="E0E0E0"/>
              </a:solidFill>
            </a:ln>
          </c:spPr>
        </c:majorGridlines>
        <c:title>
          <c:tx>
            <c:rich>
              <a:bodyPr/>
              <a:lstStyle/>
              <a:p>
                <a:pPr>
                  <a:defRPr sz="900" b="0" baseline="0"/>
                </a:pPr>
                <a:r>
                  <a:rPr lang="en-US" sz="900" b="0" baseline="0"/>
                  <a:t>Velocidad del vehículo [km/h]</a:t>
                </a:r>
              </a:p>
            </c:rich>
          </c:tx>
          <c:overlay val="0"/>
        </c:title>
        <c:numFmt formatCode="0.000" sourceLinked="1"/>
        <c:majorTickMark val="out"/>
        <c:minorTickMark val="none"/>
        <c:tickLblPos val="nextTo"/>
        <c:txPr>
          <a:bodyPr/>
          <a:lstStyle/>
          <a:p>
            <a:pPr>
              <a:defRPr sz="800" baseline="0"/>
            </a:pPr>
            <a:endParaRPr lang="en-US"/>
          </a:p>
        </c:txPr>
        <c:crossAx val="50010002"/>
        <c:crosses val="autoZero"/>
        <c:crossBetween val="midCat"/>
      </c:valAx>
      <c:valAx>
        <c:axId val="50010002"/>
        <c:scaling>
          <c:orientation val="minMax"/>
          <c:max val="7000"/>
          <c:min val="0"/>
        </c:scaling>
        <c:delete val="0"/>
        <c:axPos val="l"/>
        <c:majorGridlines>
          <c:spPr>
            <a:ln>
              <a:solidFill>
                <a:srgbClr val="E0E0E0"/>
              </a:solidFill>
            </a:ln>
          </c:spPr>
        </c:majorGridlines>
        <c:title>
          <c:tx>
            <c:rich>
              <a:bodyPr rot="-5400000" vert="horz"/>
              <a:lstStyle/>
              <a:p>
                <a:pPr>
                  <a:defRPr sz="900" b="0" baseline="0"/>
                </a:pPr>
                <a:r>
                  <a:rPr lang="en-US" sz="900" b="0" baseline="0"/>
                  <a:t>Régimen del motor [min⁻¹]</a:t>
                </a:r>
              </a:p>
            </c:rich>
          </c:tx>
          <c:overlay val="0"/>
        </c:title>
        <c:numFmt formatCode="0.000" sourceLinked="1"/>
        <c:majorTickMark val="out"/>
        <c:minorTickMark val="none"/>
        <c:tickLblPos val="nextTo"/>
        <c:txPr>
          <a:bodyPr/>
          <a:lstStyle/>
          <a:p>
            <a:pPr>
              <a:defRPr sz="800" baseline="0"/>
            </a:pPr>
            <a:endParaRPr lang="en-US"/>
          </a:p>
        </c:txPr>
        <c:crossAx val="50010001"/>
        <c:crosses val="autoZero"/>
        <c:crossBetween val="midCat"/>
        <c:majorUnit val="1000"/>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Fuerza de tracción y resistencias al avance</a:t>
            </a:r>
          </a:p>
        </c:rich>
      </c:tx>
      <c:overlay val="0"/>
    </c:title>
    <c:autoTitleDeleted val="0"/>
    <c:plotArea>
      <c:layout/>
      <c:scatterChart>
        <c:scatterStyle val="lineMarker"/>
        <c:varyColors val="0"/>
        <c:ser>
          <c:idx val="0"/>
          <c:order val="0"/>
          <c:tx>
            <c:v>1ª</c:v>
          </c:tx>
          <c:spPr>
            <a:ln w="25400">
              <a:solidFill>
                <a:srgbClr val="2E75B6"/>
              </a:solidFill>
            </a:ln>
          </c:spPr>
          <c:marker>
            <c:symbol val="none"/>
          </c:marker>
          <c:xVal>
            <c:numRef>
              <c:f>'U1 Caja de cambios'!$AC$3:$AC$14</c:f>
              <c:numCache>
                <c:formatCode>0.000</c:formatCode>
                <c:ptCount val="12"/>
                <c:pt idx="0">
                  <c:v>7.4485624744515606</c:v>
                </c:pt>
                <c:pt idx="1">
                  <c:v>11.17284371167734</c:v>
                </c:pt>
                <c:pt idx="2">
                  <c:v>14.897124948903121</c:v>
                </c:pt>
                <c:pt idx="3">
                  <c:v>18.621406186128901</c:v>
                </c:pt>
                <c:pt idx="4">
                  <c:v>22.345687423354679</c:v>
                </c:pt>
                <c:pt idx="5">
                  <c:v>26.069968660580461</c:v>
                </c:pt>
                <c:pt idx="6">
                  <c:v>29.794249897806242</c:v>
                </c:pt>
                <c:pt idx="7">
                  <c:v>33.518531135032021</c:v>
                </c:pt>
                <c:pt idx="8">
                  <c:v>37.242812372257802</c:v>
                </c:pt>
                <c:pt idx="9">
                  <c:v>40.967093609483577</c:v>
                </c:pt>
                <c:pt idx="10">
                  <c:v>44.691374846709358</c:v>
                </c:pt>
                <c:pt idx="11">
                  <c:v>48.41565608393514</c:v>
                </c:pt>
              </c:numCache>
            </c:numRef>
          </c:xVal>
          <c:yVal>
            <c:numRef>
              <c:f>'U1 Caja de cambios'!$AD$3:$AD$14</c:f>
              <c:numCache>
                <c:formatCode>0.000</c:formatCode>
                <c:ptCount val="12"/>
                <c:pt idx="0">
                  <c:v>5010.7655172413797</c:v>
                </c:pt>
                <c:pt idx="1">
                  <c:v>5694.0517241379312</c:v>
                </c:pt>
                <c:pt idx="2">
                  <c:v>6149.5758620689658</c:v>
                </c:pt>
                <c:pt idx="3">
                  <c:v>6468.4427586206893</c:v>
                </c:pt>
                <c:pt idx="4">
                  <c:v>6650.6524137931028</c:v>
                </c:pt>
                <c:pt idx="5">
                  <c:v>6741.7572413793105</c:v>
                </c:pt>
                <c:pt idx="6">
                  <c:v>6696.2048275862062</c:v>
                </c:pt>
                <c:pt idx="7">
                  <c:v>6559.547586206897</c:v>
                </c:pt>
                <c:pt idx="8">
                  <c:v>6286.2331034482759</c:v>
                </c:pt>
                <c:pt idx="9">
                  <c:v>5921.8137931034489</c:v>
                </c:pt>
                <c:pt idx="10">
                  <c:v>5466.2896551724143</c:v>
                </c:pt>
                <c:pt idx="11">
                  <c:v>4783.003448275862</c:v>
                </c:pt>
              </c:numCache>
            </c:numRef>
          </c:yVal>
          <c:smooth val="1"/>
          <c:extLst>
            <c:ext xmlns:c16="http://schemas.microsoft.com/office/drawing/2014/chart" uri="{C3380CC4-5D6E-409C-BE32-E72D297353CC}">
              <c16:uniqueId val="{00000000-04B0-4183-BDA0-5B975CBDF29E}"/>
            </c:ext>
          </c:extLst>
        </c:ser>
        <c:ser>
          <c:idx val="1"/>
          <c:order val="1"/>
          <c:tx>
            <c:v>2ª</c:v>
          </c:tx>
          <c:spPr>
            <a:ln w="25400">
              <a:solidFill>
                <a:srgbClr val="C55A11"/>
              </a:solidFill>
            </a:ln>
          </c:spPr>
          <c:marker>
            <c:symbol val="none"/>
          </c:marker>
          <c:xVal>
            <c:numRef>
              <c:f>'U1 Caja de cambios'!$AE$3:$AE$14</c:f>
              <c:numCache>
                <c:formatCode>0.000</c:formatCode>
                <c:ptCount val="12"/>
                <c:pt idx="0">
                  <c:v>13.200917652740884</c:v>
                </c:pt>
                <c:pt idx="1">
                  <c:v>19.801376479111322</c:v>
                </c:pt>
                <c:pt idx="2">
                  <c:v>26.401835305481768</c:v>
                </c:pt>
                <c:pt idx="3">
                  <c:v>33.00229413185221</c:v>
                </c:pt>
                <c:pt idx="4">
                  <c:v>39.602752958222645</c:v>
                </c:pt>
                <c:pt idx="5">
                  <c:v>46.203211784593087</c:v>
                </c:pt>
                <c:pt idx="6">
                  <c:v>52.803670610963536</c:v>
                </c:pt>
                <c:pt idx="7">
                  <c:v>59.404129437333971</c:v>
                </c:pt>
                <c:pt idx="8">
                  <c:v>66.00458826370442</c:v>
                </c:pt>
                <c:pt idx="9">
                  <c:v>72.605047090074848</c:v>
                </c:pt>
                <c:pt idx="10">
                  <c:v>79.20550591644529</c:v>
                </c:pt>
                <c:pt idx="11">
                  <c:v>85.805964742815746</c:v>
                </c:pt>
              </c:numCache>
            </c:numRef>
          </c:xVal>
          <c:yVal>
            <c:numRef>
              <c:f>'U1 Caja de cambios'!$AF$3:$AF$14</c:f>
              <c:numCache>
                <c:formatCode>0.000</c:formatCode>
                <c:ptCount val="12"/>
                <c:pt idx="0">
                  <c:v>2827.3034482758621</c:v>
                </c:pt>
                <c:pt idx="1">
                  <c:v>3212.844827586207</c:v>
                </c:pt>
                <c:pt idx="2">
                  <c:v>3469.8724137931035</c:v>
                </c:pt>
                <c:pt idx="3">
                  <c:v>3649.7917241379319</c:v>
                </c:pt>
                <c:pt idx="4">
                  <c:v>3752.6027586206906</c:v>
                </c:pt>
                <c:pt idx="5">
                  <c:v>3804.0082758620697</c:v>
                </c:pt>
                <c:pt idx="6">
                  <c:v>3778.3055172413792</c:v>
                </c:pt>
                <c:pt idx="7">
                  <c:v>3701.1972413793105</c:v>
                </c:pt>
                <c:pt idx="8">
                  <c:v>3546.9806896551722</c:v>
                </c:pt>
                <c:pt idx="9">
                  <c:v>3341.3586206896557</c:v>
                </c:pt>
                <c:pt idx="10">
                  <c:v>3084.3310344827587</c:v>
                </c:pt>
                <c:pt idx="11">
                  <c:v>2698.7896551724139</c:v>
                </c:pt>
              </c:numCache>
            </c:numRef>
          </c:yVal>
          <c:smooth val="1"/>
          <c:extLst>
            <c:ext xmlns:c16="http://schemas.microsoft.com/office/drawing/2014/chart" uri="{C3380CC4-5D6E-409C-BE32-E72D297353CC}">
              <c16:uniqueId val="{00000001-04B0-4183-BDA0-5B975CBDF29E}"/>
            </c:ext>
          </c:extLst>
        </c:ser>
        <c:ser>
          <c:idx val="2"/>
          <c:order val="2"/>
          <c:tx>
            <c:v>3ª</c:v>
          </c:tx>
          <c:spPr>
            <a:ln w="25400">
              <a:solidFill>
                <a:srgbClr val="548235"/>
              </a:solidFill>
            </a:ln>
          </c:spPr>
          <c:marker>
            <c:symbol val="none"/>
          </c:marker>
          <c:xVal>
            <c:numRef>
              <c:f>'U1 Caja de cambios'!$AG$3:$AG$14</c:f>
              <c:numCache>
                <c:formatCode>0.000</c:formatCode>
                <c:ptCount val="12"/>
                <c:pt idx="0">
                  <c:v>20.201404286770142</c:v>
                </c:pt>
                <c:pt idx="1">
                  <c:v>30.302106430155206</c:v>
                </c:pt>
                <c:pt idx="2">
                  <c:v>40.402808573540284</c:v>
                </c:pt>
                <c:pt idx="3">
                  <c:v>50.503510716925348</c:v>
                </c:pt>
                <c:pt idx="4">
                  <c:v>60.604212860310412</c:v>
                </c:pt>
                <c:pt idx="5">
                  <c:v>70.70491500369549</c:v>
                </c:pt>
                <c:pt idx="6">
                  <c:v>80.805617147080568</c:v>
                </c:pt>
                <c:pt idx="7">
                  <c:v>90.906319290465632</c:v>
                </c:pt>
                <c:pt idx="8">
                  <c:v>101.0070214338507</c:v>
                </c:pt>
                <c:pt idx="9">
                  <c:v>111.10772357723576</c:v>
                </c:pt>
                <c:pt idx="10">
                  <c:v>121.20842572062082</c:v>
                </c:pt>
                <c:pt idx="11">
                  <c:v>131.30912786400592</c:v>
                </c:pt>
              </c:numCache>
            </c:numRef>
          </c:xVal>
          <c:yVal>
            <c:numRef>
              <c:f>'U1 Caja de cambios'!$AH$3:$AH$14</c:f>
              <c:numCache>
                <c:formatCode>0.000</c:formatCode>
                <c:ptCount val="12"/>
                <c:pt idx="0">
                  <c:v>1847.544827586207</c:v>
                </c:pt>
                <c:pt idx="1">
                  <c:v>2099.4827586206898</c:v>
                </c:pt>
                <c:pt idx="2">
                  <c:v>2267.4413793103449</c:v>
                </c:pt>
                <c:pt idx="3">
                  <c:v>2385.0124137931034</c:v>
                </c:pt>
                <c:pt idx="4">
                  <c:v>2452.1958620689661</c:v>
                </c:pt>
                <c:pt idx="5">
                  <c:v>2485.7875862068968</c:v>
                </c:pt>
                <c:pt idx="6">
                  <c:v>2468.9917241379312</c:v>
                </c:pt>
                <c:pt idx="7">
                  <c:v>2418.604137931035</c:v>
                </c:pt>
                <c:pt idx="8">
                  <c:v>2317.8289655172416</c:v>
                </c:pt>
                <c:pt idx="9">
                  <c:v>2183.4620689655171</c:v>
                </c:pt>
                <c:pt idx="10">
                  <c:v>2015.5034482758622</c:v>
                </c:pt>
                <c:pt idx="11">
                  <c:v>1763.5655172413794</c:v>
                </c:pt>
              </c:numCache>
            </c:numRef>
          </c:yVal>
          <c:smooth val="1"/>
          <c:extLst>
            <c:ext xmlns:c16="http://schemas.microsoft.com/office/drawing/2014/chart" uri="{C3380CC4-5D6E-409C-BE32-E72D297353CC}">
              <c16:uniqueId val="{00000002-04B0-4183-BDA0-5B975CBDF29E}"/>
            </c:ext>
          </c:extLst>
        </c:ser>
        <c:ser>
          <c:idx val="3"/>
          <c:order val="3"/>
          <c:tx>
            <c:v>4ª</c:v>
          </c:tx>
          <c:spPr>
            <a:ln w="25400">
              <a:solidFill>
                <a:srgbClr val="7030A0"/>
              </a:solidFill>
            </a:ln>
          </c:spPr>
          <c:marker>
            <c:symbol val="none"/>
          </c:marker>
          <c:xVal>
            <c:numRef>
              <c:f>'U1 Caja de cambios'!$AI$3:$AI$14</c:f>
              <c:numCache>
                <c:formatCode>0.000</c:formatCode>
                <c:ptCount val="12"/>
                <c:pt idx="0">
                  <c:v>27.490570781996482</c:v>
                </c:pt>
                <c:pt idx="1">
                  <c:v>41.235856172994723</c:v>
                </c:pt>
                <c:pt idx="2">
                  <c:v>54.981141563992963</c:v>
                </c:pt>
                <c:pt idx="3">
                  <c:v>68.726426954991211</c:v>
                </c:pt>
                <c:pt idx="4">
                  <c:v>82.471712345989445</c:v>
                </c:pt>
                <c:pt idx="5">
                  <c:v>96.216997736987693</c:v>
                </c:pt>
                <c:pt idx="6">
                  <c:v>109.96228312798593</c:v>
                </c:pt>
                <c:pt idx="7">
                  <c:v>123.70756851898416</c:v>
                </c:pt>
                <c:pt idx="8">
                  <c:v>137.45285390998242</c:v>
                </c:pt>
                <c:pt idx="9">
                  <c:v>151.19813930098064</c:v>
                </c:pt>
                <c:pt idx="10">
                  <c:v>164.94342469197889</c:v>
                </c:pt>
                <c:pt idx="11">
                  <c:v>178.68871008297714</c:v>
                </c:pt>
              </c:numCache>
            </c:numRef>
          </c:xVal>
          <c:yVal>
            <c:numRef>
              <c:f>'U1 Caja de cambios'!$AJ$3:$AJ$14</c:f>
              <c:numCache>
                <c:formatCode>0.000</c:formatCode>
                <c:ptCount val="12"/>
                <c:pt idx="0">
                  <c:v>1357.6655172413793</c:v>
                </c:pt>
                <c:pt idx="1">
                  <c:v>1542.8017241379309</c:v>
                </c:pt>
                <c:pt idx="2">
                  <c:v>1666.2258620689654</c:v>
                </c:pt>
                <c:pt idx="3">
                  <c:v>1752.6227586206896</c:v>
                </c:pt>
                <c:pt idx="4">
                  <c:v>1801.9924137931032</c:v>
                </c:pt>
                <c:pt idx="5">
                  <c:v>1826.6772413793101</c:v>
                </c:pt>
                <c:pt idx="6">
                  <c:v>1814.3348275862068</c:v>
                </c:pt>
                <c:pt idx="7">
                  <c:v>1777.3075862068965</c:v>
                </c:pt>
                <c:pt idx="8">
                  <c:v>1703.2531034482759</c:v>
                </c:pt>
                <c:pt idx="9">
                  <c:v>1604.5137931034481</c:v>
                </c:pt>
                <c:pt idx="10">
                  <c:v>1481.0896551724138</c:v>
                </c:pt>
                <c:pt idx="11">
                  <c:v>1295.953448275862</c:v>
                </c:pt>
              </c:numCache>
            </c:numRef>
          </c:yVal>
          <c:smooth val="1"/>
          <c:extLst>
            <c:ext xmlns:c16="http://schemas.microsoft.com/office/drawing/2014/chart" uri="{C3380CC4-5D6E-409C-BE32-E72D297353CC}">
              <c16:uniqueId val="{00000003-04B0-4183-BDA0-5B975CBDF29E}"/>
            </c:ext>
          </c:extLst>
        </c:ser>
        <c:ser>
          <c:idx val="4"/>
          <c:order val="4"/>
          <c:tx>
            <c:v>5ª</c:v>
          </c:tx>
          <c:spPr>
            <a:ln w="25400">
              <a:solidFill>
                <a:srgbClr val="C00000"/>
              </a:solidFill>
            </a:ln>
          </c:spPr>
          <c:marker>
            <c:symbol val="none"/>
          </c:marker>
          <c:xVal>
            <c:numRef>
              <c:f>'U1 Caja de cambios'!$AK$3:$AK$14</c:f>
              <c:numCache>
                <c:formatCode>0.000</c:formatCode>
                <c:ptCount val="12"/>
                <c:pt idx="0">
                  <c:v>35.086649550706035</c:v>
                </c:pt>
                <c:pt idx="1">
                  <c:v>52.629974326059049</c:v>
                </c:pt>
                <c:pt idx="2">
                  <c:v>70.17329910141207</c:v>
                </c:pt>
                <c:pt idx="3">
                  <c:v>87.716623876765084</c:v>
                </c:pt>
                <c:pt idx="4">
                  <c:v>105.2599486521181</c:v>
                </c:pt>
                <c:pt idx="5">
                  <c:v>122.80327342747113</c:v>
                </c:pt>
                <c:pt idx="6">
                  <c:v>140.34659820282414</c:v>
                </c:pt>
                <c:pt idx="7">
                  <c:v>157.88992297817714</c:v>
                </c:pt>
                <c:pt idx="8">
                  <c:v>175.43324775353017</c:v>
                </c:pt>
                <c:pt idx="9">
                  <c:v>192.9765725288832</c:v>
                </c:pt>
                <c:pt idx="10">
                  <c:v>210.5198973042362</c:v>
                </c:pt>
                <c:pt idx="11">
                  <c:v>228.06322207958922</c:v>
                </c:pt>
              </c:numCache>
            </c:numRef>
          </c:xVal>
          <c:yVal>
            <c:numRef>
              <c:f>'U1 Caja de cambios'!$AL$3:$AL$14</c:f>
              <c:numCache>
                <c:formatCode>0.000</c:formatCode>
                <c:ptCount val="12"/>
                <c:pt idx="0">
                  <c:v>1063.7379310344827</c:v>
                </c:pt>
                <c:pt idx="1">
                  <c:v>1208.7931034482758</c:v>
                </c:pt>
                <c:pt idx="2">
                  <c:v>1305.496551724138</c:v>
                </c:pt>
                <c:pt idx="3">
                  <c:v>1373.1889655172415</c:v>
                </c:pt>
                <c:pt idx="4">
                  <c:v>1411.8703448275862</c:v>
                </c:pt>
                <c:pt idx="5">
                  <c:v>1431.2110344827586</c:v>
                </c:pt>
                <c:pt idx="6">
                  <c:v>1421.5406896551724</c:v>
                </c:pt>
                <c:pt idx="7">
                  <c:v>1392.5296551724139</c:v>
                </c:pt>
                <c:pt idx="8">
                  <c:v>1334.5075862068966</c:v>
                </c:pt>
                <c:pt idx="9">
                  <c:v>1257.1448275862067</c:v>
                </c:pt>
                <c:pt idx="10">
                  <c:v>1160.4413793103447</c:v>
                </c:pt>
                <c:pt idx="11">
                  <c:v>1015.3862068965518</c:v>
                </c:pt>
              </c:numCache>
            </c:numRef>
          </c:yVal>
          <c:smooth val="1"/>
          <c:extLst>
            <c:ext xmlns:c16="http://schemas.microsoft.com/office/drawing/2014/chart" uri="{C3380CC4-5D6E-409C-BE32-E72D297353CC}">
              <c16:uniqueId val="{00000004-04B0-4183-BDA0-5B975CBDF29E}"/>
            </c:ext>
          </c:extLst>
        </c:ser>
        <c:ser>
          <c:idx val="5"/>
          <c:order val="5"/>
          <c:tx>
            <c:v>Resistencia al avance</c:v>
          </c:tx>
          <c:spPr>
            <a:ln w="28575">
              <a:solidFill>
                <a:srgbClr val="000000"/>
              </a:solidFill>
            </a:ln>
          </c:spPr>
          <c:marker>
            <c:symbol val="none"/>
          </c:marker>
          <c:xVal>
            <c:numRef>
              <c:f>'U1 Caja de cambios'!$AV$3:$AV$25</c:f>
              <c:numCache>
                <c:formatCode>0.000</c:formatCode>
                <c:ptCount val="23"/>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numCache>
            </c:numRef>
          </c:xVal>
          <c:yVal>
            <c:numRef>
              <c:f>'U1 Caja de cambios'!$AW$3:$AW$25</c:f>
              <c:numCache>
                <c:formatCode>0.000</c:formatCode>
                <c:ptCount val="23"/>
                <c:pt idx="0">
                  <c:v>176.57999999999998</c:v>
                </c:pt>
                <c:pt idx="1">
                  <c:v>179.54296296296295</c:v>
                </c:pt>
                <c:pt idx="2">
                  <c:v>188.43185185185183</c:v>
                </c:pt>
                <c:pt idx="3">
                  <c:v>203.24666666666667</c:v>
                </c:pt>
                <c:pt idx="4">
                  <c:v>223.98740740740737</c:v>
                </c:pt>
                <c:pt idx="5">
                  <c:v>250.65407407407406</c:v>
                </c:pt>
                <c:pt idx="6">
                  <c:v>283.24666666666667</c:v>
                </c:pt>
                <c:pt idx="7">
                  <c:v>321.76518518518515</c:v>
                </c:pt>
                <c:pt idx="8">
                  <c:v>366.2096296296296</c:v>
                </c:pt>
                <c:pt idx="9">
                  <c:v>416.58</c:v>
                </c:pt>
                <c:pt idx="10">
                  <c:v>472.87629629629629</c:v>
                </c:pt>
                <c:pt idx="11">
                  <c:v>535.0985185185184</c:v>
                </c:pt>
                <c:pt idx="12">
                  <c:v>603.24666666666667</c:v>
                </c:pt>
                <c:pt idx="13">
                  <c:v>677.32074074074058</c:v>
                </c:pt>
                <c:pt idx="14">
                  <c:v>757.32074074074058</c:v>
                </c:pt>
                <c:pt idx="15">
                  <c:v>843.24666666666667</c:v>
                </c:pt>
                <c:pt idx="16">
                  <c:v>935.0985185185184</c:v>
                </c:pt>
                <c:pt idx="17">
                  <c:v>1032.8762962962962</c:v>
                </c:pt>
                <c:pt idx="18">
                  <c:v>1136.58</c:v>
                </c:pt>
                <c:pt idx="19">
                  <c:v>1246.2096296296295</c:v>
                </c:pt>
                <c:pt idx="20">
                  <c:v>1361.7651851851851</c:v>
                </c:pt>
                <c:pt idx="21">
                  <c:v>1483.2466666666664</c:v>
                </c:pt>
                <c:pt idx="22">
                  <c:v>1610.6540740740738</c:v>
                </c:pt>
              </c:numCache>
            </c:numRef>
          </c:yVal>
          <c:smooth val="1"/>
          <c:extLst>
            <c:ext xmlns:c16="http://schemas.microsoft.com/office/drawing/2014/chart" uri="{C3380CC4-5D6E-409C-BE32-E72D297353CC}">
              <c16:uniqueId val="{00000005-04B0-4183-BDA0-5B975CBDF29E}"/>
            </c:ext>
          </c:extLst>
        </c:ser>
        <c:ser>
          <c:idx val="6"/>
          <c:order val="6"/>
          <c:tx>
            <c:v>Límite de adherencia</c:v>
          </c:tx>
          <c:spPr>
            <a:ln w="19050">
              <a:solidFill>
                <a:srgbClr val="7F7F7F"/>
              </a:solidFill>
              <a:prstDash val="dash"/>
            </a:ln>
          </c:spPr>
          <c:marker>
            <c:symbol val="none"/>
          </c:marker>
          <c:xVal>
            <c:numRef>
              <c:f>'U1 Caja de cambios'!$AX$3:$AX$4</c:f>
              <c:numCache>
                <c:formatCode>0.000</c:formatCode>
                <c:ptCount val="2"/>
                <c:pt idx="0">
                  <c:v>0</c:v>
                </c:pt>
                <c:pt idx="1">
                  <c:v>220</c:v>
                </c:pt>
              </c:numCache>
            </c:numRef>
          </c:xVal>
          <c:yVal>
            <c:numRef>
              <c:f>'U1 Caja de cambios'!$AY$3:$AY$4</c:f>
              <c:numCache>
                <c:formatCode>0.000</c:formatCode>
                <c:ptCount val="2"/>
                <c:pt idx="0">
                  <c:v>5650.56</c:v>
                </c:pt>
                <c:pt idx="1">
                  <c:v>5650.56</c:v>
                </c:pt>
              </c:numCache>
            </c:numRef>
          </c:yVal>
          <c:smooth val="0"/>
          <c:extLst>
            <c:ext xmlns:c16="http://schemas.microsoft.com/office/drawing/2014/chart" uri="{C3380CC4-5D6E-409C-BE32-E72D297353CC}">
              <c16:uniqueId val="{00000006-04B0-4183-BDA0-5B975CBDF29E}"/>
            </c:ext>
          </c:extLst>
        </c:ser>
        <c:ser>
          <c:idx val="7"/>
          <c:order val="7"/>
          <c:tx>
            <c:v>Punto actual</c:v>
          </c:tx>
          <c:spPr>
            <a:ln>
              <a:noFill/>
            </a:ln>
          </c:spPr>
          <c:marker>
            <c:symbol val="circle"/>
            <c:size val="9"/>
            <c:spPr>
              <a:solidFill>
                <a:srgbClr val="C00000"/>
              </a:solidFill>
              <a:ln>
                <a:solidFill>
                  <a:srgbClr val="000000"/>
                </a:solidFill>
              </a:ln>
            </c:spPr>
          </c:marker>
          <c:xVal>
            <c:numRef>
              <c:f>'U1 Caja de cambios'!$BQ$3:$BQ$3</c:f>
              <c:numCache>
                <c:formatCode>0.000</c:formatCode>
                <c:ptCount val="1"/>
                <c:pt idx="0">
                  <c:v>57.892971758664956</c:v>
                </c:pt>
              </c:numCache>
            </c:numRef>
          </c:xVal>
          <c:yVal>
            <c:numRef>
              <c:f>'U1 Caja de cambios'!$BR$3:$BR$3</c:f>
              <c:numCache>
                <c:formatCode>0.000</c:formatCode>
                <c:ptCount val="1"/>
                <c:pt idx="0">
                  <c:v>3718.8509782214164</c:v>
                </c:pt>
              </c:numCache>
            </c:numRef>
          </c:yVal>
          <c:smooth val="0"/>
          <c:extLst>
            <c:ext xmlns:c16="http://schemas.microsoft.com/office/drawing/2014/chart" uri="{C3380CC4-5D6E-409C-BE32-E72D297353CC}">
              <c16:uniqueId val="{00000007-04B0-4183-BDA0-5B975CBDF29E}"/>
            </c:ext>
          </c:extLst>
        </c:ser>
        <c:dLbls>
          <c:showLegendKey val="0"/>
          <c:showVal val="0"/>
          <c:showCatName val="0"/>
          <c:showSerName val="0"/>
          <c:showPercent val="0"/>
          <c:showBubbleSize val="0"/>
        </c:dLbls>
        <c:axId val="50020001"/>
        <c:axId val="50020002"/>
      </c:scatterChart>
      <c:valAx>
        <c:axId val="50020001"/>
        <c:scaling>
          <c:orientation val="minMax"/>
        </c:scaling>
        <c:delete val="0"/>
        <c:axPos val="b"/>
        <c:majorGridlines>
          <c:spPr>
            <a:ln>
              <a:solidFill>
                <a:srgbClr val="E0E0E0"/>
              </a:solidFill>
            </a:ln>
          </c:spPr>
        </c:majorGridlines>
        <c:title>
          <c:tx>
            <c:rich>
              <a:bodyPr/>
              <a:lstStyle/>
              <a:p>
                <a:pPr>
                  <a:defRPr sz="900" b="0" baseline="0"/>
                </a:pPr>
                <a:r>
                  <a:rPr lang="en-US" sz="900" b="0" baseline="0"/>
                  <a:t>Velocidad del vehículo [km/h]</a:t>
                </a:r>
              </a:p>
            </c:rich>
          </c:tx>
          <c:overlay val="0"/>
        </c:title>
        <c:numFmt formatCode="0.000" sourceLinked="1"/>
        <c:majorTickMark val="out"/>
        <c:minorTickMark val="none"/>
        <c:tickLblPos val="nextTo"/>
        <c:txPr>
          <a:bodyPr/>
          <a:lstStyle/>
          <a:p>
            <a:pPr>
              <a:defRPr sz="800" baseline="0"/>
            </a:pPr>
            <a:endParaRPr lang="en-US"/>
          </a:p>
        </c:txPr>
        <c:crossAx val="50020002"/>
        <c:crosses val="autoZero"/>
        <c:crossBetween val="midCat"/>
      </c:valAx>
      <c:valAx>
        <c:axId val="50020002"/>
        <c:scaling>
          <c:orientation val="minMax"/>
        </c:scaling>
        <c:delete val="0"/>
        <c:axPos val="l"/>
        <c:majorGridlines>
          <c:spPr>
            <a:ln>
              <a:solidFill>
                <a:srgbClr val="E0E0E0"/>
              </a:solidFill>
            </a:ln>
          </c:spPr>
        </c:majorGridlines>
        <c:title>
          <c:tx>
            <c:rich>
              <a:bodyPr rot="-5400000" vert="horz"/>
              <a:lstStyle/>
              <a:p>
                <a:pPr>
                  <a:defRPr sz="900" b="0" baseline="0"/>
                </a:pPr>
                <a:r>
                  <a:rPr lang="en-US" sz="900" b="0" baseline="0"/>
                  <a:t>Fuerza [N]</a:t>
                </a:r>
              </a:p>
            </c:rich>
          </c:tx>
          <c:overlay val="0"/>
        </c:title>
        <c:numFmt formatCode="0.000" sourceLinked="1"/>
        <c:majorTickMark val="out"/>
        <c:minorTickMark val="none"/>
        <c:tickLblPos val="nextTo"/>
        <c:txPr>
          <a:bodyPr/>
          <a:lstStyle/>
          <a:p>
            <a:pPr>
              <a:defRPr sz="800" baseline="0"/>
            </a:pPr>
            <a:endParaRPr lang="en-US"/>
          </a:p>
        </c:txPr>
        <c:crossAx val="50020001"/>
        <c:crosses val="autoZero"/>
        <c:crossBetween val="midCat"/>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'U1 Caja de cambios'!$BS$1</c:f>
          <c:strCache>
            <c:ptCount val="1"/>
            <c:pt idx="0">
              <c:v>Par de engranajes de 2ª marcha (i = 2.02)</c:v>
            </c:pt>
          </c:strCache>
        </c:strRef>
      </c:tx>
      <c:overlay val="0"/>
      <c:txPr>
        <a:bodyPr/>
        <a:lstStyle/>
        <a:p>
          <a:pPr>
            <a:defRPr sz="1100" b="1" baseline="0">
              <a:solidFill>
                <a:srgbClr val="1F3864"/>
              </a:solidFill>
            </a:defRPr>
          </a:pPr>
          <a:endParaRPr lang="en-US"/>
        </a:p>
      </c:txPr>
    </c:title>
    <c:autoTitleDeleted val="0"/>
    <c:plotArea>
      <c:layout>
        <c:manualLayout>
          <c:layoutTarget val="inner"/>
          <c:xMode val="edge"/>
          <c:yMode val="edge"/>
          <c:x val="0.11363636363636365"/>
          <c:y val="0.12"/>
          <c:w val="0.77272727272727271"/>
          <c:h val="0.85"/>
        </c:manualLayout>
      </c:layout>
      <c:scatterChart>
        <c:scatterStyle val="lineMarker"/>
        <c:varyColors val="0"/>
        <c:ser>
          <c:idx val="0"/>
          <c:order val="0"/>
          <c:tx>
            <c:v>Conductor</c:v>
          </c:tx>
          <c:spPr>
            <a:ln w="31750">
              <a:solidFill>
                <a:srgbClr val="C55A11"/>
              </a:solidFill>
            </a:ln>
          </c:spPr>
          <c:marker>
            <c:symbol val="none"/>
          </c:marker>
          <c:xVal>
            <c:numRef>
              <c:f>'U1 Caja de cambios'!$BS$4:$BS$40</c:f>
              <c:numCache>
                <c:formatCode>0.000</c:formatCode>
                <c:ptCount val="37"/>
                <c:pt idx="0">
                  <c:v>0.33112582781456956</c:v>
                </c:pt>
                <c:pt idx="1">
                  <c:v>0.32609528245437353</c:v>
                </c:pt>
                <c:pt idx="2">
                  <c:v>0.31115649694897635</c:v>
                </c:pt>
                <c:pt idx="3">
                  <c:v>0.28676337873656915</c:v>
                </c:pt>
                <c:pt idx="4">
                  <c:v>0.25365710037052253</c:v>
                </c:pt>
                <c:pt idx="5">
                  <c:v>0.21284357936640377</c:v>
                </c:pt>
                <c:pt idx="6">
                  <c:v>0.16556291390728481</c:v>
                </c:pt>
                <c:pt idx="7">
                  <c:v>0.11325170308796982</c:v>
                </c:pt>
                <c:pt idx="8">
                  <c:v>5.7499396578453786E-2</c:v>
                </c:pt>
                <c:pt idx="9">
                  <c:v>2.0283914816367884E-17</c:v>
                </c:pt>
                <c:pt idx="10">
                  <c:v>-5.7499396578453744E-2</c:v>
                </c:pt>
                <c:pt idx="11">
                  <c:v>-0.11325170308796978</c:v>
                </c:pt>
                <c:pt idx="12">
                  <c:v>-0.1655629139072847</c:v>
                </c:pt>
                <c:pt idx="13">
                  <c:v>-0.21284357936640377</c:v>
                </c:pt>
                <c:pt idx="14">
                  <c:v>-0.25365710037052253</c:v>
                </c:pt>
                <c:pt idx="15">
                  <c:v>-0.28676337873656915</c:v>
                </c:pt>
                <c:pt idx="16">
                  <c:v>-0.31115649694897629</c:v>
                </c:pt>
                <c:pt idx="17">
                  <c:v>-0.32609528245437353</c:v>
                </c:pt>
                <c:pt idx="18">
                  <c:v>-0.33112582781456956</c:v>
                </c:pt>
                <c:pt idx="19">
                  <c:v>-0.32609528245437353</c:v>
                </c:pt>
                <c:pt idx="20">
                  <c:v>-0.31115649694897635</c:v>
                </c:pt>
                <c:pt idx="21">
                  <c:v>-0.2867633787365691</c:v>
                </c:pt>
                <c:pt idx="22">
                  <c:v>-0.25365710037052253</c:v>
                </c:pt>
                <c:pt idx="23">
                  <c:v>-0.21284357936640383</c:v>
                </c:pt>
                <c:pt idx="24">
                  <c:v>-0.16556291390728492</c:v>
                </c:pt>
                <c:pt idx="25">
                  <c:v>-0.11325170308796972</c:v>
                </c:pt>
                <c:pt idx="26">
                  <c:v>-5.7499396578453758E-2</c:v>
                </c:pt>
                <c:pt idx="27">
                  <c:v>-6.0851744449103645E-17</c:v>
                </c:pt>
                <c:pt idx="28">
                  <c:v>5.749939657845364E-2</c:v>
                </c:pt>
                <c:pt idx="29">
                  <c:v>0.11325170308796988</c:v>
                </c:pt>
                <c:pt idx="30">
                  <c:v>0.16556291390728481</c:v>
                </c:pt>
                <c:pt idx="31">
                  <c:v>0.21284357936640375</c:v>
                </c:pt>
                <c:pt idx="32">
                  <c:v>0.25365710037052247</c:v>
                </c:pt>
                <c:pt idx="33">
                  <c:v>0.28676337873656904</c:v>
                </c:pt>
                <c:pt idx="34">
                  <c:v>0.31115649694897635</c:v>
                </c:pt>
                <c:pt idx="35">
                  <c:v>0.32609528245437353</c:v>
                </c:pt>
                <c:pt idx="36">
                  <c:v>0.33112582781456956</c:v>
                </c:pt>
              </c:numCache>
            </c:numRef>
          </c:xVal>
          <c:yVal>
            <c:numRef>
              <c:f>'U1 Caja de cambios'!$BT$4:$BT$40</c:f>
              <c:numCache>
                <c:formatCode>0.000</c:formatCode>
                <c:ptCount val="37"/>
                <c:pt idx="0">
                  <c:v>0</c:v>
                </c:pt>
                <c:pt idx="1">
                  <c:v>5.7499396578453758E-2</c:v>
                </c:pt>
                <c:pt idx="2">
                  <c:v>0.11325170308796978</c:v>
                </c:pt>
                <c:pt idx="3">
                  <c:v>0.16556291390728475</c:v>
                </c:pt>
                <c:pt idx="4">
                  <c:v>0.21284357936640375</c:v>
                </c:pt>
                <c:pt idx="5">
                  <c:v>0.25365710037052253</c:v>
                </c:pt>
                <c:pt idx="6">
                  <c:v>0.2867633787365691</c:v>
                </c:pt>
                <c:pt idx="7">
                  <c:v>0.31115649694897629</c:v>
                </c:pt>
                <c:pt idx="8">
                  <c:v>0.32609528245437353</c:v>
                </c:pt>
                <c:pt idx="9">
                  <c:v>0.33112582781456956</c:v>
                </c:pt>
                <c:pt idx="10">
                  <c:v>0.32609528245437353</c:v>
                </c:pt>
                <c:pt idx="11">
                  <c:v>0.31115649694897635</c:v>
                </c:pt>
                <c:pt idx="12">
                  <c:v>0.28676337873656915</c:v>
                </c:pt>
                <c:pt idx="13">
                  <c:v>0.25365710037052253</c:v>
                </c:pt>
                <c:pt idx="14">
                  <c:v>0.21284357936640383</c:v>
                </c:pt>
                <c:pt idx="15">
                  <c:v>0.16556291390728475</c:v>
                </c:pt>
                <c:pt idx="16">
                  <c:v>0.11325170308796983</c:v>
                </c:pt>
                <c:pt idx="17">
                  <c:v>5.7499396578453738E-2</c:v>
                </c:pt>
                <c:pt idx="18">
                  <c:v>4.0567829632735768E-17</c:v>
                </c:pt>
                <c:pt idx="19">
                  <c:v>-5.74993965784538E-2</c:v>
                </c:pt>
                <c:pt idx="20">
                  <c:v>-0.11325170308796977</c:v>
                </c:pt>
                <c:pt idx="21">
                  <c:v>-0.16556291390728481</c:v>
                </c:pt>
                <c:pt idx="22">
                  <c:v>-0.21284357936640375</c:v>
                </c:pt>
                <c:pt idx="23">
                  <c:v>-0.25365710037052253</c:v>
                </c:pt>
                <c:pt idx="24">
                  <c:v>-0.28676337873656904</c:v>
                </c:pt>
                <c:pt idx="25">
                  <c:v>-0.31115649694897635</c:v>
                </c:pt>
                <c:pt idx="26">
                  <c:v>-0.32609528245437353</c:v>
                </c:pt>
                <c:pt idx="27">
                  <c:v>-0.33112582781456956</c:v>
                </c:pt>
                <c:pt idx="28">
                  <c:v>-0.32609528245437358</c:v>
                </c:pt>
                <c:pt idx="29">
                  <c:v>-0.31115649694897629</c:v>
                </c:pt>
                <c:pt idx="30">
                  <c:v>-0.2867633787365691</c:v>
                </c:pt>
                <c:pt idx="31">
                  <c:v>-0.25365710037052258</c:v>
                </c:pt>
                <c:pt idx="32">
                  <c:v>-0.21284357936640386</c:v>
                </c:pt>
                <c:pt idx="33">
                  <c:v>-0.16556291390728492</c:v>
                </c:pt>
                <c:pt idx="34">
                  <c:v>-0.11325170308796974</c:v>
                </c:pt>
                <c:pt idx="35">
                  <c:v>-5.7499396578453772E-2</c:v>
                </c:pt>
                <c:pt idx="36">
                  <c:v>-8.1135659265471535E-17</c:v>
                </c:pt>
              </c:numCache>
            </c:numRef>
          </c:yVal>
          <c:smooth val="0"/>
          <c:extLst>
            <c:ext xmlns:c16="http://schemas.microsoft.com/office/drawing/2014/chart" uri="{C3380CC4-5D6E-409C-BE32-E72D297353CC}">
              <c16:uniqueId val="{00000000-BD3C-4AB0-AB69-A24F01CA6B8F}"/>
            </c:ext>
          </c:extLst>
        </c:ser>
        <c:ser>
          <c:idx val="1"/>
          <c:order val="1"/>
          <c:tx>
            <c:v>Conducido</c:v>
          </c:tx>
          <c:spPr>
            <a:ln w="31750">
              <a:solidFill>
                <a:srgbClr val="2E75B6"/>
              </a:solidFill>
            </a:ln>
          </c:spPr>
          <c:marker>
            <c:symbol val="none"/>
          </c:marker>
          <c:xVal>
            <c:numRef>
              <c:f>'U1 Caja de cambios'!$BU$4:$BU$40</c:f>
              <c:numCache>
                <c:formatCode>0.000</c:formatCode>
                <c:ptCount val="37"/>
                <c:pt idx="0">
                  <c:v>1.6688741721854305</c:v>
                </c:pt>
                <c:pt idx="1">
                  <c:v>1.6587124705578344</c:v>
                </c:pt>
                <c:pt idx="2">
                  <c:v>1.6285361238369322</c:v>
                </c:pt>
                <c:pt idx="3">
                  <c:v>1.5792620250478695</c:v>
                </c:pt>
                <c:pt idx="4">
                  <c:v>1.5123873427484553</c:v>
                </c:pt>
                <c:pt idx="5">
                  <c:v>1.4299440303201356</c:v>
                </c:pt>
                <c:pt idx="6">
                  <c:v>1.3344370860927153</c:v>
                </c:pt>
                <c:pt idx="7">
                  <c:v>1.228768440237699</c:v>
                </c:pt>
                <c:pt idx="8">
                  <c:v>1.1161487810884767</c:v>
                </c:pt>
                <c:pt idx="9">
                  <c:v>1</c:v>
                </c:pt>
                <c:pt idx="10">
                  <c:v>0.88385121891152341</c:v>
                </c:pt>
                <c:pt idx="11">
                  <c:v>0.77123155976230107</c:v>
                </c:pt>
                <c:pt idx="12">
                  <c:v>0.66556291390728495</c:v>
                </c:pt>
                <c:pt idx="13">
                  <c:v>0.57005596967986438</c:v>
                </c:pt>
                <c:pt idx="14">
                  <c:v>0.48761265725154457</c:v>
                </c:pt>
                <c:pt idx="15">
                  <c:v>0.42073797495213039</c:v>
                </c:pt>
                <c:pt idx="16">
                  <c:v>0.37146387616306797</c:v>
                </c:pt>
                <c:pt idx="17">
                  <c:v>0.34128752944216556</c:v>
                </c:pt>
                <c:pt idx="18">
                  <c:v>0.33112582781456956</c:v>
                </c:pt>
                <c:pt idx="19">
                  <c:v>0.34128752944216556</c:v>
                </c:pt>
                <c:pt idx="20">
                  <c:v>0.37146387616306786</c:v>
                </c:pt>
                <c:pt idx="21">
                  <c:v>0.4207379749521305</c:v>
                </c:pt>
                <c:pt idx="22">
                  <c:v>0.48761265725154457</c:v>
                </c:pt>
                <c:pt idx="23">
                  <c:v>0.57005596967986438</c:v>
                </c:pt>
                <c:pt idx="24">
                  <c:v>0.6655629139072845</c:v>
                </c:pt>
                <c:pt idx="25">
                  <c:v>0.77123155976230118</c:v>
                </c:pt>
                <c:pt idx="26">
                  <c:v>0.88385121891152341</c:v>
                </c:pt>
                <c:pt idx="27">
                  <c:v>0.99999999999999989</c:v>
                </c:pt>
                <c:pt idx="28">
                  <c:v>1.1161487810884763</c:v>
                </c:pt>
                <c:pt idx="29">
                  <c:v>1.228768440237699</c:v>
                </c:pt>
                <c:pt idx="30">
                  <c:v>1.3344370860927153</c:v>
                </c:pt>
                <c:pt idx="31">
                  <c:v>1.4299440303201356</c:v>
                </c:pt>
                <c:pt idx="32">
                  <c:v>1.5123873427484553</c:v>
                </c:pt>
                <c:pt idx="33">
                  <c:v>1.5792620250478695</c:v>
                </c:pt>
                <c:pt idx="34">
                  <c:v>1.6285361238369322</c:v>
                </c:pt>
                <c:pt idx="35">
                  <c:v>1.6587124705578344</c:v>
                </c:pt>
                <c:pt idx="36">
                  <c:v>1.6688741721854305</c:v>
                </c:pt>
              </c:numCache>
            </c:numRef>
          </c:xVal>
          <c:yVal>
            <c:numRef>
              <c:f>'U1 Caja de cambios'!$BV$4:$BV$40</c:f>
              <c:numCache>
                <c:formatCode>0.000</c:formatCode>
                <c:ptCount val="37"/>
                <c:pt idx="0">
                  <c:v>0</c:v>
                </c:pt>
                <c:pt idx="1">
                  <c:v>0.11614878108847658</c:v>
                </c:pt>
                <c:pt idx="2">
                  <c:v>0.22876844023769893</c:v>
                </c:pt>
                <c:pt idx="3">
                  <c:v>0.33443708609271516</c:v>
                </c:pt>
                <c:pt idx="4">
                  <c:v>0.42994403032013551</c:v>
                </c:pt>
                <c:pt idx="5">
                  <c:v>0.51238734274845543</c:v>
                </c:pt>
                <c:pt idx="6">
                  <c:v>0.5792620250478695</c:v>
                </c:pt>
                <c:pt idx="7">
                  <c:v>0.62853612383693203</c:v>
                </c:pt>
                <c:pt idx="8">
                  <c:v>0.65871247055783444</c:v>
                </c:pt>
                <c:pt idx="9">
                  <c:v>0.66887417218543044</c:v>
                </c:pt>
                <c:pt idx="10">
                  <c:v>0.65871247055783444</c:v>
                </c:pt>
                <c:pt idx="11">
                  <c:v>0.62853612383693214</c:v>
                </c:pt>
                <c:pt idx="12">
                  <c:v>0.57926202504786961</c:v>
                </c:pt>
                <c:pt idx="13">
                  <c:v>0.51238734274845543</c:v>
                </c:pt>
                <c:pt idx="14">
                  <c:v>0.42994403032013567</c:v>
                </c:pt>
                <c:pt idx="15">
                  <c:v>0.33443708609271516</c:v>
                </c:pt>
                <c:pt idx="16">
                  <c:v>0.22876844023769904</c:v>
                </c:pt>
                <c:pt idx="17">
                  <c:v>0.11614878108847654</c:v>
                </c:pt>
                <c:pt idx="18">
                  <c:v>8.1947015858126233E-17</c:v>
                </c:pt>
                <c:pt idx="19">
                  <c:v>-0.11614878108847666</c:v>
                </c:pt>
                <c:pt idx="20">
                  <c:v>-0.22876844023769891</c:v>
                </c:pt>
                <c:pt idx="21">
                  <c:v>-0.33443708609271527</c:v>
                </c:pt>
                <c:pt idx="22">
                  <c:v>-0.42994403032013551</c:v>
                </c:pt>
                <c:pt idx="23">
                  <c:v>-0.51238734274845543</c:v>
                </c:pt>
                <c:pt idx="24">
                  <c:v>-0.57926202504786939</c:v>
                </c:pt>
                <c:pt idx="25">
                  <c:v>-0.62853612383693214</c:v>
                </c:pt>
                <c:pt idx="26">
                  <c:v>-0.65871247055783444</c:v>
                </c:pt>
                <c:pt idx="27">
                  <c:v>-0.66887417218543044</c:v>
                </c:pt>
                <c:pt idx="28">
                  <c:v>-0.65871247055783455</c:v>
                </c:pt>
                <c:pt idx="29">
                  <c:v>-0.62853612383693203</c:v>
                </c:pt>
                <c:pt idx="30">
                  <c:v>-0.5792620250478695</c:v>
                </c:pt>
                <c:pt idx="31">
                  <c:v>-0.51238734274845554</c:v>
                </c:pt>
                <c:pt idx="32">
                  <c:v>-0.42994403032013573</c:v>
                </c:pt>
                <c:pt idx="33">
                  <c:v>-0.3344370860927155</c:v>
                </c:pt>
                <c:pt idx="34">
                  <c:v>-0.22876844023769885</c:v>
                </c:pt>
                <c:pt idx="35">
                  <c:v>-0.11614878108847661</c:v>
                </c:pt>
                <c:pt idx="36">
                  <c:v>-1.6389403171625247E-16</c:v>
                </c:pt>
              </c:numCache>
            </c:numRef>
          </c:yVal>
          <c:smooth val="0"/>
          <c:extLst>
            <c:ext xmlns:c16="http://schemas.microsoft.com/office/drawing/2014/chart" uri="{C3380CC4-5D6E-409C-BE32-E72D297353CC}">
              <c16:uniqueId val="{00000001-BD3C-4AB0-AB69-A24F01CA6B8F}"/>
            </c:ext>
          </c:extLst>
        </c:ser>
        <c:ser>
          <c:idx val="2"/>
          <c:order val="2"/>
          <c:tx>
            <c:v>Radios conductor</c:v>
          </c:tx>
          <c:spPr>
            <a:ln w="19050">
              <a:solidFill>
                <a:srgbClr val="C55A11"/>
              </a:solidFill>
            </a:ln>
          </c:spPr>
          <c:marker>
            <c:symbol val="none"/>
          </c:marker>
          <c:xVal>
            <c:numRef>
              <c:f>'U1 Caja de cambios'!$BW$4:$BW$9</c:f>
              <c:numCache>
                <c:formatCode>0.000</c:formatCode>
                <c:ptCount val="6"/>
                <c:pt idx="0">
                  <c:v>0</c:v>
                </c:pt>
                <c:pt idx="1">
                  <c:v>0.33112582781456956</c:v>
                </c:pt>
                <c:pt idx="2">
                  <c:v>0</c:v>
                </c:pt>
                <c:pt idx="3">
                  <c:v>-0.16556291390728489</c:v>
                </c:pt>
                <c:pt idx="4">
                  <c:v>0</c:v>
                </c:pt>
                <c:pt idx="5">
                  <c:v>-0.16556291390728536</c:v>
                </c:pt>
              </c:numCache>
            </c:numRef>
          </c:xVal>
          <c:yVal>
            <c:numRef>
              <c:f>'U1 Caja de cambios'!$BX$4:$BX$9</c:f>
              <c:numCache>
                <c:formatCode>0.000</c:formatCode>
                <c:ptCount val="6"/>
                <c:pt idx="0">
                  <c:v>0</c:v>
                </c:pt>
                <c:pt idx="1">
                  <c:v>-2.4340697779641458E-16</c:v>
                </c:pt>
                <c:pt idx="2">
                  <c:v>0</c:v>
                </c:pt>
                <c:pt idx="3">
                  <c:v>0.28676337873656904</c:v>
                </c:pt>
                <c:pt idx="4">
                  <c:v>0</c:v>
                </c:pt>
                <c:pt idx="5">
                  <c:v>-0.28676337873656876</c:v>
                </c:pt>
              </c:numCache>
            </c:numRef>
          </c:yVal>
          <c:smooth val="0"/>
          <c:extLst>
            <c:ext xmlns:c16="http://schemas.microsoft.com/office/drawing/2014/chart" uri="{C3380CC4-5D6E-409C-BE32-E72D297353CC}">
              <c16:uniqueId val="{00000002-BD3C-4AB0-AB69-A24F01CA6B8F}"/>
            </c:ext>
          </c:extLst>
        </c:ser>
        <c:ser>
          <c:idx val="3"/>
          <c:order val="3"/>
          <c:tx>
            <c:v>Radios conducido</c:v>
          </c:tx>
          <c:spPr>
            <a:ln w="19050">
              <a:solidFill>
                <a:srgbClr val="2E75B6"/>
              </a:solidFill>
            </a:ln>
          </c:spPr>
          <c:marker>
            <c:symbol val="none"/>
          </c:marker>
          <c:xVal>
            <c:numRef>
              <c:f>'U1 Caja de cambios'!$BY$4:$BY$9</c:f>
              <c:numCache>
                <c:formatCode>0.000</c:formatCode>
                <c:ptCount val="6"/>
                <c:pt idx="0">
                  <c:v>1</c:v>
                </c:pt>
                <c:pt idx="1">
                  <c:v>1.6659641334097408</c:v>
                </c:pt>
                <c:pt idx="2">
                  <c:v>1</c:v>
                </c:pt>
                <c:pt idx="3">
                  <c:v>0.61304272211982913</c:v>
                </c:pt>
                <c:pt idx="4">
                  <c:v>1</c:v>
                </c:pt>
                <c:pt idx="5">
                  <c:v>0.72099314447043006</c:v>
                </c:pt>
              </c:numCache>
            </c:numRef>
          </c:xVal>
          <c:yVal>
            <c:numRef>
              <c:f>'U1 Caja de cambios'!$BZ$4:$BZ$9</c:f>
              <c:numCache>
                <c:formatCode>0.000</c:formatCode>
                <c:ptCount val="6"/>
                <c:pt idx="0">
                  <c:v>0</c:v>
                </c:pt>
                <c:pt idx="1">
                  <c:v>6.232520540325364E-2</c:v>
                </c:pt>
                <c:pt idx="2">
                  <c:v>0</c:v>
                </c:pt>
                <c:pt idx="3">
                  <c:v>0.54557925484049796</c:v>
                </c:pt>
                <c:pt idx="4">
                  <c:v>0</c:v>
                </c:pt>
                <c:pt idx="5">
                  <c:v>-0.60790446024375122</c:v>
                </c:pt>
              </c:numCache>
            </c:numRef>
          </c:yVal>
          <c:smooth val="0"/>
          <c:extLst>
            <c:ext xmlns:c16="http://schemas.microsoft.com/office/drawing/2014/chart" uri="{C3380CC4-5D6E-409C-BE32-E72D297353CC}">
              <c16:uniqueId val="{00000003-BD3C-4AB0-AB69-A24F01CA6B8F}"/>
            </c:ext>
          </c:extLst>
        </c:ser>
        <c:dLbls>
          <c:showLegendKey val="0"/>
          <c:showVal val="0"/>
          <c:showCatName val="0"/>
          <c:showSerName val="0"/>
          <c:showPercent val="0"/>
          <c:showBubbleSize val="0"/>
        </c:dLbls>
        <c:axId val="50030001"/>
        <c:axId val="50030002"/>
      </c:scatterChart>
      <c:valAx>
        <c:axId val="50030001"/>
        <c:scaling>
          <c:orientation val="minMax"/>
          <c:max val="1.85"/>
          <c:min val="-0.75"/>
        </c:scaling>
        <c:delete val="1"/>
        <c:axPos val="b"/>
        <c:numFmt formatCode="0.000" sourceLinked="1"/>
        <c:majorTickMark val="out"/>
        <c:minorTickMark val="none"/>
        <c:tickLblPos val="nextTo"/>
        <c:crossAx val="50030002"/>
        <c:crosses val="autoZero"/>
        <c:crossBetween val="midCat"/>
      </c:valAx>
      <c:valAx>
        <c:axId val="50030002"/>
        <c:scaling>
          <c:orientation val="minMax"/>
          <c:max val="1.3"/>
          <c:min val="-1.3"/>
        </c:scaling>
        <c:delete val="1"/>
        <c:axPos val="l"/>
        <c:numFmt formatCode="0.000" sourceLinked="1"/>
        <c:majorTickMark val="out"/>
        <c:minorTickMark val="none"/>
        <c:tickLblPos val="nextTo"/>
        <c:crossAx val="50030001"/>
        <c:crosses val="autoZero"/>
        <c:crossBetween val="midCat"/>
      </c:valAx>
    </c:plotArea>
    <c:plotVisOnly val="1"/>
    <c:dispBlanksAs val="gap"/>
    <c:showDLblsOverMax val="0"/>
  </c:chart>
  <c:spPr>
    <a:ln>
      <a:solidFill>
        <a:srgbClr val="BFBFBF"/>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Curvas del motor</a:t>
            </a:r>
          </a:p>
        </c:rich>
      </c:tx>
      <c:overlay val="0"/>
    </c:title>
    <c:autoTitleDeleted val="0"/>
    <c:plotArea>
      <c:layout/>
      <c:scatterChart>
        <c:scatterStyle val="lineMarker"/>
        <c:varyColors val="0"/>
        <c:ser>
          <c:idx val="0"/>
          <c:order val="0"/>
          <c:tx>
            <c:v>Par</c:v>
          </c:tx>
          <c:spPr>
            <a:ln w="28575">
              <a:solidFill>
                <a:srgbClr val="2E75B6"/>
              </a:solidFill>
            </a:ln>
          </c:spPr>
          <c:marker>
            <c:symbol val="none"/>
          </c:marker>
          <c:xVal>
            <c:numRef>
              <c:f>'U1 Caja de cambios'!$AA$3:$AA$14</c:f>
              <c:numCache>
                <c:formatCode>0.000</c:formatCode>
                <c:ptCount val="12"/>
                <c:pt idx="0">
                  <c:v>1000</c:v>
                </c:pt>
                <c:pt idx="1">
                  <c:v>1500</c:v>
                </c:pt>
                <c:pt idx="2">
                  <c:v>2000</c:v>
                </c:pt>
                <c:pt idx="3">
                  <c:v>2500</c:v>
                </c:pt>
                <c:pt idx="4">
                  <c:v>3000</c:v>
                </c:pt>
                <c:pt idx="5">
                  <c:v>3500</c:v>
                </c:pt>
                <c:pt idx="6">
                  <c:v>4000</c:v>
                </c:pt>
                <c:pt idx="7">
                  <c:v>4500</c:v>
                </c:pt>
                <c:pt idx="8">
                  <c:v>5000</c:v>
                </c:pt>
                <c:pt idx="9">
                  <c:v>5500</c:v>
                </c:pt>
                <c:pt idx="10">
                  <c:v>6000</c:v>
                </c:pt>
                <c:pt idx="11">
                  <c:v>6500</c:v>
                </c:pt>
              </c:numCache>
            </c:numRef>
          </c:xVal>
          <c:yVal>
            <c:numRef>
              <c:f>'U1 Caja de cambios'!$AB$3:$AB$14</c:f>
              <c:numCache>
                <c:formatCode>0.000</c:formatCode>
                <c:ptCount val="12"/>
                <c:pt idx="0">
                  <c:v>110</c:v>
                </c:pt>
                <c:pt idx="1">
                  <c:v>125</c:v>
                </c:pt>
                <c:pt idx="2">
                  <c:v>135</c:v>
                </c:pt>
                <c:pt idx="3">
                  <c:v>142</c:v>
                </c:pt>
                <c:pt idx="4">
                  <c:v>146</c:v>
                </c:pt>
                <c:pt idx="5">
                  <c:v>148</c:v>
                </c:pt>
                <c:pt idx="6">
                  <c:v>147</c:v>
                </c:pt>
                <c:pt idx="7">
                  <c:v>144</c:v>
                </c:pt>
                <c:pt idx="8">
                  <c:v>138</c:v>
                </c:pt>
                <c:pt idx="9">
                  <c:v>130</c:v>
                </c:pt>
                <c:pt idx="10">
                  <c:v>120</c:v>
                </c:pt>
                <c:pt idx="11">
                  <c:v>105</c:v>
                </c:pt>
              </c:numCache>
            </c:numRef>
          </c:yVal>
          <c:smooth val="1"/>
          <c:extLst>
            <c:ext xmlns:c16="http://schemas.microsoft.com/office/drawing/2014/chart" uri="{C3380CC4-5D6E-409C-BE32-E72D297353CC}">
              <c16:uniqueId val="{00000000-D089-43F3-8959-6E956D0FCCFB}"/>
            </c:ext>
          </c:extLst>
        </c:ser>
        <c:dLbls>
          <c:showLegendKey val="0"/>
          <c:showVal val="0"/>
          <c:showCatName val="0"/>
          <c:showSerName val="0"/>
          <c:showPercent val="0"/>
          <c:showBubbleSize val="0"/>
        </c:dLbls>
        <c:axId val="50040001"/>
        <c:axId val="50040002"/>
      </c:scatterChart>
      <c:scatterChart>
        <c:scatterStyle val="lineMarker"/>
        <c:varyColors val="0"/>
        <c:ser>
          <c:idx val="1"/>
          <c:order val="1"/>
          <c:tx>
            <c:v>Potencia [kW]</c:v>
          </c:tx>
          <c:spPr>
            <a:ln w="28575">
              <a:solidFill>
                <a:srgbClr val="C55A11"/>
              </a:solidFill>
            </a:ln>
          </c:spPr>
          <c:marker>
            <c:symbol val="none"/>
          </c:marker>
          <c:xVal>
            <c:numRef>
              <c:f>'U1 Caja de cambios'!$B$28:$B$39</c:f>
              <c:numCache>
                <c:formatCode>#,##0</c:formatCode>
                <c:ptCount val="12"/>
                <c:pt idx="0">
                  <c:v>1000</c:v>
                </c:pt>
                <c:pt idx="1">
                  <c:v>1500</c:v>
                </c:pt>
                <c:pt idx="2">
                  <c:v>2000</c:v>
                </c:pt>
                <c:pt idx="3">
                  <c:v>2500</c:v>
                </c:pt>
                <c:pt idx="4">
                  <c:v>3000</c:v>
                </c:pt>
                <c:pt idx="5">
                  <c:v>3500</c:v>
                </c:pt>
                <c:pt idx="6">
                  <c:v>4000</c:v>
                </c:pt>
                <c:pt idx="7">
                  <c:v>4500</c:v>
                </c:pt>
                <c:pt idx="8">
                  <c:v>5000</c:v>
                </c:pt>
                <c:pt idx="9">
                  <c:v>5500</c:v>
                </c:pt>
                <c:pt idx="10">
                  <c:v>6000</c:v>
                </c:pt>
                <c:pt idx="11">
                  <c:v>6500</c:v>
                </c:pt>
              </c:numCache>
            </c:numRef>
          </c:xVal>
          <c:yVal>
            <c:numRef>
              <c:f>'U1 Caja de cambios'!$D$28:$D$39</c:f>
              <c:numCache>
                <c:formatCode>0.00</c:formatCode>
                <c:ptCount val="12"/>
                <c:pt idx="0">
                  <c:v>11.518324607329843</c:v>
                </c:pt>
                <c:pt idx="1">
                  <c:v>19.633507853403142</c:v>
                </c:pt>
                <c:pt idx="2">
                  <c:v>28.272251308900522</c:v>
                </c:pt>
                <c:pt idx="3">
                  <c:v>37.172774869109951</c:v>
                </c:pt>
                <c:pt idx="4">
                  <c:v>45.863874345549739</c:v>
                </c:pt>
                <c:pt idx="5">
                  <c:v>54.240837696335078</c:v>
                </c:pt>
                <c:pt idx="6">
                  <c:v>61.57068062827225</c:v>
                </c:pt>
                <c:pt idx="7">
                  <c:v>67.853403141361255</c:v>
                </c:pt>
                <c:pt idx="8">
                  <c:v>72.251308900523554</c:v>
                </c:pt>
                <c:pt idx="9">
                  <c:v>74.869109947643977</c:v>
                </c:pt>
                <c:pt idx="10">
                  <c:v>75.392670157068068</c:v>
                </c:pt>
                <c:pt idx="11">
                  <c:v>71.465968586387433</c:v>
                </c:pt>
              </c:numCache>
            </c:numRef>
          </c:yVal>
          <c:smooth val="1"/>
          <c:extLst>
            <c:ext xmlns:c16="http://schemas.microsoft.com/office/drawing/2014/chart" uri="{C3380CC4-5D6E-409C-BE32-E72D297353CC}">
              <c16:uniqueId val="{00000001-D089-43F3-8959-6E956D0FCCFB}"/>
            </c:ext>
          </c:extLst>
        </c:ser>
        <c:dLbls>
          <c:showLegendKey val="0"/>
          <c:showVal val="0"/>
          <c:showCatName val="0"/>
          <c:showSerName val="0"/>
          <c:showPercent val="0"/>
          <c:showBubbleSize val="0"/>
        </c:dLbls>
        <c:axId val="50040003"/>
        <c:axId val="50040004"/>
      </c:scatterChart>
      <c:valAx>
        <c:axId val="50040001"/>
        <c:scaling>
          <c:orientation val="minMax"/>
        </c:scaling>
        <c:delete val="0"/>
        <c:axPos val="b"/>
        <c:majorGridlines>
          <c:spPr>
            <a:ln>
              <a:solidFill>
                <a:srgbClr val="E0E0E0"/>
              </a:solidFill>
            </a:ln>
          </c:spPr>
        </c:majorGridlines>
        <c:title>
          <c:tx>
            <c:rich>
              <a:bodyPr/>
              <a:lstStyle/>
              <a:p>
                <a:pPr>
                  <a:defRPr sz="900" b="0" baseline="0"/>
                </a:pPr>
                <a:r>
                  <a:rPr lang="en-US" sz="900" b="0" baseline="0"/>
                  <a:t>Régimen [min⁻¹]</a:t>
                </a:r>
              </a:p>
            </c:rich>
          </c:tx>
          <c:overlay val="0"/>
        </c:title>
        <c:numFmt formatCode="0.000" sourceLinked="1"/>
        <c:majorTickMark val="out"/>
        <c:minorTickMark val="none"/>
        <c:tickLblPos val="nextTo"/>
        <c:txPr>
          <a:bodyPr/>
          <a:lstStyle/>
          <a:p>
            <a:pPr>
              <a:defRPr sz="800" baseline="0"/>
            </a:pPr>
            <a:endParaRPr lang="en-US"/>
          </a:p>
        </c:txPr>
        <c:crossAx val="50040002"/>
        <c:crosses val="autoZero"/>
        <c:crossBetween val="midCat"/>
      </c:valAx>
      <c:valAx>
        <c:axId val="50040002"/>
        <c:scaling>
          <c:orientation val="minMax"/>
        </c:scaling>
        <c:delete val="0"/>
        <c:axPos val="l"/>
        <c:majorGridlines>
          <c:spPr>
            <a:ln>
              <a:solidFill>
                <a:srgbClr val="E0E0E0"/>
              </a:solidFill>
            </a:ln>
          </c:spPr>
        </c:majorGridlines>
        <c:title>
          <c:tx>
            <c:rich>
              <a:bodyPr rot="-5400000" vert="horz"/>
              <a:lstStyle/>
              <a:p>
                <a:pPr>
                  <a:defRPr sz="900" b="0" baseline="0"/>
                </a:pPr>
                <a:r>
                  <a:rPr lang="en-US" sz="900" b="0" baseline="0"/>
                  <a:t>Par [N·m]</a:t>
                </a:r>
              </a:p>
            </c:rich>
          </c:tx>
          <c:overlay val="0"/>
        </c:title>
        <c:numFmt formatCode="0.000" sourceLinked="1"/>
        <c:majorTickMark val="out"/>
        <c:minorTickMark val="none"/>
        <c:tickLblPos val="nextTo"/>
        <c:txPr>
          <a:bodyPr/>
          <a:lstStyle/>
          <a:p>
            <a:pPr>
              <a:defRPr sz="800" baseline="0"/>
            </a:pPr>
            <a:endParaRPr lang="en-US"/>
          </a:p>
        </c:txPr>
        <c:crossAx val="50040001"/>
        <c:crosses val="autoZero"/>
        <c:crossBetween val="midCat"/>
      </c:valAx>
      <c:valAx>
        <c:axId val="50040003"/>
        <c:scaling>
          <c:orientation val="minMax"/>
        </c:scaling>
        <c:delete val="1"/>
        <c:axPos val="b"/>
        <c:numFmt formatCode="#,##0" sourceLinked="1"/>
        <c:majorTickMark val="out"/>
        <c:minorTickMark val="none"/>
        <c:tickLblPos val="none"/>
        <c:crossAx val="50040004"/>
        <c:crosses val="autoZero"/>
        <c:crossBetween val="midCat"/>
      </c:valAx>
      <c:valAx>
        <c:axId val="50040004"/>
        <c:scaling>
          <c:orientation val="minMax"/>
        </c:scaling>
        <c:delete val="0"/>
        <c:axPos val="r"/>
        <c:title>
          <c:tx>
            <c:rich>
              <a:bodyPr rot="-5400000" vert="horz"/>
              <a:lstStyle/>
              <a:p>
                <a:pPr>
                  <a:defRPr sz="900" b="0" baseline="0"/>
                </a:pPr>
                <a:r>
                  <a:rPr lang="en-US" sz="900" b="0" baseline="0"/>
                  <a:t>Potencia [kW]</a:t>
                </a:r>
              </a:p>
            </c:rich>
          </c:tx>
          <c:overlay val="0"/>
        </c:title>
        <c:numFmt formatCode="0.00" sourceLinked="1"/>
        <c:majorTickMark val="out"/>
        <c:minorTickMark val="none"/>
        <c:tickLblPos val="nextTo"/>
        <c:txPr>
          <a:bodyPr/>
          <a:lstStyle/>
          <a:p>
            <a:pPr>
              <a:defRPr sz="800" baseline="0"/>
            </a:pPr>
            <a:endParaRPr lang="en-US"/>
          </a:p>
        </c:txPr>
        <c:crossAx val="50040003"/>
        <c:crosses val="max"/>
        <c:crossBetween val="midCat"/>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Fuerza de apriete según el desgaste del forro</a:t>
            </a:r>
          </a:p>
        </c:rich>
      </c:tx>
      <c:overlay val="0"/>
    </c:title>
    <c:autoTitleDeleted val="0"/>
    <c:plotArea>
      <c:layout/>
      <c:scatterChart>
        <c:scatterStyle val="lineMarker"/>
        <c:varyColors val="0"/>
        <c:ser>
          <c:idx val="0"/>
          <c:order val="0"/>
          <c:tx>
            <c:v>Muelle de diafragma</c:v>
          </c:tx>
          <c:spPr>
            <a:ln w="31750">
              <a:solidFill>
                <a:srgbClr val="2E75B6"/>
              </a:solidFill>
            </a:ln>
          </c:spPr>
          <c:marker>
            <c:symbol val="none"/>
          </c:marker>
          <c:xVal>
            <c:numRef>
              <c:f>'U1 Embrague'!$AA$3:$AA$17</c:f>
              <c:numCache>
                <c:formatCode>0.000</c:formatCode>
                <c:ptCount val="15"/>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numCache>
            </c:numRef>
          </c:xVal>
          <c:yVal>
            <c:numRef>
              <c:f>'U1 Embrague'!$AB$3:$AB$17</c:f>
              <c:numCache>
                <c:formatCode>0.000</c:formatCode>
                <c:ptCount val="15"/>
                <c:pt idx="0">
                  <c:v>4000</c:v>
                </c:pt>
                <c:pt idx="1">
                  <c:v>4035.2590460526317</c:v>
                </c:pt>
                <c:pt idx="2">
                  <c:v>4104.4407894736851</c:v>
                </c:pt>
                <c:pt idx="3">
                  <c:v>4192.1258223684208</c:v>
                </c:pt>
                <c:pt idx="4">
                  <c:v>4282.8947368421068</c:v>
                </c:pt>
                <c:pt idx="5">
                  <c:v>4361.328125</c:v>
                </c:pt>
                <c:pt idx="6">
                  <c:v>4412.0065789473692</c:v>
                </c:pt>
                <c:pt idx="7">
                  <c:v>4419.5106907894733</c:v>
                </c:pt>
                <c:pt idx="8">
                  <c:v>4368.4210526315792</c:v>
                </c:pt>
                <c:pt idx="9">
                  <c:v>4243.3182565789475</c:v>
                </c:pt>
                <c:pt idx="10">
                  <c:v>4028.7828947368425</c:v>
                </c:pt>
                <c:pt idx="11">
                  <c:v>3709.3955592105267</c:v>
                </c:pt>
                <c:pt idx="12">
                  <c:v>3269.7368421052638</c:v>
                </c:pt>
                <c:pt idx="13">
                  <c:v>2694.3873355263158</c:v>
                </c:pt>
                <c:pt idx="14">
                  <c:v>1967.9276315789473</c:v>
                </c:pt>
              </c:numCache>
            </c:numRef>
          </c:yVal>
          <c:smooth val="1"/>
          <c:extLst>
            <c:ext xmlns:c16="http://schemas.microsoft.com/office/drawing/2014/chart" uri="{C3380CC4-5D6E-409C-BE32-E72D297353CC}">
              <c16:uniqueId val="{00000000-2324-4B30-AA09-43BCA7F1D403}"/>
            </c:ext>
          </c:extLst>
        </c:ser>
        <c:ser>
          <c:idx val="1"/>
          <c:order val="1"/>
          <c:tx>
            <c:v>Muelles helicoidales</c:v>
          </c:tx>
          <c:spPr>
            <a:ln w="31750">
              <a:solidFill>
                <a:srgbClr val="C55A11"/>
              </a:solidFill>
            </a:ln>
          </c:spPr>
          <c:marker>
            <c:symbol val="none"/>
          </c:marker>
          <c:xVal>
            <c:numRef>
              <c:f>'U1 Embrague'!$AA$3:$AA$17</c:f>
              <c:numCache>
                <c:formatCode>0.000</c:formatCode>
                <c:ptCount val="15"/>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numCache>
            </c:numRef>
          </c:xVal>
          <c:yVal>
            <c:numRef>
              <c:f>'U1 Embrague'!$AC$3:$AC$17</c:f>
              <c:numCache>
                <c:formatCode>0.000</c:formatCode>
                <c:ptCount val="15"/>
                <c:pt idx="0">
                  <c:v>4000</c:v>
                </c:pt>
                <c:pt idx="1">
                  <c:v>3900</c:v>
                </c:pt>
                <c:pt idx="2">
                  <c:v>3800</c:v>
                </c:pt>
                <c:pt idx="3">
                  <c:v>3700</c:v>
                </c:pt>
                <c:pt idx="4">
                  <c:v>3600</c:v>
                </c:pt>
                <c:pt idx="5">
                  <c:v>3500</c:v>
                </c:pt>
                <c:pt idx="6">
                  <c:v>3400</c:v>
                </c:pt>
                <c:pt idx="7">
                  <c:v>3300</c:v>
                </c:pt>
                <c:pt idx="8">
                  <c:v>3200</c:v>
                </c:pt>
                <c:pt idx="9">
                  <c:v>3100</c:v>
                </c:pt>
                <c:pt idx="10">
                  <c:v>3000</c:v>
                </c:pt>
                <c:pt idx="11">
                  <c:v>2900</c:v>
                </c:pt>
                <c:pt idx="12">
                  <c:v>2800</c:v>
                </c:pt>
                <c:pt idx="13">
                  <c:v>2700</c:v>
                </c:pt>
                <c:pt idx="14">
                  <c:v>2600</c:v>
                </c:pt>
              </c:numCache>
            </c:numRef>
          </c:yVal>
          <c:smooth val="0"/>
          <c:extLst>
            <c:ext xmlns:c16="http://schemas.microsoft.com/office/drawing/2014/chart" uri="{C3380CC4-5D6E-409C-BE32-E72D297353CC}">
              <c16:uniqueId val="{00000001-2324-4B30-AA09-43BCA7F1D403}"/>
            </c:ext>
          </c:extLst>
        </c:ser>
        <c:ser>
          <c:idx val="2"/>
          <c:order val="2"/>
          <c:tx>
            <c:v>Estado actual</c:v>
          </c:tx>
          <c:spPr>
            <a:ln>
              <a:noFill/>
            </a:ln>
          </c:spPr>
          <c:marker>
            <c:symbol val="circle"/>
            <c:size val="9"/>
            <c:spPr>
              <a:solidFill>
                <a:srgbClr val="C00000"/>
              </a:solidFill>
              <a:ln>
                <a:solidFill>
                  <a:srgbClr val="000000"/>
                </a:solidFill>
              </a:ln>
            </c:spPr>
          </c:marker>
          <c:xVal>
            <c:numRef>
              <c:f>'U1 Embrague'!$AI$3:$AI$4</c:f>
              <c:numCache>
                <c:formatCode>0.000</c:formatCode>
                <c:ptCount val="2"/>
                <c:pt idx="0">
                  <c:v>0</c:v>
                </c:pt>
                <c:pt idx="1">
                  <c:v>0</c:v>
                </c:pt>
              </c:numCache>
            </c:numRef>
          </c:xVal>
          <c:yVal>
            <c:numRef>
              <c:f>'U1 Embrague'!$AJ$3:$AJ$4</c:f>
              <c:numCache>
                <c:formatCode>0.000</c:formatCode>
                <c:ptCount val="2"/>
                <c:pt idx="0">
                  <c:v>4000</c:v>
                </c:pt>
                <c:pt idx="1">
                  <c:v>4000</c:v>
                </c:pt>
              </c:numCache>
            </c:numRef>
          </c:yVal>
          <c:smooth val="0"/>
          <c:extLst>
            <c:ext xmlns:c16="http://schemas.microsoft.com/office/drawing/2014/chart" uri="{C3380CC4-5D6E-409C-BE32-E72D297353CC}">
              <c16:uniqueId val="{00000002-2324-4B30-AA09-43BCA7F1D403}"/>
            </c:ext>
          </c:extLst>
        </c:ser>
        <c:dLbls>
          <c:showLegendKey val="0"/>
          <c:showVal val="0"/>
          <c:showCatName val="0"/>
          <c:showSerName val="0"/>
          <c:showPercent val="0"/>
          <c:showBubbleSize val="0"/>
        </c:dLbls>
        <c:axId val="50050001"/>
        <c:axId val="50050002"/>
      </c:scatterChart>
      <c:valAx>
        <c:axId val="50050001"/>
        <c:scaling>
          <c:orientation val="minMax"/>
          <c:max val="3.5"/>
          <c:min val="0"/>
        </c:scaling>
        <c:delete val="0"/>
        <c:axPos val="b"/>
        <c:majorGridlines>
          <c:spPr>
            <a:ln>
              <a:solidFill>
                <a:srgbClr val="E0E0E0"/>
              </a:solidFill>
            </a:ln>
          </c:spPr>
        </c:majorGridlines>
        <c:title>
          <c:tx>
            <c:rich>
              <a:bodyPr/>
              <a:lstStyle/>
              <a:p>
                <a:pPr>
                  <a:defRPr sz="900" b="0" baseline="0"/>
                </a:pPr>
                <a:r>
                  <a:rPr lang="en-US" sz="900" b="0" baseline="0"/>
                  <a:t>Desgaste del forro [mm]</a:t>
                </a:r>
              </a:p>
            </c:rich>
          </c:tx>
          <c:overlay val="0"/>
        </c:title>
        <c:numFmt formatCode="0.000" sourceLinked="1"/>
        <c:majorTickMark val="out"/>
        <c:minorTickMark val="none"/>
        <c:tickLblPos val="nextTo"/>
        <c:txPr>
          <a:bodyPr/>
          <a:lstStyle/>
          <a:p>
            <a:pPr>
              <a:defRPr sz="800" baseline="0"/>
            </a:pPr>
            <a:endParaRPr lang="en-US"/>
          </a:p>
        </c:txPr>
        <c:crossAx val="50050002"/>
        <c:crosses val="autoZero"/>
        <c:crossBetween val="midCat"/>
        <c:majorUnit val="0.5"/>
      </c:valAx>
      <c:valAx>
        <c:axId val="50050002"/>
        <c:scaling>
          <c:orientation val="minMax"/>
        </c:scaling>
        <c:delete val="0"/>
        <c:axPos val="l"/>
        <c:majorGridlines>
          <c:spPr>
            <a:ln>
              <a:solidFill>
                <a:srgbClr val="E0E0E0"/>
              </a:solidFill>
            </a:ln>
          </c:spPr>
        </c:majorGridlines>
        <c:title>
          <c:tx>
            <c:rich>
              <a:bodyPr rot="-5400000" vert="horz"/>
              <a:lstStyle/>
              <a:p>
                <a:pPr>
                  <a:defRPr sz="900" b="0" baseline="0"/>
                </a:pPr>
                <a:r>
                  <a:rPr lang="en-US" sz="900" b="0" baseline="0"/>
                  <a:t>Fuerza de apriete [N]</a:t>
                </a:r>
              </a:p>
            </c:rich>
          </c:tx>
          <c:overlay val="0"/>
        </c:title>
        <c:numFmt formatCode="0.000" sourceLinked="1"/>
        <c:majorTickMark val="out"/>
        <c:minorTickMark val="none"/>
        <c:tickLblPos val="nextTo"/>
        <c:txPr>
          <a:bodyPr/>
          <a:lstStyle/>
          <a:p>
            <a:pPr>
              <a:defRPr sz="800" baseline="0"/>
            </a:pPr>
            <a:endParaRPr lang="en-US"/>
          </a:p>
        </c:txPr>
        <c:crossAx val="50050001"/>
        <c:crosses val="autoZero"/>
        <c:crossBetween val="midCat"/>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Par transmisible frente al par del motor</a:t>
            </a:r>
          </a:p>
        </c:rich>
      </c:tx>
      <c:overlay val="0"/>
    </c:title>
    <c:autoTitleDeleted val="0"/>
    <c:plotArea>
      <c:layout/>
      <c:scatterChart>
        <c:scatterStyle val="lineMarker"/>
        <c:varyColors val="0"/>
        <c:ser>
          <c:idx val="0"/>
          <c:order val="0"/>
          <c:tx>
            <c:v>Diafragma</c:v>
          </c:tx>
          <c:spPr>
            <a:ln w="31750">
              <a:solidFill>
                <a:srgbClr val="2E75B6"/>
              </a:solidFill>
            </a:ln>
          </c:spPr>
          <c:marker>
            <c:symbol val="none"/>
          </c:marker>
          <c:xVal>
            <c:numRef>
              <c:f>'U1 Embrague'!$AA$3:$AA$17</c:f>
              <c:numCache>
                <c:formatCode>0.000</c:formatCode>
                <c:ptCount val="15"/>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numCache>
            </c:numRef>
          </c:xVal>
          <c:yVal>
            <c:numRef>
              <c:f>'U1 Embrague'!$AD$3:$AD$17</c:f>
              <c:numCache>
                <c:formatCode>0.000</c:formatCode>
                <c:ptCount val="15"/>
                <c:pt idx="0">
                  <c:v>204.00000000000003</c:v>
                </c:pt>
                <c:pt idx="1">
                  <c:v>205.79821134868422</c:v>
                </c:pt>
                <c:pt idx="2">
                  <c:v>209.32648026315795</c:v>
                </c:pt>
                <c:pt idx="3">
                  <c:v>213.79841694078948</c:v>
                </c:pt>
                <c:pt idx="4">
                  <c:v>218.42763157894743</c:v>
                </c:pt>
                <c:pt idx="5">
                  <c:v>222.42773437500003</c:v>
                </c:pt>
                <c:pt idx="6">
                  <c:v>225.01233552631584</c:v>
                </c:pt>
                <c:pt idx="7">
                  <c:v>225.39504523026312</c:v>
                </c:pt>
                <c:pt idx="8">
                  <c:v>222.78947368421055</c:v>
                </c:pt>
                <c:pt idx="9">
                  <c:v>216.40923108552633</c:v>
                </c:pt>
                <c:pt idx="10">
                  <c:v>205.46792763157899</c:v>
                </c:pt>
                <c:pt idx="11">
                  <c:v>189.17917351973685</c:v>
                </c:pt>
                <c:pt idx="12">
                  <c:v>166.75657894736847</c:v>
                </c:pt>
                <c:pt idx="13">
                  <c:v>137.41375411184211</c:v>
                </c:pt>
                <c:pt idx="14">
                  <c:v>100.36430921052632</c:v>
                </c:pt>
              </c:numCache>
            </c:numRef>
          </c:yVal>
          <c:smooth val="1"/>
          <c:extLst>
            <c:ext xmlns:c16="http://schemas.microsoft.com/office/drawing/2014/chart" uri="{C3380CC4-5D6E-409C-BE32-E72D297353CC}">
              <c16:uniqueId val="{00000000-9A01-4AE0-B0E5-5F9CC502837C}"/>
            </c:ext>
          </c:extLst>
        </c:ser>
        <c:ser>
          <c:idx val="1"/>
          <c:order val="1"/>
          <c:tx>
            <c:v>Helicoidales</c:v>
          </c:tx>
          <c:spPr>
            <a:ln w="31750">
              <a:solidFill>
                <a:srgbClr val="C55A11"/>
              </a:solidFill>
            </a:ln>
          </c:spPr>
          <c:marker>
            <c:symbol val="none"/>
          </c:marker>
          <c:xVal>
            <c:numRef>
              <c:f>'U1 Embrague'!$AA$3:$AA$17</c:f>
              <c:numCache>
                <c:formatCode>0.000</c:formatCode>
                <c:ptCount val="15"/>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numCache>
            </c:numRef>
          </c:xVal>
          <c:yVal>
            <c:numRef>
              <c:f>'U1 Embrague'!$AE$3:$AE$17</c:f>
              <c:numCache>
                <c:formatCode>0.000</c:formatCode>
                <c:ptCount val="15"/>
                <c:pt idx="0">
                  <c:v>204.00000000000003</c:v>
                </c:pt>
                <c:pt idx="1">
                  <c:v>198.9</c:v>
                </c:pt>
                <c:pt idx="2">
                  <c:v>193.8</c:v>
                </c:pt>
                <c:pt idx="3">
                  <c:v>188.70000000000002</c:v>
                </c:pt>
                <c:pt idx="4">
                  <c:v>183.60000000000002</c:v>
                </c:pt>
                <c:pt idx="5">
                  <c:v>178.5</c:v>
                </c:pt>
                <c:pt idx="6">
                  <c:v>173.4</c:v>
                </c:pt>
                <c:pt idx="7">
                  <c:v>168.3</c:v>
                </c:pt>
                <c:pt idx="8">
                  <c:v>163.20000000000002</c:v>
                </c:pt>
                <c:pt idx="9">
                  <c:v>158.10000000000002</c:v>
                </c:pt>
                <c:pt idx="10">
                  <c:v>153</c:v>
                </c:pt>
                <c:pt idx="11">
                  <c:v>147.9</c:v>
                </c:pt>
                <c:pt idx="12">
                  <c:v>142.80000000000001</c:v>
                </c:pt>
                <c:pt idx="13">
                  <c:v>137.70000000000002</c:v>
                </c:pt>
                <c:pt idx="14">
                  <c:v>132.60000000000002</c:v>
                </c:pt>
              </c:numCache>
            </c:numRef>
          </c:yVal>
          <c:smooth val="0"/>
          <c:extLst>
            <c:ext xmlns:c16="http://schemas.microsoft.com/office/drawing/2014/chart" uri="{C3380CC4-5D6E-409C-BE32-E72D297353CC}">
              <c16:uniqueId val="{00000001-9A01-4AE0-B0E5-5F9CC502837C}"/>
            </c:ext>
          </c:extLst>
        </c:ser>
        <c:ser>
          <c:idx val="2"/>
          <c:order val="2"/>
          <c:tx>
            <c:v>Par motor × FS</c:v>
          </c:tx>
          <c:spPr>
            <a:ln w="19050">
              <a:solidFill>
                <a:srgbClr val="548235"/>
              </a:solidFill>
              <a:prstDash val="dash"/>
            </a:ln>
          </c:spPr>
          <c:marker>
            <c:symbol val="none"/>
          </c:marker>
          <c:xVal>
            <c:numRef>
              <c:f>'U1 Embrague'!$AA$3:$AA$17</c:f>
              <c:numCache>
                <c:formatCode>0.000</c:formatCode>
                <c:ptCount val="15"/>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numCache>
            </c:numRef>
          </c:xVal>
          <c:yVal>
            <c:numRef>
              <c:f>'U1 Embrague'!$AF$3:$AF$17</c:f>
              <c:numCache>
                <c:formatCode>0.000</c:formatCode>
                <c:ptCount val="15"/>
                <c:pt idx="0">
                  <c:v>177.6</c:v>
                </c:pt>
                <c:pt idx="1">
                  <c:v>177.6</c:v>
                </c:pt>
                <c:pt idx="2">
                  <c:v>177.6</c:v>
                </c:pt>
                <c:pt idx="3">
                  <c:v>177.6</c:v>
                </c:pt>
                <c:pt idx="4">
                  <c:v>177.6</c:v>
                </c:pt>
                <c:pt idx="5">
                  <c:v>177.6</c:v>
                </c:pt>
                <c:pt idx="6">
                  <c:v>177.6</c:v>
                </c:pt>
                <c:pt idx="7">
                  <c:v>177.6</c:v>
                </c:pt>
                <c:pt idx="8">
                  <c:v>177.6</c:v>
                </c:pt>
                <c:pt idx="9">
                  <c:v>177.6</c:v>
                </c:pt>
                <c:pt idx="10">
                  <c:v>177.6</c:v>
                </c:pt>
                <c:pt idx="11">
                  <c:v>177.6</c:v>
                </c:pt>
                <c:pt idx="12">
                  <c:v>177.6</c:v>
                </c:pt>
                <c:pt idx="13">
                  <c:v>177.6</c:v>
                </c:pt>
                <c:pt idx="14">
                  <c:v>177.6</c:v>
                </c:pt>
              </c:numCache>
            </c:numRef>
          </c:yVal>
          <c:smooth val="0"/>
          <c:extLst>
            <c:ext xmlns:c16="http://schemas.microsoft.com/office/drawing/2014/chart" uri="{C3380CC4-5D6E-409C-BE32-E72D297353CC}">
              <c16:uniqueId val="{00000002-9A01-4AE0-B0E5-5F9CC502837C}"/>
            </c:ext>
          </c:extLst>
        </c:ser>
        <c:ser>
          <c:idx val="3"/>
          <c:order val="3"/>
          <c:tx>
            <c:v>Par motor</c:v>
          </c:tx>
          <c:spPr>
            <a:ln w="19050">
              <a:solidFill>
                <a:srgbClr val="C00000"/>
              </a:solidFill>
              <a:prstDash val="dash"/>
            </a:ln>
          </c:spPr>
          <c:marker>
            <c:symbol val="none"/>
          </c:marker>
          <c:xVal>
            <c:numRef>
              <c:f>'U1 Embrague'!$AA$3:$AA$17</c:f>
              <c:numCache>
                <c:formatCode>0.000</c:formatCode>
                <c:ptCount val="15"/>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numCache>
            </c:numRef>
          </c:xVal>
          <c:yVal>
            <c:numRef>
              <c:f>'U1 Embrague'!$AG$3:$AG$17</c:f>
              <c:numCache>
                <c:formatCode>0.000</c:formatCode>
                <c:ptCount val="15"/>
                <c:pt idx="0">
                  <c:v>148</c:v>
                </c:pt>
                <c:pt idx="1">
                  <c:v>148</c:v>
                </c:pt>
                <c:pt idx="2">
                  <c:v>148</c:v>
                </c:pt>
                <c:pt idx="3">
                  <c:v>148</c:v>
                </c:pt>
                <c:pt idx="4">
                  <c:v>148</c:v>
                </c:pt>
                <c:pt idx="5">
                  <c:v>148</c:v>
                </c:pt>
                <c:pt idx="6">
                  <c:v>148</c:v>
                </c:pt>
                <c:pt idx="7">
                  <c:v>148</c:v>
                </c:pt>
                <c:pt idx="8">
                  <c:v>148</c:v>
                </c:pt>
                <c:pt idx="9">
                  <c:v>148</c:v>
                </c:pt>
                <c:pt idx="10">
                  <c:v>148</c:v>
                </c:pt>
                <c:pt idx="11">
                  <c:v>148</c:v>
                </c:pt>
                <c:pt idx="12">
                  <c:v>148</c:v>
                </c:pt>
                <c:pt idx="13">
                  <c:v>148</c:v>
                </c:pt>
                <c:pt idx="14">
                  <c:v>148</c:v>
                </c:pt>
              </c:numCache>
            </c:numRef>
          </c:yVal>
          <c:smooth val="0"/>
          <c:extLst>
            <c:ext xmlns:c16="http://schemas.microsoft.com/office/drawing/2014/chart" uri="{C3380CC4-5D6E-409C-BE32-E72D297353CC}">
              <c16:uniqueId val="{00000003-9A01-4AE0-B0E5-5F9CC502837C}"/>
            </c:ext>
          </c:extLst>
        </c:ser>
        <c:ser>
          <c:idx val="4"/>
          <c:order val="4"/>
          <c:tx>
            <c:v>Estado actual</c:v>
          </c:tx>
          <c:spPr>
            <a:ln>
              <a:noFill/>
            </a:ln>
          </c:spPr>
          <c:marker>
            <c:symbol val="circle"/>
            <c:size val="9"/>
            <c:spPr>
              <a:solidFill>
                <a:srgbClr val="C00000"/>
              </a:solidFill>
              <a:ln>
                <a:solidFill>
                  <a:srgbClr val="000000"/>
                </a:solidFill>
              </a:ln>
            </c:spPr>
          </c:marker>
          <c:xVal>
            <c:numRef>
              <c:f>'U1 Embrague'!$AK$3:$AK$4</c:f>
              <c:numCache>
                <c:formatCode>0.000</c:formatCode>
                <c:ptCount val="2"/>
                <c:pt idx="0">
                  <c:v>0</c:v>
                </c:pt>
                <c:pt idx="1">
                  <c:v>0</c:v>
                </c:pt>
              </c:numCache>
            </c:numRef>
          </c:xVal>
          <c:yVal>
            <c:numRef>
              <c:f>'U1 Embrague'!$AL$3:$AL$4</c:f>
              <c:numCache>
                <c:formatCode>0.000</c:formatCode>
                <c:ptCount val="2"/>
                <c:pt idx="0">
                  <c:v>204.00000000000003</c:v>
                </c:pt>
                <c:pt idx="1">
                  <c:v>204.00000000000003</c:v>
                </c:pt>
              </c:numCache>
            </c:numRef>
          </c:yVal>
          <c:smooth val="0"/>
          <c:extLst>
            <c:ext xmlns:c16="http://schemas.microsoft.com/office/drawing/2014/chart" uri="{C3380CC4-5D6E-409C-BE32-E72D297353CC}">
              <c16:uniqueId val="{00000004-9A01-4AE0-B0E5-5F9CC502837C}"/>
            </c:ext>
          </c:extLst>
        </c:ser>
        <c:dLbls>
          <c:showLegendKey val="0"/>
          <c:showVal val="0"/>
          <c:showCatName val="0"/>
          <c:showSerName val="0"/>
          <c:showPercent val="0"/>
          <c:showBubbleSize val="0"/>
        </c:dLbls>
        <c:axId val="50060001"/>
        <c:axId val="50060002"/>
      </c:scatterChart>
      <c:valAx>
        <c:axId val="50060001"/>
        <c:scaling>
          <c:orientation val="minMax"/>
          <c:max val="3.5"/>
          <c:min val="0"/>
        </c:scaling>
        <c:delete val="0"/>
        <c:axPos val="b"/>
        <c:majorGridlines>
          <c:spPr>
            <a:ln>
              <a:solidFill>
                <a:srgbClr val="E0E0E0"/>
              </a:solidFill>
            </a:ln>
          </c:spPr>
        </c:majorGridlines>
        <c:title>
          <c:tx>
            <c:rich>
              <a:bodyPr/>
              <a:lstStyle/>
              <a:p>
                <a:pPr>
                  <a:defRPr sz="900" b="0" baseline="0"/>
                </a:pPr>
                <a:r>
                  <a:rPr lang="en-US" sz="900" b="0" baseline="0"/>
                  <a:t>Desgaste del forro [mm]</a:t>
                </a:r>
              </a:p>
            </c:rich>
          </c:tx>
          <c:overlay val="0"/>
        </c:title>
        <c:numFmt formatCode="0.000" sourceLinked="1"/>
        <c:majorTickMark val="out"/>
        <c:minorTickMark val="none"/>
        <c:tickLblPos val="nextTo"/>
        <c:txPr>
          <a:bodyPr/>
          <a:lstStyle/>
          <a:p>
            <a:pPr>
              <a:defRPr sz="800" baseline="0"/>
            </a:pPr>
            <a:endParaRPr lang="en-US"/>
          </a:p>
        </c:txPr>
        <c:crossAx val="50060002"/>
        <c:crosses val="autoZero"/>
        <c:crossBetween val="midCat"/>
        <c:majorUnit val="0.5"/>
      </c:valAx>
      <c:valAx>
        <c:axId val="50060002"/>
        <c:scaling>
          <c:orientation val="minMax"/>
        </c:scaling>
        <c:delete val="0"/>
        <c:axPos val="l"/>
        <c:majorGridlines>
          <c:spPr>
            <a:ln>
              <a:solidFill>
                <a:srgbClr val="E0E0E0"/>
              </a:solidFill>
            </a:ln>
          </c:spPr>
        </c:majorGridlines>
        <c:title>
          <c:tx>
            <c:rich>
              <a:bodyPr rot="-5400000" vert="horz"/>
              <a:lstStyle/>
              <a:p>
                <a:pPr>
                  <a:defRPr sz="900" b="0" baseline="0"/>
                </a:pPr>
                <a:r>
                  <a:rPr lang="en-US" sz="900" b="0" baseline="0"/>
                  <a:t>Par [N·m]</a:t>
                </a:r>
              </a:p>
            </c:rich>
          </c:tx>
          <c:overlay val="0"/>
        </c:title>
        <c:numFmt formatCode="0.000" sourceLinked="1"/>
        <c:majorTickMark val="out"/>
        <c:minorTickMark val="none"/>
        <c:tickLblPos val="nextTo"/>
        <c:txPr>
          <a:bodyPr/>
          <a:lstStyle/>
          <a:p>
            <a:pPr>
              <a:defRPr sz="800" baseline="0"/>
            </a:pPr>
            <a:endParaRPr lang="en-US"/>
          </a:p>
        </c:txPr>
        <c:crossAx val="50060001"/>
        <c:crosses val="autoZero"/>
        <c:crossBetween val="midCat"/>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'U1 Embrague'!$BE$2</c:f>
          <c:strCache>
            <c:ptCount val="1"/>
            <c:pt idx="0">
              <c:v>Disco: R = 100 mm, r = 70 mm, rm = 85.0 mm</c:v>
            </c:pt>
          </c:strCache>
        </c:strRef>
      </c:tx>
      <c:overlay val="0"/>
      <c:txPr>
        <a:bodyPr/>
        <a:lstStyle/>
        <a:p>
          <a:pPr>
            <a:defRPr sz="1100" b="1" baseline="0">
              <a:solidFill>
                <a:srgbClr val="1F3864"/>
              </a:solidFill>
            </a:defRPr>
          </a:pPr>
          <a:endParaRPr lang="en-US"/>
        </a:p>
      </c:txPr>
    </c:title>
    <c:autoTitleDeleted val="0"/>
    <c:plotArea>
      <c:layout>
        <c:manualLayout>
          <c:layoutTarget val="inner"/>
          <c:xMode val="edge"/>
          <c:yMode val="edge"/>
          <c:x val="7.5000000000000011E-2"/>
          <c:y val="0.12"/>
          <c:w val="0.85"/>
          <c:h val="0.85"/>
        </c:manualLayout>
      </c:layout>
      <c:scatterChart>
        <c:scatterStyle val="lineMarker"/>
        <c:varyColors val="0"/>
        <c:ser>
          <c:idx val="0"/>
          <c:order val="0"/>
          <c:tx>
            <c:v>R</c:v>
          </c:tx>
          <c:spPr>
            <a:ln w="38100">
              <a:solidFill>
                <a:srgbClr val="7F6000"/>
              </a:solidFill>
            </a:ln>
          </c:spPr>
          <c:marker>
            <c:symbol val="none"/>
          </c:marker>
          <c:xVal>
            <c:numRef>
              <c:f>'U1 Embrague'!$AM$3:$AM$75</c:f>
              <c:numCache>
                <c:formatCode>0.000</c:formatCode>
                <c:ptCount val="73"/>
                <c:pt idx="0">
                  <c:v>100</c:v>
                </c:pt>
                <c:pt idx="1">
                  <c:v>99.619469809174561</c:v>
                </c:pt>
                <c:pt idx="2">
                  <c:v>98.480775301220802</c:v>
                </c:pt>
                <c:pt idx="3">
                  <c:v>96.592582628906825</c:v>
                </c:pt>
                <c:pt idx="4">
                  <c:v>93.969262078590845</c:v>
                </c:pt>
                <c:pt idx="5">
                  <c:v>90.630778703664987</c:v>
                </c:pt>
                <c:pt idx="6">
                  <c:v>86.602540378443877</c:v>
                </c:pt>
                <c:pt idx="7">
                  <c:v>81.915204428899173</c:v>
                </c:pt>
                <c:pt idx="8">
                  <c:v>76.604444311897808</c:v>
                </c:pt>
                <c:pt idx="9">
                  <c:v>70.710678118654755</c:v>
                </c:pt>
                <c:pt idx="10">
                  <c:v>64.278760968653941</c:v>
                </c:pt>
                <c:pt idx="11">
                  <c:v>57.357643635104615</c:v>
                </c:pt>
                <c:pt idx="12">
                  <c:v>50.000000000000014</c:v>
                </c:pt>
                <c:pt idx="13">
                  <c:v>42.261826174069945</c:v>
                </c:pt>
                <c:pt idx="14">
                  <c:v>34.202014332566883</c:v>
                </c:pt>
                <c:pt idx="15">
                  <c:v>25.881904510252074</c:v>
                </c:pt>
                <c:pt idx="16">
                  <c:v>17.36481776669304</c:v>
                </c:pt>
                <c:pt idx="17">
                  <c:v>8.7155742747658138</c:v>
                </c:pt>
                <c:pt idx="18">
                  <c:v>6.1257422745431001E-15</c:v>
                </c:pt>
                <c:pt idx="19">
                  <c:v>-8.7155742747658227</c:v>
                </c:pt>
                <c:pt idx="20">
                  <c:v>-17.364817766693029</c:v>
                </c:pt>
                <c:pt idx="21">
                  <c:v>-25.881904510252085</c:v>
                </c:pt>
                <c:pt idx="22">
                  <c:v>-34.202014332566868</c:v>
                </c:pt>
                <c:pt idx="23">
                  <c:v>-42.261826174069931</c:v>
                </c:pt>
                <c:pt idx="24">
                  <c:v>-49.999999999999979</c:v>
                </c:pt>
                <c:pt idx="25">
                  <c:v>-57.357643635104615</c:v>
                </c:pt>
                <c:pt idx="26">
                  <c:v>-64.278760968653941</c:v>
                </c:pt>
                <c:pt idx="27">
                  <c:v>-70.710678118654741</c:v>
                </c:pt>
                <c:pt idx="28">
                  <c:v>-76.604444311897794</c:v>
                </c:pt>
                <c:pt idx="29">
                  <c:v>-81.915204428899187</c:v>
                </c:pt>
                <c:pt idx="30">
                  <c:v>-86.602540378443877</c:v>
                </c:pt>
                <c:pt idx="31">
                  <c:v>-90.630778703664987</c:v>
                </c:pt>
                <c:pt idx="32">
                  <c:v>-93.96926207859083</c:v>
                </c:pt>
                <c:pt idx="33">
                  <c:v>-96.592582628906825</c:v>
                </c:pt>
                <c:pt idx="34">
                  <c:v>-98.480775301220802</c:v>
                </c:pt>
                <c:pt idx="35">
                  <c:v>-99.619469809174561</c:v>
                </c:pt>
                <c:pt idx="36">
                  <c:v>-100</c:v>
                </c:pt>
                <c:pt idx="37">
                  <c:v>-99.619469809174561</c:v>
                </c:pt>
                <c:pt idx="38">
                  <c:v>-98.480775301220802</c:v>
                </c:pt>
                <c:pt idx="39">
                  <c:v>-96.592582628906825</c:v>
                </c:pt>
                <c:pt idx="40">
                  <c:v>-93.969262078590845</c:v>
                </c:pt>
                <c:pt idx="41">
                  <c:v>-90.630778703665001</c:v>
                </c:pt>
                <c:pt idx="42">
                  <c:v>-86.602540378443862</c:v>
                </c:pt>
                <c:pt idx="43">
                  <c:v>-81.915204428899173</c:v>
                </c:pt>
                <c:pt idx="44">
                  <c:v>-76.604444311897808</c:v>
                </c:pt>
                <c:pt idx="45">
                  <c:v>-70.710678118654769</c:v>
                </c:pt>
                <c:pt idx="46">
                  <c:v>-64.278760968653941</c:v>
                </c:pt>
                <c:pt idx="47">
                  <c:v>-57.357643635104637</c:v>
                </c:pt>
                <c:pt idx="48">
                  <c:v>-50.000000000000043</c:v>
                </c:pt>
                <c:pt idx="49">
                  <c:v>-42.261826174069917</c:v>
                </c:pt>
                <c:pt idx="50">
                  <c:v>-34.202014332566854</c:v>
                </c:pt>
                <c:pt idx="51">
                  <c:v>-25.881904510252063</c:v>
                </c:pt>
                <c:pt idx="52">
                  <c:v>-17.364817766693033</c:v>
                </c:pt>
                <c:pt idx="53">
                  <c:v>-8.7155742747658245</c:v>
                </c:pt>
                <c:pt idx="54">
                  <c:v>-1.83772268236293E-14</c:v>
                </c:pt>
                <c:pt idx="55">
                  <c:v>8.7155742747657889</c:v>
                </c:pt>
                <c:pt idx="56">
                  <c:v>17.364817766692997</c:v>
                </c:pt>
                <c:pt idx="57">
                  <c:v>25.881904510252028</c:v>
                </c:pt>
                <c:pt idx="58">
                  <c:v>34.202014332566897</c:v>
                </c:pt>
                <c:pt idx="59">
                  <c:v>42.261826174069959</c:v>
                </c:pt>
                <c:pt idx="60">
                  <c:v>50.000000000000014</c:v>
                </c:pt>
                <c:pt idx="61">
                  <c:v>57.357643635104608</c:v>
                </c:pt>
                <c:pt idx="62">
                  <c:v>64.278760968653927</c:v>
                </c:pt>
                <c:pt idx="63">
                  <c:v>70.710678118654741</c:v>
                </c:pt>
                <c:pt idx="64">
                  <c:v>76.60444431189778</c:v>
                </c:pt>
                <c:pt idx="65">
                  <c:v>81.915204428899159</c:v>
                </c:pt>
                <c:pt idx="66">
                  <c:v>86.602540378443834</c:v>
                </c:pt>
                <c:pt idx="67">
                  <c:v>90.630778703665001</c:v>
                </c:pt>
                <c:pt idx="68">
                  <c:v>93.969262078590845</c:v>
                </c:pt>
                <c:pt idx="69">
                  <c:v>96.592582628906825</c:v>
                </c:pt>
                <c:pt idx="70">
                  <c:v>98.480775301220802</c:v>
                </c:pt>
                <c:pt idx="71">
                  <c:v>99.619469809174561</c:v>
                </c:pt>
                <c:pt idx="72">
                  <c:v>100</c:v>
                </c:pt>
              </c:numCache>
            </c:numRef>
          </c:xVal>
          <c:yVal>
            <c:numRef>
              <c:f>'U1 Embrague'!$AN$3:$AN$75</c:f>
              <c:numCache>
                <c:formatCode>0.000</c:formatCode>
                <c:ptCount val="73"/>
                <c:pt idx="0">
                  <c:v>0</c:v>
                </c:pt>
                <c:pt idx="1">
                  <c:v>8.7155742747658174</c:v>
                </c:pt>
                <c:pt idx="2">
                  <c:v>17.364817766693033</c:v>
                </c:pt>
                <c:pt idx="3">
                  <c:v>25.881904510252074</c:v>
                </c:pt>
                <c:pt idx="4">
                  <c:v>34.202014332566868</c:v>
                </c:pt>
                <c:pt idx="5">
                  <c:v>42.261826174069945</c:v>
                </c:pt>
                <c:pt idx="6">
                  <c:v>49.999999999999993</c:v>
                </c:pt>
                <c:pt idx="7">
                  <c:v>57.357643635104608</c:v>
                </c:pt>
                <c:pt idx="8">
                  <c:v>64.278760968653927</c:v>
                </c:pt>
                <c:pt idx="9">
                  <c:v>70.710678118654741</c:v>
                </c:pt>
                <c:pt idx="10">
                  <c:v>76.604444311897808</c:v>
                </c:pt>
                <c:pt idx="11">
                  <c:v>81.915204428899173</c:v>
                </c:pt>
                <c:pt idx="12">
                  <c:v>86.602540378443862</c:v>
                </c:pt>
                <c:pt idx="13">
                  <c:v>90.630778703664987</c:v>
                </c:pt>
                <c:pt idx="14">
                  <c:v>93.96926207859083</c:v>
                </c:pt>
                <c:pt idx="15">
                  <c:v>96.592582628906825</c:v>
                </c:pt>
                <c:pt idx="16">
                  <c:v>98.480775301220802</c:v>
                </c:pt>
                <c:pt idx="17">
                  <c:v>99.619469809174561</c:v>
                </c:pt>
                <c:pt idx="18">
                  <c:v>100</c:v>
                </c:pt>
                <c:pt idx="19">
                  <c:v>99.619469809174561</c:v>
                </c:pt>
                <c:pt idx="20">
                  <c:v>98.480775301220802</c:v>
                </c:pt>
                <c:pt idx="21">
                  <c:v>96.592582628906825</c:v>
                </c:pt>
                <c:pt idx="22">
                  <c:v>93.969262078590845</c:v>
                </c:pt>
                <c:pt idx="23">
                  <c:v>90.630778703665001</c:v>
                </c:pt>
                <c:pt idx="24">
                  <c:v>86.602540378443877</c:v>
                </c:pt>
                <c:pt idx="25">
                  <c:v>81.915204428899173</c:v>
                </c:pt>
                <c:pt idx="26">
                  <c:v>76.604444311897808</c:v>
                </c:pt>
                <c:pt idx="27">
                  <c:v>70.710678118654755</c:v>
                </c:pt>
                <c:pt idx="28">
                  <c:v>64.278760968653941</c:v>
                </c:pt>
                <c:pt idx="29">
                  <c:v>57.357643635104594</c:v>
                </c:pt>
                <c:pt idx="30">
                  <c:v>49.999999999999993</c:v>
                </c:pt>
                <c:pt idx="31">
                  <c:v>42.261826174069952</c:v>
                </c:pt>
                <c:pt idx="32">
                  <c:v>34.20201433256689</c:v>
                </c:pt>
                <c:pt idx="33">
                  <c:v>25.881904510252102</c:v>
                </c:pt>
                <c:pt idx="34">
                  <c:v>17.364817766693026</c:v>
                </c:pt>
                <c:pt idx="35">
                  <c:v>8.7155742747658191</c:v>
                </c:pt>
                <c:pt idx="36">
                  <c:v>1.22514845490862E-14</c:v>
                </c:pt>
                <c:pt idx="37">
                  <c:v>-8.7155742747657943</c:v>
                </c:pt>
                <c:pt idx="38">
                  <c:v>-17.364817766693047</c:v>
                </c:pt>
                <c:pt idx="39">
                  <c:v>-25.881904510252081</c:v>
                </c:pt>
                <c:pt idx="40">
                  <c:v>-34.202014332566868</c:v>
                </c:pt>
                <c:pt idx="41">
                  <c:v>-42.261826174069924</c:v>
                </c:pt>
                <c:pt idx="42">
                  <c:v>-50.000000000000014</c:v>
                </c:pt>
                <c:pt idx="43">
                  <c:v>-57.357643635104615</c:v>
                </c:pt>
                <c:pt idx="44">
                  <c:v>-64.278760968653927</c:v>
                </c:pt>
                <c:pt idx="45">
                  <c:v>-70.710678118654741</c:v>
                </c:pt>
                <c:pt idx="46">
                  <c:v>-76.604444311897794</c:v>
                </c:pt>
                <c:pt idx="47">
                  <c:v>-81.915204428899159</c:v>
                </c:pt>
                <c:pt idx="48">
                  <c:v>-86.602540378443834</c:v>
                </c:pt>
                <c:pt idx="49">
                  <c:v>-90.630778703665001</c:v>
                </c:pt>
                <c:pt idx="50">
                  <c:v>-93.969262078590845</c:v>
                </c:pt>
                <c:pt idx="51">
                  <c:v>-96.592582628906825</c:v>
                </c:pt>
                <c:pt idx="52">
                  <c:v>-98.480775301220802</c:v>
                </c:pt>
                <c:pt idx="53">
                  <c:v>-99.619469809174561</c:v>
                </c:pt>
                <c:pt idx="54">
                  <c:v>-100</c:v>
                </c:pt>
                <c:pt idx="55">
                  <c:v>-99.619469809174561</c:v>
                </c:pt>
                <c:pt idx="56">
                  <c:v>-98.480775301220817</c:v>
                </c:pt>
                <c:pt idx="57">
                  <c:v>-96.59258262890684</c:v>
                </c:pt>
                <c:pt idx="58">
                  <c:v>-93.96926207859083</c:v>
                </c:pt>
                <c:pt idx="59">
                  <c:v>-90.630778703664987</c:v>
                </c:pt>
                <c:pt idx="60">
                  <c:v>-86.602540378443862</c:v>
                </c:pt>
                <c:pt idx="61">
                  <c:v>-81.915204428899173</c:v>
                </c:pt>
                <c:pt idx="62">
                  <c:v>-76.604444311897808</c:v>
                </c:pt>
                <c:pt idx="63">
                  <c:v>-70.710678118654769</c:v>
                </c:pt>
                <c:pt idx="64">
                  <c:v>-64.278760968653955</c:v>
                </c:pt>
                <c:pt idx="65">
                  <c:v>-57.357643635104651</c:v>
                </c:pt>
                <c:pt idx="66">
                  <c:v>-50.000000000000043</c:v>
                </c:pt>
                <c:pt idx="67">
                  <c:v>-42.261826174069924</c:v>
                </c:pt>
                <c:pt idx="68">
                  <c:v>-34.202014332566861</c:v>
                </c:pt>
                <c:pt idx="69">
                  <c:v>-25.881904510252067</c:v>
                </c:pt>
                <c:pt idx="70">
                  <c:v>-17.36481776669304</c:v>
                </c:pt>
                <c:pt idx="71">
                  <c:v>-8.7155742747658316</c:v>
                </c:pt>
                <c:pt idx="72">
                  <c:v>-2.45029690981724E-14</c:v>
                </c:pt>
              </c:numCache>
            </c:numRef>
          </c:yVal>
          <c:smooth val="0"/>
          <c:extLst>
            <c:ext xmlns:c16="http://schemas.microsoft.com/office/drawing/2014/chart" uri="{C3380CC4-5D6E-409C-BE32-E72D297353CC}">
              <c16:uniqueId val="{00000000-5F73-431E-BB68-563255752091}"/>
            </c:ext>
          </c:extLst>
        </c:ser>
        <c:ser>
          <c:idx val="1"/>
          <c:order val="1"/>
          <c:tx>
            <c:v>r</c:v>
          </c:tx>
          <c:spPr>
            <a:ln w="38100">
              <a:solidFill>
                <a:srgbClr val="7F6000"/>
              </a:solidFill>
            </a:ln>
          </c:spPr>
          <c:marker>
            <c:symbol val="none"/>
          </c:marker>
          <c:xVal>
            <c:numRef>
              <c:f>'U1 Embrague'!$AO$3:$AO$75</c:f>
              <c:numCache>
                <c:formatCode>0.000</c:formatCode>
                <c:ptCount val="73"/>
                <c:pt idx="0">
                  <c:v>70</c:v>
                </c:pt>
                <c:pt idx="1">
                  <c:v>69.733628866422194</c:v>
                </c:pt>
                <c:pt idx="2">
                  <c:v>68.936542710854567</c:v>
                </c:pt>
                <c:pt idx="3">
                  <c:v>67.614807840234775</c:v>
                </c:pt>
                <c:pt idx="4">
                  <c:v>65.778483455013586</c:v>
                </c:pt>
                <c:pt idx="5">
                  <c:v>63.441545092565498</c:v>
                </c:pt>
                <c:pt idx="6">
                  <c:v>60.621778264910709</c:v>
                </c:pt>
                <c:pt idx="7">
                  <c:v>57.340643100229428</c:v>
                </c:pt>
                <c:pt idx="8">
                  <c:v>53.623111018328458</c:v>
                </c:pt>
                <c:pt idx="9">
                  <c:v>49.497474683058329</c:v>
                </c:pt>
                <c:pt idx="10">
                  <c:v>44.995132678057757</c:v>
                </c:pt>
                <c:pt idx="11">
                  <c:v>40.150350544573229</c:v>
                </c:pt>
                <c:pt idx="12">
                  <c:v>35.000000000000007</c:v>
                </c:pt>
                <c:pt idx="13">
                  <c:v>29.583278321848962</c:v>
                </c:pt>
                <c:pt idx="14">
                  <c:v>23.941410032796817</c:v>
                </c:pt>
                <c:pt idx="15">
                  <c:v>18.117333157176454</c:v>
                </c:pt>
                <c:pt idx="16">
                  <c:v>12.155372436685129</c:v>
                </c:pt>
                <c:pt idx="17">
                  <c:v>6.1009019923360697</c:v>
                </c:pt>
                <c:pt idx="18">
                  <c:v>4.28801959218017E-15</c:v>
                </c:pt>
                <c:pt idx="19">
                  <c:v>-6.1009019923360768</c:v>
                </c:pt>
                <c:pt idx="20">
                  <c:v>-12.155372436685122</c:v>
                </c:pt>
                <c:pt idx="21">
                  <c:v>-18.117333157176461</c:v>
                </c:pt>
                <c:pt idx="22">
                  <c:v>-23.94141003279681</c:v>
                </c:pt>
                <c:pt idx="23">
                  <c:v>-29.583278321848955</c:v>
                </c:pt>
                <c:pt idx="24">
                  <c:v>-34.999999999999986</c:v>
                </c:pt>
                <c:pt idx="25">
                  <c:v>-40.150350544573229</c:v>
                </c:pt>
                <c:pt idx="26">
                  <c:v>-44.995132678057757</c:v>
                </c:pt>
                <c:pt idx="27">
                  <c:v>-49.497474683058321</c:v>
                </c:pt>
                <c:pt idx="28">
                  <c:v>-53.623111018328451</c:v>
                </c:pt>
                <c:pt idx="29">
                  <c:v>-57.340643100229435</c:v>
                </c:pt>
                <c:pt idx="30">
                  <c:v>-60.621778264910709</c:v>
                </c:pt>
                <c:pt idx="31">
                  <c:v>-63.441545092565498</c:v>
                </c:pt>
                <c:pt idx="32">
                  <c:v>-65.778483455013586</c:v>
                </c:pt>
                <c:pt idx="33">
                  <c:v>-67.614807840234775</c:v>
                </c:pt>
                <c:pt idx="34">
                  <c:v>-68.936542710854567</c:v>
                </c:pt>
                <c:pt idx="35">
                  <c:v>-69.733628866422194</c:v>
                </c:pt>
                <c:pt idx="36">
                  <c:v>-70</c:v>
                </c:pt>
                <c:pt idx="37">
                  <c:v>-69.733628866422194</c:v>
                </c:pt>
                <c:pt idx="38">
                  <c:v>-68.936542710854567</c:v>
                </c:pt>
                <c:pt idx="39">
                  <c:v>-67.614807840234775</c:v>
                </c:pt>
                <c:pt idx="40">
                  <c:v>-65.778483455013586</c:v>
                </c:pt>
                <c:pt idx="41">
                  <c:v>-63.441545092565505</c:v>
                </c:pt>
                <c:pt idx="42">
                  <c:v>-60.621778264910702</c:v>
                </c:pt>
                <c:pt idx="43">
                  <c:v>-57.340643100229428</c:v>
                </c:pt>
                <c:pt idx="44">
                  <c:v>-53.623111018328458</c:v>
                </c:pt>
                <c:pt idx="45">
                  <c:v>-49.497474683058336</c:v>
                </c:pt>
                <c:pt idx="46">
                  <c:v>-44.995132678057765</c:v>
                </c:pt>
                <c:pt idx="47">
                  <c:v>-40.15035054457325</c:v>
                </c:pt>
                <c:pt idx="48">
                  <c:v>-35.000000000000028</c:v>
                </c:pt>
                <c:pt idx="49">
                  <c:v>-29.58327832184894</c:v>
                </c:pt>
                <c:pt idx="50">
                  <c:v>-23.941410032796799</c:v>
                </c:pt>
                <c:pt idx="51">
                  <c:v>-18.117333157176443</c:v>
                </c:pt>
                <c:pt idx="52">
                  <c:v>-12.155372436685123</c:v>
                </c:pt>
                <c:pt idx="53">
                  <c:v>-6.1009019923360777</c:v>
                </c:pt>
                <c:pt idx="54">
                  <c:v>-1.286405877654051E-14</c:v>
                </c:pt>
                <c:pt idx="55">
                  <c:v>6.1009019923360519</c:v>
                </c:pt>
                <c:pt idx="56">
                  <c:v>12.155372436685099</c:v>
                </c:pt>
                <c:pt idx="57">
                  <c:v>18.117333157176422</c:v>
                </c:pt>
                <c:pt idx="58">
                  <c:v>23.941410032796828</c:v>
                </c:pt>
                <c:pt idx="59">
                  <c:v>29.583278321848972</c:v>
                </c:pt>
                <c:pt idx="60">
                  <c:v>35.000000000000007</c:v>
                </c:pt>
                <c:pt idx="61">
                  <c:v>40.150350544573222</c:v>
                </c:pt>
                <c:pt idx="62">
                  <c:v>44.99513267805775</c:v>
                </c:pt>
                <c:pt idx="63">
                  <c:v>49.497474683058314</c:v>
                </c:pt>
                <c:pt idx="64">
                  <c:v>53.623111018328444</c:v>
                </c:pt>
                <c:pt idx="65">
                  <c:v>57.340643100229407</c:v>
                </c:pt>
                <c:pt idx="66">
                  <c:v>60.621778264910688</c:v>
                </c:pt>
                <c:pt idx="67">
                  <c:v>63.441545092565505</c:v>
                </c:pt>
                <c:pt idx="68">
                  <c:v>65.778483455013586</c:v>
                </c:pt>
                <c:pt idx="69">
                  <c:v>67.614807840234775</c:v>
                </c:pt>
                <c:pt idx="70">
                  <c:v>68.936542710854567</c:v>
                </c:pt>
                <c:pt idx="71">
                  <c:v>69.733628866422194</c:v>
                </c:pt>
                <c:pt idx="72">
                  <c:v>70</c:v>
                </c:pt>
              </c:numCache>
            </c:numRef>
          </c:xVal>
          <c:yVal>
            <c:numRef>
              <c:f>'U1 Embrague'!$AP$3:$AP$75</c:f>
              <c:numCache>
                <c:formatCode>0.000</c:formatCode>
                <c:ptCount val="73"/>
                <c:pt idx="0">
                  <c:v>0</c:v>
                </c:pt>
                <c:pt idx="1">
                  <c:v>6.1009019923360714</c:v>
                </c:pt>
                <c:pt idx="2">
                  <c:v>12.155372436685123</c:v>
                </c:pt>
                <c:pt idx="3">
                  <c:v>18.117333157176454</c:v>
                </c:pt>
                <c:pt idx="4">
                  <c:v>23.94141003279681</c:v>
                </c:pt>
                <c:pt idx="5">
                  <c:v>29.583278321848962</c:v>
                </c:pt>
                <c:pt idx="6">
                  <c:v>34.999999999999993</c:v>
                </c:pt>
                <c:pt idx="7">
                  <c:v>40.150350544573222</c:v>
                </c:pt>
                <c:pt idx="8">
                  <c:v>44.99513267805775</c:v>
                </c:pt>
                <c:pt idx="9">
                  <c:v>49.497474683058321</c:v>
                </c:pt>
                <c:pt idx="10">
                  <c:v>53.623111018328458</c:v>
                </c:pt>
                <c:pt idx="11">
                  <c:v>57.340643100229428</c:v>
                </c:pt>
                <c:pt idx="12">
                  <c:v>60.621778264910702</c:v>
                </c:pt>
                <c:pt idx="13">
                  <c:v>63.441545092565498</c:v>
                </c:pt>
                <c:pt idx="14">
                  <c:v>65.778483455013586</c:v>
                </c:pt>
                <c:pt idx="15">
                  <c:v>67.614807840234775</c:v>
                </c:pt>
                <c:pt idx="16">
                  <c:v>68.936542710854567</c:v>
                </c:pt>
                <c:pt idx="17">
                  <c:v>69.733628866422194</c:v>
                </c:pt>
                <c:pt idx="18">
                  <c:v>70</c:v>
                </c:pt>
                <c:pt idx="19">
                  <c:v>69.733628866422194</c:v>
                </c:pt>
                <c:pt idx="20">
                  <c:v>68.936542710854567</c:v>
                </c:pt>
                <c:pt idx="21">
                  <c:v>67.614807840234775</c:v>
                </c:pt>
                <c:pt idx="22">
                  <c:v>65.778483455013586</c:v>
                </c:pt>
                <c:pt idx="23">
                  <c:v>63.441545092565505</c:v>
                </c:pt>
                <c:pt idx="24">
                  <c:v>60.621778264910709</c:v>
                </c:pt>
                <c:pt idx="25">
                  <c:v>57.340643100229421</c:v>
                </c:pt>
                <c:pt idx="26">
                  <c:v>53.623111018328458</c:v>
                </c:pt>
                <c:pt idx="27">
                  <c:v>49.497474683058329</c:v>
                </c:pt>
                <c:pt idx="28">
                  <c:v>44.995132678057765</c:v>
                </c:pt>
                <c:pt idx="29">
                  <c:v>40.150350544573215</c:v>
                </c:pt>
                <c:pt idx="30">
                  <c:v>34.999999999999993</c:v>
                </c:pt>
                <c:pt idx="31">
                  <c:v>29.583278321848965</c:v>
                </c:pt>
                <c:pt idx="32">
                  <c:v>23.941410032796821</c:v>
                </c:pt>
                <c:pt idx="33">
                  <c:v>18.117333157176471</c:v>
                </c:pt>
                <c:pt idx="34">
                  <c:v>12.15537243668512</c:v>
                </c:pt>
                <c:pt idx="35">
                  <c:v>6.1009019923360732</c:v>
                </c:pt>
                <c:pt idx="36">
                  <c:v>8.5760391843603401E-15</c:v>
                </c:pt>
                <c:pt idx="37">
                  <c:v>-6.1009019923360563</c:v>
                </c:pt>
                <c:pt idx="38">
                  <c:v>-12.155372436685132</c:v>
                </c:pt>
                <c:pt idx="39">
                  <c:v>-18.117333157176457</c:v>
                </c:pt>
                <c:pt idx="40">
                  <c:v>-23.941410032796806</c:v>
                </c:pt>
                <c:pt idx="41">
                  <c:v>-29.583278321848951</c:v>
                </c:pt>
                <c:pt idx="42">
                  <c:v>-35.000000000000007</c:v>
                </c:pt>
                <c:pt idx="43">
                  <c:v>-40.150350544573229</c:v>
                </c:pt>
                <c:pt idx="44">
                  <c:v>-44.99513267805775</c:v>
                </c:pt>
                <c:pt idx="45">
                  <c:v>-49.497474683058321</c:v>
                </c:pt>
                <c:pt idx="46">
                  <c:v>-53.623111018328451</c:v>
                </c:pt>
                <c:pt idx="47">
                  <c:v>-57.340643100229407</c:v>
                </c:pt>
                <c:pt idx="48">
                  <c:v>-60.621778264910688</c:v>
                </c:pt>
                <c:pt idx="49">
                  <c:v>-63.441545092565505</c:v>
                </c:pt>
                <c:pt idx="50">
                  <c:v>-65.778483455013586</c:v>
                </c:pt>
                <c:pt idx="51">
                  <c:v>-67.614807840234775</c:v>
                </c:pt>
                <c:pt idx="52">
                  <c:v>-68.936542710854567</c:v>
                </c:pt>
                <c:pt idx="53">
                  <c:v>-69.733628866422194</c:v>
                </c:pt>
                <c:pt idx="54">
                  <c:v>-70</c:v>
                </c:pt>
                <c:pt idx="55">
                  <c:v>-69.733628866422194</c:v>
                </c:pt>
                <c:pt idx="56">
                  <c:v>-68.936542710854567</c:v>
                </c:pt>
                <c:pt idx="57">
                  <c:v>-67.614807840234789</c:v>
                </c:pt>
                <c:pt idx="58">
                  <c:v>-65.778483455013586</c:v>
                </c:pt>
                <c:pt idx="59">
                  <c:v>-63.441545092565498</c:v>
                </c:pt>
                <c:pt idx="60">
                  <c:v>-60.621778264910702</c:v>
                </c:pt>
                <c:pt idx="61">
                  <c:v>-57.340643100229428</c:v>
                </c:pt>
                <c:pt idx="62">
                  <c:v>-53.623111018328466</c:v>
                </c:pt>
                <c:pt idx="63">
                  <c:v>-49.497474683058336</c:v>
                </c:pt>
                <c:pt idx="64">
                  <c:v>-44.995132678057772</c:v>
                </c:pt>
                <c:pt idx="65">
                  <c:v>-40.150350544573257</c:v>
                </c:pt>
                <c:pt idx="66">
                  <c:v>-35.000000000000028</c:v>
                </c:pt>
                <c:pt idx="67">
                  <c:v>-29.583278321848944</c:v>
                </c:pt>
                <c:pt idx="68">
                  <c:v>-23.941410032796803</c:v>
                </c:pt>
                <c:pt idx="69">
                  <c:v>-18.117333157176446</c:v>
                </c:pt>
                <c:pt idx="70">
                  <c:v>-12.155372436685127</c:v>
                </c:pt>
                <c:pt idx="71">
                  <c:v>-6.1009019923360821</c:v>
                </c:pt>
                <c:pt idx="72">
                  <c:v>-1.715207836872068E-14</c:v>
                </c:pt>
              </c:numCache>
            </c:numRef>
          </c:yVal>
          <c:smooth val="0"/>
          <c:extLst>
            <c:ext xmlns:c16="http://schemas.microsoft.com/office/drawing/2014/chart" uri="{C3380CC4-5D6E-409C-BE32-E72D297353CC}">
              <c16:uniqueId val="{00000001-5F73-431E-BB68-563255752091}"/>
            </c:ext>
          </c:extLst>
        </c:ser>
        <c:ser>
          <c:idx val="2"/>
          <c:order val="2"/>
          <c:tx>
            <c:v>rm</c:v>
          </c:tx>
          <c:spPr>
            <a:ln w="19050">
              <a:solidFill>
                <a:srgbClr val="C00000"/>
              </a:solidFill>
              <a:prstDash val="dash"/>
            </a:ln>
          </c:spPr>
          <c:marker>
            <c:symbol val="none"/>
          </c:marker>
          <c:xVal>
            <c:numRef>
              <c:f>'U1 Embrague'!$AQ$3:$AQ$75</c:f>
              <c:numCache>
                <c:formatCode>0.000</c:formatCode>
                <c:ptCount val="73"/>
                <c:pt idx="0">
                  <c:v>85</c:v>
                </c:pt>
                <c:pt idx="1">
                  <c:v>84.676549337798377</c:v>
                </c:pt>
                <c:pt idx="2">
                  <c:v>83.708659006037678</c:v>
                </c:pt>
                <c:pt idx="3">
                  <c:v>82.103695234570807</c:v>
                </c:pt>
                <c:pt idx="4">
                  <c:v>79.873872766802222</c:v>
                </c:pt>
                <c:pt idx="5">
                  <c:v>77.036161898115239</c:v>
                </c:pt>
                <c:pt idx="6">
                  <c:v>73.612159321677296</c:v>
                </c:pt>
                <c:pt idx="7">
                  <c:v>69.627923764564301</c:v>
                </c:pt>
                <c:pt idx="8">
                  <c:v>65.113777665113133</c:v>
                </c:pt>
                <c:pt idx="9">
                  <c:v>60.104076400856542</c:v>
                </c:pt>
                <c:pt idx="10">
                  <c:v>54.636946823355849</c:v>
                </c:pt>
                <c:pt idx="11">
                  <c:v>48.753997089838926</c:v>
                </c:pt>
                <c:pt idx="12">
                  <c:v>42.500000000000007</c:v>
                </c:pt>
                <c:pt idx="13">
                  <c:v>35.922552247959452</c:v>
                </c:pt>
                <c:pt idx="14">
                  <c:v>29.07171218268185</c:v>
                </c:pt>
                <c:pt idx="15">
                  <c:v>21.999618833714262</c:v>
                </c:pt>
                <c:pt idx="16">
                  <c:v>14.760095101689085</c:v>
                </c:pt>
                <c:pt idx="17">
                  <c:v>7.4082381335509417</c:v>
                </c:pt>
                <c:pt idx="18">
                  <c:v>5.206880933361635E-15</c:v>
                </c:pt>
                <c:pt idx="19">
                  <c:v>-7.4082381335509497</c:v>
                </c:pt>
                <c:pt idx="20">
                  <c:v>-14.760095101689076</c:v>
                </c:pt>
                <c:pt idx="21">
                  <c:v>-21.999618833714273</c:v>
                </c:pt>
                <c:pt idx="22">
                  <c:v>-29.071712182681839</c:v>
                </c:pt>
                <c:pt idx="23">
                  <c:v>-35.922552247959445</c:v>
                </c:pt>
                <c:pt idx="24">
                  <c:v>-42.499999999999979</c:v>
                </c:pt>
                <c:pt idx="25">
                  <c:v>-48.753997089838926</c:v>
                </c:pt>
                <c:pt idx="26">
                  <c:v>-54.636946823355849</c:v>
                </c:pt>
                <c:pt idx="27">
                  <c:v>-60.104076400856535</c:v>
                </c:pt>
                <c:pt idx="28">
                  <c:v>-65.113777665113119</c:v>
                </c:pt>
                <c:pt idx="29">
                  <c:v>-69.627923764564315</c:v>
                </c:pt>
                <c:pt idx="30">
                  <c:v>-73.612159321677296</c:v>
                </c:pt>
                <c:pt idx="31">
                  <c:v>-77.036161898115239</c:v>
                </c:pt>
                <c:pt idx="32">
                  <c:v>-79.873872766802208</c:v>
                </c:pt>
                <c:pt idx="33">
                  <c:v>-82.103695234570793</c:v>
                </c:pt>
                <c:pt idx="34">
                  <c:v>-83.708659006037678</c:v>
                </c:pt>
                <c:pt idx="35">
                  <c:v>-84.676549337798377</c:v>
                </c:pt>
                <c:pt idx="36">
                  <c:v>-85</c:v>
                </c:pt>
                <c:pt idx="37">
                  <c:v>-84.676549337798377</c:v>
                </c:pt>
                <c:pt idx="38">
                  <c:v>-83.708659006037678</c:v>
                </c:pt>
                <c:pt idx="39">
                  <c:v>-82.103695234570807</c:v>
                </c:pt>
                <c:pt idx="40">
                  <c:v>-79.873872766802222</c:v>
                </c:pt>
                <c:pt idx="41">
                  <c:v>-77.036161898115253</c:v>
                </c:pt>
                <c:pt idx="42">
                  <c:v>-73.612159321677282</c:v>
                </c:pt>
                <c:pt idx="43">
                  <c:v>-69.627923764564301</c:v>
                </c:pt>
                <c:pt idx="44">
                  <c:v>-65.113777665113133</c:v>
                </c:pt>
                <c:pt idx="45">
                  <c:v>-60.104076400856556</c:v>
                </c:pt>
                <c:pt idx="46">
                  <c:v>-54.636946823355856</c:v>
                </c:pt>
                <c:pt idx="47">
                  <c:v>-48.75399708983894</c:v>
                </c:pt>
                <c:pt idx="48">
                  <c:v>-42.500000000000036</c:v>
                </c:pt>
                <c:pt idx="49">
                  <c:v>-35.92255224795943</c:v>
                </c:pt>
                <c:pt idx="50">
                  <c:v>-29.071712182681825</c:v>
                </c:pt>
                <c:pt idx="51">
                  <c:v>-21.999618833714255</c:v>
                </c:pt>
                <c:pt idx="52">
                  <c:v>-14.760095101689078</c:v>
                </c:pt>
                <c:pt idx="53">
                  <c:v>-7.4082381335509515</c:v>
                </c:pt>
                <c:pt idx="54">
                  <c:v>-1.5620642800084905E-14</c:v>
                </c:pt>
                <c:pt idx="55">
                  <c:v>7.4082381335509204</c:v>
                </c:pt>
                <c:pt idx="56">
                  <c:v>14.760095101689048</c:v>
                </c:pt>
                <c:pt idx="57">
                  <c:v>21.999618833714226</c:v>
                </c:pt>
                <c:pt idx="58">
                  <c:v>29.071712182681864</c:v>
                </c:pt>
                <c:pt idx="59">
                  <c:v>35.922552247959466</c:v>
                </c:pt>
                <c:pt idx="60">
                  <c:v>42.500000000000007</c:v>
                </c:pt>
                <c:pt idx="61">
                  <c:v>48.753997089838911</c:v>
                </c:pt>
                <c:pt idx="62">
                  <c:v>54.636946823355835</c:v>
                </c:pt>
                <c:pt idx="63">
                  <c:v>60.104076400856528</c:v>
                </c:pt>
                <c:pt idx="64">
                  <c:v>65.113777665113119</c:v>
                </c:pt>
                <c:pt idx="65">
                  <c:v>69.627923764564287</c:v>
                </c:pt>
                <c:pt idx="66">
                  <c:v>73.612159321677268</c:v>
                </c:pt>
                <c:pt idx="67">
                  <c:v>77.036161898115253</c:v>
                </c:pt>
                <c:pt idx="68">
                  <c:v>79.873872766802222</c:v>
                </c:pt>
                <c:pt idx="69">
                  <c:v>82.103695234570807</c:v>
                </c:pt>
                <c:pt idx="70">
                  <c:v>83.708659006037678</c:v>
                </c:pt>
                <c:pt idx="71">
                  <c:v>84.676549337798377</c:v>
                </c:pt>
                <c:pt idx="72">
                  <c:v>85</c:v>
                </c:pt>
              </c:numCache>
            </c:numRef>
          </c:xVal>
          <c:yVal>
            <c:numRef>
              <c:f>'U1 Embrague'!$AR$3:$AR$75</c:f>
              <c:numCache>
                <c:formatCode>0.000</c:formatCode>
                <c:ptCount val="73"/>
                <c:pt idx="0">
                  <c:v>0</c:v>
                </c:pt>
                <c:pt idx="1">
                  <c:v>7.4082381335509444</c:v>
                </c:pt>
                <c:pt idx="2">
                  <c:v>14.760095101689078</c:v>
                </c:pt>
                <c:pt idx="3">
                  <c:v>21.999618833714262</c:v>
                </c:pt>
                <c:pt idx="4">
                  <c:v>29.071712182681839</c:v>
                </c:pt>
                <c:pt idx="5">
                  <c:v>35.922552247959452</c:v>
                </c:pt>
                <c:pt idx="6">
                  <c:v>42.499999999999993</c:v>
                </c:pt>
                <c:pt idx="7">
                  <c:v>48.753997089838911</c:v>
                </c:pt>
                <c:pt idx="8">
                  <c:v>54.636946823355835</c:v>
                </c:pt>
                <c:pt idx="9">
                  <c:v>60.104076400856535</c:v>
                </c:pt>
                <c:pt idx="10">
                  <c:v>65.113777665113133</c:v>
                </c:pt>
                <c:pt idx="11">
                  <c:v>69.627923764564301</c:v>
                </c:pt>
                <c:pt idx="12">
                  <c:v>73.612159321677282</c:v>
                </c:pt>
                <c:pt idx="13">
                  <c:v>77.036161898115239</c:v>
                </c:pt>
                <c:pt idx="14">
                  <c:v>79.873872766802208</c:v>
                </c:pt>
                <c:pt idx="15">
                  <c:v>82.103695234570807</c:v>
                </c:pt>
                <c:pt idx="16">
                  <c:v>83.708659006037678</c:v>
                </c:pt>
                <c:pt idx="17">
                  <c:v>84.676549337798377</c:v>
                </c:pt>
                <c:pt idx="18">
                  <c:v>85</c:v>
                </c:pt>
                <c:pt idx="19">
                  <c:v>84.676549337798377</c:v>
                </c:pt>
                <c:pt idx="20">
                  <c:v>83.708659006037678</c:v>
                </c:pt>
                <c:pt idx="21">
                  <c:v>82.103695234570807</c:v>
                </c:pt>
                <c:pt idx="22">
                  <c:v>79.873872766802222</c:v>
                </c:pt>
                <c:pt idx="23">
                  <c:v>77.036161898115253</c:v>
                </c:pt>
                <c:pt idx="24">
                  <c:v>73.612159321677296</c:v>
                </c:pt>
                <c:pt idx="25">
                  <c:v>69.627923764564287</c:v>
                </c:pt>
                <c:pt idx="26">
                  <c:v>65.113777665113133</c:v>
                </c:pt>
                <c:pt idx="27">
                  <c:v>60.104076400856542</c:v>
                </c:pt>
                <c:pt idx="28">
                  <c:v>54.636946823355856</c:v>
                </c:pt>
                <c:pt idx="29">
                  <c:v>48.753997089838904</c:v>
                </c:pt>
                <c:pt idx="30">
                  <c:v>42.499999999999993</c:v>
                </c:pt>
                <c:pt idx="31">
                  <c:v>35.922552247959459</c:v>
                </c:pt>
                <c:pt idx="32">
                  <c:v>29.071712182681853</c:v>
                </c:pt>
                <c:pt idx="33">
                  <c:v>21.999618833714287</c:v>
                </c:pt>
                <c:pt idx="34">
                  <c:v>14.760095101689073</c:v>
                </c:pt>
                <c:pt idx="35">
                  <c:v>7.4082381335509462</c:v>
                </c:pt>
                <c:pt idx="36">
                  <c:v>1.041376186672327E-14</c:v>
                </c:pt>
                <c:pt idx="37">
                  <c:v>-7.4082381335509249</c:v>
                </c:pt>
                <c:pt idx="38">
                  <c:v>-14.760095101689091</c:v>
                </c:pt>
                <c:pt idx="39">
                  <c:v>-21.999618833714269</c:v>
                </c:pt>
                <c:pt idx="40">
                  <c:v>-29.071712182681836</c:v>
                </c:pt>
                <c:pt idx="41">
                  <c:v>-35.922552247959437</c:v>
                </c:pt>
                <c:pt idx="42">
                  <c:v>-42.500000000000007</c:v>
                </c:pt>
                <c:pt idx="43">
                  <c:v>-48.753997089838926</c:v>
                </c:pt>
                <c:pt idx="44">
                  <c:v>-54.636946823355835</c:v>
                </c:pt>
                <c:pt idx="45">
                  <c:v>-60.104076400856535</c:v>
                </c:pt>
                <c:pt idx="46">
                  <c:v>-65.113777665113119</c:v>
                </c:pt>
                <c:pt idx="47">
                  <c:v>-69.627923764564287</c:v>
                </c:pt>
                <c:pt idx="48">
                  <c:v>-73.612159321677268</c:v>
                </c:pt>
                <c:pt idx="49">
                  <c:v>-77.036161898115253</c:v>
                </c:pt>
                <c:pt idx="50">
                  <c:v>-79.873872766802222</c:v>
                </c:pt>
                <c:pt idx="51">
                  <c:v>-82.103695234570807</c:v>
                </c:pt>
                <c:pt idx="52">
                  <c:v>-83.708659006037678</c:v>
                </c:pt>
                <c:pt idx="53">
                  <c:v>-84.676549337798377</c:v>
                </c:pt>
                <c:pt idx="54">
                  <c:v>-85</c:v>
                </c:pt>
                <c:pt idx="55">
                  <c:v>-84.676549337798377</c:v>
                </c:pt>
                <c:pt idx="56">
                  <c:v>-83.708659006037692</c:v>
                </c:pt>
                <c:pt idx="57">
                  <c:v>-82.103695234570822</c:v>
                </c:pt>
                <c:pt idx="58">
                  <c:v>-79.873872766802208</c:v>
                </c:pt>
                <c:pt idx="59">
                  <c:v>-77.036161898115239</c:v>
                </c:pt>
                <c:pt idx="60">
                  <c:v>-73.612159321677282</c:v>
                </c:pt>
                <c:pt idx="61">
                  <c:v>-69.627923764564301</c:v>
                </c:pt>
                <c:pt idx="62">
                  <c:v>-65.113777665113147</c:v>
                </c:pt>
                <c:pt idx="63">
                  <c:v>-60.104076400856556</c:v>
                </c:pt>
                <c:pt idx="64">
                  <c:v>-54.636946823355864</c:v>
                </c:pt>
                <c:pt idx="65">
                  <c:v>-48.753997089838954</c:v>
                </c:pt>
                <c:pt idx="66">
                  <c:v>-42.500000000000036</c:v>
                </c:pt>
                <c:pt idx="67">
                  <c:v>-35.92255224795943</c:v>
                </c:pt>
                <c:pt idx="68">
                  <c:v>-29.071712182681832</c:v>
                </c:pt>
                <c:pt idx="69">
                  <c:v>-21.999618833714258</c:v>
                </c:pt>
                <c:pt idx="70">
                  <c:v>-14.760095101689084</c:v>
                </c:pt>
                <c:pt idx="71">
                  <c:v>-7.4082381335509568</c:v>
                </c:pt>
                <c:pt idx="72">
                  <c:v>-2.082752373344654E-14</c:v>
                </c:pt>
              </c:numCache>
            </c:numRef>
          </c:yVal>
          <c:smooth val="0"/>
          <c:extLst>
            <c:ext xmlns:c16="http://schemas.microsoft.com/office/drawing/2014/chart" uri="{C3380CC4-5D6E-409C-BE32-E72D297353CC}">
              <c16:uniqueId val="{00000002-5F73-431E-BB68-563255752091}"/>
            </c:ext>
          </c:extLst>
        </c:ser>
        <c:ser>
          <c:idx val="3"/>
          <c:order val="3"/>
          <c:tx>
            <c:v>Cubo</c:v>
          </c:tx>
          <c:spPr>
            <a:ln w="25400">
              <a:solidFill>
                <a:srgbClr val="7F7F7F"/>
              </a:solidFill>
            </a:ln>
          </c:spPr>
          <c:marker>
            <c:symbol val="none"/>
          </c:marker>
          <c:xVal>
            <c:numRef>
              <c:f>'U1 Embrague'!$AS$3:$AS$39</c:f>
              <c:numCache>
                <c:formatCode>0.000</c:formatCode>
                <c:ptCount val="37"/>
                <c:pt idx="0">
                  <c:v>22</c:v>
                </c:pt>
                <c:pt idx="1">
                  <c:v>21.665770566268577</c:v>
                </c:pt>
                <c:pt idx="2">
                  <c:v>20.673237657289985</c:v>
                </c:pt>
                <c:pt idx="3">
                  <c:v>19.052558883257653</c:v>
                </c:pt>
                <c:pt idx="4">
                  <c:v>16.852977748617516</c:v>
                </c:pt>
                <c:pt idx="5">
                  <c:v>14.141327413103866</c:v>
                </c:pt>
                <c:pt idx="6">
                  <c:v>11.000000000000002</c:v>
                </c:pt>
                <c:pt idx="7">
                  <c:v>7.5244431531647145</c:v>
                </c:pt>
                <c:pt idx="8">
                  <c:v>3.8202599086724689</c:v>
                </c:pt>
                <c:pt idx="9">
                  <c:v>1.347663300399482E-15</c:v>
                </c:pt>
                <c:pt idx="10">
                  <c:v>-3.8202599086724667</c:v>
                </c:pt>
                <c:pt idx="11">
                  <c:v>-7.5244431531647118</c:v>
                </c:pt>
                <c:pt idx="12">
                  <c:v>-10.999999999999995</c:v>
                </c:pt>
                <c:pt idx="13">
                  <c:v>-14.141327413103866</c:v>
                </c:pt>
                <c:pt idx="14">
                  <c:v>-16.852977748617512</c:v>
                </c:pt>
                <c:pt idx="15">
                  <c:v>-19.052558883257653</c:v>
                </c:pt>
                <c:pt idx="16">
                  <c:v>-20.673237657289985</c:v>
                </c:pt>
                <c:pt idx="17">
                  <c:v>-21.665770566268577</c:v>
                </c:pt>
                <c:pt idx="18">
                  <c:v>-22</c:v>
                </c:pt>
                <c:pt idx="19">
                  <c:v>-21.665770566268577</c:v>
                </c:pt>
                <c:pt idx="20">
                  <c:v>-20.673237657289985</c:v>
                </c:pt>
                <c:pt idx="21">
                  <c:v>-19.05255888325765</c:v>
                </c:pt>
                <c:pt idx="22">
                  <c:v>-16.852977748617516</c:v>
                </c:pt>
                <c:pt idx="23">
                  <c:v>-14.141327413103868</c:v>
                </c:pt>
                <c:pt idx="24">
                  <c:v>-11.000000000000011</c:v>
                </c:pt>
                <c:pt idx="25">
                  <c:v>-7.5244431531647082</c:v>
                </c:pt>
                <c:pt idx="26">
                  <c:v>-3.8202599086724671</c:v>
                </c:pt>
                <c:pt idx="27">
                  <c:v>-4.042989901198446E-15</c:v>
                </c:pt>
                <c:pt idx="28">
                  <c:v>3.8202599086724591</c:v>
                </c:pt>
                <c:pt idx="29">
                  <c:v>7.524443153164718</c:v>
                </c:pt>
                <c:pt idx="30">
                  <c:v>11.000000000000002</c:v>
                </c:pt>
                <c:pt idx="31">
                  <c:v>14.141327413103863</c:v>
                </c:pt>
                <c:pt idx="32">
                  <c:v>16.852977748617512</c:v>
                </c:pt>
                <c:pt idx="33">
                  <c:v>19.052558883257646</c:v>
                </c:pt>
                <c:pt idx="34">
                  <c:v>20.673237657289985</c:v>
                </c:pt>
                <c:pt idx="35">
                  <c:v>21.665770566268577</c:v>
                </c:pt>
                <c:pt idx="36">
                  <c:v>22</c:v>
                </c:pt>
              </c:numCache>
            </c:numRef>
          </c:xVal>
          <c:yVal>
            <c:numRef>
              <c:f>'U1 Embrague'!$AT$3:$AT$39</c:f>
              <c:numCache>
                <c:formatCode>0.000</c:formatCode>
                <c:ptCount val="37"/>
                <c:pt idx="0">
                  <c:v>0</c:v>
                </c:pt>
                <c:pt idx="1">
                  <c:v>3.8202599086724671</c:v>
                </c:pt>
                <c:pt idx="2">
                  <c:v>7.5244431531647118</c:v>
                </c:pt>
                <c:pt idx="3">
                  <c:v>10.999999999999998</c:v>
                </c:pt>
                <c:pt idx="4">
                  <c:v>14.141327413103863</c:v>
                </c:pt>
                <c:pt idx="5">
                  <c:v>16.852977748617516</c:v>
                </c:pt>
                <c:pt idx="6">
                  <c:v>19.05255888325765</c:v>
                </c:pt>
                <c:pt idx="7">
                  <c:v>20.673237657289985</c:v>
                </c:pt>
                <c:pt idx="8">
                  <c:v>21.665770566268577</c:v>
                </c:pt>
                <c:pt idx="9">
                  <c:v>22</c:v>
                </c:pt>
                <c:pt idx="10">
                  <c:v>21.665770566268577</c:v>
                </c:pt>
                <c:pt idx="11">
                  <c:v>20.673237657289985</c:v>
                </c:pt>
                <c:pt idx="12">
                  <c:v>19.052558883257653</c:v>
                </c:pt>
                <c:pt idx="13">
                  <c:v>16.852977748617516</c:v>
                </c:pt>
                <c:pt idx="14">
                  <c:v>14.141327413103868</c:v>
                </c:pt>
                <c:pt idx="15">
                  <c:v>10.999999999999998</c:v>
                </c:pt>
                <c:pt idx="16">
                  <c:v>7.5244431531647153</c:v>
                </c:pt>
                <c:pt idx="17">
                  <c:v>3.8202599086724662</c:v>
                </c:pt>
                <c:pt idx="18">
                  <c:v>2.695326600798964E-15</c:v>
                </c:pt>
                <c:pt idx="19">
                  <c:v>-3.8202599086724702</c:v>
                </c:pt>
                <c:pt idx="20">
                  <c:v>-7.5244431531647109</c:v>
                </c:pt>
                <c:pt idx="21">
                  <c:v>-11.000000000000002</c:v>
                </c:pt>
                <c:pt idx="22">
                  <c:v>-14.141327413103863</c:v>
                </c:pt>
                <c:pt idx="23">
                  <c:v>-16.852977748617512</c:v>
                </c:pt>
                <c:pt idx="24">
                  <c:v>-19.052558883257646</c:v>
                </c:pt>
                <c:pt idx="25">
                  <c:v>-20.673237657289985</c:v>
                </c:pt>
                <c:pt idx="26">
                  <c:v>-21.665770566268577</c:v>
                </c:pt>
                <c:pt idx="27">
                  <c:v>-22</c:v>
                </c:pt>
                <c:pt idx="28">
                  <c:v>-21.665770566268577</c:v>
                </c:pt>
                <c:pt idx="29">
                  <c:v>-20.673237657289985</c:v>
                </c:pt>
                <c:pt idx="30">
                  <c:v>-19.05255888325765</c:v>
                </c:pt>
                <c:pt idx="31">
                  <c:v>-16.852977748617519</c:v>
                </c:pt>
                <c:pt idx="32">
                  <c:v>-14.141327413103872</c:v>
                </c:pt>
                <c:pt idx="33">
                  <c:v>-11.000000000000011</c:v>
                </c:pt>
                <c:pt idx="34">
                  <c:v>-7.5244431531647091</c:v>
                </c:pt>
                <c:pt idx="35">
                  <c:v>-3.8202599086724685</c:v>
                </c:pt>
                <c:pt idx="36">
                  <c:v>-5.390653201597928E-15</c:v>
                </c:pt>
              </c:numCache>
            </c:numRef>
          </c:yVal>
          <c:smooth val="0"/>
          <c:extLst>
            <c:ext xmlns:c16="http://schemas.microsoft.com/office/drawing/2014/chart" uri="{C3380CC4-5D6E-409C-BE32-E72D297353CC}">
              <c16:uniqueId val="{00000003-5F73-431E-BB68-563255752091}"/>
            </c:ext>
          </c:extLst>
        </c:ser>
        <c:dLbls>
          <c:showLegendKey val="0"/>
          <c:showVal val="0"/>
          <c:showCatName val="0"/>
          <c:showSerName val="0"/>
          <c:showPercent val="0"/>
          <c:showBubbleSize val="0"/>
        </c:dLbls>
        <c:axId val="50070001"/>
        <c:axId val="50070002"/>
      </c:scatterChart>
      <c:valAx>
        <c:axId val="50070001"/>
        <c:scaling>
          <c:orientation val="minMax"/>
          <c:max val="120"/>
          <c:min val="-120"/>
        </c:scaling>
        <c:delete val="1"/>
        <c:axPos val="b"/>
        <c:numFmt formatCode="0.000" sourceLinked="1"/>
        <c:majorTickMark val="out"/>
        <c:minorTickMark val="none"/>
        <c:tickLblPos val="nextTo"/>
        <c:crossAx val="50070002"/>
        <c:crosses val="autoZero"/>
        <c:crossBetween val="midCat"/>
      </c:valAx>
      <c:valAx>
        <c:axId val="50070002"/>
        <c:scaling>
          <c:orientation val="minMax"/>
          <c:max val="120"/>
          <c:min val="-120"/>
        </c:scaling>
        <c:delete val="1"/>
        <c:axPos val="l"/>
        <c:numFmt formatCode="0.000" sourceLinked="1"/>
        <c:majorTickMark val="out"/>
        <c:minorTickMark val="none"/>
        <c:tickLblPos val="nextTo"/>
        <c:crossAx val="50070001"/>
        <c:crosses val="autoZero"/>
        <c:crossBetween val="midCat"/>
      </c:valAx>
    </c:plotArea>
    <c:plotVisOnly val="1"/>
    <c:dispBlanksAs val="gap"/>
    <c:showDLblsOverMax val="0"/>
  </c:chart>
  <c:spPr>
    <a:ln>
      <a:solidFill>
        <a:srgbClr val="BFBFBF"/>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'U1 Embrague'!$BE$1</c:f>
          <c:strCache>
            <c:ptCount val="1"/>
            <c:pt idx="0">
              <c:v>Pedal al 0 %: bomba 0.0 mm → bombín 0.0 mm</c:v>
            </c:pt>
          </c:strCache>
        </c:strRef>
      </c:tx>
      <c:overlay val="0"/>
      <c:txPr>
        <a:bodyPr/>
        <a:lstStyle/>
        <a:p>
          <a:pPr>
            <a:defRPr sz="1100" b="1" baseline="0">
              <a:solidFill>
                <a:srgbClr val="1F3864"/>
              </a:solidFill>
            </a:defRPr>
          </a:pPr>
          <a:endParaRPr lang="en-US"/>
        </a:p>
      </c:txPr>
    </c:title>
    <c:autoTitleDeleted val="0"/>
    <c:plotArea>
      <c:layout>
        <c:manualLayout>
          <c:layoutTarget val="inner"/>
          <c:xMode val="edge"/>
          <c:yMode val="edge"/>
          <c:x val="7.5000000000000011E-2"/>
          <c:y val="0.12"/>
          <c:w val="0.85"/>
          <c:h val="0.85"/>
        </c:manualLayout>
      </c:layout>
      <c:scatterChart>
        <c:scatterStyle val="lineMarker"/>
        <c:varyColors val="0"/>
        <c:ser>
          <c:idx val="0"/>
          <c:order val="0"/>
          <c:tx>
            <c:v>Bomba</c:v>
          </c:tx>
          <c:spPr>
            <a:ln w="31750">
              <a:solidFill>
                <a:srgbClr val="404040"/>
              </a:solidFill>
            </a:ln>
          </c:spPr>
          <c:marker>
            <c:symbol val="none"/>
          </c:marker>
          <c:xVal>
            <c:numRef>
              <c:f>'U1 Embrague'!$AU$3:$AU$6</c:f>
              <c:numCache>
                <c:formatCode>0.000</c:formatCode>
                <c:ptCount val="4"/>
                <c:pt idx="0">
                  <c:v>2.0499999999999998</c:v>
                </c:pt>
                <c:pt idx="1">
                  <c:v>2.0499999999999998</c:v>
                </c:pt>
                <c:pt idx="2">
                  <c:v>17.95</c:v>
                </c:pt>
                <c:pt idx="3">
                  <c:v>17.95</c:v>
                </c:pt>
              </c:numCache>
            </c:numRef>
          </c:xVal>
          <c:yVal>
            <c:numRef>
              <c:f>'U1 Embrague'!$AV$3:$AV$6</c:f>
              <c:numCache>
                <c:formatCode>0.000</c:formatCode>
                <c:ptCount val="4"/>
                <c:pt idx="0">
                  <c:v>48</c:v>
                </c:pt>
                <c:pt idx="1">
                  <c:v>0</c:v>
                </c:pt>
                <c:pt idx="2">
                  <c:v>0</c:v>
                </c:pt>
                <c:pt idx="3">
                  <c:v>48</c:v>
                </c:pt>
              </c:numCache>
            </c:numRef>
          </c:yVal>
          <c:smooth val="0"/>
          <c:extLst>
            <c:ext xmlns:c16="http://schemas.microsoft.com/office/drawing/2014/chart" uri="{C3380CC4-5D6E-409C-BE32-E72D297353CC}">
              <c16:uniqueId val="{00000000-F52D-42D8-845A-326D9E27C424}"/>
            </c:ext>
          </c:extLst>
        </c:ser>
        <c:ser>
          <c:idx val="1"/>
          <c:order val="1"/>
          <c:tx>
            <c:v>Bombín</c:v>
          </c:tx>
          <c:spPr>
            <a:ln w="31750">
              <a:solidFill>
                <a:srgbClr val="404040"/>
              </a:solidFill>
            </a:ln>
          </c:spPr>
          <c:marker>
            <c:symbol val="none"/>
          </c:marker>
          <c:xVal>
            <c:numRef>
              <c:f>'U1 Embrague'!$AW$3:$AW$6</c:f>
              <c:numCache>
                <c:formatCode>0.000</c:formatCode>
                <c:ptCount val="4"/>
                <c:pt idx="0">
                  <c:v>40.475000000000001</c:v>
                </c:pt>
                <c:pt idx="1">
                  <c:v>40.475000000000001</c:v>
                </c:pt>
                <c:pt idx="2">
                  <c:v>59.524999999999999</c:v>
                </c:pt>
                <c:pt idx="3">
                  <c:v>59.524999999999999</c:v>
                </c:pt>
              </c:numCache>
            </c:numRef>
          </c:xVal>
          <c:yVal>
            <c:numRef>
              <c:f>'U1 Embrague'!$AX$3:$AX$6</c:f>
              <c:numCache>
                <c:formatCode>0.000</c:formatCode>
                <c:ptCount val="4"/>
                <c:pt idx="0">
                  <c:v>50</c:v>
                </c:pt>
                <c:pt idx="1">
                  <c:v>0</c:v>
                </c:pt>
                <c:pt idx="2">
                  <c:v>0</c:v>
                </c:pt>
                <c:pt idx="3">
                  <c:v>50</c:v>
                </c:pt>
              </c:numCache>
            </c:numRef>
          </c:yVal>
          <c:smooth val="0"/>
          <c:extLst>
            <c:ext xmlns:c16="http://schemas.microsoft.com/office/drawing/2014/chart" uri="{C3380CC4-5D6E-409C-BE32-E72D297353CC}">
              <c16:uniqueId val="{00000001-F52D-42D8-845A-326D9E27C424}"/>
            </c:ext>
          </c:extLst>
        </c:ser>
        <c:ser>
          <c:idx val="2"/>
          <c:order val="2"/>
          <c:tx>
            <c:v>Pistón bomba</c:v>
          </c:tx>
          <c:spPr>
            <a:ln w="31750">
              <a:solidFill>
                <a:srgbClr val="2E75B6"/>
              </a:solidFill>
            </a:ln>
          </c:spPr>
          <c:marker>
            <c:symbol val="none"/>
          </c:marker>
          <c:xVal>
            <c:numRef>
              <c:f>'U1 Embrague'!$AY$3:$AY$9</c:f>
              <c:numCache>
                <c:formatCode>0.000</c:formatCode>
                <c:ptCount val="7"/>
                <c:pt idx="0">
                  <c:v>2.0499999999999998</c:v>
                </c:pt>
                <c:pt idx="1">
                  <c:v>17.95</c:v>
                </c:pt>
                <c:pt idx="2">
                  <c:v>17.95</c:v>
                </c:pt>
                <c:pt idx="3">
                  <c:v>2.0499999999999998</c:v>
                </c:pt>
                <c:pt idx="4">
                  <c:v>2.0499999999999998</c:v>
                </c:pt>
                <c:pt idx="5">
                  <c:v>10</c:v>
                </c:pt>
                <c:pt idx="6">
                  <c:v>10</c:v>
                </c:pt>
              </c:numCache>
            </c:numRef>
          </c:xVal>
          <c:yVal>
            <c:numRef>
              <c:f>'U1 Embrague'!$AZ$3:$AZ$9</c:f>
              <c:numCache>
                <c:formatCode>0.000</c:formatCode>
                <c:ptCount val="7"/>
                <c:pt idx="0">
                  <c:v>40</c:v>
                </c:pt>
                <c:pt idx="1">
                  <c:v>40</c:v>
                </c:pt>
                <c:pt idx="2">
                  <c:v>44</c:v>
                </c:pt>
                <c:pt idx="3">
                  <c:v>44</c:v>
                </c:pt>
                <c:pt idx="4">
                  <c:v>40</c:v>
                </c:pt>
                <c:pt idx="5">
                  <c:v>44</c:v>
                </c:pt>
                <c:pt idx="6">
                  <c:v>62</c:v>
                </c:pt>
              </c:numCache>
            </c:numRef>
          </c:yVal>
          <c:smooth val="0"/>
          <c:extLst>
            <c:ext xmlns:c16="http://schemas.microsoft.com/office/drawing/2014/chart" uri="{C3380CC4-5D6E-409C-BE32-E72D297353CC}">
              <c16:uniqueId val="{00000002-F52D-42D8-845A-326D9E27C424}"/>
            </c:ext>
          </c:extLst>
        </c:ser>
        <c:ser>
          <c:idx val="3"/>
          <c:order val="3"/>
          <c:tx>
            <c:v>Pistón bombín</c:v>
          </c:tx>
          <c:spPr>
            <a:ln w="31750">
              <a:solidFill>
                <a:srgbClr val="C55A11"/>
              </a:solidFill>
            </a:ln>
          </c:spPr>
          <c:marker>
            <c:symbol val="none"/>
          </c:marker>
          <c:xVal>
            <c:numRef>
              <c:f>'U1 Embrague'!$BA$3:$BA$9</c:f>
              <c:numCache>
                <c:formatCode>0.000</c:formatCode>
                <c:ptCount val="7"/>
                <c:pt idx="0">
                  <c:v>40.475000000000001</c:v>
                </c:pt>
                <c:pt idx="1">
                  <c:v>59.524999999999999</c:v>
                </c:pt>
                <c:pt idx="2">
                  <c:v>59.524999999999999</c:v>
                </c:pt>
                <c:pt idx="3">
                  <c:v>40.475000000000001</c:v>
                </c:pt>
                <c:pt idx="4">
                  <c:v>40.475000000000001</c:v>
                </c:pt>
                <c:pt idx="5">
                  <c:v>50</c:v>
                </c:pt>
                <c:pt idx="6">
                  <c:v>50</c:v>
                </c:pt>
              </c:numCache>
            </c:numRef>
          </c:xVal>
          <c:yVal>
            <c:numRef>
              <c:f>'U1 Embrague'!$BB$3:$BB$9</c:f>
              <c:numCache>
                <c:formatCode>0.000</c:formatCode>
                <c:ptCount val="7"/>
                <c:pt idx="0">
                  <c:v>6</c:v>
                </c:pt>
                <c:pt idx="1">
                  <c:v>6</c:v>
                </c:pt>
                <c:pt idx="2">
                  <c:v>2</c:v>
                </c:pt>
                <c:pt idx="3">
                  <c:v>2</c:v>
                </c:pt>
                <c:pt idx="4">
                  <c:v>6</c:v>
                </c:pt>
                <c:pt idx="5">
                  <c:v>6</c:v>
                </c:pt>
                <c:pt idx="6">
                  <c:v>52</c:v>
                </c:pt>
              </c:numCache>
            </c:numRef>
          </c:yVal>
          <c:smooth val="0"/>
          <c:extLst>
            <c:ext xmlns:c16="http://schemas.microsoft.com/office/drawing/2014/chart" uri="{C3380CC4-5D6E-409C-BE32-E72D297353CC}">
              <c16:uniqueId val="{00000003-F52D-42D8-845A-326D9E27C424}"/>
            </c:ext>
          </c:extLst>
        </c:ser>
        <c:ser>
          <c:idx val="4"/>
          <c:order val="4"/>
          <c:tx>
            <c:v>Tubería</c:v>
          </c:tx>
          <c:spPr>
            <a:ln w="38100">
              <a:solidFill>
                <a:srgbClr val="00808C"/>
              </a:solidFill>
            </a:ln>
          </c:spPr>
          <c:marker>
            <c:symbol val="none"/>
          </c:marker>
          <c:xVal>
            <c:numRef>
              <c:f>'U1 Embrague'!$BC$3:$BC$6</c:f>
              <c:numCache>
                <c:formatCode>0.000</c:formatCode>
                <c:ptCount val="4"/>
                <c:pt idx="0">
                  <c:v>10</c:v>
                </c:pt>
                <c:pt idx="1">
                  <c:v>10</c:v>
                </c:pt>
                <c:pt idx="2">
                  <c:v>50</c:v>
                </c:pt>
                <c:pt idx="3">
                  <c:v>50</c:v>
                </c:pt>
              </c:numCache>
            </c:numRef>
          </c:xVal>
          <c:yVal>
            <c:numRef>
              <c:f>'U1 Embrague'!$BD$3:$BD$6</c:f>
              <c:numCache>
                <c:formatCode>0.000</c:formatCode>
                <c:ptCount val="4"/>
                <c:pt idx="0">
                  <c:v>0</c:v>
                </c:pt>
                <c:pt idx="1">
                  <c:v>-7</c:v>
                </c:pt>
                <c:pt idx="2">
                  <c:v>-7</c:v>
                </c:pt>
                <c:pt idx="3">
                  <c:v>0</c:v>
                </c:pt>
              </c:numCache>
            </c:numRef>
          </c:yVal>
          <c:smooth val="0"/>
          <c:extLst>
            <c:ext xmlns:c16="http://schemas.microsoft.com/office/drawing/2014/chart" uri="{C3380CC4-5D6E-409C-BE32-E72D297353CC}">
              <c16:uniqueId val="{00000004-F52D-42D8-845A-326D9E27C424}"/>
            </c:ext>
          </c:extLst>
        </c:ser>
        <c:dLbls>
          <c:showLegendKey val="0"/>
          <c:showVal val="0"/>
          <c:showCatName val="0"/>
          <c:showSerName val="0"/>
          <c:showPercent val="0"/>
          <c:showBubbleSize val="0"/>
        </c:dLbls>
        <c:axId val="50080001"/>
        <c:axId val="50080002"/>
      </c:scatterChart>
      <c:valAx>
        <c:axId val="50080001"/>
        <c:scaling>
          <c:orientation val="minMax"/>
          <c:max val="72"/>
          <c:min val="-12"/>
        </c:scaling>
        <c:delete val="1"/>
        <c:axPos val="b"/>
        <c:numFmt formatCode="0.000" sourceLinked="1"/>
        <c:majorTickMark val="out"/>
        <c:minorTickMark val="none"/>
        <c:tickLblPos val="nextTo"/>
        <c:crossAx val="50080002"/>
        <c:crosses val="autoZero"/>
        <c:crossBetween val="midCat"/>
      </c:valAx>
      <c:valAx>
        <c:axId val="50080002"/>
        <c:scaling>
          <c:orientation val="minMax"/>
          <c:max val="72"/>
          <c:min val="-12"/>
        </c:scaling>
        <c:delete val="1"/>
        <c:axPos val="l"/>
        <c:numFmt formatCode="0.000" sourceLinked="1"/>
        <c:majorTickMark val="out"/>
        <c:minorTickMark val="none"/>
        <c:tickLblPos val="nextTo"/>
        <c:crossAx val="50080001"/>
        <c:crosses val="autoZero"/>
        <c:crossBetween val="midCat"/>
      </c:valAx>
    </c:plotArea>
    <c:plotVisOnly val="1"/>
    <c:dispBlanksAs val="gap"/>
    <c:showDLblsOverMax val="0"/>
  </c:chart>
  <c:spPr>
    <a:ln>
      <a:solidFill>
        <a:srgbClr val="BFBFBF"/>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Relación de velocidades en una vuelta</a:t>
            </a:r>
          </a:p>
        </c:rich>
      </c:tx>
      <c:overlay val="0"/>
    </c:title>
    <c:autoTitleDeleted val="0"/>
    <c:plotArea>
      <c:layout/>
      <c:scatterChart>
        <c:scatterStyle val="lineMarker"/>
        <c:varyColors val="0"/>
        <c:ser>
          <c:idx val="0"/>
          <c:order val="0"/>
          <c:tx>
            <c:v>Una junta (eje intermedio)</c:v>
          </c:tx>
          <c:spPr>
            <a:ln w="28575">
              <a:solidFill>
                <a:srgbClr val="C55A11"/>
              </a:solidFill>
            </a:ln>
          </c:spPr>
          <c:marker>
            <c:symbol val="none"/>
          </c:marker>
          <c:xVal>
            <c:numRef>
              <c:f>'U2 Junta cardán'!$AA$3:$AA$75</c:f>
              <c:numCache>
                <c:formatCode>0.000</c:formatCode>
                <c:ptCount val="73"/>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pt idx="41">
                  <c:v>205</c:v>
                </c:pt>
                <c:pt idx="42">
                  <c:v>210</c:v>
                </c:pt>
                <c:pt idx="43">
                  <c:v>215</c:v>
                </c:pt>
                <c:pt idx="44">
                  <c:v>220</c:v>
                </c:pt>
                <c:pt idx="45">
                  <c:v>225</c:v>
                </c:pt>
                <c:pt idx="46">
                  <c:v>230</c:v>
                </c:pt>
                <c:pt idx="47">
                  <c:v>235</c:v>
                </c:pt>
                <c:pt idx="48">
                  <c:v>240</c:v>
                </c:pt>
                <c:pt idx="49">
                  <c:v>245</c:v>
                </c:pt>
                <c:pt idx="50">
                  <c:v>250</c:v>
                </c:pt>
                <c:pt idx="51">
                  <c:v>255</c:v>
                </c:pt>
                <c:pt idx="52">
                  <c:v>260</c:v>
                </c:pt>
                <c:pt idx="53">
                  <c:v>265</c:v>
                </c:pt>
                <c:pt idx="54">
                  <c:v>270</c:v>
                </c:pt>
                <c:pt idx="55">
                  <c:v>275</c:v>
                </c:pt>
                <c:pt idx="56">
                  <c:v>280</c:v>
                </c:pt>
                <c:pt idx="57">
                  <c:v>285</c:v>
                </c:pt>
                <c:pt idx="58">
                  <c:v>290</c:v>
                </c:pt>
                <c:pt idx="59">
                  <c:v>295</c:v>
                </c:pt>
                <c:pt idx="60">
                  <c:v>300</c:v>
                </c:pt>
                <c:pt idx="61">
                  <c:v>305</c:v>
                </c:pt>
                <c:pt idx="62">
                  <c:v>310</c:v>
                </c:pt>
                <c:pt idx="63">
                  <c:v>315</c:v>
                </c:pt>
                <c:pt idx="64">
                  <c:v>320</c:v>
                </c:pt>
                <c:pt idx="65">
                  <c:v>325</c:v>
                </c:pt>
                <c:pt idx="66">
                  <c:v>330</c:v>
                </c:pt>
                <c:pt idx="67">
                  <c:v>335</c:v>
                </c:pt>
                <c:pt idx="68">
                  <c:v>340</c:v>
                </c:pt>
                <c:pt idx="69">
                  <c:v>345</c:v>
                </c:pt>
                <c:pt idx="70">
                  <c:v>350</c:v>
                </c:pt>
                <c:pt idx="71">
                  <c:v>355</c:v>
                </c:pt>
                <c:pt idx="72">
                  <c:v>360</c:v>
                </c:pt>
              </c:numCache>
            </c:numRef>
          </c:xVal>
          <c:yVal>
            <c:numRef>
              <c:f>'U2 Junta cardán'!$AB$3:$AB$75</c:f>
              <c:numCache>
                <c:formatCode>0.000</c:formatCode>
                <c:ptCount val="73"/>
                <c:pt idx="0">
                  <c:v>1.0154266118857449</c:v>
                </c:pt>
                <c:pt idx="1">
                  <c:v>1.0151868525407848</c:v>
                </c:pt>
                <c:pt idx="2">
                  <c:v>1.0144755263509073</c:v>
                </c:pt>
                <c:pt idx="3">
                  <c:v>1.0133161623452727</c:v>
                </c:pt>
                <c:pt idx="4">
                  <c:v>1.0117469086264812</c:v>
                </c:pt>
                <c:pt idx="5">
                  <c:v>1.0098190044801874</c:v>
                </c:pt>
                <c:pt idx="6">
                  <c:v>1.0075947781548287</c:v>
                </c:pt>
                <c:pt idx="7">
                  <c:v>1.0051452892839237</c:v>
                </c:pt>
                <c:pt idx="8">
                  <c:v>1.0025477465911019</c:v>
                </c:pt>
                <c:pt idx="9">
                  <c:v>0.99988283128114086</c:v>
                </c:pt>
                <c:pt idx="10">
                  <c:v>0.99723204586404413</c:v>
                </c:pt>
                <c:pt idx="11">
                  <c:v>0.99467518969144564</c:v>
                </c:pt>
                <c:pt idx="12">
                  <c:v>0.9922880393974014</c:v>
                </c:pt>
                <c:pt idx="13">
                  <c:v>0.99014028796503573</c:v>
                </c:pt>
                <c:pt idx="14">
                  <c:v>0.9882937731241157</c:v>
                </c:pt>
                <c:pt idx="15">
                  <c:v>0.98680100637237977</c:v>
                </c:pt>
                <c:pt idx="16">
                  <c:v>0.98570399944214293</c:v>
                </c:pt>
                <c:pt idx="17">
                  <c:v>0.98503337603982921</c:v>
                </c:pt>
                <c:pt idx="18">
                  <c:v>0.98480775301220802</c:v>
                </c:pt>
                <c:pt idx="19">
                  <c:v>0.98503337603982921</c:v>
                </c:pt>
                <c:pt idx="20">
                  <c:v>0.98570399944214293</c:v>
                </c:pt>
                <c:pt idx="21">
                  <c:v>0.98680100637237977</c:v>
                </c:pt>
                <c:pt idx="22">
                  <c:v>0.9882937731241157</c:v>
                </c:pt>
                <c:pt idx="23">
                  <c:v>0.99014028796503573</c:v>
                </c:pt>
                <c:pt idx="24">
                  <c:v>0.99228803939740129</c:v>
                </c:pt>
                <c:pt idx="25">
                  <c:v>0.99467518969144564</c:v>
                </c:pt>
                <c:pt idx="26">
                  <c:v>0.99723204586404413</c:v>
                </c:pt>
                <c:pt idx="27">
                  <c:v>0.99988283128114086</c:v>
                </c:pt>
                <c:pt idx="28">
                  <c:v>1.0025477465911019</c:v>
                </c:pt>
                <c:pt idx="29">
                  <c:v>1.0051452892839237</c:v>
                </c:pt>
                <c:pt idx="30">
                  <c:v>1.0075947781548287</c:v>
                </c:pt>
                <c:pt idx="31">
                  <c:v>1.0098190044801874</c:v>
                </c:pt>
                <c:pt idx="32">
                  <c:v>1.0117469086264812</c:v>
                </c:pt>
                <c:pt idx="33">
                  <c:v>1.0133161623452727</c:v>
                </c:pt>
                <c:pt idx="34">
                  <c:v>1.0144755263509073</c:v>
                </c:pt>
                <c:pt idx="35">
                  <c:v>1.0151868525407848</c:v>
                </c:pt>
                <c:pt idx="36">
                  <c:v>1.0154266118857449</c:v>
                </c:pt>
                <c:pt idx="37">
                  <c:v>1.0151868525407848</c:v>
                </c:pt>
                <c:pt idx="38">
                  <c:v>1.0144755263509073</c:v>
                </c:pt>
                <c:pt idx="39">
                  <c:v>1.0133161623452727</c:v>
                </c:pt>
                <c:pt idx="40">
                  <c:v>1.0117469086264812</c:v>
                </c:pt>
                <c:pt idx="41">
                  <c:v>1.0098190044801874</c:v>
                </c:pt>
                <c:pt idx="42">
                  <c:v>1.0075947781548287</c:v>
                </c:pt>
                <c:pt idx="43">
                  <c:v>1.0051452892839237</c:v>
                </c:pt>
                <c:pt idx="44">
                  <c:v>1.0025477465911019</c:v>
                </c:pt>
                <c:pt idx="45">
                  <c:v>0.99988283128114086</c:v>
                </c:pt>
                <c:pt idx="46">
                  <c:v>0.99723204586404413</c:v>
                </c:pt>
                <c:pt idx="47">
                  <c:v>0.99467518969144564</c:v>
                </c:pt>
                <c:pt idx="48">
                  <c:v>0.9922880393974014</c:v>
                </c:pt>
                <c:pt idx="49">
                  <c:v>0.99014028796503561</c:v>
                </c:pt>
                <c:pt idx="50">
                  <c:v>0.9882937731241157</c:v>
                </c:pt>
                <c:pt idx="51">
                  <c:v>0.98680100637237977</c:v>
                </c:pt>
                <c:pt idx="52">
                  <c:v>0.98570399944214293</c:v>
                </c:pt>
                <c:pt idx="53">
                  <c:v>0.98503337603982921</c:v>
                </c:pt>
                <c:pt idx="54">
                  <c:v>0.98480775301220802</c:v>
                </c:pt>
                <c:pt idx="55">
                  <c:v>0.98503337603982921</c:v>
                </c:pt>
                <c:pt idx="56">
                  <c:v>0.98570399944214293</c:v>
                </c:pt>
                <c:pt idx="57">
                  <c:v>0.98680100637237977</c:v>
                </c:pt>
                <c:pt idx="58">
                  <c:v>0.9882937731241157</c:v>
                </c:pt>
                <c:pt idx="59">
                  <c:v>0.99014028796503573</c:v>
                </c:pt>
                <c:pt idx="60">
                  <c:v>0.9922880393974014</c:v>
                </c:pt>
                <c:pt idx="61">
                  <c:v>0.99467518969144564</c:v>
                </c:pt>
                <c:pt idx="62">
                  <c:v>0.99723204586404413</c:v>
                </c:pt>
                <c:pt idx="63">
                  <c:v>0.99988283128114086</c:v>
                </c:pt>
                <c:pt idx="64">
                  <c:v>1.0025477465911019</c:v>
                </c:pt>
                <c:pt idx="65">
                  <c:v>1.0051452892839237</c:v>
                </c:pt>
                <c:pt idx="66">
                  <c:v>1.0075947781548287</c:v>
                </c:pt>
                <c:pt idx="67">
                  <c:v>1.0098190044801874</c:v>
                </c:pt>
                <c:pt idx="68">
                  <c:v>1.0117469086264812</c:v>
                </c:pt>
                <c:pt idx="69">
                  <c:v>1.0133161623452727</c:v>
                </c:pt>
                <c:pt idx="70">
                  <c:v>1.0144755263509073</c:v>
                </c:pt>
                <c:pt idx="71">
                  <c:v>1.0151868525407848</c:v>
                </c:pt>
                <c:pt idx="72">
                  <c:v>1.0154266118857449</c:v>
                </c:pt>
              </c:numCache>
            </c:numRef>
          </c:yVal>
          <c:smooth val="1"/>
          <c:extLst>
            <c:ext xmlns:c16="http://schemas.microsoft.com/office/drawing/2014/chart" uri="{C3380CC4-5D6E-409C-BE32-E72D297353CC}">
              <c16:uniqueId val="{00000000-082D-4AC1-A66C-B3E742A14DBA}"/>
            </c:ext>
          </c:extLst>
        </c:ser>
        <c:ser>
          <c:idx val="1"/>
          <c:order val="1"/>
          <c:tx>
            <c:v>Dos juntas (salida)</c:v>
          </c:tx>
          <c:spPr>
            <a:ln w="28575">
              <a:solidFill>
                <a:srgbClr val="2E75B6"/>
              </a:solidFill>
            </a:ln>
          </c:spPr>
          <c:marker>
            <c:symbol val="none"/>
          </c:marker>
          <c:xVal>
            <c:numRef>
              <c:f>'U2 Junta cardán'!$AA$3:$AA$75</c:f>
              <c:numCache>
                <c:formatCode>0.000</c:formatCode>
                <c:ptCount val="73"/>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pt idx="41">
                  <c:v>205</c:v>
                </c:pt>
                <c:pt idx="42">
                  <c:v>210</c:v>
                </c:pt>
                <c:pt idx="43">
                  <c:v>215</c:v>
                </c:pt>
                <c:pt idx="44">
                  <c:v>220</c:v>
                </c:pt>
                <c:pt idx="45">
                  <c:v>225</c:v>
                </c:pt>
                <c:pt idx="46">
                  <c:v>230</c:v>
                </c:pt>
                <c:pt idx="47">
                  <c:v>235</c:v>
                </c:pt>
                <c:pt idx="48">
                  <c:v>240</c:v>
                </c:pt>
                <c:pt idx="49">
                  <c:v>245</c:v>
                </c:pt>
                <c:pt idx="50">
                  <c:v>250</c:v>
                </c:pt>
                <c:pt idx="51">
                  <c:v>255</c:v>
                </c:pt>
                <c:pt idx="52">
                  <c:v>260</c:v>
                </c:pt>
                <c:pt idx="53">
                  <c:v>265</c:v>
                </c:pt>
                <c:pt idx="54">
                  <c:v>270</c:v>
                </c:pt>
                <c:pt idx="55">
                  <c:v>275</c:v>
                </c:pt>
                <c:pt idx="56">
                  <c:v>280</c:v>
                </c:pt>
                <c:pt idx="57">
                  <c:v>285</c:v>
                </c:pt>
                <c:pt idx="58">
                  <c:v>290</c:v>
                </c:pt>
                <c:pt idx="59">
                  <c:v>295</c:v>
                </c:pt>
                <c:pt idx="60">
                  <c:v>300</c:v>
                </c:pt>
                <c:pt idx="61">
                  <c:v>305</c:v>
                </c:pt>
                <c:pt idx="62">
                  <c:v>310</c:v>
                </c:pt>
                <c:pt idx="63">
                  <c:v>315</c:v>
                </c:pt>
                <c:pt idx="64">
                  <c:v>320</c:v>
                </c:pt>
                <c:pt idx="65">
                  <c:v>325</c:v>
                </c:pt>
                <c:pt idx="66">
                  <c:v>330</c:v>
                </c:pt>
                <c:pt idx="67">
                  <c:v>335</c:v>
                </c:pt>
                <c:pt idx="68">
                  <c:v>340</c:v>
                </c:pt>
                <c:pt idx="69">
                  <c:v>345</c:v>
                </c:pt>
                <c:pt idx="70">
                  <c:v>350</c:v>
                </c:pt>
                <c:pt idx="71">
                  <c:v>355</c:v>
                </c:pt>
                <c:pt idx="72">
                  <c:v>360</c:v>
                </c:pt>
              </c:numCache>
            </c:numRef>
          </c:xVal>
          <c:yVal>
            <c:numRef>
              <c:f>'U2 Junta cardán'!$AE$3:$AE$75</c:f>
              <c:numCache>
                <c:formatCode>0.000</c:formatCode>
                <c:ptCount val="73"/>
                <c:pt idx="0">
                  <c:v>0.99999999999999989</c:v>
                </c:pt>
                <c:pt idx="1">
                  <c:v>1</c:v>
                </c:pt>
                <c:pt idx="2">
                  <c:v>0.99999999999999989</c:v>
                </c:pt>
                <c:pt idx="3">
                  <c:v>0.99999999999999989</c:v>
                </c:pt>
                <c:pt idx="4">
                  <c:v>1</c:v>
                </c:pt>
                <c:pt idx="5">
                  <c:v>0.99999999999999989</c:v>
                </c:pt>
                <c:pt idx="6">
                  <c:v>1</c:v>
                </c:pt>
                <c:pt idx="7">
                  <c:v>0.99999999999999989</c:v>
                </c:pt>
                <c:pt idx="8">
                  <c:v>0.99999999999999978</c:v>
                </c:pt>
                <c:pt idx="9">
                  <c:v>1</c:v>
                </c:pt>
                <c:pt idx="10">
                  <c:v>0.99999999999999989</c:v>
                </c:pt>
                <c:pt idx="11">
                  <c:v>1</c:v>
                </c:pt>
                <c:pt idx="12">
                  <c:v>1</c:v>
                </c:pt>
                <c:pt idx="13">
                  <c:v>0.99999999999999989</c:v>
                </c:pt>
                <c:pt idx="14">
                  <c:v>1</c:v>
                </c:pt>
                <c:pt idx="15">
                  <c:v>0.99999999999999989</c:v>
                </c:pt>
                <c:pt idx="16">
                  <c:v>0.99999999999999989</c:v>
                </c:pt>
                <c:pt idx="17">
                  <c:v>0.99999999999999978</c:v>
                </c:pt>
                <c:pt idx="18">
                  <c:v>0.99999999999999989</c:v>
                </c:pt>
                <c:pt idx="19">
                  <c:v>0.99999999999999978</c:v>
                </c:pt>
                <c:pt idx="20">
                  <c:v>0.99999999999999989</c:v>
                </c:pt>
                <c:pt idx="21">
                  <c:v>0.99999999999999989</c:v>
                </c:pt>
                <c:pt idx="22">
                  <c:v>1</c:v>
                </c:pt>
                <c:pt idx="23">
                  <c:v>0.99999999999999989</c:v>
                </c:pt>
                <c:pt idx="24">
                  <c:v>1</c:v>
                </c:pt>
                <c:pt idx="25">
                  <c:v>1</c:v>
                </c:pt>
                <c:pt idx="26">
                  <c:v>0.99999999999999989</c:v>
                </c:pt>
                <c:pt idx="27">
                  <c:v>1</c:v>
                </c:pt>
                <c:pt idx="28">
                  <c:v>0.99999999999999989</c:v>
                </c:pt>
                <c:pt idx="29">
                  <c:v>0.99999999999999989</c:v>
                </c:pt>
                <c:pt idx="30">
                  <c:v>1</c:v>
                </c:pt>
                <c:pt idx="31">
                  <c:v>0.99999999999999989</c:v>
                </c:pt>
                <c:pt idx="32">
                  <c:v>1</c:v>
                </c:pt>
                <c:pt idx="33">
                  <c:v>0.99999999999999989</c:v>
                </c:pt>
                <c:pt idx="34">
                  <c:v>0.99999999999999989</c:v>
                </c:pt>
                <c:pt idx="35">
                  <c:v>1</c:v>
                </c:pt>
                <c:pt idx="36">
                  <c:v>0.99999999999999989</c:v>
                </c:pt>
                <c:pt idx="37">
                  <c:v>1</c:v>
                </c:pt>
                <c:pt idx="38">
                  <c:v>0.99999999999999989</c:v>
                </c:pt>
                <c:pt idx="39">
                  <c:v>0.99999999999999989</c:v>
                </c:pt>
                <c:pt idx="40">
                  <c:v>1</c:v>
                </c:pt>
                <c:pt idx="41">
                  <c:v>0.99999999999999978</c:v>
                </c:pt>
                <c:pt idx="42">
                  <c:v>1</c:v>
                </c:pt>
                <c:pt idx="43">
                  <c:v>0.99999999999999989</c:v>
                </c:pt>
                <c:pt idx="44">
                  <c:v>0.99999999999999989</c:v>
                </c:pt>
                <c:pt idx="45">
                  <c:v>1</c:v>
                </c:pt>
                <c:pt idx="46">
                  <c:v>0.99999999999999989</c:v>
                </c:pt>
                <c:pt idx="47">
                  <c:v>0.99999999999999978</c:v>
                </c:pt>
                <c:pt idx="48">
                  <c:v>1</c:v>
                </c:pt>
                <c:pt idx="49">
                  <c:v>0.99999999999999978</c:v>
                </c:pt>
                <c:pt idx="50">
                  <c:v>1</c:v>
                </c:pt>
                <c:pt idx="51">
                  <c:v>0.99999999999999989</c:v>
                </c:pt>
                <c:pt idx="52">
                  <c:v>0.99999999999999989</c:v>
                </c:pt>
                <c:pt idx="53">
                  <c:v>0.99999999999999978</c:v>
                </c:pt>
                <c:pt idx="54">
                  <c:v>0.99999999999999989</c:v>
                </c:pt>
                <c:pt idx="55">
                  <c:v>0.99999999999999978</c:v>
                </c:pt>
                <c:pt idx="56">
                  <c:v>0.99999999999999989</c:v>
                </c:pt>
                <c:pt idx="57">
                  <c:v>0.99999999999999989</c:v>
                </c:pt>
                <c:pt idx="58">
                  <c:v>1</c:v>
                </c:pt>
                <c:pt idx="59">
                  <c:v>0.99999999999999989</c:v>
                </c:pt>
                <c:pt idx="60">
                  <c:v>1</c:v>
                </c:pt>
                <c:pt idx="61">
                  <c:v>1</c:v>
                </c:pt>
                <c:pt idx="62">
                  <c:v>0.99999999999999989</c:v>
                </c:pt>
                <c:pt idx="63">
                  <c:v>1</c:v>
                </c:pt>
                <c:pt idx="64">
                  <c:v>0.99999999999999989</c:v>
                </c:pt>
                <c:pt idx="65">
                  <c:v>0.99999999999999989</c:v>
                </c:pt>
                <c:pt idx="66">
                  <c:v>1</c:v>
                </c:pt>
                <c:pt idx="67">
                  <c:v>0.99999999999999978</c:v>
                </c:pt>
                <c:pt idx="68">
                  <c:v>1</c:v>
                </c:pt>
                <c:pt idx="69">
                  <c:v>0.99999999999999989</c:v>
                </c:pt>
                <c:pt idx="70">
                  <c:v>0.99999999999999989</c:v>
                </c:pt>
                <c:pt idx="71">
                  <c:v>1</c:v>
                </c:pt>
                <c:pt idx="72">
                  <c:v>0.99999999999999989</c:v>
                </c:pt>
              </c:numCache>
            </c:numRef>
          </c:yVal>
          <c:smooth val="1"/>
          <c:extLst>
            <c:ext xmlns:c16="http://schemas.microsoft.com/office/drawing/2014/chart" uri="{C3380CC4-5D6E-409C-BE32-E72D297353CC}">
              <c16:uniqueId val="{00000001-082D-4AC1-A66C-B3E742A14DBA}"/>
            </c:ext>
          </c:extLst>
        </c:ser>
        <c:ser>
          <c:idx val="2"/>
          <c:order val="2"/>
          <c:tx>
            <c:v>θ actual (una junta)</c:v>
          </c:tx>
          <c:spPr>
            <a:ln>
              <a:noFill/>
            </a:ln>
          </c:spPr>
          <c:marker>
            <c:symbol val="circle"/>
            <c:size val="9"/>
            <c:spPr>
              <a:solidFill>
                <a:srgbClr val="C55A11"/>
              </a:solidFill>
              <a:ln>
                <a:solidFill>
                  <a:srgbClr val="000000"/>
                </a:solidFill>
              </a:ln>
            </c:spPr>
          </c:marker>
          <c:xVal>
            <c:numRef>
              <c:f>'U2 Junta cardán'!$AM$3:$AM$3</c:f>
              <c:numCache>
                <c:formatCode>0.000</c:formatCode>
                <c:ptCount val="1"/>
                <c:pt idx="0">
                  <c:v>30</c:v>
                </c:pt>
              </c:numCache>
            </c:numRef>
          </c:xVal>
          <c:yVal>
            <c:numRef>
              <c:f>'U2 Junta cardán'!$AN$3:$AN$3</c:f>
              <c:numCache>
                <c:formatCode>0.000</c:formatCode>
                <c:ptCount val="1"/>
                <c:pt idx="0">
                  <c:v>1.0075947781548287</c:v>
                </c:pt>
              </c:numCache>
            </c:numRef>
          </c:yVal>
          <c:smooth val="0"/>
          <c:extLst>
            <c:ext xmlns:c16="http://schemas.microsoft.com/office/drawing/2014/chart" uri="{C3380CC4-5D6E-409C-BE32-E72D297353CC}">
              <c16:uniqueId val="{00000002-082D-4AC1-A66C-B3E742A14DBA}"/>
            </c:ext>
          </c:extLst>
        </c:ser>
        <c:ser>
          <c:idx val="3"/>
          <c:order val="3"/>
          <c:tx>
            <c:v>θ actual (dos juntas)</c:v>
          </c:tx>
          <c:spPr>
            <a:ln>
              <a:noFill/>
            </a:ln>
          </c:spPr>
          <c:marker>
            <c:symbol val="circle"/>
            <c:size val="9"/>
            <c:spPr>
              <a:solidFill>
                <a:srgbClr val="2E75B6"/>
              </a:solidFill>
              <a:ln>
                <a:solidFill>
                  <a:srgbClr val="000000"/>
                </a:solidFill>
              </a:ln>
            </c:spPr>
          </c:marker>
          <c:xVal>
            <c:numRef>
              <c:f>'U2 Junta cardán'!$AO$3:$AO$3</c:f>
              <c:numCache>
                <c:formatCode>0.000</c:formatCode>
                <c:ptCount val="1"/>
                <c:pt idx="0">
                  <c:v>30</c:v>
                </c:pt>
              </c:numCache>
            </c:numRef>
          </c:xVal>
          <c:yVal>
            <c:numRef>
              <c:f>'U2 Junta cardán'!$AP$3:$AP$3</c:f>
              <c:numCache>
                <c:formatCode>0.000</c:formatCode>
                <c:ptCount val="1"/>
                <c:pt idx="0">
                  <c:v>1</c:v>
                </c:pt>
              </c:numCache>
            </c:numRef>
          </c:yVal>
          <c:smooth val="0"/>
          <c:extLst>
            <c:ext xmlns:c16="http://schemas.microsoft.com/office/drawing/2014/chart" uri="{C3380CC4-5D6E-409C-BE32-E72D297353CC}">
              <c16:uniqueId val="{00000003-082D-4AC1-A66C-B3E742A14DBA}"/>
            </c:ext>
          </c:extLst>
        </c:ser>
        <c:dLbls>
          <c:showLegendKey val="0"/>
          <c:showVal val="0"/>
          <c:showCatName val="0"/>
          <c:showSerName val="0"/>
          <c:showPercent val="0"/>
          <c:showBubbleSize val="0"/>
        </c:dLbls>
        <c:axId val="50090001"/>
        <c:axId val="50090002"/>
      </c:scatterChart>
      <c:valAx>
        <c:axId val="50090001"/>
        <c:scaling>
          <c:orientation val="minMax"/>
          <c:max val="360"/>
          <c:min val="0"/>
        </c:scaling>
        <c:delete val="0"/>
        <c:axPos val="b"/>
        <c:majorGridlines>
          <c:spPr>
            <a:ln>
              <a:solidFill>
                <a:srgbClr val="E0E0E0"/>
              </a:solidFill>
            </a:ln>
          </c:spPr>
        </c:majorGridlines>
        <c:title>
          <c:tx>
            <c:rich>
              <a:bodyPr/>
              <a:lstStyle/>
              <a:p>
                <a:pPr>
                  <a:defRPr sz="900" b="0" baseline="0"/>
                </a:pPr>
                <a:r>
                  <a:rPr lang="en-US" sz="900" b="0" baseline="0"/>
                  <a:t>Ángulo de giro θ [°]</a:t>
                </a:r>
              </a:p>
            </c:rich>
          </c:tx>
          <c:overlay val="0"/>
        </c:title>
        <c:numFmt formatCode="0.000" sourceLinked="1"/>
        <c:majorTickMark val="out"/>
        <c:minorTickMark val="none"/>
        <c:tickLblPos val="nextTo"/>
        <c:txPr>
          <a:bodyPr/>
          <a:lstStyle/>
          <a:p>
            <a:pPr>
              <a:defRPr sz="800" baseline="0"/>
            </a:pPr>
            <a:endParaRPr lang="en-US"/>
          </a:p>
        </c:txPr>
        <c:crossAx val="50090002"/>
        <c:crosses val="autoZero"/>
        <c:crossBetween val="midCat"/>
        <c:majorUnit val="45"/>
      </c:valAx>
      <c:valAx>
        <c:axId val="50090002"/>
        <c:scaling>
          <c:orientation val="minMax"/>
        </c:scaling>
        <c:delete val="0"/>
        <c:axPos val="l"/>
        <c:majorGridlines>
          <c:spPr>
            <a:ln>
              <a:solidFill>
                <a:srgbClr val="E0E0E0"/>
              </a:solidFill>
            </a:ln>
          </c:spPr>
        </c:majorGridlines>
        <c:title>
          <c:tx>
            <c:rich>
              <a:bodyPr rot="-5400000" vert="horz"/>
              <a:lstStyle/>
              <a:p>
                <a:pPr>
                  <a:defRPr sz="900" b="0" baseline="0"/>
                </a:pPr>
                <a:r>
                  <a:rPr lang="en-US" sz="900" b="0" baseline="0"/>
                  <a:t>ω salida / ω entrada</a:t>
                </a:r>
              </a:p>
            </c:rich>
          </c:tx>
          <c:overlay val="0"/>
        </c:title>
        <c:numFmt formatCode="0.000" sourceLinked="1"/>
        <c:majorTickMark val="out"/>
        <c:minorTickMark val="none"/>
        <c:tickLblPos val="nextTo"/>
        <c:txPr>
          <a:bodyPr/>
          <a:lstStyle/>
          <a:p>
            <a:pPr>
              <a:defRPr sz="800" baseline="0"/>
            </a:pPr>
            <a:endParaRPr lang="en-US"/>
          </a:p>
        </c:txPr>
        <c:crossAx val="50090001"/>
        <c:crosses val="autoZero"/>
        <c:crossBetween val="midCat"/>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'U2 Junta cardán'!$BG$1</c:f>
          <c:strCache>
            <c:ptCount val="1"/>
            <c:pt idx="0">
              <c:v>Entrada 30° · intermedio 30.4° · salida 30.0°</c:v>
            </c:pt>
          </c:strCache>
        </c:strRef>
      </c:tx>
      <c:overlay val="0"/>
      <c:txPr>
        <a:bodyPr/>
        <a:lstStyle/>
        <a:p>
          <a:pPr>
            <a:defRPr sz="1100" b="1" baseline="0">
              <a:solidFill>
                <a:srgbClr val="1F3864"/>
              </a:solidFill>
            </a:defRPr>
          </a:pPr>
          <a:endParaRPr lang="en-US"/>
        </a:p>
      </c:txPr>
    </c:title>
    <c:autoTitleDeleted val="0"/>
    <c:plotArea>
      <c:layout>
        <c:manualLayout>
          <c:layoutTarget val="inner"/>
          <c:xMode val="edge"/>
          <c:yMode val="edge"/>
          <c:x val="6.4214304024609148E-2"/>
          <c:y val="0.12"/>
          <c:w val="0.8715713919507817"/>
          <c:h val="0.85"/>
        </c:manualLayout>
      </c:layout>
      <c:scatterChart>
        <c:scatterStyle val="lineMarker"/>
        <c:varyColors val="0"/>
        <c:ser>
          <c:idx val="0"/>
          <c:order val="0"/>
          <c:tx>
            <c:v>Árboles</c:v>
          </c:tx>
          <c:spPr>
            <a:ln w="63500">
              <a:solidFill>
                <a:srgbClr val="404040"/>
              </a:solidFill>
            </a:ln>
          </c:spPr>
          <c:marker>
            <c:symbol val="none"/>
          </c:marker>
          <c:xVal>
            <c:numRef>
              <c:f>'U2 Junta cardán'!$AQ$3:$AQ$6</c:f>
              <c:numCache>
                <c:formatCode>0.000</c:formatCode>
                <c:ptCount val="4"/>
                <c:pt idx="0">
                  <c:v>-3.5</c:v>
                </c:pt>
                <c:pt idx="1">
                  <c:v>0</c:v>
                </c:pt>
                <c:pt idx="2">
                  <c:v>3.9392310120488321</c:v>
                </c:pt>
                <c:pt idx="3">
                  <c:v>7.4392310120488325</c:v>
                </c:pt>
              </c:numCache>
            </c:numRef>
          </c:xVal>
          <c:yVal>
            <c:numRef>
              <c:f>'U2 Junta cardán'!$AR$3:$AR$6</c:f>
              <c:numCache>
                <c:formatCode>0.000</c:formatCode>
                <c:ptCount val="4"/>
                <c:pt idx="0">
                  <c:v>0</c:v>
                </c:pt>
                <c:pt idx="1">
                  <c:v>0</c:v>
                </c:pt>
                <c:pt idx="2">
                  <c:v>-0.69459271066772132</c:v>
                </c:pt>
                <c:pt idx="3">
                  <c:v>-0.69459271066772132</c:v>
                </c:pt>
              </c:numCache>
            </c:numRef>
          </c:yVal>
          <c:smooth val="0"/>
          <c:extLst>
            <c:ext xmlns:c16="http://schemas.microsoft.com/office/drawing/2014/chart" uri="{C3380CC4-5D6E-409C-BE32-E72D297353CC}">
              <c16:uniqueId val="{00000000-45EB-4723-9329-987C17B42271}"/>
            </c:ext>
          </c:extLst>
        </c:ser>
        <c:ser>
          <c:idx val="1"/>
          <c:order val="1"/>
          <c:tx>
            <c:v>Juntas</c:v>
          </c:tx>
          <c:spPr>
            <a:ln>
              <a:noFill/>
            </a:ln>
          </c:spPr>
          <c:marker>
            <c:symbol val="diamond"/>
            <c:size val="14"/>
            <c:spPr>
              <a:solidFill>
                <a:srgbClr val="C55A11"/>
              </a:solidFill>
              <a:ln>
                <a:solidFill>
                  <a:srgbClr val="000000"/>
                </a:solidFill>
              </a:ln>
            </c:spPr>
          </c:marker>
          <c:xVal>
            <c:numRef>
              <c:f>'U2 Junta cardán'!$AS$3:$AS$4</c:f>
              <c:numCache>
                <c:formatCode>0.000</c:formatCode>
                <c:ptCount val="2"/>
                <c:pt idx="0">
                  <c:v>0</c:v>
                </c:pt>
                <c:pt idx="1">
                  <c:v>3.9392310120488321</c:v>
                </c:pt>
              </c:numCache>
            </c:numRef>
          </c:xVal>
          <c:yVal>
            <c:numRef>
              <c:f>'U2 Junta cardán'!$AT$3:$AT$4</c:f>
              <c:numCache>
                <c:formatCode>0.000</c:formatCode>
                <c:ptCount val="2"/>
                <c:pt idx="0">
                  <c:v>0</c:v>
                </c:pt>
                <c:pt idx="1">
                  <c:v>-0.69459271066772132</c:v>
                </c:pt>
              </c:numCache>
            </c:numRef>
          </c:yVal>
          <c:smooth val="0"/>
          <c:extLst>
            <c:ext xmlns:c16="http://schemas.microsoft.com/office/drawing/2014/chart" uri="{C3380CC4-5D6E-409C-BE32-E72D297353CC}">
              <c16:uniqueId val="{00000001-45EB-4723-9329-987C17B42271}"/>
            </c:ext>
          </c:extLst>
        </c:ser>
        <c:ser>
          <c:idx val="2"/>
          <c:order val="2"/>
          <c:tx>
            <c:v>Dial 0</c:v>
          </c:tx>
          <c:spPr>
            <a:ln w="25400">
              <a:solidFill>
                <a:srgbClr val="BFBFBF"/>
              </a:solidFill>
            </a:ln>
          </c:spPr>
          <c:marker>
            <c:symbol val="none"/>
          </c:marker>
          <c:xVal>
            <c:numRef>
              <c:f>'U2 Junta cardán'!$AU$3:$AU$39</c:f>
              <c:numCache>
                <c:formatCode>0.000</c:formatCode>
                <c:ptCount val="37"/>
                <c:pt idx="0">
                  <c:v>-1.3000000000000003</c:v>
                </c:pt>
                <c:pt idx="1">
                  <c:v>-1.3136730222890129</c:v>
                </c:pt>
                <c:pt idx="2">
                  <c:v>-1.3542766412926825</c:v>
                </c:pt>
                <c:pt idx="3">
                  <c:v>-1.4205771365940052</c:v>
                </c:pt>
                <c:pt idx="4">
                  <c:v>-1.5105600011929199</c:v>
                </c:pt>
                <c:pt idx="5">
                  <c:v>-1.6214911512821146</c:v>
                </c:pt>
                <c:pt idx="6">
                  <c:v>-1.75</c:v>
                </c:pt>
                <c:pt idx="7">
                  <c:v>-1.8921818710068983</c:v>
                </c:pt>
                <c:pt idx="8">
                  <c:v>-2.0437166400997628</c:v>
                </c:pt>
                <c:pt idx="9">
                  <c:v>-2.2000000000000002</c:v>
                </c:pt>
                <c:pt idx="10">
                  <c:v>-2.3562833599002375</c:v>
                </c:pt>
                <c:pt idx="11">
                  <c:v>-2.5078181289931019</c:v>
                </c:pt>
                <c:pt idx="12">
                  <c:v>-2.65</c:v>
                </c:pt>
                <c:pt idx="13">
                  <c:v>-2.7785088487178857</c:v>
                </c:pt>
                <c:pt idx="14">
                  <c:v>-2.8894399988070805</c:v>
                </c:pt>
                <c:pt idx="15">
                  <c:v>-2.9794228634059952</c:v>
                </c:pt>
                <c:pt idx="16">
                  <c:v>-3.0457233587073178</c:v>
                </c:pt>
                <c:pt idx="17">
                  <c:v>-3.0863269777109874</c:v>
                </c:pt>
                <c:pt idx="18">
                  <c:v>-3.1</c:v>
                </c:pt>
                <c:pt idx="19">
                  <c:v>-3.0863269777109874</c:v>
                </c:pt>
                <c:pt idx="20">
                  <c:v>-3.0457233587073178</c:v>
                </c:pt>
                <c:pt idx="21">
                  <c:v>-2.9794228634059952</c:v>
                </c:pt>
                <c:pt idx="22">
                  <c:v>-2.8894399988070805</c:v>
                </c:pt>
                <c:pt idx="23">
                  <c:v>-2.7785088487178857</c:v>
                </c:pt>
                <c:pt idx="24">
                  <c:v>-2.6500000000000004</c:v>
                </c:pt>
                <c:pt idx="25">
                  <c:v>-2.5078181289931019</c:v>
                </c:pt>
                <c:pt idx="26">
                  <c:v>-2.3562833599002375</c:v>
                </c:pt>
                <c:pt idx="27">
                  <c:v>-2.2000000000000002</c:v>
                </c:pt>
                <c:pt idx="28">
                  <c:v>-2.0437166400997633</c:v>
                </c:pt>
                <c:pt idx="29">
                  <c:v>-1.8921818710068981</c:v>
                </c:pt>
                <c:pt idx="30">
                  <c:v>-1.75</c:v>
                </c:pt>
                <c:pt idx="31">
                  <c:v>-1.6214911512821149</c:v>
                </c:pt>
                <c:pt idx="32">
                  <c:v>-1.5105600011929201</c:v>
                </c:pt>
                <c:pt idx="33">
                  <c:v>-1.4205771365940056</c:v>
                </c:pt>
                <c:pt idx="34">
                  <c:v>-1.3542766412926825</c:v>
                </c:pt>
                <c:pt idx="35">
                  <c:v>-1.3136730222890129</c:v>
                </c:pt>
                <c:pt idx="36">
                  <c:v>-1.3000000000000003</c:v>
                </c:pt>
              </c:numCache>
            </c:numRef>
          </c:xVal>
          <c:yVal>
            <c:numRef>
              <c:f>'U2 Junta cardán'!$AV$3:$AV$39</c:f>
              <c:numCache>
                <c:formatCode>0.000</c:formatCode>
                <c:ptCount val="37"/>
                <c:pt idx="0">
                  <c:v>3.3</c:v>
                </c:pt>
                <c:pt idx="1">
                  <c:v>3.4562833599002372</c:v>
                </c:pt>
                <c:pt idx="2">
                  <c:v>3.6078181289931015</c:v>
                </c:pt>
                <c:pt idx="3">
                  <c:v>3.75</c:v>
                </c:pt>
                <c:pt idx="4">
                  <c:v>3.8785088487178854</c:v>
                </c:pt>
                <c:pt idx="5">
                  <c:v>3.9894399988070801</c:v>
                </c:pt>
                <c:pt idx="6">
                  <c:v>4.0794228634059948</c:v>
                </c:pt>
                <c:pt idx="7">
                  <c:v>4.1457233587073175</c:v>
                </c:pt>
                <c:pt idx="8">
                  <c:v>4.1863269777109871</c:v>
                </c:pt>
                <c:pt idx="9">
                  <c:v>4.2</c:v>
                </c:pt>
                <c:pt idx="10">
                  <c:v>4.1863269777109871</c:v>
                </c:pt>
                <c:pt idx="11">
                  <c:v>4.1457233587073175</c:v>
                </c:pt>
                <c:pt idx="12">
                  <c:v>4.0794228634059948</c:v>
                </c:pt>
                <c:pt idx="13">
                  <c:v>3.9894399988070801</c:v>
                </c:pt>
                <c:pt idx="14">
                  <c:v>3.8785088487178854</c:v>
                </c:pt>
                <c:pt idx="15">
                  <c:v>3.75</c:v>
                </c:pt>
                <c:pt idx="16">
                  <c:v>3.6078181289931019</c:v>
                </c:pt>
                <c:pt idx="17">
                  <c:v>3.4562833599002372</c:v>
                </c:pt>
                <c:pt idx="18">
                  <c:v>3.3</c:v>
                </c:pt>
                <c:pt idx="19">
                  <c:v>3.1437166400997625</c:v>
                </c:pt>
                <c:pt idx="20">
                  <c:v>2.9921818710068981</c:v>
                </c:pt>
                <c:pt idx="21">
                  <c:v>2.8499999999999996</c:v>
                </c:pt>
                <c:pt idx="22">
                  <c:v>2.7214911512821143</c:v>
                </c:pt>
                <c:pt idx="23">
                  <c:v>2.6105600011929195</c:v>
                </c:pt>
                <c:pt idx="24">
                  <c:v>2.5205771365940053</c:v>
                </c:pt>
                <c:pt idx="25">
                  <c:v>2.4542766412926822</c:v>
                </c:pt>
                <c:pt idx="26">
                  <c:v>2.4136730222890126</c:v>
                </c:pt>
                <c:pt idx="27">
                  <c:v>2.4</c:v>
                </c:pt>
                <c:pt idx="28">
                  <c:v>2.4136730222890126</c:v>
                </c:pt>
                <c:pt idx="29">
                  <c:v>2.4542766412926822</c:v>
                </c:pt>
                <c:pt idx="30">
                  <c:v>2.5205771365940048</c:v>
                </c:pt>
                <c:pt idx="31">
                  <c:v>2.6105600011929195</c:v>
                </c:pt>
                <c:pt idx="32">
                  <c:v>2.7214911512821143</c:v>
                </c:pt>
                <c:pt idx="33">
                  <c:v>2.8499999999999996</c:v>
                </c:pt>
                <c:pt idx="34">
                  <c:v>2.9921818710068981</c:v>
                </c:pt>
                <c:pt idx="35">
                  <c:v>3.1437166400997625</c:v>
                </c:pt>
                <c:pt idx="36">
                  <c:v>3.3</c:v>
                </c:pt>
              </c:numCache>
            </c:numRef>
          </c:yVal>
          <c:smooth val="0"/>
          <c:extLst>
            <c:ext xmlns:c16="http://schemas.microsoft.com/office/drawing/2014/chart" uri="{C3380CC4-5D6E-409C-BE32-E72D297353CC}">
              <c16:uniqueId val="{00000002-45EB-4723-9329-987C17B42271}"/>
            </c:ext>
          </c:extLst>
        </c:ser>
        <c:ser>
          <c:idx val="3"/>
          <c:order val="3"/>
          <c:tx>
            <c:v>Aguja 0</c:v>
          </c:tx>
          <c:spPr>
            <a:ln w="38100">
              <a:solidFill>
                <a:srgbClr val="C55A11"/>
              </a:solidFill>
            </a:ln>
          </c:spPr>
          <c:marker>
            <c:symbol val="none"/>
          </c:marker>
          <c:xVal>
            <c:numRef>
              <c:f>'U2 Junta cardán'!$AW$3:$AW$4</c:f>
              <c:numCache>
                <c:formatCode>0.000</c:formatCode>
                <c:ptCount val="2"/>
                <c:pt idx="0">
                  <c:v>-2.2000000000000002</c:v>
                </c:pt>
                <c:pt idx="1">
                  <c:v>-1.4205771365940052</c:v>
                </c:pt>
              </c:numCache>
            </c:numRef>
          </c:xVal>
          <c:yVal>
            <c:numRef>
              <c:f>'U2 Junta cardán'!$AX$3:$AX$4</c:f>
              <c:numCache>
                <c:formatCode>0.000</c:formatCode>
                <c:ptCount val="2"/>
                <c:pt idx="0">
                  <c:v>3.3</c:v>
                </c:pt>
                <c:pt idx="1">
                  <c:v>3.75</c:v>
                </c:pt>
              </c:numCache>
            </c:numRef>
          </c:yVal>
          <c:smooth val="0"/>
          <c:extLst>
            <c:ext xmlns:c16="http://schemas.microsoft.com/office/drawing/2014/chart" uri="{C3380CC4-5D6E-409C-BE32-E72D297353CC}">
              <c16:uniqueId val="{00000003-45EB-4723-9329-987C17B42271}"/>
            </c:ext>
          </c:extLst>
        </c:ser>
        <c:ser>
          <c:idx val="4"/>
          <c:order val="4"/>
          <c:tx>
            <c:v>Dial 1</c:v>
          </c:tx>
          <c:spPr>
            <a:ln w="25400">
              <a:solidFill>
                <a:srgbClr val="BFBFBF"/>
              </a:solidFill>
            </a:ln>
          </c:spPr>
          <c:marker>
            <c:symbol val="none"/>
          </c:marker>
          <c:xVal>
            <c:numRef>
              <c:f>'U2 Junta cardán'!$AY$3:$AY$39</c:f>
              <c:numCache>
                <c:formatCode>0.000</c:formatCode>
                <c:ptCount val="37"/>
                <c:pt idx="0">
                  <c:v>2.7</c:v>
                </c:pt>
                <c:pt idx="1">
                  <c:v>2.6863269777109871</c:v>
                </c:pt>
                <c:pt idx="2">
                  <c:v>2.6457233587073175</c:v>
                </c:pt>
                <c:pt idx="3">
                  <c:v>2.5794228634059948</c:v>
                </c:pt>
                <c:pt idx="4">
                  <c:v>2.4894399988070801</c:v>
                </c:pt>
                <c:pt idx="5">
                  <c:v>2.3785088487178854</c:v>
                </c:pt>
                <c:pt idx="6">
                  <c:v>2.25</c:v>
                </c:pt>
                <c:pt idx="7">
                  <c:v>2.1078181289931019</c:v>
                </c:pt>
                <c:pt idx="8">
                  <c:v>1.9562833599002374</c:v>
                </c:pt>
                <c:pt idx="9">
                  <c:v>1.8</c:v>
                </c:pt>
                <c:pt idx="10">
                  <c:v>1.6437166400997627</c:v>
                </c:pt>
                <c:pt idx="11">
                  <c:v>1.4921818710068981</c:v>
                </c:pt>
                <c:pt idx="12">
                  <c:v>1.3500000000000003</c:v>
                </c:pt>
                <c:pt idx="13">
                  <c:v>1.2214911512821147</c:v>
                </c:pt>
                <c:pt idx="14">
                  <c:v>1.11056000119292</c:v>
                </c:pt>
                <c:pt idx="15">
                  <c:v>1.0205771365940053</c:v>
                </c:pt>
                <c:pt idx="16">
                  <c:v>0.95427664129268253</c:v>
                </c:pt>
                <c:pt idx="17">
                  <c:v>0.91367302228901282</c:v>
                </c:pt>
                <c:pt idx="18">
                  <c:v>0.9</c:v>
                </c:pt>
                <c:pt idx="19">
                  <c:v>0.91367302228901282</c:v>
                </c:pt>
                <c:pt idx="20">
                  <c:v>0.95427664129268241</c:v>
                </c:pt>
                <c:pt idx="21">
                  <c:v>1.0205771365940053</c:v>
                </c:pt>
                <c:pt idx="22">
                  <c:v>1.11056000119292</c:v>
                </c:pt>
                <c:pt idx="23">
                  <c:v>1.2214911512821145</c:v>
                </c:pt>
                <c:pt idx="24">
                  <c:v>1.3499999999999996</c:v>
                </c:pt>
                <c:pt idx="25">
                  <c:v>1.4921818710068984</c:v>
                </c:pt>
                <c:pt idx="26">
                  <c:v>1.6437166400997627</c:v>
                </c:pt>
                <c:pt idx="27">
                  <c:v>1.7999999999999998</c:v>
                </c:pt>
                <c:pt idx="28">
                  <c:v>1.9562833599002369</c:v>
                </c:pt>
                <c:pt idx="29">
                  <c:v>2.1078181289931024</c:v>
                </c:pt>
                <c:pt idx="30">
                  <c:v>2.25</c:v>
                </c:pt>
                <c:pt idx="31">
                  <c:v>2.3785088487178854</c:v>
                </c:pt>
                <c:pt idx="32">
                  <c:v>2.4894399988070801</c:v>
                </c:pt>
                <c:pt idx="33">
                  <c:v>2.5794228634059948</c:v>
                </c:pt>
                <c:pt idx="34">
                  <c:v>2.6457233587073175</c:v>
                </c:pt>
                <c:pt idx="35">
                  <c:v>2.6863269777109871</c:v>
                </c:pt>
                <c:pt idx="36">
                  <c:v>2.7</c:v>
                </c:pt>
              </c:numCache>
            </c:numRef>
          </c:xVal>
          <c:yVal>
            <c:numRef>
              <c:f>'U2 Junta cardán'!$AZ$3:$AZ$39</c:f>
              <c:numCache>
                <c:formatCode>0.000</c:formatCode>
                <c:ptCount val="37"/>
                <c:pt idx="0">
                  <c:v>3.3</c:v>
                </c:pt>
                <c:pt idx="1">
                  <c:v>3.4562833599002372</c:v>
                </c:pt>
                <c:pt idx="2">
                  <c:v>3.6078181289931015</c:v>
                </c:pt>
                <c:pt idx="3">
                  <c:v>3.75</c:v>
                </c:pt>
                <c:pt idx="4">
                  <c:v>3.8785088487178854</c:v>
                </c:pt>
                <c:pt idx="5">
                  <c:v>3.9894399988070801</c:v>
                </c:pt>
                <c:pt idx="6">
                  <c:v>4.0794228634059948</c:v>
                </c:pt>
                <c:pt idx="7">
                  <c:v>4.1457233587073175</c:v>
                </c:pt>
                <c:pt idx="8">
                  <c:v>4.1863269777109871</c:v>
                </c:pt>
                <c:pt idx="9">
                  <c:v>4.2</c:v>
                </c:pt>
                <c:pt idx="10">
                  <c:v>4.1863269777109871</c:v>
                </c:pt>
                <c:pt idx="11">
                  <c:v>4.1457233587073175</c:v>
                </c:pt>
                <c:pt idx="12">
                  <c:v>4.0794228634059948</c:v>
                </c:pt>
                <c:pt idx="13">
                  <c:v>3.9894399988070801</c:v>
                </c:pt>
                <c:pt idx="14">
                  <c:v>3.8785088487178854</c:v>
                </c:pt>
                <c:pt idx="15">
                  <c:v>3.75</c:v>
                </c:pt>
                <c:pt idx="16">
                  <c:v>3.6078181289931019</c:v>
                </c:pt>
                <c:pt idx="17">
                  <c:v>3.4562833599002372</c:v>
                </c:pt>
                <c:pt idx="18">
                  <c:v>3.3</c:v>
                </c:pt>
                <c:pt idx="19">
                  <c:v>3.1437166400997625</c:v>
                </c:pt>
                <c:pt idx="20">
                  <c:v>2.9921818710068981</c:v>
                </c:pt>
                <c:pt idx="21">
                  <c:v>2.8499999999999996</c:v>
                </c:pt>
                <c:pt idx="22">
                  <c:v>2.7214911512821143</c:v>
                </c:pt>
                <c:pt idx="23">
                  <c:v>2.6105600011929195</c:v>
                </c:pt>
                <c:pt idx="24">
                  <c:v>2.5205771365940053</c:v>
                </c:pt>
                <c:pt idx="25">
                  <c:v>2.4542766412926822</c:v>
                </c:pt>
                <c:pt idx="26">
                  <c:v>2.4136730222890126</c:v>
                </c:pt>
                <c:pt idx="27">
                  <c:v>2.4</c:v>
                </c:pt>
                <c:pt idx="28">
                  <c:v>2.4136730222890126</c:v>
                </c:pt>
                <c:pt idx="29">
                  <c:v>2.4542766412926822</c:v>
                </c:pt>
                <c:pt idx="30">
                  <c:v>2.5205771365940048</c:v>
                </c:pt>
                <c:pt idx="31">
                  <c:v>2.6105600011929195</c:v>
                </c:pt>
                <c:pt idx="32">
                  <c:v>2.7214911512821143</c:v>
                </c:pt>
                <c:pt idx="33">
                  <c:v>2.8499999999999996</c:v>
                </c:pt>
                <c:pt idx="34">
                  <c:v>2.9921818710068981</c:v>
                </c:pt>
                <c:pt idx="35">
                  <c:v>3.1437166400997625</c:v>
                </c:pt>
                <c:pt idx="36">
                  <c:v>3.3</c:v>
                </c:pt>
              </c:numCache>
            </c:numRef>
          </c:yVal>
          <c:smooth val="0"/>
          <c:extLst>
            <c:ext xmlns:c16="http://schemas.microsoft.com/office/drawing/2014/chart" uri="{C3380CC4-5D6E-409C-BE32-E72D297353CC}">
              <c16:uniqueId val="{00000004-45EB-4723-9329-987C17B42271}"/>
            </c:ext>
          </c:extLst>
        </c:ser>
        <c:ser>
          <c:idx val="5"/>
          <c:order val="5"/>
          <c:tx>
            <c:v>Aguja 1</c:v>
          </c:tx>
          <c:spPr>
            <a:ln w="38100">
              <a:solidFill>
                <a:srgbClr val="7030A0"/>
              </a:solidFill>
            </a:ln>
          </c:spPr>
          <c:marker>
            <c:symbol val="none"/>
          </c:marker>
          <c:xVal>
            <c:numRef>
              <c:f>'U2 Junta cardán'!$BA$3:$BA$4</c:f>
              <c:numCache>
                <c:formatCode>0.000</c:formatCode>
                <c:ptCount val="2"/>
                <c:pt idx="0">
                  <c:v>1.8</c:v>
                </c:pt>
                <c:pt idx="1">
                  <c:v>2.5764112591105026</c:v>
                </c:pt>
              </c:numCache>
            </c:numRef>
          </c:xVal>
          <c:yVal>
            <c:numRef>
              <c:f>'U2 Junta cardán'!$BB$3:$BB$4</c:f>
              <c:numCache>
                <c:formatCode>0.000</c:formatCode>
                <c:ptCount val="2"/>
                <c:pt idx="0">
                  <c:v>3.3</c:v>
                </c:pt>
                <c:pt idx="1">
                  <c:v>3.7551764017679781</c:v>
                </c:pt>
              </c:numCache>
            </c:numRef>
          </c:yVal>
          <c:smooth val="0"/>
          <c:extLst>
            <c:ext xmlns:c16="http://schemas.microsoft.com/office/drawing/2014/chart" uri="{C3380CC4-5D6E-409C-BE32-E72D297353CC}">
              <c16:uniqueId val="{00000005-45EB-4723-9329-987C17B42271}"/>
            </c:ext>
          </c:extLst>
        </c:ser>
        <c:ser>
          <c:idx val="6"/>
          <c:order val="6"/>
          <c:tx>
            <c:v>Dial 2</c:v>
          </c:tx>
          <c:spPr>
            <a:ln w="25400">
              <a:solidFill>
                <a:srgbClr val="BFBFBF"/>
              </a:solidFill>
            </a:ln>
          </c:spPr>
          <c:marker>
            <c:symbol val="none"/>
          </c:marker>
          <c:xVal>
            <c:numRef>
              <c:f>'U2 Junta cardán'!$BC$3:$BC$39</c:f>
              <c:numCache>
                <c:formatCode>0.000</c:formatCode>
                <c:ptCount val="37"/>
                <c:pt idx="0">
                  <c:v>6.7</c:v>
                </c:pt>
                <c:pt idx="1">
                  <c:v>6.6863269777109871</c:v>
                </c:pt>
                <c:pt idx="2">
                  <c:v>6.6457233587073175</c:v>
                </c:pt>
                <c:pt idx="3">
                  <c:v>6.5794228634059948</c:v>
                </c:pt>
                <c:pt idx="4">
                  <c:v>6.4894399988070797</c:v>
                </c:pt>
                <c:pt idx="5">
                  <c:v>6.3785088487178854</c:v>
                </c:pt>
                <c:pt idx="6">
                  <c:v>6.25</c:v>
                </c:pt>
                <c:pt idx="7">
                  <c:v>6.1078181289931015</c:v>
                </c:pt>
                <c:pt idx="8">
                  <c:v>5.9562833599002376</c:v>
                </c:pt>
                <c:pt idx="9">
                  <c:v>5.8</c:v>
                </c:pt>
                <c:pt idx="10">
                  <c:v>5.6437166400997629</c:v>
                </c:pt>
                <c:pt idx="11">
                  <c:v>5.4921818710068981</c:v>
                </c:pt>
                <c:pt idx="12">
                  <c:v>5.35</c:v>
                </c:pt>
                <c:pt idx="13">
                  <c:v>5.2214911512821143</c:v>
                </c:pt>
                <c:pt idx="14">
                  <c:v>5.11056000119292</c:v>
                </c:pt>
                <c:pt idx="15">
                  <c:v>5.0205771365940048</c:v>
                </c:pt>
                <c:pt idx="16">
                  <c:v>4.9542766412926822</c:v>
                </c:pt>
                <c:pt idx="17">
                  <c:v>4.9136730222890126</c:v>
                </c:pt>
                <c:pt idx="18">
                  <c:v>4.8999999999999995</c:v>
                </c:pt>
                <c:pt idx="19">
                  <c:v>4.9136730222890126</c:v>
                </c:pt>
                <c:pt idx="20">
                  <c:v>4.9542766412926822</c:v>
                </c:pt>
                <c:pt idx="21">
                  <c:v>5.0205771365940048</c:v>
                </c:pt>
                <c:pt idx="22">
                  <c:v>5.11056000119292</c:v>
                </c:pt>
                <c:pt idx="23">
                  <c:v>5.2214911512821143</c:v>
                </c:pt>
                <c:pt idx="24">
                  <c:v>5.35</c:v>
                </c:pt>
                <c:pt idx="25">
                  <c:v>5.4921818710068981</c:v>
                </c:pt>
                <c:pt idx="26">
                  <c:v>5.6437166400997629</c:v>
                </c:pt>
                <c:pt idx="27">
                  <c:v>5.8</c:v>
                </c:pt>
                <c:pt idx="28">
                  <c:v>5.9562833599002367</c:v>
                </c:pt>
                <c:pt idx="29">
                  <c:v>6.1078181289931024</c:v>
                </c:pt>
                <c:pt idx="30">
                  <c:v>6.25</c:v>
                </c:pt>
                <c:pt idx="31">
                  <c:v>6.3785088487178854</c:v>
                </c:pt>
                <c:pt idx="32">
                  <c:v>6.4894399988070797</c:v>
                </c:pt>
                <c:pt idx="33">
                  <c:v>6.5794228634059948</c:v>
                </c:pt>
                <c:pt idx="34">
                  <c:v>6.6457233587073175</c:v>
                </c:pt>
                <c:pt idx="35">
                  <c:v>6.6863269777109871</c:v>
                </c:pt>
                <c:pt idx="36">
                  <c:v>6.7</c:v>
                </c:pt>
              </c:numCache>
            </c:numRef>
          </c:xVal>
          <c:yVal>
            <c:numRef>
              <c:f>'U2 Junta cardán'!$BD$3:$BD$39</c:f>
              <c:numCache>
                <c:formatCode>0.000</c:formatCode>
                <c:ptCount val="37"/>
                <c:pt idx="0">
                  <c:v>3.3</c:v>
                </c:pt>
                <c:pt idx="1">
                  <c:v>3.4562833599002372</c:v>
                </c:pt>
                <c:pt idx="2">
                  <c:v>3.6078181289931015</c:v>
                </c:pt>
                <c:pt idx="3">
                  <c:v>3.75</c:v>
                </c:pt>
                <c:pt idx="4">
                  <c:v>3.8785088487178854</c:v>
                </c:pt>
                <c:pt idx="5">
                  <c:v>3.9894399988070801</c:v>
                </c:pt>
                <c:pt idx="6">
                  <c:v>4.0794228634059948</c:v>
                </c:pt>
                <c:pt idx="7">
                  <c:v>4.1457233587073175</c:v>
                </c:pt>
                <c:pt idx="8">
                  <c:v>4.1863269777109871</c:v>
                </c:pt>
                <c:pt idx="9">
                  <c:v>4.2</c:v>
                </c:pt>
                <c:pt idx="10">
                  <c:v>4.1863269777109871</c:v>
                </c:pt>
                <c:pt idx="11">
                  <c:v>4.1457233587073175</c:v>
                </c:pt>
                <c:pt idx="12">
                  <c:v>4.0794228634059948</c:v>
                </c:pt>
                <c:pt idx="13">
                  <c:v>3.9894399988070801</c:v>
                </c:pt>
                <c:pt idx="14">
                  <c:v>3.8785088487178854</c:v>
                </c:pt>
                <c:pt idx="15">
                  <c:v>3.75</c:v>
                </c:pt>
                <c:pt idx="16">
                  <c:v>3.6078181289931019</c:v>
                </c:pt>
                <c:pt idx="17">
                  <c:v>3.4562833599002372</c:v>
                </c:pt>
                <c:pt idx="18">
                  <c:v>3.3</c:v>
                </c:pt>
                <c:pt idx="19">
                  <c:v>3.1437166400997625</c:v>
                </c:pt>
                <c:pt idx="20">
                  <c:v>2.9921818710068981</c:v>
                </c:pt>
                <c:pt idx="21">
                  <c:v>2.8499999999999996</c:v>
                </c:pt>
                <c:pt idx="22">
                  <c:v>2.7214911512821143</c:v>
                </c:pt>
                <c:pt idx="23">
                  <c:v>2.6105600011929195</c:v>
                </c:pt>
                <c:pt idx="24">
                  <c:v>2.5205771365940053</c:v>
                </c:pt>
                <c:pt idx="25">
                  <c:v>2.4542766412926822</c:v>
                </c:pt>
                <c:pt idx="26">
                  <c:v>2.4136730222890126</c:v>
                </c:pt>
                <c:pt idx="27">
                  <c:v>2.4</c:v>
                </c:pt>
                <c:pt idx="28">
                  <c:v>2.4136730222890126</c:v>
                </c:pt>
                <c:pt idx="29">
                  <c:v>2.4542766412926822</c:v>
                </c:pt>
                <c:pt idx="30">
                  <c:v>2.5205771365940048</c:v>
                </c:pt>
                <c:pt idx="31">
                  <c:v>2.6105600011929195</c:v>
                </c:pt>
                <c:pt idx="32">
                  <c:v>2.7214911512821143</c:v>
                </c:pt>
                <c:pt idx="33">
                  <c:v>2.8499999999999996</c:v>
                </c:pt>
                <c:pt idx="34">
                  <c:v>2.9921818710068981</c:v>
                </c:pt>
                <c:pt idx="35">
                  <c:v>3.1437166400997625</c:v>
                </c:pt>
                <c:pt idx="36">
                  <c:v>3.3</c:v>
                </c:pt>
              </c:numCache>
            </c:numRef>
          </c:yVal>
          <c:smooth val="0"/>
          <c:extLst>
            <c:ext xmlns:c16="http://schemas.microsoft.com/office/drawing/2014/chart" uri="{C3380CC4-5D6E-409C-BE32-E72D297353CC}">
              <c16:uniqueId val="{00000006-45EB-4723-9329-987C17B42271}"/>
            </c:ext>
          </c:extLst>
        </c:ser>
        <c:ser>
          <c:idx val="7"/>
          <c:order val="7"/>
          <c:tx>
            <c:v>Aguja 2</c:v>
          </c:tx>
          <c:spPr>
            <a:ln w="38100">
              <a:solidFill>
                <a:srgbClr val="2E75B6"/>
              </a:solidFill>
            </a:ln>
          </c:spPr>
          <c:marker>
            <c:symbol val="none"/>
          </c:marker>
          <c:xVal>
            <c:numRef>
              <c:f>'U2 Junta cardán'!$BE$3:$BE$4</c:f>
              <c:numCache>
                <c:formatCode>0.000</c:formatCode>
                <c:ptCount val="2"/>
                <c:pt idx="0">
                  <c:v>5.8</c:v>
                </c:pt>
                <c:pt idx="1">
                  <c:v>6.5794228634059948</c:v>
                </c:pt>
              </c:numCache>
            </c:numRef>
          </c:xVal>
          <c:yVal>
            <c:numRef>
              <c:f>'U2 Junta cardán'!$BF$3:$BF$4</c:f>
              <c:numCache>
                <c:formatCode>0.000</c:formatCode>
                <c:ptCount val="2"/>
                <c:pt idx="0">
                  <c:v>3.3</c:v>
                </c:pt>
                <c:pt idx="1">
                  <c:v>3.75</c:v>
                </c:pt>
              </c:numCache>
            </c:numRef>
          </c:yVal>
          <c:smooth val="0"/>
          <c:extLst>
            <c:ext xmlns:c16="http://schemas.microsoft.com/office/drawing/2014/chart" uri="{C3380CC4-5D6E-409C-BE32-E72D297353CC}">
              <c16:uniqueId val="{00000007-45EB-4723-9329-987C17B42271}"/>
            </c:ext>
          </c:extLst>
        </c:ser>
        <c:dLbls>
          <c:showLegendKey val="0"/>
          <c:showVal val="0"/>
          <c:showCatName val="0"/>
          <c:showSerName val="0"/>
          <c:showPercent val="0"/>
          <c:showBubbleSize val="0"/>
        </c:dLbls>
        <c:axId val="50100001"/>
        <c:axId val="50100002"/>
      </c:scatterChart>
      <c:valAx>
        <c:axId val="50100001"/>
        <c:scaling>
          <c:orientation val="minMax"/>
          <c:max val="8.5"/>
          <c:min val="-4"/>
        </c:scaling>
        <c:delete val="1"/>
        <c:axPos val="b"/>
        <c:numFmt formatCode="0.000" sourceLinked="1"/>
        <c:majorTickMark val="out"/>
        <c:minorTickMark val="none"/>
        <c:tickLblPos val="nextTo"/>
        <c:crossAx val="50100002"/>
        <c:crosses val="autoZero"/>
        <c:crossBetween val="midCat"/>
      </c:valAx>
      <c:valAx>
        <c:axId val="50100002"/>
        <c:scaling>
          <c:orientation val="minMax"/>
          <c:max val="4.8"/>
          <c:min val="-3.5"/>
        </c:scaling>
        <c:delete val="1"/>
        <c:axPos val="l"/>
        <c:numFmt formatCode="0.000" sourceLinked="1"/>
        <c:majorTickMark val="out"/>
        <c:minorTickMark val="none"/>
        <c:tickLblPos val="nextTo"/>
        <c:crossAx val="50100001"/>
        <c:crosses val="autoZero"/>
        <c:crossBetween val="midCat"/>
      </c:valAx>
    </c:plotArea>
    <c:plotVisOnly val="1"/>
    <c:dispBlanksAs val="gap"/>
    <c:showDLblsOverMax val="0"/>
  </c:chart>
  <c:spPr>
    <a:ln>
      <a:solidFill>
        <a:srgbClr val="BFBFBF"/>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Velocidad crítica según la longitud</a:t>
            </a:r>
          </a:p>
        </c:rich>
      </c:tx>
      <c:overlay val="0"/>
    </c:title>
    <c:autoTitleDeleted val="0"/>
    <c:plotArea>
      <c:layout/>
      <c:scatterChart>
        <c:scatterStyle val="lineMarker"/>
        <c:varyColors val="0"/>
        <c:ser>
          <c:idx val="0"/>
          <c:order val="0"/>
          <c:tx>
            <c:v>n crítica</c:v>
          </c:tx>
          <c:spPr>
            <a:ln w="28575">
              <a:solidFill>
                <a:srgbClr val="C00000"/>
              </a:solidFill>
            </a:ln>
          </c:spPr>
          <c:marker>
            <c:symbol val="none"/>
          </c:marker>
          <c:xVal>
            <c:numRef>
              <c:f>'U2 Junta cardán'!$BI$3:$BI$19</c:f>
              <c:numCache>
                <c:formatCode>0.000</c:formatCode>
                <c:ptCount val="17"/>
                <c:pt idx="0">
                  <c:v>0.6</c:v>
                </c:pt>
                <c:pt idx="1">
                  <c:v>0.7</c:v>
                </c:pt>
                <c:pt idx="2">
                  <c:v>0.8</c:v>
                </c:pt>
                <c:pt idx="3">
                  <c:v>0.9</c:v>
                </c:pt>
                <c:pt idx="4">
                  <c:v>1</c:v>
                </c:pt>
                <c:pt idx="5">
                  <c:v>1.1000000000000001</c:v>
                </c:pt>
                <c:pt idx="6">
                  <c:v>1.2</c:v>
                </c:pt>
                <c:pt idx="7">
                  <c:v>1.3</c:v>
                </c:pt>
                <c:pt idx="8">
                  <c:v>1.4</c:v>
                </c:pt>
                <c:pt idx="9">
                  <c:v>1.5</c:v>
                </c:pt>
                <c:pt idx="10">
                  <c:v>1.6</c:v>
                </c:pt>
                <c:pt idx="11">
                  <c:v>1.7</c:v>
                </c:pt>
                <c:pt idx="12">
                  <c:v>1.8</c:v>
                </c:pt>
                <c:pt idx="13">
                  <c:v>1.9</c:v>
                </c:pt>
                <c:pt idx="14">
                  <c:v>2</c:v>
                </c:pt>
                <c:pt idx="15">
                  <c:v>2.1</c:v>
                </c:pt>
                <c:pt idx="16">
                  <c:v>2.2000000000000002</c:v>
                </c:pt>
              </c:numCache>
            </c:numRef>
          </c:xVal>
          <c:yVal>
            <c:numRef>
              <c:f>'U2 Junta cardán'!$BJ$3:$BJ$19</c:f>
              <c:numCache>
                <c:formatCode>0.000</c:formatCode>
                <c:ptCount val="17"/>
                <c:pt idx="0">
                  <c:v>34961.032006324931</c:v>
                </c:pt>
                <c:pt idx="1">
                  <c:v>25685.656167912191</c:v>
                </c:pt>
                <c:pt idx="2">
                  <c:v>19665.580503557772</c:v>
                </c:pt>
                <c:pt idx="3">
                  <c:v>15538.236447255525</c:v>
                </c:pt>
                <c:pt idx="4">
                  <c:v>12585.971522276974</c:v>
                </c:pt>
                <c:pt idx="5">
                  <c:v>10401.629357253696</c:v>
                </c:pt>
                <c:pt idx="6">
                  <c:v>8740.2580015812327</c:v>
                </c:pt>
                <c:pt idx="7">
                  <c:v>7447.3204273828233</c:v>
                </c:pt>
                <c:pt idx="8">
                  <c:v>6421.4140419780479</c:v>
                </c:pt>
                <c:pt idx="9">
                  <c:v>5593.7651210119875</c:v>
                </c:pt>
                <c:pt idx="10">
                  <c:v>4916.3951258894431</c:v>
                </c:pt>
                <c:pt idx="11">
                  <c:v>4355.0074471546623</c:v>
                </c:pt>
                <c:pt idx="12">
                  <c:v>3884.5591118138814</c:v>
                </c:pt>
                <c:pt idx="13">
                  <c:v>3486.418704231849</c:v>
                </c:pt>
                <c:pt idx="14">
                  <c:v>3146.4928805692434</c:v>
                </c:pt>
                <c:pt idx="15">
                  <c:v>2853.9617964346876</c:v>
                </c:pt>
                <c:pt idx="16">
                  <c:v>2600.407339313424</c:v>
                </c:pt>
              </c:numCache>
            </c:numRef>
          </c:yVal>
          <c:smooth val="1"/>
          <c:extLst>
            <c:ext xmlns:c16="http://schemas.microsoft.com/office/drawing/2014/chart" uri="{C3380CC4-5D6E-409C-BE32-E72D297353CC}">
              <c16:uniqueId val="{00000000-C5FA-4183-84BB-DAD4313421CA}"/>
            </c:ext>
          </c:extLst>
        </c:ser>
        <c:ser>
          <c:idx val="1"/>
          <c:order val="1"/>
          <c:tx>
            <c:v>n máx en servicio</c:v>
          </c:tx>
          <c:spPr>
            <a:ln w="19050">
              <a:solidFill>
                <a:srgbClr val="548235"/>
              </a:solidFill>
              <a:prstDash val="dash"/>
            </a:ln>
          </c:spPr>
          <c:marker>
            <c:symbol val="none"/>
          </c:marker>
          <c:xVal>
            <c:numRef>
              <c:f>'U2 Junta cardán'!$BI$3:$BI$19</c:f>
              <c:numCache>
                <c:formatCode>0.000</c:formatCode>
                <c:ptCount val="17"/>
                <c:pt idx="0">
                  <c:v>0.6</c:v>
                </c:pt>
                <c:pt idx="1">
                  <c:v>0.7</c:v>
                </c:pt>
                <c:pt idx="2">
                  <c:v>0.8</c:v>
                </c:pt>
                <c:pt idx="3">
                  <c:v>0.9</c:v>
                </c:pt>
                <c:pt idx="4">
                  <c:v>1</c:v>
                </c:pt>
                <c:pt idx="5">
                  <c:v>1.1000000000000001</c:v>
                </c:pt>
                <c:pt idx="6">
                  <c:v>1.2</c:v>
                </c:pt>
                <c:pt idx="7">
                  <c:v>1.3</c:v>
                </c:pt>
                <c:pt idx="8">
                  <c:v>1.4</c:v>
                </c:pt>
                <c:pt idx="9">
                  <c:v>1.5</c:v>
                </c:pt>
                <c:pt idx="10">
                  <c:v>1.6</c:v>
                </c:pt>
                <c:pt idx="11">
                  <c:v>1.7</c:v>
                </c:pt>
                <c:pt idx="12">
                  <c:v>1.8</c:v>
                </c:pt>
                <c:pt idx="13">
                  <c:v>1.9</c:v>
                </c:pt>
                <c:pt idx="14">
                  <c:v>2</c:v>
                </c:pt>
                <c:pt idx="15">
                  <c:v>2.1</c:v>
                </c:pt>
                <c:pt idx="16">
                  <c:v>2.2000000000000002</c:v>
                </c:pt>
              </c:numCache>
            </c:numRef>
          </c:xVal>
          <c:yVal>
            <c:numRef>
              <c:f>'U2 Junta cardán'!$BK$3:$BK$19</c:f>
              <c:numCache>
                <c:formatCode>0.000</c:formatCode>
                <c:ptCount val="17"/>
                <c:pt idx="0">
                  <c:v>5000</c:v>
                </c:pt>
                <c:pt idx="1">
                  <c:v>5000</c:v>
                </c:pt>
                <c:pt idx="2">
                  <c:v>5000</c:v>
                </c:pt>
                <c:pt idx="3">
                  <c:v>5000</c:v>
                </c:pt>
                <c:pt idx="4">
                  <c:v>5000</c:v>
                </c:pt>
                <c:pt idx="5">
                  <c:v>5000</c:v>
                </c:pt>
                <c:pt idx="6">
                  <c:v>5000</c:v>
                </c:pt>
                <c:pt idx="7">
                  <c:v>5000</c:v>
                </c:pt>
                <c:pt idx="8">
                  <c:v>5000</c:v>
                </c:pt>
                <c:pt idx="9">
                  <c:v>5000</c:v>
                </c:pt>
                <c:pt idx="10">
                  <c:v>5000</c:v>
                </c:pt>
                <c:pt idx="11">
                  <c:v>5000</c:v>
                </c:pt>
                <c:pt idx="12">
                  <c:v>5000</c:v>
                </c:pt>
                <c:pt idx="13">
                  <c:v>5000</c:v>
                </c:pt>
                <c:pt idx="14">
                  <c:v>5000</c:v>
                </c:pt>
                <c:pt idx="15">
                  <c:v>5000</c:v>
                </c:pt>
                <c:pt idx="16">
                  <c:v>5000</c:v>
                </c:pt>
              </c:numCache>
            </c:numRef>
          </c:yVal>
          <c:smooth val="0"/>
          <c:extLst>
            <c:ext xmlns:c16="http://schemas.microsoft.com/office/drawing/2014/chart" uri="{C3380CC4-5D6E-409C-BE32-E72D297353CC}">
              <c16:uniqueId val="{00000001-C5FA-4183-84BB-DAD4313421CA}"/>
            </c:ext>
          </c:extLst>
        </c:ser>
        <c:ser>
          <c:idx val="2"/>
          <c:order val="2"/>
          <c:tx>
            <c:v>Árbol actual</c:v>
          </c:tx>
          <c:spPr>
            <a:ln>
              <a:noFill/>
            </a:ln>
          </c:spPr>
          <c:marker>
            <c:symbol val="circle"/>
            <c:size val="9"/>
            <c:spPr>
              <a:solidFill>
                <a:srgbClr val="C00000"/>
              </a:solidFill>
              <a:ln>
                <a:solidFill>
                  <a:srgbClr val="000000"/>
                </a:solidFill>
              </a:ln>
            </c:spPr>
          </c:marker>
          <c:xVal>
            <c:numRef>
              <c:f>'U2 Junta cardán'!$BM$3:$BM$3</c:f>
              <c:numCache>
                <c:formatCode>0.000</c:formatCode>
                <c:ptCount val="1"/>
                <c:pt idx="0">
                  <c:v>1.4</c:v>
                </c:pt>
              </c:numCache>
            </c:numRef>
          </c:xVal>
          <c:yVal>
            <c:numRef>
              <c:f>'U2 Junta cardán'!$BN$3:$BN$3</c:f>
              <c:numCache>
                <c:formatCode>0.000</c:formatCode>
                <c:ptCount val="1"/>
                <c:pt idx="0">
                  <c:v>6421.4140419780479</c:v>
                </c:pt>
              </c:numCache>
            </c:numRef>
          </c:yVal>
          <c:smooth val="0"/>
          <c:extLst>
            <c:ext xmlns:c16="http://schemas.microsoft.com/office/drawing/2014/chart" uri="{C3380CC4-5D6E-409C-BE32-E72D297353CC}">
              <c16:uniqueId val="{00000002-C5FA-4183-84BB-DAD4313421CA}"/>
            </c:ext>
          </c:extLst>
        </c:ser>
        <c:dLbls>
          <c:showLegendKey val="0"/>
          <c:showVal val="0"/>
          <c:showCatName val="0"/>
          <c:showSerName val="0"/>
          <c:showPercent val="0"/>
          <c:showBubbleSize val="0"/>
        </c:dLbls>
        <c:axId val="50110001"/>
        <c:axId val="50110002"/>
      </c:scatterChart>
      <c:valAx>
        <c:axId val="50110001"/>
        <c:scaling>
          <c:orientation val="minMax"/>
          <c:max val="2.2000000000000002"/>
          <c:min val="0.6"/>
        </c:scaling>
        <c:delete val="0"/>
        <c:axPos val="b"/>
        <c:majorGridlines>
          <c:spPr>
            <a:ln>
              <a:solidFill>
                <a:srgbClr val="E0E0E0"/>
              </a:solidFill>
            </a:ln>
          </c:spPr>
        </c:majorGridlines>
        <c:title>
          <c:tx>
            <c:rich>
              <a:bodyPr/>
              <a:lstStyle/>
              <a:p>
                <a:pPr>
                  <a:defRPr sz="900" b="0" baseline="0"/>
                </a:pPr>
                <a:r>
                  <a:rPr lang="en-US" sz="900" b="0" baseline="0"/>
                  <a:t>Longitud entre apoyos L [m]</a:t>
                </a:r>
              </a:p>
            </c:rich>
          </c:tx>
          <c:overlay val="0"/>
        </c:title>
        <c:numFmt formatCode="0.000" sourceLinked="1"/>
        <c:majorTickMark val="out"/>
        <c:minorTickMark val="none"/>
        <c:tickLblPos val="nextTo"/>
        <c:txPr>
          <a:bodyPr/>
          <a:lstStyle/>
          <a:p>
            <a:pPr>
              <a:defRPr sz="800" baseline="0"/>
            </a:pPr>
            <a:endParaRPr lang="en-US"/>
          </a:p>
        </c:txPr>
        <c:crossAx val="50110002"/>
        <c:crosses val="autoZero"/>
        <c:crossBetween val="midCat"/>
        <c:majorUnit val="0.2"/>
      </c:valAx>
      <c:valAx>
        <c:axId val="50110002"/>
        <c:scaling>
          <c:orientation val="minMax"/>
        </c:scaling>
        <c:delete val="0"/>
        <c:axPos val="l"/>
        <c:majorGridlines>
          <c:spPr>
            <a:ln>
              <a:solidFill>
                <a:srgbClr val="E0E0E0"/>
              </a:solidFill>
            </a:ln>
          </c:spPr>
        </c:majorGridlines>
        <c:title>
          <c:tx>
            <c:rich>
              <a:bodyPr rot="-5400000" vert="horz"/>
              <a:lstStyle/>
              <a:p>
                <a:pPr>
                  <a:defRPr sz="900" b="0" baseline="0"/>
                </a:pPr>
                <a:r>
                  <a:rPr lang="en-US" sz="900" b="0" baseline="0"/>
                  <a:t>Régimen [min⁻¹]</a:t>
                </a:r>
              </a:p>
            </c:rich>
          </c:tx>
          <c:overlay val="0"/>
        </c:title>
        <c:numFmt formatCode="0.000" sourceLinked="1"/>
        <c:majorTickMark val="out"/>
        <c:minorTickMark val="none"/>
        <c:tickLblPos val="nextTo"/>
        <c:txPr>
          <a:bodyPr/>
          <a:lstStyle/>
          <a:p>
            <a:pPr>
              <a:defRPr sz="800" baseline="0"/>
            </a:pPr>
            <a:endParaRPr lang="en-US"/>
          </a:p>
        </c:txPr>
        <c:crossAx val="50110001"/>
        <c:crosses val="autoZero"/>
        <c:crossBetween val="midCat"/>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'U2 Diferencial'!$AU$1</c:f>
          <c:strCache>
            <c:ptCount val="1"/>
            <c:pt idx="0">
              <c:v>Curva a la izquierda, R = 10.5 m: interior 330 · exterior 377 min⁻¹</c:v>
            </c:pt>
          </c:strCache>
        </c:strRef>
      </c:tx>
      <c:overlay val="0"/>
      <c:txPr>
        <a:bodyPr/>
        <a:lstStyle/>
        <a:p>
          <a:pPr>
            <a:defRPr sz="1100" b="1" baseline="0">
              <a:solidFill>
                <a:srgbClr val="1F3864"/>
              </a:solidFill>
            </a:defRPr>
          </a:pPr>
          <a:endParaRPr lang="en-US"/>
        </a:p>
      </c:txPr>
    </c:title>
    <c:autoTitleDeleted val="0"/>
    <c:plotArea>
      <c:layout>
        <c:manualLayout>
          <c:layoutTarget val="inner"/>
          <c:xMode val="edge"/>
          <c:yMode val="edge"/>
          <c:x val="7.5000000000000011E-2"/>
          <c:y val="0.12"/>
          <c:w val="0.85"/>
          <c:h val="0.85"/>
        </c:manualLayout>
      </c:layout>
      <c:scatterChart>
        <c:scatterStyle val="lineMarker"/>
        <c:varyColors val="0"/>
        <c:ser>
          <c:idx val="0"/>
          <c:order val="0"/>
          <c:tx>
            <c:v>Rueda interior</c:v>
          </c:tx>
          <c:spPr>
            <a:ln w="28575">
              <a:solidFill>
                <a:srgbClr val="C55A11"/>
              </a:solidFill>
            </a:ln>
          </c:spPr>
          <c:marker>
            <c:symbol val="none"/>
          </c:marker>
          <c:xVal>
            <c:numRef>
              <c:f>'U2 Diferencial'!$AA$3:$AA$33</c:f>
              <c:numCache>
                <c:formatCode>0.000</c:formatCode>
                <c:ptCount val="31"/>
                <c:pt idx="0">
                  <c:v>-5.6035776959317642</c:v>
                </c:pt>
                <c:pt idx="1">
                  <c:v>-5.0231061479621015</c:v>
                </c:pt>
                <c:pt idx="2">
                  <c:v>-4.4693389515785622</c:v>
                </c:pt>
                <c:pt idx="3">
                  <c:v>-3.9449761762564037</c:v>
                </c:pt>
                <c:pt idx="4">
                  <c:v>-3.4525745207904492</c:v>
                </c:pt>
                <c:pt idx="5">
                  <c:v>-2.99453484729057</c:v>
                </c:pt>
                <c:pt idx="6">
                  <c:v>-2.573090475008879</c:v>
                </c:pt>
                <c:pt idx="7">
                  <c:v>-2.1902962910758301</c:v>
                </c:pt>
                <c:pt idx="8">
                  <c:v>-1.8480187312393177</c:v>
                </c:pt>
                <c:pt idx="9">
                  <c:v>-1.5479266794589073</c:v>
                </c:pt>
                <c:pt idx="10">
                  <c:v>-1.2914833307271358</c:v>
                </c:pt>
                <c:pt idx="11">
                  <c:v>-1.0799390567932914</c:v>
                </c:pt>
                <c:pt idx="12">
                  <c:v>-0.91432530957516001</c:v>
                </c:pt>
                <c:pt idx="13">
                  <c:v>-0.79544959198454812</c:v>
                </c:pt>
                <c:pt idx="14">
                  <c:v>-0.72389152068801366</c:v>
                </c:pt>
                <c:pt idx="15">
                  <c:v>-0.69999999999999929</c:v>
                </c:pt>
                <c:pt idx="16">
                  <c:v>-0.72389152068801366</c:v>
                </c:pt>
                <c:pt idx="17">
                  <c:v>-0.79544959198454812</c:v>
                </c:pt>
                <c:pt idx="18">
                  <c:v>-0.91432530957516001</c:v>
                </c:pt>
                <c:pt idx="19">
                  <c:v>-1.0799390567932914</c:v>
                </c:pt>
                <c:pt idx="20">
                  <c:v>-1.2914833307271358</c:v>
                </c:pt>
                <c:pt idx="21">
                  <c:v>-1.5479266794589055</c:v>
                </c:pt>
                <c:pt idx="22">
                  <c:v>-1.8480187312393177</c:v>
                </c:pt>
                <c:pt idx="23">
                  <c:v>-2.1902962910758301</c:v>
                </c:pt>
                <c:pt idx="24">
                  <c:v>-2.573090475008879</c:v>
                </c:pt>
                <c:pt idx="25">
                  <c:v>-2.9945348472905717</c:v>
                </c:pt>
                <c:pt idx="26">
                  <c:v>-3.4525745207904501</c:v>
                </c:pt>
                <c:pt idx="27">
                  <c:v>-3.9449761762564037</c:v>
                </c:pt>
                <c:pt idx="28">
                  <c:v>-4.4693389515785604</c:v>
                </c:pt>
                <c:pt idx="29">
                  <c:v>-5.0231061479621015</c:v>
                </c:pt>
                <c:pt idx="30">
                  <c:v>-5.6035776959317642</c:v>
                </c:pt>
              </c:numCache>
            </c:numRef>
          </c:xVal>
          <c:yVal>
            <c:numRef>
              <c:f>'U2 Diferencial'!$AB$3:$AB$33</c:f>
              <c:numCache>
                <c:formatCode>0.000</c:formatCode>
                <c:ptCount val="31"/>
                <c:pt idx="0">
                  <c:v>-8.4891135355950524</c:v>
                </c:pt>
                <c:pt idx="1">
                  <c:v>-8.1267234315872638</c:v>
                </c:pt>
                <c:pt idx="2">
                  <c:v>-7.7247088824791623</c:v>
                </c:pt>
                <c:pt idx="3">
                  <c:v>-7.2850300390701133</c:v>
                </c:pt>
                <c:pt idx="4">
                  <c:v>-6.8098306964995876</c:v>
                </c:pt>
                <c:pt idx="5">
                  <c:v>-6.3014278414867562</c:v>
                </c:pt>
                <c:pt idx="6">
                  <c:v>-5.7623003551190441</c:v>
                </c:pt>
                <c:pt idx="7">
                  <c:v>-5.1950769262727876</c:v>
                </c:pt>
                <c:pt idx="8">
                  <c:v>-4.6025232345979843</c:v>
                </c:pt>
                <c:pt idx="9">
                  <c:v>-3.9875284655606396</c:v>
                </c:pt>
                <c:pt idx="10">
                  <c:v>-3.3530912232928887</c:v>
                </c:pt>
                <c:pt idx="11">
                  <c:v>-2.7023049099373613</c:v>
                </c:pt>
                <c:pt idx="12">
                  <c:v>-2.0383426427734492</c:v>
                </c:pt>
                <c:pt idx="13">
                  <c:v>-1.3644417826668658</c:v>
                </c:pt>
                <c:pt idx="14">
                  <c:v>-0.68388814927902464</c:v>
                </c:pt>
                <c:pt idx="15">
                  <c:v>0</c:v>
                </c:pt>
                <c:pt idx="16">
                  <c:v>0.68388814927902464</c:v>
                </c:pt>
                <c:pt idx="17">
                  <c:v>1.3644417826668671</c:v>
                </c:pt>
                <c:pt idx="18">
                  <c:v>2.0383426427734492</c:v>
                </c:pt>
                <c:pt idx="19">
                  <c:v>2.7023049099373613</c:v>
                </c:pt>
                <c:pt idx="20">
                  <c:v>3.3530912232928873</c:v>
                </c:pt>
                <c:pt idx="21">
                  <c:v>3.9875284655606378</c:v>
                </c:pt>
                <c:pt idx="22">
                  <c:v>4.6025232345979861</c:v>
                </c:pt>
                <c:pt idx="23">
                  <c:v>5.1950769262727876</c:v>
                </c:pt>
                <c:pt idx="24">
                  <c:v>5.7623003551190441</c:v>
                </c:pt>
                <c:pt idx="25">
                  <c:v>6.3014278414867571</c:v>
                </c:pt>
                <c:pt idx="26">
                  <c:v>6.8098306964995885</c:v>
                </c:pt>
                <c:pt idx="27">
                  <c:v>7.2850300390701133</c:v>
                </c:pt>
                <c:pt idx="28">
                  <c:v>7.7247088824791614</c:v>
                </c:pt>
                <c:pt idx="29">
                  <c:v>8.1267234315872638</c:v>
                </c:pt>
                <c:pt idx="30">
                  <c:v>8.4891135355950524</c:v>
                </c:pt>
              </c:numCache>
            </c:numRef>
          </c:yVal>
          <c:smooth val="0"/>
          <c:extLst>
            <c:ext xmlns:c16="http://schemas.microsoft.com/office/drawing/2014/chart" uri="{C3380CC4-5D6E-409C-BE32-E72D297353CC}">
              <c16:uniqueId val="{00000000-8437-414F-824B-8DF409F4127F}"/>
            </c:ext>
          </c:extLst>
        </c:ser>
        <c:ser>
          <c:idx val="1"/>
          <c:order val="1"/>
          <c:tx>
            <c:v>Rueda exterior</c:v>
          </c:tx>
          <c:spPr>
            <a:ln w="28575">
              <a:solidFill>
                <a:srgbClr val="2E75B6"/>
              </a:solidFill>
            </a:ln>
          </c:spPr>
          <c:marker>
            <c:symbol val="none"/>
          </c:marker>
          <c:xVal>
            <c:numRef>
              <c:f>'U2 Diferencial'!$AC$3:$AC$33</c:f>
              <c:numCache>
                <c:formatCode>0.000</c:formatCode>
                <c:ptCount val="31"/>
                <c:pt idx="0">
                  <c:v>-4.9040887953505887</c:v>
                </c:pt>
                <c:pt idx="1">
                  <c:v>-4.2406927405281172</c:v>
                </c:pt>
                <c:pt idx="2">
                  <c:v>-3.6078159446612155</c:v>
                </c:pt>
                <c:pt idx="3">
                  <c:v>-3.0085442014358916</c:v>
                </c:pt>
                <c:pt idx="4">
                  <c:v>-2.4457994523319435</c:v>
                </c:pt>
                <c:pt idx="5">
                  <c:v>-1.9223255397606529</c:v>
                </c:pt>
                <c:pt idx="6">
                  <c:v>-1.440674828581578</c:v>
                </c:pt>
                <c:pt idx="7">
                  <c:v>-1.0031957612295219</c:v>
                </c:pt>
                <c:pt idx="8">
                  <c:v>-0.61202140713064956</c:v>
                </c:pt>
                <c:pt idx="9">
                  <c:v>-0.2690590622387532</c:v>
                </c:pt>
                <c:pt idx="10">
                  <c:v>2.4019050597559044E-2</c:v>
                </c:pt>
                <c:pt idx="11">
                  <c:v>0.2657839350933795</c:v>
                </c:pt>
                <c:pt idx="12">
                  <c:v>0.45505678905695923</c:v>
                </c:pt>
                <c:pt idx="13">
                  <c:v>0.59091475201765853</c:v>
                </c:pt>
                <c:pt idx="14">
                  <c:v>0.67269540492798363</c:v>
                </c:pt>
                <c:pt idx="15">
                  <c:v>0.69999999999999929</c:v>
                </c:pt>
                <c:pt idx="16">
                  <c:v>0.67269540492798363</c:v>
                </c:pt>
                <c:pt idx="17">
                  <c:v>0.59091475201765853</c:v>
                </c:pt>
                <c:pt idx="18">
                  <c:v>0.45505678905695923</c:v>
                </c:pt>
                <c:pt idx="19">
                  <c:v>0.2657839350933795</c:v>
                </c:pt>
                <c:pt idx="20">
                  <c:v>2.4019050597559044E-2</c:v>
                </c:pt>
                <c:pt idx="21">
                  <c:v>-0.26905906223875142</c:v>
                </c:pt>
                <c:pt idx="22">
                  <c:v>-0.61202140713064956</c:v>
                </c:pt>
                <c:pt idx="23">
                  <c:v>-1.0031957612295219</c:v>
                </c:pt>
                <c:pt idx="24">
                  <c:v>-1.440674828581578</c:v>
                </c:pt>
                <c:pt idx="25">
                  <c:v>-1.9223255397606547</c:v>
                </c:pt>
                <c:pt idx="26">
                  <c:v>-2.4457994523319435</c:v>
                </c:pt>
                <c:pt idx="27">
                  <c:v>-3.0085442014358916</c:v>
                </c:pt>
                <c:pt idx="28">
                  <c:v>-3.6078159446612128</c:v>
                </c:pt>
                <c:pt idx="29">
                  <c:v>-4.2406927405281172</c:v>
                </c:pt>
                <c:pt idx="30">
                  <c:v>-4.9040887953505887</c:v>
                </c:pt>
              </c:numCache>
            </c:numRef>
          </c:xVal>
          <c:yVal>
            <c:numRef>
              <c:f>'U2 Diferencial'!$AD$3:$AD$33</c:f>
              <c:numCache>
                <c:formatCode>0.000</c:formatCode>
                <c:ptCount val="31"/>
                <c:pt idx="0">
                  <c:v>-9.7018440406800579</c:v>
                </c:pt>
                <c:pt idx="1">
                  <c:v>-9.2876839218140148</c:v>
                </c:pt>
                <c:pt idx="2">
                  <c:v>-8.8282387228333263</c:v>
                </c:pt>
                <c:pt idx="3">
                  <c:v>-8.3257486160801282</c:v>
                </c:pt>
                <c:pt idx="4">
                  <c:v>-7.782663653142385</c:v>
                </c:pt>
                <c:pt idx="5">
                  <c:v>-7.2016318188420057</c:v>
                </c:pt>
                <c:pt idx="6">
                  <c:v>-6.5854861201360491</c:v>
                </c:pt>
                <c:pt idx="7">
                  <c:v>-5.9372307728831846</c:v>
                </c:pt>
                <c:pt idx="8">
                  <c:v>-5.2600265538262674</c:v>
                </c:pt>
                <c:pt idx="9">
                  <c:v>-4.5571753892121585</c:v>
                </c:pt>
                <c:pt idx="10">
                  <c:v>-3.8321042551918723</c:v>
                </c:pt>
                <c:pt idx="11">
                  <c:v>-3.088348468499841</c:v>
                </c:pt>
                <c:pt idx="12">
                  <c:v>-2.3295344488839418</c:v>
                </c:pt>
                <c:pt idx="13">
                  <c:v>-1.5593620373335606</c:v>
                </c:pt>
                <c:pt idx="14">
                  <c:v>-0.78158645631888524</c:v>
                </c:pt>
                <c:pt idx="15">
                  <c:v>0</c:v>
                </c:pt>
                <c:pt idx="16">
                  <c:v>0.78158645631888524</c:v>
                </c:pt>
                <c:pt idx="17">
                  <c:v>1.5593620373335622</c:v>
                </c:pt>
                <c:pt idx="18">
                  <c:v>2.3295344488839418</c:v>
                </c:pt>
                <c:pt idx="19">
                  <c:v>3.088348468499841</c:v>
                </c:pt>
                <c:pt idx="20">
                  <c:v>3.8321042551918709</c:v>
                </c:pt>
                <c:pt idx="21">
                  <c:v>4.5571753892121567</c:v>
                </c:pt>
                <c:pt idx="22">
                  <c:v>5.2600265538262683</c:v>
                </c:pt>
                <c:pt idx="23">
                  <c:v>5.9372307728831846</c:v>
                </c:pt>
                <c:pt idx="24">
                  <c:v>6.5854861201360491</c:v>
                </c:pt>
                <c:pt idx="25">
                  <c:v>7.2016318188420074</c:v>
                </c:pt>
                <c:pt idx="26">
                  <c:v>7.7826636531423858</c:v>
                </c:pt>
                <c:pt idx="27">
                  <c:v>8.3257486160801282</c:v>
                </c:pt>
                <c:pt idx="28">
                  <c:v>8.8282387228333263</c:v>
                </c:pt>
                <c:pt idx="29">
                  <c:v>9.2876839218140148</c:v>
                </c:pt>
                <c:pt idx="30">
                  <c:v>9.7018440406800579</c:v>
                </c:pt>
              </c:numCache>
            </c:numRef>
          </c:yVal>
          <c:smooth val="0"/>
          <c:extLst>
            <c:ext xmlns:c16="http://schemas.microsoft.com/office/drawing/2014/chart" uri="{C3380CC4-5D6E-409C-BE32-E72D297353CC}">
              <c16:uniqueId val="{00000001-8437-414F-824B-8DF409F4127F}"/>
            </c:ext>
          </c:extLst>
        </c:ser>
        <c:ser>
          <c:idx val="2"/>
          <c:order val="2"/>
          <c:tx>
            <c:v>Centro</c:v>
          </c:tx>
          <c:spPr>
            <a:ln w="12700">
              <a:solidFill>
                <a:srgbClr val="7F7F7F"/>
              </a:solidFill>
              <a:prstDash val="dash"/>
            </a:ln>
          </c:spPr>
          <c:marker>
            <c:symbol val="none"/>
          </c:marker>
          <c:xVal>
            <c:numRef>
              <c:f>'U2 Diferencial'!$AE$3:$AE$33</c:f>
              <c:numCache>
                <c:formatCode>0.000</c:formatCode>
                <c:ptCount val="31"/>
                <c:pt idx="0">
                  <c:v>-5.2538332456411769</c:v>
                </c:pt>
                <c:pt idx="1">
                  <c:v>-4.6318994442451089</c:v>
                </c:pt>
                <c:pt idx="2">
                  <c:v>-4.0385774481198888</c:v>
                </c:pt>
                <c:pt idx="3">
                  <c:v>-3.4767601888461481</c:v>
                </c:pt>
                <c:pt idx="4">
                  <c:v>-2.9491869865611964</c:v>
                </c:pt>
                <c:pt idx="5">
                  <c:v>-2.4584301935256114</c:v>
                </c:pt>
                <c:pt idx="6">
                  <c:v>-2.0068826517952285</c:v>
                </c:pt>
                <c:pt idx="7">
                  <c:v>-1.596746026152676</c:v>
                </c:pt>
                <c:pt idx="8">
                  <c:v>-1.2300200691849827</c:v>
                </c:pt>
                <c:pt idx="9">
                  <c:v>-0.90849287084883024</c:v>
                </c:pt>
                <c:pt idx="10">
                  <c:v>-0.6337321400647884</c:v>
                </c:pt>
                <c:pt idx="11">
                  <c:v>-0.40707756084995594</c:v>
                </c:pt>
                <c:pt idx="12">
                  <c:v>-0.22963426025910039</c:v>
                </c:pt>
                <c:pt idx="13">
                  <c:v>-0.1022674199834448</c:v>
                </c:pt>
                <c:pt idx="14">
                  <c:v>-2.5598057880015901E-2</c:v>
                </c:pt>
                <c:pt idx="15">
                  <c:v>0</c:v>
                </c:pt>
                <c:pt idx="16">
                  <c:v>-2.5598057880015901E-2</c:v>
                </c:pt>
                <c:pt idx="17">
                  <c:v>-0.1022674199834448</c:v>
                </c:pt>
                <c:pt idx="18">
                  <c:v>-0.22963426025910039</c:v>
                </c:pt>
                <c:pt idx="19">
                  <c:v>-0.40707756084995594</c:v>
                </c:pt>
                <c:pt idx="20">
                  <c:v>-0.6337321400647884</c:v>
                </c:pt>
                <c:pt idx="21">
                  <c:v>-0.90849287084882846</c:v>
                </c:pt>
                <c:pt idx="22">
                  <c:v>-1.2300200691849827</c:v>
                </c:pt>
                <c:pt idx="23">
                  <c:v>-1.596746026152676</c:v>
                </c:pt>
                <c:pt idx="24">
                  <c:v>-2.0068826517952285</c:v>
                </c:pt>
                <c:pt idx="25">
                  <c:v>-2.4584301935256132</c:v>
                </c:pt>
                <c:pt idx="26">
                  <c:v>-2.9491869865611973</c:v>
                </c:pt>
                <c:pt idx="27">
                  <c:v>-3.4767601888461481</c:v>
                </c:pt>
                <c:pt idx="28">
                  <c:v>-4.0385774481198871</c:v>
                </c:pt>
                <c:pt idx="29">
                  <c:v>-4.6318994442451089</c:v>
                </c:pt>
                <c:pt idx="30">
                  <c:v>-5.2538332456411769</c:v>
                </c:pt>
              </c:numCache>
            </c:numRef>
          </c:xVal>
          <c:yVal>
            <c:numRef>
              <c:f>'U2 Diferencial'!$AF$3:$AF$33</c:f>
              <c:numCache>
                <c:formatCode>0.000</c:formatCode>
                <c:ptCount val="31"/>
                <c:pt idx="0">
                  <c:v>-9.0954787881375552</c:v>
                </c:pt>
                <c:pt idx="1">
                  <c:v>-8.7072036767006402</c:v>
                </c:pt>
                <c:pt idx="2">
                  <c:v>-8.2764738026562448</c:v>
                </c:pt>
                <c:pt idx="3">
                  <c:v>-7.8053893275751207</c:v>
                </c:pt>
                <c:pt idx="4">
                  <c:v>-7.2962471748209863</c:v>
                </c:pt>
                <c:pt idx="5">
                  <c:v>-6.7515298301643814</c:v>
                </c:pt>
                <c:pt idx="6">
                  <c:v>-6.1738932376275466</c:v>
                </c:pt>
                <c:pt idx="7">
                  <c:v>-5.5661538495779856</c:v>
                </c:pt>
                <c:pt idx="8">
                  <c:v>-4.9312748942121258</c:v>
                </c:pt>
                <c:pt idx="9">
                  <c:v>-4.2723519273863992</c:v>
                </c:pt>
                <c:pt idx="10">
                  <c:v>-3.5925977392423802</c:v>
                </c:pt>
                <c:pt idx="11">
                  <c:v>-2.8953266892186011</c:v>
                </c:pt>
                <c:pt idx="12">
                  <c:v>-2.1839385458286955</c:v>
                </c:pt>
                <c:pt idx="13">
                  <c:v>-1.4619019100002131</c:v>
                </c:pt>
                <c:pt idx="14">
                  <c:v>-0.73273730279895499</c:v>
                </c:pt>
                <c:pt idx="15">
                  <c:v>0</c:v>
                </c:pt>
                <c:pt idx="16">
                  <c:v>0.73273730279895499</c:v>
                </c:pt>
                <c:pt idx="17">
                  <c:v>1.4619019100002146</c:v>
                </c:pt>
                <c:pt idx="18">
                  <c:v>2.1839385458286955</c:v>
                </c:pt>
                <c:pt idx="19">
                  <c:v>2.8953266892186011</c:v>
                </c:pt>
                <c:pt idx="20">
                  <c:v>3.5925977392423794</c:v>
                </c:pt>
                <c:pt idx="21">
                  <c:v>4.2723519273863975</c:v>
                </c:pt>
                <c:pt idx="22">
                  <c:v>4.9312748942121267</c:v>
                </c:pt>
                <c:pt idx="23">
                  <c:v>5.5661538495779856</c:v>
                </c:pt>
                <c:pt idx="24">
                  <c:v>6.1738932376275466</c:v>
                </c:pt>
                <c:pt idx="25">
                  <c:v>6.7515298301643822</c:v>
                </c:pt>
                <c:pt idx="26">
                  <c:v>7.2962471748209872</c:v>
                </c:pt>
                <c:pt idx="27">
                  <c:v>7.8053893275751207</c:v>
                </c:pt>
                <c:pt idx="28">
                  <c:v>8.276473802656243</c:v>
                </c:pt>
                <c:pt idx="29">
                  <c:v>8.7072036767006402</c:v>
                </c:pt>
                <c:pt idx="30">
                  <c:v>9.0954787881375552</c:v>
                </c:pt>
              </c:numCache>
            </c:numRef>
          </c:yVal>
          <c:smooth val="0"/>
          <c:extLst>
            <c:ext xmlns:c16="http://schemas.microsoft.com/office/drawing/2014/chart" uri="{C3380CC4-5D6E-409C-BE32-E72D297353CC}">
              <c16:uniqueId val="{00000002-8437-414F-824B-8DF409F4127F}"/>
            </c:ext>
          </c:extLst>
        </c:ser>
        <c:ser>
          <c:idx val="3"/>
          <c:order val="3"/>
          <c:tx>
            <c:v>Carrocería</c:v>
          </c:tx>
          <c:spPr>
            <a:ln w="25400">
              <a:solidFill>
                <a:srgbClr val="404040"/>
              </a:solidFill>
            </a:ln>
          </c:spPr>
          <c:marker>
            <c:symbol val="none"/>
          </c:marker>
          <c:xVal>
            <c:numRef>
              <c:f>'U2 Diferencial'!$AG$3:$AG$7</c:f>
              <c:numCache>
                <c:formatCode>0.000</c:formatCode>
                <c:ptCount val="5"/>
                <c:pt idx="0">
                  <c:v>-0.85</c:v>
                </c:pt>
                <c:pt idx="1">
                  <c:v>0.85</c:v>
                </c:pt>
                <c:pt idx="2">
                  <c:v>0.85</c:v>
                </c:pt>
                <c:pt idx="3">
                  <c:v>-0.85</c:v>
                </c:pt>
                <c:pt idx="4">
                  <c:v>-0.85</c:v>
                </c:pt>
              </c:numCache>
            </c:numRef>
          </c:xVal>
          <c:yVal>
            <c:numRef>
              <c:f>'U2 Diferencial'!$AH$3:$AH$7</c:f>
              <c:numCache>
                <c:formatCode>0.000</c:formatCode>
                <c:ptCount val="5"/>
                <c:pt idx="0">
                  <c:v>-1</c:v>
                </c:pt>
                <c:pt idx="1">
                  <c:v>-1</c:v>
                </c:pt>
                <c:pt idx="2">
                  <c:v>3.4</c:v>
                </c:pt>
                <c:pt idx="3">
                  <c:v>3.4</c:v>
                </c:pt>
                <c:pt idx="4">
                  <c:v>-1</c:v>
                </c:pt>
              </c:numCache>
            </c:numRef>
          </c:yVal>
          <c:smooth val="0"/>
          <c:extLst>
            <c:ext xmlns:c16="http://schemas.microsoft.com/office/drawing/2014/chart" uri="{C3380CC4-5D6E-409C-BE32-E72D297353CC}">
              <c16:uniqueId val="{00000003-8437-414F-824B-8DF409F4127F}"/>
            </c:ext>
          </c:extLst>
        </c:ser>
        <c:ser>
          <c:idx val="4"/>
          <c:order val="4"/>
          <c:tx>
            <c:v>Rueda 0</c:v>
          </c:tx>
          <c:spPr>
            <a:ln w="38100">
              <a:solidFill>
                <a:srgbClr val="000000"/>
              </a:solidFill>
            </a:ln>
          </c:spPr>
          <c:marker>
            <c:symbol val="none"/>
          </c:marker>
          <c:xVal>
            <c:numRef>
              <c:f>'U2 Diferencial'!$AI$3:$AI$7</c:f>
              <c:numCache>
                <c:formatCode>0.000</c:formatCode>
                <c:ptCount val="5"/>
                <c:pt idx="0">
                  <c:v>-0.83</c:v>
                </c:pt>
                <c:pt idx="1">
                  <c:v>-0.56999999999999995</c:v>
                </c:pt>
                <c:pt idx="2">
                  <c:v>-0.56999999999999995</c:v>
                </c:pt>
                <c:pt idx="3">
                  <c:v>-0.83</c:v>
                </c:pt>
                <c:pt idx="4">
                  <c:v>-0.83</c:v>
                </c:pt>
              </c:numCache>
            </c:numRef>
          </c:xVal>
          <c:yVal>
            <c:numRef>
              <c:f>'U2 Diferencial'!$AJ$3:$AJ$7</c:f>
              <c:numCache>
                <c:formatCode>0.000</c:formatCode>
                <c:ptCount val="5"/>
                <c:pt idx="0">
                  <c:v>-0.35</c:v>
                </c:pt>
                <c:pt idx="1">
                  <c:v>-0.35</c:v>
                </c:pt>
                <c:pt idx="2">
                  <c:v>0.35</c:v>
                </c:pt>
                <c:pt idx="3">
                  <c:v>0.35</c:v>
                </c:pt>
                <c:pt idx="4">
                  <c:v>-0.35</c:v>
                </c:pt>
              </c:numCache>
            </c:numRef>
          </c:yVal>
          <c:smooth val="0"/>
          <c:extLst>
            <c:ext xmlns:c16="http://schemas.microsoft.com/office/drawing/2014/chart" uri="{C3380CC4-5D6E-409C-BE32-E72D297353CC}">
              <c16:uniqueId val="{00000004-8437-414F-824B-8DF409F4127F}"/>
            </c:ext>
          </c:extLst>
        </c:ser>
        <c:ser>
          <c:idx val="5"/>
          <c:order val="5"/>
          <c:tx>
            <c:v>Rueda 1</c:v>
          </c:tx>
          <c:spPr>
            <a:ln w="38100">
              <a:solidFill>
                <a:srgbClr val="000000"/>
              </a:solidFill>
            </a:ln>
          </c:spPr>
          <c:marker>
            <c:symbol val="none"/>
          </c:marker>
          <c:xVal>
            <c:numRef>
              <c:f>'U2 Diferencial'!$AK$3:$AK$7</c:f>
              <c:numCache>
                <c:formatCode>0.000</c:formatCode>
                <c:ptCount val="5"/>
                <c:pt idx="0">
                  <c:v>0.56999999999999995</c:v>
                </c:pt>
                <c:pt idx="1">
                  <c:v>0.83</c:v>
                </c:pt>
                <c:pt idx="2">
                  <c:v>0.83</c:v>
                </c:pt>
                <c:pt idx="3">
                  <c:v>0.56999999999999995</c:v>
                </c:pt>
                <c:pt idx="4">
                  <c:v>0.56999999999999995</c:v>
                </c:pt>
              </c:numCache>
            </c:numRef>
          </c:xVal>
          <c:yVal>
            <c:numRef>
              <c:f>'U2 Diferencial'!$AL$3:$AL$7</c:f>
              <c:numCache>
                <c:formatCode>0.000</c:formatCode>
                <c:ptCount val="5"/>
                <c:pt idx="0">
                  <c:v>-0.35</c:v>
                </c:pt>
                <c:pt idx="1">
                  <c:v>-0.35</c:v>
                </c:pt>
                <c:pt idx="2">
                  <c:v>0.35</c:v>
                </c:pt>
                <c:pt idx="3">
                  <c:v>0.35</c:v>
                </c:pt>
                <c:pt idx="4">
                  <c:v>-0.35</c:v>
                </c:pt>
              </c:numCache>
            </c:numRef>
          </c:yVal>
          <c:smooth val="0"/>
          <c:extLst>
            <c:ext xmlns:c16="http://schemas.microsoft.com/office/drawing/2014/chart" uri="{C3380CC4-5D6E-409C-BE32-E72D297353CC}">
              <c16:uniqueId val="{00000005-8437-414F-824B-8DF409F4127F}"/>
            </c:ext>
          </c:extLst>
        </c:ser>
        <c:ser>
          <c:idx val="6"/>
          <c:order val="6"/>
          <c:tx>
            <c:v>Rueda 2</c:v>
          </c:tx>
          <c:spPr>
            <a:ln w="38100">
              <a:solidFill>
                <a:srgbClr val="000000"/>
              </a:solidFill>
            </a:ln>
          </c:spPr>
          <c:marker>
            <c:symbol val="none"/>
          </c:marker>
          <c:xVal>
            <c:numRef>
              <c:f>'U2 Diferencial'!$AM$3:$AM$7</c:f>
              <c:numCache>
                <c:formatCode>0.000</c:formatCode>
                <c:ptCount val="5"/>
                <c:pt idx="0">
                  <c:v>-0.83</c:v>
                </c:pt>
                <c:pt idx="1">
                  <c:v>-0.56999999999999995</c:v>
                </c:pt>
                <c:pt idx="2">
                  <c:v>-0.56999999999999995</c:v>
                </c:pt>
                <c:pt idx="3">
                  <c:v>-0.83</c:v>
                </c:pt>
                <c:pt idx="4">
                  <c:v>-0.83</c:v>
                </c:pt>
              </c:numCache>
            </c:numRef>
          </c:xVal>
          <c:yVal>
            <c:numRef>
              <c:f>'U2 Diferencial'!$AN$3:$AN$7</c:f>
              <c:numCache>
                <c:formatCode>0.000</c:formatCode>
                <c:ptCount val="5"/>
                <c:pt idx="0">
                  <c:v>2.25</c:v>
                </c:pt>
                <c:pt idx="1">
                  <c:v>2.25</c:v>
                </c:pt>
                <c:pt idx="2">
                  <c:v>2.95</c:v>
                </c:pt>
                <c:pt idx="3">
                  <c:v>2.95</c:v>
                </c:pt>
                <c:pt idx="4">
                  <c:v>2.25</c:v>
                </c:pt>
              </c:numCache>
            </c:numRef>
          </c:yVal>
          <c:smooth val="0"/>
          <c:extLst>
            <c:ext xmlns:c16="http://schemas.microsoft.com/office/drawing/2014/chart" uri="{C3380CC4-5D6E-409C-BE32-E72D297353CC}">
              <c16:uniqueId val="{00000006-8437-414F-824B-8DF409F4127F}"/>
            </c:ext>
          </c:extLst>
        </c:ser>
        <c:ser>
          <c:idx val="7"/>
          <c:order val="7"/>
          <c:tx>
            <c:v>Rueda 3</c:v>
          </c:tx>
          <c:spPr>
            <a:ln w="38100">
              <a:solidFill>
                <a:srgbClr val="000000"/>
              </a:solidFill>
            </a:ln>
          </c:spPr>
          <c:marker>
            <c:symbol val="none"/>
          </c:marker>
          <c:xVal>
            <c:numRef>
              <c:f>'U2 Diferencial'!$AO$3:$AO$7</c:f>
              <c:numCache>
                <c:formatCode>0.000</c:formatCode>
                <c:ptCount val="5"/>
                <c:pt idx="0">
                  <c:v>0.56999999999999995</c:v>
                </c:pt>
                <c:pt idx="1">
                  <c:v>0.83</c:v>
                </c:pt>
                <c:pt idx="2">
                  <c:v>0.83</c:v>
                </c:pt>
                <c:pt idx="3">
                  <c:v>0.56999999999999995</c:v>
                </c:pt>
                <c:pt idx="4">
                  <c:v>0.56999999999999995</c:v>
                </c:pt>
              </c:numCache>
            </c:numRef>
          </c:xVal>
          <c:yVal>
            <c:numRef>
              <c:f>'U2 Diferencial'!$AP$3:$AP$7</c:f>
              <c:numCache>
                <c:formatCode>0.000</c:formatCode>
                <c:ptCount val="5"/>
                <c:pt idx="0">
                  <c:v>2.25</c:v>
                </c:pt>
                <c:pt idx="1">
                  <c:v>2.25</c:v>
                </c:pt>
                <c:pt idx="2">
                  <c:v>2.95</c:v>
                </c:pt>
                <c:pt idx="3">
                  <c:v>2.95</c:v>
                </c:pt>
                <c:pt idx="4">
                  <c:v>2.25</c:v>
                </c:pt>
              </c:numCache>
            </c:numRef>
          </c:yVal>
          <c:smooth val="0"/>
          <c:extLst>
            <c:ext xmlns:c16="http://schemas.microsoft.com/office/drawing/2014/chart" uri="{C3380CC4-5D6E-409C-BE32-E72D297353CC}">
              <c16:uniqueId val="{00000007-8437-414F-824B-8DF409F4127F}"/>
            </c:ext>
          </c:extLst>
        </c:ser>
        <c:ser>
          <c:idx val="8"/>
          <c:order val="8"/>
          <c:tx>
            <c:v>Eje</c:v>
          </c:tx>
          <c:spPr>
            <a:ln w="25400">
              <a:solidFill>
                <a:srgbClr val="7F7F7F"/>
              </a:solidFill>
            </a:ln>
          </c:spPr>
          <c:marker>
            <c:symbol val="none"/>
          </c:marker>
          <c:xVal>
            <c:numRef>
              <c:f>'U2 Diferencial'!$AQ$3:$AQ$4</c:f>
              <c:numCache>
                <c:formatCode>0.000</c:formatCode>
                <c:ptCount val="2"/>
                <c:pt idx="0">
                  <c:v>-0.7</c:v>
                </c:pt>
                <c:pt idx="1">
                  <c:v>0.7</c:v>
                </c:pt>
              </c:numCache>
            </c:numRef>
          </c:xVal>
          <c:yVal>
            <c:numRef>
              <c:f>'U2 Diferencial'!$AR$3:$AR$4</c:f>
              <c:numCache>
                <c:formatCode>0.000</c:formatCode>
                <c:ptCount val="2"/>
                <c:pt idx="0">
                  <c:v>0</c:v>
                </c:pt>
                <c:pt idx="1">
                  <c:v>0</c:v>
                </c:pt>
              </c:numCache>
            </c:numRef>
          </c:yVal>
          <c:smooth val="0"/>
          <c:extLst>
            <c:ext xmlns:c16="http://schemas.microsoft.com/office/drawing/2014/chart" uri="{C3380CC4-5D6E-409C-BE32-E72D297353CC}">
              <c16:uniqueId val="{00000008-8437-414F-824B-8DF409F4127F}"/>
            </c:ext>
          </c:extLst>
        </c:ser>
        <c:ser>
          <c:idx val="9"/>
          <c:order val="9"/>
          <c:tx>
            <c:v>Centro de la curva</c:v>
          </c:tx>
          <c:spPr>
            <a:ln>
              <a:noFill/>
            </a:ln>
          </c:spPr>
          <c:marker>
            <c:symbol val="x"/>
            <c:size val="10"/>
            <c:spPr>
              <a:solidFill>
                <a:srgbClr val="C00000"/>
              </a:solidFill>
              <a:ln>
                <a:solidFill>
                  <a:srgbClr val="000000"/>
                </a:solidFill>
              </a:ln>
            </c:spPr>
          </c:marker>
          <c:xVal>
            <c:numRef>
              <c:f>'U2 Diferencial'!$AS$3:$AS$3</c:f>
              <c:numCache>
                <c:formatCode>0.000</c:formatCode>
                <c:ptCount val="1"/>
                <c:pt idx="0">
                  <c:v>-10.5</c:v>
                </c:pt>
              </c:numCache>
            </c:numRef>
          </c:xVal>
          <c:yVal>
            <c:numRef>
              <c:f>'U2 Diferencial'!$AT$3:$AT$3</c:f>
              <c:numCache>
                <c:formatCode>0.000</c:formatCode>
                <c:ptCount val="1"/>
                <c:pt idx="0">
                  <c:v>0</c:v>
                </c:pt>
              </c:numCache>
            </c:numRef>
          </c:yVal>
          <c:smooth val="0"/>
          <c:extLst>
            <c:ext xmlns:c16="http://schemas.microsoft.com/office/drawing/2014/chart" uri="{C3380CC4-5D6E-409C-BE32-E72D297353CC}">
              <c16:uniqueId val="{00000009-8437-414F-824B-8DF409F4127F}"/>
            </c:ext>
          </c:extLst>
        </c:ser>
        <c:dLbls>
          <c:showLegendKey val="0"/>
          <c:showVal val="0"/>
          <c:showCatName val="0"/>
          <c:showSerName val="0"/>
          <c:showPercent val="0"/>
          <c:showBubbleSize val="0"/>
        </c:dLbls>
        <c:axId val="50120001"/>
        <c:axId val="50120002"/>
      </c:scatterChart>
      <c:valAx>
        <c:axId val="50120001"/>
        <c:scaling>
          <c:orientation val="minMax"/>
          <c:max val="9"/>
          <c:min val="-9"/>
        </c:scaling>
        <c:delete val="1"/>
        <c:axPos val="b"/>
        <c:numFmt formatCode="0.000" sourceLinked="1"/>
        <c:majorTickMark val="out"/>
        <c:minorTickMark val="none"/>
        <c:tickLblPos val="nextTo"/>
        <c:crossAx val="50120002"/>
        <c:crosses val="autoZero"/>
        <c:crossBetween val="midCat"/>
      </c:valAx>
      <c:valAx>
        <c:axId val="50120002"/>
        <c:scaling>
          <c:orientation val="minMax"/>
          <c:max val="11.5"/>
          <c:min val="-6.5"/>
        </c:scaling>
        <c:delete val="1"/>
        <c:axPos val="l"/>
        <c:numFmt formatCode="0.000" sourceLinked="1"/>
        <c:majorTickMark val="out"/>
        <c:minorTickMark val="none"/>
        <c:tickLblPos val="nextTo"/>
        <c:crossAx val="50120001"/>
        <c:crosses val="autoZero"/>
        <c:crossBetween val="midCat"/>
      </c:valAx>
    </c:plotArea>
    <c:plotVisOnly val="1"/>
    <c:dispBlanksAs val="gap"/>
    <c:showDLblsOverMax val="0"/>
  </c:chart>
  <c:spPr>
    <a:ln>
      <a:solidFill>
        <a:srgbClr val="BFBFBF"/>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solidFill>
                  <a:srgbClr val="1F3864"/>
                </a:solidFill>
              </a:defRPr>
            </a:pPr>
            <a:r>
              <a:rPr lang="en-US" sz="1100" baseline="0">
                <a:solidFill>
                  <a:srgbClr val="1F3864"/>
                </a:solidFill>
              </a:rPr>
              <a:t>Régimen de las ruedas en la curva</a:t>
            </a:r>
          </a:p>
        </c:rich>
      </c:tx>
      <c:overlay val="0"/>
    </c:title>
    <c:autoTitleDeleted val="0"/>
    <c:plotArea>
      <c:layout/>
      <c:barChart>
        <c:barDir val="col"/>
        <c:grouping val="clustered"/>
        <c:varyColors val="0"/>
        <c:ser>
          <c:idx val="0"/>
          <c:order val="0"/>
          <c:tx>
            <c:v>Régimen</c:v>
          </c:tx>
          <c:invertIfNegative val="0"/>
          <c:dPt>
            <c:idx val="0"/>
            <c:invertIfNegative val="0"/>
            <c:bubble3D val="0"/>
            <c:spPr>
              <a:solidFill>
                <a:srgbClr val="C55A11"/>
              </a:solidFill>
            </c:spPr>
            <c:extLst>
              <c:ext xmlns:c16="http://schemas.microsoft.com/office/drawing/2014/chart" uri="{C3380CC4-5D6E-409C-BE32-E72D297353CC}">
                <c16:uniqueId val="{00000000-9A6A-4367-B0E0-9432B550F71E}"/>
              </c:ext>
            </c:extLst>
          </c:dPt>
          <c:dPt>
            <c:idx val="1"/>
            <c:invertIfNegative val="0"/>
            <c:bubble3D val="0"/>
            <c:spPr>
              <a:solidFill>
                <a:srgbClr val="7F7F7F"/>
              </a:solidFill>
            </c:spPr>
            <c:extLst>
              <c:ext xmlns:c16="http://schemas.microsoft.com/office/drawing/2014/chart" uri="{C3380CC4-5D6E-409C-BE32-E72D297353CC}">
                <c16:uniqueId val="{00000001-9A6A-4367-B0E0-9432B550F71E}"/>
              </c:ext>
            </c:extLst>
          </c:dPt>
          <c:dPt>
            <c:idx val="2"/>
            <c:invertIfNegative val="0"/>
            <c:bubble3D val="0"/>
            <c:spPr>
              <a:solidFill>
                <a:srgbClr val="2E75B6"/>
              </a:solidFill>
            </c:spPr>
            <c:extLst>
              <c:ext xmlns:c16="http://schemas.microsoft.com/office/drawing/2014/chart" uri="{C3380CC4-5D6E-409C-BE32-E72D297353CC}">
                <c16:uniqueId val="{00000002-9A6A-4367-B0E0-9432B550F71E}"/>
              </c:ext>
            </c:extLst>
          </c:dPt>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'U2 Diferencial'!$AW$3:$AW$5</c:f>
              <c:strCache>
                <c:ptCount val="3"/>
                <c:pt idx="0">
                  <c:v>Rueda interior</c:v>
                </c:pt>
                <c:pt idx="1">
                  <c:v>Caja (corona)</c:v>
                </c:pt>
                <c:pt idx="2">
                  <c:v>Rueda exterior</c:v>
                </c:pt>
              </c:strCache>
            </c:strRef>
          </c:cat>
          <c:val>
            <c:numRef>
              <c:f>'U2 Diferencial'!$AX$3:$AX$5</c:f>
              <c:numCache>
                <c:formatCode>0.000</c:formatCode>
                <c:ptCount val="3"/>
                <c:pt idx="0">
                  <c:v>330.09136457412325</c:v>
                </c:pt>
                <c:pt idx="1">
                  <c:v>353.66931918656059</c:v>
                </c:pt>
                <c:pt idx="2">
                  <c:v>377.24727379899792</c:v>
                </c:pt>
              </c:numCache>
            </c:numRef>
          </c:val>
          <c:extLst>
            <c:ext xmlns:c16="http://schemas.microsoft.com/office/drawing/2014/chart" uri="{C3380CC4-5D6E-409C-BE32-E72D297353CC}">
              <c16:uniqueId val="{00000003-9A6A-4367-B0E0-9432B550F71E}"/>
            </c:ext>
          </c:extLst>
        </c:ser>
        <c:dLbls>
          <c:showLegendKey val="0"/>
          <c:showVal val="0"/>
          <c:showCatName val="0"/>
          <c:showSerName val="0"/>
          <c:showPercent val="0"/>
          <c:showBubbleSize val="0"/>
        </c:dLbls>
        <c:gapWidth val="150"/>
        <c:axId val="50130001"/>
        <c:axId val="50130002"/>
      </c:barChart>
      <c:catAx>
        <c:axId val="50130001"/>
        <c:scaling>
          <c:orientation val="minMax"/>
        </c:scaling>
        <c:delete val="0"/>
        <c:axPos val="b"/>
        <c:numFmt formatCode="General" sourceLinked="0"/>
        <c:majorTickMark val="out"/>
        <c:minorTickMark val="none"/>
        <c:tickLblPos val="nextTo"/>
        <c:crossAx val="50130002"/>
        <c:crosses val="autoZero"/>
        <c:auto val="1"/>
        <c:lblAlgn val="ctr"/>
        <c:lblOffset val="100"/>
        <c:noMultiLvlLbl val="0"/>
      </c:catAx>
      <c:valAx>
        <c:axId val="50130002"/>
        <c:scaling>
          <c:orientation val="minMax"/>
          <c:min val="0"/>
        </c:scaling>
        <c:delete val="0"/>
        <c:axPos val="l"/>
        <c:majorGridlines>
          <c:spPr>
            <a:ln>
              <a:solidFill>
                <a:srgbClr val="E0E0E0"/>
              </a:solidFill>
            </a:ln>
          </c:spPr>
        </c:majorGridlines>
        <c:title>
          <c:tx>
            <c:rich>
              <a:bodyPr/>
              <a:lstStyle/>
              <a:p>
                <a:pPr>
                  <a:defRPr/>
                </a:pPr>
                <a:r>
                  <a:rPr lang="en-US"/>
                  <a:t>min⁻¹</a:t>
                </a:r>
              </a:p>
            </c:rich>
          </c:tx>
          <c:overlay val="0"/>
        </c:title>
        <c:numFmt formatCode="0.000" sourceLinked="1"/>
        <c:majorTickMark val="out"/>
        <c:minorTickMark val="none"/>
        <c:tickLblPos val="nextTo"/>
        <c:crossAx val="5013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aseline="0">
                <a:solidFill>
                  <a:srgbClr val="1F3864"/>
                </a:solidFill>
              </a:defRPr>
            </a:pPr>
            <a:r>
              <a:rPr lang="en-US" sz="1100" baseline="0">
                <a:solidFill>
                  <a:srgbClr val="1F3864"/>
                </a:solidFill>
              </a:rPr>
              <a:t>Tracción total según el diferencial</a:t>
            </a:r>
          </a:p>
        </c:rich>
      </c:tx>
      <c:overlay val="0"/>
    </c:title>
    <c:autoTitleDeleted val="0"/>
    <c:plotArea>
      <c:layout/>
      <c:barChart>
        <c:barDir val="col"/>
        <c:grouping val="clustered"/>
        <c:varyColors val="0"/>
        <c:ser>
          <c:idx val="0"/>
          <c:order val="0"/>
          <c:tx>
            <c:v>Tracción</c:v>
          </c:tx>
          <c:invertIfNegative val="0"/>
          <c:dPt>
            <c:idx val="0"/>
            <c:invertIfNegative val="0"/>
            <c:bubble3D val="0"/>
            <c:spPr>
              <a:solidFill>
                <a:srgbClr val="C00000"/>
              </a:solidFill>
            </c:spPr>
            <c:extLst>
              <c:ext xmlns:c16="http://schemas.microsoft.com/office/drawing/2014/chart" uri="{C3380CC4-5D6E-409C-BE32-E72D297353CC}">
                <c16:uniqueId val="{00000000-EA5F-447A-B30B-6322AFB529E2}"/>
              </c:ext>
            </c:extLst>
          </c:dPt>
          <c:dPt>
            <c:idx val="1"/>
            <c:invertIfNegative val="0"/>
            <c:bubble3D val="0"/>
            <c:spPr>
              <a:solidFill>
                <a:srgbClr val="BF8F00"/>
              </a:solidFill>
            </c:spPr>
            <c:extLst>
              <c:ext xmlns:c16="http://schemas.microsoft.com/office/drawing/2014/chart" uri="{C3380CC4-5D6E-409C-BE32-E72D297353CC}">
                <c16:uniqueId val="{00000001-EA5F-447A-B30B-6322AFB529E2}"/>
              </c:ext>
            </c:extLst>
          </c:dPt>
          <c:dPt>
            <c:idx val="2"/>
            <c:invertIfNegative val="0"/>
            <c:bubble3D val="0"/>
            <c:spPr>
              <a:solidFill>
                <a:srgbClr val="548235"/>
              </a:solidFill>
            </c:spPr>
            <c:extLst>
              <c:ext xmlns:c16="http://schemas.microsoft.com/office/drawing/2014/chart" uri="{C3380CC4-5D6E-409C-BE32-E72D297353CC}">
                <c16:uniqueId val="{00000002-EA5F-447A-B30B-6322AFB529E2}"/>
              </c:ext>
            </c:extLst>
          </c:dPt>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'U2 Diferencial'!$AY$3:$AY$5</c:f>
              <c:strCache>
                <c:ptCount val="3"/>
                <c:pt idx="0">
                  <c:v>Abierto</c:v>
                </c:pt>
                <c:pt idx="1">
                  <c:v>Autoblocante</c:v>
                </c:pt>
                <c:pt idx="2">
                  <c:v>Bloqueado</c:v>
                </c:pt>
              </c:strCache>
            </c:strRef>
          </c:cat>
          <c:val>
            <c:numRef>
              <c:f>'U2 Diferencial'!$AZ$3:$AZ$5</c:f>
              <c:numCache>
                <c:formatCode>0.000</c:formatCode>
                <c:ptCount val="3"/>
                <c:pt idx="0">
                  <c:v>1050</c:v>
                </c:pt>
                <c:pt idx="1">
                  <c:v>2100</c:v>
                </c:pt>
                <c:pt idx="2">
                  <c:v>3325.0000000000005</c:v>
                </c:pt>
              </c:numCache>
            </c:numRef>
          </c:val>
          <c:extLst>
            <c:ext xmlns:c16="http://schemas.microsoft.com/office/drawing/2014/chart" uri="{C3380CC4-5D6E-409C-BE32-E72D297353CC}">
              <c16:uniqueId val="{00000003-EA5F-447A-B30B-6322AFB529E2}"/>
            </c:ext>
          </c:extLst>
        </c:ser>
        <c:dLbls>
          <c:showLegendKey val="0"/>
          <c:showVal val="0"/>
          <c:showCatName val="0"/>
          <c:showSerName val="0"/>
          <c:showPercent val="0"/>
          <c:showBubbleSize val="0"/>
        </c:dLbls>
        <c:gapWidth val="150"/>
        <c:axId val="50140001"/>
        <c:axId val="50140002"/>
      </c:barChart>
      <c:catAx>
        <c:axId val="50140001"/>
        <c:scaling>
          <c:orientation val="minMax"/>
        </c:scaling>
        <c:delete val="0"/>
        <c:axPos val="b"/>
        <c:numFmt formatCode="General" sourceLinked="0"/>
        <c:majorTickMark val="out"/>
        <c:minorTickMark val="none"/>
        <c:tickLblPos val="nextTo"/>
        <c:crossAx val="50140002"/>
        <c:crosses val="autoZero"/>
        <c:auto val="1"/>
        <c:lblAlgn val="ctr"/>
        <c:lblOffset val="100"/>
        <c:noMultiLvlLbl val="0"/>
      </c:catAx>
      <c:valAx>
        <c:axId val="50140002"/>
        <c:scaling>
          <c:orientation val="minMax"/>
          <c:min val="0"/>
        </c:scaling>
        <c:delete val="0"/>
        <c:axPos val="l"/>
        <c:majorGridlines>
          <c:spPr>
            <a:ln>
              <a:solidFill>
                <a:srgbClr val="E0E0E0"/>
              </a:solidFill>
            </a:ln>
          </c:spPr>
        </c:majorGridlines>
        <c:title>
          <c:tx>
            <c:rich>
              <a:bodyPr/>
              <a:lstStyle/>
              <a:p>
                <a:pPr>
                  <a:defRPr/>
                </a:pPr>
                <a:r>
                  <a:rPr lang="en-US"/>
                  <a:t>N</a:t>
                </a:r>
              </a:p>
            </c:rich>
          </c:tx>
          <c:overlay val="0"/>
        </c:title>
        <c:numFmt formatCode="0.000" sourceLinked="1"/>
        <c:majorTickMark val="out"/>
        <c:minorTickMark val="none"/>
        <c:tickLblPos val="nextTo"/>
        <c:crossAx val="5014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Vista frontal del tren</a:t>
            </a:r>
          </a:p>
        </c:rich>
      </c:tx>
      <c:overlay val="0"/>
    </c:title>
    <c:autoTitleDeleted val="0"/>
    <c:plotArea>
      <c:layout>
        <c:manualLayout>
          <c:layoutTarget val="inner"/>
          <c:xMode val="edge"/>
          <c:yMode val="edge"/>
          <c:x val="0.10394736842105262"/>
          <c:y val="0.12"/>
          <c:w val="0.79210526315789476"/>
          <c:h val="0.7"/>
        </c:manualLayout>
      </c:layout>
      <c:scatterChart>
        <c:scatterStyle val="lineMarker"/>
        <c:varyColors val="0"/>
        <c:ser>
          <c:idx val="0"/>
          <c:order val="0"/>
          <c:tx>
            <c:v>Corona (C)</c:v>
          </c:tx>
          <c:spPr>
            <a:ln w="38100">
              <a:solidFill>
                <a:srgbClr val="2E75B6"/>
              </a:solidFill>
            </a:ln>
          </c:spPr>
          <c:marker>
            <c:symbol val="none"/>
          </c:marker>
          <c:xVal>
            <c:numRef>
              <c:f>'U3 Tren epicicloidal'!$CB$4:$CB$76</c:f>
              <c:numCache>
                <c:formatCode>0.000</c:formatCode>
                <c:ptCount val="73"/>
                <c:pt idx="0">
                  <c:v>72</c:v>
                </c:pt>
                <c:pt idx="1">
                  <c:v>71.726018262605677</c:v>
                </c:pt>
                <c:pt idx="2">
                  <c:v>70.906158216878978</c:v>
                </c:pt>
                <c:pt idx="3">
                  <c:v>69.546659492812921</c:v>
                </c:pt>
                <c:pt idx="4">
                  <c:v>67.65786869658541</c:v>
                </c:pt>
                <c:pt idx="5">
                  <c:v>65.254160666638796</c:v>
                </c:pt>
                <c:pt idx="6">
                  <c:v>62.353829072479584</c:v>
                </c:pt>
                <c:pt idx="7">
                  <c:v>58.97894718880741</c:v>
                </c:pt>
                <c:pt idx="8">
                  <c:v>55.155199904566416</c:v>
                </c:pt>
                <c:pt idx="9">
                  <c:v>50.911688245431428</c:v>
                </c:pt>
                <c:pt idx="10">
                  <c:v>46.280707897430837</c:v>
                </c:pt>
                <c:pt idx="11">
                  <c:v>41.297503417275323</c:v>
                </c:pt>
                <c:pt idx="12">
                  <c:v>36.000000000000007</c:v>
                </c:pt>
                <c:pt idx="13">
                  <c:v>30.428514845330358</c:v>
                </c:pt>
                <c:pt idx="14">
                  <c:v>24.625450319448156</c:v>
                </c:pt>
                <c:pt idx="15">
                  <c:v>18.634971247381493</c:v>
                </c:pt>
                <c:pt idx="16">
                  <c:v>12.502668792018991</c:v>
                </c:pt>
                <c:pt idx="17">
                  <c:v>6.2752134778313859</c:v>
                </c:pt>
                <c:pt idx="18">
                  <c:v>4.410534437671032E-15</c:v>
                </c:pt>
                <c:pt idx="19">
                  <c:v>-6.275213477831393</c:v>
                </c:pt>
                <c:pt idx="20">
                  <c:v>-12.502668792018982</c:v>
                </c:pt>
                <c:pt idx="21">
                  <c:v>-18.6349712473815</c:v>
                </c:pt>
                <c:pt idx="22">
                  <c:v>-24.625450319448149</c:v>
                </c:pt>
                <c:pt idx="23">
                  <c:v>-30.428514845330351</c:v>
                </c:pt>
                <c:pt idx="24">
                  <c:v>-35.999999999999986</c:v>
                </c:pt>
                <c:pt idx="25">
                  <c:v>-41.297503417275323</c:v>
                </c:pt>
                <c:pt idx="26">
                  <c:v>-46.280707897430837</c:v>
                </c:pt>
                <c:pt idx="27">
                  <c:v>-50.911688245431421</c:v>
                </c:pt>
                <c:pt idx="28">
                  <c:v>-55.155199904566409</c:v>
                </c:pt>
                <c:pt idx="29">
                  <c:v>-58.978947188807417</c:v>
                </c:pt>
                <c:pt idx="30">
                  <c:v>-62.353829072479584</c:v>
                </c:pt>
                <c:pt idx="31">
                  <c:v>-65.254160666638796</c:v>
                </c:pt>
                <c:pt idx="32">
                  <c:v>-67.657868696585396</c:v>
                </c:pt>
                <c:pt idx="33">
                  <c:v>-69.546659492812907</c:v>
                </c:pt>
                <c:pt idx="34">
                  <c:v>-70.906158216878978</c:v>
                </c:pt>
                <c:pt idx="35">
                  <c:v>-71.726018262605677</c:v>
                </c:pt>
                <c:pt idx="36">
                  <c:v>-72</c:v>
                </c:pt>
                <c:pt idx="37">
                  <c:v>-71.726018262605677</c:v>
                </c:pt>
                <c:pt idx="38">
                  <c:v>-70.906158216878978</c:v>
                </c:pt>
                <c:pt idx="39">
                  <c:v>-69.546659492812921</c:v>
                </c:pt>
                <c:pt idx="40">
                  <c:v>-67.65786869658541</c:v>
                </c:pt>
                <c:pt idx="41">
                  <c:v>-65.254160666638796</c:v>
                </c:pt>
                <c:pt idx="42">
                  <c:v>-62.353829072479577</c:v>
                </c:pt>
                <c:pt idx="43">
                  <c:v>-58.97894718880741</c:v>
                </c:pt>
                <c:pt idx="44">
                  <c:v>-55.155199904566416</c:v>
                </c:pt>
                <c:pt idx="45">
                  <c:v>-50.911688245431435</c:v>
                </c:pt>
                <c:pt idx="46">
                  <c:v>-46.280707897430844</c:v>
                </c:pt>
                <c:pt idx="47">
                  <c:v>-41.297503417275337</c:v>
                </c:pt>
                <c:pt idx="48">
                  <c:v>-36.000000000000028</c:v>
                </c:pt>
                <c:pt idx="49">
                  <c:v>-30.428514845330341</c:v>
                </c:pt>
                <c:pt idx="50">
                  <c:v>-24.625450319448134</c:v>
                </c:pt>
                <c:pt idx="51">
                  <c:v>-18.634971247381486</c:v>
                </c:pt>
                <c:pt idx="52">
                  <c:v>-12.502668792018984</c:v>
                </c:pt>
                <c:pt idx="53">
                  <c:v>-6.2752134778313939</c:v>
                </c:pt>
                <c:pt idx="54">
                  <c:v>-1.3231603313013096E-14</c:v>
                </c:pt>
                <c:pt idx="55">
                  <c:v>6.2752134778313682</c:v>
                </c:pt>
                <c:pt idx="56">
                  <c:v>12.502668792018959</c:v>
                </c:pt>
                <c:pt idx="57">
                  <c:v>18.634971247381461</c:v>
                </c:pt>
                <c:pt idx="58">
                  <c:v>24.625450319448166</c:v>
                </c:pt>
                <c:pt idx="59">
                  <c:v>30.428514845330373</c:v>
                </c:pt>
                <c:pt idx="60">
                  <c:v>36.000000000000007</c:v>
                </c:pt>
                <c:pt idx="61">
                  <c:v>41.297503417275315</c:v>
                </c:pt>
                <c:pt idx="62">
                  <c:v>46.28070789743083</c:v>
                </c:pt>
                <c:pt idx="63">
                  <c:v>50.911688245431407</c:v>
                </c:pt>
                <c:pt idx="64">
                  <c:v>55.155199904566402</c:v>
                </c:pt>
                <c:pt idx="65">
                  <c:v>58.978947188807396</c:v>
                </c:pt>
                <c:pt idx="66">
                  <c:v>62.353829072479563</c:v>
                </c:pt>
                <c:pt idx="67">
                  <c:v>65.254160666638796</c:v>
                </c:pt>
                <c:pt idx="68">
                  <c:v>67.65786869658541</c:v>
                </c:pt>
                <c:pt idx="69">
                  <c:v>69.546659492812921</c:v>
                </c:pt>
                <c:pt idx="70">
                  <c:v>70.906158216878978</c:v>
                </c:pt>
                <c:pt idx="71">
                  <c:v>71.726018262605677</c:v>
                </c:pt>
                <c:pt idx="72">
                  <c:v>72</c:v>
                </c:pt>
              </c:numCache>
            </c:numRef>
          </c:xVal>
          <c:yVal>
            <c:numRef>
              <c:f>'U3 Tren epicicloidal'!$CC$4:$CC$76</c:f>
              <c:numCache>
                <c:formatCode>0.000</c:formatCode>
                <c:ptCount val="73"/>
                <c:pt idx="0">
                  <c:v>0</c:v>
                </c:pt>
                <c:pt idx="1">
                  <c:v>6.2752134778313877</c:v>
                </c:pt>
                <c:pt idx="2">
                  <c:v>12.502668792018984</c:v>
                </c:pt>
                <c:pt idx="3">
                  <c:v>18.634971247381493</c:v>
                </c:pt>
                <c:pt idx="4">
                  <c:v>24.625450319448149</c:v>
                </c:pt>
                <c:pt idx="5">
                  <c:v>30.428514845330358</c:v>
                </c:pt>
                <c:pt idx="6">
                  <c:v>35.999999999999993</c:v>
                </c:pt>
                <c:pt idx="7">
                  <c:v>41.297503417275315</c:v>
                </c:pt>
                <c:pt idx="8">
                  <c:v>46.28070789743083</c:v>
                </c:pt>
                <c:pt idx="9">
                  <c:v>50.911688245431421</c:v>
                </c:pt>
                <c:pt idx="10">
                  <c:v>55.155199904566416</c:v>
                </c:pt>
                <c:pt idx="11">
                  <c:v>58.97894718880741</c:v>
                </c:pt>
                <c:pt idx="12">
                  <c:v>62.353829072479577</c:v>
                </c:pt>
                <c:pt idx="13">
                  <c:v>65.254160666638796</c:v>
                </c:pt>
                <c:pt idx="14">
                  <c:v>67.657868696585396</c:v>
                </c:pt>
                <c:pt idx="15">
                  <c:v>69.546659492812921</c:v>
                </c:pt>
                <c:pt idx="16">
                  <c:v>70.906158216878978</c:v>
                </c:pt>
                <c:pt idx="17">
                  <c:v>71.726018262605677</c:v>
                </c:pt>
                <c:pt idx="18">
                  <c:v>72</c:v>
                </c:pt>
                <c:pt idx="19">
                  <c:v>71.726018262605677</c:v>
                </c:pt>
                <c:pt idx="20">
                  <c:v>70.906158216878978</c:v>
                </c:pt>
                <c:pt idx="21">
                  <c:v>69.546659492812921</c:v>
                </c:pt>
                <c:pt idx="22">
                  <c:v>67.65786869658541</c:v>
                </c:pt>
                <c:pt idx="23">
                  <c:v>65.254160666638796</c:v>
                </c:pt>
                <c:pt idx="24">
                  <c:v>62.353829072479584</c:v>
                </c:pt>
                <c:pt idx="25">
                  <c:v>58.978947188807403</c:v>
                </c:pt>
                <c:pt idx="26">
                  <c:v>55.155199904566416</c:v>
                </c:pt>
                <c:pt idx="27">
                  <c:v>50.911688245431428</c:v>
                </c:pt>
                <c:pt idx="28">
                  <c:v>46.280707897430844</c:v>
                </c:pt>
                <c:pt idx="29">
                  <c:v>41.297503417275308</c:v>
                </c:pt>
                <c:pt idx="30">
                  <c:v>35.999999999999993</c:v>
                </c:pt>
                <c:pt idx="31">
                  <c:v>30.428514845330362</c:v>
                </c:pt>
                <c:pt idx="32">
                  <c:v>24.625450319448159</c:v>
                </c:pt>
                <c:pt idx="33">
                  <c:v>18.634971247381515</c:v>
                </c:pt>
                <c:pt idx="34">
                  <c:v>12.50266879201898</c:v>
                </c:pt>
                <c:pt idx="35">
                  <c:v>6.2752134778313895</c:v>
                </c:pt>
                <c:pt idx="36">
                  <c:v>8.8210688753420641E-15</c:v>
                </c:pt>
                <c:pt idx="37">
                  <c:v>-6.2752134778313717</c:v>
                </c:pt>
                <c:pt idx="38">
                  <c:v>-12.502668792018994</c:v>
                </c:pt>
                <c:pt idx="39">
                  <c:v>-18.634971247381497</c:v>
                </c:pt>
                <c:pt idx="40">
                  <c:v>-24.625450319448142</c:v>
                </c:pt>
                <c:pt idx="41">
                  <c:v>-30.428514845330348</c:v>
                </c:pt>
                <c:pt idx="42">
                  <c:v>-36.000000000000007</c:v>
                </c:pt>
                <c:pt idx="43">
                  <c:v>-41.297503417275323</c:v>
                </c:pt>
                <c:pt idx="44">
                  <c:v>-46.28070789743083</c:v>
                </c:pt>
                <c:pt idx="45">
                  <c:v>-50.911688245431421</c:v>
                </c:pt>
                <c:pt idx="46">
                  <c:v>-55.155199904566409</c:v>
                </c:pt>
                <c:pt idx="47">
                  <c:v>-58.978947188807396</c:v>
                </c:pt>
                <c:pt idx="48">
                  <c:v>-62.353829072479563</c:v>
                </c:pt>
                <c:pt idx="49">
                  <c:v>-65.254160666638796</c:v>
                </c:pt>
                <c:pt idx="50">
                  <c:v>-67.65786869658541</c:v>
                </c:pt>
                <c:pt idx="51">
                  <c:v>-69.546659492812921</c:v>
                </c:pt>
                <c:pt idx="52">
                  <c:v>-70.906158216878978</c:v>
                </c:pt>
                <c:pt idx="53">
                  <c:v>-71.726018262605677</c:v>
                </c:pt>
                <c:pt idx="54">
                  <c:v>-72</c:v>
                </c:pt>
                <c:pt idx="55">
                  <c:v>-71.726018262605677</c:v>
                </c:pt>
                <c:pt idx="56">
                  <c:v>-70.906158216878993</c:v>
                </c:pt>
                <c:pt idx="57">
                  <c:v>-69.546659492812921</c:v>
                </c:pt>
                <c:pt idx="58">
                  <c:v>-67.657868696585396</c:v>
                </c:pt>
                <c:pt idx="59">
                  <c:v>-65.254160666638796</c:v>
                </c:pt>
                <c:pt idx="60">
                  <c:v>-62.353829072479577</c:v>
                </c:pt>
                <c:pt idx="61">
                  <c:v>-58.97894718880741</c:v>
                </c:pt>
                <c:pt idx="62">
                  <c:v>-55.155199904566423</c:v>
                </c:pt>
                <c:pt idx="63">
                  <c:v>-50.911688245431435</c:v>
                </c:pt>
                <c:pt idx="64">
                  <c:v>-46.280707897430851</c:v>
                </c:pt>
                <c:pt idx="65">
                  <c:v>-41.297503417275351</c:v>
                </c:pt>
                <c:pt idx="66">
                  <c:v>-36.000000000000028</c:v>
                </c:pt>
                <c:pt idx="67">
                  <c:v>-30.428514845330344</c:v>
                </c:pt>
                <c:pt idx="68">
                  <c:v>-24.625450319448138</c:v>
                </c:pt>
                <c:pt idx="69">
                  <c:v>-18.63497124738149</c:v>
                </c:pt>
                <c:pt idx="70">
                  <c:v>-12.502668792018987</c:v>
                </c:pt>
                <c:pt idx="71">
                  <c:v>-6.2752134778313993</c:v>
                </c:pt>
                <c:pt idx="72">
                  <c:v>-1.7642137750684128E-14</c:v>
                </c:pt>
              </c:numCache>
            </c:numRef>
          </c:yVal>
          <c:smooth val="0"/>
          <c:extLst>
            <c:ext xmlns:c16="http://schemas.microsoft.com/office/drawing/2014/chart" uri="{C3380CC4-5D6E-409C-BE32-E72D297353CC}">
              <c16:uniqueId val="{00000000-C534-4428-8382-EEFFDCD203E0}"/>
            </c:ext>
          </c:extLst>
        </c:ser>
        <c:ser>
          <c:idx val="1"/>
          <c:order val="1"/>
          <c:tx>
            <c:v>Planetario (P)</c:v>
          </c:tx>
          <c:spPr>
            <a:ln w="38100">
              <a:solidFill>
                <a:srgbClr val="C55A11"/>
              </a:solidFill>
            </a:ln>
          </c:spPr>
          <c:marker>
            <c:symbol val="none"/>
          </c:marker>
          <c:xVal>
            <c:numRef>
              <c:f>'U3 Tren epicicloidal'!$CD$4:$CD$40</c:f>
              <c:numCache>
                <c:formatCode>0.000</c:formatCode>
                <c:ptCount val="37"/>
                <c:pt idx="0">
                  <c:v>30</c:v>
                </c:pt>
                <c:pt idx="1">
                  <c:v>29.544232590366242</c:v>
                </c:pt>
                <c:pt idx="2">
                  <c:v>28.190778623577252</c:v>
                </c:pt>
                <c:pt idx="3">
                  <c:v>25.98076211353316</c:v>
                </c:pt>
                <c:pt idx="4">
                  <c:v>22.981333293569339</c:v>
                </c:pt>
                <c:pt idx="5">
                  <c:v>19.28362829059618</c:v>
                </c:pt>
                <c:pt idx="6">
                  <c:v>15.000000000000004</c:v>
                </c:pt>
                <c:pt idx="7">
                  <c:v>10.260604299770065</c:v>
                </c:pt>
                <c:pt idx="8">
                  <c:v>5.2094453300079122</c:v>
                </c:pt>
                <c:pt idx="9">
                  <c:v>1.83772268236293E-15</c:v>
                </c:pt>
                <c:pt idx="10">
                  <c:v>-5.2094453300079095</c:v>
                </c:pt>
                <c:pt idx="11">
                  <c:v>-10.260604299770062</c:v>
                </c:pt>
                <c:pt idx="12">
                  <c:v>-14.999999999999993</c:v>
                </c:pt>
                <c:pt idx="13">
                  <c:v>-19.28362829059618</c:v>
                </c:pt>
                <c:pt idx="14">
                  <c:v>-22.981333293569335</c:v>
                </c:pt>
                <c:pt idx="15">
                  <c:v>-25.98076211353316</c:v>
                </c:pt>
                <c:pt idx="16">
                  <c:v>-28.190778623577248</c:v>
                </c:pt>
                <c:pt idx="17">
                  <c:v>-29.544232590366242</c:v>
                </c:pt>
                <c:pt idx="18">
                  <c:v>-30</c:v>
                </c:pt>
                <c:pt idx="19">
                  <c:v>-29.544232590366242</c:v>
                </c:pt>
                <c:pt idx="20">
                  <c:v>-28.190778623577252</c:v>
                </c:pt>
                <c:pt idx="21">
                  <c:v>-25.980762113533157</c:v>
                </c:pt>
                <c:pt idx="22">
                  <c:v>-22.981333293569339</c:v>
                </c:pt>
                <c:pt idx="23">
                  <c:v>-19.283628290596184</c:v>
                </c:pt>
                <c:pt idx="24">
                  <c:v>-15.000000000000014</c:v>
                </c:pt>
                <c:pt idx="25">
                  <c:v>-10.260604299770057</c:v>
                </c:pt>
                <c:pt idx="26">
                  <c:v>-5.2094453300079095</c:v>
                </c:pt>
                <c:pt idx="27">
                  <c:v>-5.51316804708879E-15</c:v>
                </c:pt>
                <c:pt idx="28">
                  <c:v>5.2094453300078989</c:v>
                </c:pt>
                <c:pt idx="29">
                  <c:v>10.260604299770069</c:v>
                </c:pt>
                <c:pt idx="30">
                  <c:v>15.000000000000004</c:v>
                </c:pt>
                <c:pt idx="31">
                  <c:v>19.283628290596177</c:v>
                </c:pt>
                <c:pt idx="32">
                  <c:v>22.981333293569335</c:v>
                </c:pt>
                <c:pt idx="33">
                  <c:v>25.980762113533153</c:v>
                </c:pt>
                <c:pt idx="34">
                  <c:v>28.190778623577252</c:v>
                </c:pt>
                <c:pt idx="35">
                  <c:v>29.544232590366242</c:v>
                </c:pt>
                <c:pt idx="36">
                  <c:v>30</c:v>
                </c:pt>
              </c:numCache>
            </c:numRef>
          </c:xVal>
          <c:yVal>
            <c:numRef>
              <c:f>'U3 Tren epicicloidal'!$CE$4:$CE$40</c:f>
              <c:numCache>
                <c:formatCode>0.000</c:formatCode>
                <c:ptCount val="37"/>
                <c:pt idx="0">
                  <c:v>0</c:v>
                </c:pt>
                <c:pt idx="1">
                  <c:v>5.2094453300079095</c:v>
                </c:pt>
                <c:pt idx="2">
                  <c:v>10.260604299770062</c:v>
                </c:pt>
                <c:pt idx="3">
                  <c:v>14.999999999999998</c:v>
                </c:pt>
                <c:pt idx="4">
                  <c:v>19.283628290596177</c:v>
                </c:pt>
                <c:pt idx="5">
                  <c:v>22.981333293569339</c:v>
                </c:pt>
                <c:pt idx="6">
                  <c:v>25.980762113533157</c:v>
                </c:pt>
                <c:pt idx="7">
                  <c:v>28.190778623577248</c:v>
                </c:pt>
                <c:pt idx="8">
                  <c:v>29.544232590366242</c:v>
                </c:pt>
                <c:pt idx="9">
                  <c:v>30</c:v>
                </c:pt>
                <c:pt idx="10">
                  <c:v>29.544232590366242</c:v>
                </c:pt>
                <c:pt idx="11">
                  <c:v>28.190778623577252</c:v>
                </c:pt>
                <c:pt idx="12">
                  <c:v>25.98076211353316</c:v>
                </c:pt>
                <c:pt idx="13">
                  <c:v>22.981333293569339</c:v>
                </c:pt>
                <c:pt idx="14">
                  <c:v>19.283628290596184</c:v>
                </c:pt>
                <c:pt idx="15">
                  <c:v>14.999999999999998</c:v>
                </c:pt>
                <c:pt idx="16">
                  <c:v>10.260604299770065</c:v>
                </c:pt>
                <c:pt idx="17">
                  <c:v>5.2094453300079087</c:v>
                </c:pt>
                <c:pt idx="18">
                  <c:v>3.67544536472586E-15</c:v>
                </c:pt>
                <c:pt idx="19">
                  <c:v>-5.209445330007914</c:v>
                </c:pt>
                <c:pt idx="20">
                  <c:v>-10.26060429977006</c:v>
                </c:pt>
                <c:pt idx="21">
                  <c:v>-15.000000000000004</c:v>
                </c:pt>
                <c:pt idx="22">
                  <c:v>-19.283628290596177</c:v>
                </c:pt>
                <c:pt idx="23">
                  <c:v>-22.981333293569335</c:v>
                </c:pt>
                <c:pt idx="24">
                  <c:v>-25.980762113533153</c:v>
                </c:pt>
                <c:pt idx="25">
                  <c:v>-28.190778623577252</c:v>
                </c:pt>
                <c:pt idx="26">
                  <c:v>-29.544232590366242</c:v>
                </c:pt>
                <c:pt idx="27">
                  <c:v>-30</c:v>
                </c:pt>
                <c:pt idx="28">
                  <c:v>-29.544232590366242</c:v>
                </c:pt>
                <c:pt idx="29">
                  <c:v>-28.190778623577248</c:v>
                </c:pt>
                <c:pt idx="30">
                  <c:v>-25.980762113533157</c:v>
                </c:pt>
                <c:pt idx="31">
                  <c:v>-22.981333293569342</c:v>
                </c:pt>
                <c:pt idx="32">
                  <c:v>-19.283628290596187</c:v>
                </c:pt>
                <c:pt idx="33">
                  <c:v>-15.000000000000014</c:v>
                </c:pt>
                <c:pt idx="34">
                  <c:v>-10.260604299770058</c:v>
                </c:pt>
                <c:pt idx="35">
                  <c:v>-5.2094453300079113</c:v>
                </c:pt>
                <c:pt idx="36">
                  <c:v>-7.3508907294517201E-15</c:v>
                </c:pt>
              </c:numCache>
            </c:numRef>
          </c:yVal>
          <c:smooth val="0"/>
          <c:extLst>
            <c:ext xmlns:c16="http://schemas.microsoft.com/office/drawing/2014/chart" uri="{C3380CC4-5D6E-409C-BE32-E72D297353CC}">
              <c16:uniqueId val="{00000001-C534-4428-8382-EEFFDCD203E0}"/>
            </c:ext>
          </c:extLst>
        </c:ser>
        <c:ser>
          <c:idx val="2"/>
          <c:order val="2"/>
          <c:tx>
            <c:v>Satélite 1</c:v>
          </c:tx>
          <c:spPr>
            <a:ln w="25400">
              <a:solidFill>
                <a:srgbClr val="548235"/>
              </a:solidFill>
            </a:ln>
          </c:spPr>
          <c:marker>
            <c:symbol val="none"/>
          </c:marker>
          <c:xVal>
            <c:numRef>
              <c:f>'U3 Tren epicicloidal'!$CF$4:$CF$40</c:f>
              <c:numCache>
                <c:formatCode>0.000</c:formatCode>
                <c:ptCount val="37"/>
                <c:pt idx="0">
                  <c:v>71.396439076144219</c:v>
                </c:pt>
                <c:pt idx="1">
                  <c:v>71.077401889400591</c:v>
                </c:pt>
                <c:pt idx="2">
                  <c:v>70.129984112648302</c:v>
                </c:pt>
                <c:pt idx="3">
                  <c:v>68.582972555617431</c:v>
                </c:pt>
                <c:pt idx="4">
                  <c:v>66.483372381642766</c:v>
                </c:pt>
                <c:pt idx="5">
                  <c:v>63.894978879561549</c:v>
                </c:pt>
                <c:pt idx="6">
                  <c:v>60.896439076144226</c:v>
                </c:pt>
                <c:pt idx="7">
                  <c:v>57.578862085983275</c:v>
                </c:pt>
                <c:pt idx="8">
                  <c:v>54.043050807149768</c:v>
                </c:pt>
                <c:pt idx="9">
                  <c:v>50.396439076144226</c:v>
                </c:pt>
                <c:pt idx="10">
                  <c:v>46.749827345138691</c:v>
                </c:pt>
                <c:pt idx="11">
                  <c:v>43.214016066305184</c:v>
                </c:pt>
                <c:pt idx="12">
                  <c:v>39.896439076144233</c:v>
                </c:pt>
                <c:pt idx="13">
                  <c:v>36.897899272726903</c:v>
                </c:pt>
                <c:pt idx="14">
                  <c:v>34.309505770645686</c:v>
                </c:pt>
                <c:pt idx="15">
                  <c:v>32.209905596671014</c:v>
                </c:pt>
                <c:pt idx="16">
                  <c:v>30.66289403964015</c:v>
                </c:pt>
                <c:pt idx="17">
                  <c:v>29.715476262887858</c:v>
                </c:pt>
                <c:pt idx="18">
                  <c:v>29.396439076144226</c:v>
                </c:pt>
                <c:pt idx="19">
                  <c:v>29.715476262887858</c:v>
                </c:pt>
                <c:pt idx="20">
                  <c:v>30.66289403964015</c:v>
                </c:pt>
                <c:pt idx="21">
                  <c:v>32.209905596671014</c:v>
                </c:pt>
                <c:pt idx="22">
                  <c:v>34.309505770645686</c:v>
                </c:pt>
                <c:pt idx="23">
                  <c:v>36.897899272726896</c:v>
                </c:pt>
                <c:pt idx="24">
                  <c:v>39.896439076144219</c:v>
                </c:pt>
                <c:pt idx="25">
                  <c:v>43.214016066305184</c:v>
                </c:pt>
                <c:pt idx="26">
                  <c:v>46.749827345138691</c:v>
                </c:pt>
                <c:pt idx="27">
                  <c:v>50.396439076144219</c:v>
                </c:pt>
                <c:pt idx="28">
                  <c:v>54.043050807149754</c:v>
                </c:pt>
                <c:pt idx="29">
                  <c:v>57.578862085983275</c:v>
                </c:pt>
                <c:pt idx="30">
                  <c:v>60.896439076144226</c:v>
                </c:pt>
                <c:pt idx="31">
                  <c:v>63.894978879561549</c:v>
                </c:pt>
                <c:pt idx="32">
                  <c:v>66.483372381642766</c:v>
                </c:pt>
                <c:pt idx="33">
                  <c:v>68.582972555617431</c:v>
                </c:pt>
                <c:pt idx="34">
                  <c:v>70.129984112648302</c:v>
                </c:pt>
                <c:pt idx="35">
                  <c:v>71.077401889400591</c:v>
                </c:pt>
                <c:pt idx="36">
                  <c:v>71.396439076144219</c:v>
                </c:pt>
              </c:numCache>
            </c:numRef>
          </c:xVal>
          <c:yVal>
            <c:numRef>
              <c:f>'U3 Tren epicicloidal'!$CG$4:$CG$40</c:f>
              <c:numCache>
                <c:formatCode>0.000</c:formatCode>
                <c:ptCount val="37"/>
                <c:pt idx="0">
                  <c:v>7.8229743988129536</c:v>
                </c:pt>
                <c:pt idx="1">
                  <c:v>11.469586129818492</c:v>
                </c:pt>
                <c:pt idx="2">
                  <c:v>15.005397408651998</c:v>
                </c:pt>
                <c:pt idx="3">
                  <c:v>18.322974398812953</c:v>
                </c:pt>
                <c:pt idx="4">
                  <c:v>21.321514202230279</c:v>
                </c:pt>
                <c:pt idx="5">
                  <c:v>23.90990770431149</c:v>
                </c:pt>
                <c:pt idx="6">
                  <c:v>26.009507878286165</c:v>
                </c:pt>
                <c:pt idx="7">
                  <c:v>27.556519435317028</c:v>
                </c:pt>
                <c:pt idx="8">
                  <c:v>28.503937212069321</c:v>
                </c:pt>
                <c:pt idx="9">
                  <c:v>28.822974398812953</c:v>
                </c:pt>
                <c:pt idx="10">
                  <c:v>28.503937212069321</c:v>
                </c:pt>
                <c:pt idx="11">
                  <c:v>27.556519435317028</c:v>
                </c:pt>
                <c:pt idx="12">
                  <c:v>26.009507878286165</c:v>
                </c:pt>
                <c:pt idx="13">
                  <c:v>23.90990770431149</c:v>
                </c:pt>
                <c:pt idx="14">
                  <c:v>21.321514202230283</c:v>
                </c:pt>
                <c:pt idx="15">
                  <c:v>18.322974398812953</c:v>
                </c:pt>
                <c:pt idx="16">
                  <c:v>15.005397408652001</c:v>
                </c:pt>
                <c:pt idx="17">
                  <c:v>11.46958612981849</c:v>
                </c:pt>
                <c:pt idx="18">
                  <c:v>7.8229743988129563</c:v>
                </c:pt>
                <c:pt idx="19">
                  <c:v>4.1763626678074139</c:v>
                </c:pt>
                <c:pt idx="20">
                  <c:v>0.64055138897391206</c:v>
                </c:pt>
                <c:pt idx="21">
                  <c:v>-2.6770256011870481</c:v>
                </c:pt>
                <c:pt idx="22">
                  <c:v>-5.6755654046043711</c:v>
                </c:pt>
                <c:pt idx="23">
                  <c:v>-8.2639589066855841</c:v>
                </c:pt>
                <c:pt idx="24">
                  <c:v>-10.363559080660252</c:v>
                </c:pt>
                <c:pt idx="25">
                  <c:v>-11.910570637691123</c:v>
                </c:pt>
                <c:pt idx="26">
                  <c:v>-12.857988414443415</c:v>
                </c:pt>
                <c:pt idx="27">
                  <c:v>-13.177025601187047</c:v>
                </c:pt>
                <c:pt idx="28">
                  <c:v>-12.857988414443419</c:v>
                </c:pt>
                <c:pt idx="29">
                  <c:v>-11.910570637691123</c:v>
                </c:pt>
                <c:pt idx="30">
                  <c:v>-10.363559080660259</c:v>
                </c:pt>
                <c:pt idx="31">
                  <c:v>-8.2639589066855876</c:v>
                </c:pt>
                <c:pt idx="32">
                  <c:v>-5.6755654046043782</c:v>
                </c:pt>
                <c:pt idx="33">
                  <c:v>-2.6770256011870552</c:v>
                </c:pt>
                <c:pt idx="34">
                  <c:v>0.64055138897391295</c:v>
                </c:pt>
                <c:pt idx="35">
                  <c:v>4.1763626678074157</c:v>
                </c:pt>
                <c:pt idx="36">
                  <c:v>7.8229743988129483</c:v>
                </c:pt>
              </c:numCache>
            </c:numRef>
          </c:yVal>
          <c:smooth val="0"/>
          <c:extLst>
            <c:ext xmlns:c16="http://schemas.microsoft.com/office/drawing/2014/chart" uri="{C3380CC4-5D6E-409C-BE32-E72D297353CC}">
              <c16:uniqueId val="{00000002-C534-4428-8382-EEFFDCD203E0}"/>
            </c:ext>
          </c:extLst>
        </c:ser>
        <c:ser>
          <c:idx val="3"/>
          <c:order val="3"/>
          <c:tx>
            <c:v>Satélite 2</c:v>
          </c:tx>
          <c:spPr>
            <a:ln w="25400">
              <a:solidFill>
                <a:srgbClr val="548235"/>
              </a:solidFill>
            </a:ln>
          </c:spPr>
          <c:marker>
            <c:symbol val="none"/>
          </c:marker>
          <c:xVal>
            <c:numRef>
              <c:f>'U3 Tren epicicloidal'!$CH$4:$CH$40</c:f>
              <c:numCache>
                <c:formatCode>0.000</c:formatCode>
                <c:ptCount val="37"/>
                <c:pt idx="0">
                  <c:v>-10.973114100599417</c:v>
                </c:pt>
                <c:pt idx="1">
                  <c:v>-11.292151287343049</c:v>
                </c:pt>
                <c:pt idx="2">
                  <c:v>-12.239569064095342</c:v>
                </c:pt>
                <c:pt idx="3">
                  <c:v>-13.786580621126205</c:v>
                </c:pt>
                <c:pt idx="4">
                  <c:v>-15.886180795100881</c:v>
                </c:pt>
                <c:pt idx="5">
                  <c:v>-18.474574297182091</c:v>
                </c:pt>
                <c:pt idx="6">
                  <c:v>-21.473114100599417</c:v>
                </c:pt>
                <c:pt idx="7">
                  <c:v>-24.790691090760372</c:v>
                </c:pt>
                <c:pt idx="8">
                  <c:v>-28.326502369593879</c:v>
                </c:pt>
                <c:pt idx="9">
                  <c:v>-31.973114100599417</c:v>
                </c:pt>
                <c:pt idx="10">
                  <c:v>-35.619725831604953</c:v>
                </c:pt>
                <c:pt idx="11">
                  <c:v>-39.155537110438459</c:v>
                </c:pt>
                <c:pt idx="12">
                  <c:v>-42.47311410059941</c:v>
                </c:pt>
                <c:pt idx="13">
                  <c:v>-45.471653904016748</c:v>
                </c:pt>
                <c:pt idx="14">
                  <c:v>-48.060047406097951</c:v>
                </c:pt>
                <c:pt idx="15">
                  <c:v>-50.15964758007263</c:v>
                </c:pt>
                <c:pt idx="16">
                  <c:v>-51.706659137103493</c:v>
                </c:pt>
                <c:pt idx="17">
                  <c:v>-52.654076913855789</c:v>
                </c:pt>
                <c:pt idx="18">
                  <c:v>-52.973114100599417</c:v>
                </c:pt>
                <c:pt idx="19">
                  <c:v>-52.654076913855789</c:v>
                </c:pt>
                <c:pt idx="20">
                  <c:v>-51.706659137103493</c:v>
                </c:pt>
                <c:pt idx="21">
                  <c:v>-50.15964758007263</c:v>
                </c:pt>
                <c:pt idx="22">
                  <c:v>-48.060047406097951</c:v>
                </c:pt>
                <c:pt idx="23">
                  <c:v>-45.471653904016748</c:v>
                </c:pt>
                <c:pt idx="24">
                  <c:v>-42.473114100599425</c:v>
                </c:pt>
                <c:pt idx="25">
                  <c:v>-39.155537110438459</c:v>
                </c:pt>
                <c:pt idx="26">
                  <c:v>-35.619725831604953</c:v>
                </c:pt>
                <c:pt idx="27">
                  <c:v>-31.973114100599421</c:v>
                </c:pt>
                <c:pt idx="28">
                  <c:v>-28.326502369593889</c:v>
                </c:pt>
                <c:pt idx="29">
                  <c:v>-24.790691090760369</c:v>
                </c:pt>
                <c:pt idx="30">
                  <c:v>-21.473114100599417</c:v>
                </c:pt>
                <c:pt idx="31">
                  <c:v>-18.474574297182095</c:v>
                </c:pt>
                <c:pt idx="32">
                  <c:v>-15.886180795100884</c:v>
                </c:pt>
                <c:pt idx="33">
                  <c:v>-13.786580621126213</c:v>
                </c:pt>
                <c:pt idx="34">
                  <c:v>-12.239569064095342</c:v>
                </c:pt>
                <c:pt idx="35">
                  <c:v>-11.292151287343049</c:v>
                </c:pt>
                <c:pt idx="36">
                  <c:v>-10.973114100599417</c:v>
                </c:pt>
              </c:numCache>
            </c:numRef>
          </c:xVal>
          <c:yVal>
            <c:numRef>
              <c:f>'U3 Tren epicicloidal'!$CI$4:$CI$40</c:f>
              <c:numCache>
                <c:formatCode>0.000</c:formatCode>
                <c:ptCount val="37"/>
                <c:pt idx="0">
                  <c:v>39.733109300809197</c:v>
                </c:pt>
                <c:pt idx="1">
                  <c:v>43.379721031814732</c:v>
                </c:pt>
                <c:pt idx="2">
                  <c:v>46.915532310648238</c:v>
                </c:pt>
                <c:pt idx="3">
                  <c:v>50.233109300809197</c:v>
                </c:pt>
                <c:pt idx="4">
                  <c:v>53.23164910422652</c:v>
                </c:pt>
                <c:pt idx="5">
                  <c:v>55.820042606307737</c:v>
                </c:pt>
                <c:pt idx="6">
                  <c:v>57.919642780282409</c:v>
                </c:pt>
                <c:pt idx="7">
                  <c:v>59.466654337313273</c:v>
                </c:pt>
                <c:pt idx="8">
                  <c:v>60.414072114065561</c:v>
                </c:pt>
                <c:pt idx="9">
                  <c:v>60.733109300809197</c:v>
                </c:pt>
                <c:pt idx="10">
                  <c:v>60.414072114065561</c:v>
                </c:pt>
                <c:pt idx="11">
                  <c:v>59.466654337313273</c:v>
                </c:pt>
                <c:pt idx="12">
                  <c:v>57.919642780282409</c:v>
                </c:pt>
                <c:pt idx="13">
                  <c:v>55.820042606307737</c:v>
                </c:pt>
                <c:pt idx="14">
                  <c:v>53.231649104226527</c:v>
                </c:pt>
                <c:pt idx="15">
                  <c:v>50.233109300809197</c:v>
                </c:pt>
                <c:pt idx="16">
                  <c:v>46.915532310648246</c:v>
                </c:pt>
                <c:pt idx="17">
                  <c:v>43.379721031814732</c:v>
                </c:pt>
                <c:pt idx="18">
                  <c:v>39.733109300809197</c:v>
                </c:pt>
                <c:pt idx="19">
                  <c:v>36.086497569803655</c:v>
                </c:pt>
                <c:pt idx="20">
                  <c:v>32.550686290970155</c:v>
                </c:pt>
                <c:pt idx="21">
                  <c:v>29.233109300809197</c:v>
                </c:pt>
                <c:pt idx="22">
                  <c:v>26.234569497391874</c:v>
                </c:pt>
                <c:pt idx="23">
                  <c:v>23.64617599531066</c:v>
                </c:pt>
                <c:pt idx="24">
                  <c:v>21.546575821335992</c:v>
                </c:pt>
                <c:pt idx="25">
                  <c:v>19.999564264305121</c:v>
                </c:pt>
                <c:pt idx="26">
                  <c:v>19.052146487552829</c:v>
                </c:pt>
                <c:pt idx="27">
                  <c:v>18.733109300809197</c:v>
                </c:pt>
                <c:pt idx="28">
                  <c:v>19.052146487552825</c:v>
                </c:pt>
                <c:pt idx="29">
                  <c:v>19.999564264305121</c:v>
                </c:pt>
                <c:pt idx="30">
                  <c:v>21.546575821335985</c:v>
                </c:pt>
                <c:pt idx="31">
                  <c:v>23.646175995310657</c:v>
                </c:pt>
                <c:pt idx="32">
                  <c:v>26.234569497391867</c:v>
                </c:pt>
                <c:pt idx="33">
                  <c:v>29.23310930080919</c:v>
                </c:pt>
                <c:pt idx="34">
                  <c:v>32.550686290970155</c:v>
                </c:pt>
                <c:pt idx="35">
                  <c:v>36.086497569803662</c:v>
                </c:pt>
                <c:pt idx="36">
                  <c:v>39.73310930080919</c:v>
                </c:pt>
              </c:numCache>
            </c:numRef>
          </c:yVal>
          <c:smooth val="0"/>
          <c:extLst>
            <c:ext xmlns:c16="http://schemas.microsoft.com/office/drawing/2014/chart" uri="{C3380CC4-5D6E-409C-BE32-E72D297353CC}">
              <c16:uniqueId val="{00000003-C534-4428-8382-EEFFDCD203E0}"/>
            </c:ext>
          </c:extLst>
        </c:ser>
        <c:ser>
          <c:idx val="4"/>
          <c:order val="4"/>
          <c:tx>
            <c:v>Satélite 3</c:v>
          </c:tx>
          <c:spPr>
            <a:ln w="25400">
              <a:solidFill>
                <a:srgbClr val="548235"/>
              </a:solidFill>
            </a:ln>
          </c:spPr>
          <c:marker>
            <c:symbol val="none"/>
          </c:marker>
          <c:xVal>
            <c:numRef>
              <c:f>'U3 Tren epicicloidal'!$CJ$4:$CJ$40</c:f>
              <c:numCache>
                <c:formatCode>0.000</c:formatCode>
                <c:ptCount val="37"/>
                <c:pt idx="0">
                  <c:v>2.5766750244551986</c:v>
                </c:pt>
                <c:pt idx="1">
                  <c:v>2.2576378377115667</c:v>
                </c:pt>
                <c:pt idx="2">
                  <c:v>1.3102200609592742</c:v>
                </c:pt>
                <c:pt idx="3">
                  <c:v>-0.23679149607158934</c:v>
                </c:pt>
                <c:pt idx="4">
                  <c:v>-2.3363916700462646</c:v>
                </c:pt>
                <c:pt idx="5">
                  <c:v>-4.9247851721274749</c:v>
                </c:pt>
                <c:pt idx="6">
                  <c:v>-7.9233249755447996</c:v>
                </c:pt>
                <c:pt idx="7">
                  <c:v>-11.240901965705756</c:v>
                </c:pt>
                <c:pt idx="8">
                  <c:v>-14.776713244539263</c:v>
                </c:pt>
                <c:pt idx="9">
                  <c:v>-18.423324975544801</c:v>
                </c:pt>
                <c:pt idx="10">
                  <c:v>-22.069936706550337</c:v>
                </c:pt>
                <c:pt idx="11">
                  <c:v>-25.605747985383843</c:v>
                </c:pt>
                <c:pt idx="12">
                  <c:v>-28.923324975544794</c:v>
                </c:pt>
                <c:pt idx="13">
                  <c:v>-31.921864778962128</c:v>
                </c:pt>
                <c:pt idx="14">
                  <c:v>-34.510258281043335</c:v>
                </c:pt>
                <c:pt idx="15">
                  <c:v>-36.609858455018014</c:v>
                </c:pt>
                <c:pt idx="16">
                  <c:v>-38.156870012048877</c:v>
                </c:pt>
                <c:pt idx="17">
                  <c:v>-39.104287788801173</c:v>
                </c:pt>
                <c:pt idx="18">
                  <c:v>-39.423324975544801</c:v>
                </c:pt>
                <c:pt idx="19">
                  <c:v>-39.104287788801173</c:v>
                </c:pt>
                <c:pt idx="20">
                  <c:v>-38.156870012048877</c:v>
                </c:pt>
                <c:pt idx="21">
                  <c:v>-36.609858455018014</c:v>
                </c:pt>
                <c:pt idx="22">
                  <c:v>-34.510258281043335</c:v>
                </c:pt>
                <c:pt idx="23">
                  <c:v>-31.921864778962131</c:v>
                </c:pt>
                <c:pt idx="24">
                  <c:v>-28.923324975544809</c:v>
                </c:pt>
                <c:pt idx="25">
                  <c:v>-25.605747985383843</c:v>
                </c:pt>
                <c:pt idx="26">
                  <c:v>-22.069936706550337</c:v>
                </c:pt>
                <c:pt idx="27">
                  <c:v>-18.423324975544805</c:v>
                </c:pt>
                <c:pt idx="28">
                  <c:v>-14.776713244539271</c:v>
                </c:pt>
                <c:pt idx="29">
                  <c:v>-11.240901965705753</c:v>
                </c:pt>
                <c:pt idx="30">
                  <c:v>-7.9233249755447996</c:v>
                </c:pt>
                <c:pt idx="31">
                  <c:v>-4.9247851721274767</c:v>
                </c:pt>
                <c:pt idx="32">
                  <c:v>-2.3363916700462681</c:v>
                </c:pt>
                <c:pt idx="33">
                  <c:v>-0.23679149607159644</c:v>
                </c:pt>
                <c:pt idx="34">
                  <c:v>1.3102200609592742</c:v>
                </c:pt>
                <c:pt idx="35">
                  <c:v>2.2576378377115667</c:v>
                </c:pt>
                <c:pt idx="36">
                  <c:v>2.5766750244551986</c:v>
                </c:pt>
              </c:numCache>
            </c:numRef>
          </c:xVal>
          <c:yVal>
            <c:numRef>
              <c:f>'U3 Tren epicicloidal'!$CK$4:$CK$40</c:f>
              <c:numCache>
                <c:formatCode>0.000</c:formatCode>
                <c:ptCount val="37"/>
                <c:pt idx="0">
                  <c:v>-47.55608369962215</c:v>
                </c:pt>
                <c:pt idx="1">
                  <c:v>-43.909471968616614</c:v>
                </c:pt>
                <c:pt idx="2">
                  <c:v>-40.373660689783108</c:v>
                </c:pt>
                <c:pt idx="3">
                  <c:v>-37.05608369962215</c:v>
                </c:pt>
                <c:pt idx="4">
                  <c:v>-34.057543896204827</c:v>
                </c:pt>
                <c:pt idx="5">
                  <c:v>-31.469150394123613</c:v>
                </c:pt>
                <c:pt idx="6">
                  <c:v>-29.369550220148938</c:v>
                </c:pt>
                <c:pt idx="7">
                  <c:v>-27.822538663118074</c:v>
                </c:pt>
                <c:pt idx="8">
                  <c:v>-26.875120886365782</c:v>
                </c:pt>
                <c:pt idx="9">
                  <c:v>-26.55608369962215</c:v>
                </c:pt>
                <c:pt idx="10">
                  <c:v>-26.875120886365782</c:v>
                </c:pt>
                <c:pt idx="11">
                  <c:v>-27.822538663118074</c:v>
                </c:pt>
                <c:pt idx="12">
                  <c:v>-29.369550220148938</c:v>
                </c:pt>
                <c:pt idx="13">
                  <c:v>-31.469150394123613</c:v>
                </c:pt>
                <c:pt idx="14">
                  <c:v>-34.05754389620482</c:v>
                </c:pt>
                <c:pt idx="15">
                  <c:v>-37.05608369962215</c:v>
                </c:pt>
                <c:pt idx="16">
                  <c:v>-40.373660689783101</c:v>
                </c:pt>
                <c:pt idx="17">
                  <c:v>-43.909471968616614</c:v>
                </c:pt>
                <c:pt idx="18">
                  <c:v>-47.55608369962215</c:v>
                </c:pt>
                <c:pt idx="19">
                  <c:v>-51.202695430627692</c:v>
                </c:pt>
                <c:pt idx="20">
                  <c:v>-54.738506709461191</c:v>
                </c:pt>
                <c:pt idx="21">
                  <c:v>-58.05608369962215</c:v>
                </c:pt>
                <c:pt idx="22">
                  <c:v>-61.054623503039473</c:v>
                </c:pt>
                <c:pt idx="23">
                  <c:v>-63.643017005120683</c:v>
                </c:pt>
                <c:pt idx="24">
                  <c:v>-65.742617179095362</c:v>
                </c:pt>
                <c:pt idx="25">
                  <c:v>-67.289628736126218</c:v>
                </c:pt>
                <c:pt idx="26">
                  <c:v>-68.237046512878521</c:v>
                </c:pt>
                <c:pt idx="27">
                  <c:v>-68.55608369962215</c:v>
                </c:pt>
                <c:pt idx="28">
                  <c:v>-68.237046512878521</c:v>
                </c:pt>
                <c:pt idx="29">
                  <c:v>-67.289628736126218</c:v>
                </c:pt>
                <c:pt idx="30">
                  <c:v>-65.742617179095362</c:v>
                </c:pt>
                <c:pt idx="31">
                  <c:v>-63.64301700512069</c:v>
                </c:pt>
                <c:pt idx="32">
                  <c:v>-61.05462350303948</c:v>
                </c:pt>
                <c:pt idx="33">
                  <c:v>-58.056083699622157</c:v>
                </c:pt>
                <c:pt idx="34">
                  <c:v>-54.738506709461191</c:v>
                </c:pt>
                <c:pt idx="35">
                  <c:v>-51.202695430627685</c:v>
                </c:pt>
                <c:pt idx="36">
                  <c:v>-47.556083699622157</c:v>
                </c:pt>
              </c:numCache>
            </c:numRef>
          </c:yVal>
          <c:smooth val="0"/>
          <c:extLst>
            <c:ext xmlns:c16="http://schemas.microsoft.com/office/drawing/2014/chart" uri="{C3380CC4-5D6E-409C-BE32-E72D297353CC}">
              <c16:uniqueId val="{00000004-C534-4428-8382-EEFFDCD203E0}"/>
            </c:ext>
          </c:extLst>
        </c:ser>
        <c:ser>
          <c:idx val="5"/>
          <c:order val="5"/>
          <c:tx>
            <c:v>Portasatélites (PS)</c:v>
          </c:tx>
          <c:spPr>
            <a:ln w="38100">
              <a:solidFill>
                <a:srgbClr val="7030A0"/>
              </a:solidFill>
            </a:ln>
          </c:spPr>
          <c:marker>
            <c:symbol val="circle"/>
            <c:size val="6"/>
            <c:spPr>
              <a:solidFill>
                <a:srgbClr val="7030A0"/>
              </a:solidFill>
              <a:ln>
                <a:solidFill>
                  <a:srgbClr val="7030A0"/>
                </a:solidFill>
              </a:ln>
            </c:spPr>
          </c:marker>
          <c:xVal>
            <c:numRef>
              <c:f>'U3 Tren epicicloidal'!$CL$4:$CL$9</c:f>
              <c:numCache>
                <c:formatCode>0.000</c:formatCode>
                <c:ptCount val="6"/>
                <c:pt idx="0">
                  <c:v>0</c:v>
                </c:pt>
                <c:pt idx="1">
                  <c:v>50.396439076144226</c:v>
                </c:pt>
                <c:pt idx="2">
                  <c:v>0</c:v>
                </c:pt>
                <c:pt idx="3">
                  <c:v>-31.973114100599417</c:v>
                </c:pt>
                <c:pt idx="4">
                  <c:v>0</c:v>
                </c:pt>
                <c:pt idx="5">
                  <c:v>-18.423324975544801</c:v>
                </c:pt>
              </c:numCache>
            </c:numRef>
          </c:xVal>
          <c:yVal>
            <c:numRef>
              <c:f>'U3 Tren epicicloidal'!$CM$4:$CM$9</c:f>
              <c:numCache>
                <c:formatCode>0.000</c:formatCode>
                <c:ptCount val="6"/>
                <c:pt idx="0">
                  <c:v>0</c:v>
                </c:pt>
                <c:pt idx="1">
                  <c:v>7.8229743988129536</c:v>
                </c:pt>
                <c:pt idx="2">
                  <c:v>0</c:v>
                </c:pt>
                <c:pt idx="3">
                  <c:v>39.733109300809197</c:v>
                </c:pt>
                <c:pt idx="4">
                  <c:v>0</c:v>
                </c:pt>
                <c:pt idx="5">
                  <c:v>-47.55608369962215</c:v>
                </c:pt>
              </c:numCache>
            </c:numRef>
          </c:yVal>
          <c:smooth val="0"/>
          <c:extLst>
            <c:ext xmlns:c16="http://schemas.microsoft.com/office/drawing/2014/chart" uri="{C3380CC4-5D6E-409C-BE32-E72D297353CC}">
              <c16:uniqueId val="{00000005-C534-4428-8382-EEFFDCD203E0}"/>
            </c:ext>
          </c:extLst>
        </c:ser>
        <c:ser>
          <c:idx val="6"/>
          <c:order val="6"/>
          <c:tx>
            <c:v>Marca P</c:v>
          </c:tx>
          <c:spPr>
            <a:ln>
              <a:noFill/>
            </a:ln>
          </c:spPr>
          <c:marker>
            <c:symbol val="circle"/>
            <c:size val="9"/>
            <c:spPr>
              <a:solidFill>
                <a:srgbClr val="C55A11"/>
              </a:solidFill>
              <a:ln>
                <a:solidFill>
                  <a:srgbClr val="000000"/>
                </a:solidFill>
              </a:ln>
            </c:spPr>
          </c:marker>
          <c:xVal>
            <c:numRef>
              <c:f>'U3 Tren epicicloidal'!$CN$4:$CN$4</c:f>
              <c:numCache>
                <c:formatCode>0.000</c:formatCode>
                <c:ptCount val="1"/>
                <c:pt idx="0">
                  <c:v>18.706148721743876</c:v>
                </c:pt>
              </c:numCache>
            </c:numRef>
          </c:xVal>
          <c:yVal>
            <c:numRef>
              <c:f>'U3 Tren epicicloidal'!$CO$4:$CO$4</c:f>
              <c:numCache>
                <c:formatCode>0.000</c:formatCode>
                <c:ptCount val="1"/>
                <c:pt idx="0">
                  <c:v>10.799999999999997</c:v>
                </c:pt>
              </c:numCache>
            </c:numRef>
          </c:yVal>
          <c:smooth val="0"/>
          <c:extLst>
            <c:ext xmlns:c16="http://schemas.microsoft.com/office/drawing/2014/chart" uri="{C3380CC4-5D6E-409C-BE32-E72D297353CC}">
              <c16:uniqueId val="{00000006-C534-4428-8382-EEFFDCD203E0}"/>
            </c:ext>
          </c:extLst>
        </c:ser>
        <c:ser>
          <c:idx val="7"/>
          <c:order val="7"/>
          <c:tx>
            <c:v>Marca C</c:v>
          </c:tx>
          <c:spPr>
            <a:ln>
              <a:noFill/>
            </a:ln>
          </c:spPr>
          <c:marker>
            <c:symbol val="circle"/>
            <c:size val="9"/>
            <c:spPr>
              <a:solidFill>
                <a:srgbClr val="2E75B6"/>
              </a:solidFill>
              <a:ln>
                <a:solidFill>
                  <a:srgbClr val="000000"/>
                </a:solidFill>
              </a:ln>
            </c:spPr>
          </c:marker>
          <c:xVal>
            <c:numRef>
              <c:f>'U3 Tren epicicloidal'!$CP$4:$CP$4</c:f>
              <c:numCache>
                <c:formatCode>0.000</c:formatCode>
                <c:ptCount val="1"/>
                <c:pt idx="0">
                  <c:v>66.960000000000008</c:v>
                </c:pt>
              </c:numCache>
            </c:numRef>
          </c:xVal>
          <c:yVal>
            <c:numRef>
              <c:f>'U3 Tren epicicloidal'!$CQ$4:$CQ$4</c:f>
              <c:numCache>
                <c:formatCode>0.000</c:formatCode>
                <c:ptCount val="1"/>
                <c:pt idx="0">
                  <c:v>0</c:v>
                </c:pt>
              </c:numCache>
            </c:numRef>
          </c:yVal>
          <c:smooth val="0"/>
          <c:extLst>
            <c:ext xmlns:c16="http://schemas.microsoft.com/office/drawing/2014/chart" uri="{C3380CC4-5D6E-409C-BE32-E72D297353CC}">
              <c16:uniqueId val="{00000007-C534-4428-8382-EEFFDCD203E0}"/>
            </c:ext>
          </c:extLst>
        </c:ser>
        <c:ser>
          <c:idx val="8"/>
          <c:order val="8"/>
          <c:tx>
            <c:v>Marca satélites</c:v>
          </c:tx>
          <c:spPr>
            <a:ln>
              <a:noFill/>
            </a:ln>
          </c:spPr>
          <c:marker>
            <c:symbol val="circle"/>
            <c:size val="7"/>
            <c:spPr>
              <a:solidFill>
                <a:srgbClr val="548235"/>
              </a:solidFill>
              <a:ln>
                <a:solidFill>
                  <a:srgbClr val="000000"/>
                </a:solidFill>
              </a:ln>
            </c:spPr>
          </c:marker>
          <c:xVal>
            <c:numRef>
              <c:f>'U3 Tren epicicloidal'!$CR$4:$CR$6</c:f>
              <c:numCache>
                <c:formatCode>0.000</c:formatCode>
                <c:ptCount val="3"/>
                <c:pt idx="0">
                  <c:v>63.102865745137613</c:v>
                </c:pt>
                <c:pt idx="1">
                  <c:v>-34.007541033904197</c:v>
                </c:pt>
                <c:pt idx="2">
                  <c:v>-29.095324711233406</c:v>
                </c:pt>
              </c:numCache>
            </c:numRef>
          </c:xVal>
          <c:yVal>
            <c:numRef>
              <c:f>'U3 Tren epicicloidal'!$CS$4:$CS$6</c:f>
              <c:numCache>
                <c:formatCode>0.000</c:formatCode>
                <c:ptCount val="3"/>
                <c:pt idx="0">
                  <c:v>2.8360694162116618</c:v>
                </c:pt>
                <c:pt idx="1">
                  <c:v>53.230650078782205</c:v>
                </c:pt>
                <c:pt idx="2">
                  <c:v>-56.066719494993869</c:v>
                </c:pt>
              </c:numCache>
            </c:numRef>
          </c:yVal>
          <c:smooth val="0"/>
          <c:extLst>
            <c:ext xmlns:c16="http://schemas.microsoft.com/office/drawing/2014/chart" uri="{C3380CC4-5D6E-409C-BE32-E72D297353CC}">
              <c16:uniqueId val="{00000008-C534-4428-8382-EEFFDCD203E0}"/>
            </c:ext>
          </c:extLst>
        </c:ser>
        <c:dLbls>
          <c:showLegendKey val="0"/>
          <c:showVal val="0"/>
          <c:showCatName val="0"/>
          <c:showSerName val="0"/>
          <c:showPercent val="0"/>
          <c:showBubbleSize val="0"/>
        </c:dLbls>
        <c:axId val="50150001"/>
        <c:axId val="50150002"/>
      </c:scatterChart>
      <c:valAx>
        <c:axId val="50150001"/>
        <c:scaling>
          <c:orientation val="minMax"/>
          <c:max val="80"/>
          <c:min val="-80"/>
        </c:scaling>
        <c:delete val="1"/>
        <c:axPos val="b"/>
        <c:numFmt formatCode="0.000" sourceLinked="1"/>
        <c:majorTickMark val="out"/>
        <c:minorTickMark val="none"/>
        <c:tickLblPos val="nextTo"/>
        <c:crossAx val="50150002"/>
        <c:crosses val="autoZero"/>
        <c:crossBetween val="midCat"/>
      </c:valAx>
      <c:valAx>
        <c:axId val="50150002"/>
        <c:scaling>
          <c:orientation val="minMax"/>
          <c:max val="80"/>
          <c:min val="-80"/>
        </c:scaling>
        <c:delete val="1"/>
        <c:axPos val="l"/>
        <c:numFmt formatCode="0.000" sourceLinked="1"/>
        <c:majorTickMark val="out"/>
        <c:minorTickMark val="none"/>
        <c:tickLblPos val="nextTo"/>
        <c:crossAx val="50150001"/>
        <c:crosses val="autoZero"/>
        <c:crossBetween val="midCat"/>
      </c:valAx>
    </c:plotArea>
    <c:legend>
      <c:legendPos val="b"/>
      <c:legendEntry>
        <c:idx val="3"/>
        <c:delete val="1"/>
      </c:legendEntry>
      <c:legendEntry>
        <c:idx val="4"/>
        <c:delete val="1"/>
      </c:legendEntry>
      <c:legendEntry>
        <c:idx val="6"/>
        <c:delete val="1"/>
      </c:legendEntry>
      <c:legendEntry>
        <c:idx val="7"/>
        <c:delete val="1"/>
      </c:legendEntry>
      <c:legendEntry>
        <c:idx val="8"/>
        <c:delete val="1"/>
      </c:legendEntry>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Nomograma de palanca (velocidades)</a:t>
            </a:r>
          </a:p>
        </c:rich>
      </c:tx>
      <c:overlay val="0"/>
    </c:title>
    <c:autoTitleDeleted val="0"/>
    <c:plotArea>
      <c:layout/>
      <c:scatterChart>
        <c:scatterStyle val="lineMarker"/>
        <c:varyColors val="0"/>
        <c:ser>
          <c:idx val="0"/>
          <c:order val="0"/>
          <c:tx>
            <c:v>Eje P</c:v>
          </c:tx>
          <c:spPr>
            <a:ln w="31750">
              <a:solidFill>
                <a:srgbClr val="C55A11"/>
              </a:solidFill>
            </a:ln>
          </c:spPr>
          <c:marker>
            <c:symbol val="none"/>
          </c:marker>
          <c:xVal>
            <c:numRef>
              <c:f>'U3 Tren epicicloidal'!$CT$4:$CT$5</c:f>
              <c:numCache>
                <c:formatCode>0.000</c:formatCode>
                <c:ptCount val="2"/>
                <c:pt idx="0">
                  <c:v>0</c:v>
                </c:pt>
                <c:pt idx="1">
                  <c:v>0</c:v>
                </c:pt>
              </c:numCache>
            </c:numRef>
          </c:xVal>
          <c:yVal>
            <c:numRef>
              <c:f>'U3 Tren epicicloidal'!$CU$4:$CU$5</c:f>
              <c:numCache>
                <c:formatCode>0.000</c:formatCode>
                <c:ptCount val="2"/>
                <c:pt idx="0">
                  <c:v>-3449.9999999999995</c:v>
                </c:pt>
                <c:pt idx="1">
                  <c:v>3449.9999999999995</c:v>
                </c:pt>
              </c:numCache>
            </c:numRef>
          </c:yVal>
          <c:smooth val="0"/>
          <c:extLst>
            <c:ext xmlns:c16="http://schemas.microsoft.com/office/drawing/2014/chart" uri="{C3380CC4-5D6E-409C-BE32-E72D297353CC}">
              <c16:uniqueId val="{00000000-2F16-4934-9C60-A71A80A1B97A}"/>
            </c:ext>
          </c:extLst>
        </c:ser>
        <c:ser>
          <c:idx val="1"/>
          <c:order val="1"/>
          <c:tx>
            <c:v>Eje PS</c:v>
          </c:tx>
          <c:spPr>
            <a:ln w="31750">
              <a:solidFill>
                <a:srgbClr val="7030A0"/>
              </a:solidFill>
            </a:ln>
          </c:spPr>
          <c:marker>
            <c:symbol val="none"/>
          </c:marker>
          <c:xVal>
            <c:numRef>
              <c:f>'U3 Tren epicicloidal'!$CV$4:$CV$5</c:f>
              <c:numCache>
                <c:formatCode>0.000</c:formatCode>
                <c:ptCount val="2"/>
                <c:pt idx="0">
                  <c:v>0.70588235294117652</c:v>
                </c:pt>
                <c:pt idx="1">
                  <c:v>0.70588235294117652</c:v>
                </c:pt>
              </c:numCache>
            </c:numRef>
          </c:xVal>
          <c:yVal>
            <c:numRef>
              <c:f>'U3 Tren epicicloidal'!$CW$4:$CW$5</c:f>
              <c:numCache>
                <c:formatCode>0.000</c:formatCode>
                <c:ptCount val="2"/>
                <c:pt idx="0">
                  <c:v>-3449.9999999999995</c:v>
                </c:pt>
                <c:pt idx="1">
                  <c:v>3449.9999999999995</c:v>
                </c:pt>
              </c:numCache>
            </c:numRef>
          </c:yVal>
          <c:smooth val="0"/>
          <c:extLst>
            <c:ext xmlns:c16="http://schemas.microsoft.com/office/drawing/2014/chart" uri="{C3380CC4-5D6E-409C-BE32-E72D297353CC}">
              <c16:uniqueId val="{00000001-2F16-4934-9C60-A71A80A1B97A}"/>
            </c:ext>
          </c:extLst>
        </c:ser>
        <c:ser>
          <c:idx val="2"/>
          <c:order val="2"/>
          <c:tx>
            <c:v>Eje C</c:v>
          </c:tx>
          <c:spPr>
            <a:ln w="31750">
              <a:solidFill>
                <a:srgbClr val="2E75B6"/>
              </a:solidFill>
            </a:ln>
          </c:spPr>
          <c:marker>
            <c:symbol val="none"/>
          </c:marker>
          <c:xVal>
            <c:numRef>
              <c:f>'U3 Tren epicicloidal'!$CX$4:$CX$5</c:f>
              <c:numCache>
                <c:formatCode>0.000</c:formatCode>
                <c:ptCount val="2"/>
                <c:pt idx="0">
                  <c:v>1</c:v>
                </c:pt>
                <c:pt idx="1">
                  <c:v>1</c:v>
                </c:pt>
              </c:numCache>
            </c:numRef>
          </c:xVal>
          <c:yVal>
            <c:numRef>
              <c:f>'U3 Tren epicicloidal'!$CY$4:$CY$5</c:f>
              <c:numCache>
                <c:formatCode>0.000</c:formatCode>
                <c:ptCount val="2"/>
                <c:pt idx="0">
                  <c:v>-3449.9999999999995</c:v>
                </c:pt>
                <c:pt idx="1">
                  <c:v>3449.9999999999995</c:v>
                </c:pt>
              </c:numCache>
            </c:numRef>
          </c:yVal>
          <c:smooth val="0"/>
          <c:extLst>
            <c:ext xmlns:c16="http://schemas.microsoft.com/office/drawing/2014/chart" uri="{C3380CC4-5D6E-409C-BE32-E72D297353CC}">
              <c16:uniqueId val="{00000002-2F16-4934-9C60-A71A80A1B97A}"/>
            </c:ext>
          </c:extLst>
        </c:ser>
        <c:ser>
          <c:idx val="3"/>
          <c:order val="3"/>
          <c:tx>
            <c:v>Cero</c:v>
          </c:tx>
          <c:spPr>
            <a:ln w="12700">
              <a:solidFill>
                <a:srgbClr val="7F7F7F"/>
              </a:solidFill>
              <a:prstDash val="dash"/>
            </a:ln>
          </c:spPr>
          <c:marker>
            <c:symbol val="none"/>
          </c:marker>
          <c:xVal>
            <c:numRef>
              <c:f>'U3 Tren epicicloidal'!$CZ$4:$CZ$5</c:f>
              <c:numCache>
                <c:formatCode>0.000</c:formatCode>
                <c:ptCount val="2"/>
                <c:pt idx="0">
                  <c:v>-0.05</c:v>
                </c:pt>
                <c:pt idx="1">
                  <c:v>1.05</c:v>
                </c:pt>
              </c:numCache>
            </c:numRef>
          </c:xVal>
          <c:yVal>
            <c:numRef>
              <c:f>'U3 Tren epicicloidal'!$DA$4:$DA$5</c:f>
              <c:numCache>
                <c:formatCode>0.000</c:formatCode>
                <c:ptCount val="2"/>
                <c:pt idx="0">
                  <c:v>0</c:v>
                </c:pt>
                <c:pt idx="1">
                  <c:v>0</c:v>
                </c:pt>
              </c:numCache>
            </c:numRef>
          </c:yVal>
          <c:smooth val="0"/>
          <c:extLst>
            <c:ext xmlns:c16="http://schemas.microsoft.com/office/drawing/2014/chart" uri="{C3380CC4-5D6E-409C-BE32-E72D297353CC}">
              <c16:uniqueId val="{00000003-2F16-4934-9C60-A71A80A1B97A}"/>
            </c:ext>
          </c:extLst>
        </c:ser>
        <c:ser>
          <c:idx val="4"/>
          <c:order val="4"/>
          <c:tx>
            <c:v>Palanca</c:v>
          </c:tx>
          <c:spPr>
            <a:ln w="31750">
              <a:solidFill>
                <a:srgbClr val="000000"/>
              </a:solidFill>
            </a:ln>
          </c:spPr>
          <c:marker>
            <c:symbol val="circle"/>
            <c:size val="9"/>
            <c:spPr>
              <a:solidFill>
                <a:srgbClr val="C00000"/>
              </a:solidFill>
              <a:ln>
                <a:solidFill>
                  <a:srgbClr val="000000"/>
                </a:solidFill>
              </a:ln>
            </c:spPr>
          </c:marker>
          <c:dLbls>
            <c:numFmt formatCode="#,##0" sourceLinked="0"/>
            <c:spPr>
              <a:noFill/>
              <a:ln>
                <a:noFill/>
              </a:ln>
              <a:effectLst/>
            </c:spPr>
            <c:txPr>
              <a:bodyPr/>
              <a:lstStyle/>
              <a:p>
                <a:pPr>
                  <a:defRPr sz="900" b="1"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'U3 Tren epicicloidal'!$DB$4:$DB$6</c:f>
              <c:numCache>
                <c:formatCode>0.000</c:formatCode>
                <c:ptCount val="3"/>
                <c:pt idx="0">
                  <c:v>0</c:v>
                </c:pt>
                <c:pt idx="1">
                  <c:v>0.70588235294117652</c:v>
                </c:pt>
                <c:pt idx="2">
                  <c:v>1</c:v>
                </c:pt>
              </c:numCache>
            </c:numRef>
          </c:xVal>
          <c:yVal>
            <c:numRef>
              <c:f>'U3 Tren epicicloidal'!$DC$4:$DC$6</c:f>
              <c:numCache>
                <c:formatCode>0.000</c:formatCode>
                <c:ptCount val="3"/>
                <c:pt idx="0">
                  <c:v>3000</c:v>
                </c:pt>
                <c:pt idx="1">
                  <c:v>882.35294117647061</c:v>
                </c:pt>
                <c:pt idx="2">
                  <c:v>0</c:v>
                </c:pt>
              </c:numCache>
            </c:numRef>
          </c:yVal>
          <c:smooth val="0"/>
          <c:extLst>
            <c:ext xmlns:c16="http://schemas.microsoft.com/office/drawing/2014/chart" uri="{C3380CC4-5D6E-409C-BE32-E72D297353CC}">
              <c16:uniqueId val="{00000004-2F16-4934-9C60-A71A80A1B97A}"/>
            </c:ext>
          </c:extLst>
        </c:ser>
        <c:dLbls>
          <c:showLegendKey val="0"/>
          <c:showVal val="0"/>
          <c:showCatName val="0"/>
          <c:showSerName val="0"/>
          <c:showPercent val="0"/>
          <c:showBubbleSize val="0"/>
        </c:dLbls>
        <c:axId val="50160001"/>
        <c:axId val="50160002"/>
      </c:scatterChart>
      <c:valAx>
        <c:axId val="50160001"/>
        <c:scaling>
          <c:orientation val="minMax"/>
          <c:max val="1.1000000000000001"/>
          <c:min val="-0.1"/>
        </c:scaling>
        <c:delete val="1"/>
        <c:axPos val="b"/>
        <c:numFmt formatCode="0.000" sourceLinked="1"/>
        <c:majorTickMark val="out"/>
        <c:minorTickMark val="none"/>
        <c:tickLblPos val="nextTo"/>
        <c:crossAx val="50160002"/>
        <c:crosses val="autoZero"/>
        <c:crossBetween val="midCat"/>
      </c:valAx>
      <c:valAx>
        <c:axId val="50160002"/>
        <c:scaling>
          <c:orientation val="minMax"/>
        </c:scaling>
        <c:delete val="0"/>
        <c:axPos val="l"/>
        <c:majorGridlines>
          <c:spPr>
            <a:ln>
              <a:solidFill>
                <a:srgbClr val="E0E0E0"/>
              </a:solidFill>
            </a:ln>
          </c:spPr>
        </c:majorGridlines>
        <c:title>
          <c:tx>
            <c:rich>
              <a:bodyPr rot="-5400000" vert="horz"/>
              <a:lstStyle/>
              <a:p>
                <a:pPr>
                  <a:defRPr sz="900" b="0" baseline="0"/>
                </a:pPr>
                <a:r>
                  <a:rPr lang="en-US" sz="900" b="0" baseline="0"/>
                  <a:t>Régimen [min⁻¹]</a:t>
                </a:r>
              </a:p>
            </c:rich>
          </c:tx>
          <c:overlay val="0"/>
        </c:title>
        <c:numFmt formatCode="0.000" sourceLinked="1"/>
        <c:majorTickMark val="out"/>
        <c:minorTickMark val="none"/>
        <c:tickLblPos val="nextTo"/>
        <c:txPr>
          <a:bodyPr/>
          <a:lstStyle/>
          <a:p>
            <a:pPr>
              <a:defRPr sz="800" baseline="0"/>
            </a:pPr>
            <a:endParaRPr lang="en-US"/>
          </a:p>
        </c:txPr>
        <c:crossAx val="50160001"/>
        <c:crosses val="autoZero"/>
        <c:crossBetween val="midCat"/>
      </c:valAx>
    </c:plotArea>
    <c:plotVisOnly val="1"/>
    <c:dispBlanksAs val="gap"/>
    <c:showDLblsOverMax val="0"/>
  </c:chart>
  <c:spPr>
    <a:ln>
      <a:solidFill>
        <a:srgbClr val="BFBFBF"/>
      </a:solid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Curva característica del convertidor</a:t>
            </a:r>
          </a:p>
        </c:rich>
      </c:tx>
      <c:overlay val="0"/>
    </c:title>
    <c:autoTitleDeleted val="0"/>
    <c:plotArea>
      <c:layout/>
      <c:scatterChart>
        <c:scatterStyle val="lineMarker"/>
        <c:varyColors val="0"/>
        <c:ser>
          <c:idx val="0"/>
          <c:order val="0"/>
          <c:tx>
            <c:v>Multiplicación de par μ</c:v>
          </c:tx>
          <c:spPr>
            <a:ln w="31750">
              <a:solidFill>
                <a:srgbClr val="2E75B6"/>
              </a:solidFill>
            </a:ln>
          </c:spPr>
          <c:marker>
            <c:symbol val="none"/>
          </c:marker>
          <c:xVal>
            <c:numRef>
              <c:f>'U3 Convertidor'!$AL$3:$AL$23</c:f>
              <c:numCache>
                <c:formatCode>0.000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'U3 Convertidor'!$AM$3:$AM$23</c:f>
              <c:numCache>
                <c:formatCode>0.000</c:formatCode>
                <c:ptCount val="21"/>
                <c:pt idx="0">
                  <c:v>2.2000000000000002</c:v>
                </c:pt>
                <c:pt idx="1">
                  <c:v>2.1294117647058823</c:v>
                </c:pt>
                <c:pt idx="2">
                  <c:v>2.0588235294117649</c:v>
                </c:pt>
                <c:pt idx="3">
                  <c:v>1.9882352941176471</c:v>
                </c:pt>
                <c:pt idx="4">
                  <c:v>1.9176470588235295</c:v>
                </c:pt>
                <c:pt idx="5">
                  <c:v>1.8470588235294119</c:v>
                </c:pt>
                <c:pt idx="6">
                  <c:v>1.7764705882352942</c:v>
                </c:pt>
                <c:pt idx="7">
                  <c:v>1.7058823529411766</c:v>
                </c:pt>
                <c:pt idx="8">
                  <c:v>1.6352941176470588</c:v>
                </c:pt>
                <c:pt idx="9">
                  <c:v>1.5647058823529412</c:v>
                </c:pt>
                <c:pt idx="10">
                  <c:v>1.4941176470588236</c:v>
                </c:pt>
                <c:pt idx="11">
                  <c:v>1.4235294117647057</c:v>
                </c:pt>
                <c:pt idx="12">
                  <c:v>1.3529411764705883</c:v>
                </c:pt>
                <c:pt idx="13">
                  <c:v>1.2823529411764705</c:v>
                </c:pt>
                <c:pt idx="14">
                  <c:v>1.2117647058823531</c:v>
                </c:pt>
                <c:pt idx="15">
                  <c:v>1.1411764705882352</c:v>
                </c:pt>
                <c:pt idx="16">
                  <c:v>1.0705882352941176</c:v>
                </c:pt>
                <c:pt idx="17">
                  <c:v>1</c:v>
                </c:pt>
                <c:pt idx="18">
                  <c:v>1</c:v>
                </c:pt>
                <c:pt idx="19">
                  <c:v>1</c:v>
                </c:pt>
                <c:pt idx="20">
                  <c:v>1</c:v>
                </c:pt>
              </c:numCache>
            </c:numRef>
          </c:yVal>
          <c:smooth val="0"/>
          <c:extLst>
            <c:ext xmlns:c16="http://schemas.microsoft.com/office/drawing/2014/chart" uri="{C3380CC4-5D6E-409C-BE32-E72D297353CC}">
              <c16:uniqueId val="{00000000-56F3-42D5-AFDA-D37026435EA9}"/>
            </c:ext>
          </c:extLst>
        </c:ser>
        <c:ser>
          <c:idx val="1"/>
          <c:order val="1"/>
          <c:tx>
            <c:v>Rendimiento η</c:v>
          </c:tx>
          <c:spPr>
            <a:ln w="31750">
              <a:solidFill>
                <a:srgbClr val="548235"/>
              </a:solidFill>
            </a:ln>
          </c:spPr>
          <c:marker>
            <c:symbol val="none"/>
          </c:marker>
          <c:xVal>
            <c:numRef>
              <c:f>'U3 Convertidor'!$AL$3:$AL$23</c:f>
              <c:numCache>
                <c:formatCode>0.000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'U3 Convertidor'!$AN$3:$AN$23</c:f>
              <c:numCache>
                <c:formatCode>0.000</c:formatCode>
                <c:ptCount val="21"/>
                <c:pt idx="0">
                  <c:v>0</c:v>
                </c:pt>
                <c:pt idx="1">
                  <c:v>0.10647058823529412</c:v>
                </c:pt>
                <c:pt idx="2">
                  <c:v>0.20588235294117652</c:v>
                </c:pt>
                <c:pt idx="3">
                  <c:v>0.29823529411764704</c:v>
                </c:pt>
                <c:pt idx="4">
                  <c:v>0.3835294117647059</c:v>
                </c:pt>
                <c:pt idx="5">
                  <c:v>0.46176470588235297</c:v>
                </c:pt>
                <c:pt idx="6">
                  <c:v>0.53294117647058825</c:v>
                </c:pt>
                <c:pt idx="7">
                  <c:v>0.59705882352941175</c:v>
                </c:pt>
                <c:pt idx="8">
                  <c:v>0.65411764705882358</c:v>
                </c:pt>
                <c:pt idx="9">
                  <c:v>0.70411764705882351</c:v>
                </c:pt>
                <c:pt idx="10">
                  <c:v>0.74705882352941178</c:v>
                </c:pt>
                <c:pt idx="11">
                  <c:v>0.78294117647058825</c:v>
                </c:pt>
                <c:pt idx="12">
                  <c:v>0.81176470588235294</c:v>
                </c:pt>
                <c:pt idx="13">
                  <c:v>0.83352941176470585</c:v>
                </c:pt>
                <c:pt idx="14">
                  <c:v>0.84823529411764709</c:v>
                </c:pt>
                <c:pt idx="15">
                  <c:v>0.85588235294117643</c:v>
                </c:pt>
                <c:pt idx="16">
                  <c:v>0.85647058823529409</c:v>
                </c:pt>
                <c:pt idx="17">
                  <c:v>0.85</c:v>
                </c:pt>
                <c:pt idx="18">
                  <c:v>0.9</c:v>
                </c:pt>
                <c:pt idx="19">
                  <c:v>0.95</c:v>
                </c:pt>
                <c:pt idx="20">
                  <c:v>1</c:v>
                </c:pt>
              </c:numCache>
            </c:numRef>
          </c:yVal>
          <c:smooth val="0"/>
          <c:extLst>
            <c:ext xmlns:c16="http://schemas.microsoft.com/office/drawing/2014/chart" uri="{C3380CC4-5D6E-409C-BE32-E72D297353CC}">
              <c16:uniqueId val="{00000001-56F3-42D5-AFDA-D37026435EA9}"/>
            </c:ext>
          </c:extLst>
        </c:ser>
        <c:ser>
          <c:idx val="2"/>
          <c:order val="2"/>
          <c:tx>
            <c:v>μ actual</c:v>
          </c:tx>
          <c:spPr>
            <a:ln>
              <a:noFill/>
            </a:ln>
          </c:spPr>
          <c:marker>
            <c:symbol val="circle"/>
            <c:size val="9"/>
            <c:spPr>
              <a:solidFill>
                <a:srgbClr val="2E75B6"/>
              </a:solidFill>
              <a:ln>
                <a:solidFill>
                  <a:srgbClr val="000000"/>
                </a:solidFill>
              </a:ln>
            </c:spPr>
          </c:marker>
          <c:xVal>
            <c:numRef>
              <c:f>'U3 Convertidor'!$AP$3:$AP$3</c:f>
              <c:numCache>
                <c:formatCode>0.000</c:formatCode>
                <c:ptCount val="1"/>
                <c:pt idx="0">
                  <c:v>0</c:v>
                </c:pt>
              </c:numCache>
            </c:numRef>
          </c:xVal>
          <c:yVal>
            <c:numRef>
              <c:f>'U3 Convertidor'!$AQ$3:$AQ$3</c:f>
              <c:numCache>
                <c:formatCode>0.000</c:formatCode>
                <c:ptCount val="1"/>
                <c:pt idx="0">
                  <c:v>2.2000000000000002</c:v>
                </c:pt>
              </c:numCache>
            </c:numRef>
          </c:yVal>
          <c:smooth val="0"/>
          <c:extLst>
            <c:ext xmlns:c16="http://schemas.microsoft.com/office/drawing/2014/chart" uri="{C3380CC4-5D6E-409C-BE32-E72D297353CC}">
              <c16:uniqueId val="{00000002-56F3-42D5-AFDA-D37026435EA9}"/>
            </c:ext>
          </c:extLst>
        </c:ser>
        <c:ser>
          <c:idx val="3"/>
          <c:order val="3"/>
          <c:tx>
            <c:v>η actual</c:v>
          </c:tx>
          <c:spPr>
            <a:ln>
              <a:noFill/>
            </a:ln>
          </c:spPr>
          <c:marker>
            <c:symbol val="circle"/>
            <c:size val="9"/>
            <c:spPr>
              <a:solidFill>
                <a:srgbClr val="548235"/>
              </a:solidFill>
              <a:ln>
                <a:solidFill>
                  <a:srgbClr val="000000"/>
                </a:solidFill>
              </a:ln>
            </c:spPr>
          </c:marker>
          <c:xVal>
            <c:numRef>
              <c:f>'U3 Convertidor'!$AR$3:$AR$3</c:f>
              <c:numCache>
                <c:formatCode>0.000</c:formatCode>
                <c:ptCount val="1"/>
                <c:pt idx="0">
                  <c:v>0</c:v>
                </c:pt>
              </c:numCache>
            </c:numRef>
          </c:xVal>
          <c:yVal>
            <c:numRef>
              <c:f>'U3 Convertidor'!$AS$3:$AS$3</c:f>
              <c:numCache>
                <c:formatCode>0.000</c:formatCode>
                <c:ptCount val="1"/>
                <c:pt idx="0">
                  <c:v>0</c:v>
                </c:pt>
              </c:numCache>
            </c:numRef>
          </c:yVal>
          <c:smooth val="0"/>
          <c:extLst>
            <c:ext xmlns:c16="http://schemas.microsoft.com/office/drawing/2014/chart" uri="{C3380CC4-5D6E-409C-BE32-E72D297353CC}">
              <c16:uniqueId val="{00000003-56F3-42D5-AFDA-D37026435EA9}"/>
            </c:ext>
          </c:extLst>
        </c:ser>
        <c:dLbls>
          <c:showLegendKey val="0"/>
          <c:showVal val="0"/>
          <c:showCatName val="0"/>
          <c:showSerName val="0"/>
          <c:showPercent val="0"/>
          <c:showBubbleSize val="0"/>
        </c:dLbls>
        <c:axId val="50170001"/>
        <c:axId val="50170002"/>
      </c:scatterChart>
      <c:valAx>
        <c:axId val="50170001"/>
        <c:scaling>
          <c:orientation val="minMax"/>
          <c:max val="1"/>
          <c:min val="0"/>
        </c:scaling>
        <c:delete val="0"/>
        <c:axPos val="b"/>
        <c:majorGridlines>
          <c:spPr>
            <a:ln>
              <a:solidFill>
                <a:srgbClr val="E0E0E0"/>
              </a:solidFill>
            </a:ln>
          </c:spPr>
        </c:majorGridlines>
        <c:title>
          <c:tx>
            <c:rich>
              <a:bodyPr/>
              <a:lstStyle/>
              <a:p>
                <a:pPr>
                  <a:defRPr sz="900" b="0" baseline="0"/>
                </a:pPr>
                <a:r>
                  <a:rPr lang="en-US" sz="900" b="0" baseline="0"/>
                  <a:t>Relación de velocidades ν = n_T / n_B</a:t>
                </a:r>
              </a:p>
            </c:rich>
          </c:tx>
          <c:overlay val="0"/>
        </c:title>
        <c:numFmt formatCode="0.000" sourceLinked="1"/>
        <c:majorTickMark val="out"/>
        <c:minorTickMark val="none"/>
        <c:tickLblPos val="nextTo"/>
        <c:txPr>
          <a:bodyPr/>
          <a:lstStyle/>
          <a:p>
            <a:pPr>
              <a:defRPr sz="800" baseline="0"/>
            </a:pPr>
            <a:endParaRPr lang="en-US"/>
          </a:p>
        </c:txPr>
        <c:crossAx val="50170002"/>
        <c:crosses val="autoZero"/>
        <c:crossBetween val="midCat"/>
        <c:majorUnit val="0.1"/>
      </c:valAx>
      <c:valAx>
        <c:axId val="50170002"/>
        <c:scaling>
          <c:orientation val="minMax"/>
          <c:max val="2.5"/>
          <c:min val="0"/>
        </c:scaling>
        <c:delete val="0"/>
        <c:axPos val="l"/>
        <c:majorGridlines>
          <c:spPr>
            <a:ln>
              <a:solidFill>
                <a:srgbClr val="E0E0E0"/>
              </a:solidFill>
            </a:ln>
          </c:spPr>
        </c:majorGridlines>
        <c:title>
          <c:tx>
            <c:rich>
              <a:bodyPr rot="-5400000" vert="horz"/>
              <a:lstStyle/>
              <a:p>
                <a:pPr>
                  <a:defRPr sz="900" b="0" baseline="0"/>
                </a:pPr>
                <a:r>
                  <a:rPr lang="en-US" sz="900" b="0" baseline="0"/>
                  <a:t>μ  y  η</a:t>
                </a:r>
              </a:p>
            </c:rich>
          </c:tx>
          <c:overlay val="0"/>
        </c:title>
        <c:numFmt formatCode="0.000" sourceLinked="1"/>
        <c:majorTickMark val="out"/>
        <c:minorTickMark val="none"/>
        <c:tickLblPos val="nextTo"/>
        <c:txPr>
          <a:bodyPr/>
          <a:lstStyle/>
          <a:p>
            <a:pPr>
              <a:defRPr sz="800" baseline="0"/>
            </a:pPr>
            <a:endParaRPr lang="en-US"/>
          </a:p>
        </c:txPr>
        <c:crossAx val="50170001"/>
        <c:crosses val="autoZero"/>
        <c:crossBetween val="midCat"/>
        <c:majorUnit val="0.5"/>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Par del motor y par absorbido por la bomba</a:t>
            </a:r>
          </a:p>
        </c:rich>
      </c:tx>
      <c:overlay val="0"/>
    </c:title>
    <c:autoTitleDeleted val="0"/>
    <c:plotArea>
      <c:layout/>
      <c:scatterChart>
        <c:scatterStyle val="lineMarker"/>
        <c:varyColors val="0"/>
        <c:ser>
          <c:idx val="0"/>
          <c:order val="0"/>
          <c:tx>
            <c:v>Par del motor (plena carga)</c:v>
          </c:tx>
          <c:spPr>
            <a:ln w="31750">
              <a:solidFill>
                <a:srgbClr val="000000"/>
              </a:solidFill>
            </a:ln>
          </c:spPr>
          <c:marker>
            <c:symbol val="none"/>
          </c:marker>
          <c:xVal>
            <c:numRef>
              <c:f>'U3 Convertidor'!$AA$3:$AA$14</c:f>
              <c:numCache>
                <c:formatCode>0.000</c:formatCode>
                <c:ptCount val="12"/>
                <c:pt idx="0">
                  <c:v>1000</c:v>
                </c:pt>
                <c:pt idx="1">
                  <c:v>1500</c:v>
                </c:pt>
                <c:pt idx="2">
                  <c:v>2000</c:v>
                </c:pt>
                <c:pt idx="3">
                  <c:v>2500</c:v>
                </c:pt>
                <c:pt idx="4">
                  <c:v>3000</c:v>
                </c:pt>
                <c:pt idx="5">
                  <c:v>3500</c:v>
                </c:pt>
                <c:pt idx="6">
                  <c:v>4000</c:v>
                </c:pt>
                <c:pt idx="7">
                  <c:v>4500</c:v>
                </c:pt>
                <c:pt idx="8">
                  <c:v>5000</c:v>
                </c:pt>
                <c:pt idx="9">
                  <c:v>5500</c:v>
                </c:pt>
                <c:pt idx="10">
                  <c:v>6000</c:v>
                </c:pt>
                <c:pt idx="11">
                  <c:v>6500</c:v>
                </c:pt>
              </c:numCache>
            </c:numRef>
          </c:xVal>
          <c:yVal>
            <c:numRef>
              <c:f>'U3 Convertidor'!$AB$3:$AB$14</c:f>
              <c:numCache>
                <c:formatCode>0.000</c:formatCode>
                <c:ptCount val="12"/>
                <c:pt idx="0">
                  <c:v>110</c:v>
                </c:pt>
                <c:pt idx="1">
                  <c:v>125</c:v>
                </c:pt>
                <c:pt idx="2">
                  <c:v>135</c:v>
                </c:pt>
                <c:pt idx="3">
                  <c:v>142</c:v>
                </c:pt>
                <c:pt idx="4">
                  <c:v>146</c:v>
                </c:pt>
                <c:pt idx="5">
                  <c:v>148</c:v>
                </c:pt>
                <c:pt idx="6">
                  <c:v>147</c:v>
                </c:pt>
                <c:pt idx="7">
                  <c:v>144</c:v>
                </c:pt>
                <c:pt idx="8">
                  <c:v>138</c:v>
                </c:pt>
                <c:pt idx="9">
                  <c:v>130</c:v>
                </c:pt>
                <c:pt idx="10">
                  <c:v>120</c:v>
                </c:pt>
                <c:pt idx="11">
                  <c:v>105</c:v>
                </c:pt>
              </c:numCache>
            </c:numRef>
          </c:yVal>
          <c:smooth val="1"/>
          <c:extLst>
            <c:ext xmlns:c16="http://schemas.microsoft.com/office/drawing/2014/chart" uri="{C3380CC4-5D6E-409C-BE32-E72D297353CC}">
              <c16:uniqueId val="{00000000-7F43-481F-815E-CFA0D5ED6B6A}"/>
            </c:ext>
          </c:extLst>
        </c:ser>
        <c:ser>
          <c:idx val="1"/>
          <c:order val="1"/>
          <c:tx>
            <c:v>Absorbido en calado (ν = 0)</c:v>
          </c:tx>
          <c:spPr>
            <a:ln w="25400">
              <a:solidFill>
                <a:srgbClr val="C00000"/>
              </a:solidFill>
              <a:prstDash val="dash"/>
            </a:ln>
          </c:spPr>
          <c:marker>
            <c:symbol val="none"/>
          </c:marker>
          <c:xVal>
            <c:numRef>
              <c:f>'U3 Convertidor'!$AA$3:$AA$14</c:f>
              <c:numCache>
                <c:formatCode>0.000</c:formatCode>
                <c:ptCount val="12"/>
                <c:pt idx="0">
                  <c:v>1000</c:v>
                </c:pt>
                <c:pt idx="1">
                  <c:v>1500</c:v>
                </c:pt>
                <c:pt idx="2">
                  <c:v>2000</c:v>
                </c:pt>
                <c:pt idx="3">
                  <c:v>2500</c:v>
                </c:pt>
                <c:pt idx="4">
                  <c:v>3000</c:v>
                </c:pt>
                <c:pt idx="5">
                  <c:v>3500</c:v>
                </c:pt>
                <c:pt idx="6">
                  <c:v>4000</c:v>
                </c:pt>
                <c:pt idx="7">
                  <c:v>4500</c:v>
                </c:pt>
                <c:pt idx="8">
                  <c:v>5000</c:v>
                </c:pt>
                <c:pt idx="9">
                  <c:v>5500</c:v>
                </c:pt>
                <c:pt idx="10">
                  <c:v>6000</c:v>
                </c:pt>
                <c:pt idx="11">
                  <c:v>6500</c:v>
                </c:pt>
              </c:numCache>
            </c:numRef>
          </c:xVal>
          <c:yVal>
            <c:numRef>
              <c:f>'U3 Convertidor'!$AC$3:$AC$14</c:f>
              <c:numCache>
                <c:formatCode>0.000</c:formatCode>
                <c:ptCount val="12"/>
                <c:pt idx="0">
                  <c:v>30.864197530864196</c:v>
                </c:pt>
                <c:pt idx="1">
                  <c:v>69.444444444444457</c:v>
                </c:pt>
                <c:pt idx="2">
                  <c:v>123.45679012345678</c:v>
                </c:pt>
                <c:pt idx="3">
                  <c:v>192.90123456790124</c:v>
                </c:pt>
                <c:pt idx="4">
                  <c:v>277.77777777777783</c:v>
                </c:pt>
                <c:pt idx="5">
                  <c:v>378.08641975308637</c:v>
                </c:pt>
                <c:pt idx="6">
                  <c:v>493.82716049382714</c:v>
                </c:pt>
                <c:pt idx="7">
                  <c:v>625</c:v>
                </c:pt>
                <c:pt idx="8">
                  <c:v>771.60493827160496</c:v>
                </c:pt>
                <c:pt idx="9">
                  <c:v>933.64197530864203</c:v>
                </c:pt>
                <c:pt idx="10">
                  <c:v>1111.1111111111113</c:v>
                </c:pt>
                <c:pt idx="11">
                  <c:v>1304.0123456790125</c:v>
                </c:pt>
              </c:numCache>
            </c:numRef>
          </c:yVal>
          <c:smooth val="1"/>
          <c:extLst>
            <c:ext xmlns:c16="http://schemas.microsoft.com/office/drawing/2014/chart" uri="{C3380CC4-5D6E-409C-BE32-E72D297353CC}">
              <c16:uniqueId val="{00000001-7F43-481F-815E-CFA0D5ED6B6A}"/>
            </c:ext>
          </c:extLst>
        </c:ser>
        <c:ser>
          <c:idx val="2"/>
          <c:order val="2"/>
          <c:tx>
            <c:v>Absorbido con ν actual</c:v>
          </c:tx>
          <c:spPr>
            <a:ln w="25400">
              <a:solidFill>
                <a:srgbClr val="C55A11"/>
              </a:solidFill>
            </a:ln>
          </c:spPr>
          <c:marker>
            <c:symbol val="none"/>
          </c:marker>
          <c:xVal>
            <c:numRef>
              <c:f>'U3 Convertidor'!$AA$3:$AA$14</c:f>
              <c:numCache>
                <c:formatCode>0.000</c:formatCode>
                <c:ptCount val="12"/>
                <c:pt idx="0">
                  <c:v>1000</c:v>
                </c:pt>
                <c:pt idx="1">
                  <c:v>1500</c:v>
                </c:pt>
                <c:pt idx="2">
                  <c:v>2000</c:v>
                </c:pt>
                <c:pt idx="3">
                  <c:v>2500</c:v>
                </c:pt>
                <c:pt idx="4">
                  <c:v>3000</c:v>
                </c:pt>
                <c:pt idx="5">
                  <c:v>3500</c:v>
                </c:pt>
                <c:pt idx="6">
                  <c:v>4000</c:v>
                </c:pt>
                <c:pt idx="7">
                  <c:v>4500</c:v>
                </c:pt>
                <c:pt idx="8">
                  <c:v>5000</c:v>
                </c:pt>
                <c:pt idx="9">
                  <c:v>5500</c:v>
                </c:pt>
                <c:pt idx="10">
                  <c:v>6000</c:v>
                </c:pt>
                <c:pt idx="11">
                  <c:v>6500</c:v>
                </c:pt>
              </c:numCache>
            </c:numRef>
          </c:xVal>
          <c:yVal>
            <c:numRef>
              <c:f>'U3 Convertidor'!$AG$3:$AG$14</c:f>
              <c:numCache>
                <c:formatCode>0.000</c:formatCode>
                <c:ptCount val="12"/>
                <c:pt idx="0">
                  <c:v>30.864197530864196</c:v>
                </c:pt>
                <c:pt idx="1">
                  <c:v>69.444444444444457</c:v>
                </c:pt>
                <c:pt idx="2">
                  <c:v>123.45679012345678</c:v>
                </c:pt>
                <c:pt idx="3">
                  <c:v>192.90123456790124</c:v>
                </c:pt>
                <c:pt idx="4">
                  <c:v>277.77777777777783</c:v>
                </c:pt>
                <c:pt idx="5">
                  <c:v>378.08641975308637</c:v>
                </c:pt>
                <c:pt idx="6">
                  <c:v>493.82716049382714</c:v>
                </c:pt>
                <c:pt idx="7">
                  <c:v>625</c:v>
                </c:pt>
                <c:pt idx="8">
                  <c:v>771.60493827160496</c:v>
                </c:pt>
                <c:pt idx="9">
                  <c:v>933.64197530864203</c:v>
                </c:pt>
                <c:pt idx="10">
                  <c:v>1111.1111111111113</c:v>
                </c:pt>
                <c:pt idx="11">
                  <c:v>1304.0123456790125</c:v>
                </c:pt>
              </c:numCache>
            </c:numRef>
          </c:yVal>
          <c:smooth val="1"/>
          <c:extLst>
            <c:ext xmlns:c16="http://schemas.microsoft.com/office/drawing/2014/chart" uri="{C3380CC4-5D6E-409C-BE32-E72D297353CC}">
              <c16:uniqueId val="{00000002-7F43-481F-815E-CFA0D5ED6B6A}"/>
            </c:ext>
          </c:extLst>
        </c:ser>
        <c:ser>
          <c:idx val="3"/>
          <c:order val="3"/>
          <c:tx>
            <c:v>Régimen de calado</c:v>
          </c:tx>
          <c:spPr>
            <a:ln>
              <a:noFill/>
            </a:ln>
          </c:spPr>
          <c:marker>
            <c:symbol val="circle"/>
            <c:size val="9"/>
            <c:spPr>
              <a:solidFill>
                <a:srgbClr val="C00000"/>
              </a:solidFill>
              <a:ln>
                <a:solidFill>
                  <a:srgbClr val="000000"/>
                </a:solidFill>
              </a:ln>
            </c:spPr>
          </c:marker>
          <c:xVal>
            <c:numRef>
              <c:f>'U3 Convertidor'!$AT$3:$AT$3</c:f>
              <c:numCache>
                <c:formatCode>0.000</c:formatCode>
                <c:ptCount val="1"/>
                <c:pt idx="0">
                  <c:v>2092.4278370897587</c:v>
                </c:pt>
              </c:numCache>
            </c:numRef>
          </c:xVal>
          <c:yVal>
            <c:numRef>
              <c:f>'U3 Convertidor'!$AU$3:$AU$3</c:f>
              <c:numCache>
                <c:formatCode>0.000</c:formatCode>
                <c:ptCount val="1"/>
                <c:pt idx="0">
                  <c:v>135.13130411815203</c:v>
                </c:pt>
              </c:numCache>
            </c:numRef>
          </c:yVal>
          <c:smooth val="0"/>
          <c:extLst>
            <c:ext xmlns:c16="http://schemas.microsoft.com/office/drawing/2014/chart" uri="{C3380CC4-5D6E-409C-BE32-E72D297353CC}">
              <c16:uniqueId val="{00000003-7F43-481F-815E-CFA0D5ED6B6A}"/>
            </c:ext>
          </c:extLst>
        </c:ser>
        <c:ser>
          <c:idx val="4"/>
          <c:order val="4"/>
          <c:tx>
            <c:v>Punto actual</c:v>
          </c:tx>
          <c:spPr>
            <a:ln>
              <a:noFill/>
            </a:ln>
          </c:spPr>
          <c:marker>
            <c:symbol val="circle"/>
            <c:size val="9"/>
            <c:spPr>
              <a:solidFill>
                <a:srgbClr val="C55A11"/>
              </a:solidFill>
              <a:ln>
                <a:solidFill>
                  <a:srgbClr val="000000"/>
                </a:solidFill>
              </a:ln>
            </c:spPr>
          </c:marker>
          <c:xVal>
            <c:numRef>
              <c:f>'U3 Convertidor'!$AV$3:$AV$3</c:f>
              <c:numCache>
                <c:formatCode>0.000</c:formatCode>
                <c:ptCount val="1"/>
                <c:pt idx="0">
                  <c:v>2092.4278370897587</c:v>
                </c:pt>
              </c:numCache>
            </c:numRef>
          </c:xVal>
          <c:yVal>
            <c:numRef>
              <c:f>'U3 Convertidor'!$AW$3:$AW$3</c:f>
              <c:numCache>
                <c:formatCode>0.000</c:formatCode>
                <c:ptCount val="1"/>
                <c:pt idx="0">
                  <c:v>135.13130411815203</c:v>
                </c:pt>
              </c:numCache>
            </c:numRef>
          </c:yVal>
          <c:smooth val="0"/>
          <c:extLst>
            <c:ext xmlns:c16="http://schemas.microsoft.com/office/drawing/2014/chart" uri="{C3380CC4-5D6E-409C-BE32-E72D297353CC}">
              <c16:uniqueId val="{00000004-7F43-481F-815E-CFA0D5ED6B6A}"/>
            </c:ext>
          </c:extLst>
        </c:ser>
        <c:dLbls>
          <c:showLegendKey val="0"/>
          <c:showVal val="0"/>
          <c:showCatName val="0"/>
          <c:showSerName val="0"/>
          <c:showPercent val="0"/>
          <c:showBubbleSize val="0"/>
        </c:dLbls>
        <c:axId val="50180001"/>
        <c:axId val="50180002"/>
      </c:scatterChart>
      <c:valAx>
        <c:axId val="50180001"/>
        <c:scaling>
          <c:orientation val="minMax"/>
          <c:max val="6500"/>
          <c:min val="1000"/>
        </c:scaling>
        <c:delete val="0"/>
        <c:axPos val="b"/>
        <c:majorGridlines>
          <c:spPr>
            <a:ln>
              <a:solidFill>
                <a:srgbClr val="E0E0E0"/>
              </a:solidFill>
            </a:ln>
          </c:spPr>
        </c:majorGridlines>
        <c:title>
          <c:tx>
            <c:rich>
              <a:bodyPr/>
              <a:lstStyle/>
              <a:p>
                <a:pPr>
                  <a:defRPr sz="900" b="0" baseline="0"/>
                </a:pPr>
                <a:r>
                  <a:rPr lang="en-US" sz="900" b="0" baseline="0"/>
                  <a:t>Régimen [min⁻¹]</a:t>
                </a:r>
              </a:p>
            </c:rich>
          </c:tx>
          <c:overlay val="0"/>
        </c:title>
        <c:numFmt formatCode="0.000" sourceLinked="1"/>
        <c:majorTickMark val="out"/>
        <c:minorTickMark val="none"/>
        <c:tickLblPos val="nextTo"/>
        <c:txPr>
          <a:bodyPr/>
          <a:lstStyle/>
          <a:p>
            <a:pPr>
              <a:defRPr sz="800" baseline="0"/>
            </a:pPr>
            <a:endParaRPr lang="en-US"/>
          </a:p>
        </c:txPr>
        <c:crossAx val="50180002"/>
        <c:crosses val="autoZero"/>
        <c:crossBetween val="midCat"/>
        <c:majorUnit val="500"/>
      </c:valAx>
      <c:valAx>
        <c:axId val="50180002"/>
        <c:scaling>
          <c:orientation val="minMax"/>
          <c:max val="220"/>
          <c:min val="0"/>
        </c:scaling>
        <c:delete val="0"/>
        <c:axPos val="l"/>
        <c:majorGridlines>
          <c:spPr>
            <a:ln>
              <a:solidFill>
                <a:srgbClr val="E0E0E0"/>
              </a:solidFill>
            </a:ln>
          </c:spPr>
        </c:majorGridlines>
        <c:title>
          <c:tx>
            <c:rich>
              <a:bodyPr rot="-5400000" vert="horz"/>
              <a:lstStyle/>
              <a:p>
                <a:pPr>
                  <a:defRPr sz="900" b="0" baseline="0"/>
                </a:pPr>
                <a:r>
                  <a:rPr lang="en-US" sz="900" b="0" baseline="0"/>
                  <a:t>Par [N·m]</a:t>
                </a:r>
              </a:p>
            </c:rich>
          </c:tx>
          <c:overlay val="0"/>
        </c:title>
        <c:numFmt formatCode="0.000" sourceLinked="1"/>
        <c:majorTickMark val="out"/>
        <c:minorTickMark val="none"/>
        <c:tickLblPos val="nextTo"/>
        <c:txPr>
          <a:bodyPr/>
          <a:lstStyle/>
          <a:p>
            <a:pPr>
              <a:defRPr sz="800" baseline="0"/>
            </a:pPr>
            <a:endParaRPr lang="en-US"/>
          </a:p>
        </c:txPr>
        <c:crossAx val="50180001"/>
        <c:crosses val="autoZero"/>
        <c:crossBetween val="midCat"/>
        <c:majorUnit val="20"/>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'U4 CVT'!$AI$1</c:f>
          <c:strCache>
            <c:ptCount val="1"/>
            <c:pt idx="0">
              <c:v>Polea primaria r₁ = 30.0 mm · secundaria r₂ = 75.0 mm · i = 2.50</c:v>
            </c:pt>
          </c:strCache>
        </c:strRef>
      </c:tx>
      <c:overlay val="0"/>
      <c:txPr>
        <a:bodyPr/>
        <a:lstStyle/>
        <a:p>
          <a:pPr>
            <a:defRPr sz="1100" b="1" baseline="0">
              <a:solidFill>
                <a:srgbClr val="1F3864"/>
              </a:solidFill>
            </a:defRPr>
          </a:pPr>
          <a:endParaRPr lang="en-US"/>
        </a:p>
      </c:txPr>
    </c:title>
    <c:autoTitleDeleted val="0"/>
    <c:plotArea>
      <c:layout>
        <c:manualLayout>
          <c:layoutTarget val="inner"/>
          <c:xMode val="edge"/>
          <c:yMode val="edge"/>
          <c:x val="3.0000000000000027E-2"/>
          <c:y val="0.12"/>
          <c:w val="0.94"/>
          <c:h val="0.812972972972973"/>
        </c:manualLayout>
      </c:layout>
      <c:scatterChart>
        <c:scatterStyle val="lineMarker"/>
        <c:varyColors val="0"/>
        <c:ser>
          <c:idx val="0"/>
          <c:order val="0"/>
          <c:tx>
            <c:v>Polea primaria</c:v>
          </c:tx>
          <c:spPr>
            <a:ln w="19050">
              <a:solidFill>
                <a:srgbClr val="BFBFBF"/>
              </a:solidFill>
              <a:prstDash val="dash"/>
            </a:ln>
          </c:spPr>
          <c:marker>
            <c:symbol val="none"/>
          </c:marker>
          <c:xVal>
            <c:numRef>
              <c:f>'U4 CVT'!$AC$3:$AC$39</c:f>
              <c:numCache>
                <c:formatCode>0.000</c:formatCode>
                <c:ptCount val="37"/>
                <c:pt idx="0">
                  <c:v>81</c:v>
                </c:pt>
                <c:pt idx="1">
                  <c:v>79.769427993988856</c:v>
                </c:pt>
                <c:pt idx="2">
                  <c:v>76.115102283658587</c:v>
                </c:pt>
                <c:pt idx="3">
                  <c:v>70.148057706539532</c:v>
                </c:pt>
                <c:pt idx="4">
                  <c:v>62.049599892637218</c:v>
                </c:pt>
                <c:pt idx="5">
                  <c:v>52.065796384609691</c:v>
                </c:pt>
                <c:pt idx="6">
                  <c:v>40.500000000000007</c:v>
                </c:pt>
                <c:pt idx="7">
                  <c:v>27.703631609379176</c:v>
                </c:pt>
                <c:pt idx="8">
                  <c:v>14.065502391021363</c:v>
                </c:pt>
                <c:pt idx="9">
                  <c:v>4.961851242379911E-15</c:v>
                </c:pt>
                <c:pt idx="10">
                  <c:v>-14.065502391021354</c:v>
                </c:pt>
                <c:pt idx="11">
                  <c:v>-27.703631609379165</c:v>
                </c:pt>
                <c:pt idx="12">
                  <c:v>-40.499999999999979</c:v>
                </c:pt>
                <c:pt idx="13">
                  <c:v>-52.065796384609691</c:v>
                </c:pt>
                <c:pt idx="14">
                  <c:v>-62.049599892637211</c:v>
                </c:pt>
                <c:pt idx="15">
                  <c:v>-70.148057706539532</c:v>
                </c:pt>
                <c:pt idx="16">
                  <c:v>-76.115102283658572</c:v>
                </c:pt>
                <c:pt idx="17">
                  <c:v>-79.769427993988856</c:v>
                </c:pt>
                <c:pt idx="18">
                  <c:v>-81</c:v>
                </c:pt>
                <c:pt idx="19">
                  <c:v>-79.769427993988856</c:v>
                </c:pt>
                <c:pt idx="20">
                  <c:v>-76.115102283658587</c:v>
                </c:pt>
                <c:pt idx="21">
                  <c:v>-70.148057706539532</c:v>
                </c:pt>
                <c:pt idx="22">
                  <c:v>-62.049599892637218</c:v>
                </c:pt>
                <c:pt idx="23">
                  <c:v>-52.065796384609698</c:v>
                </c:pt>
                <c:pt idx="24">
                  <c:v>-40.500000000000036</c:v>
                </c:pt>
                <c:pt idx="25">
                  <c:v>-27.703631609379151</c:v>
                </c:pt>
                <c:pt idx="26">
                  <c:v>-14.065502391021356</c:v>
                </c:pt>
                <c:pt idx="27">
                  <c:v>-1.4885553727139733E-14</c:v>
                </c:pt>
                <c:pt idx="28">
                  <c:v>14.065502391021328</c:v>
                </c:pt>
                <c:pt idx="29">
                  <c:v>27.703631609379187</c:v>
                </c:pt>
                <c:pt idx="30">
                  <c:v>40.500000000000007</c:v>
                </c:pt>
                <c:pt idx="31">
                  <c:v>52.065796384609676</c:v>
                </c:pt>
                <c:pt idx="32">
                  <c:v>62.049599892637204</c:v>
                </c:pt>
                <c:pt idx="33">
                  <c:v>70.148057706539504</c:v>
                </c:pt>
                <c:pt idx="34">
                  <c:v>76.115102283658587</c:v>
                </c:pt>
                <c:pt idx="35">
                  <c:v>79.769427993988856</c:v>
                </c:pt>
                <c:pt idx="36">
                  <c:v>81</c:v>
                </c:pt>
              </c:numCache>
            </c:numRef>
          </c:xVal>
          <c:yVal>
            <c:numRef>
              <c:f>'U4 CVT'!$AD$3:$AD$39</c:f>
              <c:numCache>
                <c:formatCode>0.000</c:formatCode>
                <c:ptCount val="37"/>
                <c:pt idx="0">
                  <c:v>0</c:v>
                </c:pt>
                <c:pt idx="1">
                  <c:v>14.065502391021356</c:v>
                </c:pt>
                <c:pt idx="2">
                  <c:v>27.703631609379165</c:v>
                </c:pt>
                <c:pt idx="3">
                  <c:v>40.499999999999993</c:v>
                </c:pt>
                <c:pt idx="4">
                  <c:v>52.065796384609676</c:v>
                </c:pt>
                <c:pt idx="5">
                  <c:v>62.049599892637218</c:v>
                </c:pt>
                <c:pt idx="6">
                  <c:v>70.148057706539532</c:v>
                </c:pt>
                <c:pt idx="7">
                  <c:v>76.115102283658572</c:v>
                </c:pt>
                <c:pt idx="8">
                  <c:v>79.769427993988856</c:v>
                </c:pt>
                <c:pt idx="9">
                  <c:v>81</c:v>
                </c:pt>
                <c:pt idx="10">
                  <c:v>79.769427993988856</c:v>
                </c:pt>
                <c:pt idx="11">
                  <c:v>76.115102283658587</c:v>
                </c:pt>
                <c:pt idx="12">
                  <c:v>70.148057706539532</c:v>
                </c:pt>
                <c:pt idx="13">
                  <c:v>62.049599892637218</c:v>
                </c:pt>
                <c:pt idx="14">
                  <c:v>52.065796384609698</c:v>
                </c:pt>
                <c:pt idx="15">
                  <c:v>40.499999999999993</c:v>
                </c:pt>
                <c:pt idx="16">
                  <c:v>27.70363160937918</c:v>
                </c:pt>
                <c:pt idx="17">
                  <c:v>14.065502391021353</c:v>
                </c:pt>
                <c:pt idx="18">
                  <c:v>9.9237024847598221E-15</c:v>
                </c:pt>
                <c:pt idx="19">
                  <c:v>-14.065502391021369</c:v>
                </c:pt>
                <c:pt idx="20">
                  <c:v>-27.703631609379162</c:v>
                </c:pt>
                <c:pt idx="21">
                  <c:v>-40.500000000000007</c:v>
                </c:pt>
                <c:pt idx="22">
                  <c:v>-52.065796384609676</c:v>
                </c:pt>
                <c:pt idx="23">
                  <c:v>-62.049599892637211</c:v>
                </c:pt>
                <c:pt idx="24">
                  <c:v>-70.148057706539504</c:v>
                </c:pt>
                <c:pt idx="25">
                  <c:v>-76.115102283658587</c:v>
                </c:pt>
                <c:pt idx="26">
                  <c:v>-79.769427993988856</c:v>
                </c:pt>
                <c:pt idx="27">
                  <c:v>-81</c:v>
                </c:pt>
                <c:pt idx="28">
                  <c:v>-79.769427993988856</c:v>
                </c:pt>
                <c:pt idx="29">
                  <c:v>-76.115102283658572</c:v>
                </c:pt>
                <c:pt idx="30">
                  <c:v>-70.148057706539532</c:v>
                </c:pt>
                <c:pt idx="31">
                  <c:v>-62.049599892637225</c:v>
                </c:pt>
                <c:pt idx="32">
                  <c:v>-52.065796384609705</c:v>
                </c:pt>
                <c:pt idx="33">
                  <c:v>-40.500000000000036</c:v>
                </c:pt>
                <c:pt idx="34">
                  <c:v>-27.703631609379158</c:v>
                </c:pt>
                <c:pt idx="35">
                  <c:v>-14.065502391021361</c:v>
                </c:pt>
                <c:pt idx="36">
                  <c:v>-1.9847404969519644E-14</c:v>
                </c:pt>
              </c:numCache>
            </c:numRef>
          </c:yVal>
          <c:smooth val="0"/>
          <c:extLst>
            <c:ext xmlns:c16="http://schemas.microsoft.com/office/drawing/2014/chart" uri="{C3380CC4-5D6E-409C-BE32-E72D297353CC}">
              <c16:uniqueId val="{00000000-CEA0-4473-AB95-ED346A4A6A55}"/>
            </c:ext>
          </c:extLst>
        </c:ser>
        <c:ser>
          <c:idx val="1"/>
          <c:order val="1"/>
          <c:tx>
            <c:v>Polea secundaria</c:v>
          </c:tx>
          <c:spPr>
            <a:ln w="19050">
              <a:solidFill>
                <a:srgbClr val="BFBFBF"/>
              </a:solidFill>
              <a:prstDash val="dash"/>
            </a:ln>
          </c:spPr>
          <c:marker>
            <c:symbol val="none"/>
          </c:marker>
          <c:xVal>
            <c:numRef>
              <c:f>'U4 CVT'!$AE$3:$AE$39</c:f>
              <c:numCache>
                <c:formatCode>0.000</c:formatCode>
                <c:ptCount val="37"/>
                <c:pt idx="0">
                  <c:v>261</c:v>
                </c:pt>
                <c:pt idx="1">
                  <c:v>259.76942799398887</c:v>
                </c:pt>
                <c:pt idx="2">
                  <c:v>256.11510228365859</c:v>
                </c:pt>
                <c:pt idx="3">
                  <c:v>250.14805770653953</c:v>
                </c:pt>
                <c:pt idx="4">
                  <c:v>242.04959989263722</c:v>
                </c:pt>
                <c:pt idx="5">
                  <c:v>232.06579638460968</c:v>
                </c:pt>
                <c:pt idx="6">
                  <c:v>220.5</c:v>
                </c:pt>
                <c:pt idx="7">
                  <c:v>207.70363160937919</c:v>
                </c:pt>
                <c:pt idx="8">
                  <c:v>194.06550239102137</c:v>
                </c:pt>
                <c:pt idx="9">
                  <c:v>180</c:v>
                </c:pt>
                <c:pt idx="10">
                  <c:v>165.93449760897863</c:v>
                </c:pt>
                <c:pt idx="11">
                  <c:v>152.29636839062084</c:v>
                </c:pt>
                <c:pt idx="12">
                  <c:v>139.50000000000003</c:v>
                </c:pt>
                <c:pt idx="13">
                  <c:v>127.93420361539032</c:v>
                </c:pt>
                <c:pt idx="14">
                  <c:v>117.95040010736278</c:v>
                </c:pt>
                <c:pt idx="15">
                  <c:v>109.85194229346047</c:v>
                </c:pt>
                <c:pt idx="16">
                  <c:v>103.88489771634143</c:v>
                </c:pt>
                <c:pt idx="17">
                  <c:v>100.23057200601114</c:v>
                </c:pt>
                <c:pt idx="18">
                  <c:v>99</c:v>
                </c:pt>
                <c:pt idx="19">
                  <c:v>100.23057200601114</c:v>
                </c:pt>
                <c:pt idx="20">
                  <c:v>103.88489771634141</c:v>
                </c:pt>
                <c:pt idx="21">
                  <c:v>109.85194229346047</c:v>
                </c:pt>
                <c:pt idx="22">
                  <c:v>117.95040010736278</c:v>
                </c:pt>
                <c:pt idx="23">
                  <c:v>127.9342036153903</c:v>
                </c:pt>
                <c:pt idx="24">
                  <c:v>139.49999999999997</c:v>
                </c:pt>
                <c:pt idx="25">
                  <c:v>152.29636839062084</c:v>
                </c:pt>
                <c:pt idx="26">
                  <c:v>165.93449760897863</c:v>
                </c:pt>
                <c:pt idx="27">
                  <c:v>179.99999999999997</c:v>
                </c:pt>
                <c:pt idx="28">
                  <c:v>194.06550239102134</c:v>
                </c:pt>
                <c:pt idx="29">
                  <c:v>207.70363160937919</c:v>
                </c:pt>
                <c:pt idx="30">
                  <c:v>220.5</c:v>
                </c:pt>
                <c:pt idx="31">
                  <c:v>232.06579638460968</c:v>
                </c:pt>
                <c:pt idx="32">
                  <c:v>242.04959989263722</c:v>
                </c:pt>
                <c:pt idx="33">
                  <c:v>250.1480577065395</c:v>
                </c:pt>
                <c:pt idx="34">
                  <c:v>256.11510228365859</c:v>
                </c:pt>
                <c:pt idx="35">
                  <c:v>259.76942799398887</c:v>
                </c:pt>
                <c:pt idx="36">
                  <c:v>261</c:v>
                </c:pt>
              </c:numCache>
            </c:numRef>
          </c:xVal>
          <c:yVal>
            <c:numRef>
              <c:f>'U4 CVT'!$AF$3:$AF$39</c:f>
              <c:numCache>
                <c:formatCode>0.000</c:formatCode>
                <c:ptCount val="37"/>
                <c:pt idx="0">
                  <c:v>0</c:v>
                </c:pt>
                <c:pt idx="1">
                  <c:v>14.065502391021356</c:v>
                </c:pt>
                <c:pt idx="2">
                  <c:v>27.703631609379165</c:v>
                </c:pt>
                <c:pt idx="3">
                  <c:v>40.499999999999993</c:v>
                </c:pt>
                <c:pt idx="4">
                  <c:v>52.065796384609676</c:v>
                </c:pt>
                <c:pt idx="5">
                  <c:v>62.049599892637218</c:v>
                </c:pt>
                <c:pt idx="6">
                  <c:v>70.148057706539532</c:v>
                </c:pt>
                <c:pt idx="7">
                  <c:v>76.115102283658572</c:v>
                </c:pt>
                <c:pt idx="8">
                  <c:v>79.769427993988856</c:v>
                </c:pt>
                <c:pt idx="9">
                  <c:v>81</c:v>
                </c:pt>
                <c:pt idx="10">
                  <c:v>79.769427993988856</c:v>
                </c:pt>
                <c:pt idx="11">
                  <c:v>76.115102283658587</c:v>
                </c:pt>
                <c:pt idx="12">
                  <c:v>70.148057706539532</c:v>
                </c:pt>
                <c:pt idx="13">
                  <c:v>62.049599892637218</c:v>
                </c:pt>
                <c:pt idx="14">
                  <c:v>52.065796384609698</c:v>
                </c:pt>
                <c:pt idx="15">
                  <c:v>40.499999999999993</c:v>
                </c:pt>
                <c:pt idx="16">
                  <c:v>27.70363160937918</c:v>
                </c:pt>
                <c:pt idx="17">
                  <c:v>14.065502391021353</c:v>
                </c:pt>
                <c:pt idx="18">
                  <c:v>9.9237024847598221E-15</c:v>
                </c:pt>
                <c:pt idx="19">
                  <c:v>-14.065502391021369</c:v>
                </c:pt>
                <c:pt idx="20">
                  <c:v>-27.703631609379162</c:v>
                </c:pt>
                <c:pt idx="21">
                  <c:v>-40.500000000000007</c:v>
                </c:pt>
                <c:pt idx="22">
                  <c:v>-52.065796384609676</c:v>
                </c:pt>
                <c:pt idx="23">
                  <c:v>-62.049599892637211</c:v>
                </c:pt>
                <c:pt idx="24">
                  <c:v>-70.148057706539504</c:v>
                </c:pt>
                <c:pt idx="25">
                  <c:v>-76.115102283658587</c:v>
                </c:pt>
                <c:pt idx="26">
                  <c:v>-79.769427993988856</c:v>
                </c:pt>
                <c:pt idx="27">
                  <c:v>-81</c:v>
                </c:pt>
                <c:pt idx="28">
                  <c:v>-79.769427993988856</c:v>
                </c:pt>
                <c:pt idx="29">
                  <c:v>-76.115102283658572</c:v>
                </c:pt>
                <c:pt idx="30">
                  <c:v>-70.148057706539532</c:v>
                </c:pt>
                <c:pt idx="31">
                  <c:v>-62.049599892637225</c:v>
                </c:pt>
                <c:pt idx="32">
                  <c:v>-52.065796384609705</c:v>
                </c:pt>
                <c:pt idx="33">
                  <c:v>-40.500000000000036</c:v>
                </c:pt>
                <c:pt idx="34">
                  <c:v>-27.703631609379158</c:v>
                </c:pt>
                <c:pt idx="35">
                  <c:v>-14.065502391021361</c:v>
                </c:pt>
                <c:pt idx="36">
                  <c:v>-1.9847404969519644E-14</c:v>
                </c:pt>
              </c:numCache>
            </c:numRef>
          </c:yVal>
          <c:smooth val="0"/>
          <c:extLst>
            <c:ext xmlns:c16="http://schemas.microsoft.com/office/drawing/2014/chart" uri="{C3380CC4-5D6E-409C-BE32-E72D297353CC}">
              <c16:uniqueId val="{00000001-CEA0-4473-AB95-ED346A4A6A55}"/>
            </c:ext>
          </c:extLst>
        </c:ser>
        <c:ser>
          <c:idx val="2"/>
          <c:order val="2"/>
          <c:tx>
            <c:v>Correa</c:v>
          </c:tx>
          <c:spPr>
            <a:ln w="57150">
              <a:solidFill>
                <a:srgbClr val="404040"/>
              </a:solidFill>
            </a:ln>
          </c:spPr>
          <c:marker>
            <c:symbol val="none"/>
          </c:marker>
          <c:xVal>
            <c:numRef>
              <c:f>'U4 CVT'!$AA$3:$AA$41</c:f>
              <c:numCache>
                <c:formatCode>0.000</c:formatCode>
                <c:ptCount val="39"/>
                <c:pt idx="0">
                  <c:v>-7.4999999999999964</c:v>
                </c:pt>
                <c:pt idx="1">
                  <c:v>-11.658716139330647</c:v>
                </c:pt>
                <c:pt idx="2">
                  <c:v>-15.567802386534972</c:v>
                </c:pt>
                <c:pt idx="3">
                  <c:v>-19.143559578983055</c:v>
                </c:pt>
                <c:pt idx="4">
                  <c:v>-22.309425608844712</c:v>
                </c:pt>
                <c:pt idx="5">
                  <c:v>-24.997614728008738</c:v>
                </c:pt>
                <c:pt idx="6">
                  <c:v>-27.150568938509291</c:v>
                </c:pt>
                <c:pt idx="7">
                  <c:v>-28.72219039210156</c:v>
                </c:pt>
                <c:pt idx="8">
                  <c:v>-29.678828411538134</c:v>
                </c:pt>
                <c:pt idx="9">
                  <c:v>-30</c:v>
                </c:pt>
                <c:pt idx="10">
                  <c:v>-29.678828411538138</c:v>
                </c:pt>
                <c:pt idx="11">
                  <c:v>-28.72219039210156</c:v>
                </c:pt>
                <c:pt idx="12">
                  <c:v>-27.150568938509295</c:v>
                </c:pt>
                <c:pt idx="13">
                  <c:v>-24.997614728008742</c:v>
                </c:pt>
                <c:pt idx="14">
                  <c:v>-22.309425608844727</c:v>
                </c:pt>
                <c:pt idx="15">
                  <c:v>-19.143559578983048</c:v>
                </c:pt>
                <c:pt idx="16">
                  <c:v>-15.567802386534993</c:v>
                </c:pt>
                <c:pt idx="17">
                  <c:v>-11.658716139330659</c:v>
                </c:pt>
                <c:pt idx="18">
                  <c:v>-7.5000000000000098</c:v>
                </c:pt>
                <c:pt idx="19">
                  <c:v>161.24999999999997</c:v>
                </c:pt>
                <c:pt idx="20">
                  <c:v>176.24618808629339</c:v>
                </c:pt>
                <c:pt idx="21">
                  <c:v>191.39594451790313</c:v>
                </c:pt>
                <c:pt idx="22">
                  <c:v>206.07949316309137</c:v>
                </c:pt>
                <c:pt idx="23">
                  <c:v>219.69613043823412</c:v>
                </c:pt>
                <c:pt idx="24">
                  <c:v>231.68880007541287</c:v>
                </c:pt>
                <c:pt idx="25">
                  <c:v>241.5668822794847</c:v>
                </c:pt>
                <c:pt idx="26">
                  <c:v>248.92626497082213</c:v>
                </c:pt>
                <c:pt idx="27">
                  <c:v>253.46587599971724</c:v>
                </c:pt>
                <c:pt idx="28">
                  <c:v>255</c:v>
                </c:pt>
                <c:pt idx="29">
                  <c:v>253.46587599971724</c:v>
                </c:pt>
                <c:pt idx="30">
                  <c:v>248.92626497082216</c:v>
                </c:pt>
                <c:pt idx="31">
                  <c:v>241.56688227948476</c:v>
                </c:pt>
                <c:pt idx="32">
                  <c:v>231.6888000754129</c:v>
                </c:pt>
                <c:pt idx="33">
                  <c:v>219.69613043823421</c:v>
                </c:pt>
                <c:pt idx="34">
                  <c:v>206.07949316309146</c:v>
                </c:pt>
                <c:pt idx="35">
                  <c:v>191.39594451790316</c:v>
                </c:pt>
                <c:pt idx="36">
                  <c:v>176.24618808629342</c:v>
                </c:pt>
                <c:pt idx="37">
                  <c:v>161.25000000000009</c:v>
                </c:pt>
                <c:pt idx="38">
                  <c:v>-7.4999999999999964</c:v>
                </c:pt>
              </c:numCache>
            </c:numRef>
          </c:xVal>
          <c:yVal>
            <c:numRef>
              <c:f>'U4 CVT'!$AB$3:$AB$41</c:f>
              <c:numCache>
                <c:formatCode>0.000</c:formatCode>
                <c:ptCount val="39"/>
                <c:pt idx="0">
                  <c:v>29.047375096555626</c:v>
                </c:pt>
                <c:pt idx="1">
                  <c:v>27.641894616370113</c:v>
                </c:pt>
                <c:pt idx="2">
                  <c:v>25.644561389382272</c:v>
                </c:pt>
                <c:pt idx="3">
                  <c:v>23.098141194605386</c:v>
                </c:pt>
                <c:pt idx="4">
                  <c:v>20.057156553295975</c:v>
                </c:pt>
                <c:pt idx="5">
                  <c:v>16.586719323303228</c:v>
                </c:pt>
                <c:pt idx="6">
                  <c:v>12.761136560481376</c:v>
                </c:pt>
                <c:pt idx="7">
                  <c:v>8.6623194976789541</c:v>
                </c:pt>
                <c:pt idx="8">
                  <c:v>4.3780297073542851</c:v>
                </c:pt>
                <c:pt idx="9">
                  <c:v>3.67544536472586E-15</c:v>
                </c:pt>
                <c:pt idx="10">
                  <c:v>-4.378029707354278</c:v>
                </c:pt>
                <c:pt idx="11">
                  <c:v>-8.662319497678947</c:v>
                </c:pt>
                <c:pt idx="12">
                  <c:v>-12.761136560481368</c:v>
                </c:pt>
                <c:pt idx="13">
                  <c:v>-16.586719323303221</c:v>
                </c:pt>
                <c:pt idx="14">
                  <c:v>-20.057156553295961</c:v>
                </c:pt>
                <c:pt idx="15">
                  <c:v>-23.09814119460539</c:v>
                </c:pt>
                <c:pt idx="16">
                  <c:v>-25.644561389382261</c:v>
                </c:pt>
                <c:pt idx="17">
                  <c:v>-27.641894616370106</c:v>
                </c:pt>
                <c:pt idx="18">
                  <c:v>-29.047375096555623</c:v>
                </c:pt>
                <c:pt idx="19">
                  <c:v>-72.618437741389059</c:v>
                </c:pt>
                <c:pt idx="20">
                  <c:v>-74.906000401279698</c:v>
                </c:pt>
                <c:pt idx="21">
                  <c:v>-74.129160581682527</c:v>
                </c:pt>
                <c:pt idx="22">
                  <c:v>-70.319698778907394</c:v>
                </c:pt>
                <c:pt idx="23">
                  <c:v>-63.633459973748899</c:v>
                </c:pt>
                <c:pt idx="24">
                  <c:v>-54.343978017476779</c:v>
                </c:pt>
                <c:pt idx="25">
                  <c:v>-42.831285369272706</c:v>
                </c:pt>
                <c:pt idx="26">
                  <c:v>-29.566365978456297</c:v>
                </c:pt>
                <c:pt idx="27">
                  <c:v>-15.09188734367479</c:v>
                </c:pt>
                <c:pt idx="28">
                  <c:v>-1.83772268236293E-14</c:v>
                </c:pt>
                <c:pt idx="29">
                  <c:v>15.09188734367469</c:v>
                </c:pt>
                <c:pt idx="30">
                  <c:v>29.566365978456265</c:v>
                </c:pt>
                <c:pt idx="31">
                  <c:v>42.831285369272621</c:v>
                </c:pt>
                <c:pt idx="32">
                  <c:v>54.343978017476744</c:v>
                </c:pt>
                <c:pt idx="33">
                  <c:v>63.633459973748835</c:v>
                </c:pt>
                <c:pt idx="34">
                  <c:v>70.319698778907366</c:v>
                </c:pt>
                <c:pt idx="35">
                  <c:v>74.129160581682513</c:v>
                </c:pt>
                <c:pt idx="36">
                  <c:v>74.906000401279698</c:v>
                </c:pt>
                <c:pt idx="37">
                  <c:v>72.618437741389087</c:v>
                </c:pt>
                <c:pt idx="38">
                  <c:v>29.047375096555626</c:v>
                </c:pt>
              </c:numCache>
            </c:numRef>
          </c:yVal>
          <c:smooth val="0"/>
          <c:extLst>
            <c:ext xmlns:c16="http://schemas.microsoft.com/office/drawing/2014/chart" uri="{C3380CC4-5D6E-409C-BE32-E72D297353CC}">
              <c16:uniqueId val="{00000002-CEA0-4473-AB95-ED346A4A6A55}"/>
            </c:ext>
          </c:extLst>
        </c:ser>
        <c:ser>
          <c:idx val="3"/>
          <c:order val="3"/>
          <c:tx>
            <c:v>Ejes</c:v>
          </c:tx>
          <c:spPr>
            <a:ln>
              <a:noFill/>
            </a:ln>
          </c:spPr>
          <c:marker>
            <c:symbol val="circle"/>
            <c:size val="10"/>
            <c:spPr>
              <a:solidFill>
                <a:srgbClr val="C55A11"/>
              </a:solidFill>
              <a:ln>
                <a:solidFill>
                  <a:srgbClr val="000000"/>
                </a:solidFill>
              </a:ln>
            </c:spPr>
          </c:marker>
          <c:xVal>
            <c:numRef>
              <c:f>'U4 CVT'!$AG$3:$AG$4</c:f>
              <c:numCache>
                <c:formatCode>0.000</c:formatCode>
                <c:ptCount val="2"/>
                <c:pt idx="0">
                  <c:v>0</c:v>
                </c:pt>
                <c:pt idx="1">
                  <c:v>180</c:v>
                </c:pt>
              </c:numCache>
            </c:numRef>
          </c:xVal>
          <c:yVal>
            <c:numRef>
              <c:f>'U4 CVT'!$AH$3:$AH$4</c:f>
              <c:numCache>
                <c:formatCode>0.000</c:formatCode>
                <c:ptCount val="2"/>
                <c:pt idx="0">
                  <c:v>0</c:v>
                </c:pt>
                <c:pt idx="1">
                  <c:v>0</c:v>
                </c:pt>
              </c:numCache>
            </c:numRef>
          </c:yVal>
          <c:smooth val="0"/>
          <c:extLst>
            <c:ext xmlns:c16="http://schemas.microsoft.com/office/drawing/2014/chart" uri="{C3380CC4-5D6E-409C-BE32-E72D297353CC}">
              <c16:uniqueId val="{00000003-CEA0-4473-AB95-ED346A4A6A55}"/>
            </c:ext>
          </c:extLst>
        </c:ser>
        <c:dLbls>
          <c:showLegendKey val="0"/>
          <c:showVal val="0"/>
          <c:showCatName val="0"/>
          <c:showSerName val="0"/>
          <c:showPercent val="0"/>
          <c:showBubbleSize val="0"/>
        </c:dLbls>
        <c:axId val="50190001"/>
        <c:axId val="50190002"/>
      </c:scatterChart>
      <c:valAx>
        <c:axId val="50190001"/>
        <c:scaling>
          <c:orientation val="minMax"/>
          <c:max val="275"/>
          <c:min val="-95"/>
        </c:scaling>
        <c:delete val="1"/>
        <c:axPos val="b"/>
        <c:numFmt formatCode="0.000" sourceLinked="1"/>
        <c:majorTickMark val="out"/>
        <c:minorTickMark val="none"/>
        <c:tickLblPos val="nextTo"/>
        <c:crossAx val="50190002"/>
        <c:crosses val="autoZero"/>
        <c:crossBetween val="midCat"/>
      </c:valAx>
      <c:valAx>
        <c:axId val="50190002"/>
        <c:scaling>
          <c:orientation val="minMax"/>
          <c:max val="88"/>
          <c:min val="-88"/>
        </c:scaling>
        <c:delete val="1"/>
        <c:axPos val="l"/>
        <c:numFmt formatCode="0.000" sourceLinked="1"/>
        <c:majorTickMark val="out"/>
        <c:minorTickMark val="none"/>
        <c:tickLblPos val="nextTo"/>
        <c:crossAx val="50190001"/>
        <c:crosses val="autoZero"/>
        <c:crossBetween val="midCat"/>
      </c:valAx>
    </c:plotArea>
    <c:plotVisOnly val="1"/>
    <c:dispBlanksAs val="gap"/>
    <c:showDLblsOverMax val="0"/>
  </c:chart>
  <c:spPr>
    <a:ln>
      <a:solidFill>
        <a:srgbClr val="BFBFBF"/>
      </a:solidFill>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Velocidad del vehículo según el régimen y la relación</a:t>
            </a:r>
          </a:p>
        </c:rich>
      </c:tx>
      <c:overlay val="0"/>
    </c:title>
    <c:autoTitleDeleted val="0"/>
    <c:plotArea>
      <c:layout/>
      <c:scatterChart>
        <c:scatterStyle val="lineMarker"/>
        <c:varyColors val="0"/>
        <c:ser>
          <c:idx val="0"/>
          <c:order val="0"/>
          <c:tx>
            <c:v>Relación máxima (arranque)</c:v>
          </c:tx>
          <c:spPr>
            <a:ln w="25400">
              <a:solidFill>
                <a:srgbClr val="C00000"/>
              </a:solidFill>
            </a:ln>
          </c:spPr>
          <c:marker>
            <c:symbol val="none"/>
          </c:marker>
          <c:xVal>
            <c:numRef>
              <c:f>'U4 CVT'!$AK$3:$AK$4</c:f>
              <c:numCache>
                <c:formatCode>0.000</c:formatCode>
                <c:ptCount val="2"/>
                <c:pt idx="0">
                  <c:v>1000</c:v>
                </c:pt>
                <c:pt idx="1">
                  <c:v>6000</c:v>
                </c:pt>
              </c:numCache>
            </c:numRef>
          </c:xVal>
          <c:yVal>
            <c:numRef>
              <c:f>'U4 CVT'!$AL$3:$AL$4</c:f>
              <c:numCache>
                <c:formatCode>0.000</c:formatCode>
                <c:ptCount val="2"/>
                <c:pt idx="0">
                  <c:v>8.2254545454545447</c:v>
                </c:pt>
                <c:pt idx="1">
                  <c:v>49.352727272727272</c:v>
                </c:pt>
              </c:numCache>
            </c:numRef>
          </c:yVal>
          <c:smooth val="0"/>
          <c:extLst>
            <c:ext xmlns:c16="http://schemas.microsoft.com/office/drawing/2014/chart" uri="{C3380CC4-5D6E-409C-BE32-E72D297353CC}">
              <c16:uniqueId val="{00000000-B320-4DAB-A100-13CAE8C66D0D}"/>
            </c:ext>
          </c:extLst>
        </c:ser>
        <c:ser>
          <c:idx val="1"/>
          <c:order val="1"/>
          <c:tx>
            <c:v>Relación mínima (crucero)</c:v>
          </c:tx>
          <c:spPr>
            <a:ln w="25400">
              <a:solidFill>
                <a:srgbClr val="548235"/>
              </a:solidFill>
            </a:ln>
          </c:spPr>
          <c:marker>
            <c:symbol val="none"/>
          </c:marker>
          <c:xVal>
            <c:numRef>
              <c:f>'U4 CVT'!$AK$3:$AK$4</c:f>
              <c:numCache>
                <c:formatCode>0.000</c:formatCode>
                <c:ptCount val="2"/>
                <c:pt idx="0">
                  <c:v>1000</c:v>
                </c:pt>
                <c:pt idx="1">
                  <c:v>6000</c:v>
                </c:pt>
              </c:numCache>
            </c:numRef>
          </c:xVal>
          <c:yVal>
            <c:numRef>
              <c:f>'U4 CVT'!$AM$3:$AM$4</c:f>
              <c:numCache>
                <c:formatCode>0.000</c:formatCode>
                <c:ptCount val="2"/>
                <c:pt idx="0">
                  <c:v>51.409090909090899</c:v>
                </c:pt>
                <c:pt idx="1">
                  <c:v>308.45454545454544</c:v>
                </c:pt>
              </c:numCache>
            </c:numRef>
          </c:yVal>
          <c:smooth val="0"/>
          <c:extLst>
            <c:ext xmlns:c16="http://schemas.microsoft.com/office/drawing/2014/chart" uri="{C3380CC4-5D6E-409C-BE32-E72D297353CC}">
              <c16:uniqueId val="{00000001-B320-4DAB-A100-13CAE8C66D0D}"/>
            </c:ext>
          </c:extLst>
        </c:ser>
        <c:ser>
          <c:idx val="2"/>
          <c:order val="2"/>
          <c:tx>
            <c:v>Relación actual</c:v>
          </c:tx>
          <c:spPr>
            <a:ln w="19050">
              <a:solidFill>
                <a:srgbClr val="2E75B6"/>
              </a:solidFill>
              <a:prstDash val="dash"/>
            </a:ln>
          </c:spPr>
          <c:marker>
            <c:symbol val="none"/>
          </c:marker>
          <c:xVal>
            <c:numRef>
              <c:f>'U4 CVT'!$AK$3:$AK$4</c:f>
              <c:numCache>
                <c:formatCode>0.000</c:formatCode>
                <c:ptCount val="2"/>
                <c:pt idx="0">
                  <c:v>1000</c:v>
                </c:pt>
                <c:pt idx="1">
                  <c:v>6000</c:v>
                </c:pt>
              </c:numCache>
            </c:numRef>
          </c:xVal>
          <c:yVal>
            <c:numRef>
              <c:f>'U4 CVT'!$AN$3:$AN$4</c:f>
              <c:numCache>
                <c:formatCode>0.000</c:formatCode>
                <c:ptCount val="2"/>
                <c:pt idx="0">
                  <c:v>8.2254545454545447</c:v>
                </c:pt>
                <c:pt idx="1">
                  <c:v>49.352727272727272</c:v>
                </c:pt>
              </c:numCache>
            </c:numRef>
          </c:yVal>
          <c:smooth val="0"/>
          <c:extLst>
            <c:ext xmlns:c16="http://schemas.microsoft.com/office/drawing/2014/chart" uri="{C3380CC4-5D6E-409C-BE32-E72D297353CC}">
              <c16:uniqueId val="{00000002-B320-4DAB-A100-13CAE8C66D0D}"/>
            </c:ext>
          </c:extLst>
        </c:ser>
        <c:ser>
          <c:idx val="3"/>
          <c:order val="3"/>
          <c:tx>
            <c:v>Punto actual</c:v>
          </c:tx>
          <c:spPr>
            <a:ln>
              <a:noFill/>
            </a:ln>
          </c:spPr>
          <c:marker>
            <c:symbol val="circle"/>
            <c:size val="9"/>
            <c:spPr>
              <a:solidFill>
                <a:srgbClr val="C00000"/>
              </a:solidFill>
              <a:ln>
                <a:solidFill>
                  <a:srgbClr val="000000"/>
                </a:solidFill>
              </a:ln>
            </c:spPr>
          </c:marker>
          <c:xVal>
            <c:numRef>
              <c:f>'U4 CVT'!$AP$3:$AP$3</c:f>
              <c:numCache>
                <c:formatCode>0.000</c:formatCode>
                <c:ptCount val="1"/>
                <c:pt idx="0">
                  <c:v>2000</c:v>
                </c:pt>
              </c:numCache>
            </c:numRef>
          </c:xVal>
          <c:yVal>
            <c:numRef>
              <c:f>'U4 CVT'!$AQ$3:$AQ$3</c:f>
              <c:numCache>
                <c:formatCode>0.000</c:formatCode>
                <c:ptCount val="1"/>
                <c:pt idx="0">
                  <c:v>16.450909090909089</c:v>
                </c:pt>
              </c:numCache>
            </c:numRef>
          </c:yVal>
          <c:smooth val="0"/>
          <c:extLst>
            <c:ext xmlns:c16="http://schemas.microsoft.com/office/drawing/2014/chart" uri="{C3380CC4-5D6E-409C-BE32-E72D297353CC}">
              <c16:uniqueId val="{00000003-B320-4DAB-A100-13CAE8C66D0D}"/>
            </c:ext>
          </c:extLst>
        </c:ser>
        <c:dLbls>
          <c:showLegendKey val="0"/>
          <c:showVal val="0"/>
          <c:showCatName val="0"/>
          <c:showSerName val="0"/>
          <c:showPercent val="0"/>
          <c:showBubbleSize val="0"/>
        </c:dLbls>
        <c:axId val="50200001"/>
        <c:axId val="50200002"/>
      </c:scatterChart>
      <c:valAx>
        <c:axId val="50200001"/>
        <c:scaling>
          <c:orientation val="minMax"/>
          <c:max val="6000"/>
          <c:min val="1000"/>
        </c:scaling>
        <c:delete val="0"/>
        <c:axPos val="b"/>
        <c:majorGridlines>
          <c:spPr>
            <a:ln>
              <a:solidFill>
                <a:srgbClr val="E0E0E0"/>
              </a:solidFill>
            </a:ln>
          </c:spPr>
        </c:majorGridlines>
        <c:title>
          <c:tx>
            <c:rich>
              <a:bodyPr/>
              <a:lstStyle/>
              <a:p>
                <a:pPr>
                  <a:defRPr sz="900" b="0" baseline="0"/>
                </a:pPr>
                <a:r>
                  <a:rPr lang="en-US" sz="900" b="0" baseline="0"/>
                  <a:t>Régimen del motor [min⁻¹]</a:t>
                </a:r>
              </a:p>
            </c:rich>
          </c:tx>
          <c:overlay val="0"/>
        </c:title>
        <c:numFmt formatCode="0.000" sourceLinked="1"/>
        <c:majorTickMark val="out"/>
        <c:minorTickMark val="none"/>
        <c:tickLblPos val="nextTo"/>
        <c:txPr>
          <a:bodyPr/>
          <a:lstStyle/>
          <a:p>
            <a:pPr>
              <a:defRPr sz="800" baseline="0"/>
            </a:pPr>
            <a:endParaRPr lang="en-US"/>
          </a:p>
        </c:txPr>
        <c:crossAx val="50200002"/>
        <c:crosses val="autoZero"/>
        <c:crossBetween val="midCat"/>
        <c:majorUnit val="1000"/>
      </c:valAx>
      <c:valAx>
        <c:axId val="50200002"/>
        <c:scaling>
          <c:orientation val="minMax"/>
        </c:scaling>
        <c:delete val="0"/>
        <c:axPos val="l"/>
        <c:majorGridlines>
          <c:spPr>
            <a:ln>
              <a:solidFill>
                <a:srgbClr val="E0E0E0"/>
              </a:solidFill>
            </a:ln>
          </c:spPr>
        </c:majorGridlines>
        <c:title>
          <c:tx>
            <c:rich>
              <a:bodyPr rot="-5400000" vert="horz"/>
              <a:lstStyle/>
              <a:p>
                <a:pPr>
                  <a:defRPr sz="900" b="0" baseline="0"/>
                </a:pPr>
                <a:r>
                  <a:rPr lang="en-US" sz="900" b="0" baseline="0"/>
                  <a:t>Velocidad [km/h]</a:t>
                </a:r>
              </a:p>
            </c:rich>
          </c:tx>
          <c:overlay val="0"/>
        </c:title>
        <c:numFmt formatCode="0.000" sourceLinked="1"/>
        <c:majorTickMark val="out"/>
        <c:minorTickMark val="none"/>
        <c:tickLblPos val="nextTo"/>
        <c:txPr>
          <a:bodyPr/>
          <a:lstStyle/>
          <a:p>
            <a:pPr>
              <a:defRPr sz="800" baseline="0"/>
            </a:pPr>
            <a:endParaRPr lang="en-US"/>
          </a:p>
        </c:txPr>
        <c:crossAx val="50200001"/>
        <c:crosses val="autoZero"/>
        <c:crossBetween val="midCat"/>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Nomograma del tren de reparto</a:t>
            </a:r>
          </a:p>
        </c:rich>
      </c:tx>
      <c:overlay val="0"/>
    </c:title>
    <c:autoTitleDeleted val="0"/>
    <c:plotArea>
      <c:layout/>
      <c:scatterChart>
        <c:scatterStyle val="lineMarker"/>
        <c:varyColors val="0"/>
        <c:ser>
          <c:idx val="0"/>
          <c:order val="0"/>
          <c:tx>
            <c:v>MG1 (planetario)</c:v>
          </c:tx>
          <c:spPr>
            <a:ln w="38100">
              <a:solidFill>
                <a:srgbClr val="C55A11"/>
              </a:solidFill>
            </a:ln>
          </c:spPr>
          <c:marker>
            <c:symbol val="none"/>
          </c:marker>
          <c:xVal>
            <c:numRef>
              <c:f>'U4 Híbrido'!$AA$3:$AA$4</c:f>
              <c:numCache>
                <c:formatCode>0.000</c:formatCode>
                <c:ptCount val="2"/>
                <c:pt idx="0">
                  <c:v>0</c:v>
                </c:pt>
                <c:pt idx="1">
                  <c:v>0</c:v>
                </c:pt>
              </c:numCache>
            </c:numRef>
          </c:xVal>
          <c:yVal>
            <c:numRef>
              <c:f>'U4 Híbrido'!$AB$3:$AB$4</c:f>
              <c:numCache>
                <c:formatCode>0.000</c:formatCode>
                <c:ptCount val="2"/>
                <c:pt idx="0">
                  <c:v>-12000</c:v>
                </c:pt>
                <c:pt idx="1">
                  <c:v>12000</c:v>
                </c:pt>
              </c:numCache>
            </c:numRef>
          </c:yVal>
          <c:smooth val="0"/>
          <c:extLst>
            <c:ext xmlns:c16="http://schemas.microsoft.com/office/drawing/2014/chart" uri="{C3380CC4-5D6E-409C-BE32-E72D297353CC}">
              <c16:uniqueId val="{00000000-AB5C-4CC3-918C-E18B873AEBD8}"/>
            </c:ext>
          </c:extLst>
        </c:ser>
        <c:ser>
          <c:idx val="1"/>
          <c:order val="1"/>
          <c:tx>
            <c:v>Motor (portasatélites)</c:v>
          </c:tx>
          <c:spPr>
            <a:ln w="38100">
              <a:solidFill>
                <a:srgbClr val="7030A0"/>
              </a:solidFill>
            </a:ln>
          </c:spPr>
          <c:marker>
            <c:symbol val="none"/>
          </c:marker>
          <c:xVal>
            <c:numRef>
              <c:f>'U4 Híbrido'!$AC$3:$AC$4</c:f>
              <c:numCache>
                <c:formatCode>0.000</c:formatCode>
                <c:ptCount val="2"/>
                <c:pt idx="0">
                  <c:v>0.72222222222222221</c:v>
                </c:pt>
                <c:pt idx="1">
                  <c:v>0.72222222222222221</c:v>
                </c:pt>
              </c:numCache>
            </c:numRef>
          </c:xVal>
          <c:yVal>
            <c:numRef>
              <c:f>'U4 Híbrido'!$AD$3:$AD$4</c:f>
              <c:numCache>
                <c:formatCode>0.000</c:formatCode>
                <c:ptCount val="2"/>
                <c:pt idx="0">
                  <c:v>-12000</c:v>
                </c:pt>
                <c:pt idx="1">
                  <c:v>12000</c:v>
                </c:pt>
              </c:numCache>
            </c:numRef>
          </c:yVal>
          <c:smooth val="0"/>
          <c:extLst>
            <c:ext xmlns:c16="http://schemas.microsoft.com/office/drawing/2014/chart" uri="{C3380CC4-5D6E-409C-BE32-E72D297353CC}">
              <c16:uniqueId val="{00000001-AB5C-4CC3-918C-E18B873AEBD8}"/>
            </c:ext>
          </c:extLst>
        </c:ser>
        <c:ser>
          <c:idx val="2"/>
          <c:order val="2"/>
          <c:tx>
            <c:v>MG2 (corona)</c:v>
          </c:tx>
          <c:spPr>
            <a:ln w="38100">
              <a:solidFill>
                <a:srgbClr val="2E75B6"/>
              </a:solidFill>
            </a:ln>
          </c:spPr>
          <c:marker>
            <c:symbol val="none"/>
          </c:marker>
          <c:xVal>
            <c:numRef>
              <c:f>'U4 Híbrido'!$AE$3:$AE$4</c:f>
              <c:numCache>
                <c:formatCode>0.000</c:formatCode>
                <c:ptCount val="2"/>
                <c:pt idx="0">
                  <c:v>1</c:v>
                </c:pt>
                <c:pt idx="1">
                  <c:v>1</c:v>
                </c:pt>
              </c:numCache>
            </c:numRef>
          </c:xVal>
          <c:yVal>
            <c:numRef>
              <c:f>'U4 Híbrido'!$AF$3:$AF$4</c:f>
              <c:numCache>
                <c:formatCode>0.000</c:formatCode>
                <c:ptCount val="2"/>
                <c:pt idx="0">
                  <c:v>-12000</c:v>
                </c:pt>
                <c:pt idx="1">
                  <c:v>12000</c:v>
                </c:pt>
              </c:numCache>
            </c:numRef>
          </c:yVal>
          <c:smooth val="0"/>
          <c:extLst>
            <c:ext xmlns:c16="http://schemas.microsoft.com/office/drawing/2014/chart" uri="{C3380CC4-5D6E-409C-BE32-E72D297353CC}">
              <c16:uniqueId val="{00000002-AB5C-4CC3-918C-E18B873AEBD8}"/>
            </c:ext>
          </c:extLst>
        </c:ser>
        <c:ser>
          <c:idx val="3"/>
          <c:order val="3"/>
          <c:tx>
            <c:v>Cero</c:v>
          </c:tx>
          <c:spPr>
            <a:ln w="12700">
              <a:solidFill>
                <a:srgbClr val="7F7F7F"/>
              </a:solidFill>
              <a:prstDash val="dash"/>
            </a:ln>
          </c:spPr>
          <c:marker>
            <c:symbol val="none"/>
          </c:marker>
          <c:xVal>
            <c:numRef>
              <c:f>'U4 Híbrido'!$AG$3:$AG$4</c:f>
              <c:numCache>
                <c:formatCode>0.000</c:formatCode>
                <c:ptCount val="2"/>
                <c:pt idx="0">
                  <c:v>-0.05</c:v>
                </c:pt>
                <c:pt idx="1">
                  <c:v>1.05</c:v>
                </c:pt>
              </c:numCache>
            </c:numRef>
          </c:xVal>
          <c:yVal>
            <c:numRef>
              <c:f>'U4 Híbrido'!$AH$3:$AH$4</c:f>
              <c:numCache>
                <c:formatCode>0.000</c:formatCode>
                <c:ptCount val="2"/>
                <c:pt idx="0">
                  <c:v>0</c:v>
                </c:pt>
                <c:pt idx="1">
                  <c:v>0</c:v>
                </c:pt>
              </c:numCache>
            </c:numRef>
          </c:yVal>
          <c:smooth val="0"/>
          <c:extLst>
            <c:ext xmlns:c16="http://schemas.microsoft.com/office/drawing/2014/chart" uri="{C3380CC4-5D6E-409C-BE32-E72D297353CC}">
              <c16:uniqueId val="{00000003-AB5C-4CC3-918C-E18B873AEBD8}"/>
            </c:ext>
          </c:extLst>
        </c:ser>
        <c:ser>
          <c:idx val="4"/>
          <c:order val="4"/>
          <c:tx>
            <c:v>Palanca</c:v>
          </c:tx>
          <c:spPr>
            <a:ln w="31750">
              <a:solidFill>
                <a:srgbClr val="000000"/>
              </a:solidFill>
            </a:ln>
          </c:spPr>
          <c:marker>
            <c:symbol val="circle"/>
            <c:size val="9"/>
            <c:spPr>
              <a:solidFill>
                <a:srgbClr val="C00000"/>
              </a:solidFill>
              <a:ln>
                <a:solidFill>
                  <a:srgbClr val="000000"/>
                </a:solidFill>
              </a:ln>
            </c:spPr>
          </c:marker>
          <c:dLbls>
            <c:numFmt formatCode="#,##0" sourceLinked="0"/>
            <c:spPr>
              <a:noFill/>
              <a:ln>
                <a:noFill/>
              </a:ln>
              <a:effectLst/>
            </c:spPr>
            <c:txPr>
              <a:bodyPr/>
              <a:lstStyle/>
              <a:p>
                <a:pPr>
                  <a:defRPr sz="900" b="1"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'U4 Híbrido'!$AI$3:$AI$5</c:f>
              <c:numCache>
                <c:formatCode>0.000</c:formatCode>
                <c:ptCount val="3"/>
                <c:pt idx="0">
                  <c:v>0</c:v>
                </c:pt>
                <c:pt idx="1">
                  <c:v>0.72222222222222221</c:v>
                </c:pt>
                <c:pt idx="2">
                  <c:v>1</c:v>
                </c:pt>
              </c:numCache>
            </c:numRef>
          </c:xVal>
          <c:yVal>
            <c:numRef>
              <c:f>'U4 Híbrido'!$AJ$3:$AJ$5</c:f>
              <c:numCache>
                <c:formatCode>0.000</c:formatCode>
                <c:ptCount val="3"/>
                <c:pt idx="0">
                  <c:v>3300</c:v>
                </c:pt>
                <c:pt idx="1">
                  <c:v>2000</c:v>
                </c:pt>
                <c:pt idx="2">
                  <c:v>1500</c:v>
                </c:pt>
              </c:numCache>
            </c:numRef>
          </c:yVal>
          <c:smooth val="0"/>
          <c:extLst>
            <c:ext xmlns:c16="http://schemas.microsoft.com/office/drawing/2014/chart" uri="{C3380CC4-5D6E-409C-BE32-E72D297353CC}">
              <c16:uniqueId val="{00000004-AB5C-4CC3-918C-E18B873AEBD8}"/>
            </c:ext>
          </c:extLst>
        </c:ser>
        <c:dLbls>
          <c:showLegendKey val="0"/>
          <c:showVal val="0"/>
          <c:showCatName val="0"/>
          <c:showSerName val="0"/>
          <c:showPercent val="0"/>
          <c:showBubbleSize val="0"/>
        </c:dLbls>
        <c:axId val="50210001"/>
        <c:axId val="50210002"/>
      </c:scatterChart>
      <c:valAx>
        <c:axId val="50210001"/>
        <c:scaling>
          <c:orientation val="minMax"/>
          <c:max val="1.1000000000000001"/>
          <c:min val="-0.1"/>
        </c:scaling>
        <c:delete val="1"/>
        <c:axPos val="b"/>
        <c:numFmt formatCode="0.000" sourceLinked="1"/>
        <c:majorTickMark val="out"/>
        <c:minorTickMark val="none"/>
        <c:tickLblPos val="nextTo"/>
        <c:crossAx val="50210002"/>
        <c:crosses val="autoZero"/>
        <c:crossBetween val="midCat"/>
      </c:valAx>
      <c:valAx>
        <c:axId val="50210002"/>
        <c:scaling>
          <c:orientation val="minMax"/>
          <c:max val="12000"/>
          <c:min val="-12000"/>
        </c:scaling>
        <c:delete val="0"/>
        <c:axPos val="l"/>
        <c:majorGridlines>
          <c:spPr>
            <a:ln>
              <a:solidFill>
                <a:srgbClr val="E0E0E0"/>
              </a:solidFill>
            </a:ln>
          </c:spPr>
        </c:majorGridlines>
        <c:title>
          <c:tx>
            <c:rich>
              <a:bodyPr rot="-5400000" vert="horz"/>
              <a:lstStyle/>
              <a:p>
                <a:pPr>
                  <a:defRPr sz="900" b="0" baseline="0"/>
                </a:pPr>
                <a:r>
                  <a:rPr lang="en-US" sz="900" b="0" baseline="0"/>
                  <a:t>Régimen [min⁻¹]</a:t>
                </a:r>
              </a:p>
            </c:rich>
          </c:tx>
          <c:overlay val="0"/>
        </c:title>
        <c:numFmt formatCode="0.000" sourceLinked="1"/>
        <c:majorTickMark val="out"/>
        <c:minorTickMark val="none"/>
        <c:tickLblPos val="nextTo"/>
        <c:txPr>
          <a:bodyPr/>
          <a:lstStyle/>
          <a:p>
            <a:pPr>
              <a:defRPr sz="800" baseline="0"/>
            </a:pPr>
            <a:endParaRPr lang="en-US"/>
          </a:p>
        </c:txPr>
        <c:crossAx val="50210001"/>
        <c:crosses val="autoZero"/>
        <c:crossBetween val="midCat"/>
        <c:majorUnit val="2000"/>
      </c:valAx>
    </c:plotArea>
    <c:plotVisOnly val="1"/>
    <c:dispBlanksAs val="gap"/>
    <c:showDLblsOverMax val="0"/>
  </c:chart>
  <c:spPr>
    <a:ln>
      <a:solidFill>
        <a:srgbClr val="BFBFBF"/>
      </a:solidFill>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Régimen de MG1 según la velocidad (corona)</a:t>
            </a:r>
          </a:p>
        </c:rich>
      </c:tx>
      <c:overlay val="0"/>
    </c:title>
    <c:autoTitleDeleted val="0"/>
    <c:plotArea>
      <c:layout/>
      <c:scatterChart>
        <c:scatterStyle val="lineMarker"/>
        <c:varyColors val="0"/>
        <c:ser>
          <c:idx val="0"/>
          <c:order val="0"/>
          <c:tx>
            <c:v>Motor 0 min⁻¹</c:v>
          </c:tx>
          <c:spPr>
            <a:ln w="22225">
              <a:solidFill>
                <a:srgbClr val="2E75B6"/>
              </a:solidFill>
            </a:ln>
          </c:spPr>
          <c:marker>
            <c:symbol val="none"/>
          </c:marker>
          <c:xVal>
            <c:numRef>
              <c:f>'U4 Híbrido'!$AK$3:$AK$4</c:f>
              <c:numCache>
                <c:formatCode>0.000</c:formatCode>
                <c:ptCount val="2"/>
                <c:pt idx="0">
                  <c:v>0</c:v>
                </c:pt>
                <c:pt idx="1">
                  <c:v>6000</c:v>
                </c:pt>
              </c:numCache>
            </c:numRef>
          </c:xVal>
          <c:yVal>
            <c:numRef>
              <c:f>'U4 Híbrido'!$AL$3:$AL$4</c:f>
              <c:numCache>
                <c:formatCode>0.000</c:formatCode>
                <c:ptCount val="2"/>
                <c:pt idx="0">
                  <c:v>0</c:v>
                </c:pt>
                <c:pt idx="1">
                  <c:v>-15600</c:v>
                </c:pt>
              </c:numCache>
            </c:numRef>
          </c:yVal>
          <c:smooth val="0"/>
          <c:extLst>
            <c:ext xmlns:c16="http://schemas.microsoft.com/office/drawing/2014/chart" uri="{C3380CC4-5D6E-409C-BE32-E72D297353CC}">
              <c16:uniqueId val="{00000000-8633-4301-A51A-804067E36235}"/>
            </c:ext>
          </c:extLst>
        </c:ser>
        <c:ser>
          <c:idx val="1"/>
          <c:order val="1"/>
          <c:tx>
            <c:v>Motor 1000 min⁻¹</c:v>
          </c:tx>
          <c:spPr>
            <a:ln w="22225">
              <a:solidFill>
                <a:srgbClr val="C55A11"/>
              </a:solidFill>
            </a:ln>
          </c:spPr>
          <c:marker>
            <c:symbol val="none"/>
          </c:marker>
          <c:xVal>
            <c:numRef>
              <c:f>'U4 Híbrido'!$AK$3:$AK$4</c:f>
              <c:numCache>
                <c:formatCode>0.000</c:formatCode>
                <c:ptCount val="2"/>
                <c:pt idx="0">
                  <c:v>0</c:v>
                </c:pt>
                <c:pt idx="1">
                  <c:v>6000</c:v>
                </c:pt>
              </c:numCache>
            </c:numRef>
          </c:xVal>
          <c:yVal>
            <c:numRef>
              <c:f>'U4 Híbrido'!$AM$3:$AM$4</c:f>
              <c:numCache>
                <c:formatCode>0.000</c:formatCode>
                <c:ptCount val="2"/>
                <c:pt idx="0">
                  <c:v>3600</c:v>
                </c:pt>
                <c:pt idx="1">
                  <c:v>-12000</c:v>
                </c:pt>
              </c:numCache>
            </c:numRef>
          </c:yVal>
          <c:smooth val="0"/>
          <c:extLst>
            <c:ext xmlns:c16="http://schemas.microsoft.com/office/drawing/2014/chart" uri="{C3380CC4-5D6E-409C-BE32-E72D297353CC}">
              <c16:uniqueId val="{00000001-8633-4301-A51A-804067E36235}"/>
            </c:ext>
          </c:extLst>
        </c:ser>
        <c:ser>
          <c:idx val="2"/>
          <c:order val="2"/>
          <c:tx>
            <c:v>Motor 2000 min⁻¹</c:v>
          </c:tx>
          <c:spPr>
            <a:ln w="22225">
              <a:solidFill>
                <a:srgbClr val="548235"/>
              </a:solidFill>
            </a:ln>
          </c:spPr>
          <c:marker>
            <c:symbol val="none"/>
          </c:marker>
          <c:xVal>
            <c:numRef>
              <c:f>'U4 Híbrido'!$AK$3:$AK$4</c:f>
              <c:numCache>
                <c:formatCode>0.000</c:formatCode>
                <c:ptCount val="2"/>
                <c:pt idx="0">
                  <c:v>0</c:v>
                </c:pt>
                <c:pt idx="1">
                  <c:v>6000</c:v>
                </c:pt>
              </c:numCache>
            </c:numRef>
          </c:xVal>
          <c:yVal>
            <c:numRef>
              <c:f>'U4 Híbrido'!$AN$3:$AN$4</c:f>
              <c:numCache>
                <c:formatCode>0.000</c:formatCode>
                <c:ptCount val="2"/>
                <c:pt idx="0">
                  <c:v>7200</c:v>
                </c:pt>
                <c:pt idx="1">
                  <c:v>-8400</c:v>
                </c:pt>
              </c:numCache>
            </c:numRef>
          </c:yVal>
          <c:smooth val="0"/>
          <c:extLst>
            <c:ext xmlns:c16="http://schemas.microsoft.com/office/drawing/2014/chart" uri="{C3380CC4-5D6E-409C-BE32-E72D297353CC}">
              <c16:uniqueId val="{00000002-8633-4301-A51A-804067E36235}"/>
            </c:ext>
          </c:extLst>
        </c:ser>
        <c:ser>
          <c:idx val="3"/>
          <c:order val="3"/>
          <c:tx>
            <c:v>Motor 3000 min⁻¹</c:v>
          </c:tx>
          <c:spPr>
            <a:ln w="22225">
              <a:solidFill>
                <a:srgbClr val="7030A0"/>
              </a:solidFill>
            </a:ln>
          </c:spPr>
          <c:marker>
            <c:symbol val="none"/>
          </c:marker>
          <c:xVal>
            <c:numRef>
              <c:f>'U4 Híbrido'!$AK$3:$AK$4</c:f>
              <c:numCache>
                <c:formatCode>0.000</c:formatCode>
                <c:ptCount val="2"/>
                <c:pt idx="0">
                  <c:v>0</c:v>
                </c:pt>
                <c:pt idx="1">
                  <c:v>6000</c:v>
                </c:pt>
              </c:numCache>
            </c:numRef>
          </c:xVal>
          <c:yVal>
            <c:numRef>
              <c:f>'U4 Híbrido'!$AO$3:$AO$4</c:f>
              <c:numCache>
                <c:formatCode>0.000</c:formatCode>
                <c:ptCount val="2"/>
                <c:pt idx="0">
                  <c:v>10800</c:v>
                </c:pt>
                <c:pt idx="1">
                  <c:v>-4800</c:v>
                </c:pt>
              </c:numCache>
            </c:numRef>
          </c:yVal>
          <c:smooth val="0"/>
          <c:extLst>
            <c:ext xmlns:c16="http://schemas.microsoft.com/office/drawing/2014/chart" uri="{C3380CC4-5D6E-409C-BE32-E72D297353CC}">
              <c16:uniqueId val="{00000003-8633-4301-A51A-804067E36235}"/>
            </c:ext>
          </c:extLst>
        </c:ser>
        <c:ser>
          <c:idx val="4"/>
          <c:order val="4"/>
          <c:tx>
            <c:v>Motor 4000 min⁻¹</c:v>
          </c:tx>
          <c:spPr>
            <a:ln w="22225">
              <a:solidFill>
                <a:srgbClr val="C00000"/>
              </a:solidFill>
            </a:ln>
          </c:spPr>
          <c:marker>
            <c:symbol val="none"/>
          </c:marker>
          <c:xVal>
            <c:numRef>
              <c:f>'U4 Híbrido'!$AK$3:$AK$4</c:f>
              <c:numCache>
                <c:formatCode>0.000</c:formatCode>
                <c:ptCount val="2"/>
                <c:pt idx="0">
                  <c:v>0</c:v>
                </c:pt>
                <c:pt idx="1">
                  <c:v>6000</c:v>
                </c:pt>
              </c:numCache>
            </c:numRef>
          </c:xVal>
          <c:yVal>
            <c:numRef>
              <c:f>'U4 Híbrido'!$AP$3:$AP$4</c:f>
              <c:numCache>
                <c:formatCode>0.000</c:formatCode>
                <c:ptCount val="2"/>
                <c:pt idx="0">
                  <c:v>14400</c:v>
                </c:pt>
                <c:pt idx="1">
                  <c:v>-1200</c:v>
                </c:pt>
              </c:numCache>
            </c:numRef>
          </c:yVal>
          <c:smooth val="0"/>
          <c:extLst>
            <c:ext xmlns:c16="http://schemas.microsoft.com/office/drawing/2014/chart" uri="{C3380CC4-5D6E-409C-BE32-E72D297353CC}">
              <c16:uniqueId val="{00000004-8633-4301-A51A-804067E36235}"/>
            </c:ext>
          </c:extLst>
        </c:ser>
        <c:ser>
          <c:idx val="5"/>
          <c:order val="5"/>
          <c:tx>
            <c:v>Límite MG1</c:v>
          </c:tx>
          <c:spPr>
            <a:ln w="15875">
              <a:solidFill>
                <a:srgbClr val="C00000"/>
              </a:solidFill>
              <a:prstDash val="dash"/>
            </a:ln>
          </c:spPr>
          <c:marker>
            <c:symbol val="none"/>
          </c:marker>
          <c:xVal>
            <c:numRef>
              <c:f>'U4 Híbrido'!$AK$3:$AK$4</c:f>
              <c:numCache>
                <c:formatCode>0.000</c:formatCode>
                <c:ptCount val="2"/>
                <c:pt idx="0">
                  <c:v>0</c:v>
                </c:pt>
                <c:pt idx="1">
                  <c:v>6000</c:v>
                </c:pt>
              </c:numCache>
            </c:numRef>
          </c:xVal>
          <c:yVal>
            <c:numRef>
              <c:f>'U4 Híbrido'!$AQ$3:$AQ$4</c:f>
              <c:numCache>
                <c:formatCode>0.000</c:formatCode>
                <c:ptCount val="2"/>
                <c:pt idx="0">
                  <c:v>10000</c:v>
                </c:pt>
                <c:pt idx="1">
                  <c:v>10000</c:v>
                </c:pt>
              </c:numCache>
            </c:numRef>
          </c:yVal>
          <c:smooth val="0"/>
          <c:extLst>
            <c:ext xmlns:c16="http://schemas.microsoft.com/office/drawing/2014/chart" uri="{C3380CC4-5D6E-409C-BE32-E72D297353CC}">
              <c16:uniqueId val="{00000005-8633-4301-A51A-804067E36235}"/>
            </c:ext>
          </c:extLst>
        </c:ser>
        <c:ser>
          <c:idx val="6"/>
          <c:order val="6"/>
          <c:tx>
            <c:v>Límite MG1 (−)</c:v>
          </c:tx>
          <c:spPr>
            <a:ln w="15875">
              <a:solidFill>
                <a:srgbClr val="C00000"/>
              </a:solidFill>
              <a:prstDash val="dash"/>
            </a:ln>
          </c:spPr>
          <c:marker>
            <c:symbol val="none"/>
          </c:marker>
          <c:xVal>
            <c:numRef>
              <c:f>'U4 Híbrido'!$AK$3:$AK$4</c:f>
              <c:numCache>
                <c:formatCode>0.000</c:formatCode>
                <c:ptCount val="2"/>
                <c:pt idx="0">
                  <c:v>0</c:v>
                </c:pt>
                <c:pt idx="1">
                  <c:v>6000</c:v>
                </c:pt>
              </c:numCache>
            </c:numRef>
          </c:xVal>
          <c:yVal>
            <c:numRef>
              <c:f>'U4 Híbrido'!$AR$3:$AR$4</c:f>
              <c:numCache>
                <c:formatCode>0.000</c:formatCode>
                <c:ptCount val="2"/>
                <c:pt idx="0">
                  <c:v>-10000</c:v>
                </c:pt>
                <c:pt idx="1">
                  <c:v>-10000</c:v>
                </c:pt>
              </c:numCache>
            </c:numRef>
          </c:yVal>
          <c:smooth val="0"/>
          <c:extLst>
            <c:ext xmlns:c16="http://schemas.microsoft.com/office/drawing/2014/chart" uri="{C3380CC4-5D6E-409C-BE32-E72D297353CC}">
              <c16:uniqueId val="{00000006-8633-4301-A51A-804067E36235}"/>
            </c:ext>
          </c:extLst>
        </c:ser>
        <c:ser>
          <c:idx val="7"/>
          <c:order val="7"/>
          <c:tx>
            <c:v>Punto actual</c:v>
          </c:tx>
          <c:spPr>
            <a:ln>
              <a:noFill/>
            </a:ln>
          </c:spPr>
          <c:marker>
            <c:symbol val="circle"/>
            <c:size val="9"/>
            <c:spPr>
              <a:solidFill>
                <a:srgbClr val="000000"/>
              </a:solidFill>
              <a:ln>
                <a:solidFill>
                  <a:srgbClr val="000000"/>
                </a:solidFill>
              </a:ln>
            </c:spPr>
          </c:marker>
          <c:xVal>
            <c:numRef>
              <c:f>'U4 Híbrido'!$AT$3:$AT$3</c:f>
              <c:numCache>
                <c:formatCode>0.000</c:formatCode>
                <c:ptCount val="1"/>
                <c:pt idx="0">
                  <c:v>1500</c:v>
                </c:pt>
              </c:numCache>
            </c:numRef>
          </c:xVal>
          <c:yVal>
            <c:numRef>
              <c:f>'U4 Híbrido'!$AU$3:$AU$3</c:f>
              <c:numCache>
                <c:formatCode>0.000</c:formatCode>
                <c:ptCount val="1"/>
                <c:pt idx="0">
                  <c:v>3300</c:v>
                </c:pt>
              </c:numCache>
            </c:numRef>
          </c:yVal>
          <c:smooth val="0"/>
          <c:extLst>
            <c:ext xmlns:c16="http://schemas.microsoft.com/office/drawing/2014/chart" uri="{C3380CC4-5D6E-409C-BE32-E72D297353CC}">
              <c16:uniqueId val="{00000007-8633-4301-A51A-804067E36235}"/>
            </c:ext>
          </c:extLst>
        </c:ser>
        <c:dLbls>
          <c:showLegendKey val="0"/>
          <c:showVal val="0"/>
          <c:showCatName val="0"/>
          <c:showSerName val="0"/>
          <c:showPercent val="0"/>
          <c:showBubbleSize val="0"/>
        </c:dLbls>
        <c:axId val="50220001"/>
        <c:axId val="50220002"/>
      </c:scatterChart>
      <c:valAx>
        <c:axId val="50220001"/>
        <c:scaling>
          <c:orientation val="minMax"/>
          <c:max val="6000"/>
          <c:min val="0"/>
        </c:scaling>
        <c:delete val="0"/>
        <c:axPos val="b"/>
        <c:majorGridlines>
          <c:spPr>
            <a:ln>
              <a:solidFill>
                <a:srgbClr val="E0E0E0"/>
              </a:solidFill>
            </a:ln>
          </c:spPr>
        </c:majorGridlines>
        <c:title>
          <c:tx>
            <c:rich>
              <a:bodyPr/>
              <a:lstStyle/>
              <a:p>
                <a:pPr>
                  <a:defRPr sz="900" b="0" baseline="0"/>
                </a:pPr>
                <a:r>
                  <a:rPr lang="en-US" sz="900" b="0" baseline="0"/>
                  <a:t>Régimen de la corona MG2 [min⁻¹]</a:t>
                </a:r>
              </a:p>
            </c:rich>
          </c:tx>
          <c:overlay val="0"/>
        </c:title>
        <c:numFmt formatCode="0.000" sourceLinked="1"/>
        <c:majorTickMark val="out"/>
        <c:minorTickMark val="none"/>
        <c:tickLblPos val="low"/>
        <c:txPr>
          <a:bodyPr/>
          <a:lstStyle/>
          <a:p>
            <a:pPr>
              <a:defRPr sz="800" baseline="0"/>
            </a:pPr>
            <a:endParaRPr lang="en-US"/>
          </a:p>
        </c:txPr>
        <c:crossAx val="50220002"/>
        <c:crosses val="autoZero"/>
        <c:crossBetween val="midCat"/>
        <c:majorUnit val="1000"/>
      </c:valAx>
      <c:valAx>
        <c:axId val="50220002"/>
        <c:scaling>
          <c:orientation val="minMax"/>
          <c:max val="16000"/>
          <c:min val="-16000"/>
        </c:scaling>
        <c:delete val="0"/>
        <c:axPos val="l"/>
        <c:majorGridlines>
          <c:spPr>
            <a:ln>
              <a:solidFill>
                <a:srgbClr val="E0E0E0"/>
              </a:solidFill>
            </a:ln>
          </c:spPr>
        </c:majorGridlines>
        <c:title>
          <c:tx>
            <c:rich>
              <a:bodyPr rot="-5400000" vert="horz"/>
              <a:lstStyle/>
              <a:p>
                <a:pPr>
                  <a:defRPr sz="900" b="0" baseline="0"/>
                </a:pPr>
                <a:r>
                  <a:rPr lang="en-US" sz="900" b="0" baseline="0"/>
                  <a:t>Régimen de MG1 [min⁻¹]</a:t>
                </a:r>
              </a:p>
            </c:rich>
          </c:tx>
          <c:overlay val="0"/>
        </c:title>
        <c:numFmt formatCode="0.000" sourceLinked="1"/>
        <c:majorTickMark val="out"/>
        <c:minorTickMark val="none"/>
        <c:tickLblPos val="nextTo"/>
        <c:txPr>
          <a:bodyPr/>
          <a:lstStyle/>
          <a:p>
            <a:pPr>
              <a:defRPr sz="800" baseline="0"/>
            </a:pPr>
            <a:endParaRPr lang="en-US"/>
          </a:p>
        </c:txPr>
        <c:crossAx val="50220001"/>
        <c:crosses val="autoZero"/>
        <c:crossBetween val="midCat"/>
        <c:majorUnit val="4000"/>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Señal de los sensores inductivos de velocidad</a:t>
            </a:r>
          </a:p>
        </c:rich>
      </c:tx>
      <c:overlay val="0"/>
    </c:title>
    <c:autoTitleDeleted val="0"/>
    <c:plotArea>
      <c:layout/>
      <c:scatterChart>
        <c:scatterStyle val="lineMarker"/>
        <c:varyColors val="0"/>
        <c:ser>
          <c:idx val="0"/>
          <c:order val="0"/>
          <c:tx>
            <c:v>Sensor de entrada</c:v>
          </c:tx>
          <c:spPr>
            <a:ln w="19050">
              <a:solidFill>
                <a:srgbClr val="C55A11"/>
              </a:solidFill>
            </a:ln>
          </c:spPr>
          <c:marker>
            <c:symbol val="none"/>
          </c:marker>
          <c:xVal>
            <c:numRef>
              <c:f>'U4 Sensores y PWM'!$AA$3:$AA$123</c:f>
              <c:numCache>
                <c:formatCode>0.000</c:formatCode>
                <c:ptCount val="1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pt idx="101">
                  <c:v>5.05</c:v>
                </c:pt>
                <c:pt idx="102">
                  <c:v>5.0999999999999996</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c:v>
                </c:pt>
              </c:numCache>
            </c:numRef>
          </c:xVal>
          <c:yVal>
            <c:numRef>
              <c:f>'U4 Sensores y PWM'!$AB$3:$AB$123</c:f>
              <c:numCache>
                <c:formatCode>0.000</c:formatCode>
                <c:ptCount val="121"/>
                <c:pt idx="0">
                  <c:v>0</c:v>
                </c:pt>
                <c:pt idx="1">
                  <c:v>1.7343132267661752</c:v>
                </c:pt>
                <c:pt idx="2">
                  <c:v>3.0395805318072542</c:v>
                </c:pt>
                <c:pt idx="3">
                  <c:v>3.5928962223417775</c:v>
                </c:pt>
                <c:pt idx="4">
                  <c:v>3.25737738887767</c:v>
                </c:pt>
                <c:pt idx="5">
                  <c:v>2.1160269082529037</c:v>
                </c:pt>
                <c:pt idx="6">
                  <c:v>0.45119964083149472</c:v>
                </c:pt>
                <c:pt idx="7">
                  <c:v>-1.3252483896648406</c:v>
                </c:pt>
                <c:pt idx="8">
                  <c:v>-2.7738476739928419</c:v>
                </c:pt>
                <c:pt idx="9">
                  <c:v>-3.5362341026232795</c:v>
                </c:pt>
                <c:pt idx="10">
                  <c:v>-3.4238034586625532</c:v>
                </c:pt>
                <c:pt idx="11">
                  <c:v>-2.464369581343278</c:v>
                </c:pt>
                <c:pt idx="12">
                  <c:v>-0.89528359379347622</c:v>
                </c:pt>
                <c:pt idx="13">
                  <c:v>0.89528359379347755</c:v>
                </c:pt>
                <c:pt idx="14">
                  <c:v>2.4643695813432789</c:v>
                </c:pt>
                <c:pt idx="15">
                  <c:v>3.4238034586625528</c:v>
                </c:pt>
                <c:pt idx="16">
                  <c:v>3.5362341026232791</c:v>
                </c:pt>
                <c:pt idx="17">
                  <c:v>2.7738476739928428</c:v>
                </c:pt>
                <c:pt idx="18">
                  <c:v>1.3252483896648408</c:v>
                </c:pt>
                <c:pt idx="19">
                  <c:v>-0.45119964083149772</c:v>
                </c:pt>
                <c:pt idx="20">
                  <c:v>-2.116026908252902</c:v>
                </c:pt>
                <c:pt idx="21">
                  <c:v>-3.2573773888776709</c:v>
                </c:pt>
                <c:pt idx="22">
                  <c:v>-3.5928962223417771</c:v>
                </c:pt>
                <c:pt idx="23">
                  <c:v>-3.0395805318072577</c:v>
                </c:pt>
                <c:pt idx="24">
                  <c:v>-1.7343132267661732</c:v>
                </c:pt>
                <c:pt idx="25">
                  <c:v>4.630670846772489E-15</c:v>
                </c:pt>
                <c:pt idx="26">
                  <c:v>1.7343132267661756</c:v>
                </c:pt>
                <c:pt idx="27">
                  <c:v>3.039580531807256</c:v>
                </c:pt>
                <c:pt idx="28">
                  <c:v>3.5928962223417775</c:v>
                </c:pt>
                <c:pt idx="29">
                  <c:v>3.2573773888776723</c:v>
                </c:pt>
                <c:pt idx="30">
                  <c:v>2.1160269082529051</c:v>
                </c:pt>
                <c:pt idx="31">
                  <c:v>0.45119964083148856</c:v>
                </c:pt>
                <c:pt idx="32">
                  <c:v>-1.3252483896648433</c:v>
                </c:pt>
                <c:pt idx="33">
                  <c:v>-2.7738476739928366</c:v>
                </c:pt>
                <c:pt idx="34">
                  <c:v>-3.5362341026232782</c:v>
                </c:pt>
                <c:pt idx="35">
                  <c:v>-3.4238034586625496</c:v>
                </c:pt>
                <c:pt idx="36">
                  <c:v>-2.4643695813432789</c:v>
                </c:pt>
                <c:pt idx="37">
                  <c:v>-0.89528359379347477</c:v>
                </c:pt>
                <c:pt idx="38">
                  <c:v>0.8952835937934821</c:v>
                </c:pt>
                <c:pt idx="39">
                  <c:v>2.4643695813432753</c:v>
                </c:pt>
                <c:pt idx="40">
                  <c:v>3.4238034586625519</c:v>
                </c:pt>
                <c:pt idx="41">
                  <c:v>3.5362341026232795</c:v>
                </c:pt>
                <c:pt idx="42">
                  <c:v>2.7738476739928397</c:v>
                </c:pt>
                <c:pt idx="43">
                  <c:v>1.3252483896648484</c:v>
                </c:pt>
                <c:pt idx="44">
                  <c:v>-0.45119964083150232</c:v>
                </c:pt>
                <c:pt idx="45">
                  <c:v>-2.1160269082529011</c:v>
                </c:pt>
                <c:pt idx="46">
                  <c:v>-3.2573773888776647</c:v>
                </c:pt>
                <c:pt idx="47">
                  <c:v>-3.5928962223417771</c:v>
                </c:pt>
                <c:pt idx="48">
                  <c:v>-3.039580531807252</c:v>
                </c:pt>
                <c:pt idx="49">
                  <c:v>-1.7343132267661689</c:v>
                </c:pt>
                <c:pt idx="50">
                  <c:v>9.261341693544978E-15</c:v>
                </c:pt>
                <c:pt idx="51">
                  <c:v>1.7343132267661743</c:v>
                </c:pt>
                <c:pt idx="52">
                  <c:v>3.0395805318072551</c:v>
                </c:pt>
                <c:pt idx="53">
                  <c:v>3.592896222341778</c:v>
                </c:pt>
                <c:pt idx="54">
                  <c:v>3.2573773888776678</c:v>
                </c:pt>
                <c:pt idx="55">
                  <c:v>2.1160269082529064</c:v>
                </c:pt>
                <c:pt idx="56">
                  <c:v>0.45119964083149666</c:v>
                </c:pt>
                <c:pt idx="57">
                  <c:v>-1.3252483896648417</c:v>
                </c:pt>
                <c:pt idx="58">
                  <c:v>-2.7738476739928353</c:v>
                </c:pt>
                <c:pt idx="59">
                  <c:v>-3.5362341026232826</c:v>
                </c:pt>
                <c:pt idx="60">
                  <c:v>-3.4238034586625545</c:v>
                </c:pt>
                <c:pt idx="61">
                  <c:v>-2.46436958134329</c:v>
                </c:pt>
                <c:pt idx="62">
                  <c:v>-0.89528359379346423</c:v>
                </c:pt>
                <c:pt idx="63">
                  <c:v>0.89528359379348033</c:v>
                </c:pt>
                <c:pt idx="64">
                  <c:v>2.4643695813432833</c:v>
                </c:pt>
                <c:pt idx="65">
                  <c:v>3.4238034586625514</c:v>
                </c:pt>
                <c:pt idx="66">
                  <c:v>3.5362341026232822</c:v>
                </c:pt>
                <c:pt idx="67">
                  <c:v>2.7738476739928246</c:v>
                </c:pt>
                <c:pt idx="68">
                  <c:v>1.3252483896648499</c:v>
                </c:pt>
                <c:pt idx="69">
                  <c:v>-0.45119964083150066</c:v>
                </c:pt>
                <c:pt idx="70">
                  <c:v>-2.1160269082529202</c:v>
                </c:pt>
                <c:pt idx="71">
                  <c:v>-3.2573773888776638</c:v>
                </c:pt>
                <c:pt idx="72">
                  <c:v>-3.5928962223417775</c:v>
                </c:pt>
                <c:pt idx="73">
                  <c:v>-3.0395805318072462</c:v>
                </c:pt>
                <c:pt idx="74">
                  <c:v>-1.7343132267661705</c:v>
                </c:pt>
                <c:pt idx="75">
                  <c:v>-5.2926413252052384E-15</c:v>
                </c:pt>
                <c:pt idx="76">
                  <c:v>1.7343132267661838</c:v>
                </c:pt>
                <c:pt idx="77">
                  <c:v>3.0395805318072542</c:v>
                </c:pt>
                <c:pt idx="78">
                  <c:v>3.5928962223417771</c:v>
                </c:pt>
                <c:pt idx="79">
                  <c:v>3.2573773888776572</c:v>
                </c:pt>
                <c:pt idx="80">
                  <c:v>2.1160269082529077</c:v>
                </c:pt>
                <c:pt idx="81">
                  <c:v>0.45119964083151115</c:v>
                </c:pt>
                <c:pt idx="82">
                  <c:v>-1.3252483896648402</c:v>
                </c:pt>
                <c:pt idx="83">
                  <c:v>-2.7738476739928504</c:v>
                </c:pt>
                <c:pt idx="84">
                  <c:v>-3.5362341026232804</c:v>
                </c:pt>
                <c:pt idx="85">
                  <c:v>-3.423803458662547</c:v>
                </c:pt>
                <c:pt idx="86">
                  <c:v>-2.4643695813432909</c:v>
                </c:pt>
                <c:pt idx="87">
                  <c:v>-0.89528359379347833</c:v>
                </c:pt>
                <c:pt idx="88">
                  <c:v>0.89528359379349109</c:v>
                </c:pt>
                <c:pt idx="89">
                  <c:v>2.4643695813432824</c:v>
                </c:pt>
                <c:pt idx="90">
                  <c:v>3.423803458662551</c:v>
                </c:pt>
                <c:pt idx="91">
                  <c:v>3.5362341026232773</c:v>
                </c:pt>
                <c:pt idx="92">
                  <c:v>2.7738476739928584</c:v>
                </c:pt>
                <c:pt idx="93">
                  <c:v>1.3252483896648277</c:v>
                </c:pt>
                <c:pt idx="94">
                  <c:v>-0.4511996408315242</c:v>
                </c:pt>
                <c:pt idx="95">
                  <c:v>-2.116026908252898</c:v>
                </c:pt>
                <c:pt idx="96">
                  <c:v>-3.257377388877674</c:v>
                </c:pt>
                <c:pt idx="97">
                  <c:v>-3.5928962223417775</c:v>
                </c:pt>
                <c:pt idx="98">
                  <c:v>-3.0395805318072471</c:v>
                </c:pt>
                <c:pt idx="99">
                  <c:v>-1.7343132267661723</c:v>
                </c:pt>
                <c:pt idx="100">
                  <c:v>1.8522683387089956E-14</c:v>
                </c:pt>
                <c:pt idx="101">
                  <c:v>1.7343132267661598</c:v>
                </c:pt>
                <c:pt idx="102">
                  <c:v>3.0395805318072533</c:v>
                </c:pt>
                <c:pt idx="103">
                  <c:v>3.5928962223417784</c:v>
                </c:pt>
                <c:pt idx="104">
                  <c:v>3.2573773888776691</c:v>
                </c:pt>
                <c:pt idx="105">
                  <c:v>2.1160269082529095</c:v>
                </c:pt>
                <c:pt idx="106">
                  <c:v>0.45119964083148745</c:v>
                </c:pt>
                <c:pt idx="107">
                  <c:v>-1.3252483896648146</c:v>
                </c:pt>
                <c:pt idx="108">
                  <c:v>-2.7738476739928495</c:v>
                </c:pt>
                <c:pt idx="109">
                  <c:v>-3.5362341026232849</c:v>
                </c:pt>
                <c:pt idx="110">
                  <c:v>-3.423803458662555</c:v>
                </c:pt>
                <c:pt idx="111">
                  <c:v>-2.464369581343274</c:v>
                </c:pt>
                <c:pt idx="112">
                  <c:v>-0.89528359379347999</c:v>
                </c:pt>
                <c:pt idx="113">
                  <c:v>0.89528359379348932</c:v>
                </c:pt>
                <c:pt idx="114">
                  <c:v>2.4643695813432811</c:v>
                </c:pt>
                <c:pt idx="115">
                  <c:v>3.4238034586625585</c:v>
                </c:pt>
                <c:pt idx="116">
                  <c:v>3.5362341026232826</c:v>
                </c:pt>
                <c:pt idx="117">
                  <c:v>2.7738476739928433</c:v>
                </c:pt>
                <c:pt idx="118">
                  <c:v>1.3252483896648055</c:v>
                </c:pt>
                <c:pt idx="119">
                  <c:v>-0.45119964083149716</c:v>
                </c:pt>
                <c:pt idx="120">
                  <c:v>-2.1160269082528966</c:v>
                </c:pt>
              </c:numCache>
            </c:numRef>
          </c:yVal>
          <c:smooth val="0"/>
          <c:extLst>
            <c:ext xmlns:c16="http://schemas.microsoft.com/office/drawing/2014/chart" uri="{C3380CC4-5D6E-409C-BE32-E72D297353CC}">
              <c16:uniqueId val="{00000000-5947-483B-8C6D-CB82DB5C6FB4}"/>
            </c:ext>
          </c:extLst>
        </c:ser>
        <c:ser>
          <c:idx val="1"/>
          <c:order val="1"/>
          <c:tx>
            <c:v>Sensor de salida</c:v>
          </c:tx>
          <c:spPr>
            <a:ln w="19050">
              <a:solidFill>
                <a:srgbClr val="2E75B6"/>
              </a:solidFill>
            </a:ln>
          </c:spPr>
          <c:marker>
            <c:symbol val="none"/>
          </c:marker>
          <c:xVal>
            <c:numRef>
              <c:f>'U4 Sensores y PWM'!$AA$3:$AA$123</c:f>
              <c:numCache>
                <c:formatCode>0.000</c:formatCode>
                <c:ptCount val="1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pt idx="101">
                  <c:v>5.05</c:v>
                </c:pt>
                <c:pt idx="102">
                  <c:v>5.0999999999999996</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c:v>
                </c:pt>
              </c:numCache>
            </c:numRef>
          </c:xVal>
          <c:yVal>
            <c:numRef>
              <c:f>'U4 Sensores y PWM'!$AC$3:$AC$123</c:f>
              <c:numCache>
                <c:formatCode>0.000</c:formatCode>
                <c:ptCount val="121"/>
                <c:pt idx="0">
                  <c:v>0</c:v>
                </c:pt>
                <c:pt idx="1">
                  <c:v>0.69528823734363165</c:v>
                </c:pt>
                <c:pt idx="2">
                  <c:v>1.3225168176580646</c:v>
                </c:pt>
                <c:pt idx="3">
                  <c:v>1.8202882373436315</c:v>
                </c:pt>
                <c:pt idx="4">
                  <c:v>2.1398771616640953</c:v>
                </c:pt>
                <c:pt idx="5">
                  <c:v>2.25</c:v>
                </c:pt>
                <c:pt idx="6">
                  <c:v>2.1398771616640957</c:v>
                </c:pt>
                <c:pt idx="7">
                  <c:v>1.8202882373436318</c:v>
                </c:pt>
                <c:pt idx="8">
                  <c:v>1.3225168176580648</c:v>
                </c:pt>
                <c:pt idx="9">
                  <c:v>0.69528823734363188</c:v>
                </c:pt>
                <c:pt idx="10">
                  <c:v>2.756584023544395E-16</c:v>
                </c:pt>
                <c:pt idx="11">
                  <c:v>-0.69528823734363143</c:v>
                </c:pt>
                <c:pt idx="12">
                  <c:v>-1.3225168176580635</c:v>
                </c:pt>
                <c:pt idx="13">
                  <c:v>-1.8202882373436315</c:v>
                </c:pt>
                <c:pt idx="14">
                  <c:v>-2.1398771616640953</c:v>
                </c:pt>
                <c:pt idx="15">
                  <c:v>-2.25</c:v>
                </c:pt>
                <c:pt idx="16">
                  <c:v>-2.1398771616640957</c:v>
                </c:pt>
                <c:pt idx="17">
                  <c:v>-1.820288237343632</c:v>
                </c:pt>
                <c:pt idx="18">
                  <c:v>-1.3225168176580651</c:v>
                </c:pt>
                <c:pt idx="19">
                  <c:v>-0.6952882373436341</c:v>
                </c:pt>
                <c:pt idx="20">
                  <c:v>-5.51316804708879E-16</c:v>
                </c:pt>
                <c:pt idx="21">
                  <c:v>0.6952882373436311</c:v>
                </c:pt>
                <c:pt idx="22">
                  <c:v>1.3225168176580642</c:v>
                </c:pt>
                <c:pt idx="23">
                  <c:v>1.8202882373436302</c:v>
                </c:pt>
                <c:pt idx="24">
                  <c:v>2.1398771616640948</c:v>
                </c:pt>
                <c:pt idx="25">
                  <c:v>2.25</c:v>
                </c:pt>
                <c:pt idx="26">
                  <c:v>2.1398771616640957</c:v>
                </c:pt>
                <c:pt idx="27">
                  <c:v>1.8202882373436322</c:v>
                </c:pt>
                <c:pt idx="28">
                  <c:v>1.3225168176580651</c:v>
                </c:pt>
                <c:pt idx="29">
                  <c:v>0.69528823734363254</c:v>
                </c:pt>
                <c:pt idx="30">
                  <c:v>8.2697520706331851E-16</c:v>
                </c:pt>
                <c:pt idx="31">
                  <c:v>-0.69528823734363088</c:v>
                </c:pt>
                <c:pt idx="32">
                  <c:v>-1.3225168176580637</c:v>
                </c:pt>
                <c:pt idx="33">
                  <c:v>-1.8202882373436289</c:v>
                </c:pt>
                <c:pt idx="34">
                  <c:v>-2.1398771616640953</c:v>
                </c:pt>
                <c:pt idx="35">
                  <c:v>-2.25</c:v>
                </c:pt>
                <c:pt idx="36">
                  <c:v>-2.1398771616640961</c:v>
                </c:pt>
                <c:pt idx="37">
                  <c:v>-1.8202882373436322</c:v>
                </c:pt>
                <c:pt idx="38">
                  <c:v>-1.3225168176580686</c:v>
                </c:pt>
                <c:pt idx="39">
                  <c:v>-0.69528823734363654</c:v>
                </c:pt>
                <c:pt idx="40">
                  <c:v>-1.102633609417758E-15</c:v>
                </c:pt>
                <c:pt idx="41">
                  <c:v>0.69528823734362677</c:v>
                </c:pt>
                <c:pt idx="42">
                  <c:v>1.3225168176580635</c:v>
                </c:pt>
                <c:pt idx="43">
                  <c:v>1.8202882373436289</c:v>
                </c:pt>
                <c:pt idx="44">
                  <c:v>2.1398771616640953</c:v>
                </c:pt>
                <c:pt idx="45">
                  <c:v>2.25</c:v>
                </c:pt>
                <c:pt idx="46">
                  <c:v>2.139877161664097</c:v>
                </c:pt>
                <c:pt idx="47">
                  <c:v>1.8202882373436324</c:v>
                </c:pt>
                <c:pt idx="48">
                  <c:v>1.3225168176580688</c:v>
                </c:pt>
                <c:pt idx="49">
                  <c:v>0.69528823734363299</c:v>
                </c:pt>
                <c:pt idx="50">
                  <c:v>5.3750949004227611E-15</c:v>
                </c:pt>
                <c:pt idx="51">
                  <c:v>-0.69528823734362655</c:v>
                </c:pt>
                <c:pt idx="52">
                  <c:v>-1.3225168176580633</c:v>
                </c:pt>
                <c:pt idx="53">
                  <c:v>-1.8202882373436284</c:v>
                </c:pt>
                <c:pt idx="54">
                  <c:v>-2.1398771616640953</c:v>
                </c:pt>
                <c:pt idx="55">
                  <c:v>-2.25</c:v>
                </c:pt>
                <c:pt idx="56">
                  <c:v>-2.1398771616640961</c:v>
                </c:pt>
                <c:pt idx="57">
                  <c:v>-1.8202882373436351</c:v>
                </c:pt>
                <c:pt idx="58">
                  <c:v>-1.3225168176580657</c:v>
                </c:pt>
                <c:pt idx="59">
                  <c:v>-0.69528823734363698</c:v>
                </c:pt>
                <c:pt idx="60">
                  <c:v>-1.653950414126637E-15</c:v>
                </c:pt>
                <c:pt idx="61">
                  <c:v>0.69528823734361866</c:v>
                </c:pt>
                <c:pt idx="62">
                  <c:v>1.3225168176580631</c:v>
                </c:pt>
                <c:pt idx="63">
                  <c:v>1.8202882373436282</c:v>
                </c:pt>
                <c:pt idx="64">
                  <c:v>2.1398771616640948</c:v>
                </c:pt>
                <c:pt idx="65">
                  <c:v>2.25</c:v>
                </c:pt>
                <c:pt idx="66">
                  <c:v>2.1398771616640988</c:v>
                </c:pt>
                <c:pt idx="67">
                  <c:v>1.8202882373436353</c:v>
                </c:pt>
                <c:pt idx="68">
                  <c:v>1.3225168176580659</c:v>
                </c:pt>
                <c:pt idx="69">
                  <c:v>0.69528823734363732</c:v>
                </c:pt>
                <c:pt idx="70">
                  <c:v>1.9296088164810765E-15</c:v>
                </c:pt>
                <c:pt idx="71">
                  <c:v>-0.69528823734361844</c:v>
                </c:pt>
                <c:pt idx="72">
                  <c:v>-1.3225168176580631</c:v>
                </c:pt>
                <c:pt idx="73">
                  <c:v>-1.8202882373436235</c:v>
                </c:pt>
                <c:pt idx="74">
                  <c:v>-2.1398771616640948</c:v>
                </c:pt>
                <c:pt idx="75">
                  <c:v>-2.25</c:v>
                </c:pt>
                <c:pt idx="76">
                  <c:v>-2.1398771616640988</c:v>
                </c:pt>
                <c:pt idx="77">
                  <c:v>-1.8202882373436353</c:v>
                </c:pt>
                <c:pt idx="78">
                  <c:v>-1.3225168176580728</c:v>
                </c:pt>
                <c:pt idx="79">
                  <c:v>-0.69528823734363765</c:v>
                </c:pt>
                <c:pt idx="80">
                  <c:v>-2.205267218835516E-15</c:v>
                </c:pt>
                <c:pt idx="81">
                  <c:v>0.69528823734362577</c:v>
                </c:pt>
                <c:pt idx="82">
                  <c:v>1.3225168176580564</c:v>
                </c:pt>
                <c:pt idx="83">
                  <c:v>1.820288237343628</c:v>
                </c:pt>
                <c:pt idx="84">
                  <c:v>2.1398771616640948</c:v>
                </c:pt>
                <c:pt idx="85">
                  <c:v>2.25</c:v>
                </c:pt>
                <c:pt idx="86">
                  <c:v>2.1398771616640988</c:v>
                </c:pt>
                <c:pt idx="87">
                  <c:v>1.8202882373436355</c:v>
                </c:pt>
                <c:pt idx="88">
                  <c:v>1.3225168176580666</c:v>
                </c:pt>
                <c:pt idx="89">
                  <c:v>0.69528823734363021</c:v>
                </c:pt>
                <c:pt idx="90">
                  <c:v>1.0474531398491083E-14</c:v>
                </c:pt>
                <c:pt idx="91">
                  <c:v>-0.69528823734362555</c:v>
                </c:pt>
                <c:pt idx="92">
                  <c:v>-1.3225168176580562</c:v>
                </c:pt>
                <c:pt idx="93">
                  <c:v>-1.8202882373436278</c:v>
                </c:pt>
                <c:pt idx="94">
                  <c:v>-2.1398771616640948</c:v>
                </c:pt>
                <c:pt idx="95">
                  <c:v>-2.25</c:v>
                </c:pt>
                <c:pt idx="96">
                  <c:v>-2.1398771616640988</c:v>
                </c:pt>
                <c:pt idx="97">
                  <c:v>-1.8202882373436402</c:v>
                </c:pt>
                <c:pt idx="98">
                  <c:v>-1.3225168176580668</c:v>
                </c:pt>
                <c:pt idx="99">
                  <c:v>-0.69528823734363054</c:v>
                </c:pt>
                <c:pt idx="100">
                  <c:v>-1.0750189800845522E-14</c:v>
                </c:pt>
                <c:pt idx="101">
                  <c:v>0.69528823734362533</c:v>
                </c:pt>
                <c:pt idx="102">
                  <c:v>1.3225168176580557</c:v>
                </c:pt>
                <c:pt idx="103">
                  <c:v>1.8202882373436278</c:v>
                </c:pt>
                <c:pt idx="104">
                  <c:v>2.1398771616640948</c:v>
                </c:pt>
                <c:pt idx="105">
                  <c:v>2.25</c:v>
                </c:pt>
                <c:pt idx="106">
                  <c:v>2.1398771616640988</c:v>
                </c:pt>
                <c:pt idx="107">
                  <c:v>1.8202882373436358</c:v>
                </c:pt>
                <c:pt idx="108">
                  <c:v>1.3225168176580671</c:v>
                </c:pt>
                <c:pt idx="109">
                  <c:v>0.69528823734363077</c:v>
                </c:pt>
                <c:pt idx="110">
                  <c:v>1.1025848203199962E-14</c:v>
                </c:pt>
                <c:pt idx="111">
                  <c:v>-0.69528823734360978</c:v>
                </c:pt>
                <c:pt idx="112">
                  <c:v>-1.3225168176580619</c:v>
                </c:pt>
                <c:pt idx="113">
                  <c:v>-1.8202882373436322</c:v>
                </c:pt>
                <c:pt idx="114">
                  <c:v>-2.1398771616640921</c:v>
                </c:pt>
                <c:pt idx="115">
                  <c:v>-2.25</c:v>
                </c:pt>
                <c:pt idx="116">
                  <c:v>-2.1398771616640966</c:v>
                </c:pt>
                <c:pt idx="117">
                  <c:v>-1.8202882373436409</c:v>
                </c:pt>
                <c:pt idx="118">
                  <c:v>-1.3225168176580735</c:v>
                </c:pt>
                <c:pt idx="119">
                  <c:v>-0.69528823734363865</c:v>
                </c:pt>
                <c:pt idx="120">
                  <c:v>-3.307900828253274E-15</c:v>
                </c:pt>
              </c:numCache>
            </c:numRef>
          </c:yVal>
          <c:smooth val="0"/>
          <c:extLst>
            <c:ext xmlns:c16="http://schemas.microsoft.com/office/drawing/2014/chart" uri="{C3380CC4-5D6E-409C-BE32-E72D297353CC}">
              <c16:uniqueId val="{00000001-5947-483B-8C6D-CB82DB5C6FB4}"/>
            </c:ext>
          </c:extLst>
        </c:ser>
        <c:dLbls>
          <c:showLegendKey val="0"/>
          <c:showVal val="0"/>
          <c:showCatName val="0"/>
          <c:showSerName val="0"/>
          <c:showPercent val="0"/>
          <c:showBubbleSize val="0"/>
        </c:dLbls>
        <c:axId val="50230001"/>
        <c:axId val="50230002"/>
      </c:scatterChart>
      <c:valAx>
        <c:axId val="50230001"/>
        <c:scaling>
          <c:orientation val="minMax"/>
          <c:max val="6"/>
          <c:min val="0"/>
        </c:scaling>
        <c:delete val="0"/>
        <c:axPos val="b"/>
        <c:majorGridlines>
          <c:spPr>
            <a:ln>
              <a:solidFill>
                <a:srgbClr val="E0E0E0"/>
              </a:solidFill>
            </a:ln>
          </c:spPr>
        </c:majorGridlines>
        <c:title>
          <c:tx>
            <c:rich>
              <a:bodyPr/>
              <a:lstStyle/>
              <a:p>
                <a:pPr>
                  <a:defRPr sz="900" b="0" baseline="0"/>
                </a:pPr>
                <a:r>
                  <a:rPr lang="en-US" sz="900" b="0" baseline="0"/>
                  <a:t>Tiempo [ms]</a:t>
                </a:r>
              </a:p>
            </c:rich>
          </c:tx>
          <c:overlay val="0"/>
        </c:title>
        <c:numFmt formatCode="0.000" sourceLinked="1"/>
        <c:majorTickMark val="out"/>
        <c:minorTickMark val="none"/>
        <c:tickLblPos val="low"/>
        <c:txPr>
          <a:bodyPr/>
          <a:lstStyle/>
          <a:p>
            <a:pPr>
              <a:defRPr sz="800" baseline="0"/>
            </a:pPr>
            <a:endParaRPr lang="en-US"/>
          </a:p>
        </c:txPr>
        <c:crossAx val="50230002"/>
        <c:crosses val="autoZero"/>
        <c:crossBetween val="midCat"/>
        <c:majorUnit val="1"/>
      </c:valAx>
      <c:valAx>
        <c:axId val="50230002"/>
        <c:scaling>
          <c:orientation val="minMax"/>
          <c:max val="10"/>
          <c:min val="-10"/>
        </c:scaling>
        <c:delete val="0"/>
        <c:axPos val="l"/>
        <c:majorGridlines>
          <c:spPr>
            <a:ln>
              <a:solidFill>
                <a:srgbClr val="E0E0E0"/>
              </a:solidFill>
            </a:ln>
          </c:spPr>
        </c:majorGridlines>
        <c:title>
          <c:tx>
            <c:rich>
              <a:bodyPr rot="-5400000" vert="horz"/>
              <a:lstStyle/>
              <a:p>
                <a:pPr>
                  <a:defRPr sz="900" b="0" baseline="0"/>
                </a:pPr>
                <a:r>
                  <a:rPr lang="en-US" sz="900" b="0" baseline="0"/>
                  <a:t>Tensión [V]</a:t>
                </a:r>
              </a:p>
            </c:rich>
          </c:tx>
          <c:overlay val="0"/>
        </c:title>
        <c:numFmt formatCode="0.000" sourceLinked="1"/>
        <c:majorTickMark val="out"/>
        <c:minorTickMark val="none"/>
        <c:tickLblPos val="nextTo"/>
        <c:txPr>
          <a:bodyPr/>
          <a:lstStyle/>
          <a:p>
            <a:pPr>
              <a:defRPr sz="800" baseline="0"/>
            </a:pPr>
            <a:endParaRPr lang="en-US"/>
          </a:p>
        </c:txPr>
        <c:crossAx val="50230001"/>
        <c:crosses val="autoZero"/>
        <c:crossBetween val="midCat"/>
        <c:majorUnit val="2"/>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Curva del sensor NTC y umbrales de diagnóstico</a:t>
            </a:r>
          </a:p>
        </c:rich>
      </c:tx>
      <c:overlay val="0"/>
    </c:title>
    <c:autoTitleDeleted val="0"/>
    <c:plotArea>
      <c:layout/>
      <c:scatterChart>
        <c:scatterStyle val="lineMarker"/>
        <c:varyColors val="0"/>
        <c:ser>
          <c:idx val="0"/>
          <c:order val="0"/>
          <c:tx>
            <c:v>Tensión del NTC (circuito sano)</c:v>
          </c:tx>
          <c:spPr>
            <a:ln w="31750">
              <a:solidFill>
                <a:srgbClr val="00808C"/>
              </a:solidFill>
            </a:ln>
          </c:spPr>
          <c:marker>
            <c:symbol val="none"/>
          </c:marker>
          <c:xVal>
            <c:numRef>
              <c:f>'U4 Sensores y PWM'!$AE$3:$AE$22</c:f>
              <c:numCache>
                <c:formatCode>0.000</c:formatCode>
                <c:ptCount val="20"/>
                <c:pt idx="0">
                  <c:v>-40</c:v>
                </c:pt>
                <c:pt idx="1">
                  <c:v>-30</c:v>
                </c:pt>
                <c:pt idx="2">
                  <c:v>-20</c:v>
                </c:pt>
                <c:pt idx="3">
                  <c:v>-10</c:v>
                </c:pt>
                <c:pt idx="4">
                  <c:v>0</c:v>
                </c:pt>
                <c:pt idx="5">
                  <c:v>10</c:v>
                </c:pt>
                <c:pt idx="6">
                  <c:v>20</c:v>
                </c:pt>
                <c:pt idx="7">
                  <c:v>30</c:v>
                </c:pt>
                <c:pt idx="8">
                  <c:v>40</c:v>
                </c:pt>
                <c:pt idx="9">
                  <c:v>50</c:v>
                </c:pt>
                <c:pt idx="10">
                  <c:v>60</c:v>
                </c:pt>
                <c:pt idx="11">
                  <c:v>70</c:v>
                </c:pt>
                <c:pt idx="12">
                  <c:v>80</c:v>
                </c:pt>
                <c:pt idx="13">
                  <c:v>90</c:v>
                </c:pt>
                <c:pt idx="14">
                  <c:v>100</c:v>
                </c:pt>
                <c:pt idx="15">
                  <c:v>110</c:v>
                </c:pt>
                <c:pt idx="16">
                  <c:v>120</c:v>
                </c:pt>
                <c:pt idx="17">
                  <c:v>130</c:v>
                </c:pt>
                <c:pt idx="18">
                  <c:v>140</c:v>
                </c:pt>
                <c:pt idx="19">
                  <c:v>150</c:v>
                </c:pt>
              </c:numCache>
            </c:numRef>
          </c:xVal>
          <c:yVal>
            <c:numRef>
              <c:f>'U4 Sensores y PWM'!$AG$3:$AG$22</c:f>
              <c:numCache>
                <c:formatCode>0.000</c:formatCode>
                <c:ptCount val="20"/>
                <c:pt idx="0">
                  <c:v>4.8170905292674213</c:v>
                </c:pt>
                <c:pt idx="1">
                  <c:v>4.6656849644143348</c:v>
                </c:pt>
                <c:pt idx="2">
                  <c:v>4.430267530202034</c:v>
                </c:pt>
                <c:pt idx="3">
                  <c:v>4.0957809680426536</c:v>
                </c:pt>
                <c:pt idx="4">
                  <c:v>3.6649073050954031</c:v>
                </c:pt>
                <c:pt idx="5">
                  <c:v>3.1641069176635712</c:v>
                </c:pt>
                <c:pt idx="6">
                  <c:v>2.6381505931437044</c:v>
                </c:pt>
                <c:pt idx="7">
                  <c:v>2.1345615753280378</c:v>
                </c:pt>
                <c:pt idx="8">
                  <c:v>1.6883652372154381</c:v>
                </c:pt>
                <c:pt idx="9">
                  <c:v>1.3159711493763444</c:v>
                </c:pt>
                <c:pt idx="10">
                  <c:v>1.0180958417095904</c:v>
                </c:pt>
                <c:pt idx="11">
                  <c:v>0.78631826349112144</c:v>
                </c:pt>
                <c:pt idx="12">
                  <c:v>0.60883594942319785</c:v>
                </c:pt>
                <c:pt idx="13">
                  <c:v>0.47394686030345007</c:v>
                </c:pt>
                <c:pt idx="14">
                  <c:v>0.3715910443127407</c:v>
                </c:pt>
                <c:pt idx="15">
                  <c:v>0.29373514491877412</c:v>
                </c:pt>
                <c:pt idx="16">
                  <c:v>0.23421925987558698</c:v>
                </c:pt>
                <c:pt idx="17">
                  <c:v>0.18842303038594371</c:v>
                </c:pt>
                <c:pt idx="18">
                  <c:v>0.1529184855955304</c:v>
                </c:pt>
                <c:pt idx="19">
                  <c:v>0.12517241193752382</c:v>
                </c:pt>
              </c:numCache>
            </c:numRef>
          </c:yVal>
          <c:smooth val="1"/>
          <c:extLst>
            <c:ext xmlns:c16="http://schemas.microsoft.com/office/drawing/2014/chart" uri="{C3380CC4-5D6E-409C-BE32-E72D297353CC}">
              <c16:uniqueId val="{00000000-F1B0-4795-9631-82E0E7C56585}"/>
            </c:ext>
          </c:extLst>
        </c:ser>
        <c:ser>
          <c:idx val="1"/>
          <c:order val="1"/>
          <c:tx>
            <c:v>Umbral alto 4,9 V (P0713)</c:v>
          </c:tx>
          <c:spPr>
            <a:ln w="19050">
              <a:solidFill>
                <a:srgbClr val="C00000"/>
              </a:solidFill>
              <a:prstDash val="dash"/>
            </a:ln>
          </c:spPr>
          <c:marker>
            <c:symbol val="none"/>
          </c:marker>
          <c:xVal>
            <c:numRef>
              <c:f>'U4 Sensores y PWM'!$AM$3:$AM$4</c:f>
              <c:numCache>
                <c:formatCode>0.000</c:formatCode>
                <c:ptCount val="2"/>
                <c:pt idx="0">
                  <c:v>-40</c:v>
                </c:pt>
                <c:pt idx="1">
                  <c:v>150</c:v>
                </c:pt>
              </c:numCache>
            </c:numRef>
          </c:xVal>
          <c:yVal>
            <c:numRef>
              <c:f>'U4 Sensores y PWM'!$AN$3:$AN$4</c:f>
              <c:numCache>
                <c:formatCode>0.000</c:formatCode>
                <c:ptCount val="2"/>
                <c:pt idx="0">
                  <c:v>4.9000000000000004</c:v>
                </c:pt>
                <c:pt idx="1">
                  <c:v>4.9000000000000004</c:v>
                </c:pt>
              </c:numCache>
            </c:numRef>
          </c:yVal>
          <c:smooth val="0"/>
          <c:extLst>
            <c:ext xmlns:c16="http://schemas.microsoft.com/office/drawing/2014/chart" uri="{C3380CC4-5D6E-409C-BE32-E72D297353CC}">
              <c16:uniqueId val="{00000001-F1B0-4795-9631-82E0E7C56585}"/>
            </c:ext>
          </c:extLst>
        </c:ser>
        <c:ser>
          <c:idx val="2"/>
          <c:order val="2"/>
          <c:tx>
            <c:v>Umbral bajo 0,1 V (P0712)</c:v>
          </c:tx>
          <c:spPr>
            <a:ln w="19050">
              <a:solidFill>
                <a:srgbClr val="7030A0"/>
              </a:solidFill>
              <a:prstDash val="dash"/>
            </a:ln>
          </c:spPr>
          <c:marker>
            <c:symbol val="none"/>
          </c:marker>
          <c:xVal>
            <c:numRef>
              <c:f>'U4 Sensores y PWM'!$AO$3:$AO$4</c:f>
              <c:numCache>
                <c:formatCode>0.000</c:formatCode>
                <c:ptCount val="2"/>
                <c:pt idx="0">
                  <c:v>-40</c:v>
                </c:pt>
                <c:pt idx="1">
                  <c:v>150</c:v>
                </c:pt>
              </c:numCache>
            </c:numRef>
          </c:xVal>
          <c:yVal>
            <c:numRef>
              <c:f>'U4 Sensores y PWM'!$AP$3:$AP$4</c:f>
              <c:numCache>
                <c:formatCode>0.000</c:formatCode>
                <c:ptCount val="2"/>
                <c:pt idx="0">
                  <c:v>0.1</c:v>
                </c:pt>
                <c:pt idx="1">
                  <c:v>0.1</c:v>
                </c:pt>
              </c:numCache>
            </c:numRef>
          </c:yVal>
          <c:smooth val="0"/>
          <c:extLst>
            <c:ext xmlns:c16="http://schemas.microsoft.com/office/drawing/2014/chart" uri="{C3380CC4-5D6E-409C-BE32-E72D297353CC}">
              <c16:uniqueId val="{00000002-F1B0-4795-9631-82E0E7C56585}"/>
            </c:ext>
          </c:extLst>
        </c:ser>
        <c:ser>
          <c:idx val="3"/>
          <c:order val="3"/>
          <c:tx>
            <c:v>Temperatura real</c:v>
          </c:tx>
          <c:spPr>
            <a:ln>
              <a:noFill/>
            </a:ln>
          </c:spPr>
          <c:marker>
            <c:symbol val="circle"/>
            <c:size val="9"/>
            <c:spPr>
              <a:solidFill>
                <a:srgbClr val="000000"/>
              </a:solidFill>
              <a:ln>
                <a:solidFill>
                  <a:srgbClr val="000000"/>
                </a:solidFill>
              </a:ln>
            </c:spPr>
          </c:marker>
          <c:xVal>
            <c:numRef>
              <c:f>'U4 Sensores y PWM'!$AI$3:$AI$3</c:f>
              <c:numCache>
                <c:formatCode>0.000</c:formatCode>
                <c:ptCount val="1"/>
                <c:pt idx="0">
                  <c:v>80</c:v>
                </c:pt>
              </c:numCache>
            </c:numRef>
          </c:xVal>
          <c:yVal>
            <c:numRef>
              <c:f>'U4 Sensores y PWM'!$AJ$3:$AJ$3</c:f>
              <c:numCache>
                <c:formatCode>0.000</c:formatCode>
                <c:ptCount val="1"/>
                <c:pt idx="0">
                  <c:v>0.60883594942319785</c:v>
                </c:pt>
              </c:numCache>
            </c:numRef>
          </c:yVal>
          <c:smooth val="0"/>
          <c:extLst>
            <c:ext xmlns:c16="http://schemas.microsoft.com/office/drawing/2014/chart" uri="{C3380CC4-5D6E-409C-BE32-E72D297353CC}">
              <c16:uniqueId val="{00000003-F1B0-4795-9631-82E0E7C56585}"/>
            </c:ext>
          </c:extLst>
        </c:ser>
        <c:ser>
          <c:idx val="4"/>
          <c:order val="4"/>
          <c:tx>
            <c:v>Lo que lee la ECU</c:v>
          </c:tx>
          <c:spPr>
            <a:ln>
              <a:noFill/>
            </a:ln>
          </c:spPr>
          <c:marker>
            <c:symbol val="diamond"/>
            <c:size val="11"/>
            <c:spPr>
              <a:solidFill>
                <a:srgbClr val="C00000"/>
              </a:solidFill>
              <a:ln>
                <a:solidFill>
                  <a:srgbClr val="000000"/>
                </a:solidFill>
              </a:ln>
            </c:spPr>
          </c:marker>
          <c:xVal>
            <c:numRef>
              <c:f>'U4 Sensores y PWM'!$AK$3:$AK$3</c:f>
              <c:numCache>
                <c:formatCode>0.000</c:formatCode>
                <c:ptCount val="1"/>
                <c:pt idx="0">
                  <c:v>80</c:v>
                </c:pt>
              </c:numCache>
            </c:numRef>
          </c:xVal>
          <c:yVal>
            <c:numRef>
              <c:f>'U4 Sensores y PWM'!$AL$3:$AL$3</c:f>
              <c:numCache>
                <c:formatCode>0.000</c:formatCode>
                <c:ptCount val="1"/>
                <c:pt idx="0">
                  <c:v>0.60883594942319785</c:v>
                </c:pt>
              </c:numCache>
            </c:numRef>
          </c:yVal>
          <c:smooth val="0"/>
          <c:extLst>
            <c:ext xmlns:c16="http://schemas.microsoft.com/office/drawing/2014/chart" uri="{C3380CC4-5D6E-409C-BE32-E72D297353CC}">
              <c16:uniqueId val="{00000004-F1B0-4795-9631-82E0E7C56585}"/>
            </c:ext>
          </c:extLst>
        </c:ser>
        <c:dLbls>
          <c:showLegendKey val="0"/>
          <c:showVal val="0"/>
          <c:showCatName val="0"/>
          <c:showSerName val="0"/>
          <c:showPercent val="0"/>
          <c:showBubbleSize val="0"/>
        </c:dLbls>
        <c:axId val="50240001"/>
        <c:axId val="50240002"/>
      </c:scatterChart>
      <c:valAx>
        <c:axId val="50240001"/>
        <c:scaling>
          <c:orientation val="minMax"/>
          <c:max val="150"/>
          <c:min val="-40"/>
        </c:scaling>
        <c:delete val="0"/>
        <c:axPos val="b"/>
        <c:majorGridlines>
          <c:spPr>
            <a:ln>
              <a:solidFill>
                <a:srgbClr val="E0E0E0"/>
              </a:solidFill>
            </a:ln>
          </c:spPr>
        </c:majorGridlines>
        <c:title>
          <c:tx>
            <c:rich>
              <a:bodyPr/>
              <a:lstStyle/>
              <a:p>
                <a:pPr>
                  <a:defRPr sz="900" b="0" baseline="0"/>
                </a:pPr>
                <a:r>
                  <a:rPr lang="en-US" sz="900" b="0" baseline="0"/>
                  <a:t>Temperatura [°C]</a:t>
                </a:r>
              </a:p>
            </c:rich>
          </c:tx>
          <c:overlay val="0"/>
        </c:title>
        <c:numFmt formatCode="0.000" sourceLinked="1"/>
        <c:majorTickMark val="out"/>
        <c:minorTickMark val="none"/>
        <c:tickLblPos val="nextTo"/>
        <c:txPr>
          <a:bodyPr/>
          <a:lstStyle/>
          <a:p>
            <a:pPr>
              <a:defRPr sz="800" baseline="0"/>
            </a:pPr>
            <a:endParaRPr lang="en-US"/>
          </a:p>
        </c:txPr>
        <c:crossAx val="50240002"/>
        <c:crosses val="autoZero"/>
        <c:crossBetween val="midCat"/>
        <c:majorUnit val="20"/>
      </c:valAx>
      <c:valAx>
        <c:axId val="50240002"/>
        <c:scaling>
          <c:orientation val="minMax"/>
          <c:max val="5.2"/>
          <c:min val="0"/>
        </c:scaling>
        <c:delete val="0"/>
        <c:axPos val="l"/>
        <c:majorGridlines>
          <c:spPr>
            <a:ln>
              <a:solidFill>
                <a:srgbClr val="E0E0E0"/>
              </a:solidFill>
            </a:ln>
          </c:spPr>
        </c:majorGridlines>
        <c:title>
          <c:tx>
            <c:rich>
              <a:bodyPr rot="-5400000" vert="horz"/>
              <a:lstStyle/>
              <a:p>
                <a:pPr>
                  <a:defRPr sz="900" b="0" baseline="0"/>
                </a:pPr>
                <a:r>
                  <a:rPr lang="en-US" sz="900" b="0" baseline="0"/>
                  <a:t>Tensión de señal [V]</a:t>
                </a:r>
              </a:p>
            </c:rich>
          </c:tx>
          <c:overlay val="0"/>
        </c:title>
        <c:numFmt formatCode="0.000" sourceLinked="1"/>
        <c:majorTickMark val="out"/>
        <c:minorTickMark val="none"/>
        <c:tickLblPos val="nextTo"/>
        <c:txPr>
          <a:bodyPr/>
          <a:lstStyle/>
          <a:p>
            <a:pPr>
              <a:defRPr sz="800" baseline="0"/>
            </a:pPr>
            <a:endParaRPr lang="en-US"/>
          </a:p>
        </c:txPr>
        <c:crossAx val="50240001"/>
        <c:crosses val="min"/>
        <c:crossBetween val="midCat"/>
        <c:majorUnit val="0.5"/>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F3864"/>
                </a:solidFill>
              </a:defRPr>
            </a:pPr>
            <a:r>
              <a:rPr lang="en-US" sz="1100" b="1" baseline="0">
                <a:solidFill>
                  <a:srgbClr val="1F3864"/>
                </a:solidFill>
              </a:rPr>
              <a:t>Señal PWM de la electroválvula moduladora</a:t>
            </a:r>
          </a:p>
        </c:rich>
      </c:tx>
      <c:overlay val="0"/>
    </c:title>
    <c:autoTitleDeleted val="0"/>
    <c:plotArea>
      <c:layout/>
      <c:scatterChart>
        <c:scatterStyle val="lineMarker"/>
        <c:varyColors val="0"/>
        <c:ser>
          <c:idx val="0"/>
          <c:order val="0"/>
          <c:tx>
            <c:v>Tensión aplicada</c:v>
          </c:tx>
          <c:spPr>
            <a:ln w="28575">
              <a:solidFill>
                <a:srgbClr val="C55A11"/>
              </a:solidFill>
            </a:ln>
          </c:spPr>
          <c:marker>
            <c:symbol val="none"/>
          </c:marker>
          <c:xVal>
            <c:numRef>
              <c:f>'U4 Sensores y PWM'!$AQ$3:$AQ$15</c:f>
              <c:numCache>
                <c:formatCode>0.000</c:formatCode>
                <c:ptCount val="13"/>
                <c:pt idx="0">
                  <c:v>0</c:v>
                </c:pt>
                <c:pt idx="1">
                  <c:v>0</c:v>
                </c:pt>
                <c:pt idx="2">
                  <c:v>1.3333333333333335</c:v>
                </c:pt>
                <c:pt idx="3">
                  <c:v>1.3333333333333335</c:v>
                </c:pt>
                <c:pt idx="4">
                  <c:v>3.3333333333333335</c:v>
                </c:pt>
                <c:pt idx="5">
                  <c:v>3.3333333333333335</c:v>
                </c:pt>
                <c:pt idx="6">
                  <c:v>4.666666666666667</c:v>
                </c:pt>
                <c:pt idx="7">
                  <c:v>4.666666666666667</c:v>
                </c:pt>
                <c:pt idx="8">
                  <c:v>6.666666666666667</c:v>
                </c:pt>
                <c:pt idx="9">
                  <c:v>6.666666666666667</c:v>
                </c:pt>
                <c:pt idx="10">
                  <c:v>8</c:v>
                </c:pt>
                <c:pt idx="11">
                  <c:v>8</c:v>
                </c:pt>
                <c:pt idx="12">
                  <c:v>10</c:v>
                </c:pt>
              </c:numCache>
            </c:numRef>
          </c:xVal>
          <c:yVal>
            <c:numRef>
              <c:f>'U4 Sensores y PWM'!$AR$3:$AR$15</c:f>
              <c:numCache>
                <c:formatCode>0.000</c:formatCode>
                <c:ptCount val="13"/>
                <c:pt idx="0">
                  <c:v>0</c:v>
                </c:pt>
                <c:pt idx="1">
                  <c:v>13.5</c:v>
                </c:pt>
                <c:pt idx="2">
                  <c:v>13.5</c:v>
                </c:pt>
                <c:pt idx="3">
                  <c:v>0</c:v>
                </c:pt>
                <c:pt idx="4">
                  <c:v>0</c:v>
                </c:pt>
                <c:pt idx="5">
                  <c:v>13.5</c:v>
                </c:pt>
                <c:pt idx="6">
                  <c:v>13.5</c:v>
                </c:pt>
                <c:pt idx="7">
                  <c:v>0</c:v>
                </c:pt>
                <c:pt idx="8">
                  <c:v>0</c:v>
                </c:pt>
                <c:pt idx="9">
                  <c:v>13.5</c:v>
                </c:pt>
                <c:pt idx="10">
                  <c:v>13.5</c:v>
                </c:pt>
                <c:pt idx="11">
                  <c:v>0</c:v>
                </c:pt>
                <c:pt idx="12">
                  <c:v>0</c:v>
                </c:pt>
              </c:numCache>
            </c:numRef>
          </c:yVal>
          <c:smooth val="0"/>
          <c:extLst>
            <c:ext xmlns:c16="http://schemas.microsoft.com/office/drawing/2014/chart" uri="{C3380CC4-5D6E-409C-BE32-E72D297353CC}">
              <c16:uniqueId val="{00000000-2835-4BF7-952D-AEB5E0CB574B}"/>
            </c:ext>
          </c:extLst>
        </c:ser>
        <c:ser>
          <c:idx val="1"/>
          <c:order val="1"/>
          <c:tx>
            <c:v>Tensión media</c:v>
          </c:tx>
          <c:spPr>
            <a:ln w="19050">
              <a:solidFill>
                <a:srgbClr val="2E75B6"/>
              </a:solidFill>
              <a:prstDash val="dash"/>
            </a:ln>
          </c:spPr>
          <c:marker>
            <c:symbol val="none"/>
          </c:marker>
          <c:xVal>
            <c:numRef>
              <c:f>'U4 Sensores y PWM'!$AS$3:$AS$4</c:f>
              <c:numCache>
                <c:formatCode>0.000</c:formatCode>
                <c:ptCount val="2"/>
                <c:pt idx="0">
                  <c:v>0</c:v>
                </c:pt>
                <c:pt idx="1">
                  <c:v>10</c:v>
                </c:pt>
              </c:numCache>
            </c:numRef>
          </c:xVal>
          <c:yVal>
            <c:numRef>
              <c:f>'U4 Sensores y PWM'!$AT$3:$AT$4</c:f>
              <c:numCache>
                <c:formatCode>0.000</c:formatCode>
                <c:ptCount val="2"/>
                <c:pt idx="0">
                  <c:v>5.4</c:v>
                </c:pt>
                <c:pt idx="1">
                  <c:v>5.4</c:v>
                </c:pt>
              </c:numCache>
            </c:numRef>
          </c:yVal>
          <c:smooth val="0"/>
          <c:extLst>
            <c:ext xmlns:c16="http://schemas.microsoft.com/office/drawing/2014/chart" uri="{C3380CC4-5D6E-409C-BE32-E72D297353CC}">
              <c16:uniqueId val="{00000001-2835-4BF7-952D-AEB5E0CB574B}"/>
            </c:ext>
          </c:extLst>
        </c:ser>
        <c:dLbls>
          <c:showLegendKey val="0"/>
          <c:showVal val="0"/>
          <c:showCatName val="0"/>
          <c:showSerName val="0"/>
          <c:showPercent val="0"/>
          <c:showBubbleSize val="0"/>
        </c:dLbls>
        <c:axId val="50250001"/>
        <c:axId val="50250002"/>
      </c:scatterChart>
      <c:valAx>
        <c:axId val="50250001"/>
        <c:scaling>
          <c:orientation val="minMax"/>
        </c:scaling>
        <c:delete val="0"/>
        <c:axPos val="b"/>
        <c:majorGridlines>
          <c:spPr>
            <a:ln>
              <a:solidFill>
                <a:srgbClr val="E0E0E0"/>
              </a:solidFill>
            </a:ln>
          </c:spPr>
        </c:majorGridlines>
        <c:title>
          <c:tx>
            <c:rich>
              <a:bodyPr/>
              <a:lstStyle/>
              <a:p>
                <a:pPr>
                  <a:defRPr sz="900" b="0" baseline="0"/>
                </a:pPr>
                <a:r>
                  <a:rPr lang="en-US" sz="900" b="0" baseline="0"/>
                  <a:t>Tiempo [ms]</a:t>
                </a:r>
              </a:p>
            </c:rich>
          </c:tx>
          <c:overlay val="0"/>
        </c:title>
        <c:numFmt formatCode="0.000" sourceLinked="1"/>
        <c:majorTickMark val="out"/>
        <c:minorTickMark val="none"/>
        <c:tickLblPos val="nextTo"/>
        <c:txPr>
          <a:bodyPr/>
          <a:lstStyle/>
          <a:p>
            <a:pPr>
              <a:defRPr sz="800" baseline="0"/>
            </a:pPr>
            <a:endParaRPr lang="en-US"/>
          </a:p>
        </c:txPr>
        <c:crossAx val="50250002"/>
        <c:crosses val="autoZero"/>
        <c:crossBetween val="midCat"/>
      </c:valAx>
      <c:valAx>
        <c:axId val="50250002"/>
        <c:scaling>
          <c:orientation val="minMax"/>
          <c:max val="16"/>
          <c:min val="0"/>
        </c:scaling>
        <c:delete val="0"/>
        <c:axPos val="l"/>
        <c:majorGridlines>
          <c:spPr>
            <a:ln>
              <a:solidFill>
                <a:srgbClr val="E0E0E0"/>
              </a:solidFill>
            </a:ln>
          </c:spPr>
        </c:majorGridlines>
        <c:title>
          <c:tx>
            <c:rich>
              <a:bodyPr rot="-5400000" vert="horz"/>
              <a:lstStyle/>
              <a:p>
                <a:pPr>
                  <a:defRPr sz="900" b="0" baseline="0"/>
                </a:pPr>
                <a:r>
                  <a:rPr lang="en-US" sz="900" b="0" baseline="0"/>
                  <a:t>Tensión [V]</a:t>
                </a:r>
              </a:p>
            </c:rich>
          </c:tx>
          <c:overlay val="0"/>
        </c:title>
        <c:numFmt formatCode="0.000" sourceLinked="1"/>
        <c:majorTickMark val="out"/>
        <c:minorTickMark val="none"/>
        <c:tickLblPos val="nextTo"/>
        <c:txPr>
          <a:bodyPr/>
          <a:lstStyle/>
          <a:p>
            <a:pPr>
              <a:defRPr sz="800" baseline="0"/>
            </a:pPr>
            <a:endParaRPr lang="en-US"/>
          </a:p>
        </c:txPr>
        <c:crossAx val="50250001"/>
        <c:crosses val="autoZero"/>
        <c:crossBetween val="midCat"/>
        <c:majorUnit val="2"/>
      </c:valAx>
    </c:plotArea>
    <c:legend>
      <c:legendPos val="b"/>
      <c:overlay val="0"/>
      <c:txPr>
        <a:bodyPr/>
        <a:lstStyle/>
        <a:p>
          <a:pPr>
            <a:defRPr sz="800" baseline="0"/>
          </a:pPr>
          <a:endParaRPr lang="en-US"/>
        </a:p>
      </c:txPr>
    </c:legend>
    <c:plotVisOnly val="1"/>
    <c:dispBlanksAs val="gap"/>
    <c:showDLblsOverMax val="0"/>
  </c:chart>
  <c:spPr>
    <a:ln>
      <a:solidFill>
        <a:srgbClr val="BFBFBF"/>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9</xdr:col>
      <xdr:colOff>0</xdr:colOff>
      <xdr:row>3</xdr:row>
      <xdr:rowOff>0</xdr:rowOff>
    </xdr:from>
    <xdr:to>
      <xdr:col>18</xdr:col>
      <xdr:colOff>142875</xdr:colOff>
      <xdr:row>20</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21</xdr:row>
      <xdr:rowOff>0</xdr:rowOff>
    </xdr:from>
    <xdr:to>
      <xdr:col>18</xdr:col>
      <xdr:colOff>142875</xdr:colOff>
      <xdr:row>38</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3</xdr:row>
      <xdr:rowOff>0</xdr:rowOff>
    </xdr:from>
    <xdr:to>
      <xdr:col>24</xdr:col>
      <xdr:colOff>47625</xdr:colOff>
      <xdr:row>18</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21</xdr:row>
      <xdr:rowOff>0</xdr:rowOff>
    </xdr:from>
    <xdr:to>
      <xdr:col>24</xdr:col>
      <xdr:colOff>523875</xdr:colOff>
      <xdr:row>36</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3</xdr:row>
      <xdr:rowOff>0</xdr:rowOff>
    </xdr:from>
    <xdr:to>
      <xdr:col>17</xdr:col>
      <xdr:colOff>381000</xdr:colOff>
      <xdr:row>19</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20</xdr:row>
      <xdr:rowOff>0</xdr:rowOff>
    </xdr:from>
    <xdr:to>
      <xdr:col>17</xdr:col>
      <xdr:colOff>381000</xdr:colOff>
      <xdr:row>36</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xdr:row>
      <xdr:rowOff>0</xdr:rowOff>
    </xdr:from>
    <xdr:to>
      <xdr:col>22</xdr:col>
      <xdr:colOff>381000</xdr:colOff>
      <xdr:row>18</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20</xdr:row>
      <xdr:rowOff>0</xdr:rowOff>
    </xdr:from>
    <xdr:to>
      <xdr:col>22</xdr:col>
      <xdr:colOff>381000</xdr:colOff>
      <xdr:row>35</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3</xdr:row>
      <xdr:rowOff>0</xdr:rowOff>
    </xdr:from>
    <xdr:to>
      <xdr:col>17</xdr:col>
      <xdr:colOff>381000</xdr:colOff>
      <xdr:row>17</xdr:row>
      <xdr:rowOff>381000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20</xdr:row>
      <xdr:rowOff>0</xdr:rowOff>
    </xdr:from>
    <xdr:to>
      <xdr:col>16</xdr:col>
      <xdr:colOff>142875</xdr:colOff>
      <xdr:row>32</xdr:row>
      <xdr:rowOff>552450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20</xdr:row>
      <xdr:rowOff>0</xdr:rowOff>
    </xdr:from>
    <xdr:to>
      <xdr:col>24</xdr:col>
      <xdr:colOff>333375</xdr:colOff>
      <xdr:row>32</xdr:row>
      <xdr:rowOff>361950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523875</xdr:colOff>
      <xdr:row>22</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3</xdr:row>
      <xdr:rowOff>0</xdr:rowOff>
    </xdr:from>
    <xdr:to>
      <xdr:col>20</xdr:col>
      <xdr:colOff>523875</xdr:colOff>
      <xdr:row>17</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18</xdr:row>
      <xdr:rowOff>0</xdr:rowOff>
    </xdr:from>
    <xdr:to>
      <xdr:col>20</xdr:col>
      <xdr:colOff>523875</xdr:colOff>
      <xdr:row>32</xdr:row>
      <xdr:rowOff>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523875</xdr:colOff>
      <xdr:row>22</xdr:row>
      <xdr:rowOff>314325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3</xdr:row>
      <xdr:rowOff>0</xdr:rowOff>
    </xdr:from>
    <xdr:to>
      <xdr:col>20</xdr:col>
      <xdr:colOff>333375</xdr:colOff>
      <xdr:row>21</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3</xdr:row>
      <xdr:rowOff>0</xdr:rowOff>
    </xdr:from>
    <xdr:to>
      <xdr:col>17</xdr:col>
      <xdr:colOff>381000</xdr:colOff>
      <xdr:row>18</xdr:row>
      <xdr:rowOff>285750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21</xdr:row>
      <xdr:rowOff>0</xdr:rowOff>
    </xdr:from>
    <xdr:to>
      <xdr:col>17</xdr:col>
      <xdr:colOff>381000</xdr:colOff>
      <xdr:row>37</xdr:row>
      <xdr:rowOff>95250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3</xdr:row>
      <xdr:rowOff>0</xdr:rowOff>
    </xdr:from>
    <xdr:to>
      <xdr:col>18</xdr:col>
      <xdr:colOff>142875</xdr:colOff>
      <xdr:row>19</xdr:row>
      <xdr:rowOff>95250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21</xdr:row>
      <xdr:rowOff>0</xdr:rowOff>
    </xdr:from>
    <xdr:to>
      <xdr:col>18</xdr:col>
      <xdr:colOff>142875</xdr:colOff>
      <xdr:row>29</xdr:row>
      <xdr:rowOff>57150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0</xdr:colOff>
      <xdr:row>3</xdr:row>
      <xdr:rowOff>0</xdr:rowOff>
    </xdr:from>
    <xdr:to>
      <xdr:col>15</xdr:col>
      <xdr:colOff>285750</xdr:colOff>
      <xdr:row>21</xdr:row>
      <xdr:rowOff>114300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3</xdr:row>
      <xdr:rowOff>0</xdr:rowOff>
    </xdr:from>
    <xdr:to>
      <xdr:col>24</xdr:col>
      <xdr:colOff>0</xdr:colOff>
      <xdr:row>21</xdr:row>
      <xdr:rowOff>114300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3</xdr:row>
      <xdr:rowOff>0</xdr:rowOff>
    </xdr:from>
    <xdr:to>
      <xdr:col>17</xdr:col>
      <xdr:colOff>381000</xdr:colOff>
      <xdr:row>16</xdr:row>
      <xdr:rowOff>247650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19</xdr:row>
      <xdr:rowOff>0</xdr:rowOff>
    </xdr:from>
    <xdr:to>
      <xdr:col>17</xdr:col>
      <xdr:colOff>381000</xdr:colOff>
      <xdr:row>33</xdr:row>
      <xdr:rowOff>152400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36</xdr:row>
      <xdr:rowOff>0</xdr:rowOff>
    </xdr:from>
    <xdr:to>
      <xdr:col>17</xdr:col>
      <xdr:colOff>381000</xdr:colOff>
      <xdr:row>45</xdr:row>
      <xdr:rowOff>561975</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0">
    <pageSetUpPr fitToPage="1"/>
  </sheetPr>
  <dimension ref="A1:E30"/>
  <sheetViews>
    <sheetView showGridLines="0" workbookViewId="0"/>
  </sheetViews>
  <sheetFormatPr baseColWidth="10" defaultColWidth="9.140625" defaultRowHeight="15" x14ac:dyDescent="0.25"/>
  <cols>
    <col min="1" max="1" width="3.7109375" customWidth="1"/>
    <col min="2" max="2" width="26.7109375" customWidth="1"/>
    <col min="3" max="3" width="62.7109375" customWidth="1"/>
    <col min="4" max="4" width="26.7109375" customWidth="1"/>
    <col min="5" max="5" width="3.7109375" customWidth="1"/>
  </cols>
  <sheetData>
    <row r="1" spans="1:5" ht="38.1" customHeight="1" x14ac:dyDescent="0.25">
      <c r="A1" s="24" t="s">
        <v>0</v>
      </c>
      <c r="B1" s="24"/>
      <c r="C1" s="24"/>
      <c r="D1" s="24"/>
      <c r="E1" s="24"/>
    </row>
    <row r="2" spans="1:5" ht="30" customHeight="1" x14ac:dyDescent="0.25">
      <c r="A2" s="25" t="s">
        <v>1</v>
      </c>
      <c r="B2" s="25"/>
      <c r="C2" s="25"/>
      <c r="D2" s="25"/>
      <c r="E2" s="25"/>
    </row>
    <row r="4" spans="1:5" ht="15.75" x14ac:dyDescent="0.25">
      <c r="B4" s="1" t="s">
        <v>2</v>
      </c>
    </row>
    <row r="5" spans="1:5" ht="62.1" customHeight="1" x14ac:dyDescent="0.25">
      <c r="B5" s="2" t="s">
        <v>3</v>
      </c>
      <c r="C5" s="26" t="s">
        <v>4</v>
      </c>
      <c r="D5" s="26"/>
    </row>
    <row r="6" spans="1:5" ht="33.950000000000003" customHeight="1" x14ac:dyDescent="0.25">
      <c r="B6" s="2" t="s">
        <v>5</v>
      </c>
      <c r="C6" s="26" t="s">
        <v>6</v>
      </c>
      <c r="D6" s="26"/>
    </row>
    <row r="7" spans="1:5" ht="33.950000000000003" customHeight="1" x14ac:dyDescent="0.25">
      <c r="B7" s="2" t="s">
        <v>7</v>
      </c>
      <c r="C7" s="26" t="s">
        <v>8</v>
      </c>
      <c r="D7" s="26"/>
    </row>
    <row r="8" spans="1:5" ht="33.950000000000003" customHeight="1" x14ac:dyDescent="0.25">
      <c r="B8" s="2" t="s">
        <v>9</v>
      </c>
      <c r="C8" s="26" t="s">
        <v>10</v>
      </c>
      <c r="D8" s="26"/>
    </row>
    <row r="9" spans="1:5" ht="33.950000000000003" customHeight="1" x14ac:dyDescent="0.25">
      <c r="B9" s="2" t="s">
        <v>11</v>
      </c>
      <c r="C9" s="26" t="s">
        <v>12</v>
      </c>
      <c r="D9" s="26"/>
    </row>
    <row r="10" spans="1:5" ht="33.950000000000003" customHeight="1" x14ac:dyDescent="0.25">
      <c r="B10" s="2" t="s">
        <v>13</v>
      </c>
      <c r="C10" s="26" t="s">
        <v>14</v>
      </c>
      <c r="D10" s="26"/>
    </row>
    <row r="12" spans="1:5" x14ac:dyDescent="0.25">
      <c r="B12" s="4" t="s">
        <v>15</v>
      </c>
      <c r="C12" s="5" t="s">
        <v>16</v>
      </c>
    </row>
    <row r="13" spans="1:5" x14ac:dyDescent="0.25">
      <c r="B13" s="6" t="s">
        <v>17</v>
      </c>
      <c r="C13" s="5" t="s">
        <v>18</v>
      </c>
    </row>
    <row r="14" spans="1:5" x14ac:dyDescent="0.25">
      <c r="B14" s="7" t="s">
        <v>19</v>
      </c>
      <c r="C14" s="5" t="s">
        <v>20</v>
      </c>
    </row>
    <row r="16" spans="1:5" ht="15.75" x14ac:dyDescent="0.25">
      <c r="B16" s="1" t="s">
        <v>21</v>
      </c>
    </row>
    <row r="17" spans="2:4" x14ac:dyDescent="0.25">
      <c r="B17" s="2" t="s">
        <v>22</v>
      </c>
      <c r="C17" s="2" t="s">
        <v>23</v>
      </c>
      <c r="D17" s="2" t="s">
        <v>24</v>
      </c>
    </row>
    <row r="18" spans="2:4" ht="44.1" customHeight="1" x14ac:dyDescent="0.25">
      <c r="B18" s="8" t="s">
        <v>25</v>
      </c>
      <c r="C18" s="3" t="s">
        <v>26</v>
      </c>
      <c r="D18" s="9" t="s">
        <v>27</v>
      </c>
    </row>
    <row r="19" spans="2:4" ht="44.1" customHeight="1" x14ac:dyDescent="0.25">
      <c r="B19" s="8" t="s">
        <v>28</v>
      </c>
      <c r="C19" s="3" t="s">
        <v>29</v>
      </c>
      <c r="D19" s="9" t="s">
        <v>30</v>
      </c>
    </row>
    <row r="20" spans="2:4" ht="44.1" customHeight="1" x14ac:dyDescent="0.25">
      <c r="B20" s="8" t="s">
        <v>31</v>
      </c>
      <c r="C20" s="3" t="s">
        <v>32</v>
      </c>
      <c r="D20" s="9" t="s">
        <v>33</v>
      </c>
    </row>
    <row r="21" spans="2:4" ht="44.1" customHeight="1" x14ac:dyDescent="0.25">
      <c r="B21" s="8" t="s">
        <v>34</v>
      </c>
      <c r="C21" s="3" t="s">
        <v>35</v>
      </c>
      <c r="D21" s="9" t="s">
        <v>36</v>
      </c>
    </row>
    <row r="22" spans="2:4" ht="44.1" customHeight="1" x14ac:dyDescent="0.25">
      <c r="B22" s="8" t="s">
        <v>37</v>
      </c>
      <c r="C22" s="3" t="s">
        <v>38</v>
      </c>
      <c r="D22" s="9" t="s">
        <v>39</v>
      </c>
    </row>
    <row r="23" spans="2:4" ht="44.1" customHeight="1" x14ac:dyDescent="0.25">
      <c r="B23" s="8" t="s">
        <v>40</v>
      </c>
      <c r="C23" s="3" t="s">
        <v>41</v>
      </c>
      <c r="D23" s="9" t="s">
        <v>42</v>
      </c>
    </row>
    <row r="24" spans="2:4" ht="44.1" customHeight="1" x14ac:dyDescent="0.25">
      <c r="B24" s="8" t="s">
        <v>43</v>
      </c>
      <c r="C24" s="3" t="s">
        <v>44</v>
      </c>
      <c r="D24" s="9" t="s">
        <v>45</v>
      </c>
    </row>
    <row r="25" spans="2:4" ht="44.1" customHeight="1" x14ac:dyDescent="0.25">
      <c r="B25" s="8" t="s">
        <v>46</v>
      </c>
      <c r="C25" s="3" t="s">
        <v>47</v>
      </c>
      <c r="D25" s="9" t="s">
        <v>48</v>
      </c>
    </row>
    <row r="26" spans="2:4" ht="44.1" customHeight="1" x14ac:dyDescent="0.25">
      <c r="B26" s="8" t="s">
        <v>49</v>
      </c>
      <c r="C26" s="3" t="s">
        <v>50</v>
      </c>
      <c r="D26" s="9" t="s">
        <v>51</v>
      </c>
    </row>
    <row r="28" spans="2:4" x14ac:dyDescent="0.25">
      <c r="B28" s="27" t="s">
        <v>52</v>
      </c>
      <c r="C28" s="27"/>
      <c r="D28" s="27"/>
    </row>
    <row r="29" spans="2:4" x14ac:dyDescent="0.25">
      <c r="B29" s="27"/>
      <c r="C29" s="27"/>
      <c r="D29" s="27"/>
    </row>
    <row r="30" spans="2:4" x14ac:dyDescent="0.25">
      <c r="B30" s="27"/>
      <c r="C30" s="27"/>
      <c r="D30" s="27"/>
    </row>
  </sheetData>
  <sheetProtection sheet="1" scenarios="1"/>
  <mergeCells count="9">
    <mergeCell ref="C8:D8"/>
    <mergeCell ref="C9:D9"/>
    <mergeCell ref="C10:D10"/>
    <mergeCell ref="B28:D30"/>
    <mergeCell ref="A1:E1"/>
    <mergeCell ref="A2:E2"/>
    <mergeCell ref="C5:D5"/>
    <mergeCell ref="C6:D6"/>
    <mergeCell ref="C7:D7"/>
  </mergeCells>
  <hyperlinks>
    <hyperlink ref="B18" location="'U1 Caja de cambios'!A1" display="U1 Caja de cambios" xr:uid="{00000000-0004-0000-0000-000000000000}"/>
    <hyperlink ref="B19" location="'U1 Embrague'!A1" display="U1 Embrague" xr:uid="{00000000-0004-0000-0000-000001000000}"/>
    <hyperlink ref="B20" location="'U2 Junta cardán'!A1" display="U2 Junta cardán" xr:uid="{00000000-0004-0000-0000-000002000000}"/>
    <hyperlink ref="B21" location="'U2 Diferencial'!A1" display="U2 Diferencial" xr:uid="{00000000-0004-0000-0000-000003000000}"/>
    <hyperlink ref="B22" location="'U3 Tren epicicloidal'!A1" display="U3 Tren epicicloidal" xr:uid="{00000000-0004-0000-0000-000004000000}"/>
    <hyperlink ref="B23" location="'U3 Convertidor'!A1" display="U3 Convertidor" xr:uid="{00000000-0004-0000-0000-000005000000}"/>
    <hyperlink ref="B24" location="'U4 CVT'!A1" display="U4 CVT" xr:uid="{00000000-0004-0000-0000-000006000000}"/>
    <hyperlink ref="B25" location="'U4 Híbrido'!A1" display="U4 Híbrido" xr:uid="{00000000-0004-0000-0000-000007000000}"/>
    <hyperlink ref="B26" location="'U4 Sensores y PWM'!A1" display="U4 Sensores y PWM" xr:uid="{00000000-0004-0000-0000-000008000000}"/>
  </hyperlink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pageSetUpPr fitToPage="1"/>
  </sheetPr>
  <dimension ref="A1:CZ66"/>
  <sheetViews>
    <sheetView showGridLines="0" topLeftCell="A4" workbookViewId="0">
      <selection sqref="A1:Y1"/>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78" ht="30" customHeight="1" x14ac:dyDescent="0.25">
      <c r="A1" s="24" t="s">
        <v>53</v>
      </c>
      <c r="B1" s="24"/>
      <c r="C1" s="24"/>
      <c r="D1" s="24"/>
      <c r="E1" s="24"/>
      <c r="F1" s="24"/>
      <c r="G1" s="24"/>
      <c r="H1" s="24"/>
      <c r="I1" s="24"/>
      <c r="J1" s="24"/>
      <c r="K1" s="24"/>
      <c r="L1" s="24"/>
      <c r="M1" s="24"/>
      <c r="N1" s="24"/>
      <c r="O1" s="24"/>
      <c r="P1" s="24"/>
      <c r="Q1" s="24"/>
      <c r="R1" s="24"/>
      <c r="S1" s="24"/>
      <c r="T1" s="24"/>
      <c r="U1" s="24"/>
      <c r="V1" s="24"/>
      <c r="W1" s="24"/>
      <c r="X1" s="24"/>
      <c r="Y1" s="24"/>
      <c r="AA1" s="12" t="s">
        <v>56</v>
      </c>
      <c r="BS1" s="11" t="str">
        <f>"Par de engranajes de "&amp;$C$52&amp;"ª marcha (i = "&amp;FIXED(INDEX($C$15:$C$19,$C$52),2,TRUE)&amp;")"</f>
        <v>Par de engranajes de 2ª marcha (i = 2.02)</v>
      </c>
    </row>
    <row r="2" spans="1:78" x14ac:dyDescent="0.25">
      <c r="A2" s="25" t="s">
        <v>54</v>
      </c>
      <c r="B2" s="25"/>
      <c r="C2" s="25"/>
      <c r="D2" s="25"/>
      <c r="E2" s="25"/>
      <c r="F2" s="25"/>
      <c r="G2" s="25"/>
      <c r="H2" s="25"/>
      <c r="I2" s="25"/>
      <c r="J2" s="25"/>
      <c r="K2" s="25"/>
      <c r="L2" s="25"/>
      <c r="M2" s="25"/>
      <c r="N2" s="25"/>
      <c r="O2" s="25"/>
      <c r="P2" s="25"/>
      <c r="Q2" s="25"/>
      <c r="R2" s="25"/>
      <c r="S2" s="25"/>
      <c r="T2" s="25"/>
      <c r="U2" s="25"/>
      <c r="V2" s="25"/>
      <c r="W2" s="25"/>
      <c r="X2" s="25"/>
      <c r="Y2" s="25"/>
      <c r="AA2" s="13" t="s">
        <v>100</v>
      </c>
      <c r="AB2" s="13" t="s">
        <v>101</v>
      </c>
      <c r="AC2" s="13" t="s">
        <v>102</v>
      </c>
      <c r="AD2" s="13" t="s">
        <v>103</v>
      </c>
      <c r="AE2" s="13" t="s">
        <v>104</v>
      </c>
      <c r="AF2" s="13" t="s">
        <v>105</v>
      </c>
      <c r="AG2" s="13" t="s">
        <v>106</v>
      </c>
      <c r="AH2" s="13" t="s">
        <v>107</v>
      </c>
      <c r="AI2" s="13" t="s">
        <v>108</v>
      </c>
      <c r="AJ2" s="13" t="s">
        <v>109</v>
      </c>
      <c r="AK2" s="13" t="s">
        <v>110</v>
      </c>
      <c r="AL2" s="13" t="s">
        <v>111</v>
      </c>
      <c r="AM2" s="13" t="s">
        <v>112</v>
      </c>
      <c r="AN2" s="13" t="s">
        <v>113</v>
      </c>
      <c r="AO2" s="13" t="s">
        <v>114</v>
      </c>
      <c r="AP2" s="13" t="s">
        <v>115</v>
      </c>
      <c r="AQ2" s="13" t="s">
        <v>116</v>
      </c>
      <c r="AR2" s="13" t="s">
        <v>117</v>
      </c>
      <c r="AS2" s="13" t="s">
        <v>118</v>
      </c>
      <c r="AT2" s="13" t="s">
        <v>119</v>
      </c>
      <c r="AV2" s="13" t="s">
        <v>120</v>
      </c>
      <c r="AW2" s="13" t="s">
        <v>121</v>
      </c>
      <c r="AX2" s="13" t="s">
        <v>120</v>
      </c>
      <c r="AY2" s="13" t="s">
        <v>122</v>
      </c>
      <c r="BA2" s="13" t="s">
        <v>123</v>
      </c>
      <c r="BB2" s="13" t="s">
        <v>124</v>
      </c>
      <c r="BS2" s="11">
        <f>1/(1+INDEX($C$15:$C$19,$C$52))</f>
        <v>0.33112582781456956</v>
      </c>
      <c r="BT2" s="11">
        <f>INDEX($C$15:$C$19,$C$52)/(1+INDEX($C$15:$C$19,$C$52))</f>
        <v>0.66887417218543044</v>
      </c>
      <c r="BU2" s="11">
        <f>$C$24*36</f>
        <v>1080</v>
      </c>
      <c r="BV2" s="11">
        <f>180-BU2/INDEX($C$15:$C$19,$C$52)</f>
        <v>-354.65346534653463</v>
      </c>
    </row>
    <row r="3" spans="1:78" x14ac:dyDescent="0.25">
      <c r="B3" s="8" t="s">
        <v>55</v>
      </c>
      <c r="AA3" s="11">
        <f t="shared" ref="AA3:AA14" si="0">B28</f>
        <v>1000</v>
      </c>
      <c r="AB3" s="11">
        <f t="shared" ref="AB3:AB14" si="1">C28</f>
        <v>110</v>
      </c>
      <c r="AC3" s="11">
        <f t="shared" ref="AC3:AC14" si="2">0.377*AA3*$C$6/$C$43</f>
        <v>7.4485624744515606</v>
      </c>
      <c r="AD3" s="11">
        <f t="shared" ref="AD3:AD14" si="3">AB3*$C$43*$C$7/$C$6</f>
        <v>5010.7655172413797</v>
      </c>
      <c r="AE3" s="11">
        <f t="shared" ref="AE3:AE14" si="4">0.377*AA3*$C$6/$C$44</f>
        <v>13.200917652740884</v>
      </c>
      <c r="AF3" s="11">
        <f t="shared" ref="AF3:AF14" si="5">AB3*$C$44*$C$7/$C$6</f>
        <v>2827.3034482758621</v>
      </c>
      <c r="AG3" s="11">
        <f t="shared" ref="AG3:AG14" si="6">0.377*AA3*$C$6/$C$45</f>
        <v>20.201404286770142</v>
      </c>
      <c r="AH3" s="11">
        <f t="shared" ref="AH3:AH14" si="7">AB3*$C$45*$C$7/$C$6</f>
        <v>1847.544827586207</v>
      </c>
      <c r="AI3" s="11">
        <f t="shared" ref="AI3:AI14" si="8">0.377*AA3*$C$6/$C$46</f>
        <v>27.490570781996482</v>
      </c>
      <c r="AJ3" s="11">
        <f t="shared" ref="AJ3:AJ14" si="9">AB3*$C$46*$C$7/$C$6</f>
        <v>1357.6655172413793</v>
      </c>
      <c r="AK3" s="11">
        <f t="shared" ref="AK3:AK14" si="10">0.377*AA3*$C$6/$C$47</f>
        <v>35.086649550706035</v>
      </c>
      <c r="AL3" s="11">
        <f t="shared" ref="AL3:AL14" si="11">AB3*$C$47*$C$7/$C$6</f>
        <v>1063.7379310344827</v>
      </c>
      <c r="AM3" s="11">
        <f t="shared" ref="AM3:AM14" si="12">($C$5*9.81*($C$8*COS(ATAN($C$12/100))+SIN(ATAN($C$12/100)))+0.5*$C$11*$C$9*$C$10*(AI3/3.6)^2)</f>
        <v>198.97204390873949</v>
      </c>
      <c r="AN3" s="11">
        <f t="shared" ref="AN3:AN14" si="13">AJ3-AM3</f>
        <v>1158.6934733326398</v>
      </c>
      <c r="AO3" s="11">
        <f t="shared" ref="AO3:AO14" si="14">($C$5*9.81*($C$8*COS(ATAN($C$12/100))+SIN(ATAN($C$12/100)))+0.5*$C$11*$C$9*$C$10*(AK3/3.6)^2)</f>
        <v>213.05623634649066</v>
      </c>
      <c r="AP3" s="11">
        <f t="shared" ref="AP3:AP14" si="15">AL3-AO3</f>
        <v>850.68169468799204</v>
      </c>
      <c r="AQ3" s="11">
        <f t="shared" ref="AQ3:AQ13" si="16">IF(AND(AN3&gt;=0,AN4&lt;0),1,0)</f>
        <v>0</v>
      </c>
      <c r="AR3" s="11">
        <f t="shared" ref="AR3:AR13" si="17">IF(AQ3=1,AI3+AN3/(AN3-AN4)*(AI4-AI3),0)</f>
        <v>0</v>
      </c>
      <c r="AS3" s="11">
        <f t="shared" ref="AS3:AS13" si="18">IF(AND(AP3&gt;=0,AP4&lt;0),1,0)</f>
        <v>0</v>
      </c>
      <c r="AT3" s="11">
        <f t="shared" ref="AT3:AT13" si="19">IF(AS3=1,AK3+AP3/(AP3-AP4)*(AK4-AK3),0)</f>
        <v>0</v>
      </c>
      <c r="AV3" s="11">
        <f>0</f>
        <v>0</v>
      </c>
      <c r="AW3" s="11">
        <f t="shared" ref="AW3:AW25" si="20">($C$5*9.81*($C$8*COS(ATAN($C$12/100))+SIN(ATAN($C$12/100)))+0.5*$C$11*$C$9*$C$10*(AV3/3.6)^2)</f>
        <v>176.57999999999998</v>
      </c>
      <c r="AX3" s="11">
        <v>0</v>
      </c>
      <c r="AY3" s="11">
        <f>($C$21*$C$5*9.81*$C$22/100)</f>
        <v>5650.56</v>
      </c>
      <c r="BA3" s="11">
        <f>$AC$3</f>
        <v>7.4485624744515606</v>
      </c>
      <c r="BB3" s="11">
        <f>$AA$3</f>
        <v>1000</v>
      </c>
      <c r="BD3" s="11">
        <f>AC3</f>
        <v>7.4485624744515606</v>
      </c>
      <c r="BE3" s="11">
        <f>$AA$3</f>
        <v>1000</v>
      </c>
      <c r="BF3" s="11">
        <f>AE3</f>
        <v>13.200917652740884</v>
      </c>
      <c r="BG3" s="11">
        <f>$AA$3</f>
        <v>1000</v>
      </c>
      <c r="BH3" s="11">
        <f>AG3</f>
        <v>20.201404286770142</v>
      </c>
      <c r="BI3" s="11">
        <f>$AA$3</f>
        <v>1000</v>
      </c>
      <c r="BJ3" s="11">
        <f>AI3</f>
        <v>27.490570781996482</v>
      </c>
      <c r="BK3" s="11">
        <f>$AA$3</f>
        <v>1000</v>
      </c>
      <c r="BL3" s="11">
        <f>AK3</f>
        <v>35.086649550706035</v>
      </c>
      <c r="BM3" s="11">
        <f>$AA$3</f>
        <v>1000</v>
      </c>
      <c r="BO3" s="11">
        <f>$C$51</f>
        <v>57.892971758664956</v>
      </c>
      <c r="BP3" s="11">
        <f>$C$53</f>
        <v>4385.5263157894742</v>
      </c>
      <c r="BQ3" s="11">
        <f>$C$51</f>
        <v>57.892971758664956</v>
      </c>
      <c r="BR3" s="11">
        <f>$C$55</f>
        <v>3718.8509782214164</v>
      </c>
    </row>
    <row r="4" spans="1:78" x14ac:dyDescent="0.25">
      <c r="B4" s="28" t="s">
        <v>57</v>
      </c>
      <c r="C4" s="28"/>
      <c r="D4" s="28"/>
      <c r="E4" s="28"/>
      <c r="F4" s="28"/>
      <c r="G4" s="28"/>
      <c r="AA4" s="11">
        <f t="shared" si="0"/>
        <v>1500</v>
      </c>
      <c r="AB4" s="11">
        <f t="shared" si="1"/>
        <v>125</v>
      </c>
      <c r="AC4" s="11">
        <f t="shared" si="2"/>
        <v>11.17284371167734</v>
      </c>
      <c r="AD4" s="11">
        <f t="shared" si="3"/>
        <v>5694.0517241379312</v>
      </c>
      <c r="AE4" s="11">
        <f t="shared" si="4"/>
        <v>19.801376479111322</v>
      </c>
      <c r="AF4" s="11">
        <f t="shared" si="5"/>
        <v>3212.844827586207</v>
      </c>
      <c r="AG4" s="11">
        <f t="shared" si="6"/>
        <v>30.302106430155206</v>
      </c>
      <c r="AH4" s="11">
        <f t="shared" si="7"/>
        <v>2099.4827586206898</v>
      </c>
      <c r="AI4" s="11">
        <f t="shared" si="8"/>
        <v>41.235856172994723</v>
      </c>
      <c r="AJ4" s="11">
        <f t="shared" si="9"/>
        <v>1542.8017241379309</v>
      </c>
      <c r="AK4" s="11">
        <f t="shared" si="10"/>
        <v>52.629974326059049</v>
      </c>
      <c r="AL4" s="11">
        <f t="shared" si="11"/>
        <v>1208.7931034482758</v>
      </c>
      <c r="AM4" s="11">
        <f t="shared" si="12"/>
        <v>226.96209879466389</v>
      </c>
      <c r="AN4" s="11">
        <f t="shared" si="13"/>
        <v>1315.839625343267</v>
      </c>
      <c r="AO4" s="11">
        <f t="shared" si="14"/>
        <v>258.65153177960394</v>
      </c>
      <c r="AP4" s="11">
        <f t="shared" si="15"/>
        <v>950.14157166867187</v>
      </c>
      <c r="AQ4" s="11">
        <f t="shared" si="16"/>
        <v>0</v>
      </c>
      <c r="AR4" s="11">
        <f t="shared" si="17"/>
        <v>0</v>
      </c>
      <c r="AS4" s="11">
        <f t="shared" si="18"/>
        <v>0</v>
      </c>
      <c r="AT4" s="11">
        <f t="shared" si="19"/>
        <v>0</v>
      </c>
      <c r="AV4" s="11">
        <f>10</f>
        <v>10</v>
      </c>
      <c r="AW4" s="11">
        <f t="shared" si="20"/>
        <v>179.54296296296295</v>
      </c>
      <c r="AX4" s="11">
        <v>220</v>
      </c>
      <c r="AY4" s="11">
        <f>($C$21*$C$5*9.81*$C$22/100)</f>
        <v>5650.56</v>
      </c>
      <c r="BA4" s="11">
        <f>$D$43</f>
        <v>40.967093609483577</v>
      </c>
      <c r="BB4" s="11">
        <f>$C$20</f>
        <v>5500</v>
      </c>
      <c r="BD4" s="11">
        <f>AC14</f>
        <v>48.41565608393514</v>
      </c>
      <c r="BE4" s="11">
        <f>$AA$14</f>
        <v>6500</v>
      </c>
      <c r="BF4" s="11">
        <f>AE14</f>
        <v>85.805964742815746</v>
      </c>
      <c r="BG4" s="11">
        <f>$AA$14</f>
        <v>6500</v>
      </c>
      <c r="BH4" s="11">
        <f>AG14</f>
        <v>131.30912786400592</v>
      </c>
      <c r="BI4" s="11">
        <f>$AA$14</f>
        <v>6500</v>
      </c>
      <c r="BJ4" s="11">
        <f>AI14</f>
        <v>178.68871008297714</v>
      </c>
      <c r="BK4" s="11">
        <f>$AA$14</f>
        <v>6500</v>
      </c>
      <c r="BL4" s="11">
        <f>AK14</f>
        <v>228.06322207958922</v>
      </c>
      <c r="BM4" s="11">
        <f>$AA$14</f>
        <v>6500</v>
      </c>
      <c r="BS4" s="11">
        <f>0+$BS$2*COS(RADIANS((0+(360-(0))*0/36)))</f>
        <v>0.33112582781456956</v>
      </c>
      <c r="BT4" s="11">
        <f>0+$BS$2*SIN(RADIANS((0+(360-(0))*0/36)))</f>
        <v>0</v>
      </c>
      <c r="BU4" s="11">
        <f>1+$BT$2*COS(RADIANS((0+(360-(0))*0/36)))</f>
        <v>1.6688741721854305</v>
      </c>
      <c r="BV4" s="11">
        <f>0+$BT$2*SIN(RADIANS((0+(360-(0))*0/36)))</f>
        <v>0</v>
      </c>
      <c r="BW4" s="11">
        <v>0</v>
      </c>
      <c r="BX4" s="11">
        <v>0</v>
      </c>
      <c r="BY4" s="11">
        <v>1</v>
      </c>
      <c r="BZ4" s="11">
        <v>0</v>
      </c>
    </row>
    <row r="5" spans="1:78" x14ac:dyDescent="0.25">
      <c r="B5" s="14" t="s">
        <v>58</v>
      </c>
      <c r="C5" s="15">
        <v>1200</v>
      </c>
      <c r="D5" s="16" t="s">
        <v>59</v>
      </c>
      <c r="AA5" s="11">
        <f t="shared" si="0"/>
        <v>2000</v>
      </c>
      <c r="AB5" s="11">
        <f t="shared" si="1"/>
        <v>135</v>
      </c>
      <c r="AC5" s="11">
        <f t="shared" si="2"/>
        <v>14.897124948903121</v>
      </c>
      <c r="AD5" s="11">
        <f t="shared" si="3"/>
        <v>6149.5758620689658</v>
      </c>
      <c r="AE5" s="11">
        <f t="shared" si="4"/>
        <v>26.401835305481768</v>
      </c>
      <c r="AF5" s="11">
        <f t="shared" si="5"/>
        <v>3469.8724137931035</v>
      </c>
      <c r="AG5" s="11">
        <f t="shared" si="6"/>
        <v>40.402808573540284</v>
      </c>
      <c r="AH5" s="11">
        <f t="shared" si="7"/>
        <v>2267.4413793103449</v>
      </c>
      <c r="AI5" s="11">
        <f t="shared" si="8"/>
        <v>54.981141563992963</v>
      </c>
      <c r="AJ5" s="11">
        <f t="shared" si="9"/>
        <v>1666.2258620689654</v>
      </c>
      <c r="AK5" s="11">
        <f t="shared" si="10"/>
        <v>70.17329910141207</v>
      </c>
      <c r="AL5" s="11">
        <f t="shared" si="11"/>
        <v>1305.496551724138</v>
      </c>
      <c r="AM5" s="11">
        <f t="shared" si="12"/>
        <v>266.14817563495802</v>
      </c>
      <c r="AN5" s="11">
        <f t="shared" si="13"/>
        <v>1400.0776864340073</v>
      </c>
      <c r="AO5" s="11">
        <f t="shared" si="14"/>
        <v>322.48494538596265</v>
      </c>
      <c r="AP5" s="11">
        <f t="shared" si="15"/>
        <v>983.0116063381754</v>
      </c>
      <c r="AQ5" s="11">
        <f t="shared" si="16"/>
        <v>0</v>
      </c>
      <c r="AR5" s="11">
        <f t="shared" si="17"/>
        <v>0</v>
      </c>
      <c r="AS5" s="11">
        <f t="shared" si="18"/>
        <v>0</v>
      </c>
      <c r="AT5" s="11">
        <f t="shared" si="19"/>
        <v>0</v>
      </c>
      <c r="AV5" s="11">
        <f>20</f>
        <v>20</v>
      </c>
      <c r="AW5" s="11">
        <f t="shared" si="20"/>
        <v>188.43185185185183</v>
      </c>
      <c r="BA5" s="11">
        <f>$D$43</f>
        <v>40.967093609483577</v>
      </c>
      <c r="BB5" s="11">
        <f>$C$20*$C$44/$C$43</f>
        <v>3103.3519553072629</v>
      </c>
      <c r="BS5" s="11">
        <f>0+$BS$2*COS(RADIANS((0+(360-(0))*1/36)))</f>
        <v>0.32609528245437353</v>
      </c>
      <c r="BT5" s="11">
        <f>0+$BS$2*SIN(RADIANS((0+(360-(0))*1/36)))</f>
        <v>5.7499396578453758E-2</v>
      </c>
      <c r="BU5" s="11">
        <f>1+$BT$2*COS(RADIANS((0+(360-(0))*1/36)))</f>
        <v>1.6587124705578344</v>
      </c>
      <c r="BV5" s="11">
        <f>0+$BT$2*SIN(RADIANS((0+(360-(0))*1/36)))</f>
        <v>0.11614878108847658</v>
      </c>
      <c r="BW5" s="11">
        <f>$BS$2*COS(RADIANS($BU$2))</f>
        <v>0.33112582781456956</v>
      </c>
      <c r="BX5" s="11">
        <f>$BS$2*SIN(RADIANS($BU$2))</f>
        <v>-2.4340697779641458E-16</v>
      </c>
      <c r="BY5" s="11">
        <f>1+$BT$2*COS(RADIANS($BV$2))</f>
        <v>1.6659641334097408</v>
      </c>
      <c r="BZ5" s="11">
        <f>$BT$2*SIN(RADIANS($BV$2))</f>
        <v>6.232520540325364E-2</v>
      </c>
    </row>
    <row r="6" spans="1:78" x14ac:dyDescent="0.25">
      <c r="B6" s="14" t="s">
        <v>60</v>
      </c>
      <c r="C6" s="17">
        <v>0.28999999999999998</v>
      </c>
      <c r="D6" s="16" t="s">
        <v>61</v>
      </c>
      <c r="AA6" s="11">
        <f t="shared" si="0"/>
        <v>2500</v>
      </c>
      <c r="AB6" s="11">
        <f t="shared" si="1"/>
        <v>142</v>
      </c>
      <c r="AC6" s="11">
        <f t="shared" si="2"/>
        <v>18.621406186128901</v>
      </c>
      <c r="AD6" s="11">
        <f t="shared" si="3"/>
        <v>6468.4427586206893</v>
      </c>
      <c r="AE6" s="11">
        <f t="shared" si="4"/>
        <v>33.00229413185221</v>
      </c>
      <c r="AF6" s="11">
        <f t="shared" si="5"/>
        <v>3649.7917241379319</v>
      </c>
      <c r="AG6" s="11">
        <f t="shared" si="6"/>
        <v>50.503510716925348</v>
      </c>
      <c r="AH6" s="11">
        <f t="shared" si="7"/>
        <v>2385.0124137931034</v>
      </c>
      <c r="AI6" s="11">
        <f t="shared" si="8"/>
        <v>68.726426954991211</v>
      </c>
      <c r="AJ6" s="11">
        <f t="shared" si="9"/>
        <v>1752.6227586206896</v>
      </c>
      <c r="AK6" s="11">
        <f t="shared" si="10"/>
        <v>87.716623876765084</v>
      </c>
      <c r="AL6" s="11">
        <f t="shared" si="11"/>
        <v>1373.1889655172415</v>
      </c>
      <c r="AM6" s="11">
        <f t="shared" si="12"/>
        <v>316.53027442962201</v>
      </c>
      <c r="AN6" s="11">
        <f t="shared" si="13"/>
        <v>1436.0924841910676</v>
      </c>
      <c r="AO6" s="11">
        <f t="shared" si="14"/>
        <v>404.55647716556666</v>
      </c>
      <c r="AP6" s="11">
        <f t="shared" si="15"/>
        <v>968.63248835167485</v>
      </c>
      <c r="AQ6" s="11">
        <f t="shared" si="16"/>
        <v>0</v>
      </c>
      <c r="AR6" s="11">
        <f t="shared" si="17"/>
        <v>0</v>
      </c>
      <c r="AS6" s="11">
        <f t="shared" si="18"/>
        <v>0</v>
      </c>
      <c r="AT6" s="11">
        <f t="shared" si="19"/>
        <v>0</v>
      </c>
      <c r="AV6" s="11">
        <f>30</f>
        <v>30</v>
      </c>
      <c r="AW6" s="11">
        <f t="shared" si="20"/>
        <v>203.24666666666667</v>
      </c>
      <c r="BA6" s="11">
        <f>$D$44</f>
        <v>72.605047090074848</v>
      </c>
      <c r="BB6" s="11">
        <f>$C$20</f>
        <v>5500</v>
      </c>
      <c r="BS6" s="11">
        <f>0+$BS$2*COS(RADIANS((0+(360-(0))*2/36)))</f>
        <v>0.31115649694897635</v>
      </c>
      <c r="BT6" s="11">
        <f>0+$BS$2*SIN(RADIANS((0+(360-(0))*2/36)))</f>
        <v>0.11325170308796978</v>
      </c>
      <c r="BU6" s="11">
        <f>1+$BT$2*COS(RADIANS((0+(360-(0))*2/36)))</f>
        <v>1.6285361238369322</v>
      </c>
      <c r="BV6" s="11">
        <f>0+$BT$2*SIN(RADIANS((0+(360-(0))*2/36)))</f>
        <v>0.22876844023769893</v>
      </c>
      <c r="BW6" s="11">
        <v>0</v>
      </c>
      <c r="BX6" s="11">
        <v>0</v>
      </c>
      <c r="BY6" s="11">
        <v>1</v>
      </c>
      <c r="BZ6" s="11">
        <v>0</v>
      </c>
    </row>
    <row r="7" spans="1:78" x14ac:dyDescent="0.25">
      <c r="B7" s="14" t="s">
        <v>62</v>
      </c>
      <c r="C7" s="17">
        <v>0.9</v>
      </c>
      <c r="D7" s="16"/>
      <c r="AA7" s="11">
        <f t="shared" si="0"/>
        <v>3000</v>
      </c>
      <c r="AB7" s="11">
        <f t="shared" si="1"/>
        <v>146</v>
      </c>
      <c r="AC7" s="11">
        <f t="shared" si="2"/>
        <v>22.345687423354679</v>
      </c>
      <c r="AD7" s="11">
        <f t="shared" si="3"/>
        <v>6650.6524137931028</v>
      </c>
      <c r="AE7" s="11">
        <f t="shared" si="4"/>
        <v>39.602752958222645</v>
      </c>
      <c r="AF7" s="11">
        <f t="shared" si="5"/>
        <v>3752.6027586206906</v>
      </c>
      <c r="AG7" s="11">
        <f t="shared" si="6"/>
        <v>60.604212860310412</v>
      </c>
      <c r="AH7" s="11">
        <f t="shared" si="7"/>
        <v>2452.1958620689661</v>
      </c>
      <c r="AI7" s="11">
        <f t="shared" si="8"/>
        <v>82.471712345989445</v>
      </c>
      <c r="AJ7" s="11">
        <f t="shared" si="9"/>
        <v>1801.9924137931032</v>
      </c>
      <c r="AK7" s="11">
        <f t="shared" si="10"/>
        <v>105.2599486521181</v>
      </c>
      <c r="AL7" s="11">
        <f t="shared" si="11"/>
        <v>1411.8703448275862</v>
      </c>
      <c r="AM7" s="11">
        <f t="shared" si="12"/>
        <v>378.10839517865566</v>
      </c>
      <c r="AN7" s="11">
        <f t="shared" si="13"/>
        <v>1423.8840186144475</v>
      </c>
      <c r="AO7" s="11">
        <f t="shared" si="14"/>
        <v>504.86612711841587</v>
      </c>
      <c r="AP7" s="11">
        <f t="shared" si="15"/>
        <v>907.00421770917035</v>
      </c>
      <c r="AQ7" s="11">
        <f t="shared" si="16"/>
        <v>0</v>
      </c>
      <c r="AR7" s="11">
        <f t="shared" si="17"/>
        <v>0</v>
      </c>
      <c r="AS7" s="11">
        <f t="shared" si="18"/>
        <v>0</v>
      </c>
      <c r="AT7" s="11">
        <f t="shared" si="19"/>
        <v>0</v>
      </c>
      <c r="AV7" s="11">
        <f>40</f>
        <v>40</v>
      </c>
      <c r="AW7" s="11">
        <f t="shared" si="20"/>
        <v>223.98740740740737</v>
      </c>
      <c r="BA7" s="11">
        <f>$D$44</f>
        <v>72.605047090074848</v>
      </c>
      <c r="BB7" s="11">
        <f>$C$20*$C$45/$C$44</f>
        <v>3594.0594059405939</v>
      </c>
      <c r="BS7" s="11">
        <f>0+$BS$2*COS(RADIANS((0+(360-(0))*3/36)))</f>
        <v>0.28676337873656915</v>
      </c>
      <c r="BT7" s="11">
        <f>0+$BS$2*SIN(RADIANS((0+(360-(0))*3/36)))</f>
        <v>0.16556291390728475</v>
      </c>
      <c r="BU7" s="11">
        <f>1+$BT$2*COS(RADIANS((0+(360-(0))*3/36)))</f>
        <v>1.5792620250478695</v>
      </c>
      <c r="BV7" s="11">
        <f>0+$BT$2*SIN(RADIANS((0+(360-(0))*3/36)))</f>
        <v>0.33443708609271516</v>
      </c>
      <c r="BW7" s="11">
        <f>$BS$2*COS(RADIANS($BU$2+120))</f>
        <v>-0.16556291390728489</v>
      </c>
      <c r="BX7" s="11">
        <f>$BS$2*SIN(RADIANS($BU$2+120))</f>
        <v>0.28676337873656904</v>
      </c>
      <c r="BY7" s="11">
        <f>1+$BT$2*COS(RADIANS($BV$2+120))</f>
        <v>0.61304272211982913</v>
      </c>
      <c r="BZ7" s="11">
        <f>$BT$2*SIN(RADIANS($BV$2+120))</f>
        <v>0.54557925484049796</v>
      </c>
    </row>
    <row r="8" spans="1:78" x14ac:dyDescent="0.25">
      <c r="B8" s="14" t="s">
        <v>63</v>
      </c>
      <c r="C8" s="18">
        <v>1.4999999999999999E-2</v>
      </c>
      <c r="D8" s="16"/>
      <c r="AA8" s="11">
        <f t="shared" si="0"/>
        <v>3500</v>
      </c>
      <c r="AB8" s="11">
        <f t="shared" si="1"/>
        <v>148</v>
      </c>
      <c r="AC8" s="11">
        <f t="shared" si="2"/>
        <v>26.069968660580461</v>
      </c>
      <c r="AD8" s="11">
        <f t="shared" si="3"/>
        <v>6741.7572413793105</v>
      </c>
      <c r="AE8" s="11">
        <f t="shared" si="4"/>
        <v>46.203211784593087</v>
      </c>
      <c r="AF8" s="11">
        <f t="shared" si="5"/>
        <v>3804.0082758620697</v>
      </c>
      <c r="AG8" s="11">
        <f t="shared" si="6"/>
        <v>70.70491500369549</v>
      </c>
      <c r="AH8" s="11">
        <f t="shared" si="7"/>
        <v>2485.7875862068968</v>
      </c>
      <c r="AI8" s="11">
        <f t="shared" si="8"/>
        <v>96.216997736987693</v>
      </c>
      <c r="AJ8" s="11">
        <f t="shared" si="9"/>
        <v>1826.6772413793101</v>
      </c>
      <c r="AK8" s="11">
        <f t="shared" si="10"/>
        <v>122.80327342747113</v>
      </c>
      <c r="AL8" s="11">
        <f t="shared" si="11"/>
        <v>1431.2110344827586</v>
      </c>
      <c r="AM8" s="11">
        <f t="shared" si="12"/>
        <v>450.88253788205907</v>
      </c>
      <c r="AN8" s="11">
        <f t="shared" si="13"/>
        <v>1375.794703497251</v>
      </c>
      <c r="AO8" s="11">
        <f t="shared" si="14"/>
        <v>623.41389524451051</v>
      </c>
      <c r="AP8" s="11">
        <f t="shared" si="15"/>
        <v>807.79713923824806</v>
      </c>
      <c r="AQ8" s="11">
        <f t="shared" si="16"/>
        <v>0</v>
      </c>
      <c r="AR8" s="11">
        <f t="shared" si="17"/>
        <v>0</v>
      </c>
      <c r="AS8" s="11">
        <f t="shared" si="18"/>
        <v>0</v>
      </c>
      <c r="AT8" s="11">
        <f t="shared" si="19"/>
        <v>0</v>
      </c>
      <c r="AV8" s="11">
        <f>50</f>
        <v>50</v>
      </c>
      <c r="AW8" s="11">
        <f t="shared" si="20"/>
        <v>250.65407407407406</v>
      </c>
      <c r="BA8" s="11">
        <f>$D$45</f>
        <v>111.10772357723576</v>
      </c>
      <c r="BB8" s="11">
        <f>$C$20</f>
        <v>5500</v>
      </c>
      <c r="BS8" s="11">
        <f>0+$BS$2*COS(RADIANS((0+(360-(0))*4/36)))</f>
        <v>0.25365710037052253</v>
      </c>
      <c r="BT8" s="11">
        <f>0+$BS$2*SIN(RADIANS((0+(360-(0))*4/36)))</f>
        <v>0.21284357936640375</v>
      </c>
      <c r="BU8" s="11">
        <f>1+$BT$2*COS(RADIANS((0+(360-(0))*4/36)))</f>
        <v>1.5123873427484553</v>
      </c>
      <c r="BV8" s="11">
        <f>0+$BT$2*SIN(RADIANS((0+(360-(0))*4/36)))</f>
        <v>0.42994403032013551</v>
      </c>
      <c r="BW8" s="11">
        <v>0</v>
      </c>
      <c r="BX8" s="11">
        <v>0</v>
      </c>
      <c r="BY8" s="11">
        <v>1</v>
      </c>
      <c r="BZ8" s="11">
        <v>0</v>
      </c>
    </row>
    <row r="9" spans="1:78" x14ac:dyDescent="0.25">
      <c r="B9" s="14" t="s">
        <v>64</v>
      </c>
      <c r="C9" s="17">
        <v>0.32</v>
      </c>
      <c r="D9" s="16"/>
      <c r="AA9" s="11">
        <f t="shared" si="0"/>
        <v>4000</v>
      </c>
      <c r="AB9" s="11">
        <f t="shared" si="1"/>
        <v>147</v>
      </c>
      <c r="AC9" s="11">
        <f t="shared" si="2"/>
        <v>29.794249897806242</v>
      </c>
      <c r="AD9" s="11">
        <f t="shared" si="3"/>
        <v>6696.2048275862062</v>
      </c>
      <c r="AE9" s="11">
        <f t="shared" si="4"/>
        <v>52.803670610963536</v>
      </c>
      <c r="AF9" s="11">
        <f t="shared" si="5"/>
        <v>3778.3055172413792</v>
      </c>
      <c r="AG9" s="11">
        <f t="shared" si="6"/>
        <v>80.805617147080568</v>
      </c>
      <c r="AH9" s="11">
        <f t="shared" si="7"/>
        <v>2468.9917241379312</v>
      </c>
      <c r="AI9" s="11">
        <f t="shared" si="8"/>
        <v>109.96228312798593</v>
      </c>
      <c r="AJ9" s="11">
        <f t="shared" si="9"/>
        <v>1814.3348275862068</v>
      </c>
      <c r="AK9" s="11">
        <f t="shared" si="10"/>
        <v>140.34659820282414</v>
      </c>
      <c r="AL9" s="11">
        <f t="shared" si="11"/>
        <v>1421.5406896551724</v>
      </c>
      <c r="AM9" s="11">
        <f t="shared" si="12"/>
        <v>534.85270253983219</v>
      </c>
      <c r="AN9" s="11">
        <f t="shared" si="13"/>
        <v>1279.4821250463747</v>
      </c>
      <c r="AO9" s="11">
        <f t="shared" si="14"/>
        <v>760.19978154385058</v>
      </c>
      <c r="AP9" s="11">
        <f t="shared" si="15"/>
        <v>661.34090811132182</v>
      </c>
      <c r="AQ9" s="11">
        <f t="shared" si="16"/>
        <v>0</v>
      </c>
      <c r="AR9" s="11">
        <f t="shared" si="17"/>
        <v>0</v>
      </c>
      <c r="AS9" s="11">
        <f t="shared" si="18"/>
        <v>0</v>
      </c>
      <c r="AT9" s="11">
        <f t="shared" si="19"/>
        <v>0</v>
      </c>
      <c r="AV9" s="11">
        <f>60</f>
        <v>60</v>
      </c>
      <c r="AW9" s="11">
        <f t="shared" si="20"/>
        <v>283.24666666666667</v>
      </c>
      <c r="BA9" s="11">
        <f>$D$45</f>
        <v>111.10772357723576</v>
      </c>
      <c r="BB9" s="11">
        <f>$C$20*$C$46/$C$45</f>
        <v>4041.6666666666661</v>
      </c>
      <c r="BS9" s="11">
        <f>0+$BS$2*COS(RADIANS((0+(360-(0))*5/36)))</f>
        <v>0.21284357936640377</v>
      </c>
      <c r="BT9" s="11">
        <f>0+$BS$2*SIN(RADIANS((0+(360-(0))*5/36)))</f>
        <v>0.25365710037052253</v>
      </c>
      <c r="BU9" s="11">
        <f>1+$BT$2*COS(RADIANS((0+(360-(0))*5/36)))</f>
        <v>1.4299440303201356</v>
      </c>
      <c r="BV9" s="11">
        <f>0+$BT$2*SIN(RADIANS((0+(360-(0))*5/36)))</f>
        <v>0.51238734274845543</v>
      </c>
      <c r="BW9" s="11">
        <f>$BS$2*COS(RADIANS($BU$2+240))</f>
        <v>-0.16556291390728536</v>
      </c>
      <c r="BX9" s="11">
        <f>$BS$2*SIN(RADIANS($BU$2+240))</f>
        <v>-0.28676337873656876</v>
      </c>
      <c r="BY9" s="11">
        <f>1+$BT$2*COS(RADIANS($BV$2+240))</f>
        <v>0.72099314447043006</v>
      </c>
      <c r="BZ9" s="11">
        <f>$BT$2*SIN(RADIANS($BV$2+240))</f>
        <v>-0.60790446024375122</v>
      </c>
    </row>
    <row r="10" spans="1:78" x14ac:dyDescent="0.25">
      <c r="B10" s="14" t="s">
        <v>65</v>
      </c>
      <c r="C10" s="17">
        <v>2</v>
      </c>
      <c r="D10" s="16" t="s">
        <v>66</v>
      </c>
      <c r="AA10" s="11">
        <f t="shared" si="0"/>
        <v>4500</v>
      </c>
      <c r="AB10" s="11">
        <f t="shared" si="1"/>
        <v>144</v>
      </c>
      <c r="AC10" s="11">
        <f t="shared" si="2"/>
        <v>33.518531135032021</v>
      </c>
      <c r="AD10" s="11">
        <f t="shared" si="3"/>
        <v>6559.547586206897</v>
      </c>
      <c r="AE10" s="11">
        <f t="shared" si="4"/>
        <v>59.404129437333971</v>
      </c>
      <c r="AF10" s="11">
        <f t="shared" si="5"/>
        <v>3701.1972413793105</v>
      </c>
      <c r="AG10" s="11">
        <f t="shared" si="6"/>
        <v>90.906319290465632</v>
      </c>
      <c r="AH10" s="11">
        <f t="shared" si="7"/>
        <v>2418.604137931035</v>
      </c>
      <c r="AI10" s="11">
        <f t="shared" si="8"/>
        <v>123.70756851898416</v>
      </c>
      <c r="AJ10" s="11">
        <f t="shared" si="9"/>
        <v>1777.3075862068965</v>
      </c>
      <c r="AK10" s="11">
        <f t="shared" si="10"/>
        <v>157.88992297817714</v>
      </c>
      <c r="AL10" s="11">
        <f t="shared" si="11"/>
        <v>1392.5296551724139</v>
      </c>
      <c r="AM10" s="11">
        <f t="shared" si="12"/>
        <v>630.01888915197515</v>
      </c>
      <c r="AN10" s="11">
        <f t="shared" si="13"/>
        <v>1147.2886970549214</v>
      </c>
      <c r="AO10" s="11">
        <f t="shared" si="14"/>
        <v>915.22378601643572</v>
      </c>
      <c r="AP10" s="11">
        <f t="shared" si="15"/>
        <v>477.30586915597814</v>
      </c>
      <c r="AQ10" s="11">
        <f t="shared" si="16"/>
        <v>0</v>
      </c>
      <c r="AR10" s="11">
        <f t="shared" si="17"/>
        <v>0</v>
      </c>
      <c r="AS10" s="11">
        <f t="shared" si="18"/>
        <v>0</v>
      </c>
      <c r="AT10" s="11">
        <f t="shared" si="19"/>
        <v>0</v>
      </c>
      <c r="AV10" s="11">
        <f>70</f>
        <v>70</v>
      </c>
      <c r="AW10" s="11">
        <f t="shared" si="20"/>
        <v>321.76518518518515</v>
      </c>
      <c r="BA10" s="11">
        <f>$D$46</f>
        <v>151.19813930098064</v>
      </c>
      <c r="BB10" s="11">
        <f>$C$20</f>
        <v>5500</v>
      </c>
      <c r="BS10" s="11">
        <f>0+$BS$2*COS(RADIANS((0+(360-(0))*6/36)))</f>
        <v>0.16556291390728481</v>
      </c>
      <c r="BT10" s="11">
        <f>0+$BS$2*SIN(RADIANS((0+(360-(0))*6/36)))</f>
        <v>0.2867633787365691</v>
      </c>
      <c r="BU10" s="11">
        <f>1+$BT$2*COS(RADIANS((0+(360-(0))*6/36)))</f>
        <v>1.3344370860927153</v>
      </c>
      <c r="BV10" s="11">
        <f>0+$BT$2*SIN(RADIANS((0+(360-(0))*6/36)))</f>
        <v>0.5792620250478695</v>
      </c>
    </row>
    <row r="11" spans="1:78" x14ac:dyDescent="0.25">
      <c r="B11" s="14" t="s">
        <v>67</v>
      </c>
      <c r="C11" s="17">
        <v>1.2</v>
      </c>
      <c r="D11" s="16" t="s">
        <v>68</v>
      </c>
      <c r="AA11" s="11">
        <f t="shared" si="0"/>
        <v>5000</v>
      </c>
      <c r="AB11" s="11">
        <f t="shared" si="1"/>
        <v>138</v>
      </c>
      <c r="AC11" s="11">
        <f t="shared" si="2"/>
        <v>37.242812372257802</v>
      </c>
      <c r="AD11" s="11">
        <f t="shared" si="3"/>
        <v>6286.2331034482759</v>
      </c>
      <c r="AE11" s="11">
        <f t="shared" si="4"/>
        <v>66.00458826370442</v>
      </c>
      <c r="AF11" s="11">
        <f t="shared" si="5"/>
        <v>3546.9806896551722</v>
      </c>
      <c r="AG11" s="11">
        <f t="shared" si="6"/>
        <v>101.0070214338507</v>
      </c>
      <c r="AH11" s="11">
        <f t="shared" si="7"/>
        <v>2317.8289655172416</v>
      </c>
      <c r="AI11" s="11">
        <f t="shared" si="8"/>
        <v>137.45285390998242</v>
      </c>
      <c r="AJ11" s="11">
        <f t="shared" si="9"/>
        <v>1703.2531034482759</v>
      </c>
      <c r="AK11" s="11">
        <f t="shared" si="10"/>
        <v>175.43324775353017</v>
      </c>
      <c r="AL11" s="11">
        <f t="shared" si="11"/>
        <v>1334.5075862068966</v>
      </c>
      <c r="AM11" s="11">
        <f t="shared" si="12"/>
        <v>736.38109771848804</v>
      </c>
      <c r="AN11" s="11">
        <f t="shared" si="13"/>
        <v>966.87200572978782</v>
      </c>
      <c r="AO11" s="11">
        <f t="shared" si="14"/>
        <v>1088.4859086622666</v>
      </c>
      <c r="AP11" s="11">
        <f t="shared" si="15"/>
        <v>246.02167754462994</v>
      </c>
      <c r="AQ11" s="11">
        <f t="shared" si="16"/>
        <v>0</v>
      </c>
      <c r="AR11" s="11">
        <f t="shared" si="17"/>
        <v>0</v>
      </c>
      <c r="AS11" s="11">
        <f t="shared" si="18"/>
        <v>1</v>
      </c>
      <c r="AT11" s="11">
        <f t="shared" si="19"/>
        <v>191.48617508059272</v>
      </c>
      <c r="AV11" s="11">
        <f>80</f>
        <v>80</v>
      </c>
      <c r="AW11" s="11">
        <f t="shared" si="20"/>
        <v>366.2096296296296</v>
      </c>
      <c r="BA11" s="11">
        <f>$D$46</f>
        <v>151.19813930098064</v>
      </c>
      <c r="BB11" s="11">
        <f>$C$20*$C$47/$C$46</f>
        <v>4309.2783505154639</v>
      </c>
      <c r="BS11" s="11">
        <f>0+$BS$2*COS(RADIANS((0+(360-(0))*7/36)))</f>
        <v>0.11325170308796982</v>
      </c>
      <c r="BT11" s="11">
        <f>0+$BS$2*SIN(RADIANS((0+(360-(0))*7/36)))</f>
        <v>0.31115649694897629</v>
      </c>
      <c r="BU11" s="11">
        <f>1+$BT$2*COS(RADIANS((0+(360-(0))*7/36)))</f>
        <v>1.228768440237699</v>
      </c>
      <c r="BV11" s="11">
        <f>0+$BT$2*SIN(RADIANS((0+(360-(0))*7/36)))</f>
        <v>0.62853612383693203</v>
      </c>
    </row>
    <row r="12" spans="1:78" x14ac:dyDescent="0.25">
      <c r="B12" s="14" t="s">
        <v>69</v>
      </c>
      <c r="C12" s="15">
        <v>0</v>
      </c>
      <c r="D12" s="16" t="s">
        <v>70</v>
      </c>
      <c r="AA12" s="11">
        <f t="shared" si="0"/>
        <v>5500</v>
      </c>
      <c r="AB12" s="11">
        <f t="shared" si="1"/>
        <v>130</v>
      </c>
      <c r="AC12" s="11">
        <f t="shared" si="2"/>
        <v>40.967093609483577</v>
      </c>
      <c r="AD12" s="11">
        <f t="shared" si="3"/>
        <v>5921.8137931034489</v>
      </c>
      <c r="AE12" s="11">
        <f t="shared" si="4"/>
        <v>72.605047090074848</v>
      </c>
      <c r="AF12" s="11">
        <f t="shared" si="5"/>
        <v>3341.3586206896557</v>
      </c>
      <c r="AG12" s="11">
        <f t="shared" si="6"/>
        <v>111.10772357723576</v>
      </c>
      <c r="AH12" s="11">
        <f t="shared" si="7"/>
        <v>2183.4620689655171</v>
      </c>
      <c r="AI12" s="11">
        <f t="shared" si="8"/>
        <v>151.19813930098064</v>
      </c>
      <c r="AJ12" s="11">
        <f t="shared" si="9"/>
        <v>1604.5137931034481</v>
      </c>
      <c r="AK12" s="11">
        <f t="shared" si="10"/>
        <v>192.9765725288832</v>
      </c>
      <c r="AL12" s="11">
        <f t="shared" si="11"/>
        <v>1257.1448275862067</v>
      </c>
      <c r="AM12" s="11">
        <f t="shared" si="12"/>
        <v>853.9393282393703</v>
      </c>
      <c r="AN12" s="11">
        <f t="shared" si="13"/>
        <v>750.57446486407775</v>
      </c>
      <c r="AO12" s="11">
        <f t="shared" si="14"/>
        <v>1279.9861494813426</v>
      </c>
      <c r="AP12" s="11">
        <f t="shared" si="15"/>
        <v>-22.841321895135934</v>
      </c>
      <c r="AQ12" s="11">
        <f t="shared" si="16"/>
        <v>0</v>
      </c>
      <c r="AR12" s="11">
        <f t="shared" si="17"/>
        <v>0</v>
      </c>
      <c r="AS12" s="11">
        <f t="shared" si="18"/>
        <v>0</v>
      </c>
      <c r="AT12" s="11">
        <f t="shared" si="19"/>
        <v>0</v>
      </c>
      <c r="AV12" s="11">
        <f>90</f>
        <v>90</v>
      </c>
      <c r="AW12" s="11">
        <f t="shared" si="20"/>
        <v>416.58</v>
      </c>
      <c r="BA12" s="11">
        <f>$D$47</f>
        <v>192.9765725288832</v>
      </c>
      <c r="BB12" s="11">
        <f>$C$20</f>
        <v>5500</v>
      </c>
      <c r="BS12" s="11">
        <f>0+$BS$2*COS(RADIANS((0+(360-(0))*8/36)))</f>
        <v>5.7499396578453786E-2</v>
      </c>
      <c r="BT12" s="11">
        <f>0+$BS$2*SIN(RADIANS((0+(360-(0))*8/36)))</f>
        <v>0.32609528245437353</v>
      </c>
      <c r="BU12" s="11">
        <f>1+$BT$2*COS(RADIANS((0+(360-(0))*8/36)))</f>
        <v>1.1161487810884767</v>
      </c>
      <c r="BV12" s="11">
        <f>0+$BT$2*SIN(RADIANS((0+(360-(0))*8/36)))</f>
        <v>0.65871247055783444</v>
      </c>
    </row>
    <row r="13" spans="1:78" x14ac:dyDescent="0.25">
      <c r="B13" s="28" t="s">
        <v>71</v>
      </c>
      <c r="C13" s="28"/>
      <c r="D13" s="28"/>
      <c r="E13" s="28"/>
      <c r="F13" s="28"/>
      <c r="G13" s="28"/>
      <c r="AA13" s="11">
        <f t="shared" si="0"/>
        <v>6000</v>
      </c>
      <c r="AB13" s="11">
        <f t="shared" si="1"/>
        <v>120</v>
      </c>
      <c r="AC13" s="11">
        <f t="shared" si="2"/>
        <v>44.691374846709358</v>
      </c>
      <c r="AD13" s="11">
        <f t="shared" si="3"/>
        <v>5466.2896551724143</v>
      </c>
      <c r="AE13" s="11">
        <f t="shared" si="4"/>
        <v>79.20550591644529</v>
      </c>
      <c r="AF13" s="11">
        <f t="shared" si="5"/>
        <v>3084.3310344827587</v>
      </c>
      <c r="AG13" s="11">
        <f t="shared" si="6"/>
        <v>121.20842572062082</v>
      </c>
      <c r="AH13" s="11">
        <f t="shared" si="7"/>
        <v>2015.5034482758622</v>
      </c>
      <c r="AI13" s="11">
        <f t="shared" si="8"/>
        <v>164.94342469197889</v>
      </c>
      <c r="AJ13" s="11">
        <f t="shared" si="9"/>
        <v>1481.0896551724138</v>
      </c>
      <c r="AK13" s="11">
        <f t="shared" si="10"/>
        <v>210.5198973042362</v>
      </c>
      <c r="AL13" s="11">
        <f t="shared" si="11"/>
        <v>1160.4413793103447</v>
      </c>
      <c r="AM13" s="11">
        <f t="shared" si="12"/>
        <v>982.69358071462261</v>
      </c>
      <c r="AN13" s="11">
        <f t="shared" si="13"/>
        <v>498.3960744577912</v>
      </c>
      <c r="AO13" s="11">
        <f t="shared" si="14"/>
        <v>1489.7245084736635</v>
      </c>
      <c r="AP13" s="11">
        <f t="shared" si="15"/>
        <v>-329.28312916331879</v>
      </c>
      <c r="AQ13" s="11">
        <f t="shared" si="16"/>
        <v>0</v>
      </c>
      <c r="AR13" s="11">
        <f t="shared" si="17"/>
        <v>0</v>
      </c>
      <c r="AS13" s="11">
        <f t="shared" si="18"/>
        <v>0</v>
      </c>
      <c r="AT13" s="11">
        <f t="shared" si="19"/>
        <v>0</v>
      </c>
      <c r="AV13" s="11">
        <f>100</f>
        <v>100</v>
      </c>
      <c r="AW13" s="11">
        <f t="shared" si="20"/>
        <v>472.87629629629629</v>
      </c>
      <c r="BS13" s="11">
        <f>0+$BS$2*COS(RADIANS((0+(360-(0))*9/36)))</f>
        <v>2.0283914816367884E-17</v>
      </c>
      <c r="BT13" s="11">
        <f>0+$BS$2*SIN(RADIANS((0+(360-(0))*9/36)))</f>
        <v>0.33112582781456956</v>
      </c>
      <c r="BU13" s="11">
        <f>1+$BT$2*COS(RADIANS((0+(360-(0))*9/36)))</f>
        <v>1</v>
      </c>
      <c r="BV13" s="11">
        <f>0+$BT$2*SIN(RADIANS((0+(360-(0))*9/36)))</f>
        <v>0.66887417218543044</v>
      </c>
    </row>
    <row r="14" spans="1:78" x14ac:dyDescent="0.25">
      <c r="B14" s="14" t="s">
        <v>72</v>
      </c>
      <c r="C14" s="17">
        <v>4.0999999999999996</v>
      </c>
      <c r="D14" s="16"/>
      <c r="AA14" s="11">
        <f t="shared" si="0"/>
        <v>6500</v>
      </c>
      <c r="AB14" s="11">
        <f t="shared" si="1"/>
        <v>105</v>
      </c>
      <c r="AC14" s="11">
        <f t="shared" si="2"/>
        <v>48.41565608393514</v>
      </c>
      <c r="AD14" s="11">
        <f t="shared" si="3"/>
        <v>4783.003448275862</v>
      </c>
      <c r="AE14" s="11">
        <f t="shared" si="4"/>
        <v>85.805964742815746</v>
      </c>
      <c r="AF14" s="11">
        <f t="shared" si="5"/>
        <v>2698.7896551724139</v>
      </c>
      <c r="AG14" s="11">
        <f t="shared" si="6"/>
        <v>131.30912786400592</v>
      </c>
      <c r="AH14" s="11">
        <f t="shared" si="7"/>
        <v>1763.5655172413794</v>
      </c>
      <c r="AI14" s="11">
        <f t="shared" si="8"/>
        <v>178.68871008297714</v>
      </c>
      <c r="AJ14" s="11">
        <f t="shared" si="9"/>
        <v>1295.953448275862</v>
      </c>
      <c r="AK14" s="11">
        <f t="shared" si="10"/>
        <v>228.06322207958922</v>
      </c>
      <c r="AL14" s="11">
        <f t="shared" si="11"/>
        <v>1015.3862068965518</v>
      </c>
      <c r="AM14" s="11">
        <f t="shared" si="12"/>
        <v>1122.6438551442443</v>
      </c>
      <c r="AN14" s="11">
        <f t="shared" si="13"/>
        <v>173.3095931316177</v>
      </c>
      <c r="AO14" s="11">
        <f t="shared" si="14"/>
        <v>1717.7009856392306</v>
      </c>
      <c r="AP14" s="11">
        <f t="shared" si="15"/>
        <v>-702.31477874267875</v>
      </c>
      <c r="AV14" s="11">
        <f>110</f>
        <v>110</v>
      </c>
      <c r="AW14" s="11">
        <f t="shared" si="20"/>
        <v>535.0985185185184</v>
      </c>
      <c r="BS14" s="11">
        <f>0+$BS$2*COS(RADIANS((0+(360-(0))*10/36)))</f>
        <v>-5.7499396578453744E-2</v>
      </c>
      <c r="BT14" s="11">
        <f>0+$BS$2*SIN(RADIANS((0+(360-(0))*10/36)))</f>
        <v>0.32609528245437353</v>
      </c>
      <c r="BU14" s="11">
        <f>1+$BT$2*COS(RADIANS((0+(360-(0))*10/36)))</f>
        <v>0.88385121891152341</v>
      </c>
      <c r="BV14" s="11">
        <f>0+$BT$2*SIN(RADIANS((0+(360-(0))*10/36)))</f>
        <v>0.65871247055783444</v>
      </c>
    </row>
    <row r="15" spans="1:78" x14ac:dyDescent="0.25">
      <c r="B15" s="14" t="s">
        <v>73</v>
      </c>
      <c r="C15" s="17">
        <v>3.58</v>
      </c>
      <c r="D15" s="16"/>
      <c r="AV15" s="11">
        <f>120</f>
        <v>120</v>
      </c>
      <c r="AW15" s="11">
        <f t="shared" si="20"/>
        <v>603.24666666666667</v>
      </c>
      <c r="BS15" s="11">
        <f>0+$BS$2*COS(RADIANS((0+(360-(0))*11/36)))</f>
        <v>-0.11325170308796978</v>
      </c>
      <c r="BT15" s="11">
        <f>0+$BS$2*SIN(RADIANS((0+(360-(0))*11/36)))</f>
        <v>0.31115649694897635</v>
      </c>
      <c r="BU15" s="11">
        <f>1+$BT$2*COS(RADIANS((0+(360-(0))*11/36)))</f>
        <v>0.77123155976230107</v>
      </c>
      <c r="BV15" s="11">
        <f>0+$BT$2*SIN(RADIANS((0+(360-(0))*11/36)))</f>
        <v>0.62853612383693214</v>
      </c>
    </row>
    <row r="16" spans="1:78" x14ac:dyDescent="0.25">
      <c r="B16" s="14" t="s">
        <v>74</v>
      </c>
      <c r="C16" s="17">
        <v>2.02</v>
      </c>
      <c r="D16" s="16"/>
      <c r="AV16" s="11">
        <f>130</f>
        <v>130</v>
      </c>
      <c r="AW16" s="11">
        <f t="shared" si="20"/>
        <v>677.32074074074058</v>
      </c>
      <c r="BS16" s="11">
        <f>0+$BS$2*COS(RADIANS((0+(360-(0))*12/36)))</f>
        <v>-0.1655629139072847</v>
      </c>
      <c r="BT16" s="11">
        <f>0+$BS$2*SIN(RADIANS((0+(360-(0))*12/36)))</f>
        <v>0.28676337873656915</v>
      </c>
      <c r="BU16" s="11">
        <f>1+$BT$2*COS(RADIANS((0+(360-(0))*12/36)))</f>
        <v>0.66556291390728495</v>
      </c>
      <c r="BV16" s="11">
        <f>0+$BT$2*SIN(RADIANS((0+(360-(0))*12/36)))</f>
        <v>0.57926202504786961</v>
      </c>
    </row>
    <row r="17" spans="2:74" x14ac:dyDescent="0.25">
      <c r="B17" s="14" t="s">
        <v>75</v>
      </c>
      <c r="C17" s="17">
        <v>1.32</v>
      </c>
      <c r="D17" s="16"/>
      <c r="AV17" s="11">
        <f>140</f>
        <v>140</v>
      </c>
      <c r="AW17" s="11">
        <f t="shared" si="20"/>
        <v>757.32074074074058</v>
      </c>
      <c r="BS17" s="11">
        <f>0+$BS$2*COS(RADIANS((0+(360-(0))*13/36)))</f>
        <v>-0.21284357936640377</v>
      </c>
      <c r="BT17" s="11">
        <f>0+$BS$2*SIN(RADIANS((0+(360-(0))*13/36)))</f>
        <v>0.25365710037052253</v>
      </c>
      <c r="BU17" s="11">
        <f>1+$BT$2*COS(RADIANS((0+(360-(0))*13/36)))</f>
        <v>0.57005596967986438</v>
      </c>
      <c r="BV17" s="11">
        <f>0+$BT$2*SIN(RADIANS((0+(360-(0))*13/36)))</f>
        <v>0.51238734274845543</v>
      </c>
    </row>
    <row r="18" spans="2:74" x14ac:dyDescent="0.25">
      <c r="B18" s="14" t="s">
        <v>76</v>
      </c>
      <c r="C18" s="17">
        <v>0.97</v>
      </c>
      <c r="D18" s="16"/>
      <c r="AV18" s="11">
        <f>150</f>
        <v>150</v>
      </c>
      <c r="AW18" s="11">
        <f t="shared" si="20"/>
        <v>843.24666666666667</v>
      </c>
      <c r="BS18" s="11">
        <f>0+$BS$2*COS(RADIANS((0+(360-(0))*14/36)))</f>
        <v>-0.25365710037052253</v>
      </c>
      <c r="BT18" s="11">
        <f>0+$BS$2*SIN(RADIANS((0+(360-(0))*14/36)))</f>
        <v>0.21284357936640383</v>
      </c>
      <c r="BU18" s="11">
        <f>1+$BT$2*COS(RADIANS((0+(360-(0))*14/36)))</f>
        <v>0.48761265725154457</v>
      </c>
      <c r="BV18" s="11">
        <f>0+$BT$2*SIN(RADIANS((0+(360-(0))*14/36)))</f>
        <v>0.42994403032013567</v>
      </c>
    </row>
    <row r="19" spans="2:74" x14ac:dyDescent="0.25">
      <c r="B19" s="14" t="s">
        <v>77</v>
      </c>
      <c r="C19" s="17">
        <v>0.76</v>
      </c>
      <c r="D19" s="16"/>
      <c r="T19" s="27" t="s">
        <v>140</v>
      </c>
      <c r="U19" s="27"/>
      <c r="V19" s="27"/>
      <c r="W19" s="27"/>
      <c r="X19" s="27"/>
      <c r="Y19" s="27"/>
      <c r="AV19" s="11">
        <f>160</f>
        <v>160</v>
      </c>
      <c r="AW19" s="11">
        <f t="shared" si="20"/>
        <v>935.0985185185184</v>
      </c>
      <c r="BS19" s="11">
        <f>0+$BS$2*COS(RADIANS((0+(360-(0))*15/36)))</f>
        <v>-0.28676337873656915</v>
      </c>
      <c r="BT19" s="11">
        <f>0+$BS$2*SIN(RADIANS((0+(360-(0))*15/36)))</f>
        <v>0.16556291390728475</v>
      </c>
      <c r="BU19" s="11">
        <f>1+$BT$2*COS(RADIANS((0+(360-(0))*15/36)))</f>
        <v>0.42073797495213039</v>
      </c>
      <c r="BV19" s="11">
        <f>0+$BT$2*SIN(RADIANS((0+(360-(0))*15/36)))</f>
        <v>0.33443708609271516</v>
      </c>
    </row>
    <row r="20" spans="2:74" x14ac:dyDescent="0.25">
      <c r="B20" s="14" t="s">
        <v>78</v>
      </c>
      <c r="C20" s="15">
        <v>5500</v>
      </c>
      <c r="D20" s="16" t="s">
        <v>79</v>
      </c>
      <c r="T20" s="27"/>
      <c r="U20" s="27"/>
      <c r="V20" s="27"/>
      <c r="W20" s="27"/>
      <c r="X20" s="27"/>
      <c r="Y20" s="27"/>
      <c r="AV20" s="11">
        <f>170</f>
        <v>170</v>
      </c>
      <c r="AW20" s="11">
        <f t="shared" si="20"/>
        <v>1032.8762962962962</v>
      </c>
      <c r="BS20" s="11">
        <f>0+$BS$2*COS(RADIANS((0+(360-(0))*16/36)))</f>
        <v>-0.31115649694897629</v>
      </c>
      <c r="BT20" s="11">
        <f>0+$BS$2*SIN(RADIANS((0+(360-(0))*16/36)))</f>
        <v>0.11325170308796983</v>
      </c>
      <c r="BU20" s="11">
        <f>1+$BT$2*COS(RADIANS((0+(360-(0))*16/36)))</f>
        <v>0.37146387616306797</v>
      </c>
      <c r="BV20" s="11">
        <f>0+$BT$2*SIN(RADIANS((0+(360-(0))*16/36)))</f>
        <v>0.22876844023769904</v>
      </c>
    </row>
    <row r="21" spans="2:74" x14ac:dyDescent="0.25">
      <c r="B21" s="14" t="s">
        <v>80</v>
      </c>
      <c r="C21" s="17">
        <v>0.8</v>
      </c>
      <c r="D21" s="16"/>
      <c r="AV21" s="11">
        <f>180</f>
        <v>180</v>
      </c>
      <c r="AW21" s="11">
        <f t="shared" si="20"/>
        <v>1136.58</v>
      </c>
      <c r="BS21" s="11">
        <f>0+$BS$2*COS(RADIANS((0+(360-(0))*17/36)))</f>
        <v>-0.32609528245437353</v>
      </c>
      <c r="BT21" s="11">
        <f>0+$BS$2*SIN(RADIANS((0+(360-(0))*17/36)))</f>
        <v>5.7499396578453738E-2</v>
      </c>
      <c r="BU21" s="11">
        <f>1+$BT$2*COS(RADIANS((0+(360-(0))*17/36)))</f>
        <v>0.34128752944216556</v>
      </c>
      <c r="BV21" s="11">
        <f>0+$BT$2*SIN(RADIANS((0+(360-(0))*17/36)))</f>
        <v>0.11614878108847654</v>
      </c>
    </row>
    <row r="22" spans="2:74" x14ac:dyDescent="0.25">
      <c r="B22" s="14" t="s">
        <v>81</v>
      </c>
      <c r="C22" s="15">
        <v>60</v>
      </c>
      <c r="D22" s="16" t="s">
        <v>70</v>
      </c>
      <c r="AV22" s="11">
        <f>190</f>
        <v>190</v>
      </c>
      <c r="AW22" s="11">
        <f t="shared" si="20"/>
        <v>1246.2096296296295</v>
      </c>
      <c r="BS22" s="11">
        <f>0+$BS$2*COS(RADIANS((0+(360-(0))*18/36)))</f>
        <v>-0.33112582781456956</v>
      </c>
      <c r="BT22" s="11">
        <f>0+$BS$2*SIN(RADIANS((0+(360-(0))*18/36)))</f>
        <v>4.0567829632735768E-17</v>
      </c>
      <c r="BU22" s="11">
        <f>1+$BT$2*COS(RADIANS((0+(360-(0))*18/36)))</f>
        <v>0.33112582781456956</v>
      </c>
      <c r="BV22" s="11">
        <f>0+$BT$2*SIN(RADIANS((0+(360-(0))*18/36)))</f>
        <v>8.1947015858126233E-17</v>
      </c>
    </row>
    <row r="23" spans="2:74" x14ac:dyDescent="0.25">
      <c r="B23" s="28" t="s">
        <v>82</v>
      </c>
      <c r="C23" s="28"/>
      <c r="D23" s="28"/>
      <c r="E23" s="28"/>
      <c r="F23" s="28"/>
      <c r="G23" s="28"/>
      <c r="AV23" s="11">
        <f>200</f>
        <v>200</v>
      </c>
      <c r="AW23" s="11">
        <f t="shared" si="20"/>
        <v>1361.7651851851851</v>
      </c>
      <c r="BS23" s="11">
        <f>0+$BS$2*COS(RADIANS((0+(360-(0))*19/36)))</f>
        <v>-0.32609528245437353</v>
      </c>
      <c r="BT23" s="11">
        <f>0+$BS$2*SIN(RADIANS((0+(360-(0))*19/36)))</f>
        <v>-5.74993965784538E-2</v>
      </c>
      <c r="BU23" s="11">
        <f>1+$BT$2*COS(RADIANS((0+(360-(0))*19/36)))</f>
        <v>0.34128752944216556</v>
      </c>
      <c r="BV23" s="11">
        <f>0+$BT$2*SIN(RADIANS((0+(360-(0))*19/36)))</f>
        <v>-0.11614878108847666</v>
      </c>
    </row>
    <row r="24" spans="2:74" ht="25.5" x14ac:dyDescent="0.25">
      <c r="B24" s="14" t="s">
        <v>83</v>
      </c>
      <c r="C24" s="15">
        <v>30</v>
      </c>
      <c r="D24" s="16" t="s">
        <v>70</v>
      </c>
      <c r="AV24" s="11">
        <f>210</f>
        <v>210</v>
      </c>
      <c r="AW24" s="11">
        <f t="shared" si="20"/>
        <v>1483.2466666666664</v>
      </c>
      <c r="BS24" s="11">
        <f>0+$BS$2*COS(RADIANS((0+(360-(0))*20/36)))</f>
        <v>-0.31115649694897635</v>
      </c>
      <c r="BT24" s="11">
        <f>0+$BS$2*SIN(RADIANS((0+(360-(0))*20/36)))</f>
        <v>-0.11325170308796977</v>
      </c>
      <c r="BU24" s="11">
        <f>1+$BT$2*COS(RADIANS((0+(360-(0))*20/36)))</f>
        <v>0.37146387616306786</v>
      </c>
      <c r="BV24" s="11">
        <f>0+$BT$2*SIN(RADIANS((0+(360-(0))*20/36)))</f>
        <v>-0.22876844023769891</v>
      </c>
    </row>
    <row r="25" spans="2:74" x14ac:dyDescent="0.25">
      <c r="AV25" s="11">
        <f>220</f>
        <v>220</v>
      </c>
      <c r="AW25" s="11">
        <f t="shared" si="20"/>
        <v>1610.6540740740738</v>
      </c>
      <c r="BS25" s="11">
        <f>0+$BS$2*COS(RADIANS((0+(360-(0))*21/36)))</f>
        <v>-0.2867633787365691</v>
      </c>
      <c r="BT25" s="11">
        <f>0+$BS$2*SIN(RADIANS((0+(360-(0))*21/36)))</f>
        <v>-0.16556291390728481</v>
      </c>
      <c r="BU25" s="11">
        <f>1+$BT$2*COS(RADIANS((0+(360-(0))*21/36)))</f>
        <v>0.4207379749521305</v>
      </c>
      <c r="BV25" s="11">
        <f>0+$BT$2*SIN(RADIANS((0+(360-(0))*21/36)))</f>
        <v>-0.33443708609271527</v>
      </c>
    </row>
    <row r="26" spans="2:74" x14ac:dyDescent="0.25">
      <c r="B26" s="28" t="s">
        <v>84</v>
      </c>
      <c r="C26" s="28"/>
      <c r="D26" s="28"/>
      <c r="E26" s="28"/>
      <c r="F26" s="28"/>
      <c r="G26" s="28"/>
      <c r="BS26" s="11">
        <f>0+$BS$2*COS(RADIANS((0+(360-(0))*22/36)))</f>
        <v>-0.25365710037052253</v>
      </c>
      <c r="BT26" s="11">
        <f>0+$BS$2*SIN(RADIANS((0+(360-(0))*22/36)))</f>
        <v>-0.21284357936640375</v>
      </c>
      <c r="BU26" s="11">
        <f>1+$BT$2*COS(RADIANS((0+(360-(0))*22/36)))</f>
        <v>0.48761265725154457</v>
      </c>
      <c r="BV26" s="11">
        <f>0+$BT$2*SIN(RADIANS((0+(360-(0))*22/36)))</f>
        <v>-0.42994403032013551</v>
      </c>
    </row>
    <row r="27" spans="2:74" ht="25.5" x14ac:dyDescent="0.25">
      <c r="B27" s="2" t="s">
        <v>85</v>
      </c>
      <c r="C27" s="2" t="s">
        <v>86</v>
      </c>
      <c r="D27" s="2" t="s">
        <v>87</v>
      </c>
      <c r="BS27" s="11">
        <f>0+$BS$2*COS(RADIANS((0+(360-(0))*23/36)))</f>
        <v>-0.21284357936640383</v>
      </c>
      <c r="BT27" s="11">
        <f>0+$BS$2*SIN(RADIANS((0+(360-(0))*23/36)))</f>
        <v>-0.25365710037052253</v>
      </c>
      <c r="BU27" s="11">
        <f>1+$BT$2*COS(RADIANS((0+(360-(0))*23/36)))</f>
        <v>0.57005596967986438</v>
      </c>
      <c r="BV27" s="11">
        <f>0+$BT$2*SIN(RADIANS((0+(360-(0))*23/36)))</f>
        <v>-0.51238734274845543</v>
      </c>
    </row>
    <row r="28" spans="2:74" x14ac:dyDescent="0.25">
      <c r="B28" s="19">
        <v>1000</v>
      </c>
      <c r="C28" s="15">
        <v>110</v>
      </c>
      <c r="D28" s="9">
        <f t="shared" ref="D28:D39" si="21">B28*C28/9550</f>
        <v>11.518324607329843</v>
      </c>
      <c r="BS28" s="11">
        <f>0+$BS$2*COS(RADIANS((0+(360-(0))*24/36)))</f>
        <v>-0.16556291390728492</v>
      </c>
      <c r="BT28" s="11">
        <f>0+$BS$2*SIN(RADIANS((0+(360-(0))*24/36)))</f>
        <v>-0.28676337873656904</v>
      </c>
      <c r="BU28" s="11">
        <f>1+$BT$2*COS(RADIANS((0+(360-(0))*24/36)))</f>
        <v>0.6655629139072845</v>
      </c>
      <c r="BV28" s="11">
        <f>0+$BT$2*SIN(RADIANS((0+(360-(0))*24/36)))</f>
        <v>-0.57926202504786939</v>
      </c>
    </row>
    <row r="29" spans="2:74" x14ac:dyDescent="0.25">
      <c r="B29" s="19">
        <v>1500</v>
      </c>
      <c r="C29" s="15">
        <v>125</v>
      </c>
      <c r="D29" s="9">
        <f t="shared" si="21"/>
        <v>19.633507853403142</v>
      </c>
      <c r="BS29" s="11">
        <f>0+$BS$2*COS(RADIANS((0+(360-(0))*25/36)))</f>
        <v>-0.11325170308796972</v>
      </c>
      <c r="BT29" s="11">
        <f>0+$BS$2*SIN(RADIANS((0+(360-(0))*25/36)))</f>
        <v>-0.31115649694897635</v>
      </c>
      <c r="BU29" s="11">
        <f>1+$BT$2*COS(RADIANS((0+(360-(0))*25/36)))</f>
        <v>0.77123155976230118</v>
      </c>
      <c r="BV29" s="11">
        <f>0+$BT$2*SIN(RADIANS((0+(360-(0))*25/36)))</f>
        <v>-0.62853612383693214</v>
      </c>
    </row>
    <row r="30" spans="2:74" x14ac:dyDescent="0.25">
      <c r="B30" s="19">
        <v>2000</v>
      </c>
      <c r="C30" s="15">
        <v>135</v>
      </c>
      <c r="D30" s="9">
        <f t="shared" si="21"/>
        <v>28.272251308900522</v>
      </c>
      <c r="BS30" s="11">
        <f>0+$BS$2*COS(RADIANS((0+(360-(0))*26/36)))</f>
        <v>-5.7499396578453758E-2</v>
      </c>
      <c r="BT30" s="11">
        <f>0+$BS$2*SIN(RADIANS((0+(360-(0))*26/36)))</f>
        <v>-0.32609528245437353</v>
      </c>
      <c r="BU30" s="11">
        <f>1+$BT$2*COS(RADIANS((0+(360-(0))*26/36)))</f>
        <v>0.88385121891152341</v>
      </c>
      <c r="BV30" s="11">
        <f>0+$BT$2*SIN(RADIANS((0+(360-(0))*26/36)))</f>
        <v>-0.65871247055783444</v>
      </c>
    </row>
    <row r="31" spans="2:74" x14ac:dyDescent="0.25">
      <c r="B31" s="19">
        <v>2500</v>
      </c>
      <c r="C31" s="15">
        <v>142</v>
      </c>
      <c r="D31" s="9">
        <f t="shared" si="21"/>
        <v>37.172774869109951</v>
      </c>
      <c r="BS31" s="11">
        <f>0+$BS$2*COS(RADIANS((0+(360-(0))*27/36)))</f>
        <v>-6.0851744449103645E-17</v>
      </c>
      <c r="BT31" s="11">
        <f>0+$BS$2*SIN(RADIANS((0+(360-(0))*27/36)))</f>
        <v>-0.33112582781456956</v>
      </c>
      <c r="BU31" s="11">
        <f>1+$BT$2*COS(RADIANS((0+(360-(0))*27/36)))</f>
        <v>0.99999999999999989</v>
      </c>
      <c r="BV31" s="11">
        <f>0+$BT$2*SIN(RADIANS((0+(360-(0))*27/36)))</f>
        <v>-0.66887417218543044</v>
      </c>
    </row>
    <row r="32" spans="2:74" x14ac:dyDescent="0.25">
      <c r="B32" s="19">
        <v>3000</v>
      </c>
      <c r="C32" s="15">
        <v>146</v>
      </c>
      <c r="D32" s="9">
        <f t="shared" si="21"/>
        <v>45.863874345549739</v>
      </c>
      <c r="BS32" s="11">
        <f>0+$BS$2*COS(RADIANS((0+(360-(0))*28/36)))</f>
        <v>5.749939657845364E-2</v>
      </c>
      <c r="BT32" s="11">
        <f>0+$BS$2*SIN(RADIANS((0+(360-(0))*28/36)))</f>
        <v>-0.32609528245437358</v>
      </c>
      <c r="BU32" s="11">
        <f>1+$BT$2*COS(RADIANS((0+(360-(0))*28/36)))</f>
        <v>1.1161487810884763</v>
      </c>
      <c r="BV32" s="11">
        <f>0+$BT$2*SIN(RADIANS((0+(360-(0))*28/36)))</f>
        <v>-0.65871247055783455</v>
      </c>
    </row>
    <row r="33" spans="2:74" x14ac:dyDescent="0.25">
      <c r="B33" s="19">
        <v>3500</v>
      </c>
      <c r="C33" s="15">
        <v>148</v>
      </c>
      <c r="D33" s="9">
        <f t="shared" si="21"/>
        <v>54.240837696335078</v>
      </c>
      <c r="BS33" s="11">
        <f>0+$BS$2*COS(RADIANS((0+(360-(0))*29/36)))</f>
        <v>0.11325170308796988</v>
      </c>
      <c r="BT33" s="11">
        <f>0+$BS$2*SIN(RADIANS((0+(360-(0))*29/36)))</f>
        <v>-0.31115649694897629</v>
      </c>
      <c r="BU33" s="11">
        <f>1+$BT$2*COS(RADIANS((0+(360-(0))*29/36)))</f>
        <v>1.228768440237699</v>
      </c>
      <c r="BV33" s="11">
        <f>0+$BT$2*SIN(RADIANS((0+(360-(0))*29/36)))</f>
        <v>-0.62853612383693203</v>
      </c>
    </row>
    <row r="34" spans="2:74" x14ac:dyDescent="0.25">
      <c r="B34" s="19">
        <v>4000</v>
      </c>
      <c r="C34" s="15">
        <v>147</v>
      </c>
      <c r="D34" s="9">
        <f t="shared" si="21"/>
        <v>61.57068062827225</v>
      </c>
      <c r="BS34" s="11">
        <f>0+$BS$2*COS(RADIANS((0+(360-(0))*30/36)))</f>
        <v>0.16556291390728481</v>
      </c>
      <c r="BT34" s="11">
        <f>0+$BS$2*SIN(RADIANS((0+(360-(0))*30/36)))</f>
        <v>-0.2867633787365691</v>
      </c>
      <c r="BU34" s="11">
        <f>1+$BT$2*COS(RADIANS((0+(360-(0))*30/36)))</f>
        <v>1.3344370860927153</v>
      </c>
      <c r="BV34" s="11">
        <f>0+$BT$2*SIN(RADIANS((0+(360-(0))*30/36)))</f>
        <v>-0.5792620250478695</v>
      </c>
    </row>
    <row r="35" spans="2:74" x14ac:dyDescent="0.25">
      <c r="B35" s="19">
        <v>4500</v>
      </c>
      <c r="C35" s="15">
        <v>144</v>
      </c>
      <c r="D35" s="9">
        <f t="shared" si="21"/>
        <v>67.853403141361255</v>
      </c>
      <c r="BS35" s="11">
        <f>0+$BS$2*COS(RADIANS((0+(360-(0))*31/36)))</f>
        <v>0.21284357936640375</v>
      </c>
      <c r="BT35" s="11">
        <f>0+$BS$2*SIN(RADIANS((0+(360-(0))*31/36)))</f>
        <v>-0.25365710037052258</v>
      </c>
      <c r="BU35" s="11">
        <f>1+$BT$2*COS(RADIANS((0+(360-(0))*31/36)))</f>
        <v>1.4299440303201356</v>
      </c>
      <c r="BV35" s="11">
        <f>0+$BT$2*SIN(RADIANS((0+(360-(0))*31/36)))</f>
        <v>-0.51238734274845554</v>
      </c>
    </row>
    <row r="36" spans="2:74" x14ac:dyDescent="0.25">
      <c r="B36" s="19">
        <v>5000</v>
      </c>
      <c r="C36" s="15">
        <v>138</v>
      </c>
      <c r="D36" s="9">
        <f t="shared" si="21"/>
        <v>72.251308900523554</v>
      </c>
      <c r="BS36" s="11">
        <f>0+$BS$2*COS(RADIANS((0+(360-(0))*32/36)))</f>
        <v>0.25365710037052247</v>
      </c>
      <c r="BT36" s="11">
        <f>0+$BS$2*SIN(RADIANS((0+(360-(0))*32/36)))</f>
        <v>-0.21284357936640386</v>
      </c>
      <c r="BU36" s="11">
        <f>1+$BT$2*COS(RADIANS((0+(360-(0))*32/36)))</f>
        <v>1.5123873427484553</v>
      </c>
      <c r="BV36" s="11">
        <f>0+$BT$2*SIN(RADIANS((0+(360-(0))*32/36)))</f>
        <v>-0.42994403032013573</v>
      </c>
    </row>
    <row r="37" spans="2:74" x14ac:dyDescent="0.25">
      <c r="B37" s="19">
        <v>5500</v>
      </c>
      <c r="C37" s="15">
        <v>130</v>
      </c>
      <c r="D37" s="9">
        <f t="shared" si="21"/>
        <v>74.869109947643977</v>
      </c>
      <c r="BS37" s="11">
        <f>0+$BS$2*COS(RADIANS((0+(360-(0))*33/36)))</f>
        <v>0.28676337873656904</v>
      </c>
      <c r="BT37" s="11">
        <f>0+$BS$2*SIN(RADIANS((0+(360-(0))*33/36)))</f>
        <v>-0.16556291390728492</v>
      </c>
      <c r="BU37" s="11">
        <f>1+$BT$2*COS(RADIANS((0+(360-(0))*33/36)))</f>
        <v>1.5792620250478695</v>
      </c>
      <c r="BV37" s="11">
        <f>0+$BT$2*SIN(RADIANS((0+(360-(0))*33/36)))</f>
        <v>-0.3344370860927155</v>
      </c>
    </row>
    <row r="38" spans="2:74" x14ac:dyDescent="0.25">
      <c r="B38" s="19">
        <v>6000</v>
      </c>
      <c r="C38" s="15">
        <v>120</v>
      </c>
      <c r="D38" s="9">
        <f t="shared" si="21"/>
        <v>75.392670157068068</v>
      </c>
      <c r="BS38" s="11">
        <f>0+$BS$2*COS(RADIANS((0+(360-(0))*34/36)))</f>
        <v>0.31115649694897635</v>
      </c>
      <c r="BT38" s="11">
        <f>0+$BS$2*SIN(RADIANS((0+(360-(0))*34/36)))</f>
        <v>-0.11325170308796974</v>
      </c>
      <c r="BU38" s="11">
        <f>1+$BT$2*COS(RADIANS((0+(360-(0))*34/36)))</f>
        <v>1.6285361238369322</v>
      </c>
      <c r="BV38" s="11">
        <f>0+$BT$2*SIN(RADIANS((0+(360-(0))*34/36)))</f>
        <v>-0.22876844023769885</v>
      </c>
    </row>
    <row r="39" spans="2:74" x14ac:dyDescent="0.25">
      <c r="B39" s="19">
        <v>6500</v>
      </c>
      <c r="C39" s="15">
        <v>105</v>
      </c>
      <c r="D39" s="9">
        <f t="shared" si="21"/>
        <v>71.465968586387433</v>
      </c>
      <c r="BS39" s="11">
        <f>0+$BS$2*COS(RADIANS((0+(360-(0))*35/36)))</f>
        <v>0.32609528245437353</v>
      </c>
      <c r="BT39" s="11">
        <f>0+$BS$2*SIN(RADIANS((0+(360-(0))*35/36)))</f>
        <v>-5.7499396578453772E-2</v>
      </c>
      <c r="BU39" s="11">
        <f>1+$BT$2*COS(RADIANS((0+(360-(0))*35/36)))</f>
        <v>1.6587124705578344</v>
      </c>
      <c r="BV39" s="11">
        <f>0+$BT$2*SIN(RADIANS((0+(360-(0))*35/36)))</f>
        <v>-0.11614878108847661</v>
      </c>
    </row>
    <row r="40" spans="2:74" x14ac:dyDescent="0.25">
      <c r="BS40" s="11">
        <f>0+$BS$2*COS(RADIANS((0+(360-(0))*36/36)))</f>
        <v>0.33112582781456956</v>
      </c>
      <c r="BT40" s="11">
        <f>0+$BS$2*SIN(RADIANS((0+(360-(0))*36/36)))</f>
        <v>-8.1135659265471535E-17</v>
      </c>
      <c r="BU40" s="11">
        <f>1+$BT$2*COS(RADIANS((0+(360-(0))*36/36)))</f>
        <v>1.6688741721854305</v>
      </c>
      <c r="BV40" s="11">
        <f>0+$BT$2*SIN(RADIANS((0+(360-(0))*36/36)))</f>
        <v>-1.6389403171625247E-16</v>
      </c>
    </row>
    <row r="41" spans="2:74" x14ac:dyDescent="0.25">
      <c r="B41" s="28" t="s">
        <v>88</v>
      </c>
      <c r="C41" s="28"/>
      <c r="D41" s="28"/>
      <c r="E41" s="28"/>
      <c r="F41" s="28"/>
      <c r="G41" s="28"/>
    </row>
    <row r="42" spans="2:74" ht="25.5" x14ac:dyDescent="0.25">
      <c r="B42" s="2" t="s">
        <v>89</v>
      </c>
      <c r="C42" s="2" t="s">
        <v>90</v>
      </c>
      <c r="D42" s="2" t="s">
        <v>91</v>
      </c>
      <c r="E42" s="2" t="s">
        <v>92</v>
      </c>
      <c r="F42" s="2" t="s">
        <v>93</v>
      </c>
      <c r="G42" s="2" t="s">
        <v>94</v>
      </c>
    </row>
    <row r="43" spans="2:74" x14ac:dyDescent="0.25">
      <c r="B43" s="9" t="s">
        <v>95</v>
      </c>
      <c r="C43" s="9">
        <f>$C$15*$C$14</f>
        <v>14.677999999999999</v>
      </c>
      <c r="D43" s="9">
        <f>0.377*$C$20*$C$6/C43</f>
        <v>40.967093609483577</v>
      </c>
      <c r="E43" s="19">
        <f>MAX($C$28:$C$39)*C43*$C$7/$C$6</f>
        <v>6741.7572413793105</v>
      </c>
      <c r="F43" s="9">
        <f>100*TAN(ASIN(MAX(0,MIN(0.99,MIN(E43,($C$21*$C$5*9.81*$C$22/100))/($C$5*9.81)-$C$8))))</f>
        <v>52.523934313794655</v>
      </c>
      <c r="G43" s="9" t="str">
        <f>IF(E43&gt;($C$21*$C$5*9.81*$C$22/100),"adherencia","motor")</f>
        <v>adherencia</v>
      </c>
    </row>
    <row r="44" spans="2:74" x14ac:dyDescent="0.25">
      <c r="B44" s="9" t="s">
        <v>96</v>
      </c>
      <c r="C44" s="9">
        <f>$C$16*$C$14</f>
        <v>8.282</v>
      </c>
      <c r="D44" s="9">
        <f>0.377*$C$20*$C$6/C44</f>
        <v>72.605047090074848</v>
      </c>
      <c r="E44" s="19">
        <f>MAX($C$28:$C$39)*C44*$C$7/$C$6</f>
        <v>3804.0082758620697</v>
      </c>
      <c r="F44" s="9">
        <f>100*TAN(ASIN(MAX(0,MIN(0.99,MIN(E44,($C$21*$C$5*9.81*$C$22/100))/($C$5*9.81)-$C$8))))</f>
        <v>32.390108977816894</v>
      </c>
      <c r="G44" s="9" t="str">
        <f>IF(E44&gt;($C$21*$C$5*9.81*$C$22/100),"adherencia","motor")</f>
        <v>motor</v>
      </c>
    </row>
    <row r="45" spans="2:74" x14ac:dyDescent="0.25">
      <c r="B45" s="9" t="s">
        <v>97</v>
      </c>
      <c r="C45" s="9">
        <f>$C$17*$C$14</f>
        <v>5.4119999999999999</v>
      </c>
      <c r="D45" s="9">
        <f>0.377*$C$20*$C$6/C45</f>
        <v>111.10772357723576</v>
      </c>
      <c r="E45" s="19">
        <f>MAX($C$28:$C$39)*C45*$C$7/$C$6</f>
        <v>2485.7875862068968</v>
      </c>
      <c r="F45" s="9">
        <f>100*TAN(ASIN(MAX(0,MIN(0.99,MIN(E45,($C$21*$C$5*9.81*$C$22/100))/($C$5*9.81)-$C$8))))</f>
        <v>20.00476106560544</v>
      </c>
      <c r="G45" s="9" t="str">
        <f>IF(E45&gt;($C$21*$C$5*9.81*$C$22/100),"adherencia","motor")</f>
        <v>motor</v>
      </c>
    </row>
    <row r="46" spans="2:74" x14ac:dyDescent="0.25">
      <c r="B46" s="9" t="s">
        <v>98</v>
      </c>
      <c r="C46" s="9">
        <f>$C$18*$C$14</f>
        <v>3.9769999999999994</v>
      </c>
      <c r="D46" s="9">
        <f>0.377*$C$20*$C$6/C46</f>
        <v>151.19813930098064</v>
      </c>
      <c r="E46" s="19">
        <f>MAX($C$28:$C$39)*C46*$C$7/$C$6</f>
        <v>1826.6772413793101</v>
      </c>
      <c r="F46" s="9">
        <f>100*TAN(ASIN(MAX(0,MIN(0.99,MIN(E46,($C$21*$C$5*9.81*$C$22/100))/($C$5*9.81)-$C$8))))</f>
        <v>14.156903360365359</v>
      </c>
      <c r="G46" s="9" t="str">
        <f>IF(E46&gt;($C$21*$C$5*9.81*$C$22/100),"adherencia","motor")</f>
        <v>motor</v>
      </c>
    </row>
    <row r="47" spans="2:74" x14ac:dyDescent="0.25">
      <c r="B47" s="9" t="s">
        <v>99</v>
      </c>
      <c r="C47" s="9">
        <f>$C$19*$C$14</f>
        <v>3.1159999999999997</v>
      </c>
      <c r="D47" s="9">
        <f>0.377*$C$20*$C$6/C47</f>
        <v>192.9765725288832</v>
      </c>
      <c r="E47" s="19">
        <f>MAX($C$28:$C$39)*C47*$C$7/$C$6</f>
        <v>1431.2110344827586</v>
      </c>
      <c r="F47" s="9">
        <f>100*TAN(ASIN(MAX(0,MIN(0.99,MIN(E47,($C$21*$C$5*9.81*$C$22/100))/($C$5*9.81)-$C$8))))</f>
        <v>10.7188061033326</v>
      </c>
      <c r="G47" s="9" t="str">
        <f>IF(E47&gt;($C$21*$C$5*9.81*$C$22/100),"adherencia","motor")</f>
        <v>motor</v>
      </c>
    </row>
    <row r="50" spans="2:7" x14ac:dyDescent="0.25">
      <c r="B50" s="28" t="s">
        <v>125</v>
      </c>
      <c r="C50" s="28"/>
      <c r="D50" s="28"/>
      <c r="E50" s="28"/>
      <c r="F50" s="28"/>
      <c r="G50" s="28"/>
    </row>
    <row r="51" spans="2:7" x14ac:dyDescent="0.25">
      <c r="B51" s="14" t="s">
        <v>126</v>
      </c>
      <c r="C51" s="20">
        <f>$C$24/100*$D$47</f>
        <v>57.892971758664956</v>
      </c>
      <c r="D51" s="16" t="s">
        <v>127</v>
      </c>
    </row>
    <row r="52" spans="2:7" x14ac:dyDescent="0.25">
      <c r="B52" s="14" t="s">
        <v>128</v>
      </c>
      <c r="C52" s="21">
        <f>IF($C$51&lt;=$D$43,1,IF($C$51&lt;=$D$44,2,IF($C$51&lt;=$D$45,3,IF($C$51&lt;=$D$46,4,5))))</f>
        <v>2</v>
      </c>
      <c r="D52" s="16" t="s">
        <v>129</v>
      </c>
    </row>
    <row r="53" spans="2:7" x14ac:dyDescent="0.25">
      <c r="B53" s="14" t="s">
        <v>130</v>
      </c>
      <c r="C53" s="21">
        <f>MAX(1000,$C$51*INDEX($C$43:$C$47,$C$52)/(0.377*$C$6))</f>
        <v>4385.5263157894742</v>
      </c>
      <c r="D53" s="16" t="s">
        <v>79</v>
      </c>
    </row>
    <row r="54" spans="2:7" x14ac:dyDescent="0.25">
      <c r="B54" s="14" t="s">
        <v>131</v>
      </c>
      <c r="C54" s="20">
        <f>INDEX($C$28:$C$39,MIN(11,MATCH($C$53,$B$28:$B$39,1)))+($C$53-INDEX($B$28:$B$39,MIN(11,MATCH($C$53,$B$28:$B$39,1))))*(INDEX($C$28:$C$39,MIN(11,MATCH($C$53,$B$28:$B$39,1))+1)-INDEX($C$28:$C$39,MIN(11,MATCH($C$53,$B$28:$B$39,1))))/500</f>
        <v>144.68684210526317</v>
      </c>
      <c r="D54" s="16" t="s">
        <v>132</v>
      </c>
    </row>
    <row r="55" spans="2:7" x14ac:dyDescent="0.25">
      <c r="B55" s="14" t="s">
        <v>133</v>
      </c>
      <c r="C55" s="21">
        <f>$C$54*INDEX($C$43:$C$47,$C$52)*$C$7/$C$6</f>
        <v>3718.8509782214164</v>
      </c>
      <c r="D55" s="16" t="s">
        <v>134</v>
      </c>
    </row>
    <row r="56" spans="2:7" x14ac:dyDescent="0.25">
      <c r="B56" s="14" t="s">
        <v>135</v>
      </c>
      <c r="C56" s="21">
        <f>($C$5*9.81*($C$8*COS(ATAN($C$12/100))+SIN(ATAN($C$12/100)))+0.5*$C$11*$C$9*$C$10*($C$51/3.6)^2)</f>
        <v>275.8865534533208</v>
      </c>
      <c r="D56" s="16" t="s">
        <v>134</v>
      </c>
    </row>
    <row r="57" spans="2:7" ht="25.5" x14ac:dyDescent="0.25">
      <c r="B57" s="14" t="s">
        <v>136</v>
      </c>
      <c r="C57" s="22">
        <f>($C$55-$C$56)/(1.1*$C$5)</f>
        <v>2.6083063824000727</v>
      </c>
      <c r="D57" s="16" t="s">
        <v>137</v>
      </c>
    </row>
    <row r="58" spans="2:7" x14ac:dyDescent="0.25">
      <c r="B58" s="14" t="s">
        <v>138</v>
      </c>
      <c r="C58" s="20">
        <f>MAX(IF(SUM($AQ$3:$AQ$13)&gt;0,SUMPRODUCT($AQ$3:$AQ$13,$AR$3:$AR$13),IF($AN$14&gt;=0,$AI$14,0)),IF(SUM($AS$3:$AS$13)&gt;0,SUMPRODUCT($AS$3:$AS$13,$AT$3:$AT$13),IF($AP$14&gt;=0,$AK$14,0)))</f>
        <v>191.48617508059272</v>
      </c>
      <c r="D58" s="16" t="s">
        <v>127</v>
      </c>
    </row>
    <row r="59" spans="2:7" x14ac:dyDescent="0.25">
      <c r="B59" s="14" t="s">
        <v>139</v>
      </c>
      <c r="C59" s="21">
        <f>($C$21*$C$5*9.81*$C$22/100)</f>
        <v>5650.56</v>
      </c>
      <c r="D59" s="16" t="s">
        <v>134</v>
      </c>
    </row>
    <row r="60" spans="2:7" ht="32.1" customHeight="1" x14ac:dyDescent="0.25">
      <c r="B60" s="29" t="str">
        <f>IF($C$55&gt;$C$56,"Hay reserva de fuerza: el vehículo acelera en "&amp;$C$52&amp;"ª marcha.","Sin reserva: la resistencia iguala o supera la tracción (velocidad máxima o pendiente excesiva).")</f>
        <v>Hay reserva de fuerza: el vehículo acelera en 2ª marcha.</v>
      </c>
      <c r="C60" s="29"/>
      <c r="D60" s="29"/>
      <c r="E60" s="29"/>
      <c r="F60" s="29"/>
      <c r="G60" s="29"/>
    </row>
    <row r="62" spans="2:7" x14ac:dyDescent="0.25">
      <c r="B62" s="28" t="s">
        <v>141</v>
      </c>
      <c r="C62" s="28"/>
      <c r="D62" s="28"/>
      <c r="E62" s="28"/>
      <c r="F62" s="28"/>
      <c r="G62" s="28"/>
    </row>
    <row r="63" spans="2:7" ht="45.95" customHeight="1" x14ac:dyDescent="0.25">
      <c r="B63" s="30" t="s">
        <v>142</v>
      </c>
      <c r="C63" s="30"/>
      <c r="D63" s="30"/>
      <c r="E63" s="30"/>
      <c r="F63" s="30"/>
      <c r="G63" s="30"/>
    </row>
    <row r="64" spans="2:7" ht="45.95" customHeight="1" x14ac:dyDescent="0.25">
      <c r="B64" s="30" t="s">
        <v>143</v>
      </c>
      <c r="C64" s="30"/>
      <c r="D64" s="30"/>
      <c r="E64" s="30"/>
      <c r="F64" s="30"/>
      <c r="G64" s="30"/>
    </row>
    <row r="65" spans="2:7" ht="45.95" customHeight="1" x14ac:dyDescent="0.25">
      <c r="B65" s="30" t="s">
        <v>144</v>
      </c>
      <c r="C65" s="30"/>
      <c r="D65" s="30"/>
      <c r="E65" s="30"/>
      <c r="F65" s="30"/>
      <c r="G65" s="30"/>
    </row>
    <row r="66" spans="2:7" ht="45.95" customHeight="1" x14ac:dyDescent="0.25">
      <c r="B66" s="30" t="s">
        <v>145</v>
      </c>
      <c r="C66" s="30"/>
      <c r="D66" s="30"/>
      <c r="E66" s="30"/>
      <c r="F66" s="30"/>
      <c r="G66" s="30"/>
    </row>
  </sheetData>
  <sheetProtection sheet="1" scenarios="1"/>
  <mergeCells count="15">
    <mergeCell ref="B62:G62"/>
    <mergeCell ref="B63:G63"/>
    <mergeCell ref="B64:G64"/>
    <mergeCell ref="B65:G65"/>
    <mergeCell ref="B66:G66"/>
    <mergeCell ref="B26:G26"/>
    <mergeCell ref="B41:G41"/>
    <mergeCell ref="B50:G50"/>
    <mergeCell ref="B60:G60"/>
    <mergeCell ref="T19:Y20"/>
    <mergeCell ref="A1:Y1"/>
    <mergeCell ref="A2:Y2"/>
    <mergeCell ref="B4:G4"/>
    <mergeCell ref="B13:G13"/>
    <mergeCell ref="B23:G23"/>
  </mergeCells>
  <dataValidations count="3">
    <dataValidation type="decimal" allowBlank="1" showInputMessage="1" showErrorMessage="1" errorTitle="Valor fuera de rango" error="Escriba un valor entre 0 y 30." promptTitle="Rango" prompt="De 0 a 30 %" sqref="C12" xr:uid="{00000000-0002-0000-0100-000000000000}">
      <formula1>0</formula1>
      <formula2>30</formula2>
    </dataValidation>
    <dataValidation type="decimal" allowBlank="1" showInputMessage="1" showErrorMessage="1" errorTitle="Valor fuera de rango" error="Escriba un valor entre 3000 y 6500." promptTitle="Rango" prompt="De 3000 a 6500 min⁻¹" sqref="C20" xr:uid="{00000000-0002-0000-0100-000001000000}">
      <formula1>3000</formula1>
      <formula2>6500</formula2>
    </dataValidation>
    <dataValidation type="decimal" allowBlank="1" showInputMessage="1" showErrorMessage="1" errorTitle="Valor fuera de rango" error="Escriba un valor entre 0 y 100." promptTitle="Rango" prompt="De 0 a 100 %" sqref="C24" xr:uid="{00000000-0002-0000-0100-000002000000}">
      <formula1>0</formula1>
      <formula2>100</formula2>
    </dataValidation>
  </dataValidations>
  <hyperlinks>
    <hyperlink ref="B3" location="'Inicio'!A1" display="◄ Volver al inicio" xr:uid="{00000000-0004-0000-0100-000000000000}"/>
  </hyperlinks>
  <pageMargins left="0.4" right="0.4" top="0.5" bottom="0.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1:CZ75"/>
  <sheetViews>
    <sheetView showGridLines="0" topLeftCell="K1" workbookViewId="0">
      <selection sqref="A1:Y1"/>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57" ht="30" customHeight="1" x14ac:dyDescent="0.25">
      <c r="A1" s="24" t="s">
        <v>146</v>
      </c>
      <c r="B1" s="24"/>
      <c r="C1" s="24"/>
      <c r="D1" s="24"/>
      <c r="E1" s="24"/>
      <c r="F1" s="24"/>
      <c r="G1" s="24"/>
      <c r="H1" s="24"/>
      <c r="I1" s="24"/>
      <c r="J1" s="24"/>
      <c r="K1" s="24"/>
      <c r="L1" s="24"/>
      <c r="M1" s="24"/>
      <c r="N1" s="24"/>
      <c r="O1" s="24"/>
      <c r="P1" s="24"/>
      <c r="Q1" s="24"/>
      <c r="R1" s="24"/>
      <c r="S1" s="24"/>
      <c r="T1" s="24"/>
      <c r="U1" s="24"/>
      <c r="V1" s="24"/>
      <c r="W1" s="24"/>
      <c r="X1" s="24"/>
      <c r="Y1" s="24"/>
      <c r="AA1" s="12" t="s">
        <v>56</v>
      </c>
      <c r="BE1" s="11" t="str">
        <f>"Pedal al "&amp;$C$29&amp;" %: bomba "&amp;FIXED($C$35,1)&amp;" mm → bombín "&amp;FIXED($C$36,1)&amp;" mm"</f>
        <v>Pedal al 0 %: bomba 0.0 mm → bombín 0.0 mm</v>
      </c>
    </row>
    <row r="2" spans="1:57" x14ac:dyDescent="0.25">
      <c r="A2" s="25" t="s">
        <v>147</v>
      </c>
      <c r="B2" s="25"/>
      <c r="C2" s="25"/>
      <c r="D2" s="25"/>
      <c r="E2" s="25"/>
      <c r="F2" s="25"/>
      <c r="G2" s="25"/>
      <c r="H2" s="25"/>
      <c r="I2" s="25"/>
      <c r="J2" s="25"/>
      <c r="K2" s="25"/>
      <c r="L2" s="25"/>
      <c r="M2" s="25"/>
      <c r="N2" s="25"/>
      <c r="O2" s="25"/>
      <c r="P2" s="25"/>
      <c r="Q2" s="25"/>
      <c r="R2" s="25"/>
      <c r="S2" s="25"/>
      <c r="T2" s="25"/>
      <c r="U2" s="25"/>
      <c r="V2" s="25"/>
      <c r="W2" s="25"/>
      <c r="X2" s="25"/>
      <c r="Y2" s="25"/>
      <c r="AA2" s="13" t="s">
        <v>181</v>
      </c>
      <c r="AB2" s="13" t="s">
        <v>182</v>
      </c>
      <c r="AC2" s="13" t="s">
        <v>183</v>
      </c>
      <c r="AD2" s="13" t="s">
        <v>184</v>
      </c>
      <c r="AE2" s="13" t="s">
        <v>185</v>
      </c>
      <c r="AF2" s="13" t="s">
        <v>186</v>
      </c>
      <c r="AG2" s="13" t="s">
        <v>187</v>
      </c>
      <c r="BE2" s="11" t="str">
        <f>"Disco: R = "&amp;FIXED($C$7*1000,0)&amp;" mm, r = "&amp;FIXED($C$8*1000,0)&amp;" mm, rm = "&amp;FIXED($C$14*1000,1)&amp;" mm"</f>
        <v>Disco: R = 100 mm, r = 70 mm, rm = 85.0 mm</v>
      </c>
    </row>
    <row r="3" spans="1:57" x14ac:dyDescent="0.25">
      <c r="B3" s="8" t="s">
        <v>55</v>
      </c>
      <c r="AA3" s="11">
        <f>0</f>
        <v>0</v>
      </c>
      <c r="AB3" s="11">
        <f t="shared" ref="AB3:AB17" si="0">$C$5*((4-AA3)*((3.2-(4-AA3))*(3.2-(4-AA3)/2)+4))/(4*((3.2-4)*(3.2-4/2)+4))</f>
        <v>4000</v>
      </c>
      <c r="AC3" s="11">
        <f t="shared" ref="AC3:AC17" si="1">$C$5*(1-AA3/10)</f>
        <v>4000</v>
      </c>
      <c r="AD3" s="11">
        <f t="shared" ref="AD3:AD17" si="2">$C$6*AB3*$C$14*$C$9</f>
        <v>204.00000000000003</v>
      </c>
      <c r="AE3" s="11">
        <f t="shared" ref="AE3:AE17" si="3">$C$6*AC3*$C$14*$C$9</f>
        <v>204.00000000000003</v>
      </c>
      <c r="AF3" s="11">
        <f t="shared" ref="AF3:AF17" si="4">$C$10*$C$11</f>
        <v>177.6</v>
      </c>
      <c r="AG3" s="11">
        <f t="shared" ref="AG3:AG17" si="5">$C$10</f>
        <v>148</v>
      </c>
      <c r="AI3" s="11">
        <f>$C$12</f>
        <v>0</v>
      </c>
      <c r="AJ3" s="11">
        <f>($C$5*((4-$C$12)*((3.2-(4-$C$12))*(3.2-(4-$C$12)/2)+4))/(4*((3.2-4)*(3.2-4/2)+4)))</f>
        <v>4000</v>
      </c>
      <c r="AK3" s="11">
        <f>$C$12</f>
        <v>0</v>
      </c>
      <c r="AL3" s="11">
        <f>$C$16</f>
        <v>204.00000000000003</v>
      </c>
      <c r="AM3" s="11">
        <f>0+$C$7*1000*COS(RADIANS((0+(360-(0))*0/72)))</f>
        <v>100</v>
      </c>
      <c r="AN3" s="11">
        <f>0+$C$7*1000*SIN(RADIANS((0+(360-(0))*0/72)))</f>
        <v>0</v>
      </c>
      <c r="AO3" s="11">
        <f>0+$C$8*1000*COS(RADIANS((0+(360-(0))*0/72)))</f>
        <v>70</v>
      </c>
      <c r="AP3" s="11">
        <f>0+$C$8*1000*SIN(RADIANS((0+(360-(0))*0/72)))</f>
        <v>0</v>
      </c>
      <c r="AQ3" s="11">
        <f>0+$C$14*1000*COS(RADIANS((0+(360-(0))*0/72)))</f>
        <v>85</v>
      </c>
      <c r="AR3" s="11">
        <f>0+$C$14*1000*SIN(RADIANS((0+(360-(0))*0/72)))</f>
        <v>0</v>
      </c>
      <c r="AS3" s="11">
        <f>0+22*COS(RADIANS((0+(360-(0))*0/36)))</f>
        <v>22</v>
      </c>
      <c r="AT3" s="11">
        <f>0+22*SIN(RADIANS((0+(360-(0))*0/36)))</f>
        <v>0</v>
      </c>
      <c r="AU3" s="11">
        <f>(10-$C$26/2)</f>
        <v>2.0499999999999998</v>
      </c>
      <c r="AV3" s="11">
        <v>48</v>
      </c>
      <c r="AW3" s="11">
        <f>(50-$C$27/2)</f>
        <v>40.475000000000001</v>
      </c>
      <c r="AX3" s="11">
        <v>50</v>
      </c>
      <c r="AY3" s="11">
        <f>(10-$C$26/2)</f>
        <v>2.0499999999999998</v>
      </c>
      <c r="AZ3" s="11">
        <f>(40-$C$35)</f>
        <v>40</v>
      </c>
      <c r="BA3" s="11">
        <f>(50-$C$27/2)</f>
        <v>40.475000000000001</v>
      </c>
      <c r="BB3" s="11">
        <f>(6+$C$36)</f>
        <v>6</v>
      </c>
      <c r="BC3" s="11">
        <v>10</v>
      </c>
      <c r="BD3" s="11">
        <v>0</v>
      </c>
    </row>
    <row r="4" spans="1:57" x14ac:dyDescent="0.25">
      <c r="B4" s="28" t="s">
        <v>148</v>
      </c>
      <c r="C4" s="28"/>
      <c r="D4" s="28"/>
      <c r="E4" s="28"/>
      <c r="F4" s="28"/>
      <c r="G4" s="28"/>
      <c r="AA4" s="11">
        <f>0.25</f>
        <v>0.25</v>
      </c>
      <c r="AB4" s="11">
        <f t="shared" si="0"/>
        <v>4035.2590460526317</v>
      </c>
      <c r="AC4" s="11">
        <f t="shared" si="1"/>
        <v>3900</v>
      </c>
      <c r="AD4" s="11">
        <f t="shared" si="2"/>
        <v>205.79821134868422</v>
      </c>
      <c r="AE4" s="11">
        <f t="shared" si="3"/>
        <v>198.9</v>
      </c>
      <c r="AF4" s="11">
        <f t="shared" si="4"/>
        <v>177.6</v>
      </c>
      <c r="AG4" s="11">
        <f t="shared" si="5"/>
        <v>148</v>
      </c>
      <c r="AI4" s="11">
        <f>$C$12</f>
        <v>0</v>
      </c>
      <c r="AJ4" s="11">
        <f>($C$5*(1-$C$12/10))</f>
        <v>4000</v>
      </c>
      <c r="AK4" s="11">
        <f>$C$12</f>
        <v>0</v>
      </c>
      <c r="AL4" s="11">
        <f>$C$17</f>
        <v>204.00000000000003</v>
      </c>
      <c r="AM4" s="11">
        <f>0+$C$7*1000*COS(RADIANS((0+(360-(0))*1/72)))</f>
        <v>99.619469809174561</v>
      </c>
      <c r="AN4" s="11">
        <f>0+$C$7*1000*SIN(RADIANS((0+(360-(0))*1/72)))</f>
        <v>8.7155742747658174</v>
      </c>
      <c r="AO4" s="11">
        <f>0+$C$8*1000*COS(RADIANS((0+(360-(0))*1/72)))</f>
        <v>69.733628866422194</v>
      </c>
      <c r="AP4" s="11">
        <f>0+$C$8*1000*SIN(RADIANS((0+(360-(0))*1/72)))</f>
        <v>6.1009019923360714</v>
      </c>
      <c r="AQ4" s="11">
        <f>0+$C$14*1000*COS(RADIANS((0+(360-(0))*1/72)))</f>
        <v>84.676549337798377</v>
      </c>
      <c r="AR4" s="11">
        <f>0+$C$14*1000*SIN(RADIANS((0+(360-(0))*1/72)))</f>
        <v>7.4082381335509444</v>
      </c>
      <c r="AS4" s="11">
        <f>0+22*COS(RADIANS((0+(360-(0))*1/36)))</f>
        <v>21.665770566268577</v>
      </c>
      <c r="AT4" s="11">
        <f>0+22*SIN(RADIANS((0+(360-(0))*1/36)))</f>
        <v>3.8202599086724671</v>
      </c>
      <c r="AU4" s="11">
        <f>(10-$C$26/2)</f>
        <v>2.0499999999999998</v>
      </c>
      <c r="AV4" s="11">
        <v>0</v>
      </c>
      <c r="AW4" s="11">
        <f>(50-$C$27/2)</f>
        <v>40.475000000000001</v>
      </c>
      <c r="AX4" s="11">
        <v>0</v>
      </c>
      <c r="AY4" s="11">
        <f>(10+$C$26/2)</f>
        <v>17.95</v>
      </c>
      <c r="AZ4" s="11">
        <f>(40-$C$35)</f>
        <v>40</v>
      </c>
      <c r="BA4" s="11">
        <f>(50+$C$27/2)</f>
        <v>59.524999999999999</v>
      </c>
      <c r="BB4" s="11">
        <f>(6+$C$36)</f>
        <v>6</v>
      </c>
      <c r="BC4" s="11">
        <v>10</v>
      </c>
      <c r="BD4" s="11">
        <v>-7</v>
      </c>
    </row>
    <row r="5" spans="1:57" x14ac:dyDescent="0.25">
      <c r="B5" s="14" t="s">
        <v>149</v>
      </c>
      <c r="C5" s="15">
        <v>4000</v>
      </c>
      <c r="D5" s="16" t="s">
        <v>134</v>
      </c>
      <c r="AA5" s="11">
        <f>0.5</f>
        <v>0.5</v>
      </c>
      <c r="AB5" s="11">
        <f t="shared" si="0"/>
        <v>4104.4407894736851</v>
      </c>
      <c r="AC5" s="11">
        <f t="shared" si="1"/>
        <v>3800</v>
      </c>
      <c r="AD5" s="11">
        <f t="shared" si="2"/>
        <v>209.32648026315795</v>
      </c>
      <c r="AE5" s="11">
        <f t="shared" si="3"/>
        <v>193.8</v>
      </c>
      <c r="AF5" s="11">
        <f t="shared" si="4"/>
        <v>177.6</v>
      </c>
      <c r="AG5" s="11">
        <f t="shared" si="5"/>
        <v>148</v>
      </c>
      <c r="AM5" s="11">
        <f>0+$C$7*1000*COS(RADIANS((0+(360-(0))*2/72)))</f>
        <v>98.480775301220802</v>
      </c>
      <c r="AN5" s="11">
        <f>0+$C$7*1000*SIN(RADIANS((0+(360-(0))*2/72)))</f>
        <v>17.364817766693033</v>
      </c>
      <c r="AO5" s="11">
        <f>0+$C$8*1000*COS(RADIANS((0+(360-(0))*2/72)))</f>
        <v>68.936542710854567</v>
      </c>
      <c r="AP5" s="11">
        <f>0+$C$8*1000*SIN(RADIANS((0+(360-(0))*2/72)))</f>
        <v>12.155372436685123</v>
      </c>
      <c r="AQ5" s="11">
        <f>0+$C$14*1000*COS(RADIANS((0+(360-(0))*2/72)))</f>
        <v>83.708659006037678</v>
      </c>
      <c r="AR5" s="11">
        <f>0+$C$14*1000*SIN(RADIANS((0+(360-(0))*2/72)))</f>
        <v>14.760095101689078</v>
      </c>
      <c r="AS5" s="11">
        <f>0+22*COS(RADIANS((0+(360-(0))*2/36)))</f>
        <v>20.673237657289985</v>
      </c>
      <c r="AT5" s="11">
        <f>0+22*SIN(RADIANS((0+(360-(0))*2/36)))</f>
        <v>7.5244431531647118</v>
      </c>
      <c r="AU5" s="11">
        <f>(10+$C$26/2)</f>
        <v>17.95</v>
      </c>
      <c r="AV5" s="11">
        <v>0</v>
      </c>
      <c r="AW5" s="11">
        <f>(50+$C$27/2)</f>
        <v>59.524999999999999</v>
      </c>
      <c r="AX5" s="11">
        <v>0</v>
      </c>
      <c r="AY5" s="11">
        <f>(10+$C$26/2)</f>
        <v>17.95</v>
      </c>
      <c r="AZ5" s="11">
        <f>(40-$C$35)+4</f>
        <v>44</v>
      </c>
      <c r="BA5" s="11">
        <f>(50+$C$27/2)</f>
        <v>59.524999999999999</v>
      </c>
      <c r="BB5" s="11">
        <f>(6+$C$36)-4</f>
        <v>2</v>
      </c>
      <c r="BC5" s="11">
        <v>50</v>
      </c>
      <c r="BD5" s="11">
        <v>-7</v>
      </c>
    </row>
    <row r="6" spans="1:57" x14ac:dyDescent="0.25">
      <c r="B6" s="14" t="s">
        <v>150</v>
      </c>
      <c r="C6" s="17">
        <v>0.3</v>
      </c>
      <c r="D6" s="16"/>
      <c r="AA6" s="11">
        <f>0.75</f>
        <v>0.75</v>
      </c>
      <c r="AB6" s="11">
        <f t="shared" si="0"/>
        <v>4192.1258223684208</v>
      </c>
      <c r="AC6" s="11">
        <f t="shared" si="1"/>
        <v>3700</v>
      </c>
      <c r="AD6" s="11">
        <f t="shared" si="2"/>
        <v>213.79841694078948</v>
      </c>
      <c r="AE6" s="11">
        <f t="shared" si="3"/>
        <v>188.70000000000002</v>
      </c>
      <c r="AF6" s="11">
        <f t="shared" si="4"/>
        <v>177.6</v>
      </c>
      <c r="AG6" s="11">
        <f t="shared" si="5"/>
        <v>148</v>
      </c>
      <c r="AM6" s="11">
        <f>0+$C$7*1000*COS(RADIANS((0+(360-(0))*3/72)))</f>
        <v>96.592582628906825</v>
      </c>
      <c r="AN6" s="11">
        <f>0+$C$7*1000*SIN(RADIANS((0+(360-(0))*3/72)))</f>
        <v>25.881904510252074</v>
      </c>
      <c r="AO6" s="11">
        <f>0+$C$8*1000*COS(RADIANS((0+(360-(0))*3/72)))</f>
        <v>67.614807840234775</v>
      </c>
      <c r="AP6" s="11">
        <f>0+$C$8*1000*SIN(RADIANS((0+(360-(0))*3/72)))</f>
        <v>18.117333157176454</v>
      </c>
      <c r="AQ6" s="11">
        <f>0+$C$14*1000*COS(RADIANS((0+(360-(0))*3/72)))</f>
        <v>82.103695234570807</v>
      </c>
      <c r="AR6" s="11">
        <f>0+$C$14*1000*SIN(RADIANS((0+(360-(0))*3/72)))</f>
        <v>21.999618833714262</v>
      </c>
      <c r="AS6" s="11">
        <f>0+22*COS(RADIANS((0+(360-(0))*3/36)))</f>
        <v>19.052558883257653</v>
      </c>
      <c r="AT6" s="11">
        <f>0+22*SIN(RADIANS((0+(360-(0))*3/36)))</f>
        <v>10.999999999999998</v>
      </c>
      <c r="AU6" s="11">
        <f>(10+$C$26/2)</f>
        <v>17.95</v>
      </c>
      <c r="AV6" s="11">
        <v>48</v>
      </c>
      <c r="AW6" s="11">
        <f>(50+$C$27/2)</f>
        <v>59.524999999999999</v>
      </c>
      <c r="AX6" s="11">
        <v>50</v>
      </c>
      <c r="AY6" s="11">
        <f>(10-$C$26/2)</f>
        <v>2.0499999999999998</v>
      </c>
      <c r="AZ6" s="11">
        <f>(40-$C$35)+4</f>
        <v>44</v>
      </c>
      <c r="BA6" s="11">
        <f>(50-$C$27/2)</f>
        <v>40.475000000000001</v>
      </c>
      <c r="BB6" s="11">
        <f>(6+$C$36)-4</f>
        <v>2</v>
      </c>
      <c r="BC6" s="11">
        <v>50</v>
      </c>
      <c r="BD6" s="11">
        <v>0</v>
      </c>
    </row>
    <row r="7" spans="1:57" x14ac:dyDescent="0.25">
      <c r="B7" s="14" t="s">
        <v>151</v>
      </c>
      <c r="C7" s="18">
        <v>0.1</v>
      </c>
      <c r="D7" s="16" t="s">
        <v>61</v>
      </c>
      <c r="AA7" s="11">
        <f>1</f>
        <v>1</v>
      </c>
      <c r="AB7" s="11">
        <f t="shared" si="0"/>
        <v>4282.8947368421068</v>
      </c>
      <c r="AC7" s="11">
        <f t="shared" si="1"/>
        <v>3600</v>
      </c>
      <c r="AD7" s="11">
        <f t="shared" si="2"/>
        <v>218.42763157894743</v>
      </c>
      <c r="AE7" s="11">
        <f t="shared" si="3"/>
        <v>183.60000000000002</v>
      </c>
      <c r="AF7" s="11">
        <f t="shared" si="4"/>
        <v>177.6</v>
      </c>
      <c r="AG7" s="11">
        <f t="shared" si="5"/>
        <v>148</v>
      </c>
      <c r="AM7" s="11">
        <f>0+$C$7*1000*COS(RADIANS((0+(360-(0))*4/72)))</f>
        <v>93.969262078590845</v>
      </c>
      <c r="AN7" s="11">
        <f>0+$C$7*1000*SIN(RADIANS((0+(360-(0))*4/72)))</f>
        <v>34.202014332566868</v>
      </c>
      <c r="AO7" s="11">
        <f>0+$C$8*1000*COS(RADIANS((0+(360-(0))*4/72)))</f>
        <v>65.778483455013586</v>
      </c>
      <c r="AP7" s="11">
        <f>0+$C$8*1000*SIN(RADIANS((0+(360-(0))*4/72)))</f>
        <v>23.94141003279681</v>
      </c>
      <c r="AQ7" s="11">
        <f>0+$C$14*1000*COS(RADIANS((0+(360-(0))*4/72)))</f>
        <v>79.873872766802222</v>
      </c>
      <c r="AR7" s="11">
        <f>0+$C$14*1000*SIN(RADIANS((0+(360-(0))*4/72)))</f>
        <v>29.071712182681839</v>
      </c>
      <c r="AS7" s="11">
        <f>0+22*COS(RADIANS((0+(360-(0))*4/36)))</f>
        <v>16.852977748617516</v>
      </c>
      <c r="AT7" s="11">
        <f>0+22*SIN(RADIANS((0+(360-(0))*4/36)))</f>
        <v>14.141327413103863</v>
      </c>
      <c r="AY7" s="11">
        <f>(10-$C$26/2)</f>
        <v>2.0499999999999998</v>
      </c>
      <c r="AZ7" s="11">
        <f>(40-$C$35)</f>
        <v>40</v>
      </c>
      <c r="BA7" s="11">
        <f>(50-$C$27/2)</f>
        <v>40.475000000000001</v>
      </c>
      <c r="BB7" s="11">
        <f>(6+$C$36)</f>
        <v>6</v>
      </c>
    </row>
    <row r="8" spans="1:57" x14ac:dyDescent="0.25">
      <c r="B8" s="14" t="s">
        <v>152</v>
      </c>
      <c r="C8" s="18">
        <v>7.0000000000000007E-2</v>
      </c>
      <c r="D8" s="16" t="s">
        <v>61</v>
      </c>
      <c r="AA8" s="11">
        <f>1.25</f>
        <v>1.25</v>
      </c>
      <c r="AB8" s="11">
        <f t="shared" si="0"/>
        <v>4361.328125</v>
      </c>
      <c r="AC8" s="11">
        <f t="shared" si="1"/>
        <v>3500</v>
      </c>
      <c r="AD8" s="11">
        <f t="shared" si="2"/>
        <v>222.42773437500003</v>
      </c>
      <c r="AE8" s="11">
        <f t="shared" si="3"/>
        <v>178.5</v>
      </c>
      <c r="AF8" s="11">
        <f t="shared" si="4"/>
        <v>177.6</v>
      </c>
      <c r="AG8" s="11">
        <f t="shared" si="5"/>
        <v>148</v>
      </c>
      <c r="AM8" s="11">
        <f>0+$C$7*1000*COS(RADIANS((0+(360-(0))*5/72)))</f>
        <v>90.630778703664987</v>
      </c>
      <c r="AN8" s="11">
        <f>0+$C$7*1000*SIN(RADIANS((0+(360-(0))*5/72)))</f>
        <v>42.261826174069945</v>
      </c>
      <c r="AO8" s="11">
        <f>0+$C$8*1000*COS(RADIANS((0+(360-(0))*5/72)))</f>
        <v>63.441545092565498</v>
      </c>
      <c r="AP8" s="11">
        <f>0+$C$8*1000*SIN(RADIANS((0+(360-(0))*5/72)))</f>
        <v>29.583278321848962</v>
      </c>
      <c r="AQ8" s="11">
        <f>0+$C$14*1000*COS(RADIANS((0+(360-(0))*5/72)))</f>
        <v>77.036161898115239</v>
      </c>
      <c r="AR8" s="11">
        <f>0+$C$14*1000*SIN(RADIANS((0+(360-(0))*5/72)))</f>
        <v>35.922552247959452</v>
      </c>
      <c r="AS8" s="11">
        <f>0+22*COS(RADIANS((0+(360-(0))*5/36)))</f>
        <v>14.141327413103866</v>
      </c>
      <c r="AT8" s="11">
        <f>0+22*SIN(RADIANS((0+(360-(0))*5/36)))</f>
        <v>16.852977748617516</v>
      </c>
      <c r="AY8" s="11">
        <v>10</v>
      </c>
      <c r="AZ8" s="11">
        <f>(40-$C$35)+4</f>
        <v>44</v>
      </c>
      <c r="BA8" s="11">
        <v>50</v>
      </c>
      <c r="BB8" s="11">
        <f>(6+$C$36)</f>
        <v>6</v>
      </c>
    </row>
    <row r="9" spans="1:57" x14ac:dyDescent="0.25">
      <c r="B9" s="14" t="s">
        <v>153</v>
      </c>
      <c r="C9" s="15">
        <v>2</v>
      </c>
      <c r="D9" s="16"/>
      <c r="AA9" s="11">
        <f>1.5</f>
        <v>1.5</v>
      </c>
      <c r="AB9" s="11">
        <f t="shared" si="0"/>
        <v>4412.0065789473692</v>
      </c>
      <c r="AC9" s="11">
        <f t="shared" si="1"/>
        <v>3400</v>
      </c>
      <c r="AD9" s="11">
        <f t="shared" si="2"/>
        <v>225.01233552631584</v>
      </c>
      <c r="AE9" s="11">
        <f t="shared" si="3"/>
        <v>173.4</v>
      </c>
      <c r="AF9" s="11">
        <f t="shared" si="4"/>
        <v>177.6</v>
      </c>
      <c r="AG9" s="11">
        <f t="shared" si="5"/>
        <v>148</v>
      </c>
      <c r="AM9" s="11">
        <f>0+$C$7*1000*COS(RADIANS((0+(360-(0))*6/72)))</f>
        <v>86.602540378443877</v>
      </c>
      <c r="AN9" s="11">
        <f>0+$C$7*1000*SIN(RADIANS((0+(360-(0))*6/72)))</f>
        <v>49.999999999999993</v>
      </c>
      <c r="AO9" s="11">
        <f>0+$C$8*1000*COS(RADIANS((0+(360-(0))*6/72)))</f>
        <v>60.621778264910709</v>
      </c>
      <c r="AP9" s="11">
        <f>0+$C$8*1000*SIN(RADIANS((0+(360-(0))*6/72)))</f>
        <v>34.999999999999993</v>
      </c>
      <c r="AQ9" s="11">
        <f>0+$C$14*1000*COS(RADIANS((0+(360-(0))*6/72)))</f>
        <v>73.612159321677296</v>
      </c>
      <c r="AR9" s="11">
        <f>0+$C$14*1000*SIN(RADIANS((0+(360-(0))*6/72)))</f>
        <v>42.499999999999993</v>
      </c>
      <c r="AS9" s="11">
        <f>0+22*COS(RADIANS((0+(360-(0))*6/36)))</f>
        <v>11.000000000000002</v>
      </c>
      <c r="AT9" s="11">
        <f>0+22*SIN(RADIANS((0+(360-(0))*6/36)))</f>
        <v>19.05255888325765</v>
      </c>
      <c r="AY9" s="11">
        <v>10</v>
      </c>
      <c r="AZ9" s="11">
        <f>(40-$C$35)+22</f>
        <v>62</v>
      </c>
      <c r="BA9" s="11">
        <v>50</v>
      </c>
      <c r="BB9" s="11">
        <f>(6+$C$36)+46</f>
        <v>52</v>
      </c>
    </row>
    <row r="10" spans="1:57" ht="25.5" x14ac:dyDescent="0.25">
      <c r="B10" s="14" t="s">
        <v>154</v>
      </c>
      <c r="C10" s="20">
        <f>MAX('U1 Caja de cambios'!$C$28:$C$39)</f>
        <v>148</v>
      </c>
      <c r="D10" s="16" t="s">
        <v>132</v>
      </c>
      <c r="AA10" s="11">
        <f>1.75</f>
        <v>1.75</v>
      </c>
      <c r="AB10" s="11">
        <f t="shared" si="0"/>
        <v>4419.5106907894733</v>
      </c>
      <c r="AC10" s="11">
        <f t="shared" si="1"/>
        <v>3300</v>
      </c>
      <c r="AD10" s="11">
        <f t="shared" si="2"/>
        <v>225.39504523026312</v>
      </c>
      <c r="AE10" s="11">
        <f t="shared" si="3"/>
        <v>168.3</v>
      </c>
      <c r="AF10" s="11">
        <f t="shared" si="4"/>
        <v>177.6</v>
      </c>
      <c r="AG10" s="11">
        <f t="shared" si="5"/>
        <v>148</v>
      </c>
      <c r="AM10" s="11">
        <f>0+$C$7*1000*COS(RADIANS((0+(360-(0))*7/72)))</f>
        <v>81.915204428899173</v>
      </c>
      <c r="AN10" s="11">
        <f>0+$C$7*1000*SIN(RADIANS((0+(360-(0))*7/72)))</f>
        <v>57.357643635104608</v>
      </c>
      <c r="AO10" s="11">
        <f>0+$C$8*1000*COS(RADIANS((0+(360-(0))*7/72)))</f>
        <v>57.340643100229428</v>
      </c>
      <c r="AP10" s="11">
        <f>0+$C$8*1000*SIN(RADIANS((0+(360-(0))*7/72)))</f>
        <v>40.150350544573222</v>
      </c>
      <c r="AQ10" s="11">
        <f>0+$C$14*1000*COS(RADIANS((0+(360-(0))*7/72)))</f>
        <v>69.627923764564301</v>
      </c>
      <c r="AR10" s="11">
        <f>0+$C$14*1000*SIN(RADIANS((0+(360-(0))*7/72)))</f>
        <v>48.753997089838911</v>
      </c>
      <c r="AS10" s="11">
        <f>0+22*COS(RADIANS((0+(360-(0))*7/36)))</f>
        <v>7.5244431531647145</v>
      </c>
      <c r="AT10" s="11">
        <f>0+22*SIN(RADIANS((0+(360-(0))*7/36)))</f>
        <v>20.673237657289985</v>
      </c>
    </row>
    <row r="11" spans="1:57" x14ac:dyDescent="0.25">
      <c r="B11" s="14" t="s">
        <v>155</v>
      </c>
      <c r="C11" s="17">
        <v>1.2</v>
      </c>
      <c r="D11" s="16"/>
      <c r="AA11" s="11">
        <f>2</f>
        <v>2</v>
      </c>
      <c r="AB11" s="11">
        <f t="shared" si="0"/>
        <v>4368.4210526315792</v>
      </c>
      <c r="AC11" s="11">
        <f t="shared" si="1"/>
        <v>3200</v>
      </c>
      <c r="AD11" s="11">
        <f t="shared" si="2"/>
        <v>222.78947368421055</v>
      </c>
      <c r="AE11" s="11">
        <f t="shared" si="3"/>
        <v>163.20000000000002</v>
      </c>
      <c r="AF11" s="11">
        <f t="shared" si="4"/>
        <v>177.6</v>
      </c>
      <c r="AG11" s="11">
        <f t="shared" si="5"/>
        <v>148</v>
      </c>
      <c r="AM11" s="11">
        <f>0+$C$7*1000*COS(RADIANS((0+(360-(0))*8/72)))</f>
        <v>76.604444311897808</v>
      </c>
      <c r="AN11" s="11">
        <f>0+$C$7*1000*SIN(RADIANS((0+(360-(0))*8/72)))</f>
        <v>64.278760968653927</v>
      </c>
      <c r="AO11" s="11">
        <f>0+$C$8*1000*COS(RADIANS((0+(360-(0))*8/72)))</f>
        <v>53.623111018328458</v>
      </c>
      <c r="AP11" s="11">
        <f>0+$C$8*1000*SIN(RADIANS((0+(360-(0))*8/72)))</f>
        <v>44.99513267805775</v>
      </c>
      <c r="AQ11" s="11">
        <f>0+$C$14*1000*COS(RADIANS((0+(360-(0))*8/72)))</f>
        <v>65.113777665113133</v>
      </c>
      <c r="AR11" s="11">
        <f>0+$C$14*1000*SIN(RADIANS((0+(360-(0))*8/72)))</f>
        <v>54.636946823355835</v>
      </c>
      <c r="AS11" s="11">
        <f>0+22*COS(RADIANS((0+(360-(0))*8/36)))</f>
        <v>3.8202599086724689</v>
      </c>
      <c r="AT11" s="11">
        <f>0+22*SIN(RADIANS((0+(360-(0))*8/36)))</f>
        <v>21.665770566268577</v>
      </c>
    </row>
    <row r="12" spans="1:57" x14ac:dyDescent="0.25">
      <c r="B12" s="14" t="s">
        <v>156</v>
      </c>
      <c r="C12" s="17">
        <v>0</v>
      </c>
      <c r="D12" s="16" t="s">
        <v>157</v>
      </c>
      <c r="AA12" s="11">
        <f>2.25</f>
        <v>2.25</v>
      </c>
      <c r="AB12" s="11">
        <f t="shared" si="0"/>
        <v>4243.3182565789475</v>
      </c>
      <c r="AC12" s="11">
        <f t="shared" si="1"/>
        <v>3100</v>
      </c>
      <c r="AD12" s="11">
        <f t="shared" si="2"/>
        <v>216.40923108552633</v>
      </c>
      <c r="AE12" s="11">
        <f t="shared" si="3"/>
        <v>158.10000000000002</v>
      </c>
      <c r="AF12" s="11">
        <f t="shared" si="4"/>
        <v>177.6</v>
      </c>
      <c r="AG12" s="11">
        <f t="shared" si="5"/>
        <v>148</v>
      </c>
      <c r="AM12" s="11">
        <f>0+$C$7*1000*COS(RADIANS((0+(360-(0))*9/72)))</f>
        <v>70.710678118654755</v>
      </c>
      <c r="AN12" s="11">
        <f>0+$C$7*1000*SIN(RADIANS((0+(360-(0))*9/72)))</f>
        <v>70.710678118654741</v>
      </c>
      <c r="AO12" s="11">
        <f>0+$C$8*1000*COS(RADIANS((0+(360-(0))*9/72)))</f>
        <v>49.497474683058329</v>
      </c>
      <c r="AP12" s="11">
        <f>0+$C$8*1000*SIN(RADIANS((0+(360-(0))*9/72)))</f>
        <v>49.497474683058321</v>
      </c>
      <c r="AQ12" s="11">
        <f>0+$C$14*1000*COS(RADIANS((0+(360-(0))*9/72)))</f>
        <v>60.104076400856542</v>
      </c>
      <c r="AR12" s="11">
        <f>0+$C$14*1000*SIN(RADIANS((0+(360-(0))*9/72)))</f>
        <v>60.104076400856535</v>
      </c>
      <c r="AS12" s="11">
        <f>0+22*COS(RADIANS((0+(360-(0))*9/36)))</f>
        <v>1.347663300399482E-15</v>
      </c>
      <c r="AT12" s="11">
        <f>0+22*SIN(RADIANS((0+(360-(0))*9/36)))</f>
        <v>22</v>
      </c>
    </row>
    <row r="13" spans="1:57" x14ac:dyDescent="0.25">
      <c r="B13" s="28" t="s">
        <v>158</v>
      </c>
      <c r="C13" s="28"/>
      <c r="D13" s="28"/>
      <c r="E13" s="28"/>
      <c r="F13" s="28"/>
      <c r="G13" s="28"/>
      <c r="AA13" s="11">
        <f>2.5</f>
        <v>2.5</v>
      </c>
      <c r="AB13" s="11">
        <f t="shared" si="0"/>
        <v>4028.7828947368425</v>
      </c>
      <c r="AC13" s="11">
        <f t="shared" si="1"/>
        <v>3000</v>
      </c>
      <c r="AD13" s="11">
        <f t="shared" si="2"/>
        <v>205.46792763157899</v>
      </c>
      <c r="AE13" s="11">
        <f t="shared" si="3"/>
        <v>153</v>
      </c>
      <c r="AF13" s="11">
        <f t="shared" si="4"/>
        <v>177.6</v>
      </c>
      <c r="AG13" s="11">
        <f t="shared" si="5"/>
        <v>148</v>
      </c>
      <c r="AM13" s="11">
        <f>0+$C$7*1000*COS(RADIANS((0+(360-(0))*10/72)))</f>
        <v>64.278760968653941</v>
      </c>
      <c r="AN13" s="11">
        <f>0+$C$7*1000*SIN(RADIANS((0+(360-(0))*10/72)))</f>
        <v>76.604444311897808</v>
      </c>
      <c r="AO13" s="11">
        <f>0+$C$8*1000*COS(RADIANS((0+(360-(0))*10/72)))</f>
        <v>44.995132678057757</v>
      </c>
      <c r="AP13" s="11">
        <f>0+$C$8*1000*SIN(RADIANS((0+(360-(0))*10/72)))</f>
        <v>53.623111018328458</v>
      </c>
      <c r="AQ13" s="11">
        <f>0+$C$14*1000*COS(RADIANS((0+(360-(0))*10/72)))</f>
        <v>54.636946823355849</v>
      </c>
      <c r="AR13" s="11">
        <f>0+$C$14*1000*SIN(RADIANS((0+(360-(0))*10/72)))</f>
        <v>65.113777665113133</v>
      </c>
      <c r="AS13" s="11">
        <f>0+22*COS(RADIANS((0+(360-(0))*10/36)))</f>
        <v>-3.8202599086724667</v>
      </c>
      <c r="AT13" s="11">
        <f>0+22*SIN(RADIANS((0+(360-(0))*10/36)))</f>
        <v>21.665770566268577</v>
      </c>
    </row>
    <row r="14" spans="1:57" x14ac:dyDescent="0.25">
      <c r="B14" s="14" t="s">
        <v>159</v>
      </c>
      <c r="C14" s="23">
        <f>($C$7+$C$8)/2</f>
        <v>8.5000000000000006E-2</v>
      </c>
      <c r="D14" s="16" t="s">
        <v>61</v>
      </c>
      <c r="AA14" s="11">
        <f>2.75</f>
        <v>2.75</v>
      </c>
      <c r="AB14" s="11">
        <f t="shared" si="0"/>
        <v>3709.3955592105267</v>
      </c>
      <c r="AC14" s="11">
        <f t="shared" si="1"/>
        <v>2900</v>
      </c>
      <c r="AD14" s="11">
        <f t="shared" si="2"/>
        <v>189.17917351973685</v>
      </c>
      <c r="AE14" s="11">
        <f t="shared" si="3"/>
        <v>147.9</v>
      </c>
      <c r="AF14" s="11">
        <f t="shared" si="4"/>
        <v>177.6</v>
      </c>
      <c r="AG14" s="11">
        <f t="shared" si="5"/>
        <v>148</v>
      </c>
      <c r="AM14" s="11">
        <f>0+$C$7*1000*COS(RADIANS((0+(360-(0))*11/72)))</f>
        <v>57.357643635104615</v>
      </c>
      <c r="AN14" s="11">
        <f>0+$C$7*1000*SIN(RADIANS((0+(360-(0))*11/72)))</f>
        <v>81.915204428899173</v>
      </c>
      <c r="AO14" s="11">
        <f>0+$C$8*1000*COS(RADIANS((0+(360-(0))*11/72)))</f>
        <v>40.150350544573229</v>
      </c>
      <c r="AP14" s="11">
        <f>0+$C$8*1000*SIN(RADIANS((0+(360-(0))*11/72)))</f>
        <v>57.340643100229428</v>
      </c>
      <c r="AQ14" s="11">
        <f>0+$C$14*1000*COS(RADIANS((0+(360-(0))*11/72)))</f>
        <v>48.753997089838926</v>
      </c>
      <c r="AR14" s="11">
        <f>0+$C$14*1000*SIN(RADIANS((0+(360-(0))*11/72)))</f>
        <v>69.627923764564301</v>
      </c>
      <c r="AS14" s="11">
        <f>0+22*COS(RADIANS((0+(360-(0))*11/36)))</f>
        <v>-7.5244431531647118</v>
      </c>
      <c r="AT14" s="11">
        <f>0+22*SIN(RADIANS((0+(360-(0))*11/36)))</f>
        <v>20.673237657289985</v>
      </c>
    </row>
    <row r="15" spans="1:57" ht="25.5" x14ac:dyDescent="0.25">
      <c r="B15" s="14" t="s">
        <v>160</v>
      </c>
      <c r="C15" s="20">
        <f>$C$6*$C$5*$C$14*$C$9</f>
        <v>204.00000000000003</v>
      </c>
      <c r="D15" s="16" t="s">
        <v>132</v>
      </c>
      <c r="AA15" s="11">
        <f>3</f>
        <v>3</v>
      </c>
      <c r="AB15" s="11">
        <f t="shared" si="0"/>
        <v>3269.7368421052638</v>
      </c>
      <c r="AC15" s="11">
        <f t="shared" si="1"/>
        <v>2800</v>
      </c>
      <c r="AD15" s="11">
        <f t="shared" si="2"/>
        <v>166.75657894736847</v>
      </c>
      <c r="AE15" s="11">
        <f t="shared" si="3"/>
        <v>142.80000000000001</v>
      </c>
      <c r="AF15" s="11">
        <f t="shared" si="4"/>
        <v>177.6</v>
      </c>
      <c r="AG15" s="11">
        <f t="shared" si="5"/>
        <v>148</v>
      </c>
      <c r="AM15" s="11">
        <f>0+$C$7*1000*COS(RADIANS((0+(360-(0))*12/72)))</f>
        <v>50.000000000000014</v>
      </c>
      <c r="AN15" s="11">
        <f>0+$C$7*1000*SIN(RADIANS((0+(360-(0))*12/72)))</f>
        <v>86.602540378443862</v>
      </c>
      <c r="AO15" s="11">
        <f>0+$C$8*1000*COS(RADIANS((0+(360-(0))*12/72)))</f>
        <v>35.000000000000007</v>
      </c>
      <c r="AP15" s="11">
        <f>0+$C$8*1000*SIN(RADIANS((0+(360-(0))*12/72)))</f>
        <v>60.621778264910702</v>
      </c>
      <c r="AQ15" s="11">
        <f>0+$C$14*1000*COS(RADIANS((0+(360-(0))*12/72)))</f>
        <v>42.500000000000007</v>
      </c>
      <c r="AR15" s="11">
        <f>0+$C$14*1000*SIN(RADIANS((0+(360-(0))*12/72)))</f>
        <v>73.612159321677282</v>
      </c>
      <c r="AS15" s="11">
        <f>0+22*COS(RADIANS((0+(360-(0))*12/36)))</f>
        <v>-10.999999999999995</v>
      </c>
      <c r="AT15" s="11">
        <f>0+22*SIN(RADIANS((0+(360-(0))*12/36)))</f>
        <v>19.052558883257653</v>
      </c>
    </row>
    <row r="16" spans="1:57" x14ac:dyDescent="0.25">
      <c r="B16" s="14" t="s">
        <v>161</v>
      </c>
      <c r="C16" s="20">
        <f>$C$6*($C$5*((4-$C$12)*((3.2-(4-$C$12))*(3.2-(4-$C$12)/2)+4))/(4*((3.2-4)*(3.2-4/2)+4)))*$C$14*$C$9</f>
        <v>204.00000000000003</v>
      </c>
      <c r="D16" s="16" t="s">
        <v>132</v>
      </c>
      <c r="AA16" s="11">
        <f>3.25</f>
        <v>3.25</v>
      </c>
      <c r="AB16" s="11">
        <f t="shared" si="0"/>
        <v>2694.3873355263158</v>
      </c>
      <c r="AC16" s="11">
        <f t="shared" si="1"/>
        <v>2700</v>
      </c>
      <c r="AD16" s="11">
        <f t="shared" si="2"/>
        <v>137.41375411184211</v>
      </c>
      <c r="AE16" s="11">
        <f t="shared" si="3"/>
        <v>137.70000000000002</v>
      </c>
      <c r="AF16" s="11">
        <f t="shared" si="4"/>
        <v>177.6</v>
      </c>
      <c r="AG16" s="11">
        <f t="shared" si="5"/>
        <v>148</v>
      </c>
      <c r="AM16" s="11">
        <f>0+$C$7*1000*COS(RADIANS((0+(360-(0))*13/72)))</f>
        <v>42.261826174069945</v>
      </c>
      <c r="AN16" s="11">
        <f>0+$C$7*1000*SIN(RADIANS((0+(360-(0))*13/72)))</f>
        <v>90.630778703664987</v>
      </c>
      <c r="AO16" s="11">
        <f>0+$C$8*1000*COS(RADIANS((0+(360-(0))*13/72)))</f>
        <v>29.583278321848962</v>
      </c>
      <c r="AP16" s="11">
        <f>0+$C$8*1000*SIN(RADIANS((0+(360-(0))*13/72)))</f>
        <v>63.441545092565498</v>
      </c>
      <c r="AQ16" s="11">
        <f>0+$C$14*1000*COS(RADIANS((0+(360-(0))*13/72)))</f>
        <v>35.922552247959452</v>
      </c>
      <c r="AR16" s="11">
        <f>0+$C$14*1000*SIN(RADIANS((0+(360-(0))*13/72)))</f>
        <v>77.036161898115239</v>
      </c>
      <c r="AS16" s="11">
        <f>0+22*COS(RADIANS((0+(360-(0))*13/36)))</f>
        <v>-14.141327413103866</v>
      </c>
      <c r="AT16" s="11">
        <f>0+22*SIN(RADIANS((0+(360-(0))*13/36)))</f>
        <v>16.852977748617516</v>
      </c>
    </row>
    <row r="17" spans="2:46" x14ac:dyDescent="0.25">
      <c r="B17" s="14" t="s">
        <v>162</v>
      </c>
      <c r="C17" s="20">
        <f>$C$6*($C$5*(1-$C$12/10))*$C$14*$C$9</f>
        <v>204.00000000000003</v>
      </c>
      <c r="D17" s="16" t="s">
        <v>132</v>
      </c>
      <c r="AA17" s="11">
        <f>3.5</f>
        <v>3.5</v>
      </c>
      <c r="AB17" s="11">
        <f t="shared" si="0"/>
        <v>1967.9276315789473</v>
      </c>
      <c r="AC17" s="11">
        <f t="shared" si="1"/>
        <v>2600</v>
      </c>
      <c r="AD17" s="11">
        <f t="shared" si="2"/>
        <v>100.36430921052632</v>
      </c>
      <c r="AE17" s="11">
        <f t="shared" si="3"/>
        <v>132.60000000000002</v>
      </c>
      <c r="AF17" s="11">
        <f t="shared" si="4"/>
        <v>177.6</v>
      </c>
      <c r="AG17" s="11">
        <f t="shared" si="5"/>
        <v>148</v>
      </c>
      <c r="AM17" s="11">
        <f>0+$C$7*1000*COS(RADIANS((0+(360-(0))*14/72)))</f>
        <v>34.202014332566883</v>
      </c>
      <c r="AN17" s="11">
        <f>0+$C$7*1000*SIN(RADIANS((0+(360-(0))*14/72)))</f>
        <v>93.96926207859083</v>
      </c>
      <c r="AO17" s="11">
        <f>0+$C$8*1000*COS(RADIANS((0+(360-(0))*14/72)))</f>
        <v>23.941410032796817</v>
      </c>
      <c r="AP17" s="11">
        <f>0+$C$8*1000*SIN(RADIANS((0+(360-(0))*14/72)))</f>
        <v>65.778483455013586</v>
      </c>
      <c r="AQ17" s="11">
        <f>0+$C$14*1000*COS(RADIANS((0+(360-(0))*14/72)))</f>
        <v>29.07171218268185</v>
      </c>
      <c r="AR17" s="11">
        <f>0+$C$14*1000*SIN(RADIANS((0+(360-(0))*14/72)))</f>
        <v>79.873872766802208</v>
      </c>
      <c r="AS17" s="11">
        <f>0+22*COS(RADIANS((0+(360-(0))*14/36)))</f>
        <v>-16.852977748617512</v>
      </c>
      <c r="AT17" s="11">
        <f>0+22*SIN(RADIANS((0+(360-(0))*14/36)))</f>
        <v>14.141327413103868</v>
      </c>
    </row>
    <row r="18" spans="2:46" x14ac:dyDescent="0.25">
      <c r="B18" s="14" t="s">
        <v>163</v>
      </c>
      <c r="C18" s="22">
        <f>$C$16/$C$10</f>
        <v>1.3783783783783785</v>
      </c>
      <c r="D18" s="16"/>
      <c r="AM18" s="11">
        <f>0+$C$7*1000*COS(RADIANS((0+(360-(0))*15/72)))</f>
        <v>25.881904510252074</v>
      </c>
      <c r="AN18" s="11">
        <f>0+$C$7*1000*SIN(RADIANS((0+(360-(0))*15/72)))</f>
        <v>96.592582628906825</v>
      </c>
      <c r="AO18" s="11">
        <f>0+$C$8*1000*COS(RADIANS((0+(360-(0))*15/72)))</f>
        <v>18.117333157176454</v>
      </c>
      <c r="AP18" s="11">
        <f>0+$C$8*1000*SIN(RADIANS((0+(360-(0))*15/72)))</f>
        <v>67.614807840234775</v>
      </c>
      <c r="AQ18" s="11">
        <f>0+$C$14*1000*COS(RADIANS((0+(360-(0))*15/72)))</f>
        <v>21.999618833714262</v>
      </c>
      <c r="AR18" s="11">
        <f>0+$C$14*1000*SIN(RADIANS((0+(360-(0))*15/72)))</f>
        <v>82.103695234570807</v>
      </c>
      <c r="AS18" s="11">
        <f>0+22*COS(RADIANS((0+(360-(0))*15/36)))</f>
        <v>-19.052558883257653</v>
      </c>
      <c r="AT18" s="11">
        <f>0+22*SIN(RADIANS((0+(360-(0))*15/36)))</f>
        <v>10.999999999999998</v>
      </c>
    </row>
    <row r="19" spans="2:46" ht="25.5" x14ac:dyDescent="0.25">
      <c r="B19" s="14" t="s">
        <v>164</v>
      </c>
      <c r="C19" s="20">
        <f>$C$15/$C$11</f>
        <v>170.00000000000003</v>
      </c>
      <c r="D19" s="16" t="s">
        <v>132</v>
      </c>
      <c r="AM19" s="11">
        <f>0+$C$7*1000*COS(RADIANS((0+(360-(0))*16/72)))</f>
        <v>17.36481776669304</v>
      </c>
      <c r="AN19" s="11">
        <f>0+$C$7*1000*SIN(RADIANS((0+(360-(0))*16/72)))</f>
        <v>98.480775301220802</v>
      </c>
      <c r="AO19" s="11">
        <f>0+$C$8*1000*COS(RADIANS((0+(360-(0))*16/72)))</f>
        <v>12.155372436685129</v>
      </c>
      <c r="AP19" s="11">
        <f>0+$C$8*1000*SIN(RADIANS((0+(360-(0))*16/72)))</f>
        <v>68.936542710854567</v>
      </c>
      <c r="AQ19" s="11">
        <f>0+$C$14*1000*COS(RADIANS((0+(360-(0))*16/72)))</f>
        <v>14.760095101689085</v>
      </c>
      <c r="AR19" s="11">
        <f>0+$C$14*1000*SIN(RADIANS((0+(360-(0))*16/72)))</f>
        <v>83.708659006037678</v>
      </c>
      <c r="AS19" s="11">
        <f>0+22*COS(RADIANS((0+(360-(0))*16/36)))</f>
        <v>-20.673237657289985</v>
      </c>
      <c r="AT19" s="11">
        <f>0+22*SIN(RADIANS((0+(360-(0))*16/36)))</f>
        <v>7.5244431531647153</v>
      </c>
    </row>
    <row r="20" spans="2:46" x14ac:dyDescent="0.25">
      <c r="B20" s="29" t="str">
        <f>"Diafragma: "&amp;IF($C$16&gt;=$C$10*$C$11,"transmite el par con seguridad.",IF($C$16&gt;=$C$10,"transmite, pero sin margen de seguridad.","¡PATINA! El par del motor supera al transmisible."))</f>
        <v>Diafragma: transmite el par con seguridad.</v>
      </c>
      <c r="C20" s="29"/>
      <c r="D20" s="29"/>
      <c r="E20" s="29"/>
      <c r="F20" s="29"/>
      <c r="G20" s="29"/>
      <c r="AM20" s="11">
        <f>0+$C$7*1000*COS(RADIANS((0+(360-(0))*17/72)))</f>
        <v>8.7155742747658138</v>
      </c>
      <c r="AN20" s="11">
        <f>0+$C$7*1000*SIN(RADIANS((0+(360-(0))*17/72)))</f>
        <v>99.619469809174561</v>
      </c>
      <c r="AO20" s="11">
        <f>0+$C$8*1000*COS(RADIANS((0+(360-(0))*17/72)))</f>
        <v>6.1009019923360697</v>
      </c>
      <c r="AP20" s="11">
        <f>0+$C$8*1000*SIN(RADIANS((0+(360-(0))*17/72)))</f>
        <v>69.733628866422194</v>
      </c>
      <c r="AQ20" s="11">
        <f>0+$C$14*1000*COS(RADIANS((0+(360-(0))*17/72)))</f>
        <v>7.4082381335509417</v>
      </c>
      <c r="AR20" s="11">
        <f>0+$C$14*1000*SIN(RADIANS((0+(360-(0))*17/72)))</f>
        <v>84.676549337798377</v>
      </c>
      <c r="AS20" s="11">
        <f>0+22*COS(RADIANS((0+(360-(0))*17/36)))</f>
        <v>-21.665770566268577</v>
      </c>
      <c r="AT20" s="11">
        <f>0+22*SIN(RADIANS((0+(360-(0))*17/36)))</f>
        <v>3.8202599086724662</v>
      </c>
    </row>
    <row r="21" spans="2:46" x14ac:dyDescent="0.25">
      <c r="B21" s="29" t="str">
        <f>"Helicoidales: "&amp;IF($C$17&gt;=$C$10*$C$11,"transmite el par con seguridad.",IF($C$17&gt;=$C$10,"transmite, pero sin margen de seguridad.","¡PATINA! El par del motor supera al transmisible."))</f>
        <v>Helicoidales: transmite el par con seguridad.</v>
      </c>
      <c r="C21" s="29"/>
      <c r="D21" s="29"/>
      <c r="E21" s="29"/>
      <c r="F21" s="29"/>
      <c r="G21" s="29"/>
      <c r="AM21" s="11">
        <f>0+$C$7*1000*COS(RADIANS((0+(360-(0))*18/72)))</f>
        <v>6.1257422745431001E-15</v>
      </c>
      <c r="AN21" s="11">
        <f>0+$C$7*1000*SIN(RADIANS((0+(360-(0))*18/72)))</f>
        <v>100</v>
      </c>
      <c r="AO21" s="11">
        <f>0+$C$8*1000*COS(RADIANS((0+(360-(0))*18/72)))</f>
        <v>4.28801959218017E-15</v>
      </c>
      <c r="AP21" s="11">
        <f>0+$C$8*1000*SIN(RADIANS((0+(360-(0))*18/72)))</f>
        <v>70</v>
      </c>
      <c r="AQ21" s="11">
        <f>0+$C$14*1000*COS(RADIANS((0+(360-(0))*18/72)))</f>
        <v>5.206880933361635E-15</v>
      </c>
      <c r="AR21" s="11">
        <f>0+$C$14*1000*SIN(RADIANS((0+(360-(0))*18/72)))</f>
        <v>85</v>
      </c>
      <c r="AS21" s="11">
        <f>0+22*COS(RADIANS((0+(360-(0))*18/36)))</f>
        <v>-22</v>
      </c>
      <c r="AT21" s="11">
        <f>0+22*SIN(RADIANS((0+(360-(0))*18/36)))</f>
        <v>2.695326600798964E-15</v>
      </c>
    </row>
    <row r="22" spans="2:46" x14ac:dyDescent="0.25">
      <c r="AM22" s="11">
        <f>0+$C$7*1000*COS(RADIANS((0+(360-(0))*19/72)))</f>
        <v>-8.7155742747658227</v>
      </c>
      <c r="AN22" s="11">
        <f>0+$C$7*1000*SIN(RADIANS((0+(360-(0))*19/72)))</f>
        <v>99.619469809174561</v>
      </c>
      <c r="AO22" s="11">
        <f>0+$C$8*1000*COS(RADIANS((0+(360-(0))*19/72)))</f>
        <v>-6.1009019923360768</v>
      </c>
      <c r="AP22" s="11">
        <f>0+$C$8*1000*SIN(RADIANS((0+(360-(0))*19/72)))</f>
        <v>69.733628866422194</v>
      </c>
      <c r="AQ22" s="11">
        <f>0+$C$14*1000*COS(RADIANS((0+(360-(0))*19/72)))</f>
        <v>-7.4082381335509497</v>
      </c>
      <c r="AR22" s="11">
        <f>0+$C$14*1000*SIN(RADIANS((0+(360-(0))*19/72)))</f>
        <v>84.676549337798377</v>
      </c>
      <c r="AS22" s="11">
        <f>0+22*COS(RADIANS((0+(360-(0))*19/36)))</f>
        <v>-21.665770566268577</v>
      </c>
      <c r="AT22" s="11">
        <f>0+22*SIN(RADIANS((0+(360-(0))*19/36)))</f>
        <v>-3.8202599086724702</v>
      </c>
    </row>
    <row r="23" spans="2:46" x14ac:dyDescent="0.25">
      <c r="B23" s="28" t="s">
        <v>165</v>
      </c>
      <c r="C23" s="28"/>
      <c r="D23" s="28"/>
      <c r="E23" s="28"/>
      <c r="F23" s="28"/>
      <c r="G23" s="28"/>
      <c r="AM23" s="11">
        <f>0+$C$7*1000*COS(RADIANS((0+(360-(0))*20/72)))</f>
        <v>-17.364817766693029</v>
      </c>
      <c r="AN23" s="11">
        <f>0+$C$7*1000*SIN(RADIANS((0+(360-(0))*20/72)))</f>
        <v>98.480775301220802</v>
      </c>
      <c r="AO23" s="11">
        <f>0+$C$8*1000*COS(RADIANS((0+(360-(0))*20/72)))</f>
        <v>-12.155372436685122</v>
      </c>
      <c r="AP23" s="11">
        <f>0+$C$8*1000*SIN(RADIANS((0+(360-(0))*20/72)))</f>
        <v>68.936542710854567</v>
      </c>
      <c r="AQ23" s="11">
        <f>0+$C$14*1000*COS(RADIANS((0+(360-(0))*20/72)))</f>
        <v>-14.760095101689076</v>
      </c>
      <c r="AR23" s="11">
        <f>0+$C$14*1000*SIN(RADIANS((0+(360-(0))*20/72)))</f>
        <v>83.708659006037678</v>
      </c>
      <c r="AS23" s="11">
        <f>0+22*COS(RADIANS((0+(360-(0))*20/36)))</f>
        <v>-20.673237657289985</v>
      </c>
      <c r="AT23" s="11">
        <f>0+22*SIN(RADIANS((0+(360-(0))*20/36)))</f>
        <v>-7.5244431531647109</v>
      </c>
    </row>
    <row r="24" spans="2:46" x14ac:dyDescent="0.25">
      <c r="B24" s="14" t="s">
        <v>166</v>
      </c>
      <c r="C24" s="15">
        <v>150</v>
      </c>
      <c r="D24" s="16" t="s">
        <v>134</v>
      </c>
      <c r="AM24" s="11">
        <f>0+$C$7*1000*COS(RADIANS((0+(360-(0))*21/72)))</f>
        <v>-25.881904510252085</v>
      </c>
      <c r="AN24" s="11">
        <f>0+$C$7*1000*SIN(RADIANS((0+(360-(0))*21/72)))</f>
        <v>96.592582628906825</v>
      </c>
      <c r="AO24" s="11">
        <f>0+$C$8*1000*COS(RADIANS((0+(360-(0))*21/72)))</f>
        <v>-18.117333157176461</v>
      </c>
      <c r="AP24" s="11">
        <f>0+$C$8*1000*SIN(RADIANS((0+(360-(0))*21/72)))</f>
        <v>67.614807840234775</v>
      </c>
      <c r="AQ24" s="11">
        <f>0+$C$14*1000*COS(RADIANS((0+(360-(0))*21/72)))</f>
        <v>-21.999618833714273</v>
      </c>
      <c r="AR24" s="11">
        <f>0+$C$14*1000*SIN(RADIANS((0+(360-(0))*21/72)))</f>
        <v>82.103695234570807</v>
      </c>
      <c r="AS24" s="11">
        <f>0+22*COS(RADIANS((0+(360-(0))*21/36)))</f>
        <v>-19.05255888325765</v>
      </c>
      <c r="AT24" s="11">
        <f>0+22*SIN(RADIANS((0+(360-(0))*21/36)))</f>
        <v>-11.000000000000002</v>
      </c>
    </row>
    <row r="25" spans="2:46" x14ac:dyDescent="0.25">
      <c r="B25" s="14" t="s">
        <v>167</v>
      </c>
      <c r="C25" s="15">
        <v>6</v>
      </c>
      <c r="D25" s="16" t="s">
        <v>168</v>
      </c>
      <c r="AM25" s="11">
        <f>0+$C$7*1000*COS(RADIANS((0+(360-(0))*22/72)))</f>
        <v>-34.202014332566868</v>
      </c>
      <c r="AN25" s="11">
        <f>0+$C$7*1000*SIN(RADIANS((0+(360-(0))*22/72)))</f>
        <v>93.969262078590845</v>
      </c>
      <c r="AO25" s="11">
        <f>0+$C$8*1000*COS(RADIANS((0+(360-(0))*22/72)))</f>
        <v>-23.94141003279681</v>
      </c>
      <c r="AP25" s="11">
        <f>0+$C$8*1000*SIN(RADIANS((0+(360-(0))*22/72)))</f>
        <v>65.778483455013586</v>
      </c>
      <c r="AQ25" s="11">
        <f>0+$C$14*1000*COS(RADIANS((0+(360-(0))*22/72)))</f>
        <v>-29.071712182681839</v>
      </c>
      <c r="AR25" s="11">
        <f>0+$C$14*1000*SIN(RADIANS((0+(360-(0))*22/72)))</f>
        <v>79.873872766802222</v>
      </c>
      <c r="AS25" s="11">
        <f>0+22*COS(RADIANS((0+(360-(0))*22/36)))</f>
        <v>-16.852977748617516</v>
      </c>
      <c r="AT25" s="11">
        <f>0+22*SIN(RADIANS((0+(360-(0))*22/36)))</f>
        <v>-14.141327413103863</v>
      </c>
    </row>
    <row r="26" spans="2:46" x14ac:dyDescent="0.25">
      <c r="B26" s="14" t="s">
        <v>169</v>
      </c>
      <c r="C26" s="17">
        <v>15.9</v>
      </c>
      <c r="D26" s="16" t="s">
        <v>157</v>
      </c>
      <c r="AM26" s="11">
        <f>0+$C$7*1000*COS(RADIANS((0+(360-(0))*23/72)))</f>
        <v>-42.261826174069931</v>
      </c>
      <c r="AN26" s="11">
        <f>0+$C$7*1000*SIN(RADIANS((0+(360-(0))*23/72)))</f>
        <v>90.630778703665001</v>
      </c>
      <c r="AO26" s="11">
        <f>0+$C$8*1000*COS(RADIANS((0+(360-(0))*23/72)))</f>
        <v>-29.583278321848955</v>
      </c>
      <c r="AP26" s="11">
        <f>0+$C$8*1000*SIN(RADIANS((0+(360-(0))*23/72)))</f>
        <v>63.441545092565505</v>
      </c>
      <c r="AQ26" s="11">
        <f>0+$C$14*1000*COS(RADIANS((0+(360-(0))*23/72)))</f>
        <v>-35.922552247959445</v>
      </c>
      <c r="AR26" s="11">
        <f>0+$C$14*1000*SIN(RADIANS((0+(360-(0))*23/72)))</f>
        <v>77.036161898115253</v>
      </c>
      <c r="AS26" s="11">
        <f>0+22*COS(RADIANS((0+(360-(0))*23/36)))</f>
        <v>-14.141327413103868</v>
      </c>
      <c r="AT26" s="11">
        <f>0+22*SIN(RADIANS((0+(360-(0))*23/36)))</f>
        <v>-16.852977748617512</v>
      </c>
    </row>
    <row r="27" spans="2:46" x14ac:dyDescent="0.25">
      <c r="B27" s="14" t="s">
        <v>170</v>
      </c>
      <c r="C27" s="17">
        <v>19.05</v>
      </c>
      <c r="D27" s="16" t="s">
        <v>157</v>
      </c>
      <c r="AM27" s="11">
        <f>0+$C$7*1000*COS(RADIANS((0+(360-(0))*24/72)))</f>
        <v>-49.999999999999979</v>
      </c>
      <c r="AN27" s="11">
        <f>0+$C$7*1000*SIN(RADIANS((0+(360-(0))*24/72)))</f>
        <v>86.602540378443877</v>
      </c>
      <c r="AO27" s="11">
        <f>0+$C$8*1000*COS(RADIANS((0+(360-(0))*24/72)))</f>
        <v>-34.999999999999986</v>
      </c>
      <c r="AP27" s="11">
        <f>0+$C$8*1000*SIN(RADIANS((0+(360-(0))*24/72)))</f>
        <v>60.621778264910709</v>
      </c>
      <c r="AQ27" s="11">
        <f>0+$C$14*1000*COS(RADIANS((0+(360-(0))*24/72)))</f>
        <v>-42.499999999999979</v>
      </c>
      <c r="AR27" s="11">
        <f>0+$C$14*1000*SIN(RADIANS((0+(360-(0))*24/72)))</f>
        <v>73.612159321677296</v>
      </c>
      <c r="AS27" s="11">
        <f>0+22*COS(RADIANS((0+(360-(0))*24/36)))</f>
        <v>-11.000000000000011</v>
      </c>
      <c r="AT27" s="11">
        <f>0+22*SIN(RADIANS((0+(360-(0))*24/36)))</f>
        <v>-19.052558883257646</v>
      </c>
    </row>
    <row r="28" spans="2:46" x14ac:dyDescent="0.25">
      <c r="B28" s="14" t="s">
        <v>171</v>
      </c>
      <c r="C28" s="15">
        <v>30</v>
      </c>
      <c r="D28" s="16" t="s">
        <v>157</v>
      </c>
      <c r="AM28" s="11">
        <f>0+$C$7*1000*COS(RADIANS((0+(360-(0))*25/72)))</f>
        <v>-57.357643635104615</v>
      </c>
      <c r="AN28" s="11">
        <f>0+$C$7*1000*SIN(RADIANS((0+(360-(0))*25/72)))</f>
        <v>81.915204428899173</v>
      </c>
      <c r="AO28" s="11">
        <f>0+$C$8*1000*COS(RADIANS((0+(360-(0))*25/72)))</f>
        <v>-40.150350544573229</v>
      </c>
      <c r="AP28" s="11">
        <f>0+$C$8*1000*SIN(RADIANS((0+(360-(0))*25/72)))</f>
        <v>57.340643100229421</v>
      </c>
      <c r="AQ28" s="11">
        <f>0+$C$14*1000*COS(RADIANS((0+(360-(0))*25/72)))</f>
        <v>-48.753997089838926</v>
      </c>
      <c r="AR28" s="11">
        <f>0+$C$14*1000*SIN(RADIANS((0+(360-(0))*25/72)))</f>
        <v>69.627923764564287</v>
      </c>
      <c r="AS28" s="11">
        <f>0+22*COS(RADIANS((0+(360-(0))*25/36)))</f>
        <v>-7.5244431531647082</v>
      </c>
      <c r="AT28" s="11">
        <f>0+22*SIN(RADIANS((0+(360-(0))*25/36)))</f>
        <v>-20.673237657289985</v>
      </c>
    </row>
    <row r="29" spans="2:46" x14ac:dyDescent="0.25">
      <c r="B29" s="14" t="s">
        <v>172</v>
      </c>
      <c r="C29" s="15">
        <v>0</v>
      </c>
      <c r="D29" s="16" t="s">
        <v>70</v>
      </c>
      <c r="AM29" s="11">
        <f>0+$C$7*1000*COS(RADIANS((0+(360-(0))*26/72)))</f>
        <v>-64.278760968653941</v>
      </c>
      <c r="AN29" s="11">
        <f>0+$C$7*1000*SIN(RADIANS((0+(360-(0))*26/72)))</f>
        <v>76.604444311897808</v>
      </c>
      <c r="AO29" s="11">
        <f>0+$C$8*1000*COS(RADIANS((0+(360-(0))*26/72)))</f>
        <v>-44.995132678057757</v>
      </c>
      <c r="AP29" s="11">
        <f>0+$C$8*1000*SIN(RADIANS((0+(360-(0))*26/72)))</f>
        <v>53.623111018328458</v>
      </c>
      <c r="AQ29" s="11">
        <f>0+$C$14*1000*COS(RADIANS((0+(360-(0))*26/72)))</f>
        <v>-54.636946823355849</v>
      </c>
      <c r="AR29" s="11">
        <f>0+$C$14*1000*SIN(RADIANS((0+(360-(0))*26/72)))</f>
        <v>65.113777665113133</v>
      </c>
      <c r="AS29" s="11">
        <f>0+22*COS(RADIANS((0+(360-(0))*26/36)))</f>
        <v>-3.8202599086724671</v>
      </c>
      <c r="AT29" s="11">
        <f>0+22*SIN(RADIANS((0+(360-(0))*26/36)))</f>
        <v>-21.665770566268577</v>
      </c>
    </row>
    <row r="30" spans="2:46" x14ac:dyDescent="0.25">
      <c r="B30" s="28" t="s">
        <v>173</v>
      </c>
      <c r="C30" s="28"/>
      <c r="D30" s="28"/>
      <c r="E30" s="28"/>
      <c r="F30" s="28"/>
      <c r="G30" s="28"/>
      <c r="AM30" s="11">
        <f>0+$C$7*1000*COS(RADIANS((0+(360-(0))*27/72)))</f>
        <v>-70.710678118654741</v>
      </c>
      <c r="AN30" s="11">
        <f>0+$C$7*1000*SIN(RADIANS((0+(360-(0))*27/72)))</f>
        <v>70.710678118654755</v>
      </c>
      <c r="AO30" s="11">
        <f>0+$C$8*1000*COS(RADIANS((0+(360-(0))*27/72)))</f>
        <v>-49.497474683058321</v>
      </c>
      <c r="AP30" s="11">
        <f>0+$C$8*1000*SIN(RADIANS((0+(360-(0))*27/72)))</f>
        <v>49.497474683058329</v>
      </c>
      <c r="AQ30" s="11">
        <f>0+$C$14*1000*COS(RADIANS((0+(360-(0))*27/72)))</f>
        <v>-60.104076400856535</v>
      </c>
      <c r="AR30" s="11">
        <f>0+$C$14*1000*SIN(RADIANS((0+(360-(0))*27/72)))</f>
        <v>60.104076400856542</v>
      </c>
      <c r="AS30" s="11">
        <f>0+22*COS(RADIANS((0+(360-(0))*27/36)))</f>
        <v>-4.042989901198446E-15</v>
      </c>
      <c r="AT30" s="11">
        <f>0+22*SIN(RADIANS((0+(360-(0))*27/36)))</f>
        <v>-22</v>
      </c>
    </row>
    <row r="31" spans="2:46" x14ac:dyDescent="0.25">
      <c r="B31" s="14" t="s">
        <v>174</v>
      </c>
      <c r="C31" s="21">
        <f>$C$24*$C$25</f>
        <v>900</v>
      </c>
      <c r="D31" s="16" t="s">
        <v>134</v>
      </c>
      <c r="AM31" s="11">
        <f>0+$C$7*1000*COS(RADIANS((0+(360-(0))*28/72)))</f>
        <v>-76.604444311897794</v>
      </c>
      <c r="AN31" s="11">
        <f>0+$C$7*1000*SIN(RADIANS((0+(360-(0))*28/72)))</f>
        <v>64.278760968653941</v>
      </c>
      <c r="AO31" s="11">
        <f>0+$C$8*1000*COS(RADIANS((0+(360-(0))*28/72)))</f>
        <v>-53.623111018328451</v>
      </c>
      <c r="AP31" s="11">
        <f>0+$C$8*1000*SIN(RADIANS((0+(360-(0))*28/72)))</f>
        <v>44.995132678057765</v>
      </c>
      <c r="AQ31" s="11">
        <f>0+$C$14*1000*COS(RADIANS((0+(360-(0))*28/72)))</f>
        <v>-65.113777665113119</v>
      </c>
      <c r="AR31" s="11">
        <f>0+$C$14*1000*SIN(RADIANS((0+(360-(0))*28/72)))</f>
        <v>54.636946823355856</v>
      </c>
      <c r="AS31" s="11">
        <f>0+22*COS(RADIANS((0+(360-(0))*28/36)))</f>
        <v>3.8202599086724591</v>
      </c>
      <c r="AT31" s="11">
        <f>0+22*SIN(RADIANS((0+(360-(0))*28/36)))</f>
        <v>-21.665770566268577</v>
      </c>
    </row>
    <row r="32" spans="2:46" x14ac:dyDescent="0.25">
      <c r="B32" s="14" t="s">
        <v>175</v>
      </c>
      <c r="C32" s="20">
        <f>$C$31/(PI()*$C$26^2/4)*10</f>
        <v>45.327146483985857</v>
      </c>
      <c r="D32" s="16" t="s">
        <v>176</v>
      </c>
      <c r="AM32" s="11">
        <f>0+$C$7*1000*COS(RADIANS((0+(360-(0))*29/72)))</f>
        <v>-81.915204428899187</v>
      </c>
      <c r="AN32" s="11">
        <f>0+$C$7*1000*SIN(RADIANS((0+(360-(0))*29/72)))</f>
        <v>57.357643635104594</v>
      </c>
      <c r="AO32" s="11">
        <f>0+$C$8*1000*COS(RADIANS((0+(360-(0))*29/72)))</f>
        <v>-57.340643100229435</v>
      </c>
      <c r="AP32" s="11">
        <f>0+$C$8*1000*SIN(RADIANS((0+(360-(0))*29/72)))</f>
        <v>40.150350544573215</v>
      </c>
      <c r="AQ32" s="11">
        <f>0+$C$14*1000*COS(RADIANS((0+(360-(0))*29/72)))</f>
        <v>-69.627923764564315</v>
      </c>
      <c r="AR32" s="11">
        <f>0+$C$14*1000*SIN(RADIANS((0+(360-(0))*29/72)))</f>
        <v>48.753997089838904</v>
      </c>
      <c r="AS32" s="11">
        <f>0+22*COS(RADIANS((0+(360-(0))*29/36)))</f>
        <v>7.524443153164718</v>
      </c>
      <c r="AT32" s="11">
        <f>0+22*SIN(RADIANS((0+(360-(0))*29/36)))</f>
        <v>-20.673237657289985</v>
      </c>
    </row>
    <row r="33" spans="2:46" x14ac:dyDescent="0.25">
      <c r="B33" s="14" t="s">
        <v>177</v>
      </c>
      <c r="C33" s="21">
        <f>$C$32/10*PI()*$C$27^2/4</f>
        <v>1291.9277322890709</v>
      </c>
      <c r="D33" s="16" t="s">
        <v>134</v>
      </c>
      <c r="AM33" s="11">
        <f>0+$C$7*1000*COS(RADIANS((0+(360-(0))*30/72)))</f>
        <v>-86.602540378443877</v>
      </c>
      <c r="AN33" s="11">
        <f>0+$C$7*1000*SIN(RADIANS((0+(360-(0))*30/72)))</f>
        <v>49.999999999999993</v>
      </c>
      <c r="AO33" s="11">
        <f>0+$C$8*1000*COS(RADIANS((0+(360-(0))*30/72)))</f>
        <v>-60.621778264910709</v>
      </c>
      <c r="AP33" s="11">
        <f>0+$C$8*1000*SIN(RADIANS((0+(360-(0))*30/72)))</f>
        <v>34.999999999999993</v>
      </c>
      <c r="AQ33" s="11">
        <f>0+$C$14*1000*COS(RADIANS((0+(360-(0))*30/72)))</f>
        <v>-73.612159321677296</v>
      </c>
      <c r="AR33" s="11">
        <f>0+$C$14*1000*SIN(RADIANS((0+(360-(0))*30/72)))</f>
        <v>42.499999999999993</v>
      </c>
      <c r="AS33" s="11">
        <f>0+22*COS(RADIANS((0+(360-(0))*30/36)))</f>
        <v>11.000000000000002</v>
      </c>
      <c r="AT33" s="11">
        <f>0+22*SIN(RADIANS((0+(360-(0))*30/36)))</f>
        <v>-19.05255888325765</v>
      </c>
    </row>
    <row r="34" spans="2:46" x14ac:dyDescent="0.25">
      <c r="B34" s="14" t="s">
        <v>178</v>
      </c>
      <c r="C34" s="20">
        <f>$C$28*($C$26/$C$27)^2</f>
        <v>20.899001798003592</v>
      </c>
      <c r="D34" s="16" t="s">
        <v>157</v>
      </c>
      <c r="AM34" s="11">
        <f>0+$C$7*1000*COS(RADIANS((0+(360-(0))*31/72)))</f>
        <v>-90.630778703664987</v>
      </c>
      <c r="AN34" s="11">
        <f>0+$C$7*1000*SIN(RADIANS((0+(360-(0))*31/72)))</f>
        <v>42.261826174069952</v>
      </c>
      <c r="AO34" s="11">
        <f>0+$C$8*1000*COS(RADIANS((0+(360-(0))*31/72)))</f>
        <v>-63.441545092565498</v>
      </c>
      <c r="AP34" s="11">
        <f>0+$C$8*1000*SIN(RADIANS((0+(360-(0))*31/72)))</f>
        <v>29.583278321848965</v>
      </c>
      <c r="AQ34" s="11">
        <f>0+$C$14*1000*COS(RADIANS((0+(360-(0))*31/72)))</f>
        <v>-77.036161898115239</v>
      </c>
      <c r="AR34" s="11">
        <f>0+$C$14*1000*SIN(RADIANS((0+(360-(0))*31/72)))</f>
        <v>35.922552247959459</v>
      </c>
      <c r="AS34" s="11">
        <f>0+22*COS(RADIANS((0+(360-(0))*31/36)))</f>
        <v>14.141327413103863</v>
      </c>
      <c r="AT34" s="11">
        <f>0+22*SIN(RADIANS((0+(360-(0))*31/36)))</f>
        <v>-16.852977748617519</v>
      </c>
    </row>
    <row r="35" spans="2:46" x14ac:dyDescent="0.25">
      <c r="B35" s="14" t="s">
        <v>179</v>
      </c>
      <c r="C35" s="20">
        <f>$C$28*$C$29/100</f>
        <v>0</v>
      </c>
      <c r="D35" s="16" t="s">
        <v>157</v>
      </c>
      <c r="AM35" s="11">
        <f>0+$C$7*1000*COS(RADIANS((0+(360-(0))*32/72)))</f>
        <v>-93.96926207859083</v>
      </c>
      <c r="AN35" s="11">
        <f>0+$C$7*1000*SIN(RADIANS((0+(360-(0))*32/72)))</f>
        <v>34.20201433256689</v>
      </c>
      <c r="AO35" s="11">
        <f>0+$C$8*1000*COS(RADIANS((0+(360-(0))*32/72)))</f>
        <v>-65.778483455013586</v>
      </c>
      <c r="AP35" s="11">
        <f>0+$C$8*1000*SIN(RADIANS((0+(360-(0))*32/72)))</f>
        <v>23.941410032796821</v>
      </c>
      <c r="AQ35" s="11">
        <f>0+$C$14*1000*COS(RADIANS((0+(360-(0))*32/72)))</f>
        <v>-79.873872766802208</v>
      </c>
      <c r="AR35" s="11">
        <f>0+$C$14*1000*SIN(RADIANS((0+(360-(0))*32/72)))</f>
        <v>29.071712182681853</v>
      </c>
      <c r="AS35" s="11">
        <f>0+22*COS(RADIANS((0+(360-(0))*32/36)))</f>
        <v>16.852977748617512</v>
      </c>
      <c r="AT35" s="11">
        <f>0+22*SIN(RADIANS((0+(360-(0))*32/36)))</f>
        <v>-14.141327413103872</v>
      </c>
    </row>
    <row r="36" spans="2:46" x14ac:dyDescent="0.25">
      <c r="B36" s="14" t="s">
        <v>180</v>
      </c>
      <c r="C36" s="20">
        <f>$C$35*($C$26/$C$27)^2</f>
        <v>0</v>
      </c>
      <c r="D36" s="16" t="s">
        <v>157</v>
      </c>
      <c r="AM36" s="11">
        <f>0+$C$7*1000*COS(RADIANS((0+(360-(0))*33/72)))</f>
        <v>-96.592582628906825</v>
      </c>
      <c r="AN36" s="11">
        <f>0+$C$7*1000*SIN(RADIANS((0+(360-(0))*33/72)))</f>
        <v>25.881904510252102</v>
      </c>
      <c r="AO36" s="11">
        <f>0+$C$8*1000*COS(RADIANS((0+(360-(0))*33/72)))</f>
        <v>-67.614807840234775</v>
      </c>
      <c r="AP36" s="11">
        <f>0+$C$8*1000*SIN(RADIANS((0+(360-(0))*33/72)))</f>
        <v>18.117333157176471</v>
      </c>
      <c r="AQ36" s="11">
        <f>0+$C$14*1000*COS(RADIANS((0+(360-(0))*33/72)))</f>
        <v>-82.103695234570793</v>
      </c>
      <c r="AR36" s="11">
        <f>0+$C$14*1000*SIN(RADIANS((0+(360-(0))*33/72)))</f>
        <v>21.999618833714287</v>
      </c>
      <c r="AS36" s="11">
        <f>0+22*COS(RADIANS((0+(360-(0))*33/36)))</f>
        <v>19.052558883257646</v>
      </c>
      <c r="AT36" s="11">
        <f>0+22*SIN(RADIANS((0+(360-(0))*33/36)))</f>
        <v>-11.000000000000011</v>
      </c>
    </row>
    <row r="37" spans="2:46" x14ac:dyDescent="0.25">
      <c r="B37" s="29" t="str">
        <f>IF($C$29&lt;20,"Embragado: el disco está apretado y transmite el par.",IF($C$29&lt;60,"Zona de acoplamiento: el disco patina (punto de fricción).","Desembragado: el diafragma libera el plato y el disco gira libre."))</f>
        <v>Embragado: el disco está apretado y transmite el par.</v>
      </c>
      <c r="C37" s="29"/>
      <c r="D37" s="29"/>
      <c r="E37" s="29"/>
      <c r="F37" s="29"/>
      <c r="G37" s="29"/>
      <c r="AM37" s="11">
        <f>0+$C$7*1000*COS(RADIANS((0+(360-(0))*34/72)))</f>
        <v>-98.480775301220802</v>
      </c>
      <c r="AN37" s="11">
        <f>0+$C$7*1000*SIN(RADIANS((0+(360-(0))*34/72)))</f>
        <v>17.364817766693026</v>
      </c>
      <c r="AO37" s="11">
        <f>0+$C$8*1000*COS(RADIANS((0+(360-(0))*34/72)))</f>
        <v>-68.936542710854567</v>
      </c>
      <c r="AP37" s="11">
        <f>0+$C$8*1000*SIN(RADIANS((0+(360-(0))*34/72)))</f>
        <v>12.15537243668512</v>
      </c>
      <c r="AQ37" s="11">
        <f>0+$C$14*1000*COS(RADIANS((0+(360-(0))*34/72)))</f>
        <v>-83.708659006037678</v>
      </c>
      <c r="AR37" s="11">
        <f>0+$C$14*1000*SIN(RADIANS((0+(360-(0))*34/72)))</f>
        <v>14.760095101689073</v>
      </c>
      <c r="AS37" s="11">
        <f>0+22*COS(RADIANS((0+(360-(0))*34/36)))</f>
        <v>20.673237657289985</v>
      </c>
      <c r="AT37" s="11">
        <f>0+22*SIN(RADIANS((0+(360-(0))*34/36)))</f>
        <v>-7.5244431531647091</v>
      </c>
    </row>
    <row r="38" spans="2:46" x14ac:dyDescent="0.25">
      <c r="AM38" s="11">
        <f>0+$C$7*1000*COS(RADIANS((0+(360-(0))*35/72)))</f>
        <v>-99.619469809174561</v>
      </c>
      <c r="AN38" s="11">
        <f>0+$C$7*1000*SIN(RADIANS((0+(360-(0))*35/72)))</f>
        <v>8.7155742747658191</v>
      </c>
      <c r="AO38" s="11">
        <f>0+$C$8*1000*COS(RADIANS((0+(360-(0))*35/72)))</f>
        <v>-69.733628866422194</v>
      </c>
      <c r="AP38" s="11">
        <f>0+$C$8*1000*SIN(RADIANS((0+(360-(0))*35/72)))</f>
        <v>6.1009019923360732</v>
      </c>
      <c r="AQ38" s="11">
        <f>0+$C$14*1000*COS(RADIANS((0+(360-(0))*35/72)))</f>
        <v>-84.676549337798377</v>
      </c>
      <c r="AR38" s="11">
        <f>0+$C$14*1000*SIN(RADIANS((0+(360-(0))*35/72)))</f>
        <v>7.4082381335509462</v>
      </c>
      <c r="AS38" s="11">
        <f>0+22*COS(RADIANS((0+(360-(0))*35/36)))</f>
        <v>21.665770566268577</v>
      </c>
      <c r="AT38" s="11">
        <f>0+22*SIN(RADIANS((0+(360-(0))*35/36)))</f>
        <v>-3.8202599086724685</v>
      </c>
    </row>
    <row r="39" spans="2:46" x14ac:dyDescent="0.25">
      <c r="S39" s="27" t="s">
        <v>188</v>
      </c>
      <c r="T39" s="27"/>
      <c r="U39" s="27"/>
      <c r="V39" s="27"/>
      <c r="W39" s="27"/>
      <c r="X39" s="27"/>
      <c r="Y39" s="27"/>
      <c r="AM39" s="11">
        <f>0+$C$7*1000*COS(RADIANS((0+(360-(0))*36/72)))</f>
        <v>-100</v>
      </c>
      <c r="AN39" s="11">
        <f>0+$C$7*1000*SIN(RADIANS((0+(360-(0))*36/72)))</f>
        <v>1.22514845490862E-14</v>
      </c>
      <c r="AO39" s="11">
        <f>0+$C$8*1000*COS(RADIANS((0+(360-(0))*36/72)))</f>
        <v>-70</v>
      </c>
      <c r="AP39" s="11">
        <f>0+$C$8*1000*SIN(RADIANS((0+(360-(0))*36/72)))</f>
        <v>8.5760391843603401E-15</v>
      </c>
      <c r="AQ39" s="11">
        <f>0+$C$14*1000*COS(RADIANS((0+(360-(0))*36/72)))</f>
        <v>-85</v>
      </c>
      <c r="AR39" s="11">
        <f>0+$C$14*1000*SIN(RADIANS((0+(360-(0))*36/72)))</f>
        <v>1.041376186672327E-14</v>
      </c>
      <c r="AS39" s="11">
        <f>0+22*COS(RADIANS((0+(360-(0))*36/36)))</f>
        <v>22</v>
      </c>
      <c r="AT39" s="11">
        <f>0+22*SIN(RADIANS((0+(360-(0))*36/36)))</f>
        <v>-5.390653201597928E-15</v>
      </c>
    </row>
    <row r="40" spans="2:46" x14ac:dyDescent="0.25">
      <c r="B40" s="28" t="s">
        <v>141</v>
      </c>
      <c r="C40" s="28"/>
      <c r="D40" s="28"/>
      <c r="E40" s="28"/>
      <c r="F40" s="28"/>
      <c r="G40" s="28"/>
      <c r="S40" s="27"/>
      <c r="T40" s="27"/>
      <c r="U40" s="27"/>
      <c r="V40" s="27"/>
      <c r="W40" s="27"/>
      <c r="X40" s="27"/>
      <c r="Y40" s="27"/>
      <c r="AM40" s="11">
        <f>0+$C$7*1000*COS(RADIANS((0+(360-(0))*37/72)))</f>
        <v>-99.619469809174561</v>
      </c>
      <c r="AN40" s="11">
        <f>0+$C$7*1000*SIN(RADIANS((0+(360-(0))*37/72)))</f>
        <v>-8.7155742747657943</v>
      </c>
      <c r="AO40" s="11">
        <f>0+$C$8*1000*COS(RADIANS((0+(360-(0))*37/72)))</f>
        <v>-69.733628866422194</v>
      </c>
      <c r="AP40" s="11">
        <f>0+$C$8*1000*SIN(RADIANS((0+(360-(0))*37/72)))</f>
        <v>-6.1009019923360563</v>
      </c>
      <c r="AQ40" s="11">
        <f>0+$C$14*1000*COS(RADIANS((0+(360-(0))*37/72)))</f>
        <v>-84.676549337798377</v>
      </c>
      <c r="AR40" s="11">
        <f>0+$C$14*1000*SIN(RADIANS((0+(360-(0))*37/72)))</f>
        <v>-7.4082381335509249</v>
      </c>
    </row>
    <row r="41" spans="2:46" ht="45.95" customHeight="1" x14ac:dyDescent="0.25">
      <c r="B41" s="30" t="s">
        <v>189</v>
      </c>
      <c r="C41" s="30"/>
      <c r="D41" s="30"/>
      <c r="E41" s="30"/>
      <c r="F41" s="30"/>
      <c r="G41" s="30"/>
      <c r="AM41" s="11">
        <f>0+$C$7*1000*COS(RADIANS((0+(360-(0))*38/72)))</f>
        <v>-98.480775301220802</v>
      </c>
      <c r="AN41" s="11">
        <f>0+$C$7*1000*SIN(RADIANS((0+(360-(0))*38/72)))</f>
        <v>-17.364817766693047</v>
      </c>
      <c r="AO41" s="11">
        <f>0+$C$8*1000*COS(RADIANS((0+(360-(0))*38/72)))</f>
        <v>-68.936542710854567</v>
      </c>
      <c r="AP41" s="11">
        <f>0+$C$8*1000*SIN(RADIANS((0+(360-(0))*38/72)))</f>
        <v>-12.155372436685132</v>
      </c>
      <c r="AQ41" s="11">
        <f>0+$C$14*1000*COS(RADIANS((0+(360-(0))*38/72)))</f>
        <v>-83.708659006037678</v>
      </c>
      <c r="AR41" s="11">
        <f>0+$C$14*1000*SIN(RADIANS((0+(360-(0))*38/72)))</f>
        <v>-14.760095101689091</v>
      </c>
    </row>
    <row r="42" spans="2:46" ht="45.95" customHeight="1" x14ac:dyDescent="0.25">
      <c r="B42" s="30" t="s">
        <v>190</v>
      </c>
      <c r="C42" s="30"/>
      <c r="D42" s="30"/>
      <c r="E42" s="30"/>
      <c r="F42" s="30"/>
      <c r="G42" s="30"/>
      <c r="AM42" s="11">
        <f>0+$C$7*1000*COS(RADIANS((0+(360-(0))*39/72)))</f>
        <v>-96.592582628906825</v>
      </c>
      <c r="AN42" s="11">
        <f>0+$C$7*1000*SIN(RADIANS((0+(360-(0))*39/72)))</f>
        <v>-25.881904510252081</v>
      </c>
      <c r="AO42" s="11">
        <f>0+$C$8*1000*COS(RADIANS((0+(360-(0))*39/72)))</f>
        <v>-67.614807840234775</v>
      </c>
      <c r="AP42" s="11">
        <f>0+$C$8*1000*SIN(RADIANS((0+(360-(0))*39/72)))</f>
        <v>-18.117333157176457</v>
      </c>
      <c r="AQ42" s="11">
        <f>0+$C$14*1000*COS(RADIANS((0+(360-(0))*39/72)))</f>
        <v>-82.103695234570807</v>
      </c>
      <c r="AR42" s="11">
        <f>0+$C$14*1000*SIN(RADIANS((0+(360-(0))*39/72)))</f>
        <v>-21.999618833714269</v>
      </c>
    </row>
    <row r="43" spans="2:46" ht="45.95" customHeight="1" x14ac:dyDescent="0.25">
      <c r="B43" s="30" t="s">
        <v>191</v>
      </c>
      <c r="C43" s="30"/>
      <c r="D43" s="30"/>
      <c r="E43" s="30"/>
      <c r="F43" s="30"/>
      <c r="G43" s="30"/>
      <c r="AM43" s="11">
        <f>0+$C$7*1000*COS(RADIANS((0+(360-(0))*40/72)))</f>
        <v>-93.969262078590845</v>
      </c>
      <c r="AN43" s="11">
        <f>0+$C$7*1000*SIN(RADIANS((0+(360-(0))*40/72)))</f>
        <v>-34.202014332566868</v>
      </c>
      <c r="AO43" s="11">
        <f>0+$C$8*1000*COS(RADIANS((0+(360-(0))*40/72)))</f>
        <v>-65.778483455013586</v>
      </c>
      <c r="AP43" s="11">
        <f>0+$C$8*1000*SIN(RADIANS((0+(360-(0))*40/72)))</f>
        <v>-23.941410032796806</v>
      </c>
      <c r="AQ43" s="11">
        <f>0+$C$14*1000*COS(RADIANS((0+(360-(0))*40/72)))</f>
        <v>-79.873872766802222</v>
      </c>
      <c r="AR43" s="11">
        <f>0+$C$14*1000*SIN(RADIANS((0+(360-(0))*40/72)))</f>
        <v>-29.071712182681836</v>
      </c>
    </row>
    <row r="44" spans="2:46" ht="45.95" customHeight="1" x14ac:dyDescent="0.25">
      <c r="B44" s="30" t="s">
        <v>192</v>
      </c>
      <c r="C44" s="30"/>
      <c r="D44" s="30"/>
      <c r="E44" s="30"/>
      <c r="F44" s="30"/>
      <c r="G44" s="30"/>
      <c r="AM44" s="11">
        <f>0+$C$7*1000*COS(RADIANS((0+(360-(0))*41/72)))</f>
        <v>-90.630778703665001</v>
      </c>
      <c r="AN44" s="11">
        <f>0+$C$7*1000*SIN(RADIANS((0+(360-(0))*41/72)))</f>
        <v>-42.261826174069924</v>
      </c>
      <c r="AO44" s="11">
        <f>0+$C$8*1000*COS(RADIANS((0+(360-(0))*41/72)))</f>
        <v>-63.441545092565505</v>
      </c>
      <c r="AP44" s="11">
        <f>0+$C$8*1000*SIN(RADIANS((0+(360-(0))*41/72)))</f>
        <v>-29.583278321848951</v>
      </c>
      <c r="AQ44" s="11">
        <f>0+$C$14*1000*COS(RADIANS((0+(360-(0))*41/72)))</f>
        <v>-77.036161898115253</v>
      </c>
      <c r="AR44" s="11">
        <f>0+$C$14*1000*SIN(RADIANS((0+(360-(0))*41/72)))</f>
        <v>-35.922552247959437</v>
      </c>
    </row>
    <row r="45" spans="2:46" x14ac:dyDescent="0.25">
      <c r="AM45" s="11">
        <f>0+$C$7*1000*COS(RADIANS((0+(360-(0))*42/72)))</f>
        <v>-86.602540378443862</v>
      </c>
      <c r="AN45" s="11">
        <f>0+$C$7*1000*SIN(RADIANS((0+(360-(0))*42/72)))</f>
        <v>-50.000000000000014</v>
      </c>
      <c r="AO45" s="11">
        <f>0+$C$8*1000*COS(RADIANS((0+(360-(0))*42/72)))</f>
        <v>-60.621778264910702</v>
      </c>
      <c r="AP45" s="11">
        <f>0+$C$8*1000*SIN(RADIANS((0+(360-(0))*42/72)))</f>
        <v>-35.000000000000007</v>
      </c>
      <c r="AQ45" s="11">
        <f>0+$C$14*1000*COS(RADIANS((0+(360-(0))*42/72)))</f>
        <v>-73.612159321677282</v>
      </c>
      <c r="AR45" s="11">
        <f>0+$C$14*1000*SIN(RADIANS((0+(360-(0))*42/72)))</f>
        <v>-42.500000000000007</v>
      </c>
    </row>
    <row r="46" spans="2:46" x14ac:dyDescent="0.25">
      <c r="AM46" s="11">
        <f>0+$C$7*1000*COS(RADIANS((0+(360-(0))*43/72)))</f>
        <v>-81.915204428899173</v>
      </c>
      <c r="AN46" s="11">
        <f>0+$C$7*1000*SIN(RADIANS((0+(360-(0))*43/72)))</f>
        <v>-57.357643635104615</v>
      </c>
      <c r="AO46" s="11">
        <f>0+$C$8*1000*COS(RADIANS((0+(360-(0))*43/72)))</f>
        <v>-57.340643100229428</v>
      </c>
      <c r="AP46" s="11">
        <f>0+$C$8*1000*SIN(RADIANS((0+(360-(0))*43/72)))</f>
        <v>-40.150350544573229</v>
      </c>
      <c r="AQ46" s="11">
        <f>0+$C$14*1000*COS(RADIANS((0+(360-(0))*43/72)))</f>
        <v>-69.627923764564301</v>
      </c>
      <c r="AR46" s="11">
        <f>0+$C$14*1000*SIN(RADIANS((0+(360-(0))*43/72)))</f>
        <v>-48.753997089838926</v>
      </c>
    </row>
    <row r="47" spans="2:46" x14ac:dyDescent="0.25">
      <c r="AM47" s="11">
        <f>0+$C$7*1000*COS(RADIANS((0+(360-(0))*44/72)))</f>
        <v>-76.604444311897808</v>
      </c>
      <c r="AN47" s="11">
        <f>0+$C$7*1000*SIN(RADIANS((0+(360-(0))*44/72)))</f>
        <v>-64.278760968653927</v>
      </c>
      <c r="AO47" s="11">
        <f>0+$C$8*1000*COS(RADIANS((0+(360-(0))*44/72)))</f>
        <v>-53.623111018328458</v>
      </c>
      <c r="AP47" s="11">
        <f>0+$C$8*1000*SIN(RADIANS((0+(360-(0))*44/72)))</f>
        <v>-44.99513267805775</v>
      </c>
      <c r="AQ47" s="11">
        <f>0+$C$14*1000*COS(RADIANS((0+(360-(0))*44/72)))</f>
        <v>-65.113777665113133</v>
      </c>
      <c r="AR47" s="11">
        <f>0+$C$14*1000*SIN(RADIANS((0+(360-(0))*44/72)))</f>
        <v>-54.636946823355835</v>
      </c>
    </row>
    <row r="48" spans="2:46" x14ac:dyDescent="0.25">
      <c r="AM48" s="11">
        <f>0+$C$7*1000*COS(RADIANS((0+(360-(0))*45/72)))</f>
        <v>-70.710678118654769</v>
      </c>
      <c r="AN48" s="11">
        <f>0+$C$7*1000*SIN(RADIANS((0+(360-(0))*45/72)))</f>
        <v>-70.710678118654741</v>
      </c>
      <c r="AO48" s="11">
        <f>0+$C$8*1000*COS(RADIANS((0+(360-(0))*45/72)))</f>
        <v>-49.497474683058336</v>
      </c>
      <c r="AP48" s="11">
        <f>0+$C$8*1000*SIN(RADIANS((0+(360-(0))*45/72)))</f>
        <v>-49.497474683058321</v>
      </c>
      <c r="AQ48" s="11">
        <f>0+$C$14*1000*COS(RADIANS((0+(360-(0))*45/72)))</f>
        <v>-60.104076400856556</v>
      </c>
      <c r="AR48" s="11">
        <f>0+$C$14*1000*SIN(RADIANS((0+(360-(0))*45/72)))</f>
        <v>-60.104076400856535</v>
      </c>
    </row>
    <row r="49" spans="39:44" x14ac:dyDescent="0.25">
      <c r="AM49" s="11">
        <f>0+$C$7*1000*COS(RADIANS((0+(360-(0))*46/72)))</f>
        <v>-64.278760968653941</v>
      </c>
      <c r="AN49" s="11">
        <f>0+$C$7*1000*SIN(RADIANS((0+(360-(0))*46/72)))</f>
        <v>-76.604444311897794</v>
      </c>
      <c r="AO49" s="11">
        <f>0+$C$8*1000*COS(RADIANS((0+(360-(0))*46/72)))</f>
        <v>-44.995132678057765</v>
      </c>
      <c r="AP49" s="11">
        <f>0+$C$8*1000*SIN(RADIANS((0+(360-(0))*46/72)))</f>
        <v>-53.623111018328451</v>
      </c>
      <c r="AQ49" s="11">
        <f>0+$C$14*1000*COS(RADIANS((0+(360-(0))*46/72)))</f>
        <v>-54.636946823355856</v>
      </c>
      <c r="AR49" s="11">
        <f>0+$C$14*1000*SIN(RADIANS((0+(360-(0))*46/72)))</f>
        <v>-65.113777665113119</v>
      </c>
    </row>
    <row r="50" spans="39:44" x14ac:dyDescent="0.25">
      <c r="AM50" s="11">
        <f>0+$C$7*1000*COS(RADIANS((0+(360-(0))*47/72)))</f>
        <v>-57.357643635104637</v>
      </c>
      <c r="AN50" s="11">
        <f>0+$C$7*1000*SIN(RADIANS((0+(360-(0))*47/72)))</f>
        <v>-81.915204428899159</v>
      </c>
      <c r="AO50" s="11">
        <f>0+$C$8*1000*COS(RADIANS((0+(360-(0))*47/72)))</f>
        <v>-40.15035054457325</v>
      </c>
      <c r="AP50" s="11">
        <f>0+$C$8*1000*SIN(RADIANS((0+(360-(0))*47/72)))</f>
        <v>-57.340643100229407</v>
      </c>
      <c r="AQ50" s="11">
        <f>0+$C$14*1000*COS(RADIANS((0+(360-(0))*47/72)))</f>
        <v>-48.75399708983894</v>
      </c>
      <c r="AR50" s="11">
        <f>0+$C$14*1000*SIN(RADIANS((0+(360-(0))*47/72)))</f>
        <v>-69.627923764564287</v>
      </c>
    </row>
    <row r="51" spans="39:44" x14ac:dyDescent="0.25">
      <c r="AM51" s="11">
        <f>0+$C$7*1000*COS(RADIANS((0+(360-(0))*48/72)))</f>
        <v>-50.000000000000043</v>
      </c>
      <c r="AN51" s="11">
        <f>0+$C$7*1000*SIN(RADIANS((0+(360-(0))*48/72)))</f>
        <v>-86.602540378443834</v>
      </c>
      <c r="AO51" s="11">
        <f>0+$C$8*1000*COS(RADIANS((0+(360-(0))*48/72)))</f>
        <v>-35.000000000000028</v>
      </c>
      <c r="AP51" s="11">
        <f>0+$C$8*1000*SIN(RADIANS((0+(360-(0))*48/72)))</f>
        <v>-60.621778264910688</v>
      </c>
      <c r="AQ51" s="11">
        <f>0+$C$14*1000*COS(RADIANS((0+(360-(0))*48/72)))</f>
        <v>-42.500000000000036</v>
      </c>
      <c r="AR51" s="11">
        <f>0+$C$14*1000*SIN(RADIANS((0+(360-(0))*48/72)))</f>
        <v>-73.612159321677268</v>
      </c>
    </row>
    <row r="52" spans="39:44" x14ac:dyDescent="0.25">
      <c r="AM52" s="11">
        <f>0+$C$7*1000*COS(RADIANS((0+(360-(0))*49/72)))</f>
        <v>-42.261826174069917</v>
      </c>
      <c r="AN52" s="11">
        <f>0+$C$7*1000*SIN(RADIANS((0+(360-(0))*49/72)))</f>
        <v>-90.630778703665001</v>
      </c>
      <c r="AO52" s="11">
        <f>0+$C$8*1000*COS(RADIANS((0+(360-(0))*49/72)))</f>
        <v>-29.58327832184894</v>
      </c>
      <c r="AP52" s="11">
        <f>0+$C$8*1000*SIN(RADIANS((0+(360-(0))*49/72)))</f>
        <v>-63.441545092565505</v>
      </c>
      <c r="AQ52" s="11">
        <f>0+$C$14*1000*COS(RADIANS((0+(360-(0))*49/72)))</f>
        <v>-35.92255224795943</v>
      </c>
      <c r="AR52" s="11">
        <f>0+$C$14*1000*SIN(RADIANS((0+(360-(0))*49/72)))</f>
        <v>-77.036161898115253</v>
      </c>
    </row>
    <row r="53" spans="39:44" x14ac:dyDescent="0.25">
      <c r="AM53" s="11">
        <f>0+$C$7*1000*COS(RADIANS((0+(360-(0))*50/72)))</f>
        <v>-34.202014332566854</v>
      </c>
      <c r="AN53" s="11">
        <f>0+$C$7*1000*SIN(RADIANS((0+(360-(0))*50/72)))</f>
        <v>-93.969262078590845</v>
      </c>
      <c r="AO53" s="11">
        <f>0+$C$8*1000*COS(RADIANS((0+(360-(0))*50/72)))</f>
        <v>-23.941410032796799</v>
      </c>
      <c r="AP53" s="11">
        <f>0+$C$8*1000*SIN(RADIANS((0+(360-(0))*50/72)))</f>
        <v>-65.778483455013586</v>
      </c>
      <c r="AQ53" s="11">
        <f>0+$C$14*1000*COS(RADIANS((0+(360-(0))*50/72)))</f>
        <v>-29.071712182681825</v>
      </c>
      <c r="AR53" s="11">
        <f>0+$C$14*1000*SIN(RADIANS((0+(360-(0))*50/72)))</f>
        <v>-79.873872766802222</v>
      </c>
    </row>
    <row r="54" spans="39:44" x14ac:dyDescent="0.25">
      <c r="AM54" s="11">
        <f>0+$C$7*1000*COS(RADIANS((0+(360-(0))*51/72)))</f>
        <v>-25.881904510252063</v>
      </c>
      <c r="AN54" s="11">
        <f>0+$C$7*1000*SIN(RADIANS((0+(360-(0))*51/72)))</f>
        <v>-96.592582628906825</v>
      </c>
      <c r="AO54" s="11">
        <f>0+$C$8*1000*COS(RADIANS((0+(360-(0))*51/72)))</f>
        <v>-18.117333157176443</v>
      </c>
      <c r="AP54" s="11">
        <f>0+$C$8*1000*SIN(RADIANS((0+(360-(0))*51/72)))</f>
        <v>-67.614807840234775</v>
      </c>
      <c r="AQ54" s="11">
        <f>0+$C$14*1000*COS(RADIANS((0+(360-(0))*51/72)))</f>
        <v>-21.999618833714255</v>
      </c>
      <c r="AR54" s="11">
        <f>0+$C$14*1000*SIN(RADIANS((0+(360-(0))*51/72)))</f>
        <v>-82.103695234570807</v>
      </c>
    </row>
    <row r="55" spans="39:44" x14ac:dyDescent="0.25">
      <c r="AM55" s="11">
        <f>0+$C$7*1000*COS(RADIANS((0+(360-(0))*52/72)))</f>
        <v>-17.364817766693033</v>
      </c>
      <c r="AN55" s="11">
        <f>0+$C$7*1000*SIN(RADIANS((0+(360-(0))*52/72)))</f>
        <v>-98.480775301220802</v>
      </c>
      <c r="AO55" s="11">
        <f>0+$C$8*1000*COS(RADIANS((0+(360-(0))*52/72)))</f>
        <v>-12.155372436685123</v>
      </c>
      <c r="AP55" s="11">
        <f>0+$C$8*1000*SIN(RADIANS((0+(360-(0))*52/72)))</f>
        <v>-68.936542710854567</v>
      </c>
      <c r="AQ55" s="11">
        <f>0+$C$14*1000*COS(RADIANS((0+(360-(0))*52/72)))</f>
        <v>-14.760095101689078</v>
      </c>
      <c r="AR55" s="11">
        <f>0+$C$14*1000*SIN(RADIANS((0+(360-(0))*52/72)))</f>
        <v>-83.708659006037678</v>
      </c>
    </row>
    <row r="56" spans="39:44" x14ac:dyDescent="0.25">
      <c r="AM56" s="11">
        <f>0+$C$7*1000*COS(RADIANS((0+(360-(0))*53/72)))</f>
        <v>-8.7155742747658245</v>
      </c>
      <c r="AN56" s="11">
        <f>0+$C$7*1000*SIN(RADIANS((0+(360-(0))*53/72)))</f>
        <v>-99.619469809174561</v>
      </c>
      <c r="AO56" s="11">
        <f>0+$C$8*1000*COS(RADIANS((0+(360-(0))*53/72)))</f>
        <v>-6.1009019923360777</v>
      </c>
      <c r="AP56" s="11">
        <f>0+$C$8*1000*SIN(RADIANS((0+(360-(0))*53/72)))</f>
        <v>-69.733628866422194</v>
      </c>
      <c r="AQ56" s="11">
        <f>0+$C$14*1000*COS(RADIANS((0+(360-(0))*53/72)))</f>
        <v>-7.4082381335509515</v>
      </c>
      <c r="AR56" s="11">
        <f>0+$C$14*1000*SIN(RADIANS((0+(360-(0))*53/72)))</f>
        <v>-84.676549337798377</v>
      </c>
    </row>
    <row r="57" spans="39:44" x14ac:dyDescent="0.25">
      <c r="AM57" s="11">
        <f>0+$C$7*1000*COS(RADIANS((0+(360-(0))*54/72)))</f>
        <v>-1.83772268236293E-14</v>
      </c>
      <c r="AN57" s="11">
        <f>0+$C$7*1000*SIN(RADIANS((0+(360-(0))*54/72)))</f>
        <v>-100</v>
      </c>
      <c r="AO57" s="11">
        <f>0+$C$8*1000*COS(RADIANS((0+(360-(0))*54/72)))</f>
        <v>-1.286405877654051E-14</v>
      </c>
      <c r="AP57" s="11">
        <f>0+$C$8*1000*SIN(RADIANS((0+(360-(0))*54/72)))</f>
        <v>-70</v>
      </c>
      <c r="AQ57" s="11">
        <f>0+$C$14*1000*COS(RADIANS((0+(360-(0))*54/72)))</f>
        <v>-1.5620642800084905E-14</v>
      </c>
      <c r="AR57" s="11">
        <f>0+$C$14*1000*SIN(RADIANS((0+(360-(0))*54/72)))</f>
        <v>-85</v>
      </c>
    </row>
    <row r="58" spans="39:44" x14ac:dyDescent="0.25">
      <c r="AM58" s="11">
        <f>0+$C$7*1000*COS(RADIANS((0+(360-(0))*55/72)))</f>
        <v>8.7155742747657889</v>
      </c>
      <c r="AN58" s="11">
        <f>0+$C$7*1000*SIN(RADIANS((0+(360-(0))*55/72)))</f>
        <v>-99.619469809174561</v>
      </c>
      <c r="AO58" s="11">
        <f>0+$C$8*1000*COS(RADIANS((0+(360-(0))*55/72)))</f>
        <v>6.1009019923360519</v>
      </c>
      <c r="AP58" s="11">
        <f>0+$C$8*1000*SIN(RADIANS((0+(360-(0))*55/72)))</f>
        <v>-69.733628866422194</v>
      </c>
      <c r="AQ58" s="11">
        <f>0+$C$14*1000*COS(RADIANS((0+(360-(0))*55/72)))</f>
        <v>7.4082381335509204</v>
      </c>
      <c r="AR58" s="11">
        <f>0+$C$14*1000*SIN(RADIANS((0+(360-(0))*55/72)))</f>
        <v>-84.676549337798377</v>
      </c>
    </row>
    <row r="59" spans="39:44" x14ac:dyDescent="0.25">
      <c r="AM59" s="11">
        <f>0+$C$7*1000*COS(RADIANS((0+(360-(0))*56/72)))</f>
        <v>17.364817766692997</v>
      </c>
      <c r="AN59" s="11">
        <f>0+$C$7*1000*SIN(RADIANS((0+(360-(0))*56/72)))</f>
        <v>-98.480775301220817</v>
      </c>
      <c r="AO59" s="11">
        <f>0+$C$8*1000*COS(RADIANS((0+(360-(0))*56/72)))</f>
        <v>12.155372436685099</v>
      </c>
      <c r="AP59" s="11">
        <f>0+$C$8*1000*SIN(RADIANS((0+(360-(0))*56/72)))</f>
        <v>-68.936542710854567</v>
      </c>
      <c r="AQ59" s="11">
        <f>0+$C$14*1000*COS(RADIANS((0+(360-(0))*56/72)))</f>
        <v>14.760095101689048</v>
      </c>
      <c r="AR59" s="11">
        <f>0+$C$14*1000*SIN(RADIANS((0+(360-(0))*56/72)))</f>
        <v>-83.708659006037692</v>
      </c>
    </row>
    <row r="60" spans="39:44" x14ac:dyDescent="0.25">
      <c r="AM60" s="11">
        <f>0+$C$7*1000*COS(RADIANS((0+(360-(0))*57/72)))</f>
        <v>25.881904510252028</v>
      </c>
      <c r="AN60" s="11">
        <f>0+$C$7*1000*SIN(RADIANS((0+(360-(0))*57/72)))</f>
        <v>-96.59258262890684</v>
      </c>
      <c r="AO60" s="11">
        <f>0+$C$8*1000*COS(RADIANS((0+(360-(0))*57/72)))</f>
        <v>18.117333157176422</v>
      </c>
      <c r="AP60" s="11">
        <f>0+$C$8*1000*SIN(RADIANS((0+(360-(0))*57/72)))</f>
        <v>-67.614807840234789</v>
      </c>
      <c r="AQ60" s="11">
        <f>0+$C$14*1000*COS(RADIANS((0+(360-(0))*57/72)))</f>
        <v>21.999618833714226</v>
      </c>
      <c r="AR60" s="11">
        <f>0+$C$14*1000*SIN(RADIANS((0+(360-(0))*57/72)))</f>
        <v>-82.103695234570822</v>
      </c>
    </row>
    <row r="61" spans="39:44" x14ac:dyDescent="0.25">
      <c r="AM61" s="11">
        <f>0+$C$7*1000*COS(RADIANS((0+(360-(0))*58/72)))</f>
        <v>34.202014332566897</v>
      </c>
      <c r="AN61" s="11">
        <f>0+$C$7*1000*SIN(RADIANS((0+(360-(0))*58/72)))</f>
        <v>-93.96926207859083</v>
      </c>
      <c r="AO61" s="11">
        <f>0+$C$8*1000*COS(RADIANS((0+(360-(0))*58/72)))</f>
        <v>23.941410032796828</v>
      </c>
      <c r="AP61" s="11">
        <f>0+$C$8*1000*SIN(RADIANS((0+(360-(0))*58/72)))</f>
        <v>-65.778483455013586</v>
      </c>
      <c r="AQ61" s="11">
        <f>0+$C$14*1000*COS(RADIANS((0+(360-(0))*58/72)))</f>
        <v>29.071712182681864</v>
      </c>
      <c r="AR61" s="11">
        <f>0+$C$14*1000*SIN(RADIANS((0+(360-(0))*58/72)))</f>
        <v>-79.873872766802208</v>
      </c>
    </row>
    <row r="62" spans="39:44" x14ac:dyDescent="0.25">
      <c r="AM62" s="11">
        <f>0+$C$7*1000*COS(RADIANS((0+(360-(0))*59/72)))</f>
        <v>42.261826174069959</v>
      </c>
      <c r="AN62" s="11">
        <f>0+$C$7*1000*SIN(RADIANS((0+(360-(0))*59/72)))</f>
        <v>-90.630778703664987</v>
      </c>
      <c r="AO62" s="11">
        <f>0+$C$8*1000*COS(RADIANS((0+(360-(0))*59/72)))</f>
        <v>29.583278321848972</v>
      </c>
      <c r="AP62" s="11">
        <f>0+$C$8*1000*SIN(RADIANS((0+(360-(0))*59/72)))</f>
        <v>-63.441545092565498</v>
      </c>
      <c r="AQ62" s="11">
        <f>0+$C$14*1000*COS(RADIANS((0+(360-(0))*59/72)))</f>
        <v>35.922552247959466</v>
      </c>
      <c r="AR62" s="11">
        <f>0+$C$14*1000*SIN(RADIANS((0+(360-(0))*59/72)))</f>
        <v>-77.036161898115239</v>
      </c>
    </row>
    <row r="63" spans="39:44" x14ac:dyDescent="0.25">
      <c r="AM63" s="11">
        <f>0+$C$7*1000*COS(RADIANS((0+(360-(0))*60/72)))</f>
        <v>50.000000000000014</v>
      </c>
      <c r="AN63" s="11">
        <f>0+$C$7*1000*SIN(RADIANS((0+(360-(0))*60/72)))</f>
        <v>-86.602540378443862</v>
      </c>
      <c r="AO63" s="11">
        <f>0+$C$8*1000*COS(RADIANS((0+(360-(0))*60/72)))</f>
        <v>35.000000000000007</v>
      </c>
      <c r="AP63" s="11">
        <f>0+$C$8*1000*SIN(RADIANS((0+(360-(0))*60/72)))</f>
        <v>-60.621778264910702</v>
      </c>
      <c r="AQ63" s="11">
        <f>0+$C$14*1000*COS(RADIANS((0+(360-(0))*60/72)))</f>
        <v>42.500000000000007</v>
      </c>
      <c r="AR63" s="11">
        <f>0+$C$14*1000*SIN(RADIANS((0+(360-(0))*60/72)))</f>
        <v>-73.612159321677282</v>
      </c>
    </row>
    <row r="64" spans="39:44" x14ac:dyDescent="0.25">
      <c r="AM64" s="11">
        <f>0+$C$7*1000*COS(RADIANS((0+(360-(0))*61/72)))</f>
        <v>57.357643635104608</v>
      </c>
      <c r="AN64" s="11">
        <f>0+$C$7*1000*SIN(RADIANS((0+(360-(0))*61/72)))</f>
        <v>-81.915204428899173</v>
      </c>
      <c r="AO64" s="11">
        <f>0+$C$8*1000*COS(RADIANS((0+(360-(0))*61/72)))</f>
        <v>40.150350544573222</v>
      </c>
      <c r="AP64" s="11">
        <f>0+$C$8*1000*SIN(RADIANS((0+(360-(0))*61/72)))</f>
        <v>-57.340643100229428</v>
      </c>
      <c r="AQ64" s="11">
        <f>0+$C$14*1000*COS(RADIANS((0+(360-(0))*61/72)))</f>
        <v>48.753997089838911</v>
      </c>
      <c r="AR64" s="11">
        <f>0+$C$14*1000*SIN(RADIANS((0+(360-(0))*61/72)))</f>
        <v>-69.627923764564301</v>
      </c>
    </row>
    <row r="65" spans="39:44" x14ac:dyDescent="0.25">
      <c r="AM65" s="11">
        <f>0+$C$7*1000*COS(RADIANS((0+(360-(0))*62/72)))</f>
        <v>64.278760968653927</v>
      </c>
      <c r="AN65" s="11">
        <f>0+$C$7*1000*SIN(RADIANS((0+(360-(0))*62/72)))</f>
        <v>-76.604444311897808</v>
      </c>
      <c r="AO65" s="11">
        <f>0+$C$8*1000*COS(RADIANS((0+(360-(0))*62/72)))</f>
        <v>44.99513267805775</v>
      </c>
      <c r="AP65" s="11">
        <f>0+$C$8*1000*SIN(RADIANS((0+(360-(0))*62/72)))</f>
        <v>-53.623111018328466</v>
      </c>
      <c r="AQ65" s="11">
        <f>0+$C$14*1000*COS(RADIANS((0+(360-(0))*62/72)))</f>
        <v>54.636946823355835</v>
      </c>
      <c r="AR65" s="11">
        <f>0+$C$14*1000*SIN(RADIANS((0+(360-(0))*62/72)))</f>
        <v>-65.113777665113147</v>
      </c>
    </row>
    <row r="66" spans="39:44" x14ac:dyDescent="0.25">
      <c r="AM66" s="11">
        <f>0+$C$7*1000*COS(RADIANS((0+(360-(0))*63/72)))</f>
        <v>70.710678118654741</v>
      </c>
      <c r="AN66" s="11">
        <f>0+$C$7*1000*SIN(RADIANS((0+(360-(0))*63/72)))</f>
        <v>-70.710678118654769</v>
      </c>
      <c r="AO66" s="11">
        <f>0+$C$8*1000*COS(RADIANS((0+(360-(0))*63/72)))</f>
        <v>49.497474683058314</v>
      </c>
      <c r="AP66" s="11">
        <f>0+$C$8*1000*SIN(RADIANS((0+(360-(0))*63/72)))</f>
        <v>-49.497474683058336</v>
      </c>
      <c r="AQ66" s="11">
        <f>0+$C$14*1000*COS(RADIANS((0+(360-(0))*63/72)))</f>
        <v>60.104076400856528</v>
      </c>
      <c r="AR66" s="11">
        <f>0+$C$14*1000*SIN(RADIANS((0+(360-(0))*63/72)))</f>
        <v>-60.104076400856556</v>
      </c>
    </row>
    <row r="67" spans="39:44" x14ac:dyDescent="0.25">
      <c r="AM67" s="11">
        <f>0+$C$7*1000*COS(RADIANS((0+(360-(0))*64/72)))</f>
        <v>76.60444431189778</v>
      </c>
      <c r="AN67" s="11">
        <f>0+$C$7*1000*SIN(RADIANS((0+(360-(0))*64/72)))</f>
        <v>-64.278760968653955</v>
      </c>
      <c r="AO67" s="11">
        <f>0+$C$8*1000*COS(RADIANS((0+(360-(0))*64/72)))</f>
        <v>53.623111018328444</v>
      </c>
      <c r="AP67" s="11">
        <f>0+$C$8*1000*SIN(RADIANS((0+(360-(0))*64/72)))</f>
        <v>-44.995132678057772</v>
      </c>
      <c r="AQ67" s="11">
        <f>0+$C$14*1000*COS(RADIANS((0+(360-(0))*64/72)))</f>
        <v>65.113777665113119</v>
      </c>
      <c r="AR67" s="11">
        <f>0+$C$14*1000*SIN(RADIANS((0+(360-(0))*64/72)))</f>
        <v>-54.636946823355864</v>
      </c>
    </row>
    <row r="68" spans="39:44" x14ac:dyDescent="0.25">
      <c r="AM68" s="11">
        <f>0+$C$7*1000*COS(RADIANS((0+(360-(0))*65/72)))</f>
        <v>81.915204428899159</v>
      </c>
      <c r="AN68" s="11">
        <f>0+$C$7*1000*SIN(RADIANS((0+(360-(0))*65/72)))</f>
        <v>-57.357643635104651</v>
      </c>
      <c r="AO68" s="11">
        <f>0+$C$8*1000*COS(RADIANS((0+(360-(0))*65/72)))</f>
        <v>57.340643100229407</v>
      </c>
      <c r="AP68" s="11">
        <f>0+$C$8*1000*SIN(RADIANS((0+(360-(0))*65/72)))</f>
        <v>-40.150350544573257</v>
      </c>
      <c r="AQ68" s="11">
        <f>0+$C$14*1000*COS(RADIANS((0+(360-(0))*65/72)))</f>
        <v>69.627923764564287</v>
      </c>
      <c r="AR68" s="11">
        <f>0+$C$14*1000*SIN(RADIANS((0+(360-(0))*65/72)))</f>
        <v>-48.753997089838954</v>
      </c>
    </row>
    <row r="69" spans="39:44" x14ac:dyDescent="0.25">
      <c r="AM69" s="11">
        <f>0+$C$7*1000*COS(RADIANS((0+(360-(0))*66/72)))</f>
        <v>86.602540378443834</v>
      </c>
      <c r="AN69" s="11">
        <f>0+$C$7*1000*SIN(RADIANS((0+(360-(0))*66/72)))</f>
        <v>-50.000000000000043</v>
      </c>
      <c r="AO69" s="11">
        <f>0+$C$8*1000*COS(RADIANS((0+(360-(0))*66/72)))</f>
        <v>60.621778264910688</v>
      </c>
      <c r="AP69" s="11">
        <f>0+$C$8*1000*SIN(RADIANS((0+(360-(0))*66/72)))</f>
        <v>-35.000000000000028</v>
      </c>
      <c r="AQ69" s="11">
        <f>0+$C$14*1000*COS(RADIANS((0+(360-(0))*66/72)))</f>
        <v>73.612159321677268</v>
      </c>
      <c r="AR69" s="11">
        <f>0+$C$14*1000*SIN(RADIANS((0+(360-(0))*66/72)))</f>
        <v>-42.500000000000036</v>
      </c>
    </row>
    <row r="70" spans="39:44" x14ac:dyDescent="0.25">
      <c r="AM70" s="11">
        <f>0+$C$7*1000*COS(RADIANS((0+(360-(0))*67/72)))</f>
        <v>90.630778703665001</v>
      </c>
      <c r="AN70" s="11">
        <f>0+$C$7*1000*SIN(RADIANS((0+(360-(0))*67/72)))</f>
        <v>-42.261826174069924</v>
      </c>
      <c r="AO70" s="11">
        <f>0+$C$8*1000*COS(RADIANS((0+(360-(0))*67/72)))</f>
        <v>63.441545092565505</v>
      </c>
      <c r="AP70" s="11">
        <f>0+$C$8*1000*SIN(RADIANS((0+(360-(0))*67/72)))</f>
        <v>-29.583278321848944</v>
      </c>
      <c r="AQ70" s="11">
        <f>0+$C$14*1000*COS(RADIANS((0+(360-(0))*67/72)))</f>
        <v>77.036161898115253</v>
      </c>
      <c r="AR70" s="11">
        <f>0+$C$14*1000*SIN(RADIANS((0+(360-(0))*67/72)))</f>
        <v>-35.92255224795943</v>
      </c>
    </row>
    <row r="71" spans="39:44" x14ac:dyDescent="0.25">
      <c r="AM71" s="11">
        <f>0+$C$7*1000*COS(RADIANS((0+(360-(0))*68/72)))</f>
        <v>93.969262078590845</v>
      </c>
      <c r="AN71" s="11">
        <f>0+$C$7*1000*SIN(RADIANS((0+(360-(0))*68/72)))</f>
        <v>-34.202014332566861</v>
      </c>
      <c r="AO71" s="11">
        <f>0+$C$8*1000*COS(RADIANS((0+(360-(0))*68/72)))</f>
        <v>65.778483455013586</v>
      </c>
      <c r="AP71" s="11">
        <f>0+$C$8*1000*SIN(RADIANS((0+(360-(0))*68/72)))</f>
        <v>-23.941410032796803</v>
      </c>
      <c r="AQ71" s="11">
        <f>0+$C$14*1000*COS(RADIANS((0+(360-(0))*68/72)))</f>
        <v>79.873872766802222</v>
      </c>
      <c r="AR71" s="11">
        <f>0+$C$14*1000*SIN(RADIANS((0+(360-(0))*68/72)))</f>
        <v>-29.071712182681832</v>
      </c>
    </row>
    <row r="72" spans="39:44" x14ac:dyDescent="0.25">
      <c r="AM72" s="11">
        <f>0+$C$7*1000*COS(RADIANS((0+(360-(0))*69/72)))</f>
        <v>96.592582628906825</v>
      </c>
      <c r="AN72" s="11">
        <f>0+$C$7*1000*SIN(RADIANS((0+(360-(0))*69/72)))</f>
        <v>-25.881904510252067</v>
      </c>
      <c r="AO72" s="11">
        <f>0+$C$8*1000*COS(RADIANS((0+(360-(0))*69/72)))</f>
        <v>67.614807840234775</v>
      </c>
      <c r="AP72" s="11">
        <f>0+$C$8*1000*SIN(RADIANS((0+(360-(0))*69/72)))</f>
        <v>-18.117333157176446</v>
      </c>
      <c r="AQ72" s="11">
        <f>0+$C$14*1000*COS(RADIANS((0+(360-(0))*69/72)))</f>
        <v>82.103695234570807</v>
      </c>
      <c r="AR72" s="11">
        <f>0+$C$14*1000*SIN(RADIANS((0+(360-(0))*69/72)))</f>
        <v>-21.999618833714258</v>
      </c>
    </row>
    <row r="73" spans="39:44" x14ac:dyDescent="0.25">
      <c r="AM73" s="11">
        <f>0+$C$7*1000*COS(RADIANS((0+(360-(0))*70/72)))</f>
        <v>98.480775301220802</v>
      </c>
      <c r="AN73" s="11">
        <f>0+$C$7*1000*SIN(RADIANS((0+(360-(0))*70/72)))</f>
        <v>-17.36481776669304</v>
      </c>
      <c r="AO73" s="11">
        <f>0+$C$8*1000*COS(RADIANS((0+(360-(0))*70/72)))</f>
        <v>68.936542710854567</v>
      </c>
      <c r="AP73" s="11">
        <f>0+$C$8*1000*SIN(RADIANS((0+(360-(0))*70/72)))</f>
        <v>-12.155372436685127</v>
      </c>
      <c r="AQ73" s="11">
        <f>0+$C$14*1000*COS(RADIANS((0+(360-(0))*70/72)))</f>
        <v>83.708659006037678</v>
      </c>
      <c r="AR73" s="11">
        <f>0+$C$14*1000*SIN(RADIANS((0+(360-(0))*70/72)))</f>
        <v>-14.760095101689084</v>
      </c>
    </row>
    <row r="74" spans="39:44" x14ac:dyDescent="0.25">
      <c r="AM74" s="11">
        <f>0+$C$7*1000*COS(RADIANS((0+(360-(0))*71/72)))</f>
        <v>99.619469809174561</v>
      </c>
      <c r="AN74" s="11">
        <f>0+$C$7*1000*SIN(RADIANS((0+(360-(0))*71/72)))</f>
        <v>-8.7155742747658316</v>
      </c>
      <c r="AO74" s="11">
        <f>0+$C$8*1000*COS(RADIANS((0+(360-(0))*71/72)))</f>
        <v>69.733628866422194</v>
      </c>
      <c r="AP74" s="11">
        <f>0+$C$8*1000*SIN(RADIANS((0+(360-(0))*71/72)))</f>
        <v>-6.1009019923360821</v>
      </c>
      <c r="AQ74" s="11">
        <f>0+$C$14*1000*COS(RADIANS((0+(360-(0))*71/72)))</f>
        <v>84.676549337798377</v>
      </c>
      <c r="AR74" s="11">
        <f>0+$C$14*1000*SIN(RADIANS((0+(360-(0))*71/72)))</f>
        <v>-7.4082381335509568</v>
      </c>
    </row>
    <row r="75" spans="39:44" x14ac:dyDescent="0.25">
      <c r="AM75" s="11">
        <f>0+$C$7*1000*COS(RADIANS((0+(360-(0))*72/72)))</f>
        <v>100</v>
      </c>
      <c r="AN75" s="11">
        <f>0+$C$7*1000*SIN(RADIANS((0+(360-(0))*72/72)))</f>
        <v>-2.45029690981724E-14</v>
      </c>
      <c r="AO75" s="11">
        <f>0+$C$8*1000*COS(RADIANS((0+(360-(0))*72/72)))</f>
        <v>70</v>
      </c>
      <c r="AP75" s="11">
        <f>0+$C$8*1000*SIN(RADIANS((0+(360-(0))*72/72)))</f>
        <v>-1.715207836872068E-14</v>
      </c>
      <c r="AQ75" s="11">
        <f>0+$C$14*1000*COS(RADIANS((0+(360-(0))*72/72)))</f>
        <v>85</v>
      </c>
      <c r="AR75" s="11">
        <f>0+$C$14*1000*SIN(RADIANS((0+(360-(0))*72/72)))</f>
        <v>-2.082752373344654E-14</v>
      </c>
    </row>
  </sheetData>
  <sheetProtection sheet="1" scenarios="1"/>
  <mergeCells count="15">
    <mergeCell ref="B41:G41"/>
    <mergeCell ref="B42:G42"/>
    <mergeCell ref="B43:G43"/>
    <mergeCell ref="B44:G44"/>
    <mergeCell ref="B21:G21"/>
    <mergeCell ref="B23:G23"/>
    <mergeCell ref="B30:G30"/>
    <mergeCell ref="B37:G37"/>
    <mergeCell ref="S39:Y40"/>
    <mergeCell ref="B40:G40"/>
    <mergeCell ref="A1:Y1"/>
    <mergeCell ref="A2:Y2"/>
    <mergeCell ref="B4:G4"/>
    <mergeCell ref="B13:G13"/>
    <mergeCell ref="B20:G20"/>
  </mergeCells>
  <dataValidations count="4">
    <dataValidation type="decimal" allowBlank="1" showInputMessage="1" showErrorMessage="1" errorTitle="Valor fuera de rango" error="Escriba un valor entre 2000 y 8000." promptTitle="Rango" prompt="De 2000 a 8000 N" sqref="C5" xr:uid="{00000000-0002-0000-0200-000000000000}">
      <formula1>2000</formula1>
      <formula2>8000</formula2>
    </dataValidation>
    <dataValidation type="decimal" allowBlank="1" showInputMessage="1" showErrorMessage="1" errorTitle="Valor fuera de rango" error="Escriba un valor entre 0.15 y 0.45." promptTitle="Rango" prompt="De 0.15 a 0.45 " sqref="C6" xr:uid="{00000000-0002-0000-0200-000001000000}">
      <formula1>0.15</formula1>
      <formula2>0.45</formula2>
    </dataValidation>
    <dataValidation type="decimal" allowBlank="1" showInputMessage="1" showErrorMessage="1" errorTitle="Valor fuera de rango" error="Escriba un valor entre 0 y 3." promptTitle="Rango" prompt="De 0 a 3 mm" sqref="C12" xr:uid="{00000000-0002-0000-0200-000002000000}">
      <formula1>0</formula1>
      <formula2>3</formula2>
    </dataValidation>
    <dataValidation type="decimal" allowBlank="1" showInputMessage="1" showErrorMessage="1" errorTitle="Valor fuera de rango" error="Escriba un valor entre 0 y 100." promptTitle="Rango" prompt="De 0 a 100 %" sqref="C29" xr:uid="{00000000-0002-0000-0200-000003000000}">
      <formula1>0</formula1>
      <formula2>100</formula2>
    </dataValidation>
  </dataValidations>
  <hyperlinks>
    <hyperlink ref="B3" location="'Inicio'!A1" display="◄ Volver al inicio" xr:uid="{00000000-0004-0000-0200-000000000000}"/>
  </hyperlinks>
  <pageMargins left="0.4" right="0.4" top="0.5" bottom="0.5" header="0.3" footer="0.3"/>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Z75"/>
  <sheetViews>
    <sheetView showGridLines="0" workbookViewId="0">
      <selection sqref="A1:Y1"/>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66" ht="30" customHeight="1" x14ac:dyDescent="0.25">
      <c r="A1" s="24" t="s">
        <v>193</v>
      </c>
      <c r="B1" s="24"/>
      <c r="C1" s="24"/>
      <c r="D1" s="24"/>
      <c r="E1" s="24"/>
      <c r="F1" s="24"/>
      <c r="G1" s="24"/>
      <c r="H1" s="24"/>
      <c r="I1" s="24"/>
      <c r="J1" s="24"/>
      <c r="K1" s="24"/>
      <c r="L1" s="24"/>
      <c r="M1" s="24"/>
      <c r="N1" s="24"/>
      <c r="O1" s="24"/>
      <c r="P1" s="24"/>
      <c r="Q1" s="24"/>
      <c r="R1" s="24"/>
      <c r="S1" s="24"/>
      <c r="T1" s="24"/>
      <c r="U1" s="24"/>
      <c r="V1" s="24"/>
      <c r="W1" s="24"/>
      <c r="X1" s="24"/>
      <c r="Y1" s="24"/>
      <c r="AA1" s="12" t="s">
        <v>56</v>
      </c>
      <c r="BG1" s="11" t="str">
        <f>"Entrada "&amp;FIXED($C$9,0)&amp;"° · intermedio "&amp;FIXED(MOD(AI3,360),1)&amp;"° · salida "&amp;FIXED(MOD(AK3,360),1)&amp;"°"</f>
        <v>Entrada 30° · intermedio 30.4° · salida 30.0°</v>
      </c>
    </row>
    <row r="2" spans="1:66" x14ac:dyDescent="0.25">
      <c r="A2" s="25" t="s">
        <v>194</v>
      </c>
      <c r="B2" s="25"/>
      <c r="C2" s="25"/>
      <c r="D2" s="25"/>
      <c r="E2" s="25"/>
      <c r="F2" s="25"/>
      <c r="G2" s="25"/>
      <c r="H2" s="25"/>
      <c r="I2" s="25"/>
      <c r="J2" s="25"/>
      <c r="K2" s="25"/>
      <c r="L2" s="25"/>
      <c r="M2" s="25"/>
      <c r="N2" s="25"/>
      <c r="O2" s="25"/>
      <c r="P2" s="25"/>
      <c r="Q2" s="25"/>
      <c r="R2" s="25"/>
      <c r="S2" s="25"/>
      <c r="T2" s="25"/>
      <c r="U2" s="25"/>
      <c r="V2" s="25"/>
      <c r="W2" s="25"/>
      <c r="X2" s="25"/>
      <c r="Y2" s="25"/>
      <c r="AA2" s="13" t="s">
        <v>221</v>
      </c>
      <c r="AB2" s="13" t="s">
        <v>222</v>
      </c>
      <c r="AC2" s="13" t="s">
        <v>223</v>
      </c>
      <c r="AD2" s="13" t="s">
        <v>224</v>
      </c>
      <c r="AE2" s="13" t="s">
        <v>225</v>
      </c>
      <c r="BI2" s="13" t="s">
        <v>226</v>
      </c>
      <c r="BJ2" s="13" t="s">
        <v>227</v>
      </c>
      <c r="BK2" s="13" t="s">
        <v>228</v>
      </c>
    </row>
    <row r="3" spans="1:66" x14ac:dyDescent="0.25">
      <c r="B3" s="8" t="s">
        <v>55</v>
      </c>
      <c r="AA3" s="11">
        <f>0</f>
        <v>0</v>
      </c>
      <c r="AB3" s="11">
        <f t="shared" ref="AB3:AB34" si="0">COS(RADIANS($C$6))/(1-SIN(RADIANS($C$6))^2*COS(RADIANS(AA3))^2)</f>
        <v>1.0154266118857449</v>
      </c>
      <c r="AC3" s="11">
        <f t="shared" ref="AC3:AC34" si="1">DEGREES(ATAN2(COS(RADIANS(AA3))*COS(RADIANS($C$6)),SIN(RADIANS(AA3))))</f>
        <v>0</v>
      </c>
      <c r="AD3" s="11">
        <f t="shared" ref="AD3:AD34" si="2">COS(RADIANS($C$7))/(1-SIN(RADIANS($C$7))^2*SIN(RADIANS(AC3+$C$8))^2)</f>
        <v>0.98480775301220802</v>
      </c>
      <c r="AE3" s="11">
        <f t="shared" ref="AE3:AE34" si="3">AB3*AD3</f>
        <v>0.99999999999999989</v>
      </c>
      <c r="AG3" s="11">
        <f>$C$9</f>
        <v>30</v>
      </c>
      <c r="AH3" s="11">
        <f>COS(RADIANS($C$6))/(1-SIN(RADIANS($C$6))^2*COS(RADIANS($C$9))^2)</f>
        <v>1.0075947781548287</v>
      </c>
      <c r="AI3" s="11">
        <f>DEGREES(ATAN2(COS(RADIANS($C$9))*COS(RADIANS($C$6)),SIN(RADIANS($C$9))))</f>
        <v>30.381255142470486</v>
      </c>
      <c r="AJ3" s="11">
        <f>AH3*COS(RADIANS($C$7))/(1-SIN(RADIANS($C$7))^2*SIN(RADIANS(AI3+$C$8))^2)</f>
        <v>1</v>
      </c>
      <c r="AK3" s="11">
        <f>DEGREES(ATAN2(COS(RADIANS(AI3+$C$8)),COS(RADIANS($C$7))*SIN(RADIANS(AI3+$C$8))))-$C$8</f>
        <v>29.999999999999996</v>
      </c>
      <c r="AM3" s="11">
        <f>AG3</f>
        <v>30</v>
      </c>
      <c r="AN3" s="11">
        <f>AH3</f>
        <v>1.0075947781548287</v>
      </c>
      <c r="AO3" s="11">
        <f>AG3</f>
        <v>30</v>
      </c>
      <c r="AP3" s="11">
        <f>AJ3</f>
        <v>1</v>
      </c>
      <c r="AQ3" s="11">
        <v>-3.5</v>
      </c>
      <c r="AR3" s="11">
        <v>0</v>
      </c>
      <c r="AS3" s="11">
        <v>0</v>
      </c>
      <c r="AT3" s="11">
        <v>0</v>
      </c>
      <c r="AU3" s="11">
        <f>-2.2+0.9*COS(RADIANS((0+(360-(0))*0/36)))</f>
        <v>-1.3000000000000003</v>
      </c>
      <c r="AV3" s="11">
        <f>3.3+0.9*SIN(RADIANS((0+(360-(0))*0/36)))</f>
        <v>3.3</v>
      </c>
      <c r="AW3" s="11">
        <v>-2.2000000000000002</v>
      </c>
      <c r="AX3" s="11">
        <v>3.3</v>
      </c>
      <c r="AY3" s="11">
        <f>1.8+0.9*COS(RADIANS((0+(360-(0))*0/36)))</f>
        <v>2.7</v>
      </c>
      <c r="AZ3" s="11">
        <f>3.3+0.9*SIN(RADIANS((0+(360-(0))*0/36)))</f>
        <v>3.3</v>
      </c>
      <c r="BA3" s="11">
        <v>1.8</v>
      </c>
      <c r="BB3" s="11">
        <v>3.3</v>
      </c>
      <c r="BC3" s="11">
        <f>5.8+0.9*COS(RADIANS((0+(360-(0))*0/36)))</f>
        <v>6.7</v>
      </c>
      <c r="BD3" s="11">
        <f>3.3+0.9*SIN(RADIANS((0+(360-(0))*0/36)))</f>
        <v>3.3</v>
      </c>
      <c r="BE3" s="11">
        <v>5.8</v>
      </c>
      <c r="BF3" s="11">
        <v>3.3</v>
      </c>
      <c r="BI3" s="11">
        <f>0.6</f>
        <v>0.6</v>
      </c>
      <c r="BJ3" s="11">
        <f t="shared" ref="BJ3:BJ19" si="4">(PI()/(BI3))^2*SQRT($C$24*1000000*(PI()/64*(($C$22/1000)^4-(($C$22-2*$C$23)/1000)^4))/($C$25*(PI()/4*(($C$22/1000)^2-(($C$22-2*$C$23)/1000)^2))))*60/(2*PI())</f>
        <v>34961.032006324931</v>
      </c>
      <c r="BK3" s="11">
        <f t="shared" ref="BK3:BK19" si="5">$C$26</f>
        <v>5000</v>
      </c>
      <c r="BM3" s="11">
        <f>$C$21</f>
        <v>1.4</v>
      </c>
      <c r="BN3" s="11">
        <f>$C$28</f>
        <v>6421.4140419780479</v>
      </c>
    </row>
    <row r="4" spans="1:66" x14ac:dyDescent="0.25">
      <c r="B4" s="28" t="s">
        <v>195</v>
      </c>
      <c r="C4" s="28"/>
      <c r="D4" s="28"/>
      <c r="E4" s="28"/>
      <c r="F4" s="28"/>
      <c r="G4" s="28"/>
      <c r="AA4" s="11">
        <f>5</f>
        <v>5</v>
      </c>
      <c r="AB4" s="11">
        <f t="shared" si="0"/>
        <v>1.0151868525407848</v>
      </c>
      <c r="AC4" s="11">
        <f t="shared" si="1"/>
        <v>5.076733016569718</v>
      </c>
      <c r="AD4" s="11">
        <f t="shared" si="2"/>
        <v>0.98504033764545362</v>
      </c>
      <c r="AE4" s="11">
        <f t="shared" si="3"/>
        <v>1</v>
      </c>
      <c r="AQ4" s="11">
        <v>0</v>
      </c>
      <c r="AR4" s="11">
        <v>0</v>
      </c>
      <c r="AS4" s="11">
        <f>4*COS(RADIANS($C$6))</f>
        <v>3.9392310120488321</v>
      </c>
      <c r="AT4" s="11">
        <f>-4*SIN(RADIANS($C$6))</f>
        <v>-0.69459271066772132</v>
      </c>
      <c r="AU4" s="11">
        <f>-2.2+0.9*COS(RADIANS((0+(360-(0))*1/36)))</f>
        <v>-1.3136730222890129</v>
      </c>
      <c r="AV4" s="11">
        <f>3.3+0.9*SIN(RADIANS((0+(360-(0))*1/36)))</f>
        <v>3.4562833599002372</v>
      </c>
      <c r="AW4" s="11">
        <f>-2.2+0.9*COS(RADIANS($C$9))</f>
        <v>-1.4205771365940052</v>
      </c>
      <c r="AX4" s="11">
        <f>3.3+0.9*SIN(RADIANS($C$9))</f>
        <v>3.75</v>
      </c>
      <c r="AY4" s="11">
        <f>1.8+0.9*COS(RADIANS((0+(360-(0))*1/36)))</f>
        <v>2.6863269777109871</v>
      </c>
      <c r="AZ4" s="11">
        <f>3.3+0.9*SIN(RADIANS((0+(360-(0))*1/36)))</f>
        <v>3.4562833599002372</v>
      </c>
      <c r="BA4" s="11">
        <f>1.8+0.9*COS(RADIANS(AI3))</f>
        <v>2.5764112591105026</v>
      </c>
      <c r="BB4" s="11">
        <f>3.3+0.9*SIN(RADIANS(AI3))</f>
        <v>3.7551764017679781</v>
      </c>
      <c r="BC4" s="11">
        <f>5.8+0.9*COS(RADIANS((0+(360-(0))*1/36)))</f>
        <v>6.6863269777109871</v>
      </c>
      <c r="BD4" s="11">
        <f>3.3+0.9*SIN(RADIANS((0+(360-(0))*1/36)))</f>
        <v>3.4562833599002372</v>
      </c>
      <c r="BE4" s="11">
        <f>5.8+0.9*COS(RADIANS(AK3))</f>
        <v>6.5794228634059948</v>
      </c>
      <c r="BF4" s="11">
        <f>3.3+0.9*SIN(RADIANS(AK3))</f>
        <v>3.75</v>
      </c>
      <c r="BI4" s="11">
        <f>0.7</f>
        <v>0.7</v>
      </c>
      <c r="BJ4" s="11">
        <f t="shared" si="4"/>
        <v>25685.656167912191</v>
      </c>
      <c r="BK4" s="11">
        <f t="shared" si="5"/>
        <v>5000</v>
      </c>
    </row>
    <row r="5" spans="1:66" x14ac:dyDescent="0.25">
      <c r="B5" s="14" t="s">
        <v>196</v>
      </c>
      <c r="C5" s="15">
        <v>3000</v>
      </c>
      <c r="D5" s="16" t="s">
        <v>79</v>
      </c>
      <c r="AA5" s="11">
        <f>10</f>
        <v>10</v>
      </c>
      <c r="AB5" s="11">
        <f t="shared" si="0"/>
        <v>1.0144755263509073</v>
      </c>
      <c r="AC5" s="11">
        <f t="shared" si="1"/>
        <v>10.151081711048134</v>
      </c>
      <c r="AD5" s="11">
        <f t="shared" si="2"/>
        <v>0.98573102457880257</v>
      </c>
      <c r="AE5" s="11">
        <f t="shared" si="3"/>
        <v>0.99999999999999989</v>
      </c>
      <c r="AQ5" s="11">
        <f>4*COS(RADIANS($C$6))</f>
        <v>3.9392310120488321</v>
      </c>
      <c r="AR5" s="11">
        <f>-4*SIN(RADIANS($C$6))</f>
        <v>-0.69459271066772132</v>
      </c>
      <c r="AU5" s="11">
        <f>-2.2+0.9*COS(RADIANS((0+(360-(0))*2/36)))</f>
        <v>-1.3542766412926825</v>
      </c>
      <c r="AV5" s="11">
        <f>3.3+0.9*SIN(RADIANS((0+(360-(0))*2/36)))</f>
        <v>3.6078181289931015</v>
      </c>
      <c r="AY5" s="11">
        <f>1.8+0.9*COS(RADIANS((0+(360-(0))*2/36)))</f>
        <v>2.6457233587073175</v>
      </c>
      <c r="AZ5" s="11">
        <f>3.3+0.9*SIN(RADIANS((0+(360-(0))*2/36)))</f>
        <v>3.6078181289931015</v>
      </c>
      <c r="BC5" s="11">
        <f>5.8+0.9*COS(RADIANS((0+(360-(0))*2/36)))</f>
        <v>6.6457233587073175</v>
      </c>
      <c r="BD5" s="11">
        <f>3.3+0.9*SIN(RADIANS((0+(360-(0))*2/36)))</f>
        <v>3.6078181289931015</v>
      </c>
      <c r="BI5" s="11">
        <f>0.8</f>
        <v>0.8</v>
      </c>
      <c r="BJ5" s="11">
        <f t="shared" si="4"/>
        <v>19665.580503557772</v>
      </c>
      <c r="BK5" s="11">
        <f t="shared" si="5"/>
        <v>5000</v>
      </c>
    </row>
    <row r="6" spans="1:66" x14ac:dyDescent="0.25">
      <c r="B6" s="14" t="s">
        <v>197</v>
      </c>
      <c r="C6" s="15">
        <v>10</v>
      </c>
      <c r="D6" s="16" t="s">
        <v>198</v>
      </c>
      <c r="T6" s="27" t="s">
        <v>229</v>
      </c>
      <c r="U6" s="27"/>
      <c r="V6" s="27"/>
      <c r="W6" s="27"/>
      <c r="X6" s="27"/>
      <c r="Y6" s="27"/>
      <c r="AA6" s="11">
        <f>15</f>
        <v>15</v>
      </c>
      <c r="AB6" s="11">
        <f t="shared" si="0"/>
        <v>1.0133161623452727</v>
      </c>
      <c r="AC6" s="11">
        <f t="shared" si="1"/>
        <v>15.220740734412036</v>
      </c>
      <c r="AD6" s="11">
        <f t="shared" si="2"/>
        <v>0.98685882763928967</v>
      </c>
      <c r="AE6" s="11">
        <f t="shared" si="3"/>
        <v>0.99999999999999989</v>
      </c>
      <c r="AQ6" s="11">
        <f>4*COS(RADIANS($C$6))+3.5*COS(RADIANS($C$7-$C$6))</f>
        <v>7.4392310120488325</v>
      </c>
      <c r="AR6" s="11">
        <f>-4*SIN(RADIANS($C$6))+3.5*SIN(RADIANS($C$7-$C$6))</f>
        <v>-0.69459271066772132</v>
      </c>
      <c r="AU6" s="11">
        <f>-2.2+0.9*COS(RADIANS((0+(360-(0))*3/36)))</f>
        <v>-1.4205771365940052</v>
      </c>
      <c r="AV6" s="11">
        <f>3.3+0.9*SIN(RADIANS((0+(360-(0))*3/36)))</f>
        <v>3.75</v>
      </c>
      <c r="AY6" s="11">
        <f>1.8+0.9*COS(RADIANS((0+(360-(0))*3/36)))</f>
        <v>2.5794228634059948</v>
      </c>
      <c r="AZ6" s="11">
        <f>3.3+0.9*SIN(RADIANS((0+(360-(0))*3/36)))</f>
        <v>3.75</v>
      </c>
      <c r="BC6" s="11">
        <f>5.8+0.9*COS(RADIANS((0+(360-(0))*3/36)))</f>
        <v>6.5794228634059948</v>
      </c>
      <c r="BD6" s="11">
        <f>3.3+0.9*SIN(RADIANS((0+(360-(0))*3/36)))</f>
        <v>3.75</v>
      </c>
      <c r="BI6" s="11">
        <f>0.9</f>
        <v>0.9</v>
      </c>
      <c r="BJ6" s="11">
        <f t="shared" si="4"/>
        <v>15538.236447255525</v>
      </c>
      <c r="BK6" s="11">
        <f t="shared" si="5"/>
        <v>5000</v>
      </c>
    </row>
    <row r="7" spans="1:66" x14ac:dyDescent="0.25">
      <c r="B7" s="14" t="s">
        <v>199</v>
      </c>
      <c r="C7" s="15">
        <v>10</v>
      </c>
      <c r="D7" s="16" t="s">
        <v>198</v>
      </c>
      <c r="T7" s="27"/>
      <c r="U7" s="27"/>
      <c r="V7" s="27"/>
      <c r="W7" s="27"/>
      <c r="X7" s="27"/>
      <c r="Y7" s="27"/>
      <c r="AA7" s="11">
        <f>20</f>
        <v>20</v>
      </c>
      <c r="AB7" s="11">
        <f t="shared" si="0"/>
        <v>1.0117469086264812</v>
      </c>
      <c r="AC7" s="11">
        <f t="shared" si="1"/>
        <v>20.283559454529712</v>
      </c>
      <c r="AD7" s="11">
        <f t="shared" si="2"/>
        <v>0.9883894791016179</v>
      </c>
      <c r="AE7" s="11">
        <f t="shared" si="3"/>
        <v>1</v>
      </c>
      <c r="AU7" s="11">
        <f>-2.2+0.9*COS(RADIANS((0+(360-(0))*4/36)))</f>
        <v>-1.5105600011929199</v>
      </c>
      <c r="AV7" s="11">
        <f>3.3+0.9*SIN(RADIANS((0+(360-(0))*4/36)))</f>
        <v>3.8785088487178854</v>
      </c>
      <c r="AY7" s="11">
        <f>1.8+0.9*COS(RADIANS((0+(360-(0))*4/36)))</f>
        <v>2.4894399988070801</v>
      </c>
      <c r="AZ7" s="11">
        <f>3.3+0.9*SIN(RADIANS((0+(360-(0))*4/36)))</f>
        <v>3.8785088487178854</v>
      </c>
      <c r="BC7" s="11">
        <f>5.8+0.9*COS(RADIANS((0+(360-(0))*4/36)))</f>
        <v>6.4894399988070797</v>
      </c>
      <c r="BD7" s="11">
        <f>3.3+0.9*SIN(RADIANS((0+(360-(0))*4/36)))</f>
        <v>3.8785088487178854</v>
      </c>
      <c r="BI7" s="11">
        <f>1</f>
        <v>1</v>
      </c>
      <c r="BJ7" s="11">
        <f t="shared" si="4"/>
        <v>12585.971522276974</v>
      </c>
      <c r="BK7" s="11">
        <f t="shared" si="5"/>
        <v>5000</v>
      </c>
    </row>
    <row r="8" spans="1:66" x14ac:dyDescent="0.25">
      <c r="B8" s="14" t="s">
        <v>200</v>
      </c>
      <c r="C8" s="15">
        <v>0</v>
      </c>
      <c r="D8" s="16" t="s">
        <v>198</v>
      </c>
      <c r="T8" s="27"/>
      <c r="U8" s="27"/>
      <c r="V8" s="27"/>
      <c r="W8" s="27"/>
      <c r="X8" s="27"/>
      <c r="Y8" s="27"/>
      <c r="AA8" s="11">
        <f>25</f>
        <v>25</v>
      </c>
      <c r="AB8" s="11">
        <f t="shared" si="0"/>
        <v>1.0098190044801874</v>
      </c>
      <c r="AC8" s="11">
        <f t="shared" si="1"/>
        <v>25.337611451548778</v>
      </c>
      <c r="AD8" s="11">
        <f t="shared" si="2"/>
        <v>0.99027647089565141</v>
      </c>
      <c r="AE8" s="11">
        <f t="shared" si="3"/>
        <v>0.99999999999999989</v>
      </c>
      <c r="AU8" s="11">
        <f>-2.2+0.9*COS(RADIANS((0+(360-(0))*5/36)))</f>
        <v>-1.6214911512821146</v>
      </c>
      <c r="AV8" s="11">
        <f>3.3+0.9*SIN(RADIANS((0+(360-(0))*5/36)))</f>
        <v>3.9894399988070801</v>
      </c>
      <c r="AY8" s="11">
        <f>1.8+0.9*COS(RADIANS((0+(360-(0))*5/36)))</f>
        <v>2.3785088487178854</v>
      </c>
      <c r="AZ8" s="11">
        <f>3.3+0.9*SIN(RADIANS((0+(360-(0))*5/36)))</f>
        <v>3.9894399988070801</v>
      </c>
      <c r="BC8" s="11">
        <f>5.8+0.9*COS(RADIANS((0+(360-(0))*5/36)))</f>
        <v>6.3785088487178854</v>
      </c>
      <c r="BD8" s="11">
        <f>3.3+0.9*SIN(RADIANS((0+(360-(0))*5/36)))</f>
        <v>3.9894399988070801</v>
      </c>
      <c r="BI8" s="11">
        <f>1.1</f>
        <v>1.1000000000000001</v>
      </c>
      <c r="BJ8" s="11">
        <f t="shared" si="4"/>
        <v>10401.629357253696</v>
      </c>
      <c r="BK8" s="11">
        <f t="shared" si="5"/>
        <v>5000</v>
      </c>
    </row>
    <row r="9" spans="1:66" x14ac:dyDescent="0.25">
      <c r="B9" s="14" t="s">
        <v>201</v>
      </c>
      <c r="C9" s="15">
        <v>30</v>
      </c>
      <c r="D9" s="16" t="s">
        <v>198</v>
      </c>
      <c r="T9" s="27"/>
      <c r="U9" s="27"/>
      <c r="V9" s="27"/>
      <c r="W9" s="27"/>
      <c r="X9" s="27"/>
      <c r="Y9" s="27"/>
      <c r="AA9" s="11">
        <f>30</f>
        <v>30</v>
      </c>
      <c r="AB9" s="11">
        <f t="shared" si="0"/>
        <v>1.0075947781548287</v>
      </c>
      <c r="AC9" s="11">
        <f t="shared" si="1"/>
        <v>30.381255142470486</v>
      </c>
      <c r="AD9" s="11">
        <f t="shared" si="2"/>
        <v>0.99246246773059232</v>
      </c>
      <c r="AE9" s="11">
        <f t="shared" si="3"/>
        <v>1</v>
      </c>
      <c r="AU9" s="11">
        <f>-2.2+0.9*COS(RADIANS((0+(360-(0))*6/36)))</f>
        <v>-1.75</v>
      </c>
      <c r="AV9" s="11">
        <f>3.3+0.9*SIN(RADIANS((0+(360-(0))*6/36)))</f>
        <v>4.0794228634059948</v>
      </c>
      <c r="AY9" s="11">
        <f>1.8+0.9*COS(RADIANS((0+(360-(0))*6/36)))</f>
        <v>2.25</v>
      </c>
      <c r="AZ9" s="11">
        <f>3.3+0.9*SIN(RADIANS((0+(360-(0))*6/36)))</f>
        <v>4.0794228634059948</v>
      </c>
      <c r="BC9" s="11">
        <f>5.8+0.9*COS(RADIANS((0+(360-(0))*6/36)))</f>
        <v>6.25</v>
      </c>
      <c r="BD9" s="11">
        <f>3.3+0.9*SIN(RADIANS((0+(360-(0))*6/36)))</f>
        <v>4.0794228634059948</v>
      </c>
      <c r="BI9" s="11">
        <f>1.2</f>
        <v>1.2</v>
      </c>
      <c r="BJ9" s="11">
        <f t="shared" si="4"/>
        <v>8740.2580015812327</v>
      </c>
      <c r="BK9" s="11">
        <f t="shared" si="5"/>
        <v>5000</v>
      </c>
    </row>
    <row r="10" spans="1:66" x14ac:dyDescent="0.25">
      <c r="B10" s="28" t="s">
        <v>158</v>
      </c>
      <c r="C10" s="28"/>
      <c r="D10" s="28"/>
      <c r="E10" s="28"/>
      <c r="F10" s="28"/>
      <c r="G10" s="28"/>
      <c r="T10" s="27"/>
      <c r="U10" s="27"/>
      <c r="V10" s="27"/>
      <c r="W10" s="27"/>
      <c r="X10" s="27"/>
      <c r="Y10" s="27"/>
      <c r="AA10" s="11">
        <f>35</f>
        <v>35</v>
      </c>
      <c r="AB10" s="11">
        <f t="shared" si="0"/>
        <v>1.0051452892839237</v>
      </c>
      <c r="AC10" s="11">
        <f t="shared" si="1"/>
        <v>35.413183453292547</v>
      </c>
      <c r="AD10" s="11">
        <f t="shared" si="2"/>
        <v>0.99488104919877873</v>
      </c>
      <c r="AE10" s="11">
        <f t="shared" si="3"/>
        <v>0.99999999999999989</v>
      </c>
      <c r="AU10" s="11">
        <f>-2.2+0.9*COS(RADIANS((0+(360-(0))*7/36)))</f>
        <v>-1.8921818710068983</v>
      </c>
      <c r="AV10" s="11">
        <f>3.3+0.9*SIN(RADIANS((0+(360-(0))*7/36)))</f>
        <v>4.1457233587073175</v>
      </c>
      <c r="AY10" s="11">
        <f>1.8+0.9*COS(RADIANS((0+(360-(0))*7/36)))</f>
        <v>2.1078181289931019</v>
      </c>
      <c r="AZ10" s="11">
        <f>3.3+0.9*SIN(RADIANS((0+(360-(0))*7/36)))</f>
        <v>4.1457233587073175</v>
      </c>
      <c r="BC10" s="11">
        <f>5.8+0.9*COS(RADIANS((0+(360-(0))*7/36)))</f>
        <v>6.1078181289931015</v>
      </c>
      <c r="BD10" s="11">
        <f>3.3+0.9*SIN(RADIANS((0+(360-(0))*7/36)))</f>
        <v>4.1457233587073175</v>
      </c>
      <c r="BI10" s="11">
        <f>1.3</f>
        <v>1.3</v>
      </c>
      <c r="BJ10" s="11">
        <f t="shared" si="4"/>
        <v>7447.3204273828233</v>
      </c>
      <c r="BK10" s="11">
        <f t="shared" si="5"/>
        <v>5000</v>
      </c>
    </row>
    <row r="11" spans="1:66" ht="25.5" x14ac:dyDescent="0.25">
      <c r="B11" s="14" t="s">
        <v>202</v>
      </c>
      <c r="C11" s="20">
        <f>$C$5/COS(RADIANS($C$6))</f>
        <v>3046.2798356572353</v>
      </c>
      <c r="D11" s="16" t="s">
        <v>79</v>
      </c>
      <c r="T11" s="27"/>
      <c r="U11" s="27"/>
      <c r="V11" s="27"/>
      <c r="W11" s="27"/>
      <c r="X11" s="27"/>
      <c r="Y11" s="27"/>
      <c r="AA11" s="11">
        <f>40</f>
        <v>40</v>
      </c>
      <c r="AB11" s="11">
        <f t="shared" si="0"/>
        <v>1.0025477465911019</v>
      </c>
      <c r="AC11" s="11">
        <f t="shared" si="1"/>
        <v>40.432461086211759</v>
      </c>
      <c r="AD11" s="11">
        <f t="shared" si="2"/>
        <v>0.99745872792616108</v>
      </c>
      <c r="AE11" s="11">
        <f t="shared" si="3"/>
        <v>0.99999999999999978</v>
      </c>
      <c r="AU11" s="11">
        <f>-2.2+0.9*COS(RADIANS((0+(360-(0))*8/36)))</f>
        <v>-2.0437166400997628</v>
      </c>
      <c r="AV11" s="11">
        <f>3.3+0.9*SIN(RADIANS((0+(360-(0))*8/36)))</f>
        <v>4.1863269777109871</v>
      </c>
      <c r="AY11" s="11">
        <f>1.8+0.9*COS(RADIANS((0+(360-(0))*8/36)))</f>
        <v>1.9562833599002374</v>
      </c>
      <c r="AZ11" s="11">
        <f>3.3+0.9*SIN(RADIANS((0+(360-(0))*8/36)))</f>
        <v>4.1863269777109871</v>
      </c>
      <c r="BC11" s="11">
        <f>5.8+0.9*COS(RADIANS((0+(360-(0))*8/36)))</f>
        <v>5.9562833599002376</v>
      </c>
      <c r="BD11" s="11">
        <f>3.3+0.9*SIN(RADIANS((0+(360-(0))*8/36)))</f>
        <v>4.1863269777109871</v>
      </c>
      <c r="BI11" s="11">
        <f>1.4</f>
        <v>1.4</v>
      </c>
      <c r="BJ11" s="11">
        <f t="shared" si="4"/>
        <v>6421.4140419780479</v>
      </c>
      <c r="BK11" s="11">
        <f t="shared" si="5"/>
        <v>5000</v>
      </c>
    </row>
    <row r="12" spans="1:66" ht="25.5" x14ac:dyDescent="0.25">
      <c r="B12" s="14" t="s">
        <v>203</v>
      </c>
      <c r="C12" s="20">
        <f>$C$5*COS(RADIANS($C$6))</f>
        <v>2954.4232590366241</v>
      </c>
      <c r="D12" s="16" t="s">
        <v>79</v>
      </c>
      <c r="T12" s="27"/>
      <c r="U12" s="27"/>
      <c r="V12" s="27"/>
      <c r="W12" s="27"/>
      <c r="X12" s="27"/>
      <c r="Y12" s="27"/>
      <c r="AA12" s="11">
        <f>45</f>
        <v>45</v>
      </c>
      <c r="AB12" s="11">
        <f t="shared" si="0"/>
        <v>0.99988283128114086</v>
      </c>
      <c r="AC12" s="11">
        <f t="shared" si="1"/>
        <v>45.438548586742307</v>
      </c>
      <c r="AD12" s="11">
        <f t="shared" si="2"/>
        <v>1.0001171824489765</v>
      </c>
      <c r="AE12" s="11">
        <f t="shared" si="3"/>
        <v>1</v>
      </c>
      <c r="AU12" s="11">
        <f>-2.2+0.9*COS(RADIANS((0+(360-(0))*9/36)))</f>
        <v>-2.2000000000000002</v>
      </c>
      <c r="AV12" s="11">
        <f>3.3+0.9*SIN(RADIANS((0+(360-(0))*9/36)))</f>
        <v>4.2</v>
      </c>
      <c r="AY12" s="11">
        <f>1.8+0.9*COS(RADIANS((0+(360-(0))*9/36)))</f>
        <v>1.8</v>
      </c>
      <c r="AZ12" s="11">
        <f>3.3+0.9*SIN(RADIANS((0+(360-(0))*9/36)))</f>
        <v>4.2</v>
      </c>
      <c r="BC12" s="11">
        <f>5.8+0.9*COS(RADIANS((0+(360-(0))*9/36)))</f>
        <v>5.8</v>
      </c>
      <c r="BD12" s="11">
        <f>3.3+0.9*SIN(RADIANS((0+(360-(0))*9/36)))</f>
        <v>4.2</v>
      </c>
      <c r="BI12" s="11">
        <f>1.5</f>
        <v>1.5</v>
      </c>
      <c r="BJ12" s="11">
        <f t="shared" si="4"/>
        <v>5593.7651210119875</v>
      </c>
      <c r="BK12" s="11">
        <f t="shared" si="5"/>
        <v>5000</v>
      </c>
    </row>
    <row r="13" spans="1:66" x14ac:dyDescent="0.25">
      <c r="B13" s="14" t="s">
        <v>204</v>
      </c>
      <c r="C13" s="22">
        <f>($C$11-$C$12)/$C$5*100</f>
        <v>3.061885887353704</v>
      </c>
      <c r="D13" s="16" t="s">
        <v>70</v>
      </c>
      <c r="AA13" s="11">
        <f>50</f>
        <v>50</v>
      </c>
      <c r="AB13" s="11">
        <f t="shared" si="0"/>
        <v>0.99723204586404413</v>
      </c>
      <c r="AC13" s="11">
        <f t="shared" si="1"/>
        <v>50.431313044845027</v>
      </c>
      <c r="AD13" s="11">
        <f t="shared" si="2"/>
        <v>1.0027756369717917</v>
      </c>
      <c r="AE13" s="11">
        <f t="shared" si="3"/>
        <v>0.99999999999999989</v>
      </c>
      <c r="AU13" s="11">
        <f>-2.2+0.9*COS(RADIANS((0+(360-(0))*10/36)))</f>
        <v>-2.3562833599002375</v>
      </c>
      <c r="AV13" s="11">
        <f>3.3+0.9*SIN(RADIANS((0+(360-(0))*10/36)))</f>
        <v>4.1863269777109871</v>
      </c>
      <c r="AY13" s="11">
        <f>1.8+0.9*COS(RADIANS((0+(360-(0))*10/36)))</f>
        <v>1.6437166400997627</v>
      </c>
      <c r="AZ13" s="11">
        <f>3.3+0.9*SIN(RADIANS((0+(360-(0))*10/36)))</f>
        <v>4.1863269777109871</v>
      </c>
      <c r="BC13" s="11">
        <f>5.8+0.9*COS(RADIANS((0+(360-(0))*10/36)))</f>
        <v>5.6437166400997629</v>
      </c>
      <c r="BD13" s="11">
        <f>3.3+0.9*SIN(RADIANS((0+(360-(0))*10/36)))</f>
        <v>4.1863269777109871</v>
      </c>
      <c r="BI13" s="11">
        <f>1.6</f>
        <v>1.6</v>
      </c>
      <c r="BJ13" s="11">
        <f t="shared" si="4"/>
        <v>4916.3951258894431</v>
      </c>
      <c r="BK13" s="11">
        <f t="shared" si="5"/>
        <v>5000</v>
      </c>
    </row>
    <row r="14" spans="1:66" x14ac:dyDescent="0.25">
      <c r="B14" s="14" t="s">
        <v>205</v>
      </c>
      <c r="C14" s="20">
        <f>MAX($AE$3:$AE$75)*$C$5</f>
        <v>3000</v>
      </c>
      <c r="D14" s="16" t="s">
        <v>79</v>
      </c>
      <c r="AA14" s="11">
        <f>55</f>
        <v>55</v>
      </c>
      <c r="AB14" s="11">
        <f t="shared" si="0"/>
        <v>0.99467518969144564</v>
      </c>
      <c r="AC14" s="11">
        <f t="shared" si="1"/>
        <v>55.4110258193421</v>
      </c>
      <c r="AD14" s="11">
        <f t="shared" si="2"/>
        <v>1.0053533156991743</v>
      </c>
      <c r="AE14" s="11">
        <f t="shared" si="3"/>
        <v>1</v>
      </c>
      <c r="AU14" s="11">
        <f>-2.2+0.9*COS(RADIANS((0+(360-(0))*11/36)))</f>
        <v>-2.5078181289931019</v>
      </c>
      <c r="AV14" s="11">
        <f>3.3+0.9*SIN(RADIANS((0+(360-(0))*11/36)))</f>
        <v>4.1457233587073175</v>
      </c>
      <c r="AY14" s="11">
        <f>1.8+0.9*COS(RADIANS((0+(360-(0))*11/36)))</f>
        <v>1.4921818710068981</v>
      </c>
      <c r="AZ14" s="11">
        <f>3.3+0.9*SIN(RADIANS((0+(360-(0))*11/36)))</f>
        <v>4.1457233587073175</v>
      </c>
      <c r="BC14" s="11">
        <f>5.8+0.9*COS(RADIANS((0+(360-(0))*11/36)))</f>
        <v>5.4921818710068981</v>
      </c>
      <c r="BD14" s="11">
        <f>3.3+0.9*SIN(RADIANS((0+(360-(0))*11/36)))</f>
        <v>4.1457233587073175</v>
      </c>
      <c r="BI14" s="11">
        <f>1.7</f>
        <v>1.7</v>
      </c>
      <c r="BJ14" s="11">
        <f t="shared" si="4"/>
        <v>4355.0074471546623</v>
      </c>
      <c r="BK14" s="11">
        <f t="shared" si="5"/>
        <v>5000</v>
      </c>
    </row>
    <row r="15" spans="1:66" x14ac:dyDescent="0.25">
      <c r="B15" s="14" t="s">
        <v>206</v>
      </c>
      <c r="C15" s="20">
        <f>MIN($AE$3:$AE$75)*$C$5</f>
        <v>2999.9999999999995</v>
      </c>
      <c r="D15" s="16" t="s">
        <v>79</v>
      </c>
      <c r="AA15" s="11">
        <f>60</f>
        <v>60</v>
      </c>
      <c r="AB15" s="11">
        <f t="shared" si="0"/>
        <v>0.9922880393974014</v>
      </c>
      <c r="AC15" s="11">
        <f t="shared" si="1"/>
        <v>60.378348124804496</v>
      </c>
      <c r="AD15" s="11">
        <f t="shared" si="2"/>
        <v>1.0077718971673608</v>
      </c>
      <c r="AE15" s="11">
        <f t="shared" si="3"/>
        <v>1</v>
      </c>
      <c r="AU15" s="11">
        <f>-2.2+0.9*COS(RADIANS((0+(360-(0))*12/36)))</f>
        <v>-2.65</v>
      </c>
      <c r="AV15" s="11">
        <f>3.3+0.9*SIN(RADIANS((0+(360-(0))*12/36)))</f>
        <v>4.0794228634059948</v>
      </c>
      <c r="AY15" s="11">
        <f>1.8+0.9*COS(RADIANS((0+(360-(0))*12/36)))</f>
        <v>1.3500000000000003</v>
      </c>
      <c r="AZ15" s="11">
        <f>3.3+0.9*SIN(RADIANS((0+(360-(0))*12/36)))</f>
        <v>4.0794228634059948</v>
      </c>
      <c r="BC15" s="11">
        <f>5.8+0.9*COS(RADIANS((0+(360-(0))*12/36)))</f>
        <v>5.35</v>
      </c>
      <c r="BD15" s="11">
        <f>3.3+0.9*SIN(RADIANS((0+(360-(0))*12/36)))</f>
        <v>4.0794228634059948</v>
      </c>
      <c r="BI15" s="11">
        <f>1.8</f>
        <v>1.8</v>
      </c>
      <c r="BJ15" s="11">
        <f t="shared" si="4"/>
        <v>3884.5591118138814</v>
      </c>
      <c r="BK15" s="11">
        <f t="shared" si="5"/>
        <v>5000</v>
      </c>
    </row>
    <row r="16" spans="1:66" x14ac:dyDescent="0.25">
      <c r="B16" s="14" t="s">
        <v>207</v>
      </c>
      <c r="C16" s="22">
        <f>($C$14-$C$15)/$C$5*100</f>
        <v>1.5158245029548804E-14</v>
      </c>
      <c r="D16" s="16" t="s">
        <v>70</v>
      </c>
      <c r="AA16" s="11">
        <f>65</f>
        <v>65</v>
      </c>
      <c r="AB16" s="11">
        <f t="shared" si="0"/>
        <v>0.99014028796503573</v>
      </c>
      <c r="AC16" s="11">
        <f t="shared" si="1"/>
        <v>65.334305649824898</v>
      </c>
      <c r="AD16" s="11">
        <f t="shared" si="2"/>
        <v>1.0099578940023015</v>
      </c>
      <c r="AE16" s="11">
        <f t="shared" si="3"/>
        <v>0.99999999999999989</v>
      </c>
      <c r="AU16" s="11">
        <f>-2.2+0.9*COS(RADIANS((0+(360-(0))*13/36)))</f>
        <v>-2.7785088487178857</v>
      </c>
      <c r="AV16" s="11">
        <f>3.3+0.9*SIN(RADIANS((0+(360-(0))*13/36)))</f>
        <v>3.9894399988070801</v>
      </c>
      <c r="AY16" s="11">
        <f>1.8+0.9*COS(RADIANS((0+(360-(0))*13/36)))</f>
        <v>1.2214911512821147</v>
      </c>
      <c r="AZ16" s="11">
        <f>3.3+0.9*SIN(RADIANS((0+(360-(0))*13/36)))</f>
        <v>3.9894399988070801</v>
      </c>
      <c r="BC16" s="11">
        <f>5.8+0.9*COS(RADIANS((0+(360-(0))*13/36)))</f>
        <v>5.2214911512821143</v>
      </c>
      <c r="BD16" s="11">
        <f>3.3+0.9*SIN(RADIANS((0+(360-(0))*13/36)))</f>
        <v>3.9894399988070801</v>
      </c>
      <c r="BI16" s="11">
        <f>1.9</f>
        <v>1.9</v>
      </c>
      <c r="BJ16" s="11">
        <f t="shared" si="4"/>
        <v>3486.418704231849</v>
      </c>
      <c r="BK16" s="11">
        <f t="shared" si="5"/>
        <v>5000</v>
      </c>
    </row>
    <row r="17" spans="2:63" x14ac:dyDescent="0.25">
      <c r="B17" s="14" t="s">
        <v>208</v>
      </c>
      <c r="C17" s="20">
        <f>$C$5*$AH$3</f>
        <v>3022.7843344644862</v>
      </c>
      <c r="D17" s="16" t="s">
        <v>79</v>
      </c>
      <c r="AA17" s="11">
        <f>70</f>
        <v>70</v>
      </c>
      <c r="AB17" s="11">
        <f t="shared" si="0"/>
        <v>0.9882937731241157</v>
      </c>
      <c r="AC17" s="11">
        <f t="shared" si="1"/>
        <v>70.280253585540919</v>
      </c>
      <c r="AD17" s="11">
        <f t="shared" si="2"/>
        <v>1.0118448857963351</v>
      </c>
      <c r="AE17" s="11">
        <f t="shared" si="3"/>
        <v>1</v>
      </c>
      <c r="AU17" s="11">
        <f>-2.2+0.9*COS(RADIANS((0+(360-(0))*14/36)))</f>
        <v>-2.8894399988070805</v>
      </c>
      <c r="AV17" s="11">
        <f>3.3+0.9*SIN(RADIANS((0+(360-(0))*14/36)))</f>
        <v>3.8785088487178854</v>
      </c>
      <c r="AY17" s="11">
        <f>1.8+0.9*COS(RADIANS((0+(360-(0))*14/36)))</f>
        <v>1.11056000119292</v>
      </c>
      <c r="AZ17" s="11">
        <f>3.3+0.9*SIN(RADIANS((0+(360-(0))*14/36)))</f>
        <v>3.8785088487178854</v>
      </c>
      <c r="BC17" s="11">
        <f>5.8+0.9*COS(RADIANS((0+(360-(0))*14/36)))</f>
        <v>5.11056000119292</v>
      </c>
      <c r="BD17" s="11">
        <f>3.3+0.9*SIN(RADIANS((0+(360-(0))*14/36)))</f>
        <v>3.8785088487178854</v>
      </c>
      <c r="BI17" s="11">
        <f>2</f>
        <v>2</v>
      </c>
      <c r="BJ17" s="11">
        <f t="shared" si="4"/>
        <v>3146.4928805692434</v>
      </c>
      <c r="BK17" s="11">
        <f t="shared" si="5"/>
        <v>5000</v>
      </c>
    </row>
    <row r="18" spans="2:63" ht="32.1" customHeight="1" x14ac:dyDescent="0.25">
      <c r="B18" s="29" t="str">
        <f>IF($C$16&lt;0.05,"La doble junta compensa la irregularidad: la salida gira de forma homocinética.","La doble junta NO compensa: ángulos distintos u horquillas desfasadas producen vibración.")</f>
        <v>La doble junta compensa la irregularidad: la salida gira de forma homocinética.</v>
      </c>
      <c r="C18" s="29"/>
      <c r="D18" s="29"/>
      <c r="E18" s="29"/>
      <c r="F18" s="29"/>
      <c r="G18" s="29"/>
      <c r="AA18" s="11">
        <f>75</f>
        <v>75</v>
      </c>
      <c r="AB18" s="11">
        <f t="shared" si="0"/>
        <v>0.98680100637237977</v>
      </c>
      <c r="AC18" s="11">
        <f t="shared" si="1"/>
        <v>75.217833546425325</v>
      </c>
      <c r="AD18" s="11">
        <f t="shared" si="2"/>
        <v>1.0133755372586633</v>
      </c>
      <c r="AE18" s="11">
        <f t="shared" si="3"/>
        <v>0.99999999999999989</v>
      </c>
      <c r="AU18" s="11">
        <f>-2.2+0.9*COS(RADIANS((0+(360-(0))*15/36)))</f>
        <v>-2.9794228634059952</v>
      </c>
      <c r="AV18" s="11">
        <f>3.3+0.9*SIN(RADIANS((0+(360-(0))*15/36)))</f>
        <v>3.75</v>
      </c>
      <c r="AY18" s="11">
        <f>1.8+0.9*COS(RADIANS((0+(360-(0))*15/36)))</f>
        <v>1.0205771365940053</v>
      </c>
      <c r="AZ18" s="11">
        <f>3.3+0.9*SIN(RADIANS((0+(360-(0))*15/36)))</f>
        <v>3.75</v>
      </c>
      <c r="BC18" s="11">
        <f>5.8+0.9*COS(RADIANS((0+(360-(0))*15/36)))</f>
        <v>5.0205771365940048</v>
      </c>
      <c r="BD18" s="11">
        <f>3.3+0.9*SIN(RADIANS((0+(360-(0))*15/36)))</f>
        <v>3.75</v>
      </c>
      <c r="BI18" s="11">
        <f>2.1</f>
        <v>2.1</v>
      </c>
      <c r="BJ18" s="11">
        <f t="shared" si="4"/>
        <v>2853.9617964346876</v>
      </c>
      <c r="BK18" s="11">
        <f t="shared" si="5"/>
        <v>5000</v>
      </c>
    </row>
    <row r="19" spans="2:63" x14ac:dyDescent="0.25">
      <c r="AA19" s="11">
        <f>80</f>
        <v>80</v>
      </c>
      <c r="AB19" s="11">
        <f t="shared" si="0"/>
        <v>0.98570399944214293</v>
      </c>
      <c r="AC19" s="11">
        <f t="shared" si="1"/>
        <v>80.148923883416089</v>
      </c>
      <c r="AD19" s="11">
        <f t="shared" si="2"/>
        <v>1.0145033403191503</v>
      </c>
      <c r="AE19" s="11">
        <f t="shared" si="3"/>
        <v>0.99999999999999989</v>
      </c>
      <c r="AU19" s="11">
        <f>-2.2+0.9*COS(RADIANS((0+(360-(0))*16/36)))</f>
        <v>-3.0457233587073178</v>
      </c>
      <c r="AV19" s="11">
        <f>3.3+0.9*SIN(RADIANS((0+(360-(0))*16/36)))</f>
        <v>3.6078181289931019</v>
      </c>
      <c r="AY19" s="11">
        <f>1.8+0.9*COS(RADIANS((0+(360-(0))*16/36)))</f>
        <v>0.95427664129268253</v>
      </c>
      <c r="AZ19" s="11">
        <f>3.3+0.9*SIN(RADIANS((0+(360-(0))*16/36)))</f>
        <v>3.6078181289931019</v>
      </c>
      <c r="BC19" s="11">
        <f>5.8+0.9*COS(RADIANS((0+(360-(0))*16/36)))</f>
        <v>4.9542766412926822</v>
      </c>
      <c r="BD19" s="11">
        <f>3.3+0.9*SIN(RADIANS((0+(360-(0))*16/36)))</f>
        <v>3.6078181289931019</v>
      </c>
      <c r="BI19" s="11">
        <f>2.2</f>
        <v>2.2000000000000002</v>
      </c>
      <c r="BJ19" s="11">
        <f t="shared" si="4"/>
        <v>2600.407339313424</v>
      </c>
      <c r="BK19" s="11">
        <f t="shared" si="5"/>
        <v>5000</v>
      </c>
    </row>
    <row r="20" spans="2:63" x14ac:dyDescent="0.25">
      <c r="B20" s="28" t="s">
        <v>209</v>
      </c>
      <c r="C20" s="28"/>
      <c r="D20" s="28"/>
      <c r="E20" s="28"/>
      <c r="F20" s="28"/>
      <c r="G20" s="28"/>
      <c r="AA20" s="11">
        <f>85</f>
        <v>85</v>
      </c>
      <c r="AB20" s="11">
        <f t="shared" si="0"/>
        <v>0.98503337603982921</v>
      </c>
      <c r="AC20" s="11">
        <f t="shared" si="1"/>
        <v>85.07558484878632</v>
      </c>
      <c r="AD20" s="11">
        <f t="shared" si="2"/>
        <v>1.0151940272524993</v>
      </c>
      <c r="AE20" s="11">
        <f t="shared" si="3"/>
        <v>0.99999999999999978</v>
      </c>
      <c r="AU20" s="11">
        <f>-2.2+0.9*COS(RADIANS((0+(360-(0))*17/36)))</f>
        <v>-3.0863269777109874</v>
      </c>
      <c r="AV20" s="11">
        <f>3.3+0.9*SIN(RADIANS((0+(360-(0))*17/36)))</f>
        <v>3.4562833599002372</v>
      </c>
      <c r="AY20" s="11">
        <f>1.8+0.9*COS(RADIANS((0+(360-(0))*17/36)))</f>
        <v>0.91367302228901282</v>
      </c>
      <c r="AZ20" s="11">
        <f>3.3+0.9*SIN(RADIANS((0+(360-(0))*17/36)))</f>
        <v>3.4562833599002372</v>
      </c>
      <c r="BC20" s="11">
        <f>5.8+0.9*COS(RADIANS((0+(360-(0))*17/36)))</f>
        <v>4.9136730222890126</v>
      </c>
      <c r="BD20" s="11">
        <f>3.3+0.9*SIN(RADIANS((0+(360-(0))*17/36)))</f>
        <v>3.4562833599002372</v>
      </c>
    </row>
    <row r="21" spans="2:63" x14ac:dyDescent="0.25">
      <c r="B21" s="14" t="s">
        <v>210</v>
      </c>
      <c r="C21" s="17">
        <v>1.4</v>
      </c>
      <c r="D21" s="16" t="s">
        <v>61</v>
      </c>
      <c r="AA21" s="11">
        <f>90</f>
        <v>90</v>
      </c>
      <c r="AB21" s="11">
        <f t="shared" si="0"/>
        <v>0.98480775301220802</v>
      </c>
      <c r="AC21" s="11">
        <f t="shared" si="1"/>
        <v>90</v>
      </c>
      <c r="AD21" s="11">
        <f t="shared" si="2"/>
        <v>1.0154266118857449</v>
      </c>
      <c r="AE21" s="11">
        <f t="shared" si="3"/>
        <v>0.99999999999999989</v>
      </c>
      <c r="AU21" s="11">
        <f>-2.2+0.9*COS(RADIANS((0+(360-(0))*18/36)))</f>
        <v>-3.1</v>
      </c>
      <c r="AV21" s="11">
        <f>3.3+0.9*SIN(RADIANS((0+(360-(0))*18/36)))</f>
        <v>3.3</v>
      </c>
      <c r="AY21" s="11">
        <f>1.8+0.9*COS(RADIANS((0+(360-(0))*18/36)))</f>
        <v>0.9</v>
      </c>
      <c r="AZ21" s="11">
        <f>3.3+0.9*SIN(RADIANS((0+(360-(0))*18/36)))</f>
        <v>3.3</v>
      </c>
      <c r="BC21" s="11">
        <f>5.8+0.9*COS(RADIANS((0+(360-(0))*18/36)))</f>
        <v>4.8999999999999995</v>
      </c>
      <c r="BD21" s="11">
        <f>3.3+0.9*SIN(RADIANS((0+(360-(0))*18/36)))</f>
        <v>3.3</v>
      </c>
    </row>
    <row r="22" spans="2:63" x14ac:dyDescent="0.25">
      <c r="B22" s="14" t="s">
        <v>211</v>
      </c>
      <c r="C22" s="15">
        <v>75</v>
      </c>
      <c r="D22" s="16" t="s">
        <v>157</v>
      </c>
      <c r="AA22" s="11">
        <f>95</f>
        <v>95</v>
      </c>
      <c r="AB22" s="11">
        <f t="shared" si="0"/>
        <v>0.98503337603982921</v>
      </c>
      <c r="AC22" s="11">
        <f t="shared" si="1"/>
        <v>94.924415151213694</v>
      </c>
      <c r="AD22" s="11">
        <f t="shared" si="2"/>
        <v>1.0151940272524993</v>
      </c>
      <c r="AE22" s="11">
        <f t="shared" si="3"/>
        <v>0.99999999999999978</v>
      </c>
      <c r="AU22" s="11">
        <f>-2.2+0.9*COS(RADIANS((0+(360-(0))*19/36)))</f>
        <v>-3.0863269777109874</v>
      </c>
      <c r="AV22" s="11">
        <f>3.3+0.9*SIN(RADIANS((0+(360-(0))*19/36)))</f>
        <v>3.1437166400997625</v>
      </c>
      <c r="AY22" s="11">
        <f>1.8+0.9*COS(RADIANS((0+(360-(0))*19/36)))</f>
        <v>0.91367302228901282</v>
      </c>
      <c r="AZ22" s="11">
        <f>3.3+0.9*SIN(RADIANS((0+(360-(0))*19/36)))</f>
        <v>3.1437166400997625</v>
      </c>
      <c r="BC22" s="11">
        <f>5.8+0.9*COS(RADIANS((0+(360-(0))*19/36)))</f>
        <v>4.9136730222890126</v>
      </c>
      <c r="BD22" s="11">
        <f>3.3+0.9*SIN(RADIANS((0+(360-(0))*19/36)))</f>
        <v>3.1437166400997625</v>
      </c>
    </row>
    <row r="23" spans="2:63" x14ac:dyDescent="0.25">
      <c r="B23" s="14" t="s">
        <v>212</v>
      </c>
      <c r="C23" s="15">
        <v>2</v>
      </c>
      <c r="D23" s="16" t="s">
        <v>157</v>
      </c>
      <c r="AA23" s="11">
        <f>100</f>
        <v>100</v>
      </c>
      <c r="AB23" s="11">
        <f t="shared" si="0"/>
        <v>0.98570399944214293</v>
      </c>
      <c r="AC23" s="11">
        <f t="shared" si="1"/>
        <v>99.851076116583897</v>
      </c>
      <c r="AD23" s="11">
        <f t="shared" si="2"/>
        <v>1.0145033403191503</v>
      </c>
      <c r="AE23" s="11">
        <f t="shared" si="3"/>
        <v>0.99999999999999989</v>
      </c>
      <c r="AU23" s="11">
        <f>-2.2+0.9*COS(RADIANS((0+(360-(0))*20/36)))</f>
        <v>-3.0457233587073178</v>
      </c>
      <c r="AV23" s="11">
        <f>3.3+0.9*SIN(RADIANS((0+(360-(0))*20/36)))</f>
        <v>2.9921818710068981</v>
      </c>
      <c r="AY23" s="11">
        <f>1.8+0.9*COS(RADIANS((0+(360-(0))*20/36)))</f>
        <v>0.95427664129268241</v>
      </c>
      <c r="AZ23" s="11">
        <f>3.3+0.9*SIN(RADIANS((0+(360-(0))*20/36)))</f>
        <v>2.9921818710068981</v>
      </c>
      <c r="BC23" s="11">
        <f>5.8+0.9*COS(RADIANS((0+(360-(0))*20/36)))</f>
        <v>4.9542766412926822</v>
      </c>
      <c r="BD23" s="11">
        <f>3.3+0.9*SIN(RADIANS((0+(360-(0))*20/36)))</f>
        <v>2.9921818710068981</v>
      </c>
    </row>
    <row r="24" spans="2:63" x14ac:dyDescent="0.25">
      <c r="B24" s="14" t="s">
        <v>213</v>
      </c>
      <c r="C24" s="15">
        <v>210000</v>
      </c>
      <c r="D24" s="16" t="s">
        <v>214</v>
      </c>
      <c r="AA24" s="11">
        <f>105</f>
        <v>105</v>
      </c>
      <c r="AB24" s="11">
        <f t="shared" si="0"/>
        <v>0.98680100637237977</v>
      </c>
      <c r="AC24" s="11">
        <f t="shared" si="1"/>
        <v>104.78216645357467</v>
      </c>
      <c r="AD24" s="11">
        <f t="shared" si="2"/>
        <v>1.0133755372586633</v>
      </c>
      <c r="AE24" s="11">
        <f t="shared" si="3"/>
        <v>0.99999999999999989</v>
      </c>
      <c r="AU24" s="11">
        <f>-2.2+0.9*COS(RADIANS((0+(360-(0))*21/36)))</f>
        <v>-2.9794228634059952</v>
      </c>
      <c r="AV24" s="11">
        <f>3.3+0.9*SIN(RADIANS((0+(360-(0))*21/36)))</f>
        <v>2.8499999999999996</v>
      </c>
      <c r="AY24" s="11">
        <f>1.8+0.9*COS(RADIANS((0+(360-(0))*21/36)))</f>
        <v>1.0205771365940053</v>
      </c>
      <c r="AZ24" s="11">
        <f>3.3+0.9*SIN(RADIANS((0+(360-(0))*21/36)))</f>
        <v>2.8499999999999996</v>
      </c>
      <c r="BC24" s="11">
        <f>5.8+0.9*COS(RADIANS((0+(360-(0))*21/36)))</f>
        <v>5.0205771365940048</v>
      </c>
      <c r="BD24" s="11">
        <f>3.3+0.9*SIN(RADIANS((0+(360-(0))*21/36)))</f>
        <v>2.8499999999999996</v>
      </c>
    </row>
    <row r="25" spans="2:63" x14ac:dyDescent="0.25">
      <c r="B25" s="14" t="s">
        <v>215</v>
      </c>
      <c r="C25" s="15">
        <v>7850</v>
      </c>
      <c r="D25" s="16" t="s">
        <v>68</v>
      </c>
      <c r="AA25" s="11">
        <f>110</f>
        <v>110</v>
      </c>
      <c r="AB25" s="11">
        <f t="shared" si="0"/>
        <v>0.9882937731241157</v>
      </c>
      <c r="AC25" s="11">
        <f t="shared" si="1"/>
        <v>109.71974641445907</v>
      </c>
      <c r="AD25" s="11">
        <f t="shared" si="2"/>
        <v>1.0118448857963351</v>
      </c>
      <c r="AE25" s="11">
        <f t="shared" si="3"/>
        <v>1</v>
      </c>
      <c r="AU25" s="11">
        <f>-2.2+0.9*COS(RADIANS((0+(360-(0))*22/36)))</f>
        <v>-2.8894399988070805</v>
      </c>
      <c r="AV25" s="11">
        <f>3.3+0.9*SIN(RADIANS((0+(360-(0))*22/36)))</f>
        <v>2.7214911512821143</v>
      </c>
      <c r="AY25" s="11">
        <f>1.8+0.9*COS(RADIANS((0+(360-(0))*22/36)))</f>
        <v>1.11056000119292</v>
      </c>
      <c r="AZ25" s="11">
        <f>3.3+0.9*SIN(RADIANS((0+(360-(0))*22/36)))</f>
        <v>2.7214911512821143</v>
      </c>
      <c r="BC25" s="11">
        <f>5.8+0.9*COS(RADIANS((0+(360-(0))*22/36)))</f>
        <v>5.11056000119292</v>
      </c>
      <c r="BD25" s="11">
        <f>3.3+0.9*SIN(RADIANS((0+(360-(0))*22/36)))</f>
        <v>2.7214911512821143</v>
      </c>
    </row>
    <row r="26" spans="2:63" x14ac:dyDescent="0.25">
      <c r="B26" s="14" t="s">
        <v>216</v>
      </c>
      <c r="C26" s="15">
        <v>5000</v>
      </c>
      <c r="D26" s="16" t="s">
        <v>79</v>
      </c>
      <c r="AA26" s="11">
        <f>115</f>
        <v>115</v>
      </c>
      <c r="AB26" s="11">
        <f t="shared" si="0"/>
        <v>0.99014028796503573</v>
      </c>
      <c r="AC26" s="11">
        <f t="shared" si="1"/>
        <v>114.66569435017509</v>
      </c>
      <c r="AD26" s="11">
        <f t="shared" si="2"/>
        <v>1.0099578940023015</v>
      </c>
      <c r="AE26" s="11">
        <f t="shared" si="3"/>
        <v>0.99999999999999989</v>
      </c>
      <c r="AU26" s="11">
        <f>-2.2+0.9*COS(RADIANS((0+(360-(0))*23/36)))</f>
        <v>-2.7785088487178857</v>
      </c>
      <c r="AV26" s="11">
        <f>3.3+0.9*SIN(RADIANS((0+(360-(0))*23/36)))</f>
        <v>2.6105600011929195</v>
      </c>
      <c r="AY26" s="11">
        <f>1.8+0.9*COS(RADIANS((0+(360-(0))*23/36)))</f>
        <v>1.2214911512821145</v>
      </c>
      <c r="AZ26" s="11">
        <f>3.3+0.9*SIN(RADIANS((0+(360-(0))*23/36)))</f>
        <v>2.6105600011929195</v>
      </c>
      <c r="BC26" s="11">
        <f>5.8+0.9*COS(RADIANS((0+(360-(0))*23/36)))</f>
        <v>5.2214911512821143</v>
      </c>
      <c r="BD26" s="11">
        <f>3.3+0.9*SIN(RADIANS((0+(360-(0))*23/36)))</f>
        <v>2.6105600011929195</v>
      </c>
    </row>
    <row r="27" spans="2:63" x14ac:dyDescent="0.25">
      <c r="B27" s="14" t="s">
        <v>217</v>
      </c>
      <c r="C27" s="22">
        <f>(PI()/64*(($C$22/1000)^4-(($C$22-2*$C$23)/1000)^4))*100000000</f>
        <v>30.576257359409738</v>
      </c>
      <c r="D27" s="16" t="s">
        <v>218</v>
      </c>
      <c r="AA27" s="11">
        <f>120</f>
        <v>120</v>
      </c>
      <c r="AB27" s="11">
        <f t="shared" si="0"/>
        <v>0.99228803939740129</v>
      </c>
      <c r="AC27" s="11">
        <f t="shared" si="1"/>
        <v>119.62165187519547</v>
      </c>
      <c r="AD27" s="11">
        <f t="shared" si="2"/>
        <v>1.0077718971673608</v>
      </c>
      <c r="AE27" s="11">
        <f t="shared" si="3"/>
        <v>1</v>
      </c>
      <c r="AU27" s="11">
        <f>-2.2+0.9*COS(RADIANS((0+(360-(0))*24/36)))</f>
        <v>-2.6500000000000004</v>
      </c>
      <c r="AV27" s="11">
        <f>3.3+0.9*SIN(RADIANS((0+(360-(0))*24/36)))</f>
        <v>2.5205771365940053</v>
      </c>
      <c r="AY27" s="11">
        <f>1.8+0.9*COS(RADIANS((0+(360-(0))*24/36)))</f>
        <v>1.3499999999999996</v>
      </c>
      <c r="AZ27" s="11">
        <f>3.3+0.9*SIN(RADIANS((0+(360-(0))*24/36)))</f>
        <v>2.5205771365940053</v>
      </c>
      <c r="BC27" s="11">
        <f>5.8+0.9*COS(RADIANS((0+(360-(0))*24/36)))</f>
        <v>5.35</v>
      </c>
      <c r="BD27" s="11">
        <f>3.3+0.9*SIN(RADIANS((0+(360-(0))*24/36)))</f>
        <v>2.5205771365940053</v>
      </c>
    </row>
    <row r="28" spans="2:63" x14ac:dyDescent="0.25">
      <c r="B28" s="14" t="s">
        <v>219</v>
      </c>
      <c r="C28" s="21">
        <f>(PI()/($C$21))^2*SQRT($C$24*1000000*(PI()/64*(($C$22/1000)^4-(($C$22-2*$C$23)/1000)^4))/($C$25*(PI()/4*(($C$22/1000)^2-(($C$22-2*$C$23)/1000)^2))))*60/(2*PI())</f>
        <v>6421.4140419780479</v>
      </c>
      <c r="D28" s="16" t="s">
        <v>79</v>
      </c>
      <c r="AA28" s="11">
        <f>125</f>
        <v>125</v>
      </c>
      <c r="AB28" s="11">
        <f t="shared" si="0"/>
        <v>0.99467518969144564</v>
      </c>
      <c r="AC28" s="11">
        <f t="shared" si="1"/>
        <v>124.5889741806579</v>
      </c>
      <c r="AD28" s="11">
        <f t="shared" si="2"/>
        <v>1.0053533156991743</v>
      </c>
      <c r="AE28" s="11">
        <f t="shared" si="3"/>
        <v>1</v>
      </c>
      <c r="AU28" s="11">
        <f>-2.2+0.9*COS(RADIANS((0+(360-(0))*25/36)))</f>
        <v>-2.5078181289931019</v>
      </c>
      <c r="AV28" s="11">
        <f>3.3+0.9*SIN(RADIANS((0+(360-(0))*25/36)))</f>
        <v>2.4542766412926822</v>
      </c>
      <c r="AY28" s="11">
        <f>1.8+0.9*COS(RADIANS((0+(360-(0))*25/36)))</f>
        <v>1.4921818710068984</v>
      </c>
      <c r="AZ28" s="11">
        <f>3.3+0.9*SIN(RADIANS((0+(360-(0))*25/36)))</f>
        <v>2.4542766412926822</v>
      </c>
      <c r="BC28" s="11">
        <f>5.8+0.9*COS(RADIANS((0+(360-(0))*25/36)))</f>
        <v>5.4921818710068981</v>
      </c>
      <c r="BD28" s="11">
        <f>3.3+0.9*SIN(RADIANS((0+(360-(0))*25/36)))</f>
        <v>2.4542766412926822</v>
      </c>
    </row>
    <row r="29" spans="2:63" x14ac:dyDescent="0.25">
      <c r="B29" s="14" t="s">
        <v>220</v>
      </c>
      <c r="C29" s="20">
        <f>($C$28-$C$26)/$C$28*100</f>
        <v>22.135530160272868</v>
      </c>
      <c r="D29" s="16" t="s">
        <v>70</v>
      </c>
      <c r="AA29" s="11">
        <f>130</f>
        <v>130</v>
      </c>
      <c r="AB29" s="11">
        <f t="shared" si="0"/>
        <v>0.99723204586404413</v>
      </c>
      <c r="AC29" s="11">
        <f t="shared" si="1"/>
        <v>129.56868695515496</v>
      </c>
      <c r="AD29" s="11">
        <f t="shared" si="2"/>
        <v>1.0027756369717917</v>
      </c>
      <c r="AE29" s="11">
        <f t="shared" si="3"/>
        <v>0.99999999999999989</v>
      </c>
      <c r="AU29" s="11">
        <f>-2.2+0.9*COS(RADIANS((0+(360-(0))*26/36)))</f>
        <v>-2.3562833599002375</v>
      </c>
      <c r="AV29" s="11">
        <f>3.3+0.9*SIN(RADIANS((0+(360-(0))*26/36)))</f>
        <v>2.4136730222890126</v>
      </c>
      <c r="AY29" s="11">
        <f>1.8+0.9*COS(RADIANS((0+(360-(0))*26/36)))</f>
        <v>1.6437166400997627</v>
      </c>
      <c r="AZ29" s="11">
        <f>3.3+0.9*SIN(RADIANS((0+(360-(0))*26/36)))</f>
        <v>2.4136730222890126</v>
      </c>
      <c r="BC29" s="11">
        <f>5.8+0.9*COS(RADIANS((0+(360-(0))*26/36)))</f>
        <v>5.6437166400997629</v>
      </c>
      <c r="BD29" s="11">
        <f>3.3+0.9*SIN(RADIANS((0+(360-(0))*26/36)))</f>
        <v>2.4136730222890126</v>
      </c>
    </row>
    <row r="30" spans="2:63" ht="32.1" customHeight="1" x14ac:dyDescent="0.25">
      <c r="B30" s="29" t="str">
        <f>IF($C$26&lt;=0.7*$C$28,"Seguro: el régimen máximo queda por debajo del 70 % de la velocidad crítica.",IF($C$26&lt;$C$28,"Margen insuficiente: el árbol trabaja cerca de la resonancia.","¡Peligro! Supera la velocidad crítica: vibración y posible rotura."))</f>
        <v>Margen insuficiente: el árbol trabaja cerca de la resonancia.</v>
      </c>
      <c r="C30" s="29"/>
      <c r="D30" s="29"/>
      <c r="E30" s="29"/>
      <c r="F30" s="29"/>
      <c r="G30" s="29"/>
      <c r="AA30" s="11">
        <f>135</f>
        <v>135</v>
      </c>
      <c r="AB30" s="11">
        <f t="shared" si="0"/>
        <v>0.99988283128114086</v>
      </c>
      <c r="AC30" s="11">
        <f t="shared" si="1"/>
        <v>134.56145141325771</v>
      </c>
      <c r="AD30" s="11">
        <f t="shared" si="2"/>
        <v>1.0001171824489765</v>
      </c>
      <c r="AE30" s="11">
        <f t="shared" si="3"/>
        <v>1</v>
      </c>
      <c r="AU30" s="11">
        <f>-2.2+0.9*COS(RADIANS((0+(360-(0))*27/36)))</f>
        <v>-2.2000000000000002</v>
      </c>
      <c r="AV30" s="11">
        <f>3.3+0.9*SIN(RADIANS((0+(360-(0))*27/36)))</f>
        <v>2.4</v>
      </c>
      <c r="AY30" s="11">
        <f>1.8+0.9*COS(RADIANS((0+(360-(0))*27/36)))</f>
        <v>1.7999999999999998</v>
      </c>
      <c r="AZ30" s="11">
        <f>3.3+0.9*SIN(RADIANS((0+(360-(0))*27/36)))</f>
        <v>2.4</v>
      </c>
      <c r="BC30" s="11">
        <f>5.8+0.9*COS(RADIANS((0+(360-(0))*27/36)))</f>
        <v>5.8</v>
      </c>
      <c r="BD30" s="11">
        <f>3.3+0.9*SIN(RADIANS((0+(360-(0))*27/36)))</f>
        <v>2.4</v>
      </c>
    </row>
    <row r="31" spans="2:63" x14ac:dyDescent="0.25">
      <c r="AA31" s="11">
        <f>140</f>
        <v>140</v>
      </c>
      <c r="AB31" s="11">
        <f t="shared" si="0"/>
        <v>1.0025477465911019</v>
      </c>
      <c r="AC31" s="11">
        <f t="shared" si="1"/>
        <v>139.56753891378821</v>
      </c>
      <c r="AD31" s="11">
        <f t="shared" si="2"/>
        <v>0.99745872792616119</v>
      </c>
      <c r="AE31" s="11">
        <f t="shared" si="3"/>
        <v>0.99999999999999989</v>
      </c>
      <c r="AU31" s="11">
        <f>-2.2+0.9*COS(RADIANS((0+(360-(0))*28/36)))</f>
        <v>-2.0437166400997633</v>
      </c>
      <c r="AV31" s="11">
        <f>3.3+0.9*SIN(RADIANS((0+(360-(0))*28/36)))</f>
        <v>2.4136730222890126</v>
      </c>
      <c r="AY31" s="11">
        <f>1.8+0.9*COS(RADIANS((0+(360-(0))*28/36)))</f>
        <v>1.9562833599002369</v>
      </c>
      <c r="AZ31" s="11">
        <f>3.3+0.9*SIN(RADIANS((0+(360-(0))*28/36)))</f>
        <v>2.4136730222890126</v>
      </c>
      <c r="BC31" s="11">
        <f>5.8+0.9*COS(RADIANS((0+(360-(0))*28/36)))</f>
        <v>5.9562833599002367</v>
      </c>
      <c r="BD31" s="11">
        <f>3.3+0.9*SIN(RADIANS((0+(360-(0))*28/36)))</f>
        <v>2.4136730222890126</v>
      </c>
    </row>
    <row r="32" spans="2:63" x14ac:dyDescent="0.25">
      <c r="B32" s="28" t="s">
        <v>141</v>
      </c>
      <c r="C32" s="28"/>
      <c r="D32" s="28"/>
      <c r="E32" s="28"/>
      <c r="F32" s="28"/>
      <c r="G32" s="28"/>
      <c r="AA32" s="11">
        <f>145</f>
        <v>145</v>
      </c>
      <c r="AB32" s="11">
        <f t="shared" si="0"/>
        <v>1.0051452892839237</v>
      </c>
      <c r="AC32" s="11">
        <f t="shared" si="1"/>
        <v>144.58681654670747</v>
      </c>
      <c r="AD32" s="11">
        <f t="shared" si="2"/>
        <v>0.99488104919877873</v>
      </c>
      <c r="AE32" s="11">
        <f t="shared" si="3"/>
        <v>0.99999999999999989</v>
      </c>
      <c r="AU32" s="11">
        <f>-2.2+0.9*COS(RADIANS((0+(360-(0))*29/36)))</f>
        <v>-1.8921818710068981</v>
      </c>
      <c r="AV32" s="11">
        <f>3.3+0.9*SIN(RADIANS((0+(360-(0))*29/36)))</f>
        <v>2.4542766412926822</v>
      </c>
      <c r="AY32" s="11">
        <f>1.8+0.9*COS(RADIANS((0+(360-(0))*29/36)))</f>
        <v>2.1078181289931024</v>
      </c>
      <c r="AZ32" s="11">
        <f>3.3+0.9*SIN(RADIANS((0+(360-(0))*29/36)))</f>
        <v>2.4542766412926822</v>
      </c>
      <c r="BC32" s="11">
        <f>5.8+0.9*COS(RADIANS((0+(360-(0))*29/36)))</f>
        <v>6.1078181289931024</v>
      </c>
      <c r="BD32" s="11">
        <f>3.3+0.9*SIN(RADIANS((0+(360-(0))*29/36)))</f>
        <v>2.4542766412926822</v>
      </c>
    </row>
    <row r="33" spans="2:56" ht="45.95" customHeight="1" x14ac:dyDescent="0.25">
      <c r="B33" s="30" t="s">
        <v>230</v>
      </c>
      <c r="C33" s="30"/>
      <c r="D33" s="30"/>
      <c r="E33" s="30"/>
      <c r="F33" s="30"/>
      <c r="G33" s="30"/>
      <c r="AA33" s="11">
        <f>150</f>
        <v>150</v>
      </c>
      <c r="AB33" s="11">
        <f t="shared" si="0"/>
        <v>1.0075947781548287</v>
      </c>
      <c r="AC33" s="11">
        <f t="shared" si="1"/>
        <v>149.61874485752952</v>
      </c>
      <c r="AD33" s="11">
        <f t="shared" si="2"/>
        <v>0.99246246773059232</v>
      </c>
      <c r="AE33" s="11">
        <f t="shared" si="3"/>
        <v>1</v>
      </c>
      <c r="AU33" s="11">
        <f>-2.2+0.9*COS(RADIANS((0+(360-(0))*30/36)))</f>
        <v>-1.75</v>
      </c>
      <c r="AV33" s="11">
        <f>3.3+0.9*SIN(RADIANS((0+(360-(0))*30/36)))</f>
        <v>2.5205771365940048</v>
      </c>
      <c r="AY33" s="11">
        <f>1.8+0.9*COS(RADIANS((0+(360-(0))*30/36)))</f>
        <v>2.25</v>
      </c>
      <c r="AZ33" s="11">
        <f>3.3+0.9*SIN(RADIANS((0+(360-(0))*30/36)))</f>
        <v>2.5205771365940048</v>
      </c>
      <c r="BC33" s="11">
        <f>5.8+0.9*COS(RADIANS((0+(360-(0))*30/36)))</f>
        <v>6.25</v>
      </c>
      <c r="BD33" s="11">
        <f>3.3+0.9*SIN(RADIANS((0+(360-(0))*30/36)))</f>
        <v>2.5205771365940048</v>
      </c>
    </row>
    <row r="34" spans="2:56" ht="45.95" customHeight="1" x14ac:dyDescent="0.25">
      <c r="B34" s="30" t="s">
        <v>231</v>
      </c>
      <c r="C34" s="30"/>
      <c r="D34" s="30"/>
      <c r="E34" s="30"/>
      <c r="F34" s="30"/>
      <c r="G34" s="30"/>
      <c r="AA34" s="11">
        <f>155</f>
        <v>155</v>
      </c>
      <c r="AB34" s="11">
        <f t="shared" si="0"/>
        <v>1.0098190044801874</v>
      </c>
      <c r="AC34" s="11">
        <f t="shared" si="1"/>
        <v>154.66238854845122</v>
      </c>
      <c r="AD34" s="11">
        <f t="shared" si="2"/>
        <v>0.99027647089565141</v>
      </c>
      <c r="AE34" s="11">
        <f t="shared" si="3"/>
        <v>0.99999999999999989</v>
      </c>
      <c r="AU34" s="11">
        <f>-2.2+0.9*COS(RADIANS((0+(360-(0))*31/36)))</f>
        <v>-1.6214911512821149</v>
      </c>
      <c r="AV34" s="11">
        <f>3.3+0.9*SIN(RADIANS((0+(360-(0))*31/36)))</f>
        <v>2.6105600011929195</v>
      </c>
      <c r="AY34" s="11">
        <f>1.8+0.9*COS(RADIANS((0+(360-(0))*31/36)))</f>
        <v>2.3785088487178854</v>
      </c>
      <c r="AZ34" s="11">
        <f>3.3+0.9*SIN(RADIANS((0+(360-(0))*31/36)))</f>
        <v>2.6105600011929195</v>
      </c>
      <c r="BC34" s="11">
        <f>5.8+0.9*COS(RADIANS((0+(360-(0))*31/36)))</f>
        <v>6.3785088487178854</v>
      </c>
      <c r="BD34" s="11">
        <f>3.3+0.9*SIN(RADIANS((0+(360-(0))*31/36)))</f>
        <v>2.6105600011929195</v>
      </c>
    </row>
    <row r="35" spans="2:56" ht="45.95" customHeight="1" x14ac:dyDescent="0.25">
      <c r="B35" s="30" t="s">
        <v>232</v>
      </c>
      <c r="C35" s="30"/>
      <c r="D35" s="30"/>
      <c r="E35" s="30"/>
      <c r="F35" s="30"/>
      <c r="G35" s="30"/>
      <c r="AA35" s="11">
        <f>160</f>
        <v>160</v>
      </c>
      <c r="AB35" s="11">
        <f t="shared" ref="AB35:AB66" si="6">COS(RADIANS($C$6))/(1-SIN(RADIANS($C$6))^2*COS(RADIANS(AA35))^2)</f>
        <v>1.0117469086264812</v>
      </c>
      <c r="AC35" s="11">
        <f t="shared" ref="AC35:AC66" si="7">DEGREES(ATAN2(COS(RADIANS(AA35))*COS(RADIANS($C$6)),SIN(RADIANS(AA35))))</f>
        <v>159.71644054547028</v>
      </c>
      <c r="AD35" s="11">
        <f t="shared" ref="AD35:AD66" si="8">COS(RADIANS($C$7))/(1-SIN(RADIANS($C$7))^2*SIN(RADIANS(AC35+$C$8))^2)</f>
        <v>0.9883894791016179</v>
      </c>
      <c r="AE35" s="11">
        <f t="shared" ref="AE35:AE66" si="9">AB35*AD35</f>
        <v>1</v>
      </c>
      <c r="AU35" s="11">
        <f>-2.2+0.9*COS(RADIANS((0+(360-(0))*32/36)))</f>
        <v>-1.5105600011929201</v>
      </c>
      <c r="AV35" s="11">
        <f>3.3+0.9*SIN(RADIANS((0+(360-(0))*32/36)))</f>
        <v>2.7214911512821143</v>
      </c>
      <c r="AY35" s="11">
        <f>1.8+0.9*COS(RADIANS((0+(360-(0))*32/36)))</f>
        <v>2.4894399988070801</v>
      </c>
      <c r="AZ35" s="11">
        <f>3.3+0.9*SIN(RADIANS((0+(360-(0))*32/36)))</f>
        <v>2.7214911512821143</v>
      </c>
      <c r="BC35" s="11">
        <f>5.8+0.9*COS(RADIANS((0+(360-(0))*32/36)))</f>
        <v>6.4894399988070797</v>
      </c>
      <c r="BD35" s="11">
        <f>3.3+0.9*SIN(RADIANS((0+(360-(0))*32/36)))</f>
        <v>2.7214911512821143</v>
      </c>
    </row>
    <row r="36" spans="2:56" ht="45.95" customHeight="1" x14ac:dyDescent="0.25">
      <c r="B36" s="30" t="s">
        <v>233</v>
      </c>
      <c r="C36" s="30"/>
      <c r="D36" s="30"/>
      <c r="E36" s="30"/>
      <c r="F36" s="30"/>
      <c r="G36" s="30"/>
      <c r="AA36" s="11">
        <f>165</f>
        <v>165</v>
      </c>
      <c r="AB36" s="11">
        <f t="shared" si="6"/>
        <v>1.0133161623452727</v>
      </c>
      <c r="AC36" s="11">
        <f t="shared" si="7"/>
        <v>164.77925926558794</v>
      </c>
      <c r="AD36" s="11">
        <f t="shared" si="8"/>
        <v>0.98685882763928967</v>
      </c>
      <c r="AE36" s="11">
        <f t="shared" si="9"/>
        <v>0.99999999999999989</v>
      </c>
      <c r="AU36" s="11">
        <f>-2.2+0.9*COS(RADIANS((0+(360-(0))*33/36)))</f>
        <v>-1.4205771365940056</v>
      </c>
      <c r="AV36" s="11">
        <f>3.3+0.9*SIN(RADIANS((0+(360-(0))*33/36)))</f>
        <v>2.8499999999999996</v>
      </c>
      <c r="AY36" s="11">
        <f>1.8+0.9*COS(RADIANS((0+(360-(0))*33/36)))</f>
        <v>2.5794228634059948</v>
      </c>
      <c r="AZ36" s="11">
        <f>3.3+0.9*SIN(RADIANS((0+(360-(0))*33/36)))</f>
        <v>2.8499999999999996</v>
      </c>
      <c r="BC36" s="11">
        <f>5.8+0.9*COS(RADIANS((0+(360-(0))*33/36)))</f>
        <v>6.5794228634059948</v>
      </c>
      <c r="BD36" s="11">
        <f>3.3+0.9*SIN(RADIANS((0+(360-(0))*33/36)))</f>
        <v>2.8499999999999996</v>
      </c>
    </row>
    <row r="37" spans="2:56" x14ac:dyDescent="0.25">
      <c r="AA37" s="11">
        <f>170</f>
        <v>170</v>
      </c>
      <c r="AB37" s="11">
        <f t="shared" si="6"/>
        <v>1.0144755263509073</v>
      </c>
      <c r="AC37" s="11">
        <f t="shared" si="7"/>
        <v>169.84891828895189</v>
      </c>
      <c r="AD37" s="11">
        <f t="shared" si="8"/>
        <v>0.98573102457880257</v>
      </c>
      <c r="AE37" s="11">
        <f t="shared" si="9"/>
        <v>0.99999999999999989</v>
      </c>
      <c r="AU37" s="11">
        <f>-2.2+0.9*COS(RADIANS((0+(360-(0))*34/36)))</f>
        <v>-1.3542766412926825</v>
      </c>
      <c r="AV37" s="11">
        <f>3.3+0.9*SIN(RADIANS((0+(360-(0))*34/36)))</f>
        <v>2.9921818710068981</v>
      </c>
      <c r="AY37" s="11">
        <f>1.8+0.9*COS(RADIANS((0+(360-(0))*34/36)))</f>
        <v>2.6457233587073175</v>
      </c>
      <c r="AZ37" s="11">
        <f>3.3+0.9*SIN(RADIANS((0+(360-(0))*34/36)))</f>
        <v>2.9921818710068981</v>
      </c>
      <c r="BC37" s="11">
        <f>5.8+0.9*COS(RADIANS((0+(360-(0))*34/36)))</f>
        <v>6.6457233587073175</v>
      </c>
      <c r="BD37" s="11">
        <f>3.3+0.9*SIN(RADIANS((0+(360-(0))*34/36)))</f>
        <v>2.9921818710068981</v>
      </c>
    </row>
    <row r="38" spans="2:56" x14ac:dyDescent="0.25">
      <c r="AA38" s="11">
        <f>175</f>
        <v>175</v>
      </c>
      <c r="AB38" s="11">
        <f t="shared" si="6"/>
        <v>1.0151868525407848</v>
      </c>
      <c r="AC38" s="11">
        <f t="shared" si="7"/>
        <v>174.92326698343027</v>
      </c>
      <c r="AD38" s="11">
        <f t="shared" si="8"/>
        <v>0.98504033764545362</v>
      </c>
      <c r="AE38" s="11">
        <f t="shared" si="9"/>
        <v>1</v>
      </c>
      <c r="AU38" s="11">
        <f>-2.2+0.9*COS(RADIANS((0+(360-(0))*35/36)))</f>
        <v>-1.3136730222890129</v>
      </c>
      <c r="AV38" s="11">
        <f>3.3+0.9*SIN(RADIANS((0+(360-(0))*35/36)))</f>
        <v>3.1437166400997625</v>
      </c>
      <c r="AY38" s="11">
        <f>1.8+0.9*COS(RADIANS((0+(360-(0))*35/36)))</f>
        <v>2.6863269777109871</v>
      </c>
      <c r="AZ38" s="11">
        <f>3.3+0.9*SIN(RADIANS((0+(360-(0))*35/36)))</f>
        <v>3.1437166400997625</v>
      </c>
      <c r="BC38" s="11">
        <f>5.8+0.9*COS(RADIANS((0+(360-(0))*35/36)))</f>
        <v>6.6863269777109871</v>
      </c>
      <c r="BD38" s="11">
        <f>3.3+0.9*SIN(RADIANS((0+(360-(0))*35/36)))</f>
        <v>3.1437166400997625</v>
      </c>
    </row>
    <row r="39" spans="2:56" x14ac:dyDescent="0.25">
      <c r="AA39" s="11">
        <f>180</f>
        <v>180</v>
      </c>
      <c r="AB39" s="11">
        <f t="shared" si="6"/>
        <v>1.0154266118857449</v>
      </c>
      <c r="AC39" s="11">
        <f t="shared" si="7"/>
        <v>180</v>
      </c>
      <c r="AD39" s="11">
        <f t="shared" si="8"/>
        <v>0.98480775301220802</v>
      </c>
      <c r="AE39" s="11">
        <f t="shared" si="9"/>
        <v>0.99999999999999989</v>
      </c>
      <c r="AU39" s="11">
        <f>-2.2+0.9*COS(RADIANS((0+(360-(0))*36/36)))</f>
        <v>-1.3000000000000003</v>
      </c>
      <c r="AV39" s="11">
        <f>3.3+0.9*SIN(RADIANS((0+(360-(0))*36/36)))</f>
        <v>3.3</v>
      </c>
      <c r="AY39" s="11">
        <f>1.8+0.9*COS(RADIANS((0+(360-(0))*36/36)))</f>
        <v>2.7</v>
      </c>
      <c r="AZ39" s="11">
        <f>3.3+0.9*SIN(RADIANS((0+(360-(0))*36/36)))</f>
        <v>3.3</v>
      </c>
      <c r="BC39" s="11">
        <f>5.8+0.9*COS(RADIANS((0+(360-(0))*36/36)))</f>
        <v>6.7</v>
      </c>
      <c r="BD39" s="11">
        <f>3.3+0.9*SIN(RADIANS((0+(360-(0))*36/36)))</f>
        <v>3.3</v>
      </c>
    </row>
    <row r="40" spans="2:56" x14ac:dyDescent="0.25">
      <c r="AA40" s="11">
        <f>185</f>
        <v>185</v>
      </c>
      <c r="AB40" s="11">
        <f t="shared" si="6"/>
        <v>1.0151868525407848</v>
      </c>
      <c r="AC40" s="11">
        <f t="shared" si="7"/>
        <v>-174.9232669834303</v>
      </c>
      <c r="AD40" s="11">
        <f t="shared" si="8"/>
        <v>0.98504033764545362</v>
      </c>
      <c r="AE40" s="11">
        <f t="shared" si="9"/>
        <v>1</v>
      </c>
    </row>
    <row r="41" spans="2:56" x14ac:dyDescent="0.25">
      <c r="AA41" s="11">
        <f>190</f>
        <v>190</v>
      </c>
      <c r="AB41" s="11">
        <f t="shared" si="6"/>
        <v>1.0144755263509073</v>
      </c>
      <c r="AC41" s="11">
        <f t="shared" si="7"/>
        <v>-169.84891828895186</v>
      </c>
      <c r="AD41" s="11">
        <f t="shared" si="8"/>
        <v>0.98573102457880257</v>
      </c>
      <c r="AE41" s="11">
        <f t="shared" si="9"/>
        <v>0.99999999999999989</v>
      </c>
    </row>
    <row r="42" spans="2:56" x14ac:dyDescent="0.25">
      <c r="AA42" s="11">
        <f>195</f>
        <v>195</v>
      </c>
      <c r="AB42" s="11">
        <f t="shared" si="6"/>
        <v>1.0133161623452727</v>
      </c>
      <c r="AC42" s="11">
        <f t="shared" si="7"/>
        <v>-164.77925926558797</v>
      </c>
      <c r="AD42" s="11">
        <f t="shared" si="8"/>
        <v>0.98685882763928967</v>
      </c>
      <c r="AE42" s="11">
        <f t="shared" si="9"/>
        <v>0.99999999999999989</v>
      </c>
    </row>
    <row r="43" spans="2:56" x14ac:dyDescent="0.25">
      <c r="AA43" s="11">
        <f>200</f>
        <v>200</v>
      </c>
      <c r="AB43" s="11">
        <f t="shared" si="6"/>
        <v>1.0117469086264812</v>
      </c>
      <c r="AC43" s="11">
        <f t="shared" si="7"/>
        <v>-159.71644054547028</v>
      </c>
      <c r="AD43" s="11">
        <f t="shared" si="8"/>
        <v>0.9883894791016179</v>
      </c>
      <c r="AE43" s="11">
        <f t="shared" si="9"/>
        <v>1</v>
      </c>
    </row>
    <row r="44" spans="2:56" x14ac:dyDescent="0.25">
      <c r="AA44" s="11">
        <f>205</f>
        <v>205</v>
      </c>
      <c r="AB44" s="11">
        <f t="shared" si="6"/>
        <v>1.0098190044801874</v>
      </c>
      <c r="AC44" s="11">
        <f t="shared" si="7"/>
        <v>-154.66238854845125</v>
      </c>
      <c r="AD44" s="11">
        <f t="shared" si="8"/>
        <v>0.9902764708956513</v>
      </c>
      <c r="AE44" s="11">
        <f t="shared" si="9"/>
        <v>0.99999999999999978</v>
      </c>
    </row>
    <row r="45" spans="2:56" x14ac:dyDescent="0.25">
      <c r="AA45" s="11">
        <f>210</f>
        <v>210</v>
      </c>
      <c r="AB45" s="11">
        <f t="shared" si="6"/>
        <v>1.0075947781548287</v>
      </c>
      <c r="AC45" s="11">
        <f t="shared" si="7"/>
        <v>-149.61874485752949</v>
      </c>
      <c r="AD45" s="11">
        <f t="shared" si="8"/>
        <v>0.99246246773059232</v>
      </c>
      <c r="AE45" s="11">
        <f t="shared" si="9"/>
        <v>1</v>
      </c>
    </row>
    <row r="46" spans="2:56" x14ac:dyDescent="0.25">
      <c r="AA46" s="11">
        <f>215</f>
        <v>215</v>
      </c>
      <c r="AB46" s="11">
        <f t="shared" si="6"/>
        <v>1.0051452892839237</v>
      </c>
      <c r="AC46" s="11">
        <f t="shared" si="7"/>
        <v>-144.58681654670744</v>
      </c>
      <c r="AD46" s="11">
        <f t="shared" si="8"/>
        <v>0.99488104919877873</v>
      </c>
      <c r="AE46" s="11">
        <f t="shared" si="9"/>
        <v>0.99999999999999989</v>
      </c>
    </row>
    <row r="47" spans="2:56" x14ac:dyDescent="0.25">
      <c r="AA47" s="11">
        <f>220</f>
        <v>220</v>
      </c>
      <c r="AB47" s="11">
        <f t="shared" si="6"/>
        <v>1.0025477465911019</v>
      </c>
      <c r="AC47" s="11">
        <f t="shared" si="7"/>
        <v>-139.56753891378821</v>
      </c>
      <c r="AD47" s="11">
        <f t="shared" si="8"/>
        <v>0.99745872792616119</v>
      </c>
      <c r="AE47" s="11">
        <f t="shared" si="9"/>
        <v>0.99999999999999989</v>
      </c>
    </row>
    <row r="48" spans="2:56" x14ac:dyDescent="0.25">
      <c r="AA48" s="11">
        <f>225</f>
        <v>225</v>
      </c>
      <c r="AB48" s="11">
        <f t="shared" si="6"/>
        <v>0.99988283128114086</v>
      </c>
      <c r="AC48" s="11">
        <f t="shared" si="7"/>
        <v>-134.56145141325771</v>
      </c>
      <c r="AD48" s="11">
        <f t="shared" si="8"/>
        <v>1.0001171824489765</v>
      </c>
      <c r="AE48" s="11">
        <f t="shared" si="9"/>
        <v>1</v>
      </c>
    </row>
    <row r="49" spans="27:31" x14ac:dyDescent="0.25">
      <c r="AA49" s="11">
        <f>230</f>
        <v>230</v>
      </c>
      <c r="AB49" s="11">
        <f t="shared" si="6"/>
        <v>0.99723204586404413</v>
      </c>
      <c r="AC49" s="11">
        <f t="shared" si="7"/>
        <v>-129.56868695515496</v>
      </c>
      <c r="AD49" s="11">
        <f t="shared" si="8"/>
        <v>1.0027756369717917</v>
      </c>
      <c r="AE49" s="11">
        <f t="shared" si="9"/>
        <v>0.99999999999999989</v>
      </c>
    </row>
    <row r="50" spans="27:31" x14ac:dyDescent="0.25">
      <c r="AA50" s="11">
        <f>235</f>
        <v>235</v>
      </c>
      <c r="AB50" s="11">
        <f t="shared" si="6"/>
        <v>0.99467518969144564</v>
      </c>
      <c r="AC50" s="11">
        <f t="shared" si="7"/>
        <v>-124.58897418065793</v>
      </c>
      <c r="AD50" s="11">
        <f t="shared" si="8"/>
        <v>1.0053533156991741</v>
      </c>
      <c r="AE50" s="11">
        <f t="shared" si="9"/>
        <v>0.99999999999999978</v>
      </c>
    </row>
    <row r="51" spans="27:31" x14ac:dyDescent="0.25">
      <c r="AA51" s="11">
        <f>240</f>
        <v>240</v>
      </c>
      <c r="AB51" s="11">
        <f t="shared" si="6"/>
        <v>0.9922880393974014</v>
      </c>
      <c r="AC51" s="11">
        <f t="shared" si="7"/>
        <v>-119.62165187519552</v>
      </c>
      <c r="AD51" s="11">
        <f t="shared" si="8"/>
        <v>1.0077718971673608</v>
      </c>
      <c r="AE51" s="11">
        <f t="shared" si="9"/>
        <v>1</v>
      </c>
    </row>
    <row r="52" spans="27:31" x14ac:dyDescent="0.25">
      <c r="AA52" s="11">
        <f>245</f>
        <v>245</v>
      </c>
      <c r="AB52" s="11">
        <f t="shared" si="6"/>
        <v>0.99014028796503561</v>
      </c>
      <c r="AC52" s="11">
        <f t="shared" si="7"/>
        <v>-114.66569435017509</v>
      </c>
      <c r="AD52" s="11">
        <f t="shared" si="8"/>
        <v>1.0099578940023015</v>
      </c>
      <c r="AE52" s="11">
        <f t="shared" si="9"/>
        <v>0.99999999999999978</v>
      </c>
    </row>
    <row r="53" spans="27:31" x14ac:dyDescent="0.25">
      <c r="AA53" s="11">
        <f>250</f>
        <v>250</v>
      </c>
      <c r="AB53" s="11">
        <f t="shared" si="6"/>
        <v>0.9882937731241157</v>
      </c>
      <c r="AC53" s="11">
        <f t="shared" si="7"/>
        <v>-109.71974641445907</v>
      </c>
      <c r="AD53" s="11">
        <f t="shared" si="8"/>
        <v>1.0118448857963351</v>
      </c>
      <c r="AE53" s="11">
        <f t="shared" si="9"/>
        <v>1</v>
      </c>
    </row>
    <row r="54" spans="27:31" x14ac:dyDescent="0.25">
      <c r="AA54" s="11">
        <f>255</f>
        <v>255</v>
      </c>
      <c r="AB54" s="11">
        <f t="shared" si="6"/>
        <v>0.98680100637237977</v>
      </c>
      <c r="AC54" s="11">
        <f t="shared" si="7"/>
        <v>-104.78216645357467</v>
      </c>
      <c r="AD54" s="11">
        <f t="shared" si="8"/>
        <v>1.0133755372586633</v>
      </c>
      <c r="AE54" s="11">
        <f t="shared" si="9"/>
        <v>0.99999999999999989</v>
      </c>
    </row>
    <row r="55" spans="27:31" x14ac:dyDescent="0.25">
      <c r="AA55" s="11">
        <f>260</f>
        <v>260</v>
      </c>
      <c r="AB55" s="11">
        <f t="shared" si="6"/>
        <v>0.98570399944214293</v>
      </c>
      <c r="AC55" s="11">
        <f t="shared" si="7"/>
        <v>-99.851076116583897</v>
      </c>
      <c r="AD55" s="11">
        <f t="shared" si="8"/>
        <v>1.0145033403191503</v>
      </c>
      <c r="AE55" s="11">
        <f t="shared" si="9"/>
        <v>0.99999999999999989</v>
      </c>
    </row>
    <row r="56" spans="27:31" x14ac:dyDescent="0.25">
      <c r="AA56" s="11">
        <f>265</f>
        <v>265</v>
      </c>
      <c r="AB56" s="11">
        <f t="shared" si="6"/>
        <v>0.98503337603982921</v>
      </c>
      <c r="AC56" s="11">
        <f t="shared" si="7"/>
        <v>-94.924415151213694</v>
      </c>
      <c r="AD56" s="11">
        <f t="shared" si="8"/>
        <v>1.0151940272524993</v>
      </c>
      <c r="AE56" s="11">
        <f t="shared" si="9"/>
        <v>0.99999999999999978</v>
      </c>
    </row>
    <row r="57" spans="27:31" x14ac:dyDescent="0.25">
      <c r="AA57" s="11">
        <f>270</f>
        <v>270</v>
      </c>
      <c r="AB57" s="11">
        <f t="shared" si="6"/>
        <v>0.98480775301220802</v>
      </c>
      <c r="AC57" s="11">
        <f t="shared" si="7"/>
        <v>-90.000000000000014</v>
      </c>
      <c r="AD57" s="11">
        <f t="shared" si="8"/>
        <v>1.0154266118857449</v>
      </c>
      <c r="AE57" s="11">
        <f t="shared" si="9"/>
        <v>0.99999999999999989</v>
      </c>
    </row>
    <row r="58" spans="27:31" x14ac:dyDescent="0.25">
      <c r="AA58" s="11">
        <f>275</f>
        <v>275</v>
      </c>
      <c r="AB58" s="11">
        <f t="shared" si="6"/>
        <v>0.98503337603982921</v>
      </c>
      <c r="AC58" s="11">
        <f t="shared" si="7"/>
        <v>-85.07558484878632</v>
      </c>
      <c r="AD58" s="11">
        <f t="shared" si="8"/>
        <v>1.0151940272524993</v>
      </c>
      <c r="AE58" s="11">
        <f t="shared" si="9"/>
        <v>0.99999999999999978</v>
      </c>
    </row>
    <row r="59" spans="27:31" x14ac:dyDescent="0.25">
      <c r="AA59" s="11">
        <f>280</f>
        <v>280</v>
      </c>
      <c r="AB59" s="11">
        <f t="shared" si="6"/>
        <v>0.98570399944214293</v>
      </c>
      <c r="AC59" s="11">
        <f t="shared" si="7"/>
        <v>-80.148923883416117</v>
      </c>
      <c r="AD59" s="11">
        <f t="shared" si="8"/>
        <v>1.0145033403191503</v>
      </c>
      <c r="AE59" s="11">
        <f t="shared" si="9"/>
        <v>0.99999999999999989</v>
      </c>
    </row>
    <row r="60" spans="27:31" x14ac:dyDescent="0.25">
      <c r="AA60" s="11">
        <f>285</f>
        <v>285</v>
      </c>
      <c r="AB60" s="11">
        <f t="shared" si="6"/>
        <v>0.98680100637237977</v>
      </c>
      <c r="AC60" s="11">
        <f t="shared" si="7"/>
        <v>-75.217833546425354</v>
      </c>
      <c r="AD60" s="11">
        <f t="shared" si="8"/>
        <v>1.0133755372586633</v>
      </c>
      <c r="AE60" s="11">
        <f t="shared" si="9"/>
        <v>0.99999999999999989</v>
      </c>
    </row>
    <row r="61" spans="27:31" x14ac:dyDescent="0.25">
      <c r="AA61" s="11">
        <f>290</f>
        <v>290</v>
      </c>
      <c r="AB61" s="11">
        <f t="shared" si="6"/>
        <v>0.9882937731241157</v>
      </c>
      <c r="AC61" s="11">
        <f t="shared" si="7"/>
        <v>-70.280253585540905</v>
      </c>
      <c r="AD61" s="11">
        <f t="shared" si="8"/>
        <v>1.0118448857963351</v>
      </c>
      <c r="AE61" s="11">
        <f t="shared" si="9"/>
        <v>1</v>
      </c>
    </row>
    <row r="62" spans="27:31" x14ac:dyDescent="0.25">
      <c r="AA62" s="11">
        <f>295</f>
        <v>295</v>
      </c>
      <c r="AB62" s="11">
        <f t="shared" si="6"/>
        <v>0.99014028796503573</v>
      </c>
      <c r="AC62" s="11">
        <f t="shared" si="7"/>
        <v>-65.334305649824884</v>
      </c>
      <c r="AD62" s="11">
        <f t="shared" si="8"/>
        <v>1.0099578940023015</v>
      </c>
      <c r="AE62" s="11">
        <f t="shared" si="9"/>
        <v>0.99999999999999989</v>
      </c>
    </row>
    <row r="63" spans="27:31" x14ac:dyDescent="0.25">
      <c r="AA63" s="11">
        <f>300</f>
        <v>300</v>
      </c>
      <c r="AB63" s="11">
        <f t="shared" si="6"/>
        <v>0.9922880393974014</v>
      </c>
      <c r="AC63" s="11">
        <f t="shared" si="7"/>
        <v>-60.378348124804496</v>
      </c>
      <c r="AD63" s="11">
        <f t="shared" si="8"/>
        <v>1.0077718971673608</v>
      </c>
      <c r="AE63" s="11">
        <f t="shared" si="9"/>
        <v>1</v>
      </c>
    </row>
    <row r="64" spans="27:31" x14ac:dyDescent="0.25">
      <c r="AA64" s="11">
        <f>305</f>
        <v>305</v>
      </c>
      <c r="AB64" s="11">
        <f t="shared" si="6"/>
        <v>0.99467518969144564</v>
      </c>
      <c r="AC64" s="11">
        <f t="shared" si="7"/>
        <v>-55.411025819342107</v>
      </c>
      <c r="AD64" s="11">
        <f t="shared" si="8"/>
        <v>1.0053533156991743</v>
      </c>
      <c r="AE64" s="11">
        <f t="shared" si="9"/>
        <v>1</v>
      </c>
    </row>
    <row r="65" spans="27:31" x14ac:dyDescent="0.25">
      <c r="AA65" s="11">
        <f>310</f>
        <v>310</v>
      </c>
      <c r="AB65" s="11">
        <f t="shared" si="6"/>
        <v>0.99723204586404413</v>
      </c>
      <c r="AC65" s="11">
        <f t="shared" si="7"/>
        <v>-50.431313044845041</v>
      </c>
      <c r="AD65" s="11">
        <f t="shared" si="8"/>
        <v>1.0027756369717917</v>
      </c>
      <c r="AE65" s="11">
        <f t="shared" si="9"/>
        <v>0.99999999999999989</v>
      </c>
    </row>
    <row r="66" spans="27:31" x14ac:dyDescent="0.25">
      <c r="AA66" s="11">
        <f>315</f>
        <v>315</v>
      </c>
      <c r="AB66" s="11">
        <f t="shared" si="6"/>
        <v>0.99988283128114086</v>
      </c>
      <c r="AC66" s="11">
        <f t="shared" si="7"/>
        <v>-45.438548586742321</v>
      </c>
      <c r="AD66" s="11">
        <f t="shared" si="8"/>
        <v>1.0001171824489765</v>
      </c>
      <c r="AE66" s="11">
        <f t="shared" si="9"/>
        <v>1</v>
      </c>
    </row>
    <row r="67" spans="27:31" x14ac:dyDescent="0.25">
      <c r="AA67" s="11">
        <f>320</f>
        <v>320</v>
      </c>
      <c r="AB67" s="11">
        <f t="shared" ref="AB67:AB98" si="10">COS(RADIANS($C$6))/(1-SIN(RADIANS($C$6))^2*COS(RADIANS(AA67))^2)</f>
        <v>1.0025477465911019</v>
      </c>
      <c r="AC67" s="11">
        <f t="shared" ref="AC67:AC75" si="11">DEGREES(ATAN2(COS(RADIANS(AA67))*COS(RADIANS($C$6)),SIN(RADIANS(AA67))))</f>
        <v>-40.432461086211781</v>
      </c>
      <c r="AD67" s="11">
        <f t="shared" ref="AD67:AD98" si="12">COS(RADIANS($C$7))/(1-SIN(RADIANS($C$7))^2*SIN(RADIANS(AC67+$C$8))^2)</f>
        <v>0.99745872792616119</v>
      </c>
      <c r="AE67" s="11">
        <f t="shared" ref="AE67:AE98" si="13">AB67*AD67</f>
        <v>0.99999999999999989</v>
      </c>
    </row>
    <row r="68" spans="27:31" x14ac:dyDescent="0.25">
      <c r="AA68" s="11">
        <f>325</f>
        <v>325</v>
      </c>
      <c r="AB68" s="11">
        <f t="shared" si="10"/>
        <v>1.0051452892839237</v>
      </c>
      <c r="AC68" s="11">
        <f t="shared" si="11"/>
        <v>-35.413183453292575</v>
      </c>
      <c r="AD68" s="11">
        <f t="shared" si="12"/>
        <v>0.99488104919877873</v>
      </c>
      <c r="AE68" s="11">
        <f t="shared" si="13"/>
        <v>0.99999999999999989</v>
      </c>
    </row>
    <row r="69" spans="27:31" x14ac:dyDescent="0.25">
      <c r="AA69" s="11">
        <f>330</f>
        <v>330</v>
      </c>
      <c r="AB69" s="11">
        <f t="shared" si="10"/>
        <v>1.0075947781548287</v>
      </c>
      <c r="AC69" s="11">
        <f t="shared" si="11"/>
        <v>-30.381255142470522</v>
      </c>
      <c r="AD69" s="11">
        <f t="shared" si="12"/>
        <v>0.99246246773059232</v>
      </c>
      <c r="AE69" s="11">
        <f t="shared" si="13"/>
        <v>1</v>
      </c>
    </row>
    <row r="70" spans="27:31" x14ac:dyDescent="0.25">
      <c r="AA70" s="11">
        <f>335</f>
        <v>335</v>
      </c>
      <c r="AB70" s="11">
        <f t="shared" si="10"/>
        <v>1.0098190044801874</v>
      </c>
      <c r="AC70" s="11">
        <f t="shared" si="11"/>
        <v>-25.337611451548764</v>
      </c>
      <c r="AD70" s="11">
        <f t="shared" si="12"/>
        <v>0.9902764708956513</v>
      </c>
      <c r="AE70" s="11">
        <f t="shared" si="13"/>
        <v>0.99999999999999978</v>
      </c>
    </row>
    <row r="71" spans="27:31" x14ac:dyDescent="0.25">
      <c r="AA71" s="11">
        <f>340</f>
        <v>340</v>
      </c>
      <c r="AB71" s="11">
        <f t="shared" si="10"/>
        <v>1.0117469086264812</v>
      </c>
      <c r="AC71" s="11">
        <f t="shared" si="11"/>
        <v>-20.283559454529712</v>
      </c>
      <c r="AD71" s="11">
        <f t="shared" si="12"/>
        <v>0.9883894791016179</v>
      </c>
      <c r="AE71" s="11">
        <f t="shared" si="13"/>
        <v>1</v>
      </c>
    </row>
    <row r="72" spans="27:31" x14ac:dyDescent="0.25">
      <c r="AA72" s="11">
        <f>345</f>
        <v>345</v>
      </c>
      <c r="AB72" s="11">
        <f t="shared" si="10"/>
        <v>1.0133161623452727</v>
      </c>
      <c r="AC72" s="11">
        <f t="shared" si="11"/>
        <v>-15.220740734412033</v>
      </c>
      <c r="AD72" s="11">
        <f t="shared" si="12"/>
        <v>0.98685882763928967</v>
      </c>
      <c r="AE72" s="11">
        <f t="shared" si="13"/>
        <v>0.99999999999999989</v>
      </c>
    </row>
    <row r="73" spans="27:31" x14ac:dyDescent="0.25">
      <c r="AA73" s="11">
        <f>350</f>
        <v>350</v>
      </c>
      <c r="AB73" s="11">
        <f t="shared" si="10"/>
        <v>1.0144755263509073</v>
      </c>
      <c r="AC73" s="11">
        <f t="shared" si="11"/>
        <v>-10.151081711048137</v>
      </c>
      <c r="AD73" s="11">
        <f t="shared" si="12"/>
        <v>0.98573102457880257</v>
      </c>
      <c r="AE73" s="11">
        <f t="shared" si="13"/>
        <v>0.99999999999999989</v>
      </c>
    </row>
    <row r="74" spans="27:31" x14ac:dyDescent="0.25">
      <c r="AA74" s="11">
        <f>355</f>
        <v>355</v>
      </c>
      <c r="AB74" s="11">
        <f t="shared" si="10"/>
        <v>1.0151868525407848</v>
      </c>
      <c r="AC74" s="11">
        <f t="shared" si="11"/>
        <v>-5.0767330165697269</v>
      </c>
      <c r="AD74" s="11">
        <f t="shared" si="12"/>
        <v>0.98504033764545362</v>
      </c>
      <c r="AE74" s="11">
        <f t="shared" si="13"/>
        <v>1</v>
      </c>
    </row>
    <row r="75" spans="27:31" x14ac:dyDescent="0.25">
      <c r="AA75" s="11">
        <f>360</f>
        <v>360</v>
      </c>
      <c r="AB75" s="11">
        <f t="shared" si="10"/>
        <v>1.0154266118857449</v>
      </c>
      <c r="AC75" s="11">
        <f t="shared" si="11"/>
        <v>-1.4255743931448843E-14</v>
      </c>
      <c r="AD75" s="11">
        <f t="shared" si="12"/>
        <v>0.98480775301220802</v>
      </c>
      <c r="AE75" s="11">
        <f t="shared" si="13"/>
        <v>0.99999999999999989</v>
      </c>
    </row>
  </sheetData>
  <sheetProtection sheet="1" scenarios="1"/>
  <mergeCells count="13">
    <mergeCell ref="B34:G34"/>
    <mergeCell ref="B35:G35"/>
    <mergeCell ref="B36:G36"/>
    <mergeCell ref="B20:G20"/>
    <mergeCell ref="B30:G30"/>
    <mergeCell ref="T6:Y12"/>
    <mergeCell ref="B32:G32"/>
    <mergeCell ref="B33:G33"/>
    <mergeCell ref="A1:Y1"/>
    <mergeCell ref="A2:Y2"/>
    <mergeCell ref="B4:G4"/>
    <mergeCell ref="B10:G10"/>
    <mergeCell ref="B18:G18"/>
  </mergeCells>
  <dataValidations count="4">
    <dataValidation type="decimal" allowBlank="1" showInputMessage="1" showErrorMessage="1" errorTitle="Valor fuera de rango" error="Escriba un valor entre 0 y 45." promptTitle="Rango" prompt="De 0 a 45 °" sqref="C6:C7" xr:uid="{00000000-0002-0000-0300-000000000000}">
      <formula1>0</formula1>
      <formula2>45</formula2>
    </dataValidation>
    <dataValidation type="decimal" allowBlank="1" showInputMessage="1" showErrorMessage="1" errorTitle="Valor fuera de rango" error="Escriba un valor entre 0 y 90." promptTitle="Rango" prompt="De 0 a 90 °" sqref="C8" xr:uid="{00000000-0002-0000-0300-000002000000}">
      <formula1>0</formula1>
      <formula2>90</formula2>
    </dataValidation>
    <dataValidation type="decimal" allowBlank="1" showInputMessage="1" showErrorMessage="1" errorTitle="Valor fuera de rango" error="Escriba un valor entre 0 y 360." promptTitle="Rango" prompt="De 0 a 360 °" sqref="C9" xr:uid="{00000000-0002-0000-0300-000003000000}">
      <formula1>0</formula1>
      <formula2>360</formula2>
    </dataValidation>
    <dataValidation type="decimal" allowBlank="1" showInputMessage="1" showErrorMessage="1" errorTitle="Valor fuera de rango" error="Escriba un valor entre 0.8 y 2.0." promptTitle="Rango" prompt="De 0.8 a 2.0 m" sqref="C21" xr:uid="{00000000-0002-0000-0300-000004000000}">
      <formula1>0.8</formula1>
      <formula2>2</formula2>
    </dataValidation>
  </dataValidations>
  <hyperlinks>
    <hyperlink ref="B3" location="'Inicio'!A1" display="◄ Volver al inicio" xr:uid="{00000000-0004-0000-0300-000000000000}"/>
  </hyperlinks>
  <pageMargins left="0.4" right="0.4" top="0.5" bottom="0.5" header="0.3" footer="0.3"/>
  <pageSetup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pageSetUpPr fitToPage="1"/>
  </sheetPr>
  <dimension ref="A1:CZ38"/>
  <sheetViews>
    <sheetView showGridLines="0" topLeftCell="A7" workbookViewId="0">
      <selection sqref="A1:Y1"/>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52" ht="30" customHeight="1" x14ac:dyDescent="0.25">
      <c r="A1" s="24" t="s">
        <v>234</v>
      </c>
      <c r="B1" s="24"/>
      <c r="C1" s="24"/>
      <c r="D1" s="24"/>
      <c r="E1" s="24"/>
      <c r="F1" s="24"/>
      <c r="G1" s="24"/>
      <c r="H1" s="24"/>
      <c r="I1" s="24"/>
      <c r="J1" s="24"/>
      <c r="K1" s="24"/>
      <c r="L1" s="24"/>
      <c r="M1" s="24"/>
      <c r="N1" s="24"/>
      <c r="O1" s="24"/>
      <c r="P1" s="24"/>
      <c r="Q1" s="24"/>
      <c r="R1" s="24"/>
      <c r="S1" s="24"/>
      <c r="T1" s="24"/>
      <c r="U1" s="24"/>
      <c r="V1" s="24"/>
      <c r="W1" s="24"/>
      <c r="X1" s="24"/>
      <c r="Y1" s="24"/>
      <c r="AA1" s="11">
        <f>MIN(70,DEGREES(11/$C$12))</f>
        <v>60.024149966086249</v>
      </c>
      <c r="AU1" s="11" t="str">
        <f>"Curva a la izquierda, R = "&amp;FIXED($C$12,1)&amp;" m: interior "&amp;FIXED($C$18,0)&amp;" · exterior "&amp;FIXED($C$19,0)&amp;" min⁻¹"</f>
        <v>Curva a la izquierda, R = 10.5 m: interior 330 · exterior 377 min⁻¹</v>
      </c>
    </row>
    <row r="2" spans="1:52" x14ac:dyDescent="0.25">
      <c r="A2" s="25" t="s">
        <v>235</v>
      </c>
      <c r="B2" s="25"/>
      <c r="C2" s="25"/>
      <c r="D2" s="25"/>
      <c r="E2" s="25"/>
      <c r="F2" s="25"/>
      <c r="G2" s="25"/>
      <c r="H2" s="25"/>
      <c r="I2" s="25"/>
      <c r="J2" s="25"/>
      <c r="K2" s="25"/>
      <c r="L2" s="25"/>
      <c r="M2" s="25"/>
      <c r="N2" s="25"/>
      <c r="O2" s="25"/>
      <c r="P2" s="25"/>
      <c r="Q2" s="25"/>
      <c r="R2" s="25"/>
      <c r="S2" s="25"/>
      <c r="T2" s="25"/>
      <c r="U2" s="25"/>
      <c r="V2" s="25"/>
      <c r="W2" s="25"/>
      <c r="X2" s="25"/>
      <c r="Y2" s="25"/>
      <c r="AW2" s="13" t="s">
        <v>259</v>
      </c>
      <c r="AX2" s="13" t="s">
        <v>260</v>
      </c>
      <c r="AY2" s="13" t="s">
        <v>261</v>
      </c>
      <c r="AZ2" s="13" t="s">
        <v>262</v>
      </c>
    </row>
    <row r="3" spans="1:52" x14ac:dyDescent="0.25">
      <c r="B3" s="8" t="s">
        <v>55</v>
      </c>
      <c r="AA3" s="11">
        <f>-$C$12+($C$12-$C$10/2)*COS(RADIANS((-$AA$1+($AA$1-(-$AA$1))*0/30)))</f>
        <v>-5.6035776959317642</v>
      </c>
      <c r="AB3" s="11">
        <f>0+($C$12-$C$10/2)*SIN(RADIANS((-$AA$1+($AA$1-(-$AA$1))*0/30)))</f>
        <v>-8.4891135355950524</v>
      </c>
      <c r="AC3" s="11">
        <f>-$C$12+($C$12+$C$10/2)*COS(RADIANS((-$AA$1+($AA$1-(-$AA$1))*0/30)))</f>
        <v>-4.9040887953505887</v>
      </c>
      <c r="AD3" s="11">
        <f>0+($C$12+$C$10/2)*SIN(RADIANS((-$AA$1+($AA$1-(-$AA$1))*0/30)))</f>
        <v>-9.7018440406800579</v>
      </c>
      <c r="AE3" s="11">
        <f>-$C$12+$C$12*COS(RADIANS((-$AA$1+($AA$1-(-$AA$1))*0/30)))</f>
        <v>-5.2538332456411769</v>
      </c>
      <c r="AF3" s="11">
        <f>0+$C$12*SIN(RADIANS((-$AA$1+($AA$1-(-$AA$1))*0/30)))</f>
        <v>-9.0954787881375552</v>
      </c>
      <c r="AG3" s="11">
        <f>-($C$10/2+0.15)</f>
        <v>-0.85</v>
      </c>
      <c r="AH3" s="11">
        <v>-1</v>
      </c>
      <c r="AI3" s="11">
        <f>-1*$C$10/2-0.13</f>
        <v>-0.83</v>
      </c>
      <c r="AJ3" s="11">
        <v>-0.35</v>
      </c>
      <c r="AK3" s="11">
        <f>1*$C$10/2-0.13</f>
        <v>0.56999999999999995</v>
      </c>
      <c r="AL3" s="11">
        <v>-0.35</v>
      </c>
      <c r="AM3" s="11">
        <f>-1*$C$10/2-0.13</f>
        <v>-0.83</v>
      </c>
      <c r="AN3" s="11">
        <v>2.25</v>
      </c>
      <c r="AO3" s="11">
        <f>1*$C$10/2-0.13</f>
        <v>0.56999999999999995</v>
      </c>
      <c r="AP3" s="11">
        <v>2.25</v>
      </c>
      <c r="AQ3" s="11">
        <f>-$C$10/2</f>
        <v>-0.7</v>
      </c>
      <c r="AR3" s="11">
        <v>0</v>
      </c>
      <c r="AS3" s="11">
        <f>-$C$12</f>
        <v>-10.5</v>
      </c>
      <c r="AT3" s="11">
        <v>0</v>
      </c>
      <c r="AW3" s="11" t="s">
        <v>263</v>
      </c>
      <c r="AX3" s="11">
        <f>$C$18</f>
        <v>330.09136457412325</v>
      </c>
      <c r="AY3" s="11" t="s">
        <v>266</v>
      </c>
      <c r="AZ3" s="11">
        <f>$C$28</f>
        <v>1050</v>
      </c>
    </row>
    <row r="4" spans="1:52" x14ac:dyDescent="0.25">
      <c r="B4" s="28" t="s">
        <v>236</v>
      </c>
      <c r="C4" s="28"/>
      <c r="D4" s="28"/>
      <c r="E4" s="28"/>
      <c r="F4" s="28"/>
      <c r="G4" s="28"/>
      <c r="AA4" s="11">
        <f>-$C$12+($C$12-$C$10/2)*COS(RADIANS((-$AA$1+($AA$1-(-$AA$1))*1/30)))</f>
        <v>-5.0231061479621015</v>
      </c>
      <c r="AB4" s="11">
        <f>0+($C$12-$C$10/2)*SIN(RADIANS((-$AA$1+($AA$1-(-$AA$1))*1/30)))</f>
        <v>-8.1267234315872638</v>
      </c>
      <c r="AC4" s="11">
        <f>-$C$12+($C$12+$C$10/2)*COS(RADIANS((-$AA$1+($AA$1-(-$AA$1))*1/30)))</f>
        <v>-4.2406927405281172</v>
      </c>
      <c r="AD4" s="11">
        <f>0+($C$12+$C$10/2)*SIN(RADIANS((-$AA$1+($AA$1-(-$AA$1))*1/30)))</f>
        <v>-9.2876839218140148</v>
      </c>
      <c r="AE4" s="11">
        <f>-$C$12+$C$12*COS(RADIANS((-$AA$1+($AA$1-(-$AA$1))*1/30)))</f>
        <v>-4.6318994442451089</v>
      </c>
      <c r="AF4" s="11">
        <f>0+$C$12*SIN(RADIANS((-$AA$1+($AA$1-(-$AA$1))*1/30)))</f>
        <v>-8.7072036767006402</v>
      </c>
      <c r="AG4" s="11">
        <f>($C$10/2+0.15)</f>
        <v>0.85</v>
      </c>
      <c r="AH4" s="11">
        <v>-1</v>
      </c>
      <c r="AI4" s="11">
        <f>-1*$C$10/2+0.13</f>
        <v>-0.56999999999999995</v>
      </c>
      <c r="AJ4" s="11">
        <v>-0.35</v>
      </c>
      <c r="AK4" s="11">
        <f>1*$C$10/2+0.13</f>
        <v>0.83</v>
      </c>
      <c r="AL4" s="11">
        <v>-0.35</v>
      </c>
      <c r="AM4" s="11">
        <f>-1*$C$10/2+0.13</f>
        <v>-0.56999999999999995</v>
      </c>
      <c r="AN4" s="11">
        <v>2.25</v>
      </c>
      <c r="AO4" s="11">
        <f>1*$C$10/2+0.13</f>
        <v>0.83</v>
      </c>
      <c r="AP4" s="11">
        <v>2.25</v>
      </c>
      <c r="AQ4" s="11">
        <f>$C$10/2</f>
        <v>0.7</v>
      </c>
      <c r="AR4" s="11">
        <v>0</v>
      </c>
      <c r="AW4" s="11" t="s">
        <v>264</v>
      </c>
      <c r="AX4" s="11">
        <f>$C$16</f>
        <v>353.66931918656059</v>
      </c>
      <c r="AY4" s="11" t="s">
        <v>267</v>
      </c>
      <c r="AZ4" s="11">
        <f>$C$29</f>
        <v>2100</v>
      </c>
    </row>
    <row r="5" spans="1:52" x14ac:dyDescent="0.25">
      <c r="B5" s="14" t="s">
        <v>237</v>
      </c>
      <c r="C5" s="15">
        <v>10</v>
      </c>
      <c r="D5" s="16"/>
      <c r="AA5" s="11">
        <f>-$C$12+($C$12-$C$10/2)*COS(RADIANS((-$AA$1+($AA$1-(-$AA$1))*2/30)))</f>
        <v>-4.4693389515785622</v>
      </c>
      <c r="AB5" s="11">
        <f>0+($C$12-$C$10/2)*SIN(RADIANS((-$AA$1+($AA$1-(-$AA$1))*2/30)))</f>
        <v>-7.7247088824791623</v>
      </c>
      <c r="AC5" s="11">
        <f>-$C$12+($C$12+$C$10/2)*COS(RADIANS((-$AA$1+($AA$1-(-$AA$1))*2/30)))</f>
        <v>-3.6078159446612155</v>
      </c>
      <c r="AD5" s="11">
        <f>0+($C$12+$C$10/2)*SIN(RADIANS((-$AA$1+($AA$1-(-$AA$1))*2/30)))</f>
        <v>-8.8282387228333263</v>
      </c>
      <c r="AE5" s="11">
        <f>-$C$12+$C$12*COS(RADIANS((-$AA$1+($AA$1-(-$AA$1))*2/30)))</f>
        <v>-4.0385774481198888</v>
      </c>
      <c r="AF5" s="11">
        <f>0+$C$12*SIN(RADIANS((-$AA$1+($AA$1-(-$AA$1))*2/30)))</f>
        <v>-8.2764738026562448</v>
      </c>
      <c r="AG5" s="11">
        <f>($C$10/2+0.15)</f>
        <v>0.85</v>
      </c>
      <c r="AH5" s="11">
        <v>3.4</v>
      </c>
      <c r="AI5" s="11">
        <f>-1*$C$10/2+0.13</f>
        <v>-0.56999999999999995</v>
      </c>
      <c r="AJ5" s="11">
        <v>0.35</v>
      </c>
      <c r="AK5" s="11">
        <f>1*$C$10/2+0.13</f>
        <v>0.83</v>
      </c>
      <c r="AL5" s="11">
        <v>0.35</v>
      </c>
      <c r="AM5" s="11">
        <f>-1*$C$10/2+0.13</f>
        <v>-0.56999999999999995</v>
      </c>
      <c r="AN5" s="11">
        <v>2.95</v>
      </c>
      <c r="AO5" s="11">
        <f>1*$C$10/2+0.13</f>
        <v>0.83</v>
      </c>
      <c r="AP5" s="11">
        <v>2.95</v>
      </c>
      <c r="AW5" s="11" t="s">
        <v>265</v>
      </c>
      <c r="AX5" s="11">
        <f>$C$19</f>
        <v>377.24727379899792</v>
      </c>
      <c r="AY5" s="11" t="s">
        <v>268</v>
      </c>
      <c r="AZ5" s="11">
        <f>$C$30</f>
        <v>3325.0000000000005</v>
      </c>
    </row>
    <row r="6" spans="1:52" x14ac:dyDescent="0.25">
      <c r="B6" s="14" t="s">
        <v>238</v>
      </c>
      <c r="C6" s="15">
        <v>41</v>
      </c>
      <c r="D6" s="16"/>
      <c r="AA6" s="11">
        <f>-$C$12+($C$12-$C$10/2)*COS(RADIANS((-$AA$1+($AA$1-(-$AA$1))*3/30)))</f>
        <v>-3.9449761762564037</v>
      </c>
      <c r="AB6" s="11">
        <f>0+($C$12-$C$10/2)*SIN(RADIANS((-$AA$1+($AA$1-(-$AA$1))*3/30)))</f>
        <v>-7.2850300390701133</v>
      </c>
      <c r="AC6" s="11">
        <f>-$C$12+($C$12+$C$10/2)*COS(RADIANS((-$AA$1+($AA$1-(-$AA$1))*3/30)))</f>
        <v>-3.0085442014358916</v>
      </c>
      <c r="AD6" s="11">
        <f>0+($C$12+$C$10/2)*SIN(RADIANS((-$AA$1+($AA$1-(-$AA$1))*3/30)))</f>
        <v>-8.3257486160801282</v>
      </c>
      <c r="AE6" s="11">
        <f>-$C$12+$C$12*COS(RADIANS((-$AA$1+($AA$1-(-$AA$1))*3/30)))</f>
        <v>-3.4767601888461481</v>
      </c>
      <c r="AF6" s="11">
        <f>0+$C$12*SIN(RADIANS((-$AA$1+($AA$1-(-$AA$1))*3/30)))</f>
        <v>-7.8053893275751207</v>
      </c>
      <c r="AG6" s="11">
        <f>-($C$10/2+0.15)</f>
        <v>-0.85</v>
      </c>
      <c r="AH6" s="11">
        <v>3.4</v>
      </c>
      <c r="AI6" s="11">
        <f>-1*$C$10/2-0.13</f>
        <v>-0.83</v>
      </c>
      <c r="AJ6" s="11">
        <v>0.35</v>
      </c>
      <c r="AK6" s="11">
        <f>1*$C$10/2-0.13</f>
        <v>0.56999999999999995</v>
      </c>
      <c r="AL6" s="11">
        <v>0.35</v>
      </c>
      <c r="AM6" s="11">
        <f>-1*$C$10/2-0.13</f>
        <v>-0.83</v>
      </c>
      <c r="AN6" s="11">
        <v>2.95</v>
      </c>
      <c r="AO6" s="11">
        <f>1*$C$10/2-0.13</f>
        <v>0.56999999999999995</v>
      </c>
      <c r="AP6" s="11">
        <v>2.95</v>
      </c>
    </row>
    <row r="7" spans="1:52" x14ac:dyDescent="0.25">
      <c r="B7" s="14" t="s">
        <v>239</v>
      </c>
      <c r="C7" s="15">
        <v>300</v>
      </c>
      <c r="D7" s="16" t="s">
        <v>132</v>
      </c>
      <c r="AA7" s="11">
        <f>-$C$12+($C$12-$C$10/2)*COS(RADIANS((-$AA$1+($AA$1-(-$AA$1))*4/30)))</f>
        <v>-3.4525745207904492</v>
      </c>
      <c r="AB7" s="11">
        <f>0+($C$12-$C$10/2)*SIN(RADIANS((-$AA$1+($AA$1-(-$AA$1))*4/30)))</f>
        <v>-6.8098306964995876</v>
      </c>
      <c r="AC7" s="11">
        <f>-$C$12+($C$12+$C$10/2)*COS(RADIANS((-$AA$1+($AA$1-(-$AA$1))*4/30)))</f>
        <v>-2.4457994523319435</v>
      </c>
      <c r="AD7" s="11">
        <f>0+($C$12+$C$10/2)*SIN(RADIANS((-$AA$1+($AA$1-(-$AA$1))*4/30)))</f>
        <v>-7.782663653142385</v>
      </c>
      <c r="AE7" s="11">
        <f>-$C$12+$C$12*COS(RADIANS((-$AA$1+($AA$1-(-$AA$1))*4/30)))</f>
        <v>-2.9491869865611964</v>
      </c>
      <c r="AF7" s="11">
        <f>0+$C$12*SIN(RADIANS((-$AA$1+($AA$1-(-$AA$1))*4/30)))</f>
        <v>-7.2962471748209863</v>
      </c>
      <c r="AG7" s="11">
        <f>-($C$10/2+0.15)</f>
        <v>-0.85</v>
      </c>
      <c r="AH7" s="11">
        <v>-1</v>
      </c>
      <c r="AI7" s="11">
        <f>-1*$C$10/2-0.13</f>
        <v>-0.83</v>
      </c>
      <c r="AJ7" s="11">
        <v>-0.35</v>
      </c>
      <c r="AK7" s="11">
        <f>1*$C$10/2-0.13</f>
        <v>0.56999999999999995</v>
      </c>
      <c r="AL7" s="11">
        <v>-0.35</v>
      </c>
      <c r="AM7" s="11">
        <f>-1*$C$10/2-0.13</f>
        <v>-0.83</v>
      </c>
      <c r="AN7" s="11">
        <v>2.25</v>
      </c>
      <c r="AO7" s="11">
        <f>1*$C$10/2-0.13</f>
        <v>0.56999999999999995</v>
      </c>
      <c r="AP7" s="11">
        <v>2.25</v>
      </c>
    </row>
    <row r="8" spans="1:52" x14ac:dyDescent="0.25">
      <c r="B8" s="14" t="s">
        <v>240</v>
      </c>
      <c r="C8" s="17">
        <v>0.96</v>
      </c>
      <c r="D8" s="16"/>
      <c r="AA8" s="11">
        <f>-$C$12+($C$12-$C$10/2)*COS(RADIANS((-$AA$1+($AA$1-(-$AA$1))*5/30)))</f>
        <v>-2.99453484729057</v>
      </c>
      <c r="AB8" s="11">
        <f>0+($C$12-$C$10/2)*SIN(RADIANS((-$AA$1+($AA$1-(-$AA$1))*5/30)))</f>
        <v>-6.3014278414867562</v>
      </c>
      <c r="AC8" s="11">
        <f>-$C$12+($C$12+$C$10/2)*COS(RADIANS((-$AA$1+($AA$1-(-$AA$1))*5/30)))</f>
        <v>-1.9223255397606529</v>
      </c>
      <c r="AD8" s="11">
        <f>0+($C$12+$C$10/2)*SIN(RADIANS((-$AA$1+($AA$1-(-$AA$1))*5/30)))</f>
        <v>-7.2016318188420057</v>
      </c>
      <c r="AE8" s="11">
        <f>-$C$12+$C$12*COS(RADIANS((-$AA$1+($AA$1-(-$AA$1))*5/30)))</f>
        <v>-2.4584301935256114</v>
      </c>
      <c r="AF8" s="11">
        <f>0+$C$12*SIN(RADIANS((-$AA$1+($AA$1-(-$AA$1))*5/30)))</f>
        <v>-6.7515298301643814</v>
      </c>
    </row>
    <row r="9" spans="1:52" x14ac:dyDescent="0.25">
      <c r="B9" s="14" t="s">
        <v>241</v>
      </c>
      <c r="C9" s="17">
        <v>0.3</v>
      </c>
      <c r="D9" s="16" t="s">
        <v>61</v>
      </c>
      <c r="AA9" s="11">
        <f>-$C$12+($C$12-$C$10/2)*COS(RADIANS((-$AA$1+($AA$1-(-$AA$1))*6/30)))</f>
        <v>-2.573090475008879</v>
      </c>
      <c r="AB9" s="11">
        <f>0+($C$12-$C$10/2)*SIN(RADIANS((-$AA$1+($AA$1-(-$AA$1))*6/30)))</f>
        <v>-5.7623003551190441</v>
      </c>
      <c r="AC9" s="11">
        <f>-$C$12+($C$12+$C$10/2)*COS(RADIANS((-$AA$1+($AA$1-(-$AA$1))*6/30)))</f>
        <v>-1.440674828581578</v>
      </c>
      <c r="AD9" s="11">
        <f>0+($C$12+$C$10/2)*SIN(RADIANS((-$AA$1+($AA$1-(-$AA$1))*6/30)))</f>
        <v>-6.5854861201360491</v>
      </c>
      <c r="AE9" s="11">
        <f>-$C$12+$C$12*COS(RADIANS((-$AA$1+($AA$1-(-$AA$1))*6/30)))</f>
        <v>-2.0068826517952285</v>
      </c>
      <c r="AF9" s="11">
        <f>0+$C$12*SIN(RADIANS((-$AA$1+($AA$1-(-$AA$1))*6/30)))</f>
        <v>-6.1738932376275466</v>
      </c>
    </row>
    <row r="10" spans="1:52" x14ac:dyDescent="0.25">
      <c r="B10" s="14" t="s">
        <v>242</v>
      </c>
      <c r="C10" s="17">
        <v>1.4</v>
      </c>
      <c r="D10" s="16" t="s">
        <v>61</v>
      </c>
      <c r="AA10" s="11">
        <f>-$C$12+($C$12-$C$10/2)*COS(RADIANS((-$AA$1+($AA$1-(-$AA$1))*7/30)))</f>
        <v>-2.1902962910758301</v>
      </c>
      <c r="AB10" s="11">
        <f>0+($C$12-$C$10/2)*SIN(RADIANS((-$AA$1+($AA$1-(-$AA$1))*7/30)))</f>
        <v>-5.1950769262727876</v>
      </c>
      <c r="AC10" s="11">
        <f>-$C$12+($C$12+$C$10/2)*COS(RADIANS((-$AA$1+($AA$1-(-$AA$1))*7/30)))</f>
        <v>-1.0031957612295219</v>
      </c>
      <c r="AD10" s="11">
        <f>0+($C$12+$C$10/2)*SIN(RADIANS((-$AA$1+($AA$1-(-$AA$1))*7/30)))</f>
        <v>-5.9372307728831846</v>
      </c>
      <c r="AE10" s="11">
        <f>-$C$12+$C$12*COS(RADIANS((-$AA$1+($AA$1-(-$AA$1))*7/30)))</f>
        <v>-1.596746026152676</v>
      </c>
      <c r="AF10" s="11">
        <f>0+$C$12*SIN(RADIANS((-$AA$1+($AA$1-(-$AA$1))*7/30)))</f>
        <v>-5.5661538495779856</v>
      </c>
    </row>
    <row r="11" spans="1:52" x14ac:dyDescent="0.25">
      <c r="B11" s="14" t="s">
        <v>126</v>
      </c>
      <c r="C11" s="15">
        <v>40</v>
      </c>
      <c r="D11" s="16" t="s">
        <v>127</v>
      </c>
      <c r="AA11" s="11">
        <f>-$C$12+($C$12-$C$10/2)*COS(RADIANS((-$AA$1+($AA$1-(-$AA$1))*8/30)))</f>
        <v>-1.8480187312393177</v>
      </c>
      <c r="AB11" s="11">
        <f>0+($C$12-$C$10/2)*SIN(RADIANS((-$AA$1+($AA$1-(-$AA$1))*8/30)))</f>
        <v>-4.6025232345979843</v>
      </c>
      <c r="AC11" s="11">
        <f>-$C$12+($C$12+$C$10/2)*COS(RADIANS((-$AA$1+($AA$1-(-$AA$1))*8/30)))</f>
        <v>-0.61202140713064956</v>
      </c>
      <c r="AD11" s="11">
        <f>0+($C$12+$C$10/2)*SIN(RADIANS((-$AA$1+($AA$1-(-$AA$1))*8/30)))</f>
        <v>-5.2600265538262674</v>
      </c>
      <c r="AE11" s="11">
        <f>-$C$12+$C$12*COS(RADIANS((-$AA$1+($AA$1-(-$AA$1))*8/30)))</f>
        <v>-1.2300200691849827</v>
      </c>
      <c r="AF11" s="11">
        <f>0+$C$12*SIN(RADIANS((-$AA$1+($AA$1-(-$AA$1))*8/30)))</f>
        <v>-4.9312748942121258</v>
      </c>
    </row>
    <row r="12" spans="1:52" x14ac:dyDescent="0.25">
      <c r="B12" s="14" t="s">
        <v>243</v>
      </c>
      <c r="C12" s="17">
        <v>10.5</v>
      </c>
      <c r="D12" s="16" t="s">
        <v>61</v>
      </c>
      <c r="AA12" s="11">
        <f>-$C$12+($C$12-$C$10/2)*COS(RADIANS((-$AA$1+($AA$1-(-$AA$1))*9/30)))</f>
        <v>-1.5479266794589073</v>
      </c>
      <c r="AB12" s="11">
        <f>0+($C$12-$C$10/2)*SIN(RADIANS((-$AA$1+($AA$1-(-$AA$1))*9/30)))</f>
        <v>-3.9875284655606396</v>
      </c>
      <c r="AC12" s="11">
        <f>-$C$12+($C$12+$C$10/2)*COS(RADIANS((-$AA$1+($AA$1-(-$AA$1))*9/30)))</f>
        <v>-0.2690590622387532</v>
      </c>
      <c r="AD12" s="11">
        <f>0+($C$12+$C$10/2)*SIN(RADIANS((-$AA$1+($AA$1-(-$AA$1))*9/30)))</f>
        <v>-4.5571753892121585</v>
      </c>
      <c r="AE12" s="11">
        <f>-$C$12+$C$12*COS(RADIANS((-$AA$1+($AA$1-(-$AA$1))*9/30)))</f>
        <v>-0.90849287084883024</v>
      </c>
      <c r="AF12" s="11">
        <f>0+$C$12*SIN(RADIANS((-$AA$1+($AA$1-(-$AA$1))*9/30)))</f>
        <v>-4.2723519273863992</v>
      </c>
    </row>
    <row r="13" spans="1:52" x14ac:dyDescent="0.25">
      <c r="B13" s="28" t="s">
        <v>158</v>
      </c>
      <c r="C13" s="28"/>
      <c r="D13" s="28"/>
      <c r="E13" s="28"/>
      <c r="F13" s="28"/>
      <c r="G13" s="28"/>
      <c r="AA13" s="11">
        <f>-$C$12+($C$12-$C$10/2)*COS(RADIANS((-$AA$1+($AA$1-(-$AA$1))*10/30)))</f>
        <v>-1.2914833307271358</v>
      </c>
      <c r="AB13" s="11">
        <f>0+($C$12-$C$10/2)*SIN(RADIANS((-$AA$1+($AA$1-(-$AA$1))*10/30)))</f>
        <v>-3.3530912232928887</v>
      </c>
      <c r="AC13" s="11">
        <f>-$C$12+($C$12+$C$10/2)*COS(RADIANS((-$AA$1+($AA$1-(-$AA$1))*10/30)))</f>
        <v>2.4019050597559044E-2</v>
      </c>
      <c r="AD13" s="11">
        <f>0+($C$12+$C$10/2)*SIN(RADIANS((-$AA$1+($AA$1-(-$AA$1))*10/30)))</f>
        <v>-3.8321042551918723</v>
      </c>
      <c r="AE13" s="11">
        <f>-$C$12+$C$12*COS(RADIANS((-$AA$1+($AA$1-(-$AA$1))*10/30)))</f>
        <v>-0.6337321400647884</v>
      </c>
      <c r="AF13" s="11">
        <f>0+$C$12*SIN(RADIANS((-$AA$1+($AA$1-(-$AA$1))*10/30)))</f>
        <v>-3.5925977392423802</v>
      </c>
    </row>
    <row r="14" spans="1:52" x14ac:dyDescent="0.25">
      <c r="B14" s="14" t="s">
        <v>244</v>
      </c>
      <c r="C14" s="22">
        <f>$C$6/$C$5</f>
        <v>4.0999999999999996</v>
      </c>
      <c r="D14" s="16"/>
      <c r="AA14" s="11">
        <f>-$C$12+($C$12-$C$10/2)*COS(RADIANS((-$AA$1+($AA$1-(-$AA$1))*11/30)))</f>
        <v>-1.0799390567932914</v>
      </c>
      <c r="AB14" s="11">
        <f>0+($C$12-$C$10/2)*SIN(RADIANS((-$AA$1+($AA$1-(-$AA$1))*11/30)))</f>
        <v>-2.7023049099373613</v>
      </c>
      <c r="AC14" s="11">
        <f>-$C$12+($C$12+$C$10/2)*COS(RADIANS((-$AA$1+($AA$1-(-$AA$1))*11/30)))</f>
        <v>0.2657839350933795</v>
      </c>
      <c r="AD14" s="11">
        <f>0+($C$12+$C$10/2)*SIN(RADIANS((-$AA$1+($AA$1-(-$AA$1))*11/30)))</f>
        <v>-3.088348468499841</v>
      </c>
      <c r="AE14" s="11">
        <f>-$C$12+$C$12*COS(RADIANS((-$AA$1+($AA$1-(-$AA$1))*11/30)))</f>
        <v>-0.40707756084995594</v>
      </c>
      <c r="AF14" s="11">
        <f>0+$C$12*SIN(RADIANS((-$AA$1+($AA$1-(-$AA$1))*11/30)))</f>
        <v>-2.8953266892186011</v>
      </c>
    </row>
    <row r="15" spans="1:52" x14ac:dyDescent="0.25">
      <c r="B15" s="14" t="s">
        <v>245</v>
      </c>
      <c r="C15" s="20">
        <f>$C$7*$C$14*$C$8</f>
        <v>1180.8</v>
      </c>
      <c r="D15" s="16" t="s">
        <v>132</v>
      </c>
      <c r="AA15" s="11">
        <f>-$C$12+($C$12-$C$10/2)*COS(RADIANS((-$AA$1+($AA$1-(-$AA$1))*12/30)))</f>
        <v>-0.91432530957516001</v>
      </c>
      <c r="AB15" s="11">
        <f>0+($C$12-$C$10/2)*SIN(RADIANS((-$AA$1+($AA$1-(-$AA$1))*12/30)))</f>
        <v>-2.0383426427734492</v>
      </c>
      <c r="AC15" s="11">
        <f>-$C$12+($C$12+$C$10/2)*COS(RADIANS((-$AA$1+($AA$1-(-$AA$1))*12/30)))</f>
        <v>0.45505678905695923</v>
      </c>
      <c r="AD15" s="11">
        <f>0+($C$12+$C$10/2)*SIN(RADIANS((-$AA$1+($AA$1-(-$AA$1))*12/30)))</f>
        <v>-2.3295344488839418</v>
      </c>
      <c r="AE15" s="11">
        <f>-$C$12+$C$12*COS(RADIANS((-$AA$1+($AA$1-(-$AA$1))*12/30)))</f>
        <v>-0.22963426025910039</v>
      </c>
      <c r="AF15" s="11">
        <f>0+$C$12*SIN(RADIANS((-$AA$1+($AA$1-(-$AA$1))*12/30)))</f>
        <v>-2.1839385458286955</v>
      </c>
    </row>
    <row r="16" spans="1:52" x14ac:dyDescent="0.25">
      <c r="B16" s="14" t="s">
        <v>246</v>
      </c>
      <c r="C16" s="20">
        <f>$C$11/(0.377*$C$9)</f>
        <v>353.66931918656059</v>
      </c>
      <c r="D16" s="16" t="s">
        <v>79</v>
      </c>
      <c r="AA16" s="11">
        <f>-$C$12+($C$12-$C$10/2)*COS(RADIANS((-$AA$1+($AA$1-(-$AA$1))*13/30)))</f>
        <v>-0.79544959198454812</v>
      </c>
      <c r="AB16" s="11">
        <f>0+($C$12-$C$10/2)*SIN(RADIANS((-$AA$1+($AA$1-(-$AA$1))*13/30)))</f>
        <v>-1.3644417826668658</v>
      </c>
      <c r="AC16" s="11">
        <f>-$C$12+($C$12+$C$10/2)*COS(RADIANS((-$AA$1+($AA$1-(-$AA$1))*13/30)))</f>
        <v>0.59091475201765853</v>
      </c>
      <c r="AD16" s="11">
        <f>0+($C$12+$C$10/2)*SIN(RADIANS((-$AA$1+($AA$1-(-$AA$1))*13/30)))</f>
        <v>-1.5593620373335606</v>
      </c>
      <c r="AE16" s="11">
        <f>-$C$12+$C$12*COS(RADIANS((-$AA$1+($AA$1-(-$AA$1))*13/30)))</f>
        <v>-0.1022674199834448</v>
      </c>
      <c r="AF16" s="11">
        <f>0+$C$12*SIN(RADIANS((-$AA$1+($AA$1-(-$AA$1))*13/30)))</f>
        <v>-1.4619019100002131</v>
      </c>
    </row>
    <row r="17" spans="2:32" x14ac:dyDescent="0.25">
      <c r="B17" s="14" t="s">
        <v>247</v>
      </c>
      <c r="C17" s="21">
        <f>$C$16*$C$14</f>
        <v>1450.0442086648982</v>
      </c>
      <c r="D17" s="16" t="s">
        <v>79</v>
      </c>
      <c r="AA17" s="11">
        <f>-$C$12+($C$12-$C$10/2)*COS(RADIANS((-$AA$1+($AA$1-(-$AA$1))*14/30)))</f>
        <v>-0.72389152068801366</v>
      </c>
      <c r="AB17" s="11">
        <f>0+($C$12-$C$10/2)*SIN(RADIANS((-$AA$1+($AA$1-(-$AA$1))*14/30)))</f>
        <v>-0.68388814927902464</v>
      </c>
      <c r="AC17" s="11">
        <f>-$C$12+($C$12+$C$10/2)*COS(RADIANS((-$AA$1+($AA$1-(-$AA$1))*14/30)))</f>
        <v>0.67269540492798363</v>
      </c>
      <c r="AD17" s="11">
        <f>0+($C$12+$C$10/2)*SIN(RADIANS((-$AA$1+($AA$1-(-$AA$1))*14/30)))</f>
        <v>-0.78158645631888524</v>
      </c>
      <c r="AE17" s="11">
        <f>-$C$12+$C$12*COS(RADIANS((-$AA$1+($AA$1-(-$AA$1))*14/30)))</f>
        <v>-2.5598057880015901E-2</v>
      </c>
      <c r="AF17" s="11">
        <f>0+$C$12*SIN(RADIANS((-$AA$1+($AA$1-(-$AA$1))*14/30)))</f>
        <v>-0.73273730279895499</v>
      </c>
    </row>
    <row r="18" spans="2:32" x14ac:dyDescent="0.25">
      <c r="B18" s="14" t="s">
        <v>248</v>
      </c>
      <c r="C18" s="20">
        <f>$C$16*($C$12-$C$10/2)/$C$12</f>
        <v>330.09136457412325</v>
      </c>
      <c r="D18" s="16" t="s">
        <v>79</v>
      </c>
      <c r="AA18" s="11">
        <f>-$C$12+($C$12-$C$10/2)*COS(RADIANS((-$AA$1+($AA$1-(-$AA$1))*15/30)))</f>
        <v>-0.69999999999999929</v>
      </c>
      <c r="AB18" s="11">
        <f>0+($C$12-$C$10/2)*SIN(RADIANS((-$AA$1+($AA$1-(-$AA$1))*15/30)))</f>
        <v>0</v>
      </c>
      <c r="AC18" s="11">
        <f>-$C$12+($C$12+$C$10/2)*COS(RADIANS((-$AA$1+($AA$1-(-$AA$1))*15/30)))</f>
        <v>0.69999999999999929</v>
      </c>
      <c r="AD18" s="11">
        <f>0+($C$12+$C$10/2)*SIN(RADIANS((-$AA$1+($AA$1-(-$AA$1))*15/30)))</f>
        <v>0</v>
      </c>
      <c r="AE18" s="11">
        <f>-$C$12+$C$12*COS(RADIANS((-$AA$1+($AA$1-(-$AA$1))*15/30)))</f>
        <v>0</v>
      </c>
      <c r="AF18" s="11">
        <f>0+$C$12*SIN(RADIANS((-$AA$1+($AA$1-(-$AA$1))*15/30)))</f>
        <v>0</v>
      </c>
    </row>
    <row r="19" spans="2:32" x14ac:dyDescent="0.25">
      <c r="B19" s="14" t="s">
        <v>249</v>
      </c>
      <c r="C19" s="20">
        <f>$C$16*($C$12+$C$10/2)/$C$12</f>
        <v>377.24727379899792</v>
      </c>
      <c r="D19" s="16" t="s">
        <v>79</v>
      </c>
      <c r="AA19" s="11">
        <f>-$C$12+($C$12-$C$10/2)*COS(RADIANS((-$AA$1+($AA$1-(-$AA$1))*16/30)))</f>
        <v>-0.72389152068801366</v>
      </c>
      <c r="AB19" s="11">
        <f>0+($C$12-$C$10/2)*SIN(RADIANS((-$AA$1+($AA$1-(-$AA$1))*16/30)))</f>
        <v>0.68388814927902464</v>
      </c>
      <c r="AC19" s="11">
        <f>-$C$12+($C$12+$C$10/2)*COS(RADIANS((-$AA$1+($AA$1-(-$AA$1))*16/30)))</f>
        <v>0.67269540492798363</v>
      </c>
      <c r="AD19" s="11">
        <f>0+($C$12+$C$10/2)*SIN(RADIANS((-$AA$1+($AA$1-(-$AA$1))*16/30)))</f>
        <v>0.78158645631888524</v>
      </c>
      <c r="AE19" s="11">
        <f>-$C$12+$C$12*COS(RADIANS((-$AA$1+($AA$1-(-$AA$1))*16/30)))</f>
        <v>-2.5598057880015901E-2</v>
      </c>
      <c r="AF19" s="11">
        <f>0+$C$12*SIN(RADIANS((-$AA$1+($AA$1-(-$AA$1))*16/30)))</f>
        <v>0.73273730279895499</v>
      </c>
    </row>
    <row r="20" spans="2:32" x14ac:dyDescent="0.25">
      <c r="B20" s="29" t="str">
        <f>"Comprobación: n₁ + n₂ = "&amp;FIXED($C$18+$C$19,1)&amp;" = 2·n_c = "&amp;FIXED(2*$C$16,1)&amp;" min⁻¹"</f>
        <v>Comprobación: n₁ + n₂ = 707.3 = 2·n_c = 707.3 min⁻¹</v>
      </c>
      <c r="C20" s="29"/>
      <c r="D20" s="29"/>
      <c r="E20" s="29"/>
      <c r="F20" s="29"/>
      <c r="G20" s="29"/>
      <c r="AA20" s="11">
        <f>-$C$12+($C$12-$C$10/2)*COS(RADIANS((-$AA$1+($AA$1-(-$AA$1))*17/30)))</f>
        <v>-0.79544959198454812</v>
      </c>
      <c r="AB20" s="11">
        <f>0+($C$12-$C$10/2)*SIN(RADIANS((-$AA$1+($AA$1-(-$AA$1))*17/30)))</f>
        <v>1.3644417826668671</v>
      </c>
      <c r="AC20" s="11">
        <f>-$C$12+($C$12+$C$10/2)*COS(RADIANS((-$AA$1+($AA$1-(-$AA$1))*17/30)))</f>
        <v>0.59091475201765853</v>
      </c>
      <c r="AD20" s="11">
        <f>0+($C$12+$C$10/2)*SIN(RADIANS((-$AA$1+($AA$1-(-$AA$1))*17/30)))</f>
        <v>1.5593620373335622</v>
      </c>
      <c r="AE20" s="11">
        <f>-$C$12+$C$12*COS(RADIANS((-$AA$1+($AA$1-(-$AA$1))*17/30)))</f>
        <v>-0.1022674199834448</v>
      </c>
      <c r="AF20" s="11">
        <f>0+$C$12*SIN(RADIANS((-$AA$1+($AA$1-(-$AA$1))*17/30)))</f>
        <v>1.4619019100002146</v>
      </c>
    </row>
    <row r="21" spans="2:32" x14ac:dyDescent="0.25">
      <c r="AA21" s="11">
        <f>-$C$12+($C$12-$C$10/2)*COS(RADIANS((-$AA$1+($AA$1-(-$AA$1))*18/30)))</f>
        <v>-0.91432530957516001</v>
      </c>
      <c r="AB21" s="11">
        <f>0+($C$12-$C$10/2)*SIN(RADIANS((-$AA$1+($AA$1-(-$AA$1))*18/30)))</f>
        <v>2.0383426427734492</v>
      </c>
      <c r="AC21" s="11">
        <f>-$C$12+($C$12+$C$10/2)*COS(RADIANS((-$AA$1+($AA$1-(-$AA$1))*18/30)))</f>
        <v>0.45505678905695923</v>
      </c>
      <c r="AD21" s="11">
        <f>0+($C$12+$C$10/2)*SIN(RADIANS((-$AA$1+($AA$1-(-$AA$1))*18/30)))</f>
        <v>2.3295344488839418</v>
      </c>
      <c r="AE21" s="11">
        <f>-$C$12+$C$12*COS(RADIANS((-$AA$1+($AA$1-(-$AA$1))*18/30)))</f>
        <v>-0.22963426025910039</v>
      </c>
      <c r="AF21" s="11">
        <f>0+$C$12*SIN(RADIANS((-$AA$1+($AA$1-(-$AA$1))*18/30)))</f>
        <v>2.1839385458286955</v>
      </c>
    </row>
    <row r="22" spans="2:32" x14ac:dyDescent="0.25">
      <c r="B22" s="28" t="s">
        <v>250</v>
      </c>
      <c r="C22" s="28"/>
      <c r="D22" s="28"/>
      <c r="E22" s="28"/>
      <c r="F22" s="28"/>
      <c r="G22" s="28"/>
      <c r="AA22" s="11">
        <f>-$C$12+($C$12-$C$10/2)*COS(RADIANS((-$AA$1+($AA$1-(-$AA$1))*19/30)))</f>
        <v>-1.0799390567932914</v>
      </c>
      <c r="AB22" s="11">
        <f>0+($C$12-$C$10/2)*SIN(RADIANS((-$AA$1+($AA$1-(-$AA$1))*19/30)))</f>
        <v>2.7023049099373613</v>
      </c>
      <c r="AC22" s="11">
        <f>-$C$12+($C$12+$C$10/2)*COS(RADIANS((-$AA$1+($AA$1-(-$AA$1))*19/30)))</f>
        <v>0.2657839350933795</v>
      </c>
      <c r="AD22" s="11">
        <f>0+($C$12+$C$10/2)*SIN(RADIANS((-$AA$1+($AA$1-(-$AA$1))*19/30)))</f>
        <v>3.088348468499841</v>
      </c>
      <c r="AE22" s="11">
        <f>-$C$12+$C$12*COS(RADIANS((-$AA$1+($AA$1-(-$AA$1))*19/30)))</f>
        <v>-0.40707756084995594</v>
      </c>
      <c r="AF22" s="11">
        <f>0+$C$12*SIN(RADIANS((-$AA$1+($AA$1-(-$AA$1))*19/30)))</f>
        <v>2.8953266892186011</v>
      </c>
    </row>
    <row r="23" spans="2:32" x14ac:dyDescent="0.25">
      <c r="B23" s="14" t="s">
        <v>251</v>
      </c>
      <c r="C23" s="15">
        <v>3500</v>
      </c>
      <c r="D23" s="16" t="s">
        <v>134</v>
      </c>
      <c r="AA23" s="11">
        <f>-$C$12+($C$12-$C$10/2)*COS(RADIANS((-$AA$1+($AA$1-(-$AA$1))*20/30)))</f>
        <v>-1.2914833307271358</v>
      </c>
      <c r="AB23" s="11">
        <f>0+($C$12-$C$10/2)*SIN(RADIANS((-$AA$1+($AA$1-(-$AA$1))*20/30)))</f>
        <v>3.3530912232928873</v>
      </c>
      <c r="AC23" s="11">
        <f>-$C$12+($C$12+$C$10/2)*COS(RADIANS((-$AA$1+($AA$1-(-$AA$1))*20/30)))</f>
        <v>2.4019050597559044E-2</v>
      </c>
      <c r="AD23" s="11">
        <f>0+($C$12+$C$10/2)*SIN(RADIANS((-$AA$1+($AA$1-(-$AA$1))*20/30)))</f>
        <v>3.8321042551918709</v>
      </c>
      <c r="AE23" s="11">
        <f>-$C$12+$C$12*COS(RADIANS((-$AA$1+($AA$1-(-$AA$1))*20/30)))</f>
        <v>-0.6337321400647884</v>
      </c>
      <c r="AF23" s="11">
        <f>0+$C$12*SIN(RADIANS((-$AA$1+($AA$1-(-$AA$1))*20/30)))</f>
        <v>3.5925977392423794</v>
      </c>
    </row>
    <row r="24" spans="2:32" x14ac:dyDescent="0.25">
      <c r="B24" s="14" t="s">
        <v>252</v>
      </c>
      <c r="C24" s="17">
        <v>0.8</v>
      </c>
      <c r="D24" s="16"/>
      <c r="AA24" s="11">
        <f>-$C$12+($C$12-$C$10/2)*COS(RADIANS((-$AA$1+($AA$1-(-$AA$1))*21/30)))</f>
        <v>-1.5479266794589055</v>
      </c>
      <c r="AB24" s="11">
        <f>0+($C$12-$C$10/2)*SIN(RADIANS((-$AA$1+($AA$1-(-$AA$1))*21/30)))</f>
        <v>3.9875284655606378</v>
      </c>
      <c r="AC24" s="11">
        <f>-$C$12+($C$12+$C$10/2)*COS(RADIANS((-$AA$1+($AA$1-(-$AA$1))*21/30)))</f>
        <v>-0.26905906223875142</v>
      </c>
      <c r="AD24" s="11">
        <f>0+($C$12+$C$10/2)*SIN(RADIANS((-$AA$1+($AA$1-(-$AA$1))*21/30)))</f>
        <v>4.5571753892121567</v>
      </c>
      <c r="AE24" s="11">
        <f>-$C$12+$C$12*COS(RADIANS((-$AA$1+($AA$1-(-$AA$1))*21/30)))</f>
        <v>-0.90849287084882846</v>
      </c>
      <c r="AF24" s="11">
        <f>0+$C$12*SIN(RADIANS((-$AA$1+($AA$1-(-$AA$1))*21/30)))</f>
        <v>4.2723519273863975</v>
      </c>
    </row>
    <row r="25" spans="2:32" x14ac:dyDescent="0.25">
      <c r="B25" s="14" t="s">
        <v>253</v>
      </c>
      <c r="C25" s="17">
        <v>0.15</v>
      </c>
      <c r="D25" s="16"/>
      <c r="AA25" s="11">
        <f>-$C$12+($C$12-$C$10/2)*COS(RADIANS((-$AA$1+($AA$1-(-$AA$1))*22/30)))</f>
        <v>-1.8480187312393177</v>
      </c>
      <c r="AB25" s="11">
        <f>0+($C$12-$C$10/2)*SIN(RADIANS((-$AA$1+($AA$1-(-$AA$1))*22/30)))</f>
        <v>4.6025232345979861</v>
      </c>
      <c r="AC25" s="11">
        <f>-$C$12+($C$12+$C$10/2)*COS(RADIANS((-$AA$1+($AA$1-(-$AA$1))*22/30)))</f>
        <v>-0.61202140713064956</v>
      </c>
      <c r="AD25" s="11">
        <f>0+($C$12+$C$10/2)*SIN(RADIANS((-$AA$1+($AA$1-(-$AA$1))*22/30)))</f>
        <v>5.2600265538262683</v>
      </c>
      <c r="AE25" s="11">
        <f>-$C$12+$C$12*COS(RADIANS((-$AA$1+($AA$1-(-$AA$1))*22/30)))</f>
        <v>-1.2300200691849827</v>
      </c>
      <c r="AF25" s="11">
        <f>0+$C$12*SIN(RADIANS((-$AA$1+($AA$1-(-$AA$1))*22/30)))</f>
        <v>4.9312748942121267</v>
      </c>
    </row>
    <row r="26" spans="2:32" ht="25.5" x14ac:dyDescent="0.25">
      <c r="B26" s="14" t="s">
        <v>254</v>
      </c>
      <c r="C26" s="17">
        <v>3</v>
      </c>
      <c r="D26" s="16"/>
      <c r="J26" s="27" t="s">
        <v>269</v>
      </c>
      <c r="K26" s="27"/>
      <c r="L26" s="27"/>
      <c r="M26" s="27"/>
      <c r="N26" s="27"/>
      <c r="AA26" s="11">
        <f>-$C$12+($C$12-$C$10/2)*COS(RADIANS((-$AA$1+($AA$1-(-$AA$1))*23/30)))</f>
        <v>-2.1902962910758301</v>
      </c>
      <c r="AB26" s="11">
        <f>0+($C$12-$C$10/2)*SIN(RADIANS((-$AA$1+($AA$1-(-$AA$1))*23/30)))</f>
        <v>5.1950769262727876</v>
      </c>
      <c r="AC26" s="11">
        <f>-$C$12+($C$12+$C$10/2)*COS(RADIANS((-$AA$1+($AA$1-(-$AA$1))*23/30)))</f>
        <v>-1.0031957612295219</v>
      </c>
      <c r="AD26" s="11">
        <f>0+($C$12+$C$10/2)*SIN(RADIANS((-$AA$1+($AA$1-(-$AA$1))*23/30)))</f>
        <v>5.9372307728831846</v>
      </c>
      <c r="AE26" s="11">
        <f>-$C$12+$C$12*COS(RADIANS((-$AA$1+($AA$1-(-$AA$1))*23/30)))</f>
        <v>-1.596746026152676</v>
      </c>
      <c r="AF26" s="11">
        <f>0+$C$12*SIN(RADIANS((-$AA$1+($AA$1-(-$AA$1))*23/30)))</f>
        <v>5.5661538495779856</v>
      </c>
    </row>
    <row r="27" spans="2:32" ht="25.5" x14ac:dyDescent="0.25">
      <c r="B27" s="14" t="s">
        <v>255</v>
      </c>
      <c r="C27" s="21">
        <f>$C$15/$C$9</f>
        <v>3936</v>
      </c>
      <c r="D27" s="16" t="s">
        <v>134</v>
      </c>
      <c r="J27" s="27"/>
      <c r="K27" s="27"/>
      <c r="L27" s="27"/>
      <c r="M27" s="27"/>
      <c r="N27" s="27"/>
      <c r="AA27" s="11">
        <f>-$C$12+($C$12-$C$10/2)*COS(RADIANS((-$AA$1+($AA$1-(-$AA$1))*24/30)))</f>
        <v>-2.573090475008879</v>
      </c>
      <c r="AB27" s="11">
        <f>0+($C$12-$C$10/2)*SIN(RADIANS((-$AA$1+($AA$1-(-$AA$1))*24/30)))</f>
        <v>5.7623003551190441</v>
      </c>
      <c r="AC27" s="11">
        <f>-$C$12+($C$12+$C$10/2)*COS(RADIANS((-$AA$1+($AA$1-(-$AA$1))*24/30)))</f>
        <v>-1.440674828581578</v>
      </c>
      <c r="AD27" s="11">
        <f>0+($C$12+$C$10/2)*SIN(RADIANS((-$AA$1+($AA$1-(-$AA$1))*24/30)))</f>
        <v>6.5854861201360491</v>
      </c>
      <c r="AE27" s="11">
        <f>-$C$12+$C$12*COS(RADIANS((-$AA$1+($AA$1-(-$AA$1))*24/30)))</f>
        <v>-2.0068826517952285</v>
      </c>
      <c r="AF27" s="11">
        <f>0+$C$12*SIN(RADIANS((-$AA$1+($AA$1-(-$AA$1))*24/30)))</f>
        <v>6.1738932376275466</v>
      </c>
    </row>
    <row r="28" spans="2:32" x14ac:dyDescent="0.25">
      <c r="B28" s="14" t="s">
        <v>256</v>
      </c>
      <c r="C28" s="21">
        <f>MIN($C$27,2*MIN($C$24,$C$25)*$C$23)</f>
        <v>1050</v>
      </c>
      <c r="D28" s="16" t="s">
        <v>134</v>
      </c>
      <c r="J28" s="27"/>
      <c r="K28" s="27"/>
      <c r="L28" s="27"/>
      <c r="M28" s="27"/>
      <c r="N28" s="27"/>
      <c r="AA28" s="11">
        <f>-$C$12+($C$12-$C$10/2)*COS(RADIANS((-$AA$1+($AA$1-(-$AA$1))*25/30)))</f>
        <v>-2.9945348472905717</v>
      </c>
      <c r="AB28" s="11">
        <f>0+($C$12-$C$10/2)*SIN(RADIANS((-$AA$1+($AA$1-(-$AA$1))*25/30)))</f>
        <v>6.3014278414867571</v>
      </c>
      <c r="AC28" s="11">
        <f>-$C$12+($C$12+$C$10/2)*COS(RADIANS((-$AA$1+($AA$1-(-$AA$1))*25/30)))</f>
        <v>-1.9223255397606547</v>
      </c>
      <c r="AD28" s="11">
        <f>0+($C$12+$C$10/2)*SIN(RADIANS((-$AA$1+($AA$1-(-$AA$1))*25/30)))</f>
        <v>7.2016318188420074</v>
      </c>
      <c r="AE28" s="11">
        <f>-$C$12+$C$12*COS(RADIANS((-$AA$1+($AA$1-(-$AA$1))*25/30)))</f>
        <v>-2.4584301935256132</v>
      </c>
      <c r="AF28" s="11">
        <f>0+$C$12*SIN(RADIANS((-$AA$1+($AA$1-(-$AA$1))*25/30)))</f>
        <v>6.7515298301643822</v>
      </c>
    </row>
    <row r="29" spans="2:32" x14ac:dyDescent="0.25">
      <c r="B29" s="14" t="s">
        <v>257</v>
      </c>
      <c r="C29" s="21">
        <f>MIN($C$27,($C$24+$C$25)*$C$23,MIN($C$24,$C$25)*$C$23*(1+$C$26))</f>
        <v>2100</v>
      </c>
      <c r="D29" s="16" t="s">
        <v>134</v>
      </c>
      <c r="J29" s="27"/>
      <c r="K29" s="27"/>
      <c r="L29" s="27"/>
      <c r="M29" s="27"/>
      <c r="N29" s="27"/>
      <c r="AA29" s="11">
        <f>-$C$12+($C$12-$C$10/2)*COS(RADIANS((-$AA$1+($AA$1-(-$AA$1))*26/30)))</f>
        <v>-3.4525745207904501</v>
      </c>
      <c r="AB29" s="11">
        <f>0+($C$12-$C$10/2)*SIN(RADIANS((-$AA$1+($AA$1-(-$AA$1))*26/30)))</f>
        <v>6.8098306964995885</v>
      </c>
      <c r="AC29" s="11">
        <f>-$C$12+($C$12+$C$10/2)*COS(RADIANS((-$AA$1+($AA$1-(-$AA$1))*26/30)))</f>
        <v>-2.4457994523319435</v>
      </c>
      <c r="AD29" s="11">
        <f>0+($C$12+$C$10/2)*SIN(RADIANS((-$AA$1+($AA$1-(-$AA$1))*26/30)))</f>
        <v>7.7826636531423858</v>
      </c>
      <c r="AE29" s="11">
        <f>-$C$12+$C$12*COS(RADIANS((-$AA$1+($AA$1-(-$AA$1))*26/30)))</f>
        <v>-2.9491869865611973</v>
      </c>
      <c r="AF29" s="11">
        <f>0+$C$12*SIN(RADIANS((-$AA$1+($AA$1-(-$AA$1))*26/30)))</f>
        <v>7.2962471748209872</v>
      </c>
    </row>
    <row r="30" spans="2:32" x14ac:dyDescent="0.25">
      <c r="B30" s="14" t="s">
        <v>258</v>
      </c>
      <c r="C30" s="21">
        <f>MIN($C$27,($C$24+$C$25)*$C$23)</f>
        <v>3325.0000000000005</v>
      </c>
      <c r="D30" s="16" t="s">
        <v>134</v>
      </c>
      <c r="J30" s="27"/>
      <c r="K30" s="27"/>
      <c r="L30" s="27"/>
      <c r="M30" s="27"/>
      <c r="N30" s="27"/>
      <c r="AA30" s="11">
        <f>-$C$12+($C$12-$C$10/2)*COS(RADIANS((-$AA$1+($AA$1-(-$AA$1))*27/30)))</f>
        <v>-3.9449761762564037</v>
      </c>
      <c r="AB30" s="11">
        <f>0+($C$12-$C$10/2)*SIN(RADIANS((-$AA$1+($AA$1-(-$AA$1))*27/30)))</f>
        <v>7.2850300390701133</v>
      </c>
      <c r="AC30" s="11">
        <f>-$C$12+($C$12+$C$10/2)*COS(RADIANS((-$AA$1+($AA$1-(-$AA$1))*27/30)))</f>
        <v>-3.0085442014358916</v>
      </c>
      <c r="AD30" s="11">
        <f>0+($C$12+$C$10/2)*SIN(RADIANS((-$AA$1+($AA$1-(-$AA$1))*27/30)))</f>
        <v>8.3257486160801282</v>
      </c>
      <c r="AE30" s="11">
        <f>-$C$12+$C$12*COS(RADIANS((-$AA$1+($AA$1-(-$AA$1))*27/30)))</f>
        <v>-3.4767601888461481</v>
      </c>
      <c r="AF30" s="11">
        <f>0+$C$12*SIN(RADIANS((-$AA$1+($AA$1-(-$AA$1))*27/30)))</f>
        <v>7.8053893275751207</v>
      </c>
    </row>
    <row r="31" spans="2:32" x14ac:dyDescent="0.25">
      <c r="B31" s="29" t="str">
        <f>IF($C$24=$C$25,"Con la misma adherencia en las dos ruedas los tres diferenciales dan la misma tracción.","El abierto reparte el mismo par a las dos ruedas: la de menor adherencia (μ = "&amp;FIXED(MIN($C$24,$C$25),2)&amp;") patina y limita la tracción total a "&amp;FIXED($C$28,0)&amp;" N.")</f>
        <v>El abierto reparte el mismo par a las dos ruedas: la de menor adherencia (μ = 0.15) patina y limita la tracción total a 1,050 N.</v>
      </c>
      <c r="C31" s="29"/>
      <c r="D31" s="29"/>
      <c r="E31" s="29"/>
      <c r="F31" s="29"/>
      <c r="G31" s="29"/>
      <c r="J31" s="27"/>
      <c r="K31" s="27"/>
      <c r="L31" s="27"/>
      <c r="M31" s="27"/>
      <c r="N31" s="27"/>
      <c r="AA31" s="11">
        <f>-$C$12+($C$12-$C$10/2)*COS(RADIANS((-$AA$1+($AA$1-(-$AA$1))*28/30)))</f>
        <v>-4.4693389515785604</v>
      </c>
      <c r="AB31" s="11">
        <f>0+($C$12-$C$10/2)*SIN(RADIANS((-$AA$1+($AA$1-(-$AA$1))*28/30)))</f>
        <v>7.7247088824791614</v>
      </c>
      <c r="AC31" s="11">
        <f>-$C$12+($C$12+$C$10/2)*COS(RADIANS((-$AA$1+($AA$1-(-$AA$1))*28/30)))</f>
        <v>-3.6078159446612128</v>
      </c>
      <c r="AD31" s="11">
        <f>0+($C$12+$C$10/2)*SIN(RADIANS((-$AA$1+($AA$1-(-$AA$1))*28/30)))</f>
        <v>8.8282387228333263</v>
      </c>
      <c r="AE31" s="11">
        <f>-$C$12+$C$12*COS(RADIANS((-$AA$1+($AA$1-(-$AA$1))*28/30)))</f>
        <v>-4.0385774481198871</v>
      </c>
      <c r="AF31" s="11">
        <f>0+$C$12*SIN(RADIANS((-$AA$1+($AA$1-(-$AA$1))*28/30)))</f>
        <v>8.276473802656243</v>
      </c>
    </row>
    <row r="32" spans="2:32" x14ac:dyDescent="0.25">
      <c r="B32" s="29"/>
      <c r="C32" s="29"/>
      <c r="D32" s="29"/>
      <c r="E32" s="29"/>
      <c r="F32" s="29"/>
      <c r="G32" s="29"/>
      <c r="AA32" s="11">
        <f>-$C$12+($C$12-$C$10/2)*COS(RADIANS((-$AA$1+($AA$1-(-$AA$1))*29/30)))</f>
        <v>-5.0231061479621015</v>
      </c>
      <c r="AB32" s="11">
        <f>0+($C$12-$C$10/2)*SIN(RADIANS((-$AA$1+($AA$1-(-$AA$1))*29/30)))</f>
        <v>8.1267234315872638</v>
      </c>
      <c r="AC32" s="11">
        <f>-$C$12+($C$12+$C$10/2)*COS(RADIANS((-$AA$1+($AA$1-(-$AA$1))*29/30)))</f>
        <v>-4.2406927405281172</v>
      </c>
      <c r="AD32" s="11">
        <f>0+($C$12+$C$10/2)*SIN(RADIANS((-$AA$1+($AA$1-(-$AA$1))*29/30)))</f>
        <v>9.2876839218140148</v>
      </c>
      <c r="AE32" s="11">
        <f>-$C$12+$C$12*COS(RADIANS((-$AA$1+($AA$1-(-$AA$1))*29/30)))</f>
        <v>-4.6318994442451089</v>
      </c>
      <c r="AF32" s="11">
        <f>0+$C$12*SIN(RADIANS((-$AA$1+($AA$1-(-$AA$1))*29/30)))</f>
        <v>8.7072036767006402</v>
      </c>
    </row>
    <row r="33" spans="2:32" x14ac:dyDescent="0.25">
      <c r="AA33" s="11">
        <f>-$C$12+($C$12-$C$10/2)*COS(RADIANS((-$AA$1+($AA$1-(-$AA$1))*30/30)))</f>
        <v>-5.6035776959317642</v>
      </c>
      <c r="AB33" s="11">
        <f>0+($C$12-$C$10/2)*SIN(RADIANS((-$AA$1+($AA$1-(-$AA$1))*30/30)))</f>
        <v>8.4891135355950524</v>
      </c>
      <c r="AC33" s="11">
        <f>-$C$12+($C$12+$C$10/2)*COS(RADIANS((-$AA$1+($AA$1-(-$AA$1))*30/30)))</f>
        <v>-4.9040887953505887</v>
      </c>
      <c r="AD33" s="11">
        <f>0+($C$12+$C$10/2)*SIN(RADIANS((-$AA$1+($AA$1-(-$AA$1))*30/30)))</f>
        <v>9.7018440406800579</v>
      </c>
      <c r="AE33" s="11">
        <f>-$C$12+$C$12*COS(RADIANS((-$AA$1+($AA$1-(-$AA$1))*30/30)))</f>
        <v>-5.2538332456411769</v>
      </c>
      <c r="AF33" s="11">
        <f>0+$C$12*SIN(RADIANS((-$AA$1+($AA$1-(-$AA$1))*30/30)))</f>
        <v>9.0954787881375552</v>
      </c>
    </row>
    <row r="34" spans="2:32" x14ac:dyDescent="0.25">
      <c r="B34" s="28" t="s">
        <v>141</v>
      </c>
      <c r="C34" s="28"/>
      <c r="D34" s="28"/>
      <c r="E34" s="28"/>
      <c r="F34" s="28"/>
      <c r="G34" s="28"/>
    </row>
    <row r="35" spans="2:32" ht="45.95" customHeight="1" x14ac:dyDescent="0.25">
      <c r="B35" s="30" t="s">
        <v>270</v>
      </c>
      <c r="C35" s="30"/>
      <c r="D35" s="30"/>
      <c r="E35" s="30"/>
      <c r="F35" s="30"/>
      <c r="G35" s="30"/>
    </row>
    <row r="36" spans="2:32" ht="45.95" customHeight="1" x14ac:dyDescent="0.25">
      <c r="B36" s="30" t="s">
        <v>271</v>
      </c>
      <c r="C36" s="30"/>
      <c r="D36" s="30"/>
      <c r="E36" s="30"/>
      <c r="F36" s="30"/>
      <c r="G36" s="30"/>
    </row>
    <row r="37" spans="2:32" ht="45.95" customHeight="1" x14ac:dyDescent="0.25">
      <c r="B37" s="30" t="s">
        <v>272</v>
      </c>
      <c r="C37" s="30"/>
      <c r="D37" s="30"/>
      <c r="E37" s="30"/>
      <c r="F37" s="30"/>
      <c r="G37" s="30"/>
    </row>
    <row r="38" spans="2:32" ht="45.95" customHeight="1" x14ac:dyDescent="0.25">
      <c r="B38" s="30" t="s">
        <v>273</v>
      </c>
      <c r="C38" s="30"/>
      <c r="D38" s="30"/>
      <c r="E38" s="30"/>
      <c r="F38" s="30"/>
      <c r="G38" s="30"/>
    </row>
  </sheetData>
  <sheetProtection sheet="1" scenarios="1"/>
  <mergeCells count="13">
    <mergeCell ref="B36:G36"/>
    <mergeCell ref="B37:G37"/>
    <mergeCell ref="B38:G38"/>
    <mergeCell ref="B22:G22"/>
    <mergeCell ref="B31:G32"/>
    <mergeCell ref="J26:N31"/>
    <mergeCell ref="B34:G34"/>
    <mergeCell ref="B35:G35"/>
    <mergeCell ref="A1:Y1"/>
    <mergeCell ref="A2:Y2"/>
    <mergeCell ref="B4:G4"/>
    <mergeCell ref="B13:G13"/>
    <mergeCell ref="B20:G20"/>
  </mergeCells>
  <dataValidations count="3">
    <dataValidation type="decimal" allowBlank="1" showInputMessage="1" showErrorMessage="1" errorTitle="Valor fuera de rango" error="Escriba un valor entre 0 y 120." promptTitle="Rango" prompt="De 0 a 120 km/h" sqref="C11" xr:uid="{00000000-0002-0000-0400-000000000000}">
      <formula1>0</formula1>
      <formula2>120</formula2>
    </dataValidation>
    <dataValidation type="decimal" allowBlank="1" showInputMessage="1" showErrorMessage="1" errorTitle="Valor fuera de rango" error="Escriba un valor entre 5 y 60." promptTitle="Rango" prompt="De 5 a 60 m" sqref="C12" xr:uid="{00000000-0002-0000-0400-000001000000}">
      <formula1>5</formula1>
      <formula2>60</formula2>
    </dataValidation>
    <dataValidation type="decimal" allowBlank="1" showInputMessage="1" showErrorMessage="1" errorTitle="Valor fuera de rango" error="Escriba un valor entre 0.05 y 1.0." promptTitle="Rango" prompt="De 0.05 a 1.0 " sqref="C24:C25" xr:uid="{00000000-0002-0000-0400-000002000000}">
      <formula1>0.05</formula1>
      <formula2>1</formula2>
    </dataValidation>
  </dataValidations>
  <hyperlinks>
    <hyperlink ref="B3" location="'Inicio'!A1" display="◄ Volver al inicio" xr:uid="{00000000-0004-0000-0400-000000000000}"/>
  </hyperlinks>
  <pageMargins left="0.4" right="0.4" top="0.5" bottom="0.5" header="0.3" footer="0.3"/>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pageSetUpPr fitToPage="1"/>
  </sheetPr>
  <dimension ref="A1:DC76"/>
  <sheetViews>
    <sheetView showGridLines="0" topLeftCell="A10" workbookViewId="0">
      <selection sqref="A1:Y1"/>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107" ht="30" customHeight="1" x14ac:dyDescent="0.25">
      <c r="A1" s="24" t="s">
        <v>274</v>
      </c>
      <c r="B1" s="24"/>
      <c r="C1" s="24"/>
      <c r="D1" s="24"/>
      <c r="E1" s="24"/>
      <c r="F1" s="24"/>
      <c r="G1" s="24"/>
      <c r="H1" s="24"/>
      <c r="I1" s="24"/>
      <c r="J1" s="24"/>
      <c r="K1" s="24"/>
      <c r="L1" s="24"/>
      <c r="M1" s="24"/>
      <c r="N1" s="24"/>
      <c r="O1" s="24"/>
      <c r="P1" s="24"/>
      <c r="Q1" s="24"/>
      <c r="R1" s="24"/>
      <c r="S1" s="24"/>
      <c r="T1" s="24"/>
      <c r="U1" s="24"/>
      <c r="V1" s="24"/>
      <c r="W1" s="24"/>
      <c r="X1" s="24"/>
      <c r="Y1" s="24"/>
      <c r="AA1" s="12" t="s">
        <v>56</v>
      </c>
    </row>
    <row r="2" spans="1:107" x14ac:dyDescent="0.25">
      <c r="A2" s="25" t="s">
        <v>275</v>
      </c>
      <c r="B2" s="25"/>
      <c r="C2" s="25"/>
      <c r="D2" s="25"/>
      <c r="E2" s="25"/>
      <c r="F2" s="25"/>
      <c r="G2" s="25"/>
      <c r="H2" s="25"/>
      <c r="I2" s="25"/>
      <c r="J2" s="25"/>
      <c r="K2" s="25"/>
      <c r="L2" s="25"/>
      <c r="M2" s="25"/>
      <c r="N2" s="25"/>
      <c r="O2" s="25"/>
      <c r="P2" s="25"/>
      <c r="Q2" s="25"/>
      <c r="R2" s="25"/>
      <c r="S2" s="25"/>
      <c r="T2" s="25"/>
      <c r="U2" s="25"/>
      <c r="V2" s="25"/>
      <c r="W2" s="25"/>
      <c r="X2" s="25"/>
      <c r="Y2" s="25"/>
      <c r="CB2" s="11">
        <f>$C$9*$C$12/MAX(ABS($C$12),ABS($C$13),ABS($C$14),1)</f>
        <v>30</v>
      </c>
      <c r="CC2" s="11">
        <f>$C$9*$C$13/MAX(ABS($C$12),ABS($C$13),ABS($C$14),1)</f>
        <v>0</v>
      </c>
      <c r="CD2" s="11">
        <f>$C$9*$C$14/MAX(ABS($C$12),ABS($C$13),ABS($C$14),1)</f>
        <v>8.8235294117647065</v>
      </c>
      <c r="CE2" s="11">
        <f>$C$9*($C$14-($C$12-$C$14)*$C$5/(($C$6-$C$5)/2))/MAX(ABS($C$12),ABS($C$13),ABS($C$14),1)</f>
        <v>-21.428571428571427</v>
      </c>
    </row>
    <row r="3" spans="1:107" x14ac:dyDescent="0.25">
      <c r="B3" s="8" t="s">
        <v>55</v>
      </c>
      <c r="BZ3" s="11" t="s">
        <v>281</v>
      </c>
    </row>
    <row r="4" spans="1:107" x14ac:dyDescent="0.25">
      <c r="B4" s="28" t="s">
        <v>276</v>
      </c>
      <c r="C4" s="28"/>
      <c r="D4" s="28"/>
      <c r="E4" s="28"/>
      <c r="F4" s="28"/>
      <c r="G4" s="28"/>
      <c r="BZ4" s="11" t="s">
        <v>282</v>
      </c>
      <c r="CB4" s="11">
        <f>0+$C$6*COS(RADIANS((0+(360-(0))*0/72)))</f>
        <v>72</v>
      </c>
      <c r="CC4" s="11">
        <f>0+$C$6*SIN(RADIANS((0+(360-(0))*0/72)))</f>
        <v>0</v>
      </c>
      <c r="CD4" s="11">
        <f>0+$C$5*COS(RADIANS((0+(360-(0))*0/36)))</f>
        <v>30</v>
      </c>
      <c r="CE4" s="11">
        <f>0+$C$5*SIN(RADIANS((0+(360-(0))*0/36)))</f>
        <v>0</v>
      </c>
      <c r="CF4" s="11">
        <f>(($C$5+$C$6)/2)*COS(RADIANS($CD$2+0))+(($C$6-$C$5)/2)*COS(RADIANS((0+(360-(0))*0/36)))</f>
        <v>71.396439076144219</v>
      </c>
      <c r="CG4" s="11">
        <f>(($C$5+$C$6)/2)*SIN(RADIANS($CD$2+0))+(($C$6-$C$5)/2)*SIN(RADIANS((0+(360-(0))*0/36)))</f>
        <v>7.8229743988129536</v>
      </c>
      <c r="CH4" s="11">
        <f>(($C$5+$C$6)/2)*COS(RADIANS($CD$2+120))+(($C$6-$C$5)/2)*COS(RADIANS((0+(360-(0))*0/36)))</f>
        <v>-10.973114100599417</v>
      </c>
      <c r="CI4" s="11">
        <f>(($C$5+$C$6)/2)*SIN(RADIANS($CD$2+120))+(($C$6-$C$5)/2)*SIN(RADIANS((0+(360-(0))*0/36)))</f>
        <v>39.733109300809197</v>
      </c>
      <c r="CJ4" s="11">
        <f>(($C$5+$C$6)/2)*COS(RADIANS($CD$2+240))+(($C$6-$C$5)/2)*COS(RADIANS((0+(360-(0))*0/36)))</f>
        <v>2.5766750244551986</v>
      </c>
      <c r="CK4" s="11">
        <f>(($C$5+$C$6)/2)*SIN(RADIANS($CD$2+240))+(($C$6-$C$5)/2)*SIN(RADIANS((0+(360-(0))*0/36)))</f>
        <v>-47.55608369962215</v>
      </c>
      <c r="CL4" s="11">
        <v>0</v>
      </c>
      <c r="CM4" s="11">
        <v>0</v>
      </c>
      <c r="CN4" s="11">
        <f>0.72*$C$5*COS(RADIANS($CB$2))</f>
        <v>18.706148721743876</v>
      </c>
      <c r="CO4" s="11">
        <f>0.72*$C$5*SIN(RADIANS($CB$2))</f>
        <v>10.799999999999997</v>
      </c>
      <c r="CP4" s="11">
        <f>0.93*$C$6*COS(RADIANS($CC$2))</f>
        <v>66.960000000000008</v>
      </c>
      <c r="CQ4" s="11">
        <f>0.93*$C$6*SIN(RADIANS($CC$2))</f>
        <v>0</v>
      </c>
      <c r="CR4" s="11">
        <f>(($C$5+$C$6)/2)*COS(RADIANS($CD$2+0))+0.65*(($C$6-$C$5)/2)*COS(RADIANS($CE$2+0))</f>
        <v>63.102865745137613</v>
      </c>
      <c r="CS4" s="11">
        <f>(($C$5+$C$6)/2)*SIN(RADIANS($CD$2+0))+0.65*(($C$6-$C$5)/2)*SIN(RADIANS($CE$2+0))</f>
        <v>2.8360694162116618</v>
      </c>
      <c r="CT4" s="11">
        <v>0</v>
      </c>
      <c r="CU4" s="11">
        <f>(-1.15*MAX(ABS($C$12),ABS($C$13),ABS($C$14),1))</f>
        <v>-3449.9999999999995</v>
      </c>
      <c r="CV4" s="11">
        <f>($C$6/($C$5+$C$6))</f>
        <v>0.70588235294117652</v>
      </c>
      <c r="CW4" s="11">
        <f>(-1.15*MAX(ABS($C$12),ABS($C$13),ABS($C$14),1))</f>
        <v>-3449.9999999999995</v>
      </c>
      <c r="CX4" s="11">
        <v>1</v>
      </c>
      <c r="CY4" s="11">
        <f>(-1.15*MAX(ABS($C$12),ABS($C$13),ABS($C$14),1))</f>
        <v>-3449.9999999999995</v>
      </c>
      <c r="CZ4" s="11">
        <v>-0.05</v>
      </c>
      <c r="DA4" s="11">
        <v>0</v>
      </c>
      <c r="DB4" s="11">
        <v>0</v>
      </c>
      <c r="DC4" s="11">
        <f>$C$12</f>
        <v>3000</v>
      </c>
    </row>
    <row r="5" spans="1:107" x14ac:dyDescent="0.25">
      <c r="B5" s="14" t="s">
        <v>277</v>
      </c>
      <c r="C5" s="15">
        <v>30</v>
      </c>
      <c r="D5" s="16"/>
      <c r="BZ5" s="11" t="s">
        <v>283</v>
      </c>
      <c r="CB5" s="11">
        <f>0+$C$6*COS(RADIANS((0+(360-(0))*1/72)))</f>
        <v>71.726018262605677</v>
      </c>
      <c r="CC5" s="11">
        <f>0+$C$6*SIN(RADIANS((0+(360-(0))*1/72)))</f>
        <v>6.2752134778313877</v>
      </c>
      <c r="CD5" s="11">
        <f>0+$C$5*COS(RADIANS((0+(360-(0))*1/36)))</f>
        <v>29.544232590366242</v>
      </c>
      <c r="CE5" s="11">
        <f>0+$C$5*SIN(RADIANS((0+(360-(0))*1/36)))</f>
        <v>5.2094453300079095</v>
      </c>
      <c r="CF5" s="11">
        <f>(($C$5+$C$6)/2)*COS(RADIANS($CD$2+0))+(($C$6-$C$5)/2)*COS(RADIANS((0+(360-(0))*1/36)))</f>
        <v>71.077401889400591</v>
      </c>
      <c r="CG5" s="11">
        <f>(($C$5+$C$6)/2)*SIN(RADIANS($CD$2+0))+(($C$6-$C$5)/2)*SIN(RADIANS((0+(360-(0))*1/36)))</f>
        <v>11.469586129818492</v>
      </c>
      <c r="CH5" s="11">
        <f>(($C$5+$C$6)/2)*COS(RADIANS($CD$2+120))+(($C$6-$C$5)/2)*COS(RADIANS((0+(360-(0))*1/36)))</f>
        <v>-11.292151287343049</v>
      </c>
      <c r="CI5" s="11">
        <f>(($C$5+$C$6)/2)*SIN(RADIANS($CD$2+120))+(($C$6-$C$5)/2)*SIN(RADIANS((0+(360-(0))*1/36)))</f>
        <v>43.379721031814732</v>
      </c>
      <c r="CJ5" s="11">
        <f>(($C$5+$C$6)/2)*COS(RADIANS($CD$2+240))+(($C$6-$C$5)/2)*COS(RADIANS((0+(360-(0))*1/36)))</f>
        <v>2.2576378377115667</v>
      </c>
      <c r="CK5" s="11">
        <f>(($C$5+$C$6)/2)*SIN(RADIANS($CD$2+240))+(($C$6-$C$5)/2)*SIN(RADIANS((0+(360-(0))*1/36)))</f>
        <v>-43.909471968616614</v>
      </c>
      <c r="CL5" s="11">
        <f>(($C$5+$C$6)/2)*COS(RADIANS($CD$2+0))</f>
        <v>50.396439076144226</v>
      </c>
      <c r="CM5" s="11">
        <f>(($C$5+$C$6)/2)*SIN(RADIANS($CD$2+0))</f>
        <v>7.8229743988129536</v>
      </c>
      <c r="CR5" s="11">
        <f>(($C$5+$C$6)/2)*COS(RADIANS($CD$2+120))+0.65*(($C$6-$C$5)/2)*COS(RADIANS($CE$2+120))</f>
        <v>-34.007541033904197</v>
      </c>
      <c r="CS5" s="11">
        <f>(($C$5+$C$6)/2)*SIN(RADIANS($CD$2+120))+0.65*(($C$6-$C$5)/2)*SIN(RADIANS($CE$2+120))</f>
        <v>53.230650078782205</v>
      </c>
      <c r="CT5" s="11">
        <v>0</v>
      </c>
      <c r="CU5" s="11">
        <f>(1.15*MAX(ABS($C$12),ABS($C$13),ABS($C$14),1))</f>
        <v>3449.9999999999995</v>
      </c>
      <c r="CV5" s="11">
        <f>($C$6/($C$5+$C$6))</f>
        <v>0.70588235294117652</v>
      </c>
      <c r="CW5" s="11">
        <f>(1.15*MAX(ABS($C$12),ABS($C$13),ABS($C$14),1))</f>
        <v>3449.9999999999995</v>
      </c>
      <c r="CX5" s="11">
        <v>1</v>
      </c>
      <c r="CY5" s="11">
        <f>(1.15*MAX(ABS($C$12),ABS($C$13),ABS($C$14),1))</f>
        <v>3449.9999999999995</v>
      </c>
      <c r="CZ5" s="11">
        <v>1.05</v>
      </c>
      <c r="DA5" s="11">
        <v>0</v>
      </c>
      <c r="DB5" s="11">
        <f>($C$6/($C$5+$C$6))</f>
        <v>0.70588235294117652</v>
      </c>
      <c r="DC5" s="11">
        <f>$C$14</f>
        <v>882.35294117647061</v>
      </c>
    </row>
    <row r="6" spans="1:107" x14ac:dyDescent="0.25">
      <c r="B6" s="14" t="s">
        <v>278</v>
      </c>
      <c r="C6" s="15">
        <v>72</v>
      </c>
      <c r="D6" s="16"/>
      <c r="BZ6" s="11" t="s">
        <v>284</v>
      </c>
      <c r="CB6" s="11">
        <f>0+$C$6*COS(RADIANS((0+(360-(0))*2/72)))</f>
        <v>70.906158216878978</v>
      </c>
      <c r="CC6" s="11">
        <f>0+$C$6*SIN(RADIANS((0+(360-(0))*2/72)))</f>
        <v>12.502668792018984</v>
      </c>
      <c r="CD6" s="11">
        <f>0+$C$5*COS(RADIANS((0+(360-(0))*2/36)))</f>
        <v>28.190778623577252</v>
      </c>
      <c r="CE6" s="11">
        <f>0+$C$5*SIN(RADIANS((0+(360-(0))*2/36)))</f>
        <v>10.260604299770062</v>
      </c>
      <c r="CF6" s="11">
        <f>(($C$5+$C$6)/2)*COS(RADIANS($CD$2+0))+(($C$6-$C$5)/2)*COS(RADIANS((0+(360-(0))*2/36)))</f>
        <v>70.129984112648302</v>
      </c>
      <c r="CG6" s="11">
        <f>(($C$5+$C$6)/2)*SIN(RADIANS($CD$2+0))+(($C$6-$C$5)/2)*SIN(RADIANS((0+(360-(0))*2/36)))</f>
        <v>15.005397408651998</v>
      </c>
      <c r="CH6" s="11">
        <f>(($C$5+$C$6)/2)*COS(RADIANS($CD$2+120))+(($C$6-$C$5)/2)*COS(RADIANS((0+(360-(0))*2/36)))</f>
        <v>-12.239569064095342</v>
      </c>
      <c r="CI6" s="11">
        <f>(($C$5+$C$6)/2)*SIN(RADIANS($CD$2+120))+(($C$6-$C$5)/2)*SIN(RADIANS((0+(360-(0))*2/36)))</f>
        <v>46.915532310648238</v>
      </c>
      <c r="CJ6" s="11">
        <f>(($C$5+$C$6)/2)*COS(RADIANS($CD$2+240))+(($C$6-$C$5)/2)*COS(RADIANS((0+(360-(0))*2/36)))</f>
        <v>1.3102200609592742</v>
      </c>
      <c r="CK6" s="11">
        <f>(($C$5+$C$6)/2)*SIN(RADIANS($CD$2+240))+(($C$6-$C$5)/2)*SIN(RADIANS((0+(360-(0))*2/36)))</f>
        <v>-40.373660689783108</v>
      </c>
      <c r="CL6" s="11">
        <v>0</v>
      </c>
      <c r="CM6" s="11">
        <v>0</v>
      </c>
      <c r="CR6" s="11">
        <f>(($C$5+$C$6)/2)*COS(RADIANS($CD$2+240))+0.65*(($C$6-$C$5)/2)*COS(RADIANS($CE$2+240))</f>
        <v>-29.095324711233406</v>
      </c>
      <c r="CS6" s="11">
        <f>(($C$5+$C$6)/2)*SIN(RADIANS($CD$2+240))+0.65*(($C$6-$C$5)/2)*SIN(RADIANS($CE$2+240))</f>
        <v>-56.066719494993869</v>
      </c>
      <c r="DB6" s="11">
        <v>1</v>
      </c>
      <c r="DC6" s="11">
        <f>$C$13</f>
        <v>0</v>
      </c>
    </row>
    <row r="7" spans="1:107" x14ac:dyDescent="0.25">
      <c r="B7" s="14" t="s">
        <v>279</v>
      </c>
      <c r="C7" s="15">
        <v>3000</v>
      </c>
      <c r="D7" s="16" t="s">
        <v>79</v>
      </c>
      <c r="BZ7" s="11" t="s">
        <v>285</v>
      </c>
      <c r="CB7" s="11">
        <f>0+$C$6*COS(RADIANS((0+(360-(0))*3/72)))</f>
        <v>69.546659492812921</v>
      </c>
      <c r="CC7" s="11">
        <f>0+$C$6*SIN(RADIANS((0+(360-(0))*3/72)))</f>
        <v>18.634971247381493</v>
      </c>
      <c r="CD7" s="11">
        <f>0+$C$5*COS(RADIANS((0+(360-(0))*3/36)))</f>
        <v>25.98076211353316</v>
      </c>
      <c r="CE7" s="11">
        <f>0+$C$5*SIN(RADIANS((0+(360-(0))*3/36)))</f>
        <v>14.999999999999998</v>
      </c>
      <c r="CF7" s="11">
        <f>(($C$5+$C$6)/2)*COS(RADIANS($CD$2+0))+(($C$6-$C$5)/2)*COS(RADIANS((0+(360-(0))*3/36)))</f>
        <v>68.582972555617431</v>
      </c>
      <c r="CG7" s="11">
        <f>(($C$5+$C$6)/2)*SIN(RADIANS($CD$2+0))+(($C$6-$C$5)/2)*SIN(RADIANS((0+(360-(0))*3/36)))</f>
        <v>18.322974398812953</v>
      </c>
      <c r="CH7" s="11">
        <f>(($C$5+$C$6)/2)*COS(RADIANS($CD$2+120))+(($C$6-$C$5)/2)*COS(RADIANS((0+(360-(0))*3/36)))</f>
        <v>-13.786580621126205</v>
      </c>
      <c r="CI7" s="11">
        <f>(($C$5+$C$6)/2)*SIN(RADIANS($CD$2+120))+(($C$6-$C$5)/2)*SIN(RADIANS((0+(360-(0))*3/36)))</f>
        <v>50.233109300809197</v>
      </c>
      <c r="CJ7" s="11">
        <f>(($C$5+$C$6)/2)*COS(RADIANS($CD$2+240))+(($C$6-$C$5)/2)*COS(RADIANS((0+(360-(0))*3/36)))</f>
        <v>-0.23679149607158934</v>
      </c>
      <c r="CK7" s="11">
        <f>(($C$5+$C$6)/2)*SIN(RADIANS($CD$2+240))+(($C$6-$C$5)/2)*SIN(RADIANS((0+(360-(0))*3/36)))</f>
        <v>-37.05608369962215</v>
      </c>
      <c r="CL7" s="11">
        <f>(($C$5+$C$6)/2)*COS(RADIANS($CD$2+120))</f>
        <v>-31.973114100599417</v>
      </c>
      <c r="CM7" s="11">
        <f>(($C$5+$C$6)/2)*SIN(RADIANS($CD$2+120))</f>
        <v>39.733109300809197</v>
      </c>
    </row>
    <row r="8" spans="1:107" ht="25.5" x14ac:dyDescent="0.25">
      <c r="B8" s="14" t="s">
        <v>280</v>
      </c>
      <c r="C8" s="31" t="s">
        <v>281</v>
      </c>
      <c r="D8" s="31"/>
      <c r="E8" s="31"/>
      <c r="F8" s="31"/>
      <c r="G8" s="31"/>
      <c r="H8" s="10">
        <f>MATCH(C8,$BZ$3:$BZ$9,0)</f>
        <v>1</v>
      </c>
      <c r="BZ8" s="11" t="s">
        <v>286</v>
      </c>
      <c r="CB8" s="11">
        <f>0+$C$6*COS(RADIANS((0+(360-(0))*4/72)))</f>
        <v>67.65786869658541</v>
      </c>
      <c r="CC8" s="11">
        <f>0+$C$6*SIN(RADIANS((0+(360-(0))*4/72)))</f>
        <v>24.625450319448149</v>
      </c>
      <c r="CD8" s="11">
        <f>0+$C$5*COS(RADIANS((0+(360-(0))*4/36)))</f>
        <v>22.981333293569339</v>
      </c>
      <c r="CE8" s="11">
        <f>0+$C$5*SIN(RADIANS((0+(360-(0))*4/36)))</f>
        <v>19.283628290596177</v>
      </c>
      <c r="CF8" s="11">
        <f>(($C$5+$C$6)/2)*COS(RADIANS($CD$2+0))+(($C$6-$C$5)/2)*COS(RADIANS((0+(360-(0))*4/36)))</f>
        <v>66.483372381642766</v>
      </c>
      <c r="CG8" s="11">
        <f>(($C$5+$C$6)/2)*SIN(RADIANS($CD$2+0))+(($C$6-$C$5)/2)*SIN(RADIANS((0+(360-(0))*4/36)))</f>
        <v>21.321514202230279</v>
      </c>
      <c r="CH8" s="11">
        <f>(($C$5+$C$6)/2)*COS(RADIANS($CD$2+120))+(($C$6-$C$5)/2)*COS(RADIANS((0+(360-(0))*4/36)))</f>
        <v>-15.886180795100881</v>
      </c>
      <c r="CI8" s="11">
        <f>(($C$5+$C$6)/2)*SIN(RADIANS($CD$2+120))+(($C$6-$C$5)/2)*SIN(RADIANS((0+(360-(0))*4/36)))</f>
        <v>53.23164910422652</v>
      </c>
      <c r="CJ8" s="11">
        <f>(($C$5+$C$6)/2)*COS(RADIANS($CD$2+240))+(($C$6-$C$5)/2)*COS(RADIANS((0+(360-(0))*4/36)))</f>
        <v>-2.3363916700462646</v>
      </c>
      <c r="CK8" s="11">
        <f>(($C$5+$C$6)/2)*SIN(RADIANS($CD$2+240))+(($C$6-$C$5)/2)*SIN(RADIANS((0+(360-(0))*4/36)))</f>
        <v>-34.057543896204827</v>
      </c>
      <c r="CL8" s="11">
        <v>0</v>
      </c>
      <c r="CM8" s="11">
        <v>0</v>
      </c>
    </row>
    <row r="9" spans="1:107" x14ac:dyDescent="0.25">
      <c r="B9" s="14" t="s">
        <v>288</v>
      </c>
      <c r="C9" s="15">
        <v>30</v>
      </c>
      <c r="D9" s="16" t="s">
        <v>198</v>
      </c>
      <c r="BZ9" s="11" t="s">
        <v>287</v>
      </c>
      <c r="CB9" s="11">
        <f>0+$C$6*COS(RADIANS((0+(360-(0))*5/72)))</f>
        <v>65.254160666638796</v>
      </c>
      <c r="CC9" s="11">
        <f>0+$C$6*SIN(RADIANS((0+(360-(0))*5/72)))</f>
        <v>30.428514845330358</v>
      </c>
      <c r="CD9" s="11">
        <f>0+$C$5*COS(RADIANS((0+(360-(0))*5/36)))</f>
        <v>19.28362829059618</v>
      </c>
      <c r="CE9" s="11">
        <f>0+$C$5*SIN(RADIANS((0+(360-(0))*5/36)))</f>
        <v>22.981333293569339</v>
      </c>
      <c r="CF9" s="11">
        <f>(($C$5+$C$6)/2)*COS(RADIANS($CD$2+0))+(($C$6-$C$5)/2)*COS(RADIANS((0+(360-(0))*5/36)))</f>
        <v>63.894978879561549</v>
      </c>
      <c r="CG9" s="11">
        <f>(($C$5+$C$6)/2)*SIN(RADIANS($CD$2+0))+(($C$6-$C$5)/2)*SIN(RADIANS((0+(360-(0))*5/36)))</f>
        <v>23.90990770431149</v>
      </c>
      <c r="CH9" s="11">
        <f>(($C$5+$C$6)/2)*COS(RADIANS($CD$2+120))+(($C$6-$C$5)/2)*COS(RADIANS((0+(360-(0))*5/36)))</f>
        <v>-18.474574297182091</v>
      </c>
      <c r="CI9" s="11">
        <f>(($C$5+$C$6)/2)*SIN(RADIANS($CD$2+120))+(($C$6-$C$5)/2)*SIN(RADIANS((0+(360-(0))*5/36)))</f>
        <v>55.820042606307737</v>
      </c>
      <c r="CJ9" s="11">
        <f>(($C$5+$C$6)/2)*COS(RADIANS($CD$2+240))+(($C$6-$C$5)/2)*COS(RADIANS((0+(360-(0))*5/36)))</f>
        <v>-4.9247851721274749</v>
      </c>
      <c r="CK9" s="11">
        <f>(($C$5+$C$6)/2)*SIN(RADIANS($CD$2+240))+(($C$6-$C$5)/2)*SIN(RADIANS((0+(360-(0))*5/36)))</f>
        <v>-31.469150394123613</v>
      </c>
      <c r="CL9" s="11">
        <f>(($C$5+$C$6)/2)*COS(RADIANS($CD$2+240))</f>
        <v>-18.423324975544801</v>
      </c>
      <c r="CM9" s="11">
        <f>(($C$5+$C$6)/2)*SIN(RADIANS($CD$2+240))</f>
        <v>-47.55608369962215</v>
      </c>
    </row>
    <row r="10" spans="1:107" x14ac:dyDescent="0.25">
      <c r="B10" s="28" t="s">
        <v>158</v>
      </c>
      <c r="C10" s="28"/>
      <c r="D10" s="28"/>
      <c r="E10" s="28"/>
      <c r="F10" s="28"/>
      <c r="G10" s="28"/>
      <c r="CB10" s="11">
        <f>0+$C$6*COS(RADIANS((0+(360-(0))*6/72)))</f>
        <v>62.353829072479584</v>
      </c>
      <c r="CC10" s="11">
        <f>0+$C$6*SIN(RADIANS((0+(360-(0))*6/72)))</f>
        <v>35.999999999999993</v>
      </c>
      <c r="CD10" s="11">
        <f>0+$C$5*COS(RADIANS((0+(360-(0))*6/36)))</f>
        <v>15.000000000000004</v>
      </c>
      <c r="CE10" s="11">
        <f>0+$C$5*SIN(RADIANS((0+(360-(0))*6/36)))</f>
        <v>25.980762113533157</v>
      </c>
      <c r="CF10" s="11">
        <f>(($C$5+$C$6)/2)*COS(RADIANS($CD$2+0))+(($C$6-$C$5)/2)*COS(RADIANS((0+(360-(0))*6/36)))</f>
        <v>60.896439076144226</v>
      </c>
      <c r="CG10" s="11">
        <f>(($C$5+$C$6)/2)*SIN(RADIANS($CD$2+0))+(($C$6-$C$5)/2)*SIN(RADIANS((0+(360-(0))*6/36)))</f>
        <v>26.009507878286165</v>
      </c>
      <c r="CH10" s="11">
        <f>(($C$5+$C$6)/2)*COS(RADIANS($CD$2+120))+(($C$6-$C$5)/2)*COS(RADIANS((0+(360-(0))*6/36)))</f>
        <v>-21.473114100599417</v>
      </c>
      <c r="CI10" s="11">
        <f>(($C$5+$C$6)/2)*SIN(RADIANS($CD$2+120))+(($C$6-$C$5)/2)*SIN(RADIANS((0+(360-(0))*6/36)))</f>
        <v>57.919642780282409</v>
      </c>
      <c r="CJ10" s="11">
        <f>(($C$5+$C$6)/2)*COS(RADIANS($CD$2+240))+(($C$6-$C$5)/2)*COS(RADIANS((0+(360-(0))*6/36)))</f>
        <v>-7.9233249755447996</v>
      </c>
      <c r="CK10" s="11">
        <f>(($C$5+$C$6)/2)*SIN(RADIANS($CD$2+240))+(($C$6-$C$5)/2)*SIN(RADIANS((0+(360-(0))*6/36)))</f>
        <v>-29.369550220148938</v>
      </c>
    </row>
    <row r="11" spans="1:107" x14ac:dyDescent="0.25">
      <c r="B11" s="14" t="s">
        <v>289</v>
      </c>
      <c r="C11" s="22">
        <f>$C$6/$C$5</f>
        <v>2.4</v>
      </c>
      <c r="D11" s="16"/>
      <c r="CB11" s="11">
        <f>0+$C$6*COS(RADIANS((0+(360-(0))*7/72)))</f>
        <v>58.97894718880741</v>
      </c>
      <c r="CC11" s="11">
        <f>0+$C$6*SIN(RADIANS((0+(360-(0))*7/72)))</f>
        <v>41.297503417275315</v>
      </c>
      <c r="CD11" s="11">
        <f>0+$C$5*COS(RADIANS((0+(360-(0))*7/36)))</f>
        <v>10.260604299770065</v>
      </c>
      <c r="CE11" s="11">
        <f>0+$C$5*SIN(RADIANS((0+(360-(0))*7/36)))</f>
        <v>28.190778623577248</v>
      </c>
      <c r="CF11" s="11">
        <f>(($C$5+$C$6)/2)*COS(RADIANS($CD$2+0))+(($C$6-$C$5)/2)*COS(RADIANS((0+(360-(0))*7/36)))</f>
        <v>57.578862085983275</v>
      </c>
      <c r="CG11" s="11">
        <f>(($C$5+$C$6)/2)*SIN(RADIANS($CD$2+0))+(($C$6-$C$5)/2)*SIN(RADIANS((0+(360-(0))*7/36)))</f>
        <v>27.556519435317028</v>
      </c>
      <c r="CH11" s="11">
        <f>(($C$5+$C$6)/2)*COS(RADIANS($CD$2+120))+(($C$6-$C$5)/2)*COS(RADIANS((0+(360-(0))*7/36)))</f>
        <v>-24.790691090760372</v>
      </c>
      <c r="CI11" s="11">
        <f>(($C$5+$C$6)/2)*SIN(RADIANS($CD$2+120))+(($C$6-$C$5)/2)*SIN(RADIANS((0+(360-(0))*7/36)))</f>
        <v>59.466654337313273</v>
      </c>
      <c r="CJ11" s="11">
        <f>(($C$5+$C$6)/2)*COS(RADIANS($CD$2+240))+(($C$6-$C$5)/2)*COS(RADIANS((0+(360-(0))*7/36)))</f>
        <v>-11.240901965705756</v>
      </c>
      <c r="CK11" s="11">
        <f>(($C$5+$C$6)/2)*SIN(RADIANS($CD$2+240))+(($C$6-$C$5)/2)*SIN(RADIANS((0+(360-(0))*7/36)))</f>
        <v>-27.822538663118074</v>
      </c>
    </row>
    <row r="12" spans="1:107" x14ac:dyDescent="0.25">
      <c r="B12" s="14" t="s">
        <v>290</v>
      </c>
      <c r="C12" s="21">
        <f>CHOOSE($H$8,$C$7,0,(1+$C$11)*$C$7,0,$C$7,-$C$11*$C$7,$C$7)</f>
        <v>3000</v>
      </c>
      <c r="D12" s="16" t="s">
        <v>79</v>
      </c>
      <c r="CB12" s="11">
        <f>0+$C$6*COS(RADIANS((0+(360-(0))*8/72)))</f>
        <v>55.155199904566416</v>
      </c>
      <c r="CC12" s="11">
        <f>0+$C$6*SIN(RADIANS((0+(360-(0))*8/72)))</f>
        <v>46.28070789743083</v>
      </c>
      <c r="CD12" s="11">
        <f>0+$C$5*COS(RADIANS((0+(360-(0))*8/36)))</f>
        <v>5.2094453300079122</v>
      </c>
      <c r="CE12" s="11">
        <f>0+$C$5*SIN(RADIANS((0+(360-(0))*8/36)))</f>
        <v>29.544232590366242</v>
      </c>
      <c r="CF12" s="11">
        <f>(($C$5+$C$6)/2)*COS(RADIANS($CD$2+0))+(($C$6-$C$5)/2)*COS(RADIANS((0+(360-(0))*8/36)))</f>
        <v>54.043050807149768</v>
      </c>
      <c r="CG12" s="11">
        <f>(($C$5+$C$6)/2)*SIN(RADIANS($CD$2+0))+(($C$6-$C$5)/2)*SIN(RADIANS((0+(360-(0))*8/36)))</f>
        <v>28.503937212069321</v>
      </c>
      <c r="CH12" s="11">
        <f>(($C$5+$C$6)/2)*COS(RADIANS($CD$2+120))+(($C$6-$C$5)/2)*COS(RADIANS((0+(360-(0))*8/36)))</f>
        <v>-28.326502369593879</v>
      </c>
      <c r="CI12" s="11">
        <f>(($C$5+$C$6)/2)*SIN(RADIANS($CD$2+120))+(($C$6-$C$5)/2)*SIN(RADIANS((0+(360-(0))*8/36)))</f>
        <v>60.414072114065561</v>
      </c>
      <c r="CJ12" s="11">
        <f>(($C$5+$C$6)/2)*COS(RADIANS($CD$2+240))+(($C$6-$C$5)/2)*COS(RADIANS((0+(360-(0))*8/36)))</f>
        <v>-14.776713244539263</v>
      </c>
      <c r="CK12" s="11">
        <f>(($C$5+$C$6)/2)*SIN(RADIANS($CD$2+240))+(($C$6-$C$5)/2)*SIN(RADIANS((0+(360-(0))*8/36)))</f>
        <v>-26.875120886365782</v>
      </c>
    </row>
    <row r="13" spans="1:107" x14ac:dyDescent="0.25">
      <c r="B13" s="14" t="s">
        <v>291</v>
      </c>
      <c r="C13" s="21">
        <f>CHOOSE($H$8,0,$C$7,0,(1+$C$11)*$C$7/$C$11,-$C$7/$C$11,$C$7,$C$7)</f>
        <v>0</v>
      </c>
      <c r="D13" s="16" t="s">
        <v>79</v>
      </c>
      <c r="CB13" s="11">
        <f>0+$C$6*COS(RADIANS((0+(360-(0))*9/72)))</f>
        <v>50.911688245431428</v>
      </c>
      <c r="CC13" s="11">
        <f>0+$C$6*SIN(RADIANS((0+(360-(0))*9/72)))</f>
        <v>50.911688245431421</v>
      </c>
      <c r="CD13" s="11">
        <f>0+$C$5*COS(RADIANS((0+(360-(0))*9/36)))</f>
        <v>1.83772268236293E-15</v>
      </c>
      <c r="CE13" s="11">
        <f>0+$C$5*SIN(RADIANS((0+(360-(0))*9/36)))</f>
        <v>30</v>
      </c>
      <c r="CF13" s="11">
        <f>(($C$5+$C$6)/2)*COS(RADIANS($CD$2+0))+(($C$6-$C$5)/2)*COS(RADIANS((0+(360-(0))*9/36)))</f>
        <v>50.396439076144226</v>
      </c>
      <c r="CG13" s="11">
        <f>(($C$5+$C$6)/2)*SIN(RADIANS($CD$2+0))+(($C$6-$C$5)/2)*SIN(RADIANS((0+(360-(0))*9/36)))</f>
        <v>28.822974398812953</v>
      </c>
      <c r="CH13" s="11">
        <f>(($C$5+$C$6)/2)*COS(RADIANS($CD$2+120))+(($C$6-$C$5)/2)*COS(RADIANS((0+(360-(0))*9/36)))</f>
        <v>-31.973114100599417</v>
      </c>
      <c r="CI13" s="11">
        <f>(($C$5+$C$6)/2)*SIN(RADIANS($CD$2+120))+(($C$6-$C$5)/2)*SIN(RADIANS((0+(360-(0))*9/36)))</f>
        <v>60.733109300809197</v>
      </c>
      <c r="CJ13" s="11">
        <f>(($C$5+$C$6)/2)*COS(RADIANS($CD$2+240))+(($C$6-$C$5)/2)*COS(RADIANS((0+(360-(0))*9/36)))</f>
        <v>-18.423324975544801</v>
      </c>
      <c r="CK13" s="11">
        <f>(($C$5+$C$6)/2)*SIN(RADIANS($CD$2+240))+(($C$6-$C$5)/2)*SIN(RADIANS((0+(360-(0))*9/36)))</f>
        <v>-26.55608369962215</v>
      </c>
    </row>
    <row r="14" spans="1:107" x14ac:dyDescent="0.25">
      <c r="B14" s="14" t="s">
        <v>292</v>
      </c>
      <c r="C14" s="21">
        <f>CHOOSE($H$8,$C$7/(1+$C$11),$C$11*$C$7/(1+$C$11),$C$7,$C$7,0,0,$C$7)</f>
        <v>882.35294117647061</v>
      </c>
      <c r="D14" s="16" t="s">
        <v>79</v>
      </c>
      <c r="CB14" s="11">
        <f>0+$C$6*COS(RADIANS((0+(360-(0))*10/72)))</f>
        <v>46.280707897430837</v>
      </c>
      <c r="CC14" s="11">
        <f>0+$C$6*SIN(RADIANS((0+(360-(0))*10/72)))</f>
        <v>55.155199904566416</v>
      </c>
      <c r="CD14" s="11">
        <f>0+$C$5*COS(RADIANS((0+(360-(0))*10/36)))</f>
        <v>-5.2094453300079095</v>
      </c>
      <c r="CE14" s="11">
        <f>0+$C$5*SIN(RADIANS((0+(360-(0))*10/36)))</f>
        <v>29.544232590366242</v>
      </c>
      <c r="CF14" s="11">
        <f>(($C$5+$C$6)/2)*COS(RADIANS($CD$2+0))+(($C$6-$C$5)/2)*COS(RADIANS((0+(360-(0))*10/36)))</f>
        <v>46.749827345138691</v>
      </c>
      <c r="CG14" s="11">
        <f>(($C$5+$C$6)/2)*SIN(RADIANS($CD$2+0))+(($C$6-$C$5)/2)*SIN(RADIANS((0+(360-(0))*10/36)))</f>
        <v>28.503937212069321</v>
      </c>
      <c r="CH14" s="11">
        <f>(($C$5+$C$6)/2)*COS(RADIANS($CD$2+120))+(($C$6-$C$5)/2)*COS(RADIANS((0+(360-(0))*10/36)))</f>
        <v>-35.619725831604953</v>
      </c>
      <c r="CI14" s="11">
        <f>(($C$5+$C$6)/2)*SIN(RADIANS($CD$2+120))+(($C$6-$C$5)/2)*SIN(RADIANS((0+(360-(0))*10/36)))</f>
        <v>60.414072114065561</v>
      </c>
      <c r="CJ14" s="11">
        <f>(($C$5+$C$6)/2)*COS(RADIANS($CD$2+240))+(($C$6-$C$5)/2)*COS(RADIANS((0+(360-(0))*10/36)))</f>
        <v>-22.069936706550337</v>
      </c>
      <c r="CK14" s="11">
        <f>(($C$5+$C$6)/2)*SIN(RADIANS($CD$2+240))+(($C$6-$C$5)/2)*SIN(RADIANS((0+(360-(0))*10/36)))</f>
        <v>-26.875120886365782</v>
      </c>
    </row>
    <row r="15" spans="1:107" x14ac:dyDescent="0.25">
      <c r="B15" s="14" t="s">
        <v>293</v>
      </c>
      <c r="C15" s="21">
        <f>CHOOSE($H$8,$C$14,$C$14,$C$12,$C$13,$C$13,$C$12,$C$14)</f>
        <v>882.35294117647061</v>
      </c>
      <c r="D15" s="16" t="s">
        <v>79</v>
      </c>
      <c r="CB15" s="11">
        <f>0+$C$6*COS(RADIANS((0+(360-(0))*11/72)))</f>
        <v>41.297503417275323</v>
      </c>
      <c r="CC15" s="11">
        <f>0+$C$6*SIN(RADIANS((0+(360-(0))*11/72)))</f>
        <v>58.97894718880741</v>
      </c>
      <c r="CD15" s="11">
        <f>0+$C$5*COS(RADIANS((0+(360-(0))*11/36)))</f>
        <v>-10.260604299770062</v>
      </c>
      <c r="CE15" s="11">
        <f>0+$C$5*SIN(RADIANS((0+(360-(0))*11/36)))</f>
        <v>28.190778623577252</v>
      </c>
      <c r="CF15" s="11">
        <f>(($C$5+$C$6)/2)*COS(RADIANS($CD$2+0))+(($C$6-$C$5)/2)*COS(RADIANS((0+(360-(0))*11/36)))</f>
        <v>43.214016066305184</v>
      </c>
      <c r="CG15" s="11">
        <f>(($C$5+$C$6)/2)*SIN(RADIANS($CD$2+0))+(($C$6-$C$5)/2)*SIN(RADIANS((0+(360-(0))*11/36)))</f>
        <v>27.556519435317028</v>
      </c>
      <c r="CH15" s="11">
        <f>(($C$5+$C$6)/2)*COS(RADIANS($CD$2+120))+(($C$6-$C$5)/2)*COS(RADIANS((0+(360-(0))*11/36)))</f>
        <v>-39.155537110438459</v>
      </c>
      <c r="CI15" s="11">
        <f>(($C$5+$C$6)/2)*SIN(RADIANS($CD$2+120))+(($C$6-$C$5)/2)*SIN(RADIANS((0+(360-(0))*11/36)))</f>
        <v>59.466654337313273</v>
      </c>
      <c r="CJ15" s="11">
        <f>(($C$5+$C$6)/2)*COS(RADIANS($CD$2+240))+(($C$6-$C$5)/2)*COS(RADIANS((0+(360-(0))*11/36)))</f>
        <v>-25.605747985383843</v>
      </c>
      <c r="CK15" s="11">
        <f>(($C$5+$C$6)/2)*SIN(RADIANS($CD$2+240))+(($C$6-$C$5)/2)*SIN(RADIANS((0+(360-(0))*11/36)))</f>
        <v>-27.822538663118074</v>
      </c>
    </row>
    <row r="16" spans="1:107" ht="25.5" x14ac:dyDescent="0.25">
      <c r="B16" s="14" t="s">
        <v>294</v>
      </c>
      <c r="C16" s="23">
        <f>$C$7/$C$15</f>
        <v>3.4</v>
      </c>
      <c r="D16" s="16"/>
      <c r="CB16" s="11">
        <f>0+$C$6*COS(RADIANS((0+(360-(0))*12/72)))</f>
        <v>36.000000000000007</v>
      </c>
      <c r="CC16" s="11">
        <f>0+$C$6*SIN(RADIANS((0+(360-(0))*12/72)))</f>
        <v>62.353829072479577</v>
      </c>
      <c r="CD16" s="11">
        <f>0+$C$5*COS(RADIANS((0+(360-(0))*12/36)))</f>
        <v>-14.999999999999993</v>
      </c>
      <c r="CE16" s="11">
        <f>0+$C$5*SIN(RADIANS((0+(360-(0))*12/36)))</f>
        <v>25.98076211353316</v>
      </c>
      <c r="CF16" s="11">
        <f>(($C$5+$C$6)/2)*COS(RADIANS($CD$2+0))+(($C$6-$C$5)/2)*COS(RADIANS((0+(360-(0))*12/36)))</f>
        <v>39.896439076144233</v>
      </c>
      <c r="CG16" s="11">
        <f>(($C$5+$C$6)/2)*SIN(RADIANS($CD$2+0))+(($C$6-$C$5)/2)*SIN(RADIANS((0+(360-(0))*12/36)))</f>
        <v>26.009507878286165</v>
      </c>
      <c r="CH16" s="11">
        <f>(($C$5+$C$6)/2)*COS(RADIANS($CD$2+120))+(($C$6-$C$5)/2)*COS(RADIANS((0+(360-(0))*12/36)))</f>
        <v>-42.47311410059941</v>
      </c>
      <c r="CI16" s="11">
        <f>(($C$5+$C$6)/2)*SIN(RADIANS($CD$2+120))+(($C$6-$C$5)/2)*SIN(RADIANS((0+(360-(0))*12/36)))</f>
        <v>57.919642780282409</v>
      </c>
      <c r="CJ16" s="11">
        <f>(($C$5+$C$6)/2)*COS(RADIANS($CD$2+240))+(($C$6-$C$5)/2)*COS(RADIANS((0+(360-(0))*12/36)))</f>
        <v>-28.923324975544794</v>
      </c>
      <c r="CK16" s="11">
        <f>(($C$5+$C$6)/2)*SIN(RADIANS($CD$2+240))+(($C$6-$C$5)/2)*SIN(RADIANS((0+(360-(0))*12/36)))</f>
        <v>-29.369550220148938</v>
      </c>
    </row>
    <row r="17" spans="2:89" x14ac:dyDescent="0.25">
      <c r="B17" s="29" t="str">
        <f>IF($H$8=7,"Directa: el tren gira en bloque (i = 1).",IF($C$16&lt;0,"Inversión de giro: marcha atrás.",IF($C$16&gt;1,"Reducción: baja la velocidad y aumenta el par.","Multiplicación: sobremarcha (overdrive).")))</f>
        <v>Reducción: baja la velocidad y aumenta el par.</v>
      </c>
      <c r="C17" s="29"/>
      <c r="D17" s="29"/>
      <c r="E17" s="29"/>
      <c r="F17" s="29"/>
      <c r="G17" s="29"/>
      <c r="CB17" s="11">
        <f>0+$C$6*COS(RADIANS((0+(360-(0))*13/72)))</f>
        <v>30.428514845330358</v>
      </c>
      <c r="CC17" s="11">
        <f>0+$C$6*SIN(RADIANS((0+(360-(0))*13/72)))</f>
        <v>65.254160666638796</v>
      </c>
      <c r="CD17" s="11">
        <f>0+$C$5*COS(RADIANS((0+(360-(0))*13/36)))</f>
        <v>-19.28362829059618</v>
      </c>
      <c r="CE17" s="11">
        <f>0+$C$5*SIN(RADIANS((0+(360-(0))*13/36)))</f>
        <v>22.981333293569339</v>
      </c>
      <c r="CF17" s="11">
        <f>(($C$5+$C$6)/2)*COS(RADIANS($CD$2+0))+(($C$6-$C$5)/2)*COS(RADIANS((0+(360-(0))*13/36)))</f>
        <v>36.897899272726903</v>
      </c>
      <c r="CG17" s="11">
        <f>(($C$5+$C$6)/2)*SIN(RADIANS($CD$2+0))+(($C$6-$C$5)/2)*SIN(RADIANS((0+(360-(0))*13/36)))</f>
        <v>23.90990770431149</v>
      </c>
      <c r="CH17" s="11">
        <f>(($C$5+$C$6)/2)*COS(RADIANS($CD$2+120))+(($C$6-$C$5)/2)*COS(RADIANS((0+(360-(0))*13/36)))</f>
        <v>-45.471653904016748</v>
      </c>
      <c r="CI17" s="11">
        <f>(($C$5+$C$6)/2)*SIN(RADIANS($CD$2+120))+(($C$6-$C$5)/2)*SIN(RADIANS((0+(360-(0))*13/36)))</f>
        <v>55.820042606307737</v>
      </c>
      <c r="CJ17" s="11">
        <f>(($C$5+$C$6)/2)*COS(RADIANS($CD$2+240))+(($C$6-$C$5)/2)*COS(RADIANS((0+(360-(0))*13/36)))</f>
        <v>-31.921864778962128</v>
      </c>
      <c r="CK17" s="11">
        <f>(($C$5+$C$6)/2)*SIN(RADIANS($CD$2+240))+(($C$6-$C$5)/2)*SIN(RADIANS((0+(360-(0))*13/36)))</f>
        <v>-31.469150394123613</v>
      </c>
    </row>
    <row r="18" spans="2:89" x14ac:dyDescent="0.25">
      <c r="B18" s="29" t="str">
        <f>"Willis: n_P + k·n_C = "&amp;FIXED($C$12+$C$11*$C$13,0)&amp;" = (1 + k)·n_PS = "&amp;FIXED((1+$C$11)*$C$14,0)</f>
        <v>Willis: n_P + k·n_C = 3,000 = (1 + k)·n_PS = 3,000</v>
      </c>
      <c r="C18" s="29"/>
      <c r="D18" s="29"/>
      <c r="E18" s="29"/>
      <c r="F18" s="29"/>
      <c r="G18" s="29"/>
      <c r="CB18" s="11">
        <f>0+$C$6*COS(RADIANS((0+(360-(0))*14/72)))</f>
        <v>24.625450319448156</v>
      </c>
      <c r="CC18" s="11">
        <f>0+$C$6*SIN(RADIANS((0+(360-(0))*14/72)))</f>
        <v>67.657868696585396</v>
      </c>
      <c r="CD18" s="11">
        <f>0+$C$5*COS(RADIANS((0+(360-(0))*14/36)))</f>
        <v>-22.981333293569335</v>
      </c>
      <c r="CE18" s="11">
        <f>0+$C$5*SIN(RADIANS((0+(360-(0))*14/36)))</f>
        <v>19.283628290596184</v>
      </c>
      <c r="CF18" s="11">
        <f>(($C$5+$C$6)/2)*COS(RADIANS($CD$2+0))+(($C$6-$C$5)/2)*COS(RADIANS((0+(360-(0))*14/36)))</f>
        <v>34.309505770645686</v>
      </c>
      <c r="CG18" s="11">
        <f>(($C$5+$C$6)/2)*SIN(RADIANS($CD$2+0))+(($C$6-$C$5)/2)*SIN(RADIANS((0+(360-(0))*14/36)))</f>
        <v>21.321514202230283</v>
      </c>
      <c r="CH18" s="11">
        <f>(($C$5+$C$6)/2)*COS(RADIANS($CD$2+120))+(($C$6-$C$5)/2)*COS(RADIANS((0+(360-(0))*14/36)))</f>
        <v>-48.060047406097951</v>
      </c>
      <c r="CI18" s="11">
        <f>(($C$5+$C$6)/2)*SIN(RADIANS($CD$2+120))+(($C$6-$C$5)/2)*SIN(RADIANS((0+(360-(0))*14/36)))</f>
        <v>53.231649104226527</v>
      </c>
      <c r="CJ18" s="11">
        <f>(($C$5+$C$6)/2)*COS(RADIANS($CD$2+240))+(($C$6-$C$5)/2)*COS(RADIANS((0+(360-(0))*14/36)))</f>
        <v>-34.510258281043335</v>
      </c>
      <c r="CK18" s="11">
        <f>(($C$5+$C$6)/2)*SIN(RADIANS($CD$2+240))+(($C$6-$C$5)/2)*SIN(RADIANS((0+(360-(0))*14/36)))</f>
        <v>-34.05754389620482</v>
      </c>
    </row>
    <row r="19" spans="2:89" x14ac:dyDescent="0.25">
      <c r="CB19" s="11">
        <f>0+$C$6*COS(RADIANS((0+(360-(0))*15/72)))</f>
        <v>18.634971247381493</v>
      </c>
      <c r="CC19" s="11">
        <f>0+$C$6*SIN(RADIANS((0+(360-(0))*15/72)))</f>
        <v>69.546659492812921</v>
      </c>
      <c r="CD19" s="11">
        <f>0+$C$5*COS(RADIANS((0+(360-(0))*15/36)))</f>
        <v>-25.98076211353316</v>
      </c>
      <c r="CE19" s="11">
        <f>0+$C$5*SIN(RADIANS((0+(360-(0))*15/36)))</f>
        <v>14.999999999999998</v>
      </c>
      <c r="CF19" s="11">
        <f>(($C$5+$C$6)/2)*COS(RADIANS($CD$2+0))+(($C$6-$C$5)/2)*COS(RADIANS((0+(360-(0))*15/36)))</f>
        <v>32.209905596671014</v>
      </c>
      <c r="CG19" s="11">
        <f>(($C$5+$C$6)/2)*SIN(RADIANS($CD$2+0))+(($C$6-$C$5)/2)*SIN(RADIANS((0+(360-(0))*15/36)))</f>
        <v>18.322974398812953</v>
      </c>
      <c r="CH19" s="11">
        <f>(($C$5+$C$6)/2)*COS(RADIANS($CD$2+120))+(($C$6-$C$5)/2)*COS(RADIANS((0+(360-(0))*15/36)))</f>
        <v>-50.15964758007263</v>
      </c>
      <c r="CI19" s="11">
        <f>(($C$5+$C$6)/2)*SIN(RADIANS($CD$2+120))+(($C$6-$C$5)/2)*SIN(RADIANS((0+(360-(0))*15/36)))</f>
        <v>50.233109300809197</v>
      </c>
      <c r="CJ19" s="11">
        <f>(($C$5+$C$6)/2)*COS(RADIANS($CD$2+240))+(($C$6-$C$5)/2)*COS(RADIANS((0+(360-(0))*15/36)))</f>
        <v>-36.609858455018014</v>
      </c>
      <c r="CK19" s="11">
        <f>(($C$5+$C$6)/2)*SIN(RADIANS($CD$2+240))+(($C$6-$C$5)/2)*SIN(RADIANS((0+(360-(0))*15/36)))</f>
        <v>-37.05608369962215</v>
      </c>
    </row>
    <row r="20" spans="2:89" x14ac:dyDescent="0.25">
      <c r="B20" s="28" t="s">
        <v>295</v>
      </c>
      <c r="C20" s="28"/>
      <c r="D20" s="28"/>
      <c r="E20" s="28"/>
      <c r="F20" s="28"/>
      <c r="G20" s="28"/>
      <c r="CB20" s="11">
        <f>0+$C$6*COS(RADIANS((0+(360-(0))*16/72)))</f>
        <v>12.502668792018991</v>
      </c>
      <c r="CC20" s="11">
        <f>0+$C$6*SIN(RADIANS((0+(360-(0))*16/72)))</f>
        <v>70.906158216878978</v>
      </c>
      <c r="CD20" s="11">
        <f>0+$C$5*COS(RADIANS((0+(360-(0))*16/36)))</f>
        <v>-28.190778623577248</v>
      </c>
      <c r="CE20" s="11">
        <f>0+$C$5*SIN(RADIANS((0+(360-(0))*16/36)))</f>
        <v>10.260604299770065</v>
      </c>
      <c r="CF20" s="11">
        <f>(($C$5+$C$6)/2)*COS(RADIANS($CD$2+0))+(($C$6-$C$5)/2)*COS(RADIANS((0+(360-(0))*16/36)))</f>
        <v>30.66289403964015</v>
      </c>
      <c r="CG20" s="11">
        <f>(($C$5+$C$6)/2)*SIN(RADIANS($CD$2+0))+(($C$6-$C$5)/2)*SIN(RADIANS((0+(360-(0))*16/36)))</f>
        <v>15.005397408652001</v>
      </c>
      <c r="CH20" s="11">
        <f>(($C$5+$C$6)/2)*COS(RADIANS($CD$2+120))+(($C$6-$C$5)/2)*COS(RADIANS((0+(360-(0))*16/36)))</f>
        <v>-51.706659137103493</v>
      </c>
      <c r="CI20" s="11">
        <f>(($C$5+$C$6)/2)*SIN(RADIANS($CD$2+120))+(($C$6-$C$5)/2)*SIN(RADIANS((0+(360-(0))*16/36)))</f>
        <v>46.915532310648246</v>
      </c>
      <c r="CJ20" s="11">
        <f>(($C$5+$C$6)/2)*COS(RADIANS($CD$2+240))+(($C$6-$C$5)/2)*COS(RADIANS((0+(360-(0))*16/36)))</f>
        <v>-38.156870012048877</v>
      </c>
      <c r="CK20" s="11">
        <f>(($C$5+$C$6)/2)*SIN(RADIANS($CD$2+240))+(($C$6-$C$5)/2)*SIN(RADIANS((0+(360-(0))*16/36)))</f>
        <v>-40.373660689783101</v>
      </c>
    </row>
    <row r="21" spans="2:89" x14ac:dyDescent="0.25">
      <c r="B21" s="2" t="s">
        <v>89</v>
      </c>
      <c r="C21" s="2" t="s">
        <v>296</v>
      </c>
      <c r="D21" s="32" t="s">
        <v>297</v>
      </c>
      <c r="E21" s="32"/>
      <c r="F21" s="32"/>
      <c r="G21" s="32"/>
      <c r="CB21" s="11">
        <f>0+$C$6*COS(RADIANS((0+(360-(0))*17/72)))</f>
        <v>6.2752134778313859</v>
      </c>
      <c r="CC21" s="11">
        <f>0+$C$6*SIN(RADIANS((0+(360-(0))*17/72)))</f>
        <v>71.726018262605677</v>
      </c>
      <c r="CD21" s="11">
        <f>0+$C$5*COS(RADIANS((0+(360-(0))*17/36)))</f>
        <v>-29.544232590366242</v>
      </c>
      <c r="CE21" s="11">
        <f>0+$C$5*SIN(RADIANS((0+(360-(0))*17/36)))</f>
        <v>5.2094453300079087</v>
      </c>
      <c r="CF21" s="11">
        <f>(($C$5+$C$6)/2)*COS(RADIANS($CD$2+0))+(($C$6-$C$5)/2)*COS(RADIANS((0+(360-(0))*17/36)))</f>
        <v>29.715476262887858</v>
      </c>
      <c r="CG21" s="11">
        <f>(($C$5+$C$6)/2)*SIN(RADIANS($CD$2+0))+(($C$6-$C$5)/2)*SIN(RADIANS((0+(360-(0))*17/36)))</f>
        <v>11.46958612981849</v>
      </c>
      <c r="CH21" s="11">
        <f>(($C$5+$C$6)/2)*COS(RADIANS($CD$2+120))+(($C$6-$C$5)/2)*COS(RADIANS((0+(360-(0))*17/36)))</f>
        <v>-52.654076913855789</v>
      </c>
      <c r="CI21" s="11">
        <f>(($C$5+$C$6)/2)*SIN(RADIANS($CD$2+120))+(($C$6-$C$5)/2)*SIN(RADIANS((0+(360-(0))*17/36)))</f>
        <v>43.379721031814732</v>
      </c>
      <c r="CJ21" s="11">
        <f>(($C$5+$C$6)/2)*COS(RADIANS($CD$2+240))+(($C$6-$C$5)/2)*COS(RADIANS((0+(360-(0))*17/36)))</f>
        <v>-39.104287788801173</v>
      </c>
      <c r="CK21" s="11">
        <f>(($C$5+$C$6)/2)*SIN(RADIANS($CD$2+240))+(($C$6-$C$5)/2)*SIN(RADIANS((0+(360-(0))*17/36)))</f>
        <v>-43.909471968616614</v>
      </c>
    </row>
    <row r="22" spans="2:89" ht="27.95" customHeight="1" x14ac:dyDescent="0.25">
      <c r="B22" s="9" t="s">
        <v>95</v>
      </c>
      <c r="C22" s="9">
        <f>($C$5+2*$C$6)/$C$6</f>
        <v>2.4166666666666665</v>
      </c>
      <c r="D22" s="26" t="s">
        <v>298</v>
      </c>
      <c r="E22" s="26"/>
      <c r="F22" s="26"/>
      <c r="G22" s="26"/>
      <c r="CB22" s="11">
        <f>0+$C$6*COS(RADIANS((0+(360-(0))*18/72)))</f>
        <v>4.410534437671032E-15</v>
      </c>
      <c r="CC22" s="11">
        <f>0+$C$6*SIN(RADIANS((0+(360-(0))*18/72)))</f>
        <v>72</v>
      </c>
      <c r="CD22" s="11">
        <f>0+$C$5*COS(RADIANS((0+(360-(0))*18/36)))</f>
        <v>-30</v>
      </c>
      <c r="CE22" s="11">
        <f>0+$C$5*SIN(RADIANS((0+(360-(0))*18/36)))</f>
        <v>3.67544536472586E-15</v>
      </c>
      <c r="CF22" s="11">
        <f>(($C$5+$C$6)/2)*COS(RADIANS($CD$2+0))+(($C$6-$C$5)/2)*COS(RADIANS((0+(360-(0))*18/36)))</f>
        <v>29.396439076144226</v>
      </c>
      <c r="CG22" s="11">
        <f>(($C$5+$C$6)/2)*SIN(RADIANS($CD$2+0))+(($C$6-$C$5)/2)*SIN(RADIANS((0+(360-(0))*18/36)))</f>
        <v>7.8229743988129563</v>
      </c>
      <c r="CH22" s="11">
        <f>(($C$5+$C$6)/2)*COS(RADIANS($CD$2+120))+(($C$6-$C$5)/2)*COS(RADIANS((0+(360-(0))*18/36)))</f>
        <v>-52.973114100599417</v>
      </c>
      <c r="CI22" s="11">
        <f>(($C$5+$C$6)/2)*SIN(RADIANS($CD$2+120))+(($C$6-$C$5)/2)*SIN(RADIANS((0+(360-(0))*18/36)))</f>
        <v>39.733109300809197</v>
      </c>
      <c r="CJ22" s="11">
        <f>(($C$5+$C$6)/2)*COS(RADIANS($CD$2+240))+(($C$6-$C$5)/2)*COS(RADIANS((0+(360-(0))*18/36)))</f>
        <v>-39.423324975544801</v>
      </c>
      <c r="CK22" s="11">
        <f>(($C$5+$C$6)/2)*SIN(RADIANS($CD$2+240))+(($C$6-$C$5)/2)*SIN(RADIANS((0+(360-(0))*18/36)))</f>
        <v>-47.55608369962215</v>
      </c>
    </row>
    <row r="23" spans="2:89" ht="27.95" customHeight="1" x14ac:dyDescent="0.25">
      <c r="B23" s="9" t="s">
        <v>96</v>
      </c>
      <c r="C23" s="9">
        <f>($C$5+$C$6)/$C$6</f>
        <v>1.4166666666666667</v>
      </c>
      <c r="D23" s="26" t="s">
        <v>299</v>
      </c>
      <c r="E23" s="26"/>
      <c r="F23" s="26"/>
      <c r="G23" s="26"/>
      <c r="CB23" s="11">
        <f>0+$C$6*COS(RADIANS((0+(360-(0))*19/72)))</f>
        <v>-6.275213477831393</v>
      </c>
      <c r="CC23" s="11">
        <f>0+$C$6*SIN(RADIANS((0+(360-(0))*19/72)))</f>
        <v>71.726018262605677</v>
      </c>
      <c r="CD23" s="11">
        <f>0+$C$5*COS(RADIANS((0+(360-(0))*19/36)))</f>
        <v>-29.544232590366242</v>
      </c>
      <c r="CE23" s="11">
        <f>0+$C$5*SIN(RADIANS((0+(360-(0))*19/36)))</f>
        <v>-5.209445330007914</v>
      </c>
      <c r="CF23" s="11">
        <f>(($C$5+$C$6)/2)*COS(RADIANS($CD$2+0))+(($C$6-$C$5)/2)*COS(RADIANS((0+(360-(0))*19/36)))</f>
        <v>29.715476262887858</v>
      </c>
      <c r="CG23" s="11">
        <f>(($C$5+$C$6)/2)*SIN(RADIANS($CD$2+0))+(($C$6-$C$5)/2)*SIN(RADIANS((0+(360-(0))*19/36)))</f>
        <v>4.1763626678074139</v>
      </c>
      <c r="CH23" s="11">
        <f>(($C$5+$C$6)/2)*COS(RADIANS($CD$2+120))+(($C$6-$C$5)/2)*COS(RADIANS((0+(360-(0))*19/36)))</f>
        <v>-52.654076913855789</v>
      </c>
      <c r="CI23" s="11">
        <f>(($C$5+$C$6)/2)*SIN(RADIANS($CD$2+120))+(($C$6-$C$5)/2)*SIN(RADIANS((0+(360-(0))*19/36)))</f>
        <v>36.086497569803655</v>
      </c>
      <c r="CJ23" s="11">
        <f>(($C$5+$C$6)/2)*COS(RADIANS($CD$2+240))+(($C$6-$C$5)/2)*COS(RADIANS((0+(360-(0))*19/36)))</f>
        <v>-39.104287788801173</v>
      </c>
      <c r="CK23" s="11">
        <f>(($C$5+$C$6)/2)*SIN(RADIANS($CD$2+240))+(($C$6-$C$5)/2)*SIN(RADIANS((0+(360-(0))*19/36)))</f>
        <v>-51.202695430627692</v>
      </c>
    </row>
    <row r="24" spans="2:89" ht="27.95" customHeight="1" x14ac:dyDescent="0.25">
      <c r="B24" s="9" t="s">
        <v>97</v>
      </c>
      <c r="C24" s="9">
        <f>1</f>
        <v>1</v>
      </c>
      <c r="D24" s="26" t="s">
        <v>300</v>
      </c>
      <c r="E24" s="26"/>
      <c r="F24" s="26"/>
      <c r="G24" s="26"/>
      <c r="CB24" s="11">
        <f>0+$C$6*COS(RADIANS((0+(360-(0))*20/72)))</f>
        <v>-12.502668792018982</v>
      </c>
      <c r="CC24" s="11">
        <f>0+$C$6*SIN(RADIANS((0+(360-(0))*20/72)))</f>
        <v>70.906158216878978</v>
      </c>
      <c r="CD24" s="11">
        <f>0+$C$5*COS(RADIANS((0+(360-(0))*20/36)))</f>
        <v>-28.190778623577252</v>
      </c>
      <c r="CE24" s="11">
        <f>0+$C$5*SIN(RADIANS((0+(360-(0))*20/36)))</f>
        <v>-10.26060429977006</v>
      </c>
      <c r="CF24" s="11">
        <f>(($C$5+$C$6)/2)*COS(RADIANS($CD$2+0))+(($C$6-$C$5)/2)*COS(RADIANS((0+(360-(0))*20/36)))</f>
        <v>30.66289403964015</v>
      </c>
      <c r="CG24" s="11">
        <f>(($C$5+$C$6)/2)*SIN(RADIANS($CD$2+0))+(($C$6-$C$5)/2)*SIN(RADIANS((0+(360-(0))*20/36)))</f>
        <v>0.64055138897391206</v>
      </c>
      <c r="CH24" s="11">
        <f>(($C$5+$C$6)/2)*COS(RADIANS($CD$2+120))+(($C$6-$C$5)/2)*COS(RADIANS((0+(360-(0))*20/36)))</f>
        <v>-51.706659137103493</v>
      </c>
      <c r="CI24" s="11">
        <f>(($C$5+$C$6)/2)*SIN(RADIANS($CD$2+120))+(($C$6-$C$5)/2)*SIN(RADIANS((0+(360-(0))*20/36)))</f>
        <v>32.550686290970155</v>
      </c>
      <c r="CJ24" s="11">
        <f>(($C$5+$C$6)/2)*COS(RADIANS($CD$2+240))+(($C$6-$C$5)/2)*COS(RADIANS((0+(360-(0))*20/36)))</f>
        <v>-38.156870012048877</v>
      </c>
      <c r="CK24" s="11">
        <f>(($C$5+$C$6)/2)*SIN(RADIANS($CD$2+240))+(($C$6-$C$5)/2)*SIN(RADIANS((0+(360-(0))*20/36)))</f>
        <v>-54.738506709461191</v>
      </c>
    </row>
    <row r="25" spans="2:89" ht="27.95" customHeight="1" x14ac:dyDescent="0.25">
      <c r="B25" s="9" t="s">
        <v>301</v>
      </c>
      <c r="C25" s="9">
        <f>-$C$6/$C$5</f>
        <v>-2.4</v>
      </c>
      <c r="D25" s="26" t="s">
        <v>302</v>
      </c>
      <c r="E25" s="26"/>
      <c r="F25" s="26"/>
      <c r="G25" s="26"/>
      <c r="J25" s="27" t="s">
        <v>304</v>
      </c>
      <c r="K25" s="27"/>
      <c r="L25" s="27"/>
      <c r="M25" s="27"/>
      <c r="N25" s="27"/>
      <c r="O25" s="27"/>
      <c r="P25" s="27"/>
      <c r="Q25" s="27"/>
      <c r="R25" s="27"/>
      <c r="S25" s="27"/>
      <c r="T25" s="27"/>
      <c r="U25" s="27"/>
      <c r="CB25" s="11">
        <f>0+$C$6*COS(RADIANS((0+(360-(0))*21/72)))</f>
        <v>-18.6349712473815</v>
      </c>
      <c r="CC25" s="11">
        <f>0+$C$6*SIN(RADIANS((0+(360-(0))*21/72)))</f>
        <v>69.546659492812921</v>
      </c>
      <c r="CD25" s="11">
        <f>0+$C$5*COS(RADIANS((0+(360-(0))*21/36)))</f>
        <v>-25.980762113533157</v>
      </c>
      <c r="CE25" s="11">
        <f>0+$C$5*SIN(RADIANS((0+(360-(0))*21/36)))</f>
        <v>-15.000000000000004</v>
      </c>
      <c r="CF25" s="11">
        <f>(($C$5+$C$6)/2)*COS(RADIANS($CD$2+0))+(($C$6-$C$5)/2)*COS(RADIANS((0+(360-(0))*21/36)))</f>
        <v>32.209905596671014</v>
      </c>
      <c r="CG25" s="11">
        <f>(($C$5+$C$6)/2)*SIN(RADIANS($CD$2+0))+(($C$6-$C$5)/2)*SIN(RADIANS((0+(360-(0))*21/36)))</f>
        <v>-2.6770256011870481</v>
      </c>
      <c r="CH25" s="11">
        <f>(($C$5+$C$6)/2)*COS(RADIANS($CD$2+120))+(($C$6-$C$5)/2)*COS(RADIANS((0+(360-(0))*21/36)))</f>
        <v>-50.15964758007263</v>
      </c>
      <c r="CI25" s="11">
        <f>(($C$5+$C$6)/2)*SIN(RADIANS($CD$2+120))+(($C$6-$C$5)/2)*SIN(RADIANS((0+(360-(0))*21/36)))</f>
        <v>29.233109300809197</v>
      </c>
      <c r="CJ25" s="11">
        <f>(($C$5+$C$6)/2)*COS(RADIANS($CD$2+240))+(($C$6-$C$5)/2)*COS(RADIANS((0+(360-(0))*21/36)))</f>
        <v>-36.609858455018014</v>
      </c>
      <c r="CK25" s="11">
        <f>(($C$5+$C$6)/2)*SIN(RADIANS($CD$2+240))+(($C$6-$C$5)/2)*SIN(RADIANS((0+(360-(0))*21/36)))</f>
        <v>-58.05608369962215</v>
      </c>
    </row>
    <row r="26" spans="2:89" x14ac:dyDescent="0.25">
      <c r="B26" s="14" t="s">
        <v>303</v>
      </c>
      <c r="C26" s="15" t="s">
        <v>95</v>
      </c>
      <c r="J26" s="27"/>
      <c r="K26" s="27"/>
      <c r="L26" s="27"/>
      <c r="M26" s="27"/>
      <c r="N26" s="27"/>
      <c r="O26" s="27"/>
      <c r="P26" s="27"/>
      <c r="Q26" s="27"/>
      <c r="R26" s="27"/>
      <c r="S26" s="27"/>
      <c r="T26" s="27"/>
      <c r="U26" s="27"/>
      <c r="CB26" s="11">
        <f>0+$C$6*COS(RADIANS((0+(360-(0))*22/72)))</f>
        <v>-24.625450319448149</v>
      </c>
      <c r="CC26" s="11">
        <f>0+$C$6*SIN(RADIANS((0+(360-(0))*22/72)))</f>
        <v>67.65786869658541</v>
      </c>
      <c r="CD26" s="11">
        <f>0+$C$5*COS(RADIANS((0+(360-(0))*22/36)))</f>
        <v>-22.981333293569339</v>
      </c>
      <c r="CE26" s="11">
        <f>0+$C$5*SIN(RADIANS((0+(360-(0))*22/36)))</f>
        <v>-19.283628290596177</v>
      </c>
      <c r="CF26" s="11">
        <f>(($C$5+$C$6)/2)*COS(RADIANS($CD$2+0))+(($C$6-$C$5)/2)*COS(RADIANS((0+(360-(0))*22/36)))</f>
        <v>34.309505770645686</v>
      </c>
      <c r="CG26" s="11">
        <f>(($C$5+$C$6)/2)*SIN(RADIANS($CD$2+0))+(($C$6-$C$5)/2)*SIN(RADIANS((0+(360-(0))*22/36)))</f>
        <v>-5.6755654046043711</v>
      </c>
      <c r="CH26" s="11">
        <f>(($C$5+$C$6)/2)*COS(RADIANS($CD$2+120))+(($C$6-$C$5)/2)*COS(RADIANS((0+(360-(0))*22/36)))</f>
        <v>-48.060047406097951</v>
      </c>
      <c r="CI26" s="11">
        <f>(($C$5+$C$6)/2)*SIN(RADIANS($CD$2+120))+(($C$6-$C$5)/2)*SIN(RADIANS((0+(360-(0))*22/36)))</f>
        <v>26.234569497391874</v>
      </c>
      <c r="CJ26" s="11">
        <f>(($C$5+$C$6)/2)*COS(RADIANS($CD$2+240))+(($C$6-$C$5)/2)*COS(RADIANS((0+(360-(0))*22/36)))</f>
        <v>-34.510258281043335</v>
      </c>
      <c r="CK26" s="11">
        <f>(($C$5+$C$6)/2)*SIN(RADIANS($CD$2+240))+(($C$6-$C$5)/2)*SIN(RADIANS((0+(360-(0))*22/36)))</f>
        <v>-61.054623503039473</v>
      </c>
    </row>
    <row r="27" spans="2:89" x14ac:dyDescent="0.25">
      <c r="J27" s="27"/>
      <c r="K27" s="27"/>
      <c r="L27" s="27"/>
      <c r="M27" s="27"/>
      <c r="N27" s="27"/>
      <c r="O27" s="27"/>
      <c r="P27" s="27"/>
      <c r="Q27" s="27"/>
      <c r="R27" s="27"/>
      <c r="S27" s="27"/>
      <c r="T27" s="27"/>
      <c r="U27" s="27"/>
      <c r="CB27" s="11">
        <f>0+$C$6*COS(RADIANS((0+(360-(0))*23/72)))</f>
        <v>-30.428514845330351</v>
      </c>
      <c r="CC27" s="11">
        <f>0+$C$6*SIN(RADIANS((0+(360-(0))*23/72)))</f>
        <v>65.254160666638796</v>
      </c>
      <c r="CD27" s="11">
        <f>0+$C$5*COS(RADIANS((0+(360-(0))*23/36)))</f>
        <v>-19.283628290596184</v>
      </c>
      <c r="CE27" s="11">
        <f>0+$C$5*SIN(RADIANS((0+(360-(0))*23/36)))</f>
        <v>-22.981333293569335</v>
      </c>
      <c r="CF27" s="11">
        <f>(($C$5+$C$6)/2)*COS(RADIANS($CD$2+0))+(($C$6-$C$5)/2)*COS(RADIANS((0+(360-(0))*23/36)))</f>
        <v>36.897899272726896</v>
      </c>
      <c r="CG27" s="11">
        <f>(($C$5+$C$6)/2)*SIN(RADIANS($CD$2+0))+(($C$6-$C$5)/2)*SIN(RADIANS((0+(360-(0))*23/36)))</f>
        <v>-8.2639589066855841</v>
      </c>
      <c r="CH27" s="11">
        <f>(($C$5+$C$6)/2)*COS(RADIANS($CD$2+120))+(($C$6-$C$5)/2)*COS(RADIANS((0+(360-(0))*23/36)))</f>
        <v>-45.471653904016748</v>
      </c>
      <c r="CI27" s="11">
        <f>(($C$5+$C$6)/2)*SIN(RADIANS($CD$2+120))+(($C$6-$C$5)/2)*SIN(RADIANS((0+(360-(0))*23/36)))</f>
        <v>23.64617599531066</v>
      </c>
      <c r="CJ27" s="11">
        <f>(($C$5+$C$6)/2)*COS(RADIANS($CD$2+240))+(($C$6-$C$5)/2)*COS(RADIANS((0+(360-(0))*23/36)))</f>
        <v>-31.921864778962131</v>
      </c>
      <c r="CK27" s="11">
        <f>(($C$5+$C$6)/2)*SIN(RADIANS($CD$2+240))+(($C$6-$C$5)/2)*SIN(RADIANS((0+(360-(0))*23/36)))</f>
        <v>-63.643017005120683</v>
      </c>
    </row>
    <row r="28" spans="2:89" x14ac:dyDescent="0.25">
      <c r="J28" s="27"/>
      <c r="K28" s="27"/>
      <c r="L28" s="27"/>
      <c r="M28" s="27"/>
      <c r="N28" s="27"/>
      <c r="O28" s="27"/>
      <c r="P28" s="27"/>
      <c r="Q28" s="27"/>
      <c r="R28" s="27"/>
      <c r="S28" s="27"/>
      <c r="T28" s="27"/>
      <c r="U28" s="27"/>
      <c r="CB28" s="11">
        <f>0+$C$6*COS(RADIANS((0+(360-(0))*24/72)))</f>
        <v>-35.999999999999986</v>
      </c>
      <c r="CC28" s="11">
        <f>0+$C$6*SIN(RADIANS((0+(360-(0))*24/72)))</f>
        <v>62.353829072479584</v>
      </c>
      <c r="CD28" s="11">
        <f>0+$C$5*COS(RADIANS((0+(360-(0))*24/36)))</f>
        <v>-15.000000000000014</v>
      </c>
      <c r="CE28" s="11">
        <f>0+$C$5*SIN(RADIANS((0+(360-(0))*24/36)))</f>
        <v>-25.980762113533153</v>
      </c>
      <c r="CF28" s="11">
        <f>(($C$5+$C$6)/2)*COS(RADIANS($CD$2+0))+(($C$6-$C$5)/2)*COS(RADIANS((0+(360-(0))*24/36)))</f>
        <v>39.896439076144219</v>
      </c>
      <c r="CG28" s="11">
        <f>(($C$5+$C$6)/2)*SIN(RADIANS($CD$2+0))+(($C$6-$C$5)/2)*SIN(RADIANS((0+(360-(0))*24/36)))</f>
        <v>-10.363559080660252</v>
      </c>
      <c r="CH28" s="11">
        <f>(($C$5+$C$6)/2)*COS(RADIANS($CD$2+120))+(($C$6-$C$5)/2)*COS(RADIANS((0+(360-(0))*24/36)))</f>
        <v>-42.473114100599425</v>
      </c>
      <c r="CI28" s="11">
        <f>(($C$5+$C$6)/2)*SIN(RADIANS($CD$2+120))+(($C$6-$C$5)/2)*SIN(RADIANS((0+(360-(0))*24/36)))</f>
        <v>21.546575821335992</v>
      </c>
      <c r="CJ28" s="11">
        <f>(($C$5+$C$6)/2)*COS(RADIANS($CD$2+240))+(($C$6-$C$5)/2)*COS(RADIANS((0+(360-(0))*24/36)))</f>
        <v>-28.923324975544809</v>
      </c>
      <c r="CK28" s="11">
        <f>(($C$5+$C$6)/2)*SIN(RADIANS($CD$2+240))+(($C$6-$C$5)/2)*SIN(RADIANS((0+(360-(0))*24/36)))</f>
        <v>-65.742617179095362</v>
      </c>
    </row>
    <row r="29" spans="2:89" x14ac:dyDescent="0.25">
      <c r="CB29" s="11">
        <f>0+$C$6*COS(RADIANS((0+(360-(0))*25/72)))</f>
        <v>-41.297503417275323</v>
      </c>
      <c r="CC29" s="11">
        <f>0+$C$6*SIN(RADIANS((0+(360-(0))*25/72)))</f>
        <v>58.978947188807403</v>
      </c>
      <c r="CD29" s="11">
        <f>0+$C$5*COS(RADIANS((0+(360-(0))*25/36)))</f>
        <v>-10.260604299770057</v>
      </c>
      <c r="CE29" s="11">
        <f>0+$C$5*SIN(RADIANS((0+(360-(0))*25/36)))</f>
        <v>-28.190778623577252</v>
      </c>
      <c r="CF29" s="11">
        <f>(($C$5+$C$6)/2)*COS(RADIANS($CD$2+0))+(($C$6-$C$5)/2)*COS(RADIANS((0+(360-(0))*25/36)))</f>
        <v>43.214016066305184</v>
      </c>
      <c r="CG29" s="11">
        <f>(($C$5+$C$6)/2)*SIN(RADIANS($CD$2+0))+(($C$6-$C$5)/2)*SIN(RADIANS((0+(360-(0))*25/36)))</f>
        <v>-11.910570637691123</v>
      </c>
      <c r="CH29" s="11">
        <f>(($C$5+$C$6)/2)*COS(RADIANS($CD$2+120))+(($C$6-$C$5)/2)*COS(RADIANS((0+(360-(0))*25/36)))</f>
        <v>-39.155537110438459</v>
      </c>
      <c r="CI29" s="11">
        <f>(($C$5+$C$6)/2)*SIN(RADIANS($CD$2+120))+(($C$6-$C$5)/2)*SIN(RADIANS((0+(360-(0))*25/36)))</f>
        <v>19.999564264305121</v>
      </c>
      <c r="CJ29" s="11">
        <f>(($C$5+$C$6)/2)*COS(RADIANS($CD$2+240))+(($C$6-$C$5)/2)*COS(RADIANS((0+(360-(0))*25/36)))</f>
        <v>-25.605747985383843</v>
      </c>
      <c r="CK29" s="11">
        <f>(($C$5+$C$6)/2)*SIN(RADIANS($CD$2+240))+(($C$6-$C$5)/2)*SIN(RADIANS((0+(360-(0))*25/36)))</f>
        <v>-67.289628736126218</v>
      </c>
    </row>
    <row r="30" spans="2:89" x14ac:dyDescent="0.25">
      <c r="B30" s="28" t="s">
        <v>141</v>
      </c>
      <c r="C30" s="28"/>
      <c r="D30" s="28"/>
      <c r="E30" s="28"/>
      <c r="F30" s="28"/>
      <c r="G30" s="28"/>
      <c r="CB30" s="11">
        <f>0+$C$6*COS(RADIANS((0+(360-(0))*26/72)))</f>
        <v>-46.280707897430837</v>
      </c>
      <c r="CC30" s="11">
        <f>0+$C$6*SIN(RADIANS((0+(360-(0))*26/72)))</f>
        <v>55.155199904566416</v>
      </c>
      <c r="CD30" s="11">
        <f>0+$C$5*COS(RADIANS((0+(360-(0))*26/36)))</f>
        <v>-5.2094453300079095</v>
      </c>
      <c r="CE30" s="11">
        <f>0+$C$5*SIN(RADIANS((0+(360-(0))*26/36)))</f>
        <v>-29.544232590366242</v>
      </c>
      <c r="CF30" s="11">
        <f>(($C$5+$C$6)/2)*COS(RADIANS($CD$2+0))+(($C$6-$C$5)/2)*COS(RADIANS((0+(360-(0))*26/36)))</f>
        <v>46.749827345138691</v>
      </c>
      <c r="CG30" s="11">
        <f>(($C$5+$C$6)/2)*SIN(RADIANS($CD$2+0))+(($C$6-$C$5)/2)*SIN(RADIANS((0+(360-(0))*26/36)))</f>
        <v>-12.857988414443415</v>
      </c>
      <c r="CH30" s="11">
        <f>(($C$5+$C$6)/2)*COS(RADIANS($CD$2+120))+(($C$6-$C$5)/2)*COS(RADIANS((0+(360-(0))*26/36)))</f>
        <v>-35.619725831604953</v>
      </c>
      <c r="CI30" s="11">
        <f>(($C$5+$C$6)/2)*SIN(RADIANS($CD$2+120))+(($C$6-$C$5)/2)*SIN(RADIANS((0+(360-(0))*26/36)))</f>
        <v>19.052146487552829</v>
      </c>
      <c r="CJ30" s="11">
        <f>(($C$5+$C$6)/2)*COS(RADIANS($CD$2+240))+(($C$6-$C$5)/2)*COS(RADIANS((0+(360-(0))*26/36)))</f>
        <v>-22.069936706550337</v>
      </c>
      <c r="CK30" s="11">
        <f>(($C$5+$C$6)/2)*SIN(RADIANS($CD$2+240))+(($C$6-$C$5)/2)*SIN(RADIANS((0+(360-(0))*26/36)))</f>
        <v>-68.237046512878521</v>
      </c>
    </row>
    <row r="31" spans="2:89" ht="45.95" customHeight="1" x14ac:dyDescent="0.25">
      <c r="B31" s="30" t="s">
        <v>305</v>
      </c>
      <c r="C31" s="30"/>
      <c r="D31" s="30"/>
      <c r="E31" s="30"/>
      <c r="F31" s="30"/>
      <c r="G31" s="30"/>
      <c r="CB31" s="11">
        <f>0+$C$6*COS(RADIANS((0+(360-(0))*27/72)))</f>
        <v>-50.911688245431421</v>
      </c>
      <c r="CC31" s="11">
        <f>0+$C$6*SIN(RADIANS((0+(360-(0))*27/72)))</f>
        <v>50.911688245431428</v>
      </c>
      <c r="CD31" s="11">
        <f>0+$C$5*COS(RADIANS((0+(360-(0))*27/36)))</f>
        <v>-5.51316804708879E-15</v>
      </c>
      <c r="CE31" s="11">
        <f>0+$C$5*SIN(RADIANS((0+(360-(0))*27/36)))</f>
        <v>-30</v>
      </c>
      <c r="CF31" s="11">
        <f>(($C$5+$C$6)/2)*COS(RADIANS($CD$2+0))+(($C$6-$C$5)/2)*COS(RADIANS((0+(360-(0))*27/36)))</f>
        <v>50.396439076144219</v>
      </c>
      <c r="CG31" s="11">
        <f>(($C$5+$C$6)/2)*SIN(RADIANS($CD$2+0))+(($C$6-$C$5)/2)*SIN(RADIANS((0+(360-(0))*27/36)))</f>
        <v>-13.177025601187047</v>
      </c>
      <c r="CH31" s="11">
        <f>(($C$5+$C$6)/2)*COS(RADIANS($CD$2+120))+(($C$6-$C$5)/2)*COS(RADIANS((0+(360-(0))*27/36)))</f>
        <v>-31.973114100599421</v>
      </c>
      <c r="CI31" s="11">
        <f>(($C$5+$C$6)/2)*SIN(RADIANS($CD$2+120))+(($C$6-$C$5)/2)*SIN(RADIANS((0+(360-(0))*27/36)))</f>
        <v>18.733109300809197</v>
      </c>
      <c r="CJ31" s="11">
        <f>(($C$5+$C$6)/2)*COS(RADIANS($CD$2+240))+(($C$6-$C$5)/2)*COS(RADIANS((0+(360-(0))*27/36)))</f>
        <v>-18.423324975544805</v>
      </c>
      <c r="CK31" s="11">
        <f>(($C$5+$C$6)/2)*SIN(RADIANS($CD$2+240))+(($C$6-$C$5)/2)*SIN(RADIANS((0+(360-(0))*27/36)))</f>
        <v>-68.55608369962215</v>
      </c>
    </row>
    <row r="32" spans="2:89" ht="45.95" customHeight="1" x14ac:dyDescent="0.25">
      <c r="B32" s="30" t="s">
        <v>306</v>
      </c>
      <c r="C32" s="30"/>
      <c r="D32" s="30"/>
      <c r="E32" s="30"/>
      <c r="F32" s="30"/>
      <c r="G32" s="30"/>
      <c r="CB32" s="11">
        <f>0+$C$6*COS(RADIANS((0+(360-(0))*28/72)))</f>
        <v>-55.155199904566409</v>
      </c>
      <c r="CC32" s="11">
        <f>0+$C$6*SIN(RADIANS((0+(360-(0))*28/72)))</f>
        <v>46.280707897430844</v>
      </c>
      <c r="CD32" s="11">
        <f>0+$C$5*COS(RADIANS((0+(360-(0))*28/36)))</f>
        <v>5.2094453300078989</v>
      </c>
      <c r="CE32" s="11">
        <f>0+$C$5*SIN(RADIANS((0+(360-(0))*28/36)))</f>
        <v>-29.544232590366242</v>
      </c>
      <c r="CF32" s="11">
        <f>(($C$5+$C$6)/2)*COS(RADIANS($CD$2+0))+(($C$6-$C$5)/2)*COS(RADIANS((0+(360-(0))*28/36)))</f>
        <v>54.043050807149754</v>
      </c>
      <c r="CG32" s="11">
        <f>(($C$5+$C$6)/2)*SIN(RADIANS($CD$2+0))+(($C$6-$C$5)/2)*SIN(RADIANS((0+(360-(0))*28/36)))</f>
        <v>-12.857988414443419</v>
      </c>
      <c r="CH32" s="11">
        <f>(($C$5+$C$6)/2)*COS(RADIANS($CD$2+120))+(($C$6-$C$5)/2)*COS(RADIANS((0+(360-(0))*28/36)))</f>
        <v>-28.326502369593889</v>
      </c>
      <c r="CI32" s="11">
        <f>(($C$5+$C$6)/2)*SIN(RADIANS($CD$2+120))+(($C$6-$C$5)/2)*SIN(RADIANS((0+(360-(0))*28/36)))</f>
        <v>19.052146487552825</v>
      </c>
      <c r="CJ32" s="11">
        <f>(($C$5+$C$6)/2)*COS(RADIANS($CD$2+240))+(($C$6-$C$5)/2)*COS(RADIANS((0+(360-(0))*28/36)))</f>
        <v>-14.776713244539271</v>
      </c>
      <c r="CK32" s="11">
        <f>(($C$5+$C$6)/2)*SIN(RADIANS($CD$2+240))+(($C$6-$C$5)/2)*SIN(RADIANS((0+(360-(0))*28/36)))</f>
        <v>-68.237046512878521</v>
      </c>
    </row>
    <row r="33" spans="2:89" ht="45.95" customHeight="1" x14ac:dyDescent="0.25">
      <c r="B33" s="30" t="s">
        <v>307</v>
      </c>
      <c r="C33" s="30"/>
      <c r="D33" s="30"/>
      <c r="E33" s="30"/>
      <c r="F33" s="30"/>
      <c r="G33" s="30"/>
      <c r="CB33" s="11">
        <f>0+$C$6*COS(RADIANS((0+(360-(0))*29/72)))</f>
        <v>-58.978947188807417</v>
      </c>
      <c r="CC33" s="11">
        <f>0+$C$6*SIN(RADIANS((0+(360-(0))*29/72)))</f>
        <v>41.297503417275308</v>
      </c>
      <c r="CD33" s="11">
        <f>0+$C$5*COS(RADIANS((0+(360-(0))*29/36)))</f>
        <v>10.260604299770069</v>
      </c>
      <c r="CE33" s="11">
        <f>0+$C$5*SIN(RADIANS((0+(360-(0))*29/36)))</f>
        <v>-28.190778623577248</v>
      </c>
      <c r="CF33" s="11">
        <f>(($C$5+$C$6)/2)*COS(RADIANS($CD$2+0))+(($C$6-$C$5)/2)*COS(RADIANS((0+(360-(0))*29/36)))</f>
        <v>57.578862085983275</v>
      </c>
      <c r="CG33" s="11">
        <f>(($C$5+$C$6)/2)*SIN(RADIANS($CD$2+0))+(($C$6-$C$5)/2)*SIN(RADIANS((0+(360-(0))*29/36)))</f>
        <v>-11.910570637691123</v>
      </c>
      <c r="CH33" s="11">
        <f>(($C$5+$C$6)/2)*COS(RADIANS($CD$2+120))+(($C$6-$C$5)/2)*COS(RADIANS((0+(360-(0))*29/36)))</f>
        <v>-24.790691090760369</v>
      </c>
      <c r="CI33" s="11">
        <f>(($C$5+$C$6)/2)*SIN(RADIANS($CD$2+120))+(($C$6-$C$5)/2)*SIN(RADIANS((0+(360-(0))*29/36)))</f>
        <v>19.999564264305121</v>
      </c>
      <c r="CJ33" s="11">
        <f>(($C$5+$C$6)/2)*COS(RADIANS($CD$2+240))+(($C$6-$C$5)/2)*COS(RADIANS((0+(360-(0))*29/36)))</f>
        <v>-11.240901965705753</v>
      </c>
      <c r="CK33" s="11">
        <f>(($C$5+$C$6)/2)*SIN(RADIANS($CD$2+240))+(($C$6-$C$5)/2)*SIN(RADIANS((0+(360-(0))*29/36)))</f>
        <v>-67.289628736126218</v>
      </c>
    </row>
    <row r="34" spans="2:89" ht="45.95" customHeight="1" x14ac:dyDescent="0.25">
      <c r="B34" s="30" t="s">
        <v>308</v>
      </c>
      <c r="C34" s="30"/>
      <c r="D34" s="30"/>
      <c r="E34" s="30"/>
      <c r="F34" s="30"/>
      <c r="G34" s="30"/>
      <c r="CB34" s="11">
        <f>0+$C$6*COS(RADIANS((0+(360-(0))*30/72)))</f>
        <v>-62.353829072479584</v>
      </c>
      <c r="CC34" s="11">
        <f>0+$C$6*SIN(RADIANS((0+(360-(0))*30/72)))</f>
        <v>35.999999999999993</v>
      </c>
      <c r="CD34" s="11">
        <f>0+$C$5*COS(RADIANS((0+(360-(0))*30/36)))</f>
        <v>15.000000000000004</v>
      </c>
      <c r="CE34" s="11">
        <f>0+$C$5*SIN(RADIANS((0+(360-(0))*30/36)))</f>
        <v>-25.980762113533157</v>
      </c>
      <c r="CF34" s="11">
        <f>(($C$5+$C$6)/2)*COS(RADIANS($CD$2+0))+(($C$6-$C$5)/2)*COS(RADIANS((0+(360-(0))*30/36)))</f>
        <v>60.896439076144226</v>
      </c>
      <c r="CG34" s="11">
        <f>(($C$5+$C$6)/2)*SIN(RADIANS($CD$2+0))+(($C$6-$C$5)/2)*SIN(RADIANS((0+(360-(0))*30/36)))</f>
        <v>-10.363559080660259</v>
      </c>
      <c r="CH34" s="11">
        <f>(($C$5+$C$6)/2)*COS(RADIANS($CD$2+120))+(($C$6-$C$5)/2)*COS(RADIANS((0+(360-(0))*30/36)))</f>
        <v>-21.473114100599417</v>
      </c>
      <c r="CI34" s="11">
        <f>(($C$5+$C$6)/2)*SIN(RADIANS($CD$2+120))+(($C$6-$C$5)/2)*SIN(RADIANS((0+(360-(0))*30/36)))</f>
        <v>21.546575821335985</v>
      </c>
      <c r="CJ34" s="11">
        <f>(($C$5+$C$6)/2)*COS(RADIANS($CD$2+240))+(($C$6-$C$5)/2)*COS(RADIANS((0+(360-(0))*30/36)))</f>
        <v>-7.9233249755447996</v>
      </c>
      <c r="CK34" s="11">
        <f>(($C$5+$C$6)/2)*SIN(RADIANS($CD$2+240))+(($C$6-$C$5)/2)*SIN(RADIANS((0+(360-(0))*30/36)))</f>
        <v>-65.742617179095362</v>
      </c>
    </row>
    <row r="35" spans="2:89" x14ac:dyDescent="0.25">
      <c r="CB35" s="11">
        <f>0+$C$6*COS(RADIANS((0+(360-(0))*31/72)))</f>
        <v>-65.254160666638796</v>
      </c>
      <c r="CC35" s="11">
        <f>0+$C$6*SIN(RADIANS((0+(360-(0))*31/72)))</f>
        <v>30.428514845330362</v>
      </c>
      <c r="CD35" s="11">
        <f>0+$C$5*COS(RADIANS((0+(360-(0))*31/36)))</f>
        <v>19.283628290596177</v>
      </c>
      <c r="CE35" s="11">
        <f>0+$C$5*SIN(RADIANS((0+(360-(0))*31/36)))</f>
        <v>-22.981333293569342</v>
      </c>
      <c r="CF35" s="11">
        <f>(($C$5+$C$6)/2)*COS(RADIANS($CD$2+0))+(($C$6-$C$5)/2)*COS(RADIANS((0+(360-(0))*31/36)))</f>
        <v>63.894978879561549</v>
      </c>
      <c r="CG35" s="11">
        <f>(($C$5+$C$6)/2)*SIN(RADIANS($CD$2+0))+(($C$6-$C$5)/2)*SIN(RADIANS((0+(360-(0))*31/36)))</f>
        <v>-8.2639589066855876</v>
      </c>
      <c r="CH35" s="11">
        <f>(($C$5+$C$6)/2)*COS(RADIANS($CD$2+120))+(($C$6-$C$5)/2)*COS(RADIANS((0+(360-(0))*31/36)))</f>
        <v>-18.474574297182095</v>
      </c>
      <c r="CI35" s="11">
        <f>(($C$5+$C$6)/2)*SIN(RADIANS($CD$2+120))+(($C$6-$C$5)/2)*SIN(RADIANS((0+(360-(0))*31/36)))</f>
        <v>23.646175995310657</v>
      </c>
      <c r="CJ35" s="11">
        <f>(($C$5+$C$6)/2)*COS(RADIANS($CD$2+240))+(($C$6-$C$5)/2)*COS(RADIANS((0+(360-(0))*31/36)))</f>
        <v>-4.9247851721274767</v>
      </c>
      <c r="CK35" s="11">
        <f>(($C$5+$C$6)/2)*SIN(RADIANS($CD$2+240))+(($C$6-$C$5)/2)*SIN(RADIANS((0+(360-(0))*31/36)))</f>
        <v>-63.64301700512069</v>
      </c>
    </row>
    <row r="36" spans="2:89" x14ac:dyDescent="0.25">
      <c r="CB36" s="11">
        <f>0+$C$6*COS(RADIANS((0+(360-(0))*32/72)))</f>
        <v>-67.657868696585396</v>
      </c>
      <c r="CC36" s="11">
        <f>0+$C$6*SIN(RADIANS((0+(360-(0))*32/72)))</f>
        <v>24.625450319448159</v>
      </c>
      <c r="CD36" s="11">
        <f>0+$C$5*COS(RADIANS((0+(360-(0))*32/36)))</f>
        <v>22.981333293569335</v>
      </c>
      <c r="CE36" s="11">
        <f>0+$C$5*SIN(RADIANS((0+(360-(0))*32/36)))</f>
        <v>-19.283628290596187</v>
      </c>
      <c r="CF36" s="11">
        <f>(($C$5+$C$6)/2)*COS(RADIANS($CD$2+0))+(($C$6-$C$5)/2)*COS(RADIANS((0+(360-(0))*32/36)))</f>
        <v>66.483372381642766</v>
      </c>
      <c r="CG36" s="11">
        <f>(($C$5+$C$6)/2)*SIN(RADIANS($CD$2+0))+(($C$6-$C$5)/2)*SIN(RADIANS((0+(360-(0))*32/36)))</f>
        <v>-5.6755654046043782</v>
      </c>
      <c r="CH36" s="11">
        <f>(($C$5+$C$6)/2)*COS(RADIANS($CD$2+120))+(($C$6-$C$5)/2)*COS(RADIANS((0+(360-(0))*32/36)))</f>
        <v>-15.886180795100884</v>
      </c>
      <c r="CI36" s="11">
        <f>(($C$5+$C$6)/2)*SIN(RADIANS($CD$2+120))+(($C$6-$C$5)/2)*SIN(RADIANS((0+(360-(0))*32/36)))</f>
        <v>26.234569497391867</v>
      </c>
      <c r="CJ36" s="11">
        <f>(($C$5+$C$6)/2)*COS(RADIANS($CD$2+240))+(($C$6-$C$5)/2)*COS(RADIANS((0+(360-(0))*32/36)))</f>
        <v>-2.3363916700462681</v>
      </c>
      <c r="CK36" s="11">
        <f>(($C$5+$C$6)/2)*SIN(RADIANS($CD$2+240))+(($C$6-$C$5)/2)*SIN(RADIANS((0+(360-(0))*32/36)))</f>
        <v>-61.05462350303948</v>
      </c>
    </row>
    <row r="37" spans="2:89" x14ac:dyDescent="0.25">
      <c r="CB37" s="11">
        <f>0+$C$6*COS(RADIANS((0+(360-(0))*33/72)))</f>
        <v>-69.546659492812907</v>
      </c>
      <c r="CC37" s="11">
        <f>0+$C$6*SIN(RADIANS((0+(360-(0))*33/72)))</f>
        <v>18.634971247381515</v>
      </c>
      <c r="CD37" s="11">
        <f>0+$C$5*COS(RADIANS((0+(360-(0))*33/36)))</f>
        <v>25.980762113533153</v>
      </c>
      <c r="CE37" s="11">
        <f>0+$C$5*SIN(RADIANS((0+(360-(0))*33/36)))</f>
        <v>-15.000000000000014</v>
      </c>
      <c r="CF37" s="11">
        <f>(($C$5+$C$6)/2)*COS(RADIANS($CD$2+0))+(($C$6-$C$5)/2)*COS(RADIANS((0+(360-(0))*33/36)))</f>
        <v>68.582972555617431</v>
      </c>
      <c r="CG37" s="11">
        <f>(($C$5+$C$6)/2)*SIN(RADIANS($CD$2+0))+(($C$6-$C$5)/2)*SIN(RADIANS((0+(360-(0))*33/36)))</f>
        <v>-2.6770256011870552</v>
      </c>
      <c r="CH37" s="11">
        <f>(($C$5+$C$6)/2)*COS(RADIANS($CD$2+120))+(($C$6-$C$5)/2)*COS(RADIANS((0+(360-(0))*33/36)))</f>
        <v>-13.786580621126213</v>
      </c>
      <c r="CI37" s="11">
        <f>(($C$5+$C$6)/2)*SIN(RADIANS($CD$2+120))+(($C$6-$C$5)/2)*SIN(RADIANS((0+(360-(0))*33/36)))</f>
        <v>29.23310930080919</v>
      </c>
      <c r="CJ37" s="11">
        <f>(($C$5+$C$6)/2)*COS(RADIANS($CD$2+240))+(($C$6-$C$5)/2)*COS(RADIANS((0+(360-(0))*33/36)))</f>
        <v>-0.23679149607159644</v>
      </c>
      <c r="CK37" s="11">
        <f>(($C$5+$C$6)/2)*SIN(RADIANS($CD$2+240))+(($C$6-$C$5)/2)*SIN(RADIANS((0+(360-(0))*33/36)))</f>
        <v>-58.056083699622157</v>
      </c>
    </row>
    <row r="38" spans="2:89" x14ac:dyDescent="0.25">
      <c r="CB38" s="11">
        <f>0+$C$6*COS(RADIANS((0+(360-(0))*34/72)))</f>
        <v>-70.906158216878978</v>
      </c>
      <c r="CC38" s="11">
        <f>0+$C$6*SIN(RADIANS((0+(360-(0))*34/72)))</f>
        <v>12.50266879201898</v>
      </c>
      <c r="CD38" s="11">
        <f>0+$C$5*COS(RADIANS((0+(360-(0))*34/36)))</f>
        <v>28.190778623577252</v>
      </c>
      <c r="CE38" s="11">
        <f>0+$C$5*SIN(RADIANS((0+(360-(0))*34/36)))</f>
        <v>-10.260604299770058</v>
      </c>
      <c r="CF38" s="11">
        <f>(($C$5+$C$6)/2)*COS(RADIANS($CD$2+0))+(($C$6-$C$5)/2)*COS(RADIANS((0+(360-(0))*34/36)))</f>
        <v>70.129984112648302</v>
      </c>
      <c r="CG38" s="11">
        <f>(($C$5+$C$6)/2)*SIN(RADIANS($CD$2+0))+(($C$6-$C$5)/2)*SIN(RADIANS((0+(360-(0))*34/36)))</f>
        <v>0.64055138897391295</v>
      </c>
      <c r="CH38" s="11">
        <f>(($C$5+$C$6)/2)*COS(RADIANS($CD$2+120))+(($C$6-$C$5)/2)*COS(RADIANS((0+(360-(0))*34/36)))</f>
        <v>-12.239569064095342</v>
      </c>
      <c r="CI38" s="11">
        <f>(($C$5+$C$6)/2)*SIN(RADIANS($CD$2+120))+(($C$6-$C$5)/2)*SIN(RADIANS((0+(360-(0))*34/36)))</f>
        <v>32.550686290970155</v>
      </c>
      <c r="CJ38" s="11">
        <f>(($C$5+$C$6)/2)*COS(RADIANS($CD$2+240))+(($C$6-$C$5)/2)*COS(RADIANS((0+(360-(0))*34/36)))</f>
        <v>1.3102200609592742</v>
      </c>
      <c r="CK38" s="11">
        <f>(($C$5+$C$6)/2)*SIN(RADIANS($CD$2+240))+(($C$6-$C$5)/2)*SIN(RADIANS((0+(360-(0))*34/36)))</f>
        <v>-54.738506709461191</v>
      </c>
    </row>
    <row r="39" spans="2:89" x14ac:dyDescent="0.25">
      <c r="CB39" s="11">
        <f>0+$C$6*COS(RADIANS((0+(360-(0))*35/72)))</f>
        <v>-71.726018262605677</v>
      </c>
      <c r="CC39" s="11">
        <f>0+$C$6*SIN(RADIANS((0+(360-(0))*35/72)))</f>
        <v>6.2752134778313895</v>
      </c>
      <c r="CD39" s="11">
        <f>0+$C$5*COS(RADIANS((0+(360-(0))*35/36)))</f>
        <v>29.544232590366242</v>
      </c>
      <c r="CE39" s="11">
        <f>0+$C$5*SIN(RADIANS((0+(360-(0))*35/36)))</f>
        <v>-5.2094453300079113</v>
      </c>
      <c r="CF39" s="11">
        <f>(($C$5+$C$6)/2)*COS(RADIANS($CD$2+0))+(($C$6-$C$5)/2)*COS(RADIANS((0+(360-(0))*35/36)))</f>
        <v>71.077401889400591</v>
      </c>
      <c r="CG39" s="11">
        <f>(($C$5+$C$6)/2)*SIN(RADIANS($CD$2+0))+(($C$6-$C$5)/2)*SIN(RADIANS((0+(360-(0))*35/36)))</f>
        <v>4.1763626678074157</v>
      </c>
      <c r="CH39" s="11">
        <f>(($C$5+$C$6)/2)*COS(RADIANS($CD$2+120))+(($C$6-$C$5)/2)*COS(RADIANS((0+(360-(0))*35/36)))</f>
        <v>-11.292151287343049</v>
      </c>
      <c r="CI39" s="11">
        <f>(($C$5+$C$6)/2)*SIN(RADIANS($CD$2+120))+(($C$6-$C$5)/2)*SIN(RADIANS((0+(360-(0))*35/36)))</f>
        <v>36.086497569803662</v>
      </c>
      <c r="CJ39" s="11">
        <f>(($C$5+$C$6)/2)*COS(RADIANS($CD$2+240))+(($C$6-$C$5)/2)*COS(RADIANS((0+(360-(0))*35/36)))</f>
        <v>2.2576378377115667</v>
      </c>
      <c r="CK39" s="11">
        <f>(($C$5+$C$6)/2)*SIN(RADIANS($CD$2+240))+(($C$6-$C$5)/2)*SIN(RADIANS((0+(360-(0))*35/36)))</f>
        <v>-51.202695430627685</v>
      </c>
    </row>
    <row r="40" spans="2:89" x14ac:dyDescent="0.25">
      <c r="CB40" s="11">
        <f>0+$C$6*COS(RADIANS((0+(360-(0))*36/72)))</f>
        <v>-72</v>
      </c>
      <c r="CC40" s="11">
        <f>0+$C$6*SIN(RADIANS((0+(360-(0))*36/72)))</f>
        <v>8.8210688753420641E-15</v>
      </c>
      <c r="CD40" s="11">
        <f>0+$C$5*COS(RADIANS((0+(360-(0))*36/36)))</f>
        <v>30</v>
      </c>
      <c r="CE40" s="11">
        <f>0+$C$5*SIN(RADIANS((0+(360-(0))*36/36)))</f>
        <v>-7.3508907294517201E-15</v>
      </c>
      <c r="CF40" s="11">
        <f>(($C$5+$C$6)/2)*COS(RADIANS($CD$2+0))+(($C$6-$C$5)/2)*COS(RADIANS((0+(360-(0))*36/36)))</f>
        <v>71.396439076144219</v>
      </c>
      <c r="CG40" s="11">
        <f>(($C$5+$C$6)/2)*SIN(RADIANS($CD$2+0))+(($C$6-$C$5)/2)*SIN(RADIANS((0+(360-(0))*36/36)))</f>
        <v>7.8229743988129483</v>
      </c>
      <c r="CH40" s="11">
        <f>(($C$5+$C$6)/2)*COS(RADIANS($CD$2+120))+(($C$6-$C$5)/2)*COS(RADIANS((0+(360-(0))*36/36)))</f>
        <v>-10.973114100599417</v>
      </c>
      <c r="CI40" s="11">
        <f>(($C$5+$C$6)/2)*SIN(RADIANS($CD$2+120))+(($C$6-$C$5)/2)*SIN(RADIANS((0+(360-(0))*36/36)))</f>
        <v>39.73310930080919</v>
      </c>
      <c r="CJ40" s="11">
        <f>(($C$5+$C$6)/2)*COS(RADIANS($CD$2+240))+(($C$6-$C$5)/2)*COS(RADIANS((0+(360-(0))*36/36)))</f>
        <v>2.5766750244551986</v>
      </c>
      <c r="CK40" s="11">
        <f>(($C$5+$C$6)/2)*SIN(RADIANS($CD$2+240))+(($C$6-$C$5)/2)*SIN(RADIANS((0+(360-(0))*36/36)))</f>
        <v>-47.556083699622157</v>
      </c>
    </row>
    <row r="41" spans="2:89" x14ac:dyDescent="0.25">
      <c r="CB41" s="11">
        <f>0+$C$6*COS(RADIANS((0+(360-(0))*37/72)))</f>
        <v>-71.726018262605677</v>
      </c>
      <c r="CC41" s="11">
        <f>0+$C$6*SIN(RADIANS((0+(360-(0))*37/72)))</f>
        <v>-6.2752134778313717</v>
      </c>
    </row>
    <row r="42" spans="2:89" x14ac:dyDescent="0.25">
      <c r="CB42" s="11">
        <f>0+$C$6*COS(RADIANS((0+(360-(0))*38/72)))</f>
        <v>-70.906158216878978</v>
      </c>
      <c r="CC42" s="11">
        <f>0+$C$6*SIN(RADIANS((0+(360-(0))*38/72)))</f>
        <v>-12.502668792018994</v>
      </c>
    </row>
    <row r="43" spans="2:89" x14ac:dyDescent="0.25">
      <c r="CB43" s="11">
        <f>0+$C$6*COS(RADIANS((0+(360-(0))*39/72)))</f>
        <v>-69.546659492812921</v>
      </c>
      <c r="CC43" s="11">
        <f>0+$C$6*SIN(RADIANS((0+(360-(0))*39/72)))</f>
        <v>-18.634971247381497</v>
      </c>
    </row>
    <row r="44" spans="2:89" x14ac:dyDescent="0.25">
      <c r="CB44" s="11">
        <f>0+$C$6*COS(RADIANS((0+(360-(0))*40/72)))</f>
        <v>-67.65786869658541</v>
      </c>
      <c r="CC44" s="11">
        <f>0+$C$6*SIN(RADIANS((0+(360-(0))*40/72)))</f>
        <v>-24.625450319448142</v>
      </c>
    </row>
    <row r="45" spans="2:89" x14ac:dyDescent="0.25">
      <c r="CB45" s="11">
        <f>0+$C$6*COS(RADIANS((0+(360-(0))*41/72)))</f>
        <v>-65.254160666638796</v>
      </c>
      <c r="CC45" s="11">
        <f>0+$C$6*SIN(RADIANS((0+(360-(0))*41/72)))</f>
        <v>-30.428514845330348</v>
      </c>
    </row>
    <row r="46" spans="2:89" x14ac:dyDescent="0.25">
      <c r="CB46" s="11">
        <f>0+$C$6*COS(RADIANS((0+(360-(0))*42/72)))</f>
        <v>-62.353829072479577</v>
      </c>
      <c r="CC46" s="11">
        <f>0+$C$6*SIN(RADIANS((0+(360-(0))*42/72)))</f>
        <v>-36.000000000000007</v>
      </c>
    </row>
    <row r="47" spans="2:89" x14ac:dyDescent="0.25">
      <c r="CB47" s="11">
        <f>0+$C$6*COS(RADIANS((0+(360-(0))*43/72)))</f>
        <v>-58.97894718880741</v>
      </c>
      <c r="CC47" s="11">
        <f>0+$C$6*SIN(RADIANS((0+(360-(0))*43/72)))</f>
        <v>-41.297503417275323</v>
      </c>
    </row>
    <row r="48" spans="2:89" x14ac:dyDescent="0.25">
      <c r="CB48" s="11">
        <f>0+$C$6*COS(RADIANS((0+(360-(0))*44/72)))</f>
        <v>-55.155199904566416</v>
      </c>
      <c r="CC48" s="11">
        <f>0+$C$6*SIN(RADIANS((0+(360-(0))*44/72)))</f>
        <v>-46.28070789743083</v>
      </c>
    </row>
    <row r="49" spans="80:81" x14ac:dyDescent="0.25">
      <c r="CB49" s="11">
        <f>0+$C$6*COS(RADIANS((0+(360-(0))*45/72)))</f>
        <v>-50.911688245431435</v>
      </c>
      <c r="CC49" s="11">
        <f>0+$C$6*SIN(RADIANS((0+(360-(0))*45/72)))</f>
        <v>-50.911688245431421</v>
      </c>
    </row>
    <row r="50" spans="80:81" x14ac:dyDescent="0.25">
      <c r="CB50" s="11">
        <f>0+$C$6*COS(RADIANS((0+(360-(0))*46/72)))</f>
        <v>-46.280707897430844</v>
      </c>
      <c r="CC50" s="11">
        <f>0+$C$6*SIN(RADIANS((0+(360-(0))*46/72)))</f>
        <v>-55.155199904566409</v>
      </c>
    </row>
    <row r="51" spans="80:81" x14ac:dyDescent="0.25">
      <c r="CB51" s="11">
        <f>0+$C$6*COS(RADIANS((0+(360-(0))*47/72)))</f>
        <v>-41.297503417275337</v>
      </c>
      <c r="CC51" s="11">
        <f>0+$C$6*SIN(RADIANS((0+(360-(0))*47/72)))</f>
        <v>-58.978947188807396</v>
      </c>
    </row>
    <row r="52" spans="80:81" x14ac:dyDescent="0.25">
      <c r="CB52" s="11">
        <f>0+$C$6*COS(RADIANS((0+(360-(0))*48/72)))</f>
        <v>-36.000000000000028</v>
      </c>
      <c r="CC52" s="11">
        <f>0+$C$6*SIN(RADIANS((0+(360-(0))*48/72)))</f>
        <v>-62.353829072479563</v>
      </c>
    </row>
    <row r="53" spans="80:81" x14ac:dyDescent="0.25">
      <c r="CB53" s="11">
        <f>0+$C$6*COS(RADIANS((0+(360-(0))*49/72)))</f>
        <v>-30.428514845330341</v>
      </c>
      <c r="CC53" s="11">
        <f>0+$C$6*SIN(RADIANS((0+(360-(0))*49/72)))</f>
        <v>-65.254160666638796</v>
      </c>
    </row>
    <row r="54" spans="80:81" x14ac:dyDescent="0.25">
      <c r="CB54" s="11">
        <f>0+$C$6*COS(RADIANS((0+(360-(0))*50/72)))</f>
        <v>-24.625450319448134</v>
      </c>
      <c r="CC54" s="11">
        <f>0+$C$6*SIN(RADIANS((0+(360-(0))*50/72)))</f>
        <v>-67.65786869658541</v>
      </c>
    </row>
    <row r="55" spans="80:81" x14ac:dyDescent="0.25">
      <c r="CB55" s="11">
        <f>0+$C$6*COS(RADIANS((0+(360-(0))*51/72)))</f>
        <v>-18.634971247381486</v>
      </c>
      <c r="CC55" s="11">
        <f>0+$C$6*SIN(RADIANS((0+(360-(0))*51/72)))</f>
        <v>-69.546659492812921</v>
      </c>
    </row>
    <row r="56" spans="80:81" x14ac:dyDescent="0.25">
      <c r="CB56" s="11">
        <f>0+$C$6*COS(RADIANS((0+(360-(0))*52/72)))</f>
        <v>-12.502668792018984</v>
      </c>
      <c r="CC56" s="11">
        <f>0+$C$6*SIN(RADIANS((0+(360-(0))*52/72)))</f>
        <v>-70.906158216878978</v>
      </c>
    </row>
    <row r="57" spans="80:81" x14ac:dyDescent="0.25">
      <c r="CB57" s="11">
        <f>0+$C$6*COS(RADIANS((0+(360-(0))*53/72)))</f>
        <v>-6.2752134778313939</v>
      </c>
      <c r="CC57" s="11">
        <f>0+$C$6*SIN(RADIANS((0+(360-(0))*53/72)))</f>
        <v>-71.726018262605677</v>
      </c>
    </row>
    <row r="58" spans="80:81" x14ac:dyDescent="0.25">
      <c r="CB58" s="11">
        <f>0+$C$6*COS(RADIANS((0+(360-(0))*54/72)))</f>
        <v>-1.3231603313013096E-14</v>
      </c>
      <c r="CC58" s="11">
        <f>0+$C$6*SIN(RADIANS((0+(360-(0))*54/72)))</f>
        <v>-72</v>
      </c>
    </row>
    <row r="59" spans="80:81" x14ac:dyDescent="0.25">
      <c r="CB59" s="11">
        <f>0+$C$6*COS(RADIANS((0+(360-(0))*55/72)))</f>
        <v>6.2752134778313682</v>
      </c>
      <c r="CC59" s="11">
        <f>0+$C$6*SIN(RADIANS((0+(360-(0))*55/72)))</f>
        <v>-71.726018262605677</v>
      </c>
    </row>
    <row r="60" spans="80:81" x14ac:dyDescent="0.25">
      <c r="CB60" s="11">
        <f>0+$C$6*COS(RADIANS((0+(360-(0))*56/72)))</f>
        <v>12.502668792018959</v>
      </c>
      <c r="CC60" s="11">
        <f>0+$C$6*SIN(RADIANS((0+(360-(0))*56/72)))</f>
        <v>-70.906158216878993</v>
      </c>
    </row>
    <row r="61" spans="80:81" x14ac:dyDescent="0.25">
      <c r="CB61" s="11">
        <f>0+$C$6*COS(RADIANS((0+(360-(0))*57/72)))</f>
        <v>18.634971247381461</v>
      </c>
      <c r="CC61" s="11">
        <f>0+$C$6*SIN(RADIANS((0+(360-(0))*57/72)))</f>
        <v>-69.546659492812921</v>
      </c>
    </row>
    <row r="62" spans="80:81" x14ac:dyDescent="0.25">
      <c r="CB62" s="11">
        <f>0+$C$6*COS(RADIANS((0+(360-(0))*58/72)))</f>
        <v>24.625450319448166</v>
      </c>
      <c r="CC62" s="11">
        <f>0+$C$6*SIN(RADIANS((0+(360-(0))*58/72)))</f>
        <v>-67.657868696585396</v>
      </c>
    </row>
    <row r="63" spans="80:81" x14ac:dyDescent="0.25">
      <c r="CB63" s="11">
        <f>0+$C$6*COS(RADIANS((0+(360-(0))*59/72)))</f>
        <v>30.428514845330373</v>
      </c>
      <c r="CC63" s="11">
        <f>0+$C$6*SIN(RADIANS((0+(360-(0))*59/72)))</f>
        <v>-65.254160666638796</v>
      </c>
    </row>
    <row r="64" spans="80:81" x14ac:dyDescent="0.25">
      <c r="CB64" s="11">
        <f>0+$C$6*COS(RADIANS((0+(360-(0))*60/72)))</f>
        <v>36.000000000000007</v>
      </c>
      <c r="CC64" s="11">
        <f>0+$C$6*SIN(RADIANS((0+(360-(0))*60/72)))</f>
        <v>-62.353829072479577</v>
      </c>
    </row>
    <row r="65" spans="80:81" x14ac:dyDescent="0.25">
      <c r="CB65" s="11">
        <f>0+$C$6*COS(RADIANS((0+(360-(0))*61/72)))</f>
        <v>41.297503417275315</v>
      </c>
      <c r="CC65" s="11">
        <f>0+$C$6*SIN(RADIANS((0+(360-(0))*61/72)))</f>
        <v>-58.97894718880741</v>
      </c>
    </row>
    <row r="66" spans="80:81" x14ac:dyDescent="0.25">
      <c r="CB66" s="11">
        <f>0+$C$6*COS(RADIANS((0+(360-(0))*62/72)))</f>
        <v>46.28070789743083</v>
      </c>
      <c r="CC66" s="11">
        <f>0+$C$6*SIN(RADIANS((0+(360-(0))*62/72)))</f>
        <v>-55.155199904566423</v>
      </c>
    </row>
    <row r="67" spans="80:81" x14ac:dyDescent="0.25">
      <c r="CB67" s="11">
        <f>0+$C$6*COS(RADIANS((0+(360-(0))*63/72)))</f>
        <v>50.911688245431407</v>
      </c>
      <c r="CC67" s="11">
        <f>0+$C$6*SIN(RADIANS((0+(360-(0))*63/72)))</f>
        <v>-50.911688245431435</v>
      </c>
    </row>
    <row r="68" spans="80:81" x14ac:dyDescent="0.25">
      <c r="CB68" s="11">
        <f>0+$C$6*COS(RADIANS((0+(360-(0))*64/72)))</f>
        <v>55.155199904566402</v>
      </c>
      <c r="CC68" s="11">
        <f>0+$C$6*SIN(RADIANS((0+(360-(0))*64/72)))</f>
        <v>-46.280707897430851</v>
      </c>
    </row>
    <row r="69" spans="80:81" x14ac:dyDescent="0.25">
      <c r="CB69" s="11">
        <f>0+$C$6*COS(RADIANS((0+(360-(0))*65/72)))</f>
        <v>58.978947188807396</v>
      </c>
      <c r="CC69" s="11">
        <f>0+$C$6*SIN(RADIANS((0+(360-(0))*65/72)))</f>
        <v>-41.297503417275351</v>
      </c>
    </row>
    <row r="70" spans="80:81" x14ac:dyDescent="0.25">
      <c r="CB70" s="11">
        <f>0+$C$6*COS(RADIANS((0+(360-(0))*66/72)))</f>
        <v>62.353829072479563</v>
      </c>
      <c r="CC70" s="11">
        <f>0+$C$6*SIN(RADIANS((0+(360-(0))*66/72)))</f>
        <v>-36.000000000000028</v>
      </c>
    </row>
    <row r="71" spans="80:81" x14ac:dyDescent="0.25">
      <c r="CB71" s="11">
        <f>0+$C$6*COS(RADIANS((0+(360-(0))*67/72)))</f>
        <v>65.254160666638796</v>
      </c>
      <c r="CC71" s="11">
        <f>0+$C$6*SIN(RADIANS((0+(360-(0))*67/72)))</f>
        <v>-30.428514845330344</v>
      </c>
    </row>
    <row r="72" spans="80:81" x14ac:dyDescent="0.25">
      <c r="CB72" s="11">
        <f>0+$C$6*COS(RADIANS((0+(360-(0))*68/72)))</f>
        <v>67.65786869658541</v>
      </c>
      <c r="CC72" s="11">
        <f>0+$C$6*SIN(RADIANS((0+(360-(0))*68/72)))</f>
        <v>-24.625450319448138</v>
      </c>
    </row>
    <row r="73" spans="80:81" x14ac:dyDescent="0.25">
      <c r="CB73" s="11">
        <f>0+$C$6*COS(RADIANS((0+(360-(0))*69/72)))</f>
        <v>69.546659492812921</v>
      </c>
      <c r="CC73" s="11">
        <f>0+$C$6*SIN(RADIANS((0+(360-(0))*69/72)))</f>
        <v>-18.63497124738149</v>
      </c>
    </row>
    <row r="74" spans="80:81" x14ac:dyDescent="0.25">
      <c r="CB74" s="11">
        <f>0+$C$6*COS(RADIANS((0+(360-(0))*70/72)))</f>
        <v>70.906158216878978</v>
      </c>
      <c r="CC74" s="11">
        <f>0+$C$6*SIN(RADIANS((0+(360-(0))*70/72)))</f>
        <v>-12.502668792018987</v>
      </c>
    </row>
    <row r="75" spans="80:81" x14ac:dyDescent="0.25">
      <c r="CB75" s="11">
        <f>0+$C$6*COS(RADIANS((0+(360-(0))*71/72)))</f>
        <v>71.726018262605677</v>
      </c>
      <c r="CC75" s="11">
        <f>0+$C$6*SIN(RADIANS((0+(360-(0))*71/72)))</f>
        <v>-6.2752134778313993</v>
      </c>
    </row>
    <row r="76" spans="80:81" x14ac:dyDescent="0.25">
      <c r="CB76" s="11">
        <f>0+$C$6*COS(RADIANS((0+(360-(0))*72/72)))</f>
        <v>72</v>
      </c>
      <c r="CC76" s="11">
        <f>0+$C$6*SIN(RADIANS((0+(360-(0))*72/72)))</f>
        <v>-1.7642137750684128E-14</v>
      </c>
    </row>
  </sheetData>
  <sheetProtection sheet="1" scenarios="1"/>
  <mergeCells count="19">
    <mergeCell ref="B31:G31"/>
    <mergeCell ref="B32:G32"/>
    <mergeCell ref="B33:G33"/>
    <mergeCell ref="B34:G34"/>
    <mergeCell ref="D23:G23"/>
    <mergeCell ref="D24:G24"/>
    <mergeCell ref="D25:G25"/>
    <mergeCell ref="J25:U28"/>
    <mergeCell ref="B30:G30"/>
    <mergeCell ref="B17:G17"/>
    <mergeCell ref="B18:G18"/>
    <mergeCell ref="B20:G20"/>
    <mergeCell ref="D21:G21"/>
    <mergeCell ref="D22:G22"/>
    <mergeCell ref="A1:Y1"/>
    <mergeCell ref="A2:Y2"/>
    <mergeCell ref="B4:G4"/>
    <mergeCell ref="C8:G8"/>
    <mergeCell ref="B10:G10"/>
  </mergeCells>
  <conditionalFormatting sqref="B22:G25">
    <cfRule type="expression" dxfId="0" priority="1">
      <formula>$B22=$C$26</formula>
    </cfRule>
  </conditionalFormatting>
  <dataValidations count="3">
    <dataValidation type="list" allowBlank="1" showInputMessage="1" showErrorMessage="1" sqref="C8" xr:uid="{00000000-0002-0000-0500-000000000000}">
      <formula1>$BZ$3:$BZ$9</formula1>
    </dataValidation>
    <dataValidation type="decimal" allowBlank="1" showInputMessage="1" showErrorMessage="1" errorTitle="Valor fuera de rango" error="Escriba un valor entre 0 y 360." promptTitle="Rango" prompt="De 0 a 360 °" sqref="C9" xr:uid="{00000000-0002-0000-0500-000001000000}">
      <formula1>0</formula1>
      <formula2>360</formula2>
    </dataValidation>
    <dataValidation type="list" allowBlank="1" showInputMessage="1" showErrorMessage="1" sqref="C26" xr:uid="{00000000-0002-0000-0500-000002000000}">
      <formula1>"1ª,2ª,3ª,R"</formula1>
    </dataValidation>
  </dataValidations>
  <hyperlinks>
    <hyperlink ref="B3" location="'Inicio'!A1" display="◄ Volver al inicio" xr:uid="{00000000-0004-0000-0500-000000000000}"/>
  </hyperlinks>
  <pageMargins left="0.4" right="0.4" top="0.5" bottom="0.5" header="0.3" footer="0.3"/>
  <pageSetup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A1:CZ44"/>
  <sheetViews>
    <sheetView showGridLines="0" topLeftCell="A25" workbookViewId="0">
      <selection sqref="A1:Y1"/>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49" ht="30" customHeight="1" x14ac:dyDescent="0.25">
      <c r="A1" s="24" t="s">
        <v>309</v>
      </c>
      <c r="B1" s="24"/>
      <c r="C1" s="24"/>
      <c r="D1" s="24"/>
      <c r="E1" s="24"/>
      <c r="F1" s="24"/>
      <c r="G1" s="24"/>
      <c r="H1" s="24"/>
      <c r="I1" s="24"/>
      <c r="J1" s="24"/>
      <c r="K1" s="24"/>
      <c r="L1" s="24"/>
      <c r="M1" s="24"/>
      <c r="N1" s="24"/>
      <c r="O1" s="24"/>
      <c r="P1" s="24"/>
      <c r="Q1" s="24"/>
      <c r="R1" s="24"/>
      <c r="S1" s="24"/>
      <c r="T1" s="24"/>
      <c r="U1" s="24"/>
      <c r="V1" s="24"/>
      <c r="W1" s="24"/>
      <c r="X1" s="24"/>
      <c r="Y1" s="24"/>
      <c r="AA1" s="12" t="s">
        <v>56</v>
      </c>
    </row>
    <row r="2" spans="1:49" x14ac:dyDescent="0.25">
      <c r="A2" s="25" t="s">
        <v>310</v>
      </c>
      <c r="B2" s="25"/>
      <c r="C2" s="25"/>
      <c r="D2" s="25"/>
      <c r="E2" s="25"/>
      <c r="F2" s="25"/>
      <c r="G2" s="25"/>
      <c r="H2" s="25"/>
      <c r="I2" s="25"/>
      <c r="J2" s="25"/>
      <c r="K2" s="25"/>
      <c r="L2" s="25"/>
      <c r="M2" s="25"/>
      <c r="N2" s="25"/>
      <c r="O2" s="25"/>
      <c r="P2" s="25"/>
      <c r="Q2" s="25"/>
      <c r="R2" s="25"/>
      <c r="S2" s="25"/>
      <c r="T2" s="25"/>
      <c r="U2" s="25"/>
      <c r="V2" s="25"/>
      <c r="W2" s="25"/>
      <c r="X2" s="25"/>
      <c r="Y2" s="25"/>
      <c r="AA2" s="13" t="s">
        <v>100</v>
      </c>
      <c r="AB2" s="13" t="s">
        <v>187</v>
      </c>
      <c r="AC2" s="13" t="s">
        <v>321</v>
      </c>
      <c r="AD2" s="13" t="s">
        <v>322</v>
      </c>
      <c r="AE2" s="13" t="s">
        <v>323</v>
      </c>
      <c r="AF2" s="13" t="s">
        <v>324</v>
      </c>
      <c r="AG2" s="13" t="s">
        <v>325</v>
      </c>
      <c r="AH2" s="13" t="s">
        <v>322</v>
      </c>
      <c r="AI2" s="13" t="s">
        <v>323</v>
      </c>
      <c r="AJ2" s="13" t="s">
        <v>324</v>
      </c>
      <c r="AL2" s="13" t="s">
        <v>353</v>
      </c>
      <c r="AM2" s="13" t="s">
        <v>354</v>
      </c>
      <c r="AN2" s="13" t="s">
        <v>355</v>
      </c>
    </row>
    <row r="3" spans="1:49" x14ac:dyDescent="0.25">
      <c r="B3" s="8" t="s">
        <v>55</v>
      </c>
      <c r="AA3" s="11">
        <f>'U1 Caja de cambios'!B28</f>
        <v>1000</v>
      </c>
      <c r="AB3" s="11">
        <f>'U1 Caja de cambios'!C28</f>
        <v>110</v>
      </c>
      <c r="AC3" s="11">
        <f t="shared" ref="AC3:AC14" si="0">(AA3/$C$7)^2</f>
        <v>30.864197530864196</v>
      </c>
      <c r="AD3" s="11">
        <f t="shared" ref="AD3:AD14" si="1">AB3-AC3</f>
        <v>79.135802469135797</v>
      </c>
      <c r="AE3" s="11">
        <f t="shared" ref="AE3:AE13" si="2">IF(AND(AD3&gt;0,AD4&lt;=0),1,0)</f>
        <v>0</v>
      </c>
      <c r="AF3" s="11">
        <f t="shared" ref="AF3:AF13" si="3">IF(AE3=1,AA3+AD3/(AD3-AD4)*500,0)</f>
        <v>0</v>
      </c>
      <c r="AG3" s="11">
        <f t="shared" ref="AG3:AG14" si="4">(AA3/($C$7/SQRT(MAX(0.02,1-($C$8)^6))))^2</f>
        <v>30.864197530864196</v>
      </c>
      <c r="AH3" s="11">
        <f t="shared" ref="AH3:AH14" si="5">AB3-AG3</f>
        <v>79.135802469135797</v>
      </c>
      <c r="AI3" s="11">
        <f t="shared" ref="AI3:AI13" si="6">IF(AND(AH3&gt;0,AH4&lt;=0),1,0)</f>
        <v>0</v>
      </c>
      <c r="AJ3" s="11">
        <f t="shared" ref="AJ3:AJ13" si="7">IF(AI3=1,AA3+AH3/(AH3-AH4)*500,0)</f>
        <v>0</v>
      </c>
      <c r="AL3" s="11">
        <f>0</f>
        <v>0</v>
      </c>
      <c r="AM3" s="11">
        <f t="shared" ref="AM3:AM23" si="8">IF(AL3&lt;$C$6,$C$5-($C$5-1)*AL3/$C$6,1)</f>
        <v>2.2000000000000002</v>
      </c>
      <c r="AN3" s="11">
        <f t="shared" ref="AN3:AN23" si="9">AL3*AM3</f>
        <v>0</v>
      </c>
      <c r="AP3" s="11">
        <f>$C$8</f>
        <v>0</v>
      </c>
      <c r="AQ3" s="11">
        <f>$C$10</f>
        <v>2.2000000000000002</v>
      </c>
      <c r="AR3" s="11">
        <f>$C$8</f>
        <v>0</v>
      </c>
      <c r="AS3" s="11">
        <f>$C$8*$C$10</f>
        <v>0</v>
      </c>
      <c r="AT3" s="11">
        <f>$C$18</f>
        <v>2092.4278370897587</v>
      </c>
      <c r="AU3" s="11">
        <f>($C$18/$C$7)^2</f>
        <v>135.13130411815203</v>
      </c>
      <c r="AV3" s="11">
        <f>$C$14</f>
        <v>2092.4278370897587</v>
      </c>
      <c r="AW3" s="11">
        <f>$C$15</f>
        <v>135.13130411815203</v>
      </c>
    </row>
    <row r="4" spans="1:49" x14ac:dyDescent="0.25">
      <c r="B4" s="28" t="s">
        <v>311</v>
      </c>
      <c r="C4" s="28"/>
      <c r="D4" s="28"/>
      <c r="E4" s="28"/>
      <c r="F4" s="28"/>
      <c r="G4" s="28"/>
      <c r="AA4" s="11">
        <f>'U1 Caja de cambios'!B29</f>
        <v>1500</v>
      </c>
      <c r="AB4" s="11">
        <f>'U1 Caja de cambios'!C29</f>
        <v>125</v>
      </c>
      <c r="AC4" s="11">
        <f t="shared" si="0"/>
        <v>69.444444444444457</v>
      </c>
      <c r="AD4" s="11">
        <f t="shared" si="1"/>
        <v>55.555555555555543</v>
      </c>
      <c r="AE4" s="11">
        <f t="shared" si="2"/>
        <v>0</v>
      </c>
      <c r="AF4" s="11">
        <f t="shared" si="3"/>
        <v>0</v>
      </c>
      <c r="AG4" s="11">
        <f t="shared" si="4"/>
        <v>69.444444444444457</v>
      </c>
      <c r="AH4" s="11">
        <f t="shared" si="5"/>
        <v>55.555555555555543</v>
      </c>
      <c r="AI4" s="11">
        <f t="shared" si="6"/>
        <v>0</v>
      </c>
      <c r="AJ4" s="11">
        <f t="shared" si="7"/>
        <v>0</v>
      </c>
      <c r="AL4" s="11">
        <f>0.05</f>
        <v>0.05</v>
      </c>
      <c r="AM4" s="11">
        <f t="shared" si="8"/>
        <v>2.1294117647058823</v>
      </c>
      <c r="AN4" s="11">
        <f t="shared" si="9"/>
        <v>0.10647058823529412</v>
      </c>
    </row>
    <row r="5" spans="1:49" x14ac:dyDescent="0.25">
      <c r="B5" s="14" t="s">
        <v>312</v>
      </c>
      <c r="C5" s="17">
        <v>2.2000000000000002</v>
      </c>
      <c r="D5" s="16"/>
      <c r="AA5" s="11">
        <f>'U1 Caja de cambios'!B30</f>
        <v>2000</v>
      </c>
      <c r="AB5" s="11">
        <f>'U1 Caja de cambios'!C30</f>
        <v>135</v>
      </c>
      <c r="AC5" s="11">
        <f t="shared" si="0"/>
        <v>123.45679012345678</v>
      </c>
      <c r="AD5" s="11">
        <f t="shared" si="1"/>
        <v>11.543209876543216</v>
      </c>
      <c r="AE5" s="11">
        <f t="shared" si="2"/>
        <v>1</v>
      </c>
      <c r="AF5" s="11">
        <f t="shared" si="3"/>
        <v>2092.4278370897587</v>
      </c>
      <c r="AG5" s="11">
        <f t="shared" si="4"/>
        <v>123.45679012345678</v>
      </c>
      <c r="AH5" s="11">
        <f t="shared" si="5"/>
        <v>11.543209876543216</v>
      </c>
      <c r="AI5" s="11">
        <f t="shared" si="6"/>
        <v>1</v>
      </c>
      <c r="AJ5" s="11">
        <f t="shared" si="7"/>
        <v>2092.4278370897587</v>
      </c>
      <c r="AL5" s="11">
        <f>0.1</f>
        <v>0.1</v>
      </c>
      <c r="AM5" s="11">
        <f t="shared" si="8"/>
        <v>2.0588235294117649</v>
      </c>
      <c r="AN5" s="11">
        <f t="shared" si="9"/>
        <v>0.20588235294117652</v>
      </c>
    </row>
    <row r="6" spans="1:49" x14ac:dyDescent="0.25">
      <c r="B6" s="14" t="s">
        <v>313</v>
      </c>
      <c r="C6" s="17">
        <v>0.85</v>
      </c>
      <c r="D6" s="16"/>
      <c r="T6" s="27" t="s">
        <v>356</v>
      </c>
      <c r="U6" s="27"/>
      <c r="V6" s="27"/>
      <c r="W6" s="27"/>
      <c r="X6" s="27"/>
      <c r="Y6" s="27"/>
      <c r="AA6" s="11">
        <f>'U1 Caja de cambios'!B31</f>
        <v>2500</v>
      </c>
      <c r="AB6" s="11">
        <f>'U1 Caja de cambios'!C31</f>
        <v>142</v>
      </c>
      <c r="AC6" s="11">
        <f t="shared" si="0"/>
        <v>192.90123456790124</v>
      </c>
      <c r="AD6" s="11">
        <f t="shared" si="1"/>
        <v>-50.901234567901241</v>
      </c>
      <c r="AE6" s="11">
        <f t="shared" si="2"/>
        <v>0</v>
      </c>
      <c r="AF6" s="11">
        <f t="shared" si="3"/>
        <v>0</v>
      </c>
      <c r="AG6" s="11">
        <f t="shared" si="4"/>
        <v>192.90123456790124</v>
      </c>
      <c r="AH6" s="11">
        <f t="shared" si="5"/>
        <v>-50.901234567901241</v>
      </c>
      <c r="AI6" s="11">
        <f t="shared" si="6"/>
        <v>0</v>
      </c>
      <c r="AJ6" s="11">
        <f t="shared" si="7"/>
        <v>0</v>
      </c>
      <c r="AL6" s="11">
        <f>0.15</f>
        <v>0.15</v>
      </c>
      <c r="AM6" s="11">
        <f t="shared" si="8"/>
        <v>1.9882352941176471</v>
      </c>
      <c r="AN6" s="11">
        <f t="shared" si="9"/>
        <v>0.29823529411764704</v>
      </c>
    </row>
    <row r="7" spans="1:49" x14ac:dyDescent="0.25">
      <c r="B7" s="14" t="s">
        <v>314</v>
      </c>
      <c r="C7" s="15">
        <v>180</v>
      </c>
      <c r="D7" s="16" t="s">
        <v>315</v>
      </c>
      <c r="T7" s="27"/>
      <c r="U7" s="27"/>
      <c r="V7" s="27"/>
      <c r="W7" s="27"/>
      <c r="X7" s="27"/>
      <c r="Y7" s="27"/>
      <c r="AA7" s="11">
        <f>'U1 Caja de cambios'!B32</f>
        <v>3000</v>
      </c>
      <c r="AB7" s="11">
        <f>'U1 Caja de cambios'!C32</f>
        <v>146</v>
      </c>
      <c r="AC7" s="11">
        <f t="shared" si="0"/>
        <v>277.77777777777783</v>
      </c>
      <c r="AD7" s="11">
        <f t="shared" si="1"/>
        <v>-131.77777777777783</v>
      </c>
      <c r="AE7" s="11">
        <f t="shared" si="2"/>
        <v>0</v>
      </c>
      <c r="AF7" s="11">
        <f t="shared" si="3"/>
        <v>0</v>
      </c>
      <c r="AG7" s="11">
        <f t="shared" si="4"/>
        <v>277.77777777777783</v>
      </c>
      <c r="AH7" s="11">
        <f t="shared" si="5"/>
        <v>-131.77777777777783</v>
      </c>
      <c r="AI7" s="11">
        <f t="shared" si="6"/>
        <v>0</v>
      </c>
      <c r="AJ7" s="11">
        <f t="shared" si="7"/>
        <v>0</v>
      </c>
      <c r="AL7" s="11">
        <f>0.2</f>
        <v>0.2</v>
      </c>
      <c r="AM7" s="11">
        <f t="shared" si="8"/>
        <v>1.9176470588235295</v>
      </c>
      <c r="AN7" s="11">
        <f t="shared" si="9"/>
        <v>0.3835294117647059</v>
      </c>
    </row>
    <row r="8" spans="1:49" ht="25.5" x14ac:dyDescent="0.25">
      <c r="B8" s="14" t="s">
        <v>316</v>
      </c>
      <c r="C8" s="17">
        <v>0</v>
      </c>
      <c r="D8" s="16"/>
      <c r="T8" s="27"/>
      <c r="U8" s="27"/>
      <c r="V8" s="27"/>
      <c r="W8" s="27"/>
      <c r="X8" s="27"/>
      <c r="Y8" s="27"/>
      <c r="AA8" s="11">
        <f>'U1 Caja de cambios'!B33</f>
        <v>3500</v>
      </c>
      <c r="AB8" s="11">
        <f>'U1 Caja de cambios'!C33</f>
        <v>148</v>
      </c>
      <c r="AC8" s="11">
        <f t="shared" si="0"/>
        <v>378.08641975308637</v>
      </c>
      <c r="AD8" s="11">
        <f t="shared" si="1"/>
        <v>-230.08641975308637</v>
      </c>
      <c r="AE8" s="11">
        <f t="shared" si="2"/>
        <v>0</v>
      </c>
      <c r="AF8" s="11">
        <f t="shared" si="3"/>
        <v>0</v>
      </c>
      <c r="AG8" s="11">
        <f t="shared" si="4"/>
        <v>378.08641975308637</v>
      </c>
      <c r="AH8" s="11">
        <f t="shared" si="5"/>
        <v>-230.08641975308637</v>
      </c>
      <c r="AI8" s="11">
        <f t="shared" si="6"/>
        <v>0</v>
      </c>
      <c r="AJ8" s="11">
        <f t="shared" si="7"/>
        <v>0</v>
      </c>
      <c r="AL8" s="11">
        <f>0.25</f>
        <v>0.25</v>
      </c>
      <c r="AM8" s="11">
        <f t="shared" si="8"/>
        <v>1.8470588235294119</v>
      </c>
      <c r="AN8" s="11">
        <f t="shared" si="9"/>
        <v>0.46176470588235297</v>
      </c>
    </row>
    <row r="9" spans="1:49" x14ac:dyDescent="0.25">
      <c r="B9" s="28" t="s">
        <v>317</v>
      </c>
      <c r="C9" s="28"/>
      <c r="D9" s="28"/>
      <c r="E9" s="28"/>
      <c r="F9" s="28"/>
      <c r="G9" s="28"/>
      <c r="T9" s="27"/>
      <c r="U9" s="27"/>
      <c r="V9" s="27"/>
      <c r="W9" s="27"/>
      <c r="X9" s="27"/>
      <c r="Y9" s="27"/>
      <c r="AA9" s="11">
        <f>'U1 Caja de cambios'!B34</f>
        <v>4000</v>
      </c>
      <c r="AB9" s="11">
        <f>'U1 Caja de cambios'!C34</f>
        <v>147</v>
      </c>
      <c r="AC9" s="11">
        <f t="shared" si="0"/>
        <v>493.82716049382714</v>
      </c>
      <c r="AD9" s="11">
        <f t="shared" si="1"/>
        <v>-346.82716049382714</v>
      </c>
      <c r="AE9" s="11">
        <f t="shared" si="2"/>
        <v>0</v>
      </c>
      <c r="AF9" s="11">
        <f t="shared" si="3"/>
        <v>0</v>
      </c>
      <c r="AG9" s="11">
        <f t="shared" si="4"/>
        <v>493.82716049382714</v>
      </c>
      <c r="AH9" s="11">
        <f t="shared" si="5"/>
        <v>-346.82716049382714</v>
      </c>
      <c r="AI9" s="11">
        <f t="shared" si="6"/>
        <v>0</v>
      </c>
      <c r="AJ9" s="11">
        <f t="shared" si="7"/>
        <v>0</v>
      </c>
      <c r="AL9" s="11">
        <f>0.3</f>
        <v>0.3</v>
      </c>
      <c r="AM9" s="11">
        <f t="shared" si="8"/>
        <v>1.7764705882352942</v>
      </c>
      <c r="AN9" s="11">
        <f t="shared" si="9"/>
        <v>0.53294117647058825</v>
      </c>
    </row>
    <row r="10" spans="1:49" x14ac:dyDescent="0.25">
      <c r="B10" s="14" t="s">
        <v>318</v>
      </c>
      <c r="C10" s="22">
        <f>IF($C$8&lt;$C$6,$C$5-($C$5-1)*$C$8/$C$6,1)</f>
        <v>2.2000000000000002</v>
      </c>
      <c r="D10" s="16"/>
      <c r="T10" s="27"/>
      <c r="U10" s="27"/>
      <c r="V10" s="27"/>
      <c r="W10" s="27"/>
      <c r="X10" s="27"/>
      <c r="Y10" s="27"/>
      <c r="AA10" s="11">
        <f>'U1 Caja de cambios'!B35</f>
        <v>4500</v>
      </c>
      <c r="AB10" s="11">
        <f>'U1 Caja de cambios'!C35</f>
        <v>144</v>
      </c>
      <c r="AC10" s="11">
        <f t="shared" si="0"/>
        <v>625</v>
      </c>
      <c r="AD10" s="11">
        <f t="shared" si="1"/>
        <v>-481</v>
      </c>
      <c r="AE10" s="11">
        <f t="shared" si="2"/>
        <v>0</v>
      </c>
      <c r="AF10" s="11">
        <f t="shared" si="3"/>
        <v>0</v>
      </c>
      <c r="AG10" s="11">
        <f t="shared" si="4"/>
        <v>625</v>
      </c>
      <c r="AH10" s="11">
        <f t="shared" si="5"/>
        <v>-481</v>
      </c>
      <c r="AI10" s="11">
        <f t="shared" si="6"/>
        <v>0</v>
      </c>
      <c r="AJ10" s="11">
        <f t="shared" si="7"/>
        <v>0</v>
      </c>
      <c r="AL10" s="11">
        <f>0.35</f>
        <v>0.35</v>
      </c>
      <c r="AM10" s="11">
        <f t="shared" si="8"/>
        <v>1.7058823529411766</v>
      </c>
      <c r="AN10" s="11">
        <f t="shared" si="9"/>
        <v>0.59705882352941175</v>
      </c>
    </row>
    <row r="11" spans="1:49" x14ac:dyDescent="0.25">
      <c r="B11" s="14" t="s">
        <v>319</v>
      </c>
      <c r="C11" s="20">
        <f>$C$10*$C$8*100</f>
        <v>0</v>
      </c>
      <c r="D11" s="16" t="s">
        <v>70</v>
      </c>
      <c r="T11" s="27"/>
      <c r="U11" s="27"/>
      <c r="V11" s="27"/>
      <c r="W11" s="27"/>
      <c r="X11" s="27"/>
      <c r="Y11" s="27"/>
      <c r="AA11" s="11">
        <f>'U1 Caja de cambios'!B36</f>
        <v>5000</v>
      </c>
      <c r="AB11" s="11">
        <f>'U1 Caja de cambios'!C36</f>
        <v>138</v>
      </c>
      <c r="AC11" s="11">
        <f t="shared" si="0"/>
        <v>771.60493827160496</v>
      </c>
      <c r="AD11" s="11">
        <f t="shared" si="1"/>
        <v>-633.60493827160496</v>
      </c>
      <c r="AE11" s="11">
        <f t="shared" si="2"/>
        <v>0</v>
      </c>
      <c r="AF11" s="11">
        <f t="shared" si="3"/>
        <v>0</v>
      </c>
      <c r="AG11" s="11">
        <f t="shared" si="4"/>
        <v>771.60493827160496</v>
      </c>
      <c r="AH11" s="11">
        <f t="shared" si="5"/>
        <v>-633.60493827160496</v>
      </c>
      <c r="AI11" s="11">
        <f t="shared" si="6"/>
        <v>0</v>
      </c>
      <c r="AJ11" s="11">
        <f t="shared" si="7"/>
        <v>0</v>
      </c>
      <c r="AL11" s="11">
        <f>0.4</f>
        <v>0.4</v>
      </c>
      <c r="AM11" s="11">
        <f t="shared" si="8"/>
        <v>1.6352941176470588</v>
      </c>
      <c r="AN11" s="11">
        <f t="shared" si="9"/>
        <v>0.65411764705882358</v>
      </c>
    </row>
    <row r="12" spans="1:49" x14ac:dyDescent="0.25">
      <c r="B12" s="14" t="s">
        <v>320</v>
      </c>
      <c r="C12" s="20">
        <f>(1-$C$8)*100</f>
        <v>100</v>
      </c>
      <c r="D12" s="16" t="s">
        <v>70</v>
      </c>
      <c r="T12" s="27"/>
      <c r="U12" s="27"/>
      <c r="V12" s="27"/>
      <c r="W12" s="27"/>
      <c r="X12" s="27"/>
      <c r="Y12" s="27"/>
      <c r="AA12" s="11">
        <f>'U1 Caja de cambios'!B37</f>
        <v>5500</v>
      </c>
      <c r="AB12" s="11">
        <f>'U1 Caja de cambios'!C37</f>
        <v>130</v>
      </c>
      <c r="AC12" s="11">
        <f t="shared" si="0"/>
        <v>933.64197530864203</v>
      </c>
      <c r="AD12" s="11">
        <f t="shared" si="1"/>
        <v>-803.64197530864203</v>
      </c>
      <c r="AE12" s="11">
        <f t="shared" si="2"/>
        <v>0</v>
      </c>
      <c r="AF12" s="11">
        <f t="shared" si="3"/>
        <v>0</v>
      </c>
      <c r="AG12" s="11">
        <f t="shared" si="4"/>
        <v>933.64197530864203</v>
      </c>
      <c r="AH12" s="11">
        <f t="shared" si="5"/>
        <v>-803.64197530864203</v>
      </c>
      <c r="AI12" s="11">
        <f t="shared" si="6"/>
        <v>0</v>
      </c>
      <c r="AJ12" s="11">
        <f t="shared" si="7"/>
        <v>0</v>
      </c>
      <c r="AL12" s="11">
        <f>0.45</f>
        <v>0.45</v>
      </c>
      <c r="AM12" s="11">
        <f t="shared" si="8"/>
        <v>1.5647058823529412</v>
      </c>
      <c r="AN12" s="11">
        <f t="shared" si="9"/>
        <v>0.70411764705882351</v>
      </c>
    </row>
    <row r="13" spans="1:49" x14ac:dyDescent="0.25">
      <c r="B13" s="14" t="s">
        <v>326</v>
      </c>
      <c r="C13" s="21">
        <f>($C$7/SQRT(MAX(0.02,1-($C$8)^6)))</f>
        <v>180</v>
      </c>
      <c r="D13" s="16"/>
      <c r="T13" s="27"/>
      <c r="U13" s="27"/>
      <c r="V13" s="27"/>
      <c r="W13" s="27"/>
      <c r="X13" s="27"/>
      <c r="Y13" s="27"/>
      <c r="AA13" s="11">
        <f>'U1 Caja de cambios'!B38</f>
        <v>6000</v>
      </c>
      <c r="AB13" s="11">
        <f>'U1 Caja de cambios'!C38</f>
        <v>120</v>
      </c>
      <c r="AC13" s="11">
        <f t="shared" si="0"/>
        <v>1111.1111111111113</v>
      </c>
      <c r="AD13" s="11">
        <f t="shared" si="1"/>
        <v>-991.11111111111131</v>
      </c>
      <c r="AE13" s="11">
        <f t="shared" si="2"/>
        <v>0</v>
      </c>
      <c r="AF13" s="11">
        <f t="shared" si="3"/>
        <v>0</v>
      </c>
      <c r="AG13" s="11">
        <f t="shared" si="4"/>
        <v>1111.1111111111113</v>
      </c>
      <c r="AH13" s="11">
        <f t="shared" si="5"/>
        <v>-991.11111111111131</v>
      </c>
      <c r="AI13" s="11">
        <f t="shared" si="6"/>
        <v>0</v>
      </c>
      <c r="AJ13" s="11">
        <f t="shared" si="7"/>
        <v>0</v>
      </c>
      <c r="AL13" s="11">
        <f>0.5</f>
        <v>0.5</v>
      </c>
      <c r="AM13" s="11">
        <f t="shared" si="8"/>
        <v>1.4941176470588236</v>
      </c>
      <c r="AN13" s="11">
        <f t="shared" si="9"/>
        <v>0.74705882352941178</v>
      </c>
    </row>
    <row r="14" spans="1:49" x14ac:dyDescent="0.25">
      <c r="B14" s="14" t="s">
        <v>327</v>
      </c>
      <c r="C14" s="21">
        <f>IF(SUM($AI$3:$AI$13)&gt;0,SUMPRODUCT($AI$3:$AI$13,$AJ$3:$AJ$13),IF($AH$3&lt;=0,1000,6500))</f>
        <v>2092.4278370897587</v>
      </c>
      <c r="D14" s="16" t="s">
        <v>79</v>
      </c>
      <c r="T14" s="27"/>
      <c r="U14" s="27"/>
      <c r="V14" s="27"/>
      <c r="W14" s="27"/>
      <c r="X14" s="27"/>
      <c r="Y14" s="27"/>
      <c r="AA14" s="11">
        <f>'U1 Caja de cambios'!B39</f>
        <v>6500</v>
      </c>
      <c r="AB14" s="11">
        <f>'U1 Caja de cambios'!C39</f>
        <v>105</v>
      </c>
      <c r="AC14" s="11">
        <f t="shared" si="0"/>
        <v>1304.0123456790125</v>
      </c>
      <c r="AD14" s="11">
        <f t="shared" si="1"/>
        <v>-1199.0123456790125</v>
      </c>
      <c r="AG14" s="11">
        <f t="shared" si="4"/>
        <v>1304.0123456790125</v>
      </c>
      <c r="AH14" s="11">
        <f t="shared" si="5"/>
        <v>-1199.0123456790125</v>
      </c>
      <c r="AL14" s="11">
        <f>0.55</f>
        <v>0.55000000000000004</v>
      </c>
      <c r="AM14" s="11">
        <f t="shared" si="8"/>
        <v>1.4235294117647057</v>
      </c>
      <c r="AN14" s="11">
        <f t="shared" si="9"/>
        <v>0.78294117647058825</v>
      </c>
    </row>
    <row r="15" spans="1:49" x14ac:dyDescent="0.25">
      <c r="B15" s="14" t="s">
        <v>328</v>
      </c>
      <c r="C15" s="20">
        <f>($C$14/$C$13)^2</f>
        <v>135.13130411815203</v>
      </c>
      <c r="D15" s="16" t="s">
        <v>132</v>
      </c>
      <c r="AL15" s="11">
        <f>0.6</f>
        <v>0.6</v>
      </c>
      <c r="AM15" s="11">
        <f t="shared" si="8"/>
        <v>1.3529411764705883</v>
      </c>
      <c r="AN15" s="11">
        <f t="shared" si="9"/>
        <v>0.81176470588235294</v>
      </c>
    </row>
    <row r="16" spans="1:49" x14ac:dyDescent="0.25">
      <c r="B16" s="14" t="s">
        <v>329</v>
      </c>
      <c r="C16" s="21">
        <f>$C$8*$C$14</f>
        <v>0</v>
      </c>
      <c r="D16" s="16" t="s">
        <v>79</v>
      </c>
      <c r="AL16" s="11">
        <f>0.65</f>
        <v>0.65</v>
      </c>
      <c r="AM16" s="11">
        <f t="shared" si="8"/>
        <v>1.2823529411764705</v>
      </c>
      <c r="AN16" s="11">
        <f t="shared" si="9"/>
        <v>0.83352941176470585</v>
      </c>
    </row>
    <row r="17" spans="2:40" x14ac:dyDescent="0.25">
      <c r="B17" s="14" t="s">
        <v>330</v>
      </c>
      <c r="C17" s="20">
        <f>$C$10*$C$15</f>
        <v>297.28886905993448</v>
      </c>
      <c r="D17" s="16" t="s">
        <v>132</v>
      </c>
      <c r="AL17" s="11">
        <f>0.7</f>
        <v>0.7</v>
      </c>
      <c r="AM17" s="11">
        <f t="shared" si="8"/>
        <v>1.2117647058823531</v>
      </c>
      <c r="AN17" s="11">
        <f t="shared" si="9"/>
        <v>0.84823529411764709</v>
      </c>
    </row>
    <row r="18" spans="2:40" x14ac:dyDescent="0.25">
      <c r="B18" s="14" t="s">
        <v>331</v>
      </c>
      <c r="C18" s="21">
        <f>IF(SUM($AE$3:$AE$13)&gt;0,SUMPRODUCT($AE$3:$AE$13,$AF$3:$AF$13),IF($AD$3&lt;=0,1000,6500))</f>
        <v>2092.4278370897587</v>
      </c>
      <c r="D18" s="16" t="s">
        <v>79</v>
      </c>
      <c r="AL18" s="11">
        <f>0.75</f>
        <v>0.75</v>
      </c>
      <c r="AM18" s="11">
        <f t="shared" si="8"/>
        <v>1.1411764705882352</v>
      </c>
      <c r="AN18" s="11">
        <f t="shared" si="9"/>
        <v>0.85588235294117643</v>
      </c>
    </row>
    <row r="19" spans="2:40" ht="32.1" customHeight="1" x14ac:dyDescent="0.25">
      <c r="B19" s="29" t="str">
        <f>IF($C$8=0,"Calado: la turbina está detenida y el par se multiplica al máximo.",IF($C$8&lt;$C$6,"Zona de convertidor: el estator desvía el aceite y multiplica el par.","Zona de acoplamiento: μ = 1, el estator gira libre; conviene aplicar el embrague de bloqueo."))</f>
        <v>Calado: la turbina está detenida y el par se multiplica al máximo.</v>
      </c>
      <c r="C19" s="29"/>
      <c r="D19" s="29"/>
      <c r="E19" s="29"/>
      <c r="F19" s="29"/>
      <c r="G19" s="29"/>
      <c r="AL19" s="11">
        <f>0.8</f>
        <v>0.8</v>
      </c>
      <c r="AM19" s="11">
        <f t="shared" si="8"/>
        <v>1.0705882352941176</v>
      </c>
      <c r="AN19" s="11">
        <f t="shared" si="9"/>
        <v>0.85647058823529409</v>
      </c>
    </row>
    <row r="20" spans="2:40" x14ac:dyDescent="0.25">
      <c r="AL20" s="11">
        <f>0.85</f>
        <v>0.85</v>
      </c>
      <c r="AM20" s="11">
        <f t="shared" si="8"/>
        <v>1</v>
      </c>
      <c r="AN20" s="11">
        <f t="shared" si="9"/>
        <v>0.85</v>
      </c>
    </row>
    <row r="21" spans="2:40" x14ac:dyDescent="0.25">
      <c r="B21" s="28" t="s">
        <v>332</v>
      </c>
      <c r="C21" s="28"/>
      <c r="D21" s="28"/>
      <c r="E21" s="28"/>
      <c r="F21" s="28"/>
      <c r="G21" s="28"/>
      <c r="AL21" s="11">
        <f>0.9</f>
        <v>0.9</v>
      </c>
      <c r="AM21" s="11">
        <f t="shared" si="8"/>
        <v>1</v>
      </c>
      <c r="AN21" s="11">
        <f t="shared" si="9"/>
        <v>0.9</v>
      </c>
    </row>
    <row r="22" spans="2:40" x14ac:dyDescent="0.25">
      <c r="B22" s="14" t="s">
        <v>333</v>
      </c>
      <c r="C22" s="15">
        <v>2000</v>
      </c>
      <c r="D22" s="16" t="s">
        <v>79</v>
      </c>
      <c r="AL22" s="11">
        <f>0.95</f>
        <v>0.95</v>
      </c>
      <c r="AM22" s="11">
        <f t="shared" si="8"/>
        <v>1</v>
      </c>
      <c r="AN22" s="11">
        <f t="shared" si="9"/>
        <v>0.95</v>
      </c>
    </row>
    <row r="23" spans="2:40" x14ac:dyDescent="0.25">
      <c r="B23" s="14" t="s">
        <v>334</v>
      </c>
      <c r="C23" s="15">
        <v>150</v>
      </c>
      <c r="D23" s="16" t="s">
        <v>132</v>
      </c>
      <c r="AL23" s="11">
        <f>1</f>
        <v>1</v>
      </c>
      <c r="AM23" s="11">
        <f t="shared" si="8"/>
        <v>1</v>
      </c>
      <c r="AN23" s="11">
        <f t="shared" si="9"/>
        <v>1</v>
      </c>
    </row>
    <row r="24" spans="2:40" x14ac:dyDescent="0.25">
      <c r="B24" s="14" t="s">
        <v>335</v>
      </c>
      <c r="C24" s="15">
        <v>1200</v>
      </c>
      <c r="D24" s="16" t="s">
        <v>79</v>
      </c>
    </row>
    <row r="25" spans="2:40" x14ac:dyDescent="0.25">
      <c r="B25" s="14" t="s">
        <v>336</v>
      </c>
      <c r="C25" s="17">
        <v>1.5</v>
      </c>
      <c r="D25" s="16"/>
    </row>
    <row r="26" spans="2:40" x14ac:dyDescent="0.25">
      <c r="B26" s="14" t="s">
        <v>337</v>
      </c>
      <c r="C26" s="22">
        <f>$C$24/$C$22</f>
        <v>0.6</v>
      </c>
      <c r="D26" s="16"/>
    </row>
    <row r="27" spans="2:40" x14ac:dyDescent="0.25">
      <c r="B27" s="14" t="s">
        <v>338</v>
      </c>
      <c r="C27" s="20">
        <f>(1-$C$24/$C$22)*100</f>
        <v>40</v>
      </c>
      <c r="D27" s="16" t="s">
        <v>70</v>
      </c>
    </row>
    <row r="28" spans="2:40" x14ac:dyDescent="0.25">
      <c r="B28" s="14" t="s">
        <v>339</v>
      </c>
      <c r="C28" s="20">
        <f>$C$25*$C$23</f>
        <v>225</v>
      </c>
      <c r="D28" s="16" t="s">
        <v>132</v>
      </c>
    </row>
    <row r="29" spans="2:40" x14ac:dyDescent="0.25">
      <c r="B29" s="14" t="s">
        <v>340</v>
      </c>
      <c r="C29" s="20">
        <f>$C$25*$C$24/$C$22*100</f>
        <v>90</v>
      </c>
      <c r="D29" s="16" t="s">
        <v>70</v>
      </c>
    </row>
    <row r="31" spans="2:40" x14ac:dyDescent="0.25">
      <c r="B31" s="28" t="s">
        <v>341</v>
      </c>
      <c r="C31" s="28"/>
      <c r="D31" s="28"/>
      <c r="E31" s="28"/>
      <c r="F31" s="28"/>
      <c r="G31" s="28"/>
    </row>
    <row r="32" spans="2:40" x14ac:dyDescent="0.25">
      <c r="B32" s="14" t="s">
        <v>342</v>
      </c>
      <c r="C32" s="15">
        <v>100</v>
      </c>
      <c r="D32" s="16" t="s">
        <v>343</v>
      </c>
    </row>
    <row r="33" spans="2:7" x14ac:dyDescent="0.25">
      <c r="B33" s="14" t="s">
        <v>344</v>
      </c>
      <c r="C33" s="15">
        <v>2</v>
      </c>
      <c r="D33" s="16" t="s">
        <v>345</v>
      </c>
    </row>
    <row r="34" spans="2:7" x14ac:dyDescent="0.25">
      <c r="B34" s="14" t="s">
        <v>346</v>
      </c>
      <c r="C34" s="15">
        <v>6</v>
      </c>
      <c r="D34" s="16" t="s">
        <v>345</v>
      </c>
    </row>
    <row r="35" spans="2:7" x14ac:dyDescent="0.25">
      <c r="B35" s="14" t="s">
        <v>347</v>
      </c>
      <c r="C35" s="22">
        <f>$C$32/(PI()*$C$33^2)</f>
        <v>7.9577471545947667</v>
      </c>
      <c r="D35" s="16" t="s">
        <v>348</v>
      </c>
    </row>
    <row r="36" spans="2:7" x14ac:dyDescent="0.25">
      <c r="B36" s="14" t="s">
        <v>349</v>
      </c>
      <c r="C36" s="22">
        <f>$C$35*6.895</f>
        <v>54.86866663093091</v>
      </c>
      <c r="D36" s="16" t="s">
        <v>350</v>
      </c>
    </row>
    <row r="37" spans="2:7" x14ac:dyDescent="0.25">
      <c r="B37" s="14" t="s">
        <v>351</v>
      </c>
      <c r="C37" s="20">
        <f>$C$35*PI()*$C$34^2</f>
        <v>900</v>
      </c>
      <c r="D37" s="16" t="s">
        <v>343</v>
      </c>
    </row>
    <row r="38" spans="2:7" x14ac:dyDescent="0.25">
      <c r="B38" s="14" t="s">
        <v>352</v>
      </c>
      <c r="C38" s="21">
        <f>$C$35*PI()*$C$34^2*4.448</f>
        <v>4003.2000000000003</v>
      </c>
      <c r="D38" s="16" t="s">
        <v>134</v>
      </c>
    </row>
    <row r="40" spans="2:7" x14ac:dyDescent="0.25">
      <c r="B40" s="28" t="s">
        <v>141</v>
      </c>
      <c r="C40" s="28"/>
      <c r="D40" s="28"/>
      <c r="E40" s="28"/>
      <c r="F40" s="28"/>
      <c r="G40" s="28"/>
    </row>
    <row r="41" spans="2:7" ht="45.95" customHeight="1" x14ac:dyDescent="0.25">
      <c r="B41" s="30" t="s">
        <v>357</v>
      </c>
      <c r="C41" s="30"/>
      <c r="D41" s="30"/>
      <c r="E41" s="30"/>
      <c r="F41" s="30"/>
      <c r="G41" s="30"/>
    </row>
    <row r="42" spans="2:7" ht="45.95" customHeight="1" x14ac:dyDescent="0.25">
      <c r="B42" s="30" t="s">
        <v>358</v>
      </c>
      <c r="C42" s="30"/>
      <c r="D42" s="30"/>
      <c r="E42" s="30"/>
      <c r="F42" s="30"/>
      <c r="G42" s="30"/>
    </row>
    <row r="43" spans="2:7" ht="45.95" customHeight="1" x14ac:dyDescent="0.25">
      <c r="B43" s="30" t="s">
        <v>359</v>
      </c>
      <c r="C43" s="30"/>
      <c r="D43" s="30"/>
      <c r="E43" s="30"/>
      <c r="F43" s="30"/>
      <c r="G43" s="30"/>
    </row>
    <row r="44" spans="2:7" ht="45.95" customHeight="1" x14ac:dyDescent="0.25">
      <c r="B44" s="30" t="s">
        <v>360</v>
      </c>
      <c r="C44" s="30"/>
      <c r="D44" s="30"/>
      <c r="E44" s="30"/>
      <c r="F44" s="30"/>
      <c r="G44" s="30"/>
    </row>
  </sheetData>
  <sheetProtection sheet="1" scenarios="1"/>
  <mergeCells count="13">
    <mergeCell ref="B42:G42"/>
    <mergeCell ref="B43:G43"/>
    <mergeCell ref="B44:G44"/>
    <mergeCell ref="B21:G21"/>
    <mergeCell ref="B31:G31"/>
    <mergeCell ref="T6:Y14"/>
    <mergeCell ref="B40:G40"/>
    <mergeCell ref="B41:G41"/>
    <mergeCell ref="A1:Y1"/>
    <mergeCell ref="A2:Y2"/>
    <mergeCell ref="B4:G4"/>
    <mergeCell ref="B9:G9"/>
    <mergeCell ref="B19:G19"/>
  </mergeCells>
  <dataValidations count="1">
    <dataValidation type="decimal" allowBlank="1" showInputMessage="1" showErrorMessage="1" errorTitle="Valor fuera de rango" error="Escriba un valor entre 0 y 1." promptTitle="Rango" prompt="De 0 a 1 " sqref="C8" xr:uid="{00000000-0002-0000-0600-000000000000}">
      <formula1>0</formula1>
      <formula2>1</formula2>
    </dataValidation>
  </dataValidations>
  <hyperlinks>
    <hyperlink ref="B3" location="'Inicio'!A1" display="◄ Volver al inicio" xr:uid="{00000000-0004-0000-0600-000000000000}"/>
  </hyperlinks>
  <pageMargins left="0.4" right="0.4" top="0.5" bottom="0.5" header="0.3" footer="0.3"/>
  <pageSetup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pageSetUpPr fitToPage="1"/>
  </sheetPr>
  <dimension ref="A1:CZ41"/>
  <sheetViews>
    <sheetView showGridLines="0" topLeftCell="A10" workbookViewId="0">
      <selection sqref="A1:Y1"/>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43" ht="30" customHeight="1" x14ac:dyDescent="0.25">
      <c r="A1" s="24" t="s">
        <v>361</v>
      </c>
      <c r="B1" s="24"/>
      <c r="C1" s="24"/>
      <c r="D1" s="24"/>
      <c r="E1" s="24"/>
      <c r="F1" s="24"/>
      <c r="G1" s="24"/>
      <c r="H1" s="24"/>
      <c r="I1" s="24"/>
      <c r="J1" s="24"/>
      <c r="K1" s="24"/>
      <c r="L1" s="24"/>
      <c r="M1" s="24"/>
      <c r="N1" s="24"/>
      <c r="O1" s="24"/>
      <c r="P1" s="24"/>
      <c r="Q1" s="24"/>
      <c r="R1" s="24"/>
      <c r="S1" s="24"/>
      <c r="T1" s="24"/>
      <c r="U1" s="24"/>
      <c r="V1" s="24"/>
      <c r="W1" s="24"/>
      <c r="X1" s="24"/>
      <c r="Y1" s="24"/>
      <c r="AA1" s="11">
        <f>ASIN(($C$15-$C$14)/$C$7)</f>
        <v>0.25268025514207865</v>
      </c>
      <c r="AI1" s="11" t="str">
        <f>"Polea primaria r₁ = "&amp;FIXED($C$14,1)&amp;" mm · secundaria r₂ = "&amp;FIXED($C$15,1)&amp;" mm · i = "&amp;FIXED($C$16,2)</f>
        <v>Polea primaria r₁ = 30.0 mm · secundaria r₂ = 75.0 mm · i = 2.50</v>
      </c>
    </row>
    <row r="2" spans="1:43" x14ac:dyDescent="0.25">
      <c r="A2" s="25" t="s">
        <v>362</v>
      </c>
      <c r="B2" s="25"/>
      <c r="C2" s="25"/>
      <c r="D2" s="25"/>
      <c r="E2" s="25"/>
      <c r="F2" s="25"/>
      <c r="G2" s="25"/>
      <c r="H2" s="25"/>
      <c r="I2" s="25"/>
      <c r="J2" s="25"/>
      <c r="K2" s="25"/>
      <c r="L2" s="25"/>
      <c r="M2" s="25"/>
      <c r="N2" s="25"/>
      <c r="O2" s="25"/>
      <c r="P2" s="25"/>
      <c r="Q2" s="25"/>
      <c r="R2" s="25"/>
      <c r="S2" s="25"/>
      <c r="T2" s="25"/>
      <c r="U2" s="25"/>
      <c r="V2" s="25"/>
      <c r="W2" s="25"/>
      <c r="X2" s="25"/>
      <c r="Y2" s="25"/>
      <c r="AK2" s="13" t="s">
        <v>100</v>
      </c>
      <c r="AL2" s="13" t="s">
        <v>376</v>
      </c>
      <c r="AM2" s="13" t="s">
        <v>377</v>
      </c>
      <c r="AN2" s="13" t="s">
        <v>378</v>
      </c>
    </row>
    <row r="3" spans="1:43" x14ac:dyDescent="0.25">
      <c r="B3" s="8" t="s">
        <v>55</v>
      </c>
      <c r="AA3" s="11">
        <f>$C$14*COS((PI()/2+$AA$1+(PI()-2*$AA$1)*0/18))</f>
        <v>-7.4999999999999964</v>
      </c>
      <c r="AB3" s="11">
        <f>$C$14*SIN((PI()/2+$AA$1+(PI()-2*$AA$1)*0/18))</f>
        <v>29.047375096555626</v>
      </c>
      <c r="AC3" s="11">
        <f>0+($C$6+6)*COS(RADIANS((0+(360-(0))*0/36)))</f>
        <v>81</v>
      </c>
      <c r="AD3" s="11">
        <f>0+($C$6+6)*SIN(RADIANS((0+(360-(0))*0/36)))</f>
        <v>0</v>
      </c>
      <c r="AE3" s="11">
        <f>$C$7+($C$6+6)*COS(RADIANS((0+(360-(0))*0/36)))</f>
        <v>261</v>
      </c>
      <c r="AF3" s="11">
        <f>0+($C$6+6)*SIN(RADIANS((0+(360-(0))*0/36)))</f>
        <v>0</v>
      </c>
      <c r="AG3" s="11">
        <v>0</v>
      </c>
      <c r="AH3" s="11">
        <v>0</v>
      </c>
      <c r="AK3" s="11">
        <f>1000</f>
        <v>1000</v>
      </c>
      <c r="AL3" s="11">
        <f>0.377*AK3*$C$9/($C$17*$C$8)</f>
        <v>8.2254545454545447</v>
      </c>
      <c r="AM3" s="11">
        <f>0.377*AK3*$C$9/($C$18*$C$8)</f>
        <v>51.409090909090899</v>
      </c>
      <c r="AN3" s="11">
        <f>0.377*AK3*$C$9/($C$16*$C$8)</f>
        <v>8.2254545454545447</v>
      </c>
      <c r="AP3" s="11">
        <f>$C$10</f>
        <v>2000</v>
      </c>
      <c r="AQ3" s="11">
        <f>$C$20</f>
        <v>16.450909090909089</v>
      </c>
    </row>
    <row r="4" spans="1:43" x14ac:dyDescent="0.25">
      <c r="B4" s="28" t="s">
        <v>363</v>
      </c>
      <c r="C4" s="28"/>
      <c r="D4" s="28"/>
      <c r="E4" s="28"/>
      <c r="F4" s="28"/>
      <c r="G4" s="28"/>
      <c r="AA4" s="11">
        <f>$C$14*COS((PI()/2+$AA$1+(PI()-2*$AA$1)*1/18))</f>
        <v>-11.658716139330647</v>
      </c>
      <c r="AB4" s="11">
        <f>$C$14*SIN((PI()/2+$AA$1+(PI()-2*$AA$1)*1/18))</f>
        <v>27.641894616370113</v>
      </c>
      <c r="AC4" s="11">
        <f>0+($C$6+6)*COS(RADIANS((0+(360-(0))*1/36)))</f>
        <v>79.769427993988856</v>
      </c>
      <c r="AD4" s="11">
        <f>0+($C$6+6)*SIN(RADIANS((0+(360-(0))*1/36)))</f>
        <v>14.065502391021356</v>
      </c>
      <c r="AE4" s="11">
        <f>$C$7+($C$6+6)*COS(RADIANS((0+(360-(0))*1/36)))</f>
        <v>259.76942799398887</v>
      </c>
      <c r="AF4" s="11">
        <f>0+($C$6+6)*SIN(RADIANS((0+(360-(0))*1/36)))</f>
        <v>14.065502391021356</v>
      </c>
      <c r="AG4" s="11">
        <f>$C$7</f>
        <v>180</v>
      </c>
      <c r="AH4" s="11">
        <v>0</v>
      </c>
      <c r="AK4" s="11">
        <f>6000</f>
        <v>6000</v>
      </c>
      <c r="AL4" s="11">
        <f>0.377*AK4*$C$9/($C$17*$C$8)</f>
        <v>49.352727272727272</v>
      </c>
      <c r="AM4" s="11">
        <f>0.377*AK4*$C$9/($C$18*$C$8)</f>
        <v>308.45454545454544</v>
      </c>
      <c r="AN4" s="11">
        <f>0.377*AK4*$C$9/($C$16*$C$8)</f>
        <v>49.352727272727272</v>
      </c>
    </row>
    <row r="5" spans="1:43" ht="25.5" x14ac:dyDescent="0.25">
      <c r="B5" s="14" t="s">
        <v>364</v>
      </c>
      <c r="C5" s="15">
        <v>30</v>
      </c>
      <c r="D5" s="16" t="s">
        <v>157</v>
      </c>
      <c r="AA5" s="11">
        <f>$C$14*COS((PI()/2+$AA$1+(PI()-2*$AA$1)*2/18))</f>
        <v>-15.567802386534972</v>
      </c>
      <c r="AB5" s="11">
        <f>$C$14*SIN((PI()/2+$AA$1+(PI()-2*$AA$1)*2/18))</f>
        <v>25.644561389382272</v>
      </c>
      <c r="AC5" s="11">
        <f>0+($C$6+6)*COS(RADIANS((0+(360-(0))*2/36)))</f>
        <v>76.115102283658587</v>
      </c>
      <c r="AD5" s="11">
        <f>0+($C$6+6)*SIN(RADIANS((0+(360-(0))*2/36)))</f>
        <v>27.703631609379165</v>
      </c>
      <c r="AE5" s="11">
        <f>$C$7+($C$6+6)*COS(RADIANS((0+(360-(0))*2/36)))</f>
        <v>256.11510228365859</v>
      </c>
      <c r="AF5" s="11">
        <f>0+($C$6+6)*SIN(RADIANS((0+(360-(0))*2/36)))</f>
        <v>27.703631609379165</v>
      </c>
    </row>
    <row r="6" spans="1:43" ht="25.5" x14ac:dyDescent="0.25">
      <c r="B6" s="14" t="s">
        <v>365</v>
      </c>
      <c r="C6" s="15">
        <v>75</v>
      </c>
      <c r="D6" s="16" t="s">
        <v>157</v>
      </c>
      <c r="AA6" s="11">
        <f>$C$14*COS((PI()/2+$AA$1+(PI()-2*$AA$1)*3/18))</f>
        <v>-19.143559578983055</v>
      </c>
      <c r="AB6" s="11">
        <f>$C$14*SIN((PI()/2+$AA$1+(PI()-2*$AA$1)*3/18))</f>
        <v>23.098141194605386</v>
      </c>
      <c r="AC6" s="11">
        <f>0+($C$6+6)*COS(RADIANS((0+(360-(0))*3/36)))</f>
        <v>70.148057706539532</v>
      </c>
      <c r="AD6" s="11">
        <f>0+($C$6+6)*SIN(RADIANS((0+(360-(0))*3/36)))</f>
        <v>40.499999999999993</v>
      </c>
      <c r="AE6" s="11">
        <f>$C$7+($C$6+6)*COS(RADIANS((0+(360-(0))*3/36)))</f>
        <v>250.14805770653953</v>
      </c>
      <c r="AF6" s="11">
        <f>0+($C$6+6)*SIN(RADIANS((0+(360-(0))*3/36)))</f>
        <v>40.499999999999993</v>
      </c>
    </row>
    <row r="7" spans="1:43" x14ac:dyDescent="0.25">
      <c r="B7" s="14" t="s">
        <v>366</v>
      </c>
      <c r="C7" s="15">
        <v>180</v>
      </c>
      <c r="D7" s="16" t="s">
        <v>157</v>
      </c>
      <c r="AA7" s="11">
        <f>$C$14*COS((PI()/2+$AA$1+(PI()-2*$AA$1)*4/18))</f>
        <v>-22.309425608844712</v>
      </c>
      <c r="AB7" s="11">
        <f>$C$14*SIN((PI()/2+$AA$1+(PI()-2*$AA$1)*4/18))</f>
        <v>20.057156553295975</v>
      </c>
      <c r="AC7" s="11">
        <f>0+($C$6+6)*COS(RADIANS((0+(360-(0))*4/36)))</f>
        <v>62.049599892637218</v>
      </c>
      <c r="AD7" s="11">
        <f>0+($C$6+6)*SIN(RADIANS((0+(360-(0))*4/36)))</f>
        <v>52.065796384609676</v>
      </c>
      <c r="AE7" s="11">
        <f>$C$7+($C$6+6)*COS(RADIANS((0+(360-(0))*4/36)))</f>
        <v>242.04959989263722</v>
      </c>
      <c r="AF7" s="11">
        <f>0+($C$6+6)*SIN(RADIANS((0+(360-(0))*4/36)))</f>
        <v>52.065796384609676</v>
      </c>
    </row>
    <row r="8" spans="1:43" x14ac:dyDescent="0.25">
      <c r="B8" s="14" t="s">
        <v>367</v>
      </c>
      <c r="C8" s="17">
        <v>5.5</v>
      </c>
      <c r="D8" s="16"/>
      <c r="AA8" s="11">
        <f>$C$14*COS((PI()/2+$AA$1+(PI()-2*$AA$1)*5/18))</f>
        <v>-24.997614728008738</v>
      </c>
      <c r="AB8" s="11">
        <f>$C$14*SIN((PI()/2+$AA$1+(PI()-2*$AA$1)*5/18))</f>
        <v>16.586719323303228</v>
      </c>
      <c r="AC8" s="11">
        <f>0+($C$6+6)*COS(RADIANS((0+(360-(0))*5/36)))</f>
        <v>52.065796384609691</v>
      </c>
      <c r="AD8" s="11">
        <f>0+($C$6+6)*SIN(RADIANS((0+(360-(0))*5/36)))</f>
        <v>62.049599892637218</v>
      </c>
      <c r="AE8" s="11">
        <f>$C$7+($C$6+6)*COS(RADIANS((0+(360-(0))*5/36)))</f>
        <v>232.06579638460968</v>
      </c>
      <c r="AF8" s="11">
        <f>0+($C$6+6)*SIN(RADIANS((0+(360-(0))*5/36)))</f>
        <v>62.049599892637218</v>
      </c>
    </row>
    <row r="9" spans="1:43" x14ac:dyDescent="0.25">
      <c r="B9" s="14" t="s">
        <v>241</v>
      </c>
      <c r="C9" s="17">
        <v>0.3</v>
      </c>
      <c r="D9" s="16" t="s">
        <v>61</v>
      </c>
      <c r="AA9" s="11">
        <f>$C$14*COS((PI()/2+$AA$1+(PI()-2*$AA$1)*6/18))</f>
        <v>-27.150568938509291</v>
      </c>
      <c r="AB9" s="11">
        <f>$C$14*SIN((PI()/2+$AA$1+(PI()-2*$AA$1)*6/18))</f>
        <v>12.761136560481376</v>
      </c>
      <c r="AC9" s="11">
        <f>0+($C$6+6)*COS(RADIANS((0+(360-(0))*6/36)))</f>
        <v>40.500000000000007</v>
      </c>
      <c r="AD9" s="11">
        <f>0+($C$6+6)*SIN(RADIANS((0+(360-(0))*6/36)))</f>
        <v>70.148057706539532</v>
      </c>
      <c r="AE9" s="11">
        <f>$C$7+($C$6+6)*COS(RADIANS((0+(360-(0))*6/36)))</f>
        <v>220.5</v>
      </c>
      <c r="AF9" s="11">
        <f>0+($C$6+6)*SIN(RADIANS((0+(360-(0))*6/36)))</f>
        <v>70.148057706539532</v>
      </c>
    </row>
    <row r="10" spans="1:43" x14ac:dyDescent="0.25">
      <c r="B10" s="14" t="s">
        <v>130</v>
      </c>
      <c r="C10" s="15">
        <v>2000</v>
      </c>
      <c r="D10" s="16" t="s">
        <v>79</v>
      </c>
      <c r="U10" s="27" t="s">
        <v>379</v>
      </c>
      <c r="V10" s="27"/>
      <c r="W10" s="27"/>
      <c r="X10" s="27"/>
      <c r="Y10" s="27"/>
      <c r="AA10" s="11">
        <f>$C$14*COS((PI()/2+$AA$1+(PI()-2*$AA$1)*7/18))</f>
        <v>-28.72219039210156</v>
      </c>
      <c r="AB10" s="11">
        <f>$C$14*SIN((PI()/2+$AA$1+(PI()-2*$AA$1)*7/18))</f>
        <v>8.6623194976789541</v>
      </c>
      <c r="AC10" s="11">
        <f>0+($C$6+6)*COS(RADIANS((0+(360-(0))*7/36)))</f>
        <v>27.703631609379176</v>
      </c>
      <c r="AD10" s="11">
        <f>0+($C$6+6)*SIN(RADIANS((0+(360-(0))*7/36)))</f>
        <v>76.115102283658572</v>
      </c>
      <c r="AE10" s="11">
        <f>$C$7+($C$6+6)*COS(RADIANS((0+(360-(0))*7/36)))</f>
        <v>207.70363160937919</v>
      </c>
      <c r="AF10" s="11">
        <f>0+($C$6+6)*SIN(RADIANS((0+(360-(0))*7/36)))</f>
        <v>76.115102283658572</v>
      </c>
    </row>
    <row r="11" spans="1:43" ht="25.5" x14ac:dyDescent="0.25">
      <c r="B11" s="14" t="s">
        <v>368</v>
      </c>
      <c r="C11" s="15">
        <v>0</v>
      </c>
      <c r="D11" s="16" t="s">
        <v>70</v>
      </c>
      <c r="U11" s="27"/>
      <c r="V11" s="27"/>
      <c r="W11" s="27"/>
      <c r="X11" s="27"/>
      <c r="Y11" s="27"/>
      <c r="AA11" s="11">
        <f>$C$14*COS((PI()/2+$AA$1+(PI()-2*$AA$1)*8/18))</f>
        <v>-29.678828411538134</v>
      </c>
      <c r="AB11" s="11">
        <f>$C$14*SIN((PI()/2+$AA$1+(PI()-2*$AA$1)*8/18))</f>
        <v>4.3780297073542851</v>
      </c>
      <c r="AC11" s="11">
        <f>0+($C$6+6)*COS(RADIANS((0+(360-(0))*8/36)))</f>
        <v>14.065502391021363</v>
      </c>
      <c r="AD11" s="11">
        <f>0+($C$6+6)*SIN(RADIANS((0+(360-(0))*8/36)))</f>
        <v>79.769427993988856</v>
      </c>
      <c r="AE11" s="11">
        <f>$C$7+($C$6+6)*COS(RADIANS((0+(360-(0))*8/36)))</f>
        <v>194.06550239102137</v>
      </c>
      <c r="AF11" s="11">
        <f>0+($C$6+6)*SIN(RADIANS((0+(360-(0))*8/36)))</f>
        <v>79.769427993988856</v>
      </c>
    </row>
    <row r="12" spans="1:43" x14ac:dyDescent="0.25">
      <c r="B12" s="28" t="s">
        <v>158</v>
      </c>
      <c r="C12" s="28"/>
      <c r="D12" s="28"/>
      <c r="E12" s="28"/>
      <c r="F12" s="28"/>
      <c r="G12" s="28"/>
      <c r="U12" s="27"/>
      <c r="V12" s="27"/>
      <c r="W12" s="27"/>
      <c r="X12" s="27"/>
      <c r="Y12" s="27"/>
      <c r="AA12" s="11">
        <f>$C$14*COS((PI()/2+$AA$1+(PI()-2*$AA$1)*9/18))</f>
        <v>-30</v>
      </c>
      <c r="AB12" s="11">
        <f>$C$14*SIN((PI()/2+$AA$1+(PI()-2*$AA$1)*9/18))</f>
        <v>3.67544536472586E-15</v>
      </c>
      <c r="AC12" s="11">
        <f>0+($C$6+6)*COS(RADIANS((0+(360-(0))*9/36)))</f>
        <v>4.961851242379911E-15</v>
      </c>
      <c r="AD12" s="11">
        <f>0+($C$6+6)*SIN(RADIANS((0+(360-(0))*9/36)))</f>
        <v>81</v>
      </c>
      <c r="AE12" s="11">
        <f>$C$7+($C$6+6)*COS(RADIANS((0+(360-(0))*9/36)))</f>
        <v>180</v>
      </c>
      <c r="AF12" s="11">
        <f>0+($C$6+6)*SIN(RADIANS((0+(360-(0))*9/36)))</f>
        <v>81</v>
      </c>
    </row>
    <row r="13" spans="1:43" ht="25.5" x14ac:dyDescent="0.25">
      <c r="B13" s="14" t="s">
        <v>369</v>
      </c>
      <c r="C13" s="20">
        <f>$C$5+$C$6</f>
        <v>105</v>
      </c>
      <c r="D13" s="16" t="s">
        <v>157</v>
      </c>
      <c r="U13" s="27"/>
      <c r="V13" s="27"/>
      <c r="W13" s="27"/>
      <c r="X13" s="27"/>
      <c r="Y13" s="27"/>
      <c r="AA13" s="11">
        <f>$C$14*COS((PI()/2+$AA$1+(PI()-2*$AA$1)*10/18))</f>
        <v>-29.678828411538138</v>
      </c>
      <c r="AB13" s="11">
        <f>$C$14*SIN((PI()/2+$AA$1+(PI()-2*$AA$1)*10/18))</f>
        <v>-4.378029707354278</v>
      </c>
      <c r="AC13" s="11">
        <f>0+($C$6+6)*COS(RADIANS((0+(360-(0))*10/36)))</f>
        <v>-14.065502391021354</v>
      </c>
      <c r="AD13" s="11">
        <f>0+($C$6+6)*SIN(RADIANS((0+(360-(0))*10/36)))</f>
        <v>79.769427993988856</v>
      </c>
      <c r="AE13" s="11">
        <f>$C$7+($C$6+6)*COS(RADIANS((0+(360-(0))*10/36)))</f>
        <v>165.93449760897863</v>
      </c>
      <c r="AF13" s="11">
        <f>0+($C$6+6)*SIN(RADIANS((0+(360-(0))*10/36)))</f>
        <v>79.769427993988856</v>
      </c>
    </row>
    <row r="14" spans="1:43" x14ac:dyDescent="0.25">
      <c r="B14" s="14" t="s">
        <v>370</v>
      </c>
      <c r="C14" s="20">
        <f>$C$5+($C$6-$C$5)*$C$11/100</f>
        <v>30</v>
      </c>
      <c r="D14" s="16" t="s">
        <v>157</v>
      </c>
      <c r="U14" s="27"/>
      <c r="V14" s="27"/>
      <c r="W14" s="27"/>
      <c r="X14" s="27"/>
      <c r="Y14" s="27"/>
      <c r="AA14" s="11">
        <f>$C$14*COS((PI()/2+$AA$1+(PI()-2*$AA$1)*11/18))</f>
        <v>-28.72219039210156</v>
      </c>
      <c r="AB14" s="11">
        <f>$C$14*SIN((PI()/2+$AA$1+(PI()-2*$AA$1)*11/18))</f>
        <v>-8.662319497678947</v>
      </c>
      <c r="AC14" s="11">
        <f>0+($C$6+6)*COS(RADIANS((0+(360-(0))*11/36)))</f>
        <v>-27.703631609379165</v>
      </c>
      <c r="AD14" s="11">
        <f>0+($C$6+6)*SIN(RADIANS((0+(360-(0))*11/36)))</f>
        <v>76.115102283658587</v>
      </c>
      <c r="AE14" s="11">
        <f>$C$7+($C$6+6)*COS(RADIANS((0+(360-(0))*11/36)))</f>
        <v>152.29636839062084</v>
      </c>
      <c r="AF14" s="11">
        <f>0+($C$6+6)*SIN(RADIANS((0+(360-(0))*11/36)))</f>
        <v>76.115102283658587</v>
      </c>
    </row>
    <row r="15" spans="1:43" x14ac:dyDescent="0.25">
      <c r="B15" s="14" t="s">
        <v>371</v>
      </c>
      <c r="C15" s="20">
        <f>$C$13-$C$14</f>
        <v>75</v>
      </c>
      <c r="D15" s="16" t="s">
        <v>157</v>
      </c>
      <c r="U15" s="27"/>
      <c r="V15" s="27"/>
      <c r="W15" s="27"/>
      <c r="X15" s="27"/>
      <c r="Y15" s="27"/>
      <c r="AA15" s="11">
        <f>$C$14*COS((PI()/2+$AA$1+(PI()-2*$AA$1)*12/18))</f>
        <v>-27.150568938509295</v>
      </c>
      <c r="AB15" s="11">
        <f>$C$14*SIN((PI()/2+$AA$1+(PI()-2*$AA$1)*12/18))</f>
        <v>-12.761136560481368</v>
      </c>
      <c r="AC15" s="11">
        <f>0+($C$6+6)*COS(RADIANS((0+(360-(0))*12/36)))</f>
        <v>-40.499999999999979</v>
      </c>
      <c r="AD15" s="11">
        <f>0+($C$6+6)*SIN(RADIANS((0+(360-(0))*12/36)))</f>
        <v>70.148057706539532</v>
      </c>
      <c r="AE15" s="11">
        <f>$C$7+($C$6+6)*COS(RADIANS((0+(360-(0))*12/36)))</f>
        <v>139.50000000000003</v>
      </c>
      <c r="AF15" s="11">
        <f>0+($C$6+6)*SIN(RADIANS((0+(360-(0))*12/36)))</f>
        <v>70.148057706539532</v>
      </c>
    </row>
    <row r="16" spans="1:43" x14ac:dyDescent="0.25">
      <c r="B16" s="14" t="s">
        <v>372</v>
      </c>
      <c r="C16" s="22">
        <f>$C$15/$C$14</f>
        <v>2.5</v>
      </c>
      <c r="D16" s="16"/>
      <c r="U16" s="27"/>
      <c r="V16" s="27"/>
      <c r="W16" s="27"/>
      <c r="X16" s="27"/>
      <c r="Y16" s="27"/>
      <c r="AA16" s="11">
        <f>$C$14*COS((PI()/2+$AA$1+(PI()-2*$AA$1)*13/18))</f>
        <v>-24.997614728008742</v>
      </c>
      <c r="AB16" s="11">
        <f>$C$14*SIN((PI()/2+$AA$1+(PI()-2*$AA$1)*13/18))</f>
        <v>-16.586719323303221</v>
      </c>
      <c r="AC16" s="11">
        <f>0+($C$6+6)*COS(RADIANS((0+(360-(0))*13/36)))</f>
        <v>-52.065796384609691</v>
      </c>
      <c r="AD16" s="11">
        <f>0+($C$6+6)*SIN(RADIANS((0+(360-(0))*13/36)))</f>
        <v>62.049599892637218</v>
      </c>
      <c r="AE16" s="11">
        <f>$C$7+($C$6+6)*COS(RADIANS((0+(360-(0))*13/36)))</f>
        <v>127.93420361539032</v>
      </c>
      <c r="AF16" s="11">
        <f>0+($C$6+6)*SIN(RADIANS((0+(360-(0))*13/36)))</f>
        <v>62.049599892637218</v>
      </c>
    </row>
    <row r="17" spans="2:32" x14ac:dyDescent="0.25">
      <c r="B17" s="14" t="s">
        <v>373</v>
      </c>
      <c r="C17" s="22">
        <f>($C$13-$C$5)/$C$5</f>
        <v>2.5</v>
      </c>
      <c r="D17" s="16"/>
      <c r="U17" s="27"/>
      <c r="V17" s="27"/>
      <c r="W17" s="27"/>
      <c r="X17" s="27"/>
      <c r="Y17" s="27"/>
      <c r="AA17" s="11">
        <f>$C$14*COS((PI()/2+$AA$1+(PI()-2*$AA$1)*14/18))</f>
        <v>-22.309425608844727</v>
      </c>
      <c r="AB17" s="11">
        <f>$C$14*SIN((PI()/2+$AA$1+(PI()-2*$AA$1)*14/18))</f>
        <v>-20.057156553295961</v>
      </c>
      <c r="AC17" s="11">
        <f>0+($C$6+6)*COS(RADIANS((0+(360-(0))*14/36)))</f>
        <v>-62.049599892637211</v>
      </c>
      <c r="AD17" s="11">
        <f>0+($C$6+6)*SIN(RADIANS((0+(360-(0))*14/36)))</f>
        <v>52.065796384609698</v>
      </c>
      <c r="AE17" s="11">
        <f>$C$7+($C$6+6)*COS(RADIANS((0+(360-(0))*14/36)))</f>
        <v>117.95040010736278</v>
      </c>
      <c r="AF17" s="11">
        <f>0+($C$6+6)*SIN(RADIANS((0+(360-(0))*14/36)))</f>
        <v>52.065796384609698</v>
      </c>
    </row>
    <row r="18" spans="2:32" x14ac:dyDescent="0.25">
      <c r="B18" s="14" t="s">
        <v>374</v>
      </c>
      <c r="C18" s="22">
        <f>$C$5/($C$13-$C$5)</f>
        <v>0.4</v>
      </c>
      <c r="D18" s="16"/>
      <c r="U18" s="27"/>
      <c r="V18" s="27"/>
      <c r="W18" s="27"/>
      <c r="X18" s="27"/>
      <c r="Y18" s="27"/>
      <c r="AA18" s="11">
        <f>$C$14*COS((PI()/2+$AA$1+(PI()-2*$AA$1)*15/18))</f>
        <v>-19.143559578983048</v>
      </c>
      <c r="AB18" s="11">
        <f>$C$14*SIN((PI()/2+$AA$1+(PI()-2*$AA$1)*15/18))</f>
        <v>-23.09814119460539</v>
      </c>
      <c r="AC18" s="11">
        <f>0+($C$6+6)*COS(RADIANS((0+(360-(0))*15/36)))</f>
        <v>-70.148057706539532</v>
      </c>
      <c r="AD18" s="11">
        <f>0+($C$6+6)*SIN(RADIANS((0+(360-(0))*15/36)))</f>
        <v>40.499999999999993</v>
      </c>
      <c r="AE18" s="11">
        <f>$C$7+($C$6+6)*COS(RADIANS((0+(360-(0))*15/36)))</f>
        <v>109.85194229346047</v>
      </c>
      <c r="AF18" s="11">
        <f>0+($C$6+6)*SIN(RADIANS((0+(360-(0))*15/36)))</f>
        <v>40.499999999999993</v>
      </c>
    </row>
    <row r="19" spans="2:32" x14ac:dyDescent="0.25">
      <c r="B19" s="14" t="s">
        <v>375</v>
      </c>
      <c r="C19" s="22">
        <f>$C$17/$C$18</f>
        <v>6.25</v>
      </c>
      <c r="D19" s="16"/>
      <c r="AA19" s="11">
        <f>$C$14*COS((PI()/2+$AA$1+(PI()-2*$AA$1)*16/18))</f>
        <v>-15.567802386534993</v>
      </c>
      <c r="AB19" s="11">
        <f>$C$14*SIN((PI()/2+$AA$1+(PI()-2*$AA$1)*16/18))</f>
        <v>-25.644561389382261</v>
      </c>
      <c r="AC19" s="11">
        <f>0+($C$6+6)*COS(RADIANS((0+(360-(0))*16/36)))</f>
        <v>-76.115102283658572</v>
      </c>
      <c r="AD19" s="11">
        <f>0+($C$6+6)*SIN(RADIANS((0+(360-(0))*16/36)))</f>
        <v>27.70363160937918</v>
      </c>
      <c r="AE19" s="11">
        <f>$C$7+($C$6+6)*COS(RADIANS((0+(360-(0))*16/36)))</f>
        <v>103.88489771634143</v>
      </c>
      <c r="AF19" s="11">
        <f>0+($C$6+6)*SIN(RADIANS((0+(360-(0))*16/36)))</f>
        <v>27.70363160937918</v>
      </c>
    </row>
    <row r="20" spans="2:32" x14ac:dyDescent="0.25">
      <c r="B20" s="14" t="s">
        <v>126</v>
      </c>
      <c r="C20" s="20">
        <f>0.377*$C$10*$C$9/($C$16*$C$8)</f>
        <v>16.450909090909089</v>
      </c>
      <c r="D20" s="16" t="s">
        <v>127</v>
      </c>
      <c r="AA20" s="11">
        <f>$C$14*COS((PI()/2+$AA$1+(PI()-2*$AA$1)*17/18))</f>
        <v>-11.658716139330659</v>
      </c>
      <c r="AB20" s="11">
        <f>$C$14*SIN((PI()/2+$AA$1+(PI()-2*$AA$1)*17/18))</f>
        <v>-27.641894616370106</v>
      </c>
      <c r="AC20" s="11">
        <f>0+($C$6+6)*COS(RADIANS((0+(360-(0))*17/36)))</f>
        <v>-79.769427993988856</v>
      </c>
      <c r="AD20" s="11">
        <f>0+($C$6+6)*SIN(RADIANS((0+(360-(0))*17/36)))</f>
        <v>14.065502391021353</v>
      </c>
      <c r="AE20" s="11">
        <f>$C$7+($C$6+6)*COS(RADIANS((0+(360-(0))*17/36)))</f>
        <v>100.23057200601114</v>
      </c>
      <c r="AF20" s="11">
        <f>0+($C$6+6)*SIN(RADIANS((0+(360-(0))*17/36)))</f>
        <v>14.065502391021353</v>
      </c>
    </row>
    <row r="21" spans="2:32" ht="32.1" customHeight="1" x14ac:dyDescent="0.25">
      <c r="B21" s="29" t="str">
        <f>IF($C$16&gt;1.02,"Desmultiplica: la polea primaria trabaja en su radio pequeño (arranque y subida).",IF($C$16&lt;0.98,"Sobremarcha: la primaria trabaja en su radio grande (crucero, bajo consumo).","Relación 1:1."))</f>
        <v>Desmultiplica: la polea primaria trabaja en su radio pequeño (arranque y subida).</v>
      </c>
      <c r="C21" s="29"/>
      <c r="D21" s="29"/>
      <c r="E21" s="29"/>
      <c r="F21" s="29"/>
      <c r="G21" s="29"/>
      <c r="AA21" s="11">
        <f>$C$14*COS((PI()/2+$AA$1+(PI()-2*$AA$1)*18/18))</f>
        <v>-7.5000000000000098</v>
      </c>
      <c r="AB21" s="11">
        <f>$C$14*SIN((PI()/2+$AA$1+(PI()-2*$AA$1)*18/18))</f>
        <v>-29.047375096555623</v>
      </c>
      <c r="AC21" s="11">
        <f>0+($C$6+6)*COS(RADIANS((0+(360-(0))*18/36)))</f>
        <v>-81</v>
      </c>
      <c r="AD21" s="11">
        <f>0+($C$6+6)*SIN(RADIANS((0+(360-(0))*18/36)))</f>
        <v>9.9237024847598221E-15</v>
      </c>
      <c r="AE21" s="11">
        <f>$C$7+($C$6+6)*COS(RADIANS((0+(360-(0))*18/36)))</f>
        <v>99</v>
      </c>
      <c r="AF21" s="11">
        <f>0+($C$6+6)*SIN(RADIANS((0+(360-(0))*18/36)))</f>
        <v>9.9237024847598221E-15</v>
      </c>
    </row>
    <row r="22" spans="2:32" x14ac:dyDescent="0.25">
      <c r="AA22" s="11">
        <f>$C$7+$C$15*COS((3*PI()/2-$AA$1+(PI()+2*$AA$1)*0/18))</f>
        <v>161.24999999999997</v>
      </c>
      <c r="AB22" s="11">
        <f>$C$15*SIN((3*PI()/2-$AA$1+(PI()+2*$AA$1)*0/18))</f>
        <v>-72.618437741389059</v>
      </c>
      <c r="AC22" s="11">
        <f>0+($C$6+6)*COS(RADIANS((0+(360-(0))*19/36)))</f>
        <v>-79.769427993988856</v>
      </c>
      <c r="AD22" s="11">
        <f>0+($C$6+6)*SIN(RADIANS((0+(360-(0))*19/36)))</f>
        <v>-14.065502391021369</v>
      </c>
      <c r="AE22" s="11">
        <f>$C$7+($C$6+6)*COS(RADIANS((0+(360-(0))*19/36)))</f>
        <v>100.23057200601114</v>
      </c>
      <c r="AF22" s="11">
        <f>0+($C$6+6)*SIN(RADIANS((0+(360-(0))*19/36)))</f>
        <v>-14.065502391021369</v>
      </c>
    </row>
    <row r="23" spans="2:32" x14ac:dyDescent="0.25">
      <c r="B23" s="28" t="s">
        <v>141</v>
      </c>
      <c r="C23" s="28"/>
      <c r="D23" s="28"/>
      <c r="E23" s="28"/>
      <c r="F23" s="28"/>
      <c r="G23" s="28"/>
      <c r="AA23" s="11">
        <f>$C$7+$C$15*COS((3*PI()/2-$AA$1+(PI()+2*$AA$1)*1/18))</f>
        <v>176.24618808629339</v>
      </c>
      <c r="AB23" s="11">
        <f>$C$15*SIN((3*PI()/2-$AA$1+(PI()+2*$AA$1)*1/18))</f>
        <v>-74.906000401279698</v>
      </c>
      <c r="AC23" s="11">
        <f>0+($C$6+6)*COS(RADIANS((0+(360-(0))*20/36)))</f>
        <v>-76.115102283658587</v>
      </c>
      <c r="AD23" s="11">
        <f>0+($C$6+6)*SIN(RADIANS((0+(360-(0))*20/36)))</f>
        <v>-27.703631609379162</v>
      </c>
      <c r="AE23" s="11">
        <f>$C$7+($C$6+6)*COS(RADIANS((0+(360-(0))*20/36)))</f>
        <v>103.88489771634141</v>
      </c>
      <c r="AF23" s="11">
        <f>0+($C$6+6)*SIN(RADIANS((0+(360-(0))*20/36)))</f>
        <v>-27.703631609379162</v>
      </c>
    </row>
    <row r="24" spans="2:32" ht="45.95" customHeight="1" x14ac:dyDescent="0.25">
      <c r="B24" s="30" t="s">
        <v>380</v>
      </c>
      <c r="C24" s="30"/>
      <c r="D24" s="30"/>
      <c r="E24" s="30"/>
      <c r="F24" s="30"/>
      <c r="G24" s="30"/>
      <c r="AA24" s="11">
        <f>$C$7+$C$15*COS((3*PI()/2-$AA$1+(PI()+2*$AA$1)*2/18))</f>
        <v>191.39594451790313</v>
      </c>
      <c r="AB24" s="11">
        <f>$C$15*SIN((3*PI()/2-$AA$1+(PI()+2*$AA$1)*2/18))</f>
        <v>-74.129160581682527</v>
      </c>
      <c r="AC24" s="11">
        <f>0+($C$6+6)*COS(RADIANS((0+(360-(0))*21/36)))</f>
        <v>-70.148057706539532</v>
      </c>
      <c r="AD24" s="11">
        <f>0+($C$6+6)*SIN(RADIANS((0+(360-(0))*21/36)))</f>
        <v>-40.500000000000007</v>
      </c>
      <c r="AE24" s="11">
        <f>$C$7+($C$6+6)*COS(RADIANS((0+(360-(0))*21/36)))</f>
        <v>109.85194229346047</v>
      </c>
      <c r="AF24" s="11">
        <f>0+($C$6+6)*SIN(RADIANS((0+(360-(0))*21/36)))</f>
        <v>-40.500000000000007</v>
      </c>
    </row>
    <row r="25" spans="2:32" ht="45.95" customHeight="1" x14ac:dyDescent="0.25">
      <c r="B25" s="30" t="s">
        <v>381</v>
      </c>
      <c r="C25" s="30"/>
      <c r="D25" s="30"/>
      <c r="E25" s="30"/>
      <c r="F25" s="30"/>
      <c r="G25" s="30"/>
      <c r="AA25" s="11">
        <f>$C$7+$C$15*COS((3*PI()/2-$AA$1+(PI()+2*$AA$1)*3/18))</f>
        <v>206.07949316309137</v>
      </c>
      <c r="AB25" s="11">
        <f>$C$15*SIN((3*PI()/2-$AA$1+(PI()+2*$AA$1)*3/18))</f>
        <v>-70.319698778907394</v>
      </c>
      <c r="AC25" s="11">
        <f>0+($C$6+6)*COS(RADIANS((0+(360-(0))*22/36)))</f>
        <v>-62.049599892637218</v>
      </c>
      <c r="AD25" s="11">
        <f>0+($C$6+6)*SIN(RADIANS((0+(360-(0))*22/36)))</f>
        <v>-52.065796384609676</v>
      </c>
      <c r="AE25" s="11">
        <f>$C$7+($C$6+6)*COS(RADIANS((0+(360-(0))*22/36)))</f>
        <v>117.95040010736278</v>
      </c>
      <c r="AF25" s="11">
        <f>0+($C$6+6)*SIN(RADIANS((0+(360-(0))*22/36)))</f>
        <v>-52.065796384609676</v>
      </c>
    </row>
    <row r="26" spans="2:32" ht="45.95" customHeight="1" x14ac:dyDescent="0.25">
      <c r="B26" s="30" t="s">
        <v>382</v>
      </c>
      <c r="C26" s="30"/>
      <c r="D26" s="30"/>
      <c r="E26" s="30"/>
      <c r="F26" s="30"/>
      <c r="G26" s="30"/>
      <c r="AA26" s="11">
        <f>$C$7+$C$15*COS((3*PI()/2-$AA$1+(PI()+2*$AA$1)*4/18))</f>
        <v>219.69613043823412</v>
      </c>
      <c r="AB26" s="11">
        <f>$C$15*SIN((3*PI()/2-$AA$1+(PI()+2*$AA$1)*4/18))</f>
        <v>-63.633459973748899</v>
      </c>
      <c r="AC26" s="11">
        <f>0+($C$6+6)*COS(RADIANS((0+(360-(0))*23/36)))</f>
        <v>-52.065796384609698</v>
      </c>
      <c r="AD26" s="11">
        <f>0+($C$6+6)*SIN(RADIANS((0+(360-(0))*23/36)))</f>
        <v>-62.049599892637211</v>
      </c>
      <c r="AE26" s="11">
        <f>$C$7+($C$6+6)*COS(RADIANS((0+(360-(0))*23/36)))</f>
        <v>127.9342036153903</v>
      </c>
      <c r="AF26" s="11">
        <f>0+($C$6+6)*SIN(RADIANS((0+(360-(0))*23/36)))</f>
        <v>-62.049599892637211</v>
      </c>
    </row>
    <row r="27" spans="2:32" ht="45.95" customHeight="1" x14ac:dyDescent="0.25">
      <c r="B27" s="30" t="s">
        <v>383</v>
      </c>
      <c r="C27" s="30"/>
      <c r="D27" s="30"/>
      <c r="E27" s="30"/>
      <c r="F27" s="30"/>
      <c r="G27" s="30"/>
      <c r="AA27" s="11">
        <f>$C$7+$C$15*COS((3*PI()/2-$AA$1+(PI()+2*$AA$1)*5/18))</f>
        <v>231.68880007541287</v>
      </c>
      <c r="AB27" s="11">
        <f>$C$15*SIN((3*PI()/2-$AA$1+(PI()+2*$AA$1)*5/18))</f>
        <v>-54.343978017476779</v>
      </c>
      <c r="AC27" s="11">
        <f>0+($C$6+6)*COS(RADIANS((0+(360-(0))*24/36)))</f>
        <v>-40.500000000000036</v>
      </c>
      <c r="AD27" s="11">
        <f>0+($C$6+6)*SIN(RADIANS((0+(360-(0))*24/36)))</f>
        <v>-70.148057706539504</v>
      </c>
      <c r="AE27" s="11">
        <f>$C$7+($C$6+6)*COS(RADIANS((0+(360-(0))*24/36)))</f>
        <v>139.49999999999997</v>
      </c>
      <c r="AF27" s="11">
        <f>0+($C$6+6)*SIN(RADIANS((0+(360-(0))*24/36)))</f>
        <v>-70.148057706539504</v>
      </c>
    </row>
    <row r="28" spans="2:32" x14ac:dyDescent="0.25">
      <c r="AA28" s="11">
        <f>$C$7+$C$15*COS((3*PI()/2-$AA$1+(PI()+2*$AA$1)*6/18))</f>
        <v>241.5668822794847</v>
      </c>
      <c r="AB28" s="11">
        <f>$C$15*SIN((3*PI()/2-$AA$1+(PI()+2*$AA$1)*6/18))</f>
        <v>-42.831285369272706</v>
      </c>
      <c r="AC28" s="11">
        <f>0+($C$6+6)*COS(RADIANS((0+(360-(0))*25/36)))</f>
        <v>-27.703631609379151</v>
      </c>
      <c r="AD28" s="11">
        <f>0+($C$6+6)*SIN(RADIANS((0+(360-(0))*25/36)))</f>
        <v>-76.115102283658587</v>
      </c>
      <c r="AE28" s="11">
        <f>$C$7+($C$6+6)*COS(RADIANS((0+(360-(0))*25/36)))</f>
        <v>152.29636839062084</v>
      </c>
      <c r="AF28" s="11">
        <f>0+($C$6+6)*SIN(RADIANS((0+(360-(0))*25/36)))</f>
        <v>-76.115102283658587</v>
      </c>
    </row>
    <row r="29" spans="2:32" x14ac:dyDescent="0.25">
      <c r="AA29" s="11">
        <f>$C$7+$C$15*COS((3*PI()/2-$AA$1+(PI()+2*$AA$1)*7/18))</f>
        <v>248.92626497082213</v>
      </c>
      <c r="AB29" s="11">
        <f>$C$15*SIN((3*PI()/2-$AA$1+(PI()+2*$AA$1)*7/18))</f>
        <v>-29.566365978456297</v>
      </c>
      <c r="AC29" s="11">
        <f>0+($C$6+6)*COS(RADIANS((0+(360-(0))*26/36)))</f>
        <v>-14.065502391021356</v>
      </c>
      <c r="AD29" s="11">
        <f>0+($C$6+6)*SIN(RADIANS((0+(360-(0))*26/36)))</f>
        <v>-79.769427993988856</v>
      </c>
      <c r="AE29" s="11">
        <f>$C$7+($C$6+6)*COS(RADIANS((0+(360-(0))*26/36)))</f>
        <v>165.93449760897863</v>
      </c>
      <c r="AF29" s="11">
        <f>0+($C$6+6)*SIN(RADIANS((0+(360-(0))*26/36)))</f>
        <v>-79.769427993988856</v>
      </c>
    </row>
    <row r="30" spans="2:32" x14ac:dyDescent="0.25">
      <c r="AA30" s="11">
        <f>$C$7+$C$15*COS((3*PI()/2-$AA$1+(PI()+2*$AA$1)*8/18))</f>
        <v>253.46587599971724</v>
      </c>
      <c r="AB30" s="11">
        <f>$C$15*SIN((3*PI()/2-$AA$1+(PI()+2*$AA$1)*8/18))</f>
        <v>-15.09188734367479</v>
      </c>
      <c r="AC30" s="11">
        <f>0+($C$6+6)*COS(RADIANS((0+(360-(0))*27/36)))</f>
        <v>-1.4885553727139733E-14</v>
      </c>
      <c r="AD30" s="11">
        <f>0+($C$6+6)*SIN(RADIANS((0+(360-(0))*27/36)))</f>
        <v>-81</v>
      </c>
      <c r="AE30" s="11">
        <f>$C$7+($C$6+6)*COS(RADIANS((0+(360-(0))*27/36)))</f>
        <v>179.99999999999997</v>
      </c>
      <c r="AF30" s="11">
        <f>0+($C$6+6)*SIN(RADIANS((0+(360-(0))*27/36)))</f>
        <v>-81</v>
      </c>
    </row>
    <row r="31" spans="2:32" x14ac:dyDescent="0.25">
      <c r="AA31" s="11">
        <f>$C$7+$C$15*COS((3*PI()/2-$AA$1+(PI()+2*$AA$1)*9/18))</f>
        <v>255</v>
      </c>
      <c r="AB31" s="11">
        <f>$C$15*SIN((3*PI()/2-$AA$1+(PI()+2*$AA$1)*9/18))</f>
        <v>-1.83772268236293E-14</v>
      </c>
      <c r="AC31" s="11">
        <f>0+($C$6+6)*COS(RADIANS((0+(360-(0))*28/36)))</f>
        <v>14.065502391021328</v>
      </c>
      <c r="AD31" s="11">
        <f>0+($C$6+6)*SIN(RADIANS((0+(360-(0))*28/36)))</f>
        <v>-79.769427993988856</v>
      </c>
      <c r="AE31" s="11">
        <f>$C$7+($C$6+6)*COS(RADIANS((0+(360-(0))*28/36)))</f>
        <v>194.06550239102134</v>
      </c>
      <c r="AF31" s="11">
        <f>0+($C$6+6)*SIN(RADIANS((0+(360-(0))*28/36)))</f>
        <v>-79.769427993988856</v>
      </c>
    </row>
    <row r="32" spans="2:32" x14ac:dyDescent="0.25">
      <c r="AA32" s="11">
        <f>$C$7+$C$15*COS((3*PI()/2-$AA$1+(PI()+2*$AA$1)*10/18))</f>
        <v>253.46587599971724</v>
      </c>
      <c r="AB32" s="11">
        <f>$C$15*SIN((3*PI()/2-$AA$1+(PI()+2*$AA$1)*10/18))</f>
        <v>15.09188734367469</v>
      </c>
      <c r="AC32" s="11">
        <f>0+($C$6+6)*COS(RADIANS((0+(360-(0))*29/36)))</f>
        <v>27.703631609379187</v>
      </c>
      <c r="AD32" s="11">
        <f>0+($C$6+6)*SIN(RADIANS((0+(360-(0))*29/36)))</f>
        <v>-76.115102283658572</v>
      </c>
      <c r="AE32" s="11">
        <f>$C$7+($C$6+6)*COS(RADIANS((0+(360-(0))*29/36)))</f>
        <v>207.70363160937919</v>
      </c>
      <c r="AF32" s="11">
        <f>0+($C$6+6)*SIN(RADIANS((0+(360-(0))*29/36)))</f>
        <v>-76.115102283658572</v>
      </c>
    </row>
    <row r="33" spans="27:32" x14ac:dyDescent="0.25">
      <c r="AA33" s="11">
        <f>$C$7+$C$15*COS((3*PI()/2-$AA$1+(PI()+2*$AA$1)*11/18))</f>
        <v>248.92626497082216</v>
      </c>
      <c r="AB33" s="11">
        <f>$C$15*SIN((3*PI()/2-$AA$1+(PI()+2*$AA$1)*11/18))</f>
        <v>29.566365978456265</v>
      </c>
      <c r="AC33" s="11">
        <f>0+($C$6+6)*COS(RADIANS((0+(360-(0))*30/36)))</f>
        <v>40.500000000000007</v>
      </c>
      <c r="AD33" s="11">
        <f>0+($C$6+6)*SIN(RADIANS((0+(360-(0))*30/36)))</f>
        <v>-70.148057706539532</v>
      </c>
      <c r="AE33" s="11">
        <f>$C$7+($C$6+6)*COS(RADIANS((0+(360-(0))*30/36)))</f>
        <v>220.5</v>
      </c>
      <c r="AF33" s="11">
        <f>0+($C$6+6)*SIN(RADIANS((0+(360-(0))*30/36)))</f>
        <v>-70.148057706539532</v>
      </c>
    </row>
    <row r="34" spans="27:32" x14ac:dyDescent="0.25">
      <c r="AA34" s="11">
        <f>$C$7+$C$15*COS((3*PI()/2-$AA$1+(PI()+2*$AA$1)*12/18))</f>
        <v>241.56688227948476</v>
      </c>
      <c r="AB34" s="11">
        <f>$C$15*SIN((3*PI()/2-$AA$1+(PI()+2*$AA$1)*12/18))</f>
        <v>42.831285369272621</v>
      </c>
      <c r="AC34" s="11">
        <f>0+($C$6+6)*COS(RADIANS((0+(360-(0))*31/36)))</f>
        <v>52.065796384609676</v>
      </c>
      <c r="AD34" s="11">
        <f>0+($C$6+6)*SIN(RADIANS((0+(360-(0))*31/36)))</f>
        <v>-62.049599892637225</v>
      </c>
      <c r="AE34" s="11">
        <f>$C$7+($C$6+6)*COS(RADIANS((0+(360-(0))*31/36)))</f>
        <v>232.06579638460968</v>
      </c>
      <c r="AF34" s="11">
        <f>0+($C$6+6)*SIN(RADIANS((0+(360-(0))*31/36)))</f>
        <v>-62.049599892637225</v>
      </c>
    </row>
    <row r="35" spans="27:32" x14ac:dyDescent="0.25">
      <c r="AA35" s="11">
        <f>$C$7+$C$15*COS((3*PI()/2-$AA$1+(PI()+2*$AA$1)*13/18))</f>
        <v>231.6888000754129</v>
      </c>
      <c r="AB35" s="11">
        <f>$C$15*SIN((3*PI()/2-$AA$1+(PI()+2*$AA$1)*13/18))</f>
        <v>54.343978017476744</v>
      </c>
      <c r="AC35" s="11">
        <f>0+($C$6+6)*COS(RADIANS((0+(360-(0))*32/36)))</f>
        <v>62.049599892637204</v>
      </c>
      <c r="AD35" s="11">
        <f>0+($C$6+6)*SIN(RADIANS((0+(360-(0))*32/36)))</f>
        <v>-52.065796384609705</v>
      </c>
      <c r="AE35" s="11">
        <f>$C$7+($C$6+6)*COS(RADIANS((0+(360-(0))*32/36)))</f>
        <v>242.04959989263722</v>
      </c>
      <c r="AF35" s="11">
        <f>0+($C$6+6)*SIN(RADIANS((0+(360-(0))*32/36)))</f>
        <v>-52.065796384609705</v>
      </c>
    </row>
    <row r="36" spans="27:32" x14ac:dyDescent="0.25">
      <c r="AA36" s="11">
        <f>$C$7+$C$15*COS((3*PI()/2-$AA$1+(PI()+2*$AA$1)*14/18))</f>
        <v>219.69613043823421</v>
      </c>
      <c r="AB36" s="11">
        <f>$C$15*SIN((3*PI()/2-$AA$1+(PI()+2*$AA$1)*14/18))</f>
        <v>63.633459973748835</v>
      </c>
      <c r="AC36" s="11">
        <f>0+($C$6+6)*COS(RADIANS((0+(360-(0))*33/36)))</f>
        <v>70.148057706539504</v>
      </c>
      <c r="AD36" s="11">
        <f>0+($C$6+6)*SIN(RADIANS((0+(360-(0))*33/36)))</f>
        <v>-40.500000000000036</v>
      </c>
      <c r="AE36" s="11">
        <f>$C$7+($C$6+6)*COS(RADIANS((0+(360-(0))*33/36)))</f>
        <v>250.1480577065395</v>
      </c>
      <c r="AF36" s="11">
        <f>0+($C$6+6)*SIN(RADIANS((0+(360-(0))*33/36)))</f>
        <v>-40.500000000000036</v>
      </c>
    </row>
    <row r="37" spans="27:32" x14ac:dyDescent="0.25">
      <c r="AA37" s="11">
        <f>$C$7+$C$15*COS((3*PI()/2-$AA$1+(PI()+2*$AA$1)*15/18))</f>
        <v>206.07949316309146</v>
      </c>
      <c r="AB37" s="11">
        <f>$C$15*SIN((3*PI()/2-$AA$1+(PI()+2*$AA$1)*15/18))</f>
        <v>70.319698778907366</v>
      </c>
      <c r="AC37" s="11">
        <f>0+($C$6+6)*COS(RADIANS((0+(360-(0))*34/36)))</f>
        <v>76.115102283658587</v>
      </c>
      <c r="AD37" s="11">
        <f>0+($C$6+6)*SIN(RADIANS((0+(360-(0))*34/36)))</f>
        <v>-27.703631609379158</v>
      </c>
      <c r="AE37" s="11">
        <f>$C$7+($C$6+6)*COS(RADIANS((0+(360-(0))*34/36)))</f>
        <v>256.11510228365859</v>
      </c>
      <c r="AF37" s="11">
        <f>0+($C$6+6)*SIN(RADIANS((0+(360-(0))*34/36)))</f>
        <v>-27.703631609379158</v>
      </c>
    </row>
    <row r="38" spans="27:32" x14ac:dyDescent="0.25">
      <c r="AA38" s="11">
        <f>$C$7+$C$15*COS((3*PI()/2-$AA$1+(PI()+2*$AA$1)*16/18))</f>
        <v>191.39594451790316</v>
      </c>
      <c r="AB38" s="11">
        <f>$C$15*SIN((3*PI()/2-$AA$1+(PI()+2*$AA$1)*16/18))</f>
        <v>74.129160581682513</v>
      </c>
      <c r="AC38" s="11">
        <f>0+($C$6+6)*COS(RADIANS((0+(360-(0))*35/36)))</f>
        <v>79.769427993988856</v>
      </c>
      <c r="AD38" s="11">
        <f>0+($C$6+6)*SIN(RADIANS((0+(360-(0))*35/36)))</f>
        <v>-14.065502391021361</v>
      </c>
      <c r="AE38" s="11">
        <f>$C$7+($C$6+6)*COS(RADIANS((0+(360-(0))*35/36)))</f>
        <v>259.76942799398887</v>
      </c>
      <c r="AF38" s="11">
        <f>0+($C$6+6)*SIN(RADIANS((0+(360-(0))*35/36)))</f>
        <v>-14.065502391021361</v>
      </c>
    </row>
    <row r="39" spans="27:32" x14ac:dyDescent="0.25">
      <c r="AA39" s="11">
        <f>$C$7+$C$15*COS((3*PI()/2-$AA$1+(PI()+2*$AA$1)*17/18))</f>
        <v>176.24618808629342</v>
      </c>
      <c r="AB39" s="11">
        <f>$C$15*SIN((3*PI()/2-$AA$1+(PI()+2*$AA$1)*17/18))</f>
        <v>74.906000401279698</v>
      </c>
      <c r="AC39" s="11">
        <f>0+($C$6+6)*COS(RADIANS((0+(360-(0))*36/36)))</f>
        <v>81</v>
      </c>
      <c r="AD39" s="11">
        <f>0+($C$6+6)*SIN(RADIANS((0+(360-(0))*36/36)))</f>
        <v>-1.9847404969519644E-14</v>
      </c>
      <c r="AE39" s="11">
        <f>$C$7+($C$6+6)*COS(RADIANS((0+(360-(0))*36/36)))</f>
        <v>261</v>
      </c>
      <c r="AF39" s="11">
        <f>0+($C$6+6)*SIN(RADIANS((0+(360-(0))*36/36)))</f>
        <v>-1.9847404969519644E-14</v>
      </c>
    </row>
    <row r="40" spans="27:32" x14ac:dyDescent="0.25">
      <c r="AA40" s="11">
        <f>$C$7+$C$15*COS((3*PI()/2-$AA$1+(PI()+2*$AA$1)*18/18))</f>
        <v>161.25000000000009</v>
      </c>
      <c r="AB40" s="11">
        <f>$C$15*SIN((3*PI()/2-$AA$1+(PI()+2*$AA$1)*18/18))</f>
        <v>72.618437741389087</v>
      </c>
    </row>
    <row r="41" spans="27:32" x14ac:dyDescent="0.25">
      <c r="AA41" s="11">
        <f>$C$14*COS((PI()/2+$AA$1+(PI()-2*$AA$1)*0/18))</f>
        <v>-7.4999999999999964</v>
      </c>
      <c r="AB41" s="11">
        <f>$C$14*SIN((PI()/2+$AA$1+(PI()-2*$AA$1)*0/18))</f>
        <v>29.047375096555626</v>
      </c>
    </row>
  </sheetData>
  <sheetProtection sheet="1" scenarios="1"/>
  <mergeCells count="11">
    <mergeCell ref="B23:G23"/>
    <mergeCell ref="B24:G24"/>
    <mergeCell ref="B25:G25"/>
    <mergeCell ref="B26:G26"/>
    <mergeCell ref="B27:G27"/>
    <mergeCell ref="A1:Y1"/>
    <mergeCell ref="A2:Y2"/>
    <mergeCell ref="B4:G4"/>
    <mergeCell ref="B12:G12"/>
    <mergeCell ref="B21:G21"/>
    <mergeCell ref="U10:Y18"/>
  </mergeCells>
  <dataValidations count="2">
    <dataValidation type="decimal" allowBlank="1" showInputMessage="1" showErrorMessage="1" errorTitle="Valor fuera de rango" error="Escriba un valor entre 1000 y 6000." promptTitle="Rango" prompt="De 1000 a 6000 min⁻¹" sqref="C10" xr:uid="{00000000-0002-0000-0700-000000000000}">
      <formula1>1000</formula1>
      <formula2>6000</formula2>
    </dataValidation>
    <dataValidation type="decimal" allowBlank="1" showInputMessage="1" showErrorMessage="1" errorTitle="Valor fuera de rango" error="Escriba un valor entre 0 y 100." promptTitle="Rango" prompt="De 0 a 100 %" sqref="C11" xr:uid="{00000000-0002-0000-0700-000001000000}">
      <formula1>0</formula1>
      <formula2>100</formula2>
    </dataValidation>
  </dataValidations>
  <hyperlinks>
    <hyperlink ref="B3" location="'Inicio'!A1" display="◄ Volver al inicio" xr:uid="{00000000-0004-0000-0700-000000000000}"/>
  </hyperlinks>
  <pageMargins left="0.4" right="0.4" top="0.5" bottom="0.5" header="0.3" footer="0.3"/>
  <pageSetup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CZ37"/>
  <sheetViews>
    <sheetView showGridLines="0" topLeftCell="A19" zoomScale="70" zoomScaleNormal="70" workbookViewId="0">
      <selection sqref="A1:Y1"/>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47" ht="30" customHeight="1" x14ac:dyDescent="0.25">
      <c r="A1" s="24" t="s">
        <v>384</v>
      </c>
      <c r="B1" s="24"/>
      <c r="C1" s="24"/>
      <c r="D1" s="24"/>
      <c r="E1" s="24"/>
      <c r="F1" s="24"/>
      <c r="G1" s="24"/>
      <c r="H1" s="24"/>
      <c r="I1" s="24"/>
      <c r="J1" s="24"/>
      <c r="K1" s="24"/>
      <c r="L1" s="24"/>
      <c r="M1" s="24"/>
      <c r="N1" s="24"/>
      <c r="O1" s="24"/>
      <c r="P1" s="24"/>
      <c r="Q1" s="24"/>
      <c r="R1" s="24"/>
      <c r="S1" s="24"/>
      <c r="T1" s="24"/>
      <c r="U1" s="24"/>
      <c r="V1" s="24"/>
      <c r="W1" s="24"/>
      <c r="X1" s="24"/>
      <c r="Y1" s="24"/>
      <c r="AA1" s="12" t="s">
        <v>56</v>
      </c>
    </row>
    <row r="2" spans="1:47" x14ac:dyDescent="0.25">
      <c r="A2" s="25" t="s">
        <v>385</v>
      </c>
      <c r="B2" s="25"/>
      <c r="C2" s="25"/>
      <c r="D2" s="25"/>
      <c r="E2" s="25"/>
      <c r="F2" s="25"/>
      <c r="G2" s="25"/>
      <c r="H2" s="25"/>
      <c r="I2" s="25"/>
      <c r="J2" s="25"/>
      <c r="K2" s="25"/>
      <c r="L2" s="25"/>
      <c r="M2" s="25"/>
      <c r="N2" s="25"/>
      <c r="O2" s="25"/>
      <c r="P2" s="25"/>
      <c r="Q2" s="25"/>
      <c r="R2" s="25"/>
      <c r="S2" s="25"/>
      <c r="T2" s="25"/>
      <c r="U2" s="25"/>
      <c r="V2" s="25"/>
      <c r="W2" s="25"/>
      <c r="X2" s="25"/>
      <c r="Y2" s="25"/>
      <c r="AK2" s="13" t="s">
        <v>395</v>
      </c>
      <c r="AL2" s="13" t="s">
        <v>396</v>
      </c>
      <c r="AM2" s="13" t="s">
        <v>397</v>
      </c>
      <c r="AN2" s="13" t="s">
        <v>398</v>
      </c>
      <c r="AO2" s="13" t="s">
        <v>399</v>
      </c>
      <c r="AP2" s="13" t="s">
        <v>400</v>
      </c>
      <c r="AQ2" s="13" t="s">
        <v>401</v>
      </c>
      <c r="AR2" s="13" t="s">
        <v>402</v>
      </c>
    </row>
    <row r="3" spans="1:47" x14ac:dyDescent="0.25">
      <c r="B3" s="8" t="s">
        <v>55</v>
      </c>
      <c r="AA3" s="11">
        <v>0</v>
      </c>
      <c r="AB3" s="11">
        <v>-12000</v>
      </c>
      <c r="AC3" s="11">
        <f>($C$6/($C$5+$C$6))</f>
        <v>0.72222222222222221</v>
      </c>
      <c r="AD3" s="11">
        <v>-12000</v>
      </c>
      <c r="AE3" s="11">
        <v>1</v>
      </c>
      <c r="AF3" s="11">
        <v>-12000</v>
      </c>
      <c r="AG3" s="11">
        <v>-0.05</v>
      </c>
      <c r="AH3" s="11">
        <v>0</v>
      </c>
      <c r="AI3" s="11">
        <v>0</v>
      </c>
      <c r="AJ3" s="11">
        <f>$C$14</f>
        <v>3300</v>
      </c>
      <c r="AK3" s="11">
        <f>0</f>
        <v>0</v>
      </c>
      <c r="AL3" s="11">
        <f>(1+$C$13)*0-$C$13*AK3</f>
        <v>0</v>
      </c>
      <c r="AM3" s="11">
        <f>(1+$C$13)*1000-$C$13*AK3</f>
        <v>3600</v>
      </c>
      <c r="AN3" s="11">
        <f>(1+$C$13)*2000-$C$13*AK3</f>
        <v>7200</v>
      </c>
      <c r="AO3" s="11">
        <f>(1+$C$13)*3000-$C$13*AK3</f>
        <v>10800</v>
      </c>
      <c r="AP3" s="11">
        <f>(1+$C$13)*4000-$C$13*AK3</f>
        <v>14400</v>
      </c>
      <c r="AQ3" s="11">
        <f>$C$11</f>
        <v>10000</v>
      </c>
      <c r="AR3" s="11">
        <f>-$C$11</f>
        <v>-10000</v>
      </c>
      <c r="AT3" s="11">
        <f>$C$10</f>
        <v>1500</v>
      </c>
      <c r="AU3" s="11">
        <f>$C$14</f>
        <v>3300</v>
      </c>
    </row>
    <row r="4" spans="1:47" x14ac:dyDescent="0.25">
      <c r="B4" s="28" t="s">
        <v>386</v>
      </c>
      <c r="C4" s="28"/>
      <c r="D4" s="28"/>
      <c r="E4" s="28"/>
      <c r="F4" s="28"/>
      <c r="G4" s="28"/>
      <c r="AA4" s="11">
        <v>0</v>
      </c>
      <c r="AB4" s="11">
        <v>12000</v>
      </c>
      <c r="AC4" s="11">
        <f>($C$6/($C$5+$C$6))</f>
        <v>0.72222222222222221</v>
      </c>
      <c r="AD4" s="11">
        <v>12000</v>
      </c>
      <c r="AE4" s="11">
        <v>1</v>
      </c>
      <c r="AF4" s="11">
        <v>12000</v>
      </c>
      <c r="AG4" s="11">
        <v>1.05</v>
      </c>
      <c r="AH4" s="11">
        <v>0</v>
      </c>
      <c r="AI4" s="11">
        <f>($C$6/($C$5+$C$6))</f>
        <v>0.72222222222222221</v>
      </c>
      <c r="AJ4" s="11">
        <f>$C$9</f>
        <v>2000</v>
      </c>
      <c r="AK4" s="11">
        <f>6000</f>
        <v>6000</v>
      </c>
      <c r="AL4" s="11">
        <f>(1+$C$13)*0-$C$13*AK4</f>
        <v>-15600</v>
      </c>
      <c r="AM4" s="11">
        <f>(1+$C$13)*1000-$C$13*AK4</f>
        <v>-12000</v>
      </c>
      <c r="AN4" s="11">
        <f>(1+$C$13)*2000-$C$13*AK4</f>
        <v>-8400</v>
      </c>
      <c r="AO4" s="11">
        <f>(1+$C$13)*3000-$C$13*AK4</f>
        <v>-4800</v>
      </c>
      <c r="AP4" s="11">
        <f>(1+$C$13)*4000-$C$13*AK4</f>
        <v>-1200</v>
      </c>
      <c r="AQ4" s="11">
        <f>$C$11</f>
        <v>10000</v>
      </c>
      <c r="AR4" s="11">
        <f>-$C$11</f>
        <v>-10000</v>
      </c>
    </row>
    <row r="5" spans="1:47" x14ac:dyDescent="0.25">
      <c r="B5" s="14" t="s">
        <v>387</v>
      </c>
      <c r="C5" s="15">
        <v>30</v>
      </c>
      <c r="D5" s="16"/>
      <c r="AI5" s="11">
        <v>1</v>
      </c>
      <c r="AJ5" s="11">
        <f>$C$10</f>
        <v>1500</v>
      </c>
    </row>
    <row r="6" spans="1:47" x14ac:dyDescent="0.25">
      <c r="B6" s="14" t="s">
        <v>388</v>
      </c>
      <c r="C6" s="15">
        <v>78</v>
      </c>
      <c r="D6" s="16"/>
    </row>
    <row r="7" spans="1:47" x14ac:dyDescent="0.25">
      <c r="B7" s="14" t="s">
        <v>389</v>
      </c>
      <c r="C7" s="17">
        <v>3.27</v>
      </c>
      <c r="D7" s="16"/>
    </row>
    <row r="8" spans="1:47" x14ac:dyDescent="0.25">
      <c r="B8" s="14" t="s">
        <v>241</v>
      </c>
      <c r="C8" s="17">
        <v>0.3</v>
      </c>
      <c r="D8" s="16" t="s">
        <v>61</v>
      </c>
    </row>
    <row r="9" spans="1:47" x14ac:dyDescent="0.25">
      <c r="B9" s="14" t="s">
        <v>390</v>
      </c>
      <c r="C9" s="15">
        <v>2000</v>
      </c>
      <c r="D9" s="16" t="s">
        <v>79</v>
      </c>
    </row>
    <row r="10" spans="1:47" x14ac:dyDescent="0.25">
      <c r="B10" s="14" t="s">
        <v>391</v>
      </c>
      <c r="C10" s="15">
        <v>1500</v>
      </c>
      <c r="D10" s="16" t="s">
        <v>79</v>
      </c>
    </row>
    <row r="11" spans="1:47" x14ac:dyDescent="0.25">
      <c r="B11" s="14" t="s">
        <v>392</v>
      </c>
      <c r="C11" s="15">
        <v>10000</v>
      </c>
      <c r="D11" s="16" t="s">
        <v>79</v>
      </c>
    </row>
    <row r="12" spans="1:47" x14ac:dyDescent="0.25">
      <c r="B12" s="28" t="s">
        <v>158</v>
      </c>
      <c r="C12" s="28"/>
      <c r="D12" s="28"/>
      <c r="E12" s="28"/>
      <c r="F12" s="28"/>
      <c r="G12" s="28"/>
    </row>
    <row r="13" spans="1:47" x14ac:dyDescent="0.25">
      <c r="B13" s="14" t="s">
        <v>393</v>
      </c>
      <c r="C13" s="22">
        <f>$C$6/$C$5</f>
        <v>2.6</v>
      </c>
      <c r="D13" s="16"/>
    </row>
    <row r="14" spans="1:47" ht="25.5" x14ac:dyDescent="0.25">
      <c r="B14" s="14" t="s">
        <v>394</v>
      </c>
      <c r="C14" s="21">
        <f>(1+$C$13)*$C$9-$C$13*$C$10</f>
        <v>3300</v>
      </c>
      <c r="D14" s="16" t="s">
        <v>79</v>
      </c>
    </row>
    <row r="15" spans="1:47" x14ac:dyDescent="0.25">
      <c r="B15" s="14" t="s">
        <v>126</v>
      </c>
      <c r="C15" s="20">
        <f>0.377*$C$10*$C$8/$C$7</f>
        <v>51.88073394495413</v>
      </c>
      <c r="D15" s="16" t="s">
        <v>127</v>
      </c>
    </row>
    <row r="16" spans="1:47" ht="26.1" customHeight="1" x14ac:dyDescent="0.25">
      <c r="B16" s="29" t="str">
        <f>IF($C$9=0,"Modo eléctrico (EV): el motor térmico está detenido; MG2 mueve el vehículo y MG1 gira al revés en vacío.",IF(ABS($C$14)&lt;150,"MG1 casi detenido: punto mecánico, toda la potencia pasa por el tren.",IF($C$14&gt;0,"MG1 gira en el mismo sentido que el motor y funciona como generador (carga la batería o alimenta a MG2).","MG1 gira al revés: la unidad de control lo usa como motor para controlar el régimen.")))</f>
        <v>MG1 gira en el mismo sentido que el motor y funciona como generador (carga la batería o alimenta a MG2).</v>
      </c>
      <c r="C16" s="29"/>
      <c r="D16" s="29"/>
      <c r="E16" s="29"/>
      <c r="F16" s="29"/>
      <c r="G16" s="29"/>
    </row>
    <row r="17" spans="2:23" ht="26.1" customHeight="1" x14ac:dyDescent="0.25">
      <c r="B17" s="29"/>
      <c r="C17" s="29"/>
      <c r="D17" s="29"/>
      <c r="E17" s="29"/>
      <c r="F17" s="29"/>
      <c r="G17" s="29"/>
    </row>
    <row r="18" spans="2:23" x14ac:dyDescent="0.25">
      <c r="B18" s="29" t="str">
        <f>IF(ABS($C$14)&gt;$C$11,"¡Atención! MG1 supera su régimen máximo: la unidad de control debe subir el régimen del motor térmico.","MG1 dentro de su régimen admisible.")</f>
        <v>MG1 dentro de su régimen admisible.</v>
      </c>
      <c r="C18" s="29"/>
      <c r="D18" s="29"/>
      <c r="E18" s="29"/>
      <c r="F18" s="29"/>
      <c r="G18" s="29"/>
    </row>
    <row r="28" spans="2:23" x14ac:dyDescent="0.25">
      <c r="J28" s="27" t="s">
        <v>403</v>
      </c>
      <c r="K28" s="27"/>
      <c r="L28" s="27"/>
      <c r="M28" s="27"/>
      <c r="N28" s="27"/>
      <c r="O28" s="27"/>
      <c r="P28" s="27"/>
      <c r="Q28" s="27"/>
      <c r="R28" s="27"/>
      <c r="S28" s="27"/>
      <c r="T28" s="27"/>
      <c r="U28" s="27"/>
      <c r="V28" s="27"/>
      <c r="W28" s="27"/>
    </row>
    <row r="29" spans="2:23" x14ac:dyDescent="0.25">
      <c r="J29" s="27"/>
      <c r="K29" s="27"/>
      <c r="L29" s="27"/>
      <c r="M29" s="27"/>
      <c r="N29" s="27"/>
      <c r="O29" s="27"/>
      <c r="P29" s="27"/>
      <c r="Q29" s="27"/>
      <c r="R29" s="27"/>
      <c r="S29" s="27"/>
      <c r="T29" s="27"/>
      <c r="U29" s="27"/>
      <c r="V29" s="27"/>
      <c r="W29" s="27"/>
    </row>
    <row r="30" spans="2:23" x14ac:dyDescent="0.25">
      <c r="J30" s="27"/>
      <c r="K30" s="27"/>
      <c r="L30" s="27"/>
      <c r="M30" s="27"/>
      <c r="N30" s="27"/>
      <c r="O30" s="27"/>
      <c r="P30" s="27"/>
      <c r="Q30" s="27"/>
      <c r="R30" s="27"/>
      <c r="S30" s="27"/>
      <c r="T30" s="27"/>
      <c r="U30" s="27"/>
      <c r="V30" s="27"/>
      <c r="W30" s="27"/>
    </row>
    <row r="31" spans="2:23" x14ac:dyDescent="0.25">
      <c r="J31" s="27"/>
      <c r="K31" s="27"/>
      <c r="L31" s="27"/>
      <c r="M31" s="27"/>
      <c r="N31" s="27"/>
      <c r="O31" s="27"/>
      <c r="P31" s="27"/>
      <c r="Q31" s="27"/>
      <c r="R31" s="27"/>
      <c r="S31" s="27"/>
      <c r="T31" s="27"/>
      <c r="U31" s="27"/>
      <c r="V31" s="27"/>
      <c r="W31" s="27"/>
    </row>
    <row r="33" spans="2:7" x14ac:dyDescent="0.25">
      <c r="B33" s="28" t="s">
        <v>141</v>
      </c>
      <c r="C33" s="28"/>
      <c r="D33" s="28"/>
      <c r="E33" s="28"/>
      <c r="F33" s="28"/>
      <c r="G33" s="28"/>
    </row>
    <row r="34" spans="2:7" ht="45.95" customHeight="1" x14ac:dyDescent="0.25">
      <c r="B34" s="30" t="s">
        <v>404</v>
      </c>
      <c r="C34" s="30"/>
      <c r="D34" s="30"/>
      <c r="E34" s="30"/>
      <c r="F34" s="30"/>
      <c r="G34" s="30"/>
    </row>
    <row r="35" spans="2:7" ht="45.95" customHeight="1" x14ac:dyDescent="0.25">
      <c r="B35" s="30" t="s">
        <v>405</v>
      </c>
      <c r="C35" s="30"/>
      <c r="D35" s="30"/>
      <c r="E35" s="30"/>
      <c r="F35" s="30"/>
      <c r="G35" s="30"/>
    </row>
    <row r="36" spans="2:7" ht="45.95" customHeight="1" x14ac:dyDescent="0.25">
      <c r="B36" s="30" t="s">
        <v>406</v>
      </c>
      <c r="C36" s="30"/>
      <c r="D36" s="30"/>
      <c r="E36" s="30"/>
      <c r="F36" s="30"/>
      <c r="G36" s="30"/>
    </row>
    <row r="37" spans="2:7" ht="45.95" customHeight="1" x14ac:dyDescent="0.25">
      <c r="B37" s="30" t="s">
        <v>407</v>
      </c>
      <c r="C37" s="30"/>
      <c r="D37" s="30"/>
      <c r="E37" s="30"/>
      <c r="F37" s="30"/>
      <c r="G37" s="30"/>
    </row>
  </sheetData>
  <sheetProtection sheet="1" scenarios="1"/>
  <mergeCells count="12">
    <mergeCell ref="B36:G36"/>
    <mergeCell ref="B37:G37"/>
    <mergeCell ref="B18:G18"/>
    <mergeCell ref="J28:W31"/>
    <mergeCell ref="B33:G33"/>
    <mergeCell ref="B34:G34"/>
    <mergeCell ref="B35:G35"/>
    <mergeCell ref="A1:Y1"/>
    <mergeCell ref="A2:Y2"/>
    <mergeCell ref="B4:G4"/>
    <mergeCell ref="B12:G12"/>
    <mergeCell ref="B16:G17"/>
  </mergeCells>
  <dataValidations count="2">
    <dataValidation type="decimal" allowBlank="1" showInputMessage="1" showErrorMessage="1" errorTitle="Valor fuera de rango" error="Escriba un valor entre 0 y 5000." promptTitle="Rango" prompt="De 0 a 5000 min⁻¹" sqref="C9" xr:uid="{00000000-0002-0000-0800-000000000000}">
      <formula1>0</formula1>
      <formula2>5000</formula2>
    </dataValidation>
    <dataValidation type="decimal" allowBlank="1" showInputMessage="1" showErrorMessage="1" errorTitle="Valor fuera de rango" error="Escriba un valor entre 0 y 6000." promptTitle="Rango" prompt="De 0 a 6000 min⁻¹" sqref="C10" xr:uid="{00000000-0002-0000-0800-000001000000}">
      <formula1>0</formula1>
      <formula2>6000</formula2>
    </dataValidation>
  </dataValidations>
  <hyperlinks>
    <hyperlink ref="B3" location="'Inicio'!A1" display="◄ Volver al inicio" xr:uid="{00000000-0004-0000-0800-000000000000}"/>
  </hyperlinks>
  <pageMargins left="0.4" right="0.4" top="0.5" bottom="0.5" header="0.3" footer="0.3"/>
  <pageSetup fitToHeight="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pageSetUpPr fitToPage="1"/>
  </sheetPr>
  <dimension ref="A1:CZ123"/>
  <sheetViews>
    <sheetView showGridLines="0" tabSelected="1" topLeftCell="A46" workbookViewId="0">
      <selection activeCell="G26" sqref="G26"/>
    </sheetView>
  </sheetViews>
  <sheetFormatPr baseColWidth="10" defaultColWidth="9.140625" defaultRowHeight="15" x14ac:dyDescent="0.25"/>
  <cols>
    <col min="1" max="1" width="2.7109375" customWidth="1"/>
    <col min="2" max="2" width="36.7109375" customWidth="1"/>
    <col min="3" max="3" width="12.7109375" customWidth="1"/>
    <col min="4" max="4" width="11.7109375" customWidth="1"/>
    <col min="5" max="7" width="9.7109375" customWidth="1"/>
    <col min="8" max="8" width="5.7109375" style="10" customWidth="1"/>
    <col min="9" max="9" width="2.7109375" customWidth="1"/>
    <col min="10" max="25" width="9.28515625" customWidth="1"/>
    <col min="26" max="26" width="3.7109375" customWidth="1"/>
    <col min="27" max="104" width="9.7109375" style="11" customWidth="1"/>
  </cols>
  <sheetData>
    <row r="1" spans="1:46" ht="30" customHeight="1" x14ac:dyDescent="0.25">
      <c r="A1" s="24" t="s">
        <v>408</v>
      </c>
      <c r="B1" s="24"/>
      <c r="C1" s="24"/>
      <c r="D1" s="24"/>
      <c r="E1" s="24"/>
      <c r="F1" s="24"/>
      <c r="G1" s="24"/>
      <c r="H1" s="24"/>
      <c r="I1" s="24"/>
      <c r="J1" s="24"/>
      <c r="K1" s="24"/>
      <c r="L1" s="24"/>
      <c r="M1" s="24"/>
      <c r="N1" s="24"/>
      <c r="O1" s="24"/>
      <c r="P1" s="24"/>
      <c r="Q1" s="24"/>
      <c r="R1" s="24"/>
      <c r="S1" s="24"/>
      <c r="T1" s="24"/>
      <c r="U1" s="24"/>
      <c r="V1" s="24"/>
      <c r="W1" s="24"/>
      <c r="X1" s="24"/>
      <c r="Y1" s="24"/>
      <c r="AA1" s="12" t="s">
        <v>56</v>
      </c>
    </row>
    <row r="2" spans="1:46" x14ac:dyDescent="0.25">
      <c r="A2" s="25" t="s">
        <v>409</v>
      </c>
      <c r="B2" s="25"/>
      <c r="C2" s="25"/>
      <c r="D2" s="25"/>
      <c r="E2" s="25"/>
      <c r="F2" s="25"/>
      <c r="G2" s="25"/>
      <c r="H2" s="25"/>
      <c r="I2" s="25"/>
      <c r="J2" s="25"/>
      <c r="K2" s="25"/>
      <c r="L2" s="25"/>
      <c r="M2" s="25"/>
      <c r="N2" s="25"/>
      <c r="O2" s="25"/>
      <c r="P2" s="25"/>
      <c r="Q2" s="25"/>
      <c r="R2" s="25"/>
      <c r="S2" s="25"/>
      <c r="T2" s="25"/>
      <c r="U2" s="25"/>
      <c r="V2" s="25"/>
      <c r="W2" s="25"/>
      <c r="X2" s="25"/>
      <c r="Y2" s="25"/>
      <c r="AA2" s="13" t="s">
        <v>448</v>
      </c>
      <c r="AB2" s="13" t="s">
        <v>449</v>
      </c>
      <c r="AC2" s="13" t="s">
        <v>450</v>
      </c>
      <c r="AE2" s="13" t="s">
        <v>101</v>
      </c>
      <c r="AF2" s="13" t="s">
        <v>301</v>
      </c>
      <c r="AG2" s="13" t="s">
        <v>430</v>
      </c>
    </row>
    <row r="3" spans="1:46" x14ac:dyDescent="0.25">
      <c r="B3" s="8" t="s">
        <v>55</v>
      </c>
      <c r="AA3" s="11">
        <f>0</f>
        <v>0</v>
      </c>
      <c r="AB3" s="11">
        <f t="shared" ref="AB3:AB34" si="0">0.0015*$C$6*SIN(2*PI()*$C$11*AA3/1000)</f>
        <v>0</v>
      </c>
      <c r="AC3" s="11">
        <f t="shared" ref="AC3:AC34" si="1">0.0015*$C$7*SIN(2*PI()*$C$12*AA3/1000)</f>
        <v>0</v>
      </c>
      <c r="AE3" s="11">
        <f>-40</f>
        <v>-40</v>
      </c>
      <c r="AF3" s="11">
        <f t="shared" ref="AF3:AF22" si="2">$C$20*EXP($C$21*(1/(AE3+273.15)-1/298.15))</f>
        <v>57939.040127028129</v>
      </c>
      <c r="AG3" s="11">
        <f t="shared" ref="AG3:AG22" si="3">$C$23*AF3/(AF3+$C$22)</f>
        <v>4.8170905292674213</v>
      </c>
      <c r="AI3" s="11">
        <f>$C$24</f>
        <v>80</v>
      </c>
      <c r="AJ3" s="11">
        <f>$C$27</f>
        <v>0.60883594942319785</v>
      </c>
      <c r="AK3" s="11">
        <f>$C$28</f>
        <v>80</v>
      </c>
      <c r="AL3" s="11">
        <f>$C$27</f>
        <v>0.60883594942319785</v>
      </c>
      <c r="AM3" s="11">
        <v>-40</v>
      </c>
      <c r="AN3" s="11">
        <v>4.9000000000000004</v>
      </c>
      <c r="AO3" s="11">
        <v>-40</v>
      </c>
      <c r="AP3" s="11">
        <v>0.1</v>
      </c>
      <c r="AQ3" s="11">
        <f>(1000/$C$39)*0</f>
        <v>0</v>
      </c>
      <c r="AR3" s="11">
        <v>0</v>
      </c>
      <c r="AS3" s="11">
        <v>0</v>
      </c>
      <c r="AT3" s="11">
        <f>$C$37*$C$38/100</f>
        <v>5.4</v>
      </c>
    </row>
    <row r="4" spans="1:46" x14ac:dyDescent="0.25">
      <c r="B4" s="28" t="s">
        <v>410</v>
      </c>
      <c r="C4" s="28"/>
      <c r="D4" s="28"/>
      <c r="E4" s="28"/>
      <c r="F4" s="28"/>
      <c r="G4" s="28"/>
      <c r="AA4" s="11">
        <f>0.05</f>
        <v>0.05</v>
      </c>
      <c r="AB4" s="11">
        <f t="shared" si="0"/>
        <v>1.7343132267661752</v>
      </c>
      <c r="AC4" s="11">
        <f t="shared" si="1"/>
        <v>0.69528823734363165</v>
      </c>
      <c r="AE4" s="11">
        <f>-30</f>
        <v>-30</v>
      </c>
      <c r="AF4" s="11">
        <f t="shared" si="2"/>
        <v>30703.096867090757</v>
      </c>
      <c r="AG4" s="11">
        <f t="shared" si="3"/>
        <v>4.6656849644143348</v>
      </c>
      <c r="AM4" s="11">
        <v>150</v>
      </c>
      <c r="AN4" s="11">
        <v>4.9000000000000004</v>
      </c>
      <c r="AO4" s="11">
        <v>150</v>
      </c>
      <c r="AP4" s="11">
        <v>0.1</v>
      </c>
      <c r="AQ4" s="11">
        <f>(1000/$C$39)*0</f>
        <v>0</v>
      </c>
      <c r="AR4" s="11">
        <f>$C$37</f>
        <v>13.5</v>
      </c>
      <c r="AS4" s="11">
        <f>(1000/$C$39)*3</f>
        <v>10</v>
      </c>
      <c r="AT4" s="11">
        <f>$C$37*$C$38/100</f>
        <v>5.4</v>
      </c>
    </row>
    <row r="5" spans="1:46" x14ac:dyDescent="0.25">
      <c r="B5" s="14" t="s">
        <v>411</v>
      </c>
      <c r="C5" s="15">
        <v>40</v>
      </c>
      <c r="D5" s="16"/>
      <c r="AA5" s="11">
        <f>0.1</f>
        <v>0.1</v>
      </c>
      <c r="AB5" s="11">
        <f t="shared" si="0"/>
        <v>3.0395805318072542</v>
      </c>
      <c r="AC5" s="11">
        <f t="shared" si="1"/>
        <v>1.3225168176580646</v>
      </c>
      <c r="AE5" s="11">
        <f>-20</f>
        <v>-20</v>
      </c>
      <c r="AF5" s="11">
        <f t="shared" si="2"/>
        <v>17107.307522600422</v>
      </c>
      <c r="AG5" s="11">
        <f t="shared" si="3"/>
        <v>4.430267530202034</v>
      </c>
      <c r="AQ5" s="11">
        <f>(1000/$C$39)*(0+$C$38/100)</f>
        <v>1.3333333333333335</v>
      </c>
      <c r="AR5" s="11">
        <f>$C$37</f>
        <v>13.5</v>
      </c>
    </row>
    <row r="6" spans="1:46" x14ac:dyDescent="0.25">
      <c r="B6" s="14" t="s">
        <v>412</v>
      </c>
      <c r="C6" s="15">
        <v>2400</v>
      </c>
      <c r="D6" s="16" t="s">
        <v>79</v>
      </c>
      <c r="T6" s="27" t="s">
        <v>451</v>
      </c>
      <c r="U6" s="27"/>
      <c r="V6" s="27"/>
      <c r="W6" s="27"/>
      <c r="X6" s="27"/>
      <c r="Y6" s="27"/>
      <c r="AA6" s="11">
        <f>0.15</f>
        <v>0.15</v>
      </c>
      <c r="AB6" s="11">
        <f t="shared" si="0"/>
        <v>3.5928962223417775</v>
      </c>
      <c r="AC6" s="11">
        <f t="shared" si="1"/>
        <v>1.8202882373436315</v>
      </c>
      <c r="AE6" s="11">
        <f>-10</f>
        <v>-10</v>
      </c>
      <c r="AF6" s="11">
        <f t="shared" si="2"/>
        <v>9965.1940638636006</v>
      </c>
      <c r="AG6" s="11">
        <f t="shared" si="3"/>
        <v>4.0957809680426536</v>
      </c>
      <c r="AQ6" s="11">
        <f>(1000/$C$39)*(0+$C$38/100)</f>
        <v>1.3333333333333335</v>
      </c>
      <c r="AR6" s="11">
        <v>0</v>
      </c>
    </row>
    <row r="7" spans="1:46" x14ac:dyDescent="0.25">
      <c r="B7" s="14" t="s">
        <v>413</v>
      </c>
      <c r="C7" s="15">
        <v>1500</v>
      </c>
      <c r="D7" s="16" t="s">
        <v>79</v>
      </c>
      <c r="T7" s="27"/>
      <c r="U7" s="27"/>
      <c r="V7" s="27"/>
      <c r="W7" s="27"/>
      <c r="X7" s="27"/>
      <c r="Y7" s="27"/>
      <c r="AA7" s="11">
        <f>0.2</f>
        <v>0.2</v>
      </c>
      <c r="AB7" s="11">
        <f t="shared" si="0"/>
        <v>3.25737738887767</v>
      </c>
      <c r="AC7" s="11">
        <f t="shared" si="1"/>
        <v>2.1398771616640953</v>
      </c>
      <c r="AE7" s="11">
        <f>0</f>
        <v>0</v>
      </c>
      <c r="AF7" s="11">
        <f t="shared" si="2"/>
        <v>6039.1282957218491</v>
      </c>
      <c r="AG7" s="11">
        <f t="shared" si="3"/>
        <v>3.6649073050954031</v>
      </c>
      <c r="AQ7" s="11">
        <f>(1000/$C$39)*1</f>
        <v>3.3333333333333335</v>
      </c>
      <c r="AR7" s="11">
        <v>0</v>
      </c>
    </row>
    <row r="8" spans="1:46" x14ac:dyDescent="0.25">
      <c r="B8" s="14" t="s">
        <v>414</v>
      </c>
      <c r="C8" s="17">
        <v>1.5</v>
      </c>
      <c r="D8" s="16"/>
      <c r="T8" s="27"/>
      <c r="U8" s="27"/>
      <c r="V8" s="27"/>
      <c r="W8" s="27"/>
      <c r="X8" s="27"/>
      <c r="Y8" s="27"/>
      <c r="AA8" s="11">
        <f>0.25</f>
        <v>0.25</v>
      </c>
      <c r="AB8" s="11">
        <f t="shared" si="0"/>
        <v>2.1160269082529037</v>
      </c>
      <c r="AC8" s="11">
        <f t="shared" si="1"/>
        <v>2.25</v>
      </c>
      <c r="AE8" s="11">
        <f>10</f>
        <v>10</v>
      </c>
      <c r="AF8" s="11">
        <f t="shared" si="2"/>
        <v>3791.6343200122387</v>
      </c>
      <c r="AG8" s="11">
        <f t="shared" si="3"/>
        <v>3.1641069176635712</v>
      </c>
      <c r="AQ8" s="11">
        <f>(1000/$C$39)*1</f>
        <v>3.3333333333333335</v>
      </c>
      <c r="AR8" s="11">
        <f>$C$37</f>
        <v>13.5</v>
      </c>
    </row>
    <row r="9" spans="1:46" x14ac:dyDescent="0.25">
      <c r="B9" s="14" t="s">
        <v>415</v>
      </c>
      <c r="C9" s="15">
        <v>2000</v>
      </c>
      <c r="D9" s="16" t="s">
        <v>79</v>
      </c>
      <c r="T9" s="27"/>
      <c r="U9" s="27"/>
      <c r="V9" s="27"/>
      <c r="W9" s="27"/>
      <c r="X9" s="27"/>
      <c r="Y9" s="27"/>
      <c r="AA9" s="11">
        <f>0.3</f>
        <v>0.3</v>
      </c>
      <c r="AB9" s="11">
        <f t="shared" si="0"/>
        <v>0.45119964083149472</v>
      </c>
      <c r="AC9" s="11">
        <f t="shared" si="1"/>
        <v>2.1398771616640957</v>
      </c>
      <c r="AE9" s="11">
        <f>20</f>
        <v>20</v>
      </c>
      <c r="AF9" s="11">
        <f t="shared" si="2"/>
        <v>2457.3672174304229</v>
      </c>
      <c r="AG9" s="11">
        <f t="shared" si="3"/>
        <v>2.6381505931437044</v>
      </c>
      <c r="AQ9" s="11">
        <f>(1000/$C$39)*(1+$C$38/100)</f>
        <v>4.666666666666667</v>
      </c>
      <c r="AR9" s="11">
        <f>$C$37</f>
        <v>13.5</v>
      </c>
    </row>
    <row r="10" spans="1:46" ht="25.5" x14ac:dyDescent="0.25">
      <c r="B10" s="14" t="s">
        <v>416</v>
      </c>
      <c r="C10" s="15">
        <v>1850</v>
      </c>
      <c r="D10" s="16" t="s">
        <v>79</v>
      </c>
      <c r="T10" s="27"/>
      <c r="U10" s="27"/>
      <c r="V10" s="27"/>
      <c r="W10" s="27"/>
      <c r="X10" s="27"/>
      <c r="Y10" s="27"/>
      <c r="AA10" s="11">
        <f>0.35</f>
        <v>0.35</v>
      </c>
      <c r="AB10" s="11">
        <f t="shared" si="0"/>
        <v>-1.3252483896648406</v>
      </c>
      <c r="AC10" s="11">
        <f t="shared" si="1"/>
        <v>1.8202882373436318</v>
      </c>
      <c r="AE10" s="11">
        <f>30</f>
        <v>30</v>
      </c>
      <c r="AF10" s="11">
        <f t="shared" si="2"/>
        <v>1638.8540843481185</v>
      </c>
      <c r="AG10" s="11">
        <f t="shared" si="3"/>
        <v>2.1345615753280378</v>
      </c>
      <c r="AQ10" s="11">
        <f>(1000/$C$39)*(1+$C$38/100)</f>
        <v>4.666666666666667</v>
      </c>
      <c r="AR10" s="11">
        <v>0</v>
      </c>
    </row>
    <row r="11" spans="1:46" ht="25.5" x14ac:dyDescent="0.25">
      <c r="B11" s="14" t="s">
        <v>417</v>
      </c>
      <c r="C11" s="21">
        <f>$C$5*$C$6/60</f>
        <v>1600</v>
      </c>
      <c r="D11" s="16" t="s">
        <v>418</v>
      </c>
      <c r="T11" s="27"/>
      <c r="U11" s="27"/>
      <c r="V11" s="27"/>
      <c r="W11" s="27"/>
      <c r="X11" s="27"/>
      <c r="Y11" s="27"/>
      <c r="AA11" s="11">
        <f>0.4</f>
        <v>0.4</v>
      </c>
      <c r="AB11" s="11">
        <f t="shared" si="0"/>
        <v>-2.7738476739928419</v>
      </c>
      <c r="AC11" s="11">
        <f t="shared" si="1"/>
        <v>1.3225168176580648</v>
      </c>
      <c r="AE11" s="11">
        <f>40</f>
        <v>40</v>
      </c>
      <c r="AF11" s="11">
        <f t="shared" si="2"/>
        <v>1121.6223369846309</v>
      </c>
      <c r="AG11" s="11">
        <f t="shared" si="3"/>
        <v>1.6883652372154381</v>
      </c>
      <c r="AQ11" s="11">
        <f>(1000/$C$39)*2</f>
        <v>6.666666666666667</v>
      </c>
      <c r="AR11" s="11">
        <v>0</v>
      </c>
    </row>
    <row r="12" spans="1:46" x14ac:dyDescent="0.25">
      <c r="B12" s="14" t="s">
        <v>419</v>
      </c>
      <c r="C12" s="21">
        <f>$C$5*$C$7/60</f>
        <v>1000</v>
      </c>
      <c r="D12" s="16" t="s">
        <v>418</v>
      </c>
      <c r="T12" s="27"/>
      <c r="U12" s="27"/>
      <c r="V12" s="27"/>
      <c r="W12" s="27"/>
      <c r="X12" s="27"/>
      <c r="Y12" s="27"/>
      <c r="AA12" s="11">
        <f>0.45</f>
        <v>0.45</v>
      </c>
      <c r="AB12" s="11">
        <f t="shared" si="0"/>
        <v>-3.5362341026232795</v>
      </c>
      <c r="AC12" s="11">
        <f t="shared" si="1"/>
        <v>0.69528823734363188</v>
      </c>
      <c r="AE12" s="11">
        <f>50</f>
        <v>50</v>
      </c>
      <c r="AF12" s="11">
        <f t="shared" si="2"/>
        <v>785.86152443888989</v>
      </c>
      <c r="AG12" s="11">
        <f t="shared" si="3"/>
        <v>1.3159711493763444</v>
      </c>
      <c r="AQ12" s="11">
        <f>(1000/$C$39)*2</f>
        <v>6.666666666666667</v>
      </c>
      <c r="AR12" s="11">
        <f>$C$37</f>
        <v>13.5</v>
      </c>
    </row>
    <row r="13" spans="1:46" x14ac:dyDescent="0.25">
      <c r="B13" s="14" t="s">
        <v>420</v>
      </c>
      <c r="C13" s="22">
        <f>IF($C$7&gt;0,$C$6/$C$7,0)</f>
        <v>1.6</v>
      </c>
      <c r="D13" s="16"/>
      <c r="T13" s="27"/>
      <c r="U13" s="27"/>
      <c r="V13" s="27"/>
      <c r="W13" s="27"/>
      <c r="X13" s="27"/>
      <c r="Y13" s="27"/>
      <c r="AA13" s="11">
        <f>0.5</f>
        <v>0.5</v>
      </c>
      <c r="AB13" s="11">
        <f t="shared" si="0"/>
        <v>-3.4238034586625532</v>
      </c>
      <c r="AC13" s="11">
        <f t="shared" si="1"/>
        <v>2.756584023544395E-16</v>
      </c>
      <c r="AE13" s="11">
        <f>60</f>
        <v>60</v>
      </c>
      <c r="AF13" s="11">
        <f t="shared" si="2"/>
        <v>562.49742904980894</v>
      </c>
      <c r="AG13" s="11">
        <f t="shared" si="3"/>
        <v>1.0180958417095904</v>
      </c>
      <c r="AQ13" s="11">
        <f>(1000/$C$39)*(2+$C$38/100)</f>
        <v>8</v>
      </c>
      <c r="AR13" s="11">
        <f>$C$37</f>
        <v>13.5</v>
      </c>
    </row>
    <row r="14" spans="1:46" x14ac:dyDescent="0.25">
      <c r="B14" s="14" t="s">
        <v>421</v>
      </c>
      <c r="C14" s="20">
        <f>IF($C$13&gt;0,($C$13/$C$8-1)*100,0)</f>
        <v>6.6666666666666652</v>
      </c>
      <c r="D14" s="16" t="s">
        <v>70</v>
      </c>
      <c r="T14" s="27"/>
      <c r="U14" s="27"/>
      <c r="V14" s="27"/>
      <c r="W14" s="27"/>
      <c r="X14" s="27"/>
      <c r="Y14" s="27"/>
      <c r="AA14" s="11">
        <f>0.55</f>
        <v>0.55000000000000004</v>
      </c>
      <c r="AB14" s="11">
        <f t="shared" si="0"/>
        <v>-2.464369581343278</v>
      </c>
      <c r="AC14" s="11">
        <f t="shared" si="1"/>
        <v>-0.69528823734363143</v>
      </c>
      <c r="AE14" s="11">
        <f>70</f>
        <v>70</v>
      </c>
      <c r="AF14" s="11">
        <f t="shared" si="2"/>
        <v>410.54362618134627</v>
      </c>
      <c r="AG14" s="11">
        <f t="shared" si="3"/>
        <v>0.78631826349112144</v>
      </c>
      <c r="AQ14" s="11">
        <f>(1000/$C$39)*(2+$C$38/100)</f>
        <v>8</v>
      </c>
      <c r="AR14" s="11">
        <v>0</v>
      </c>
    </row>
    <row r="15" spans="1:46" x14ac:dyDescent="0.25">
      <c r="B15" s="14" t="s">
        <v>422</v>
      </c>
      <c r="C15" s="21">
        <f>$C$9-$C$10</f>
        <v>150</v>
      </c>
      <c r="D15" s="16" t="s">
        <v>79</v>
      </c>
      <c r="T15" s="27"/>
      <c r="U15" s="27"/>
      <c r="V15" s="27"/>
      <c r="W15" s="27"/>
      <c r="X15" s="27"/>
      <c r="Y15" s="27"/>
      <c r="AA15" s="11">
        <f>0.6</f>
        <v>0.6</v>
      </c>
      <c r="AB15" s="11">
        <f t="shared" si="0"/>
        <v>-0.89528359379347622</v>
      </c>
      <c r="AC15" s="11">
        <f t="shared" si="1"/>
        <v>-1.3225168176580635</v>
      </c>
      <c r="AE15" s="11">
        <f>80</f>
        <v>80</v>
      </c>
      <c r="AF15" s="11">
        <f t="shared" si="2"/>
        <v>305.03052796560695</v>
      </c>
      <c r="AG15" s="11">
        <f t="shared" si="3"/>
        <v>0.60883594942319785</v>
      </c>
      <c r="AQ15" s="11">
        <f>(1000/$C$39)*3</f>
        <v>10</v>
      </c>
      <c r="AR15" s="11">
        <v>0</v>
      </c>
    </row>
    <row r="16" spans="1:46" ht="26.1" customHeight="1" x14ac:dyDescent="0.25">
      <c r="B16" s="29" t="str">
        <f>IF(ABS($C$14)&gt;5,"Relación incorrecta: los embragues o frenos de la marcha patinan (P0730).","Relación correcta para la marcha engranada.")&amp;IF(($C$9-$C$10)&gt;100," El embrague de bloqueo patina (P0741).","")</f>
        <v>Relación incorrecta: los embragues o frenos de la marcha patinan (P0730). El embrague de bloqueo patina (P0741).</v>
      </c>
      <c r="C16" s="29"/>
      <c r="D16" s="29"/>
      <c r="E16" s="29"/>
      <c r="F16" s="29"/>
      <c r="G16" s="29"/>
      <c r="T16" s="27"/>
      <c r="U16" s="27"/>
      <c r="V16" s="27"/>
      <c r="W16" s="27"/>
      <c r="X16" s="27"/>
      <c r="Y16" s="27"/>
      <c r="AA16" s="11">
        <f>0.65</f>
        <v>0.65</v>
      </c>
      <c r="AB16" s="11">
        <f t="shared" si="0"/>
        <v>0.89528359379347755</v>
      </c>
      <c r="AC16" s="11">
        <f t="shared" si="1"/>
        <v>-1.8202882373436315</v>
      </c>
      <c r="AE16" s="11">
        <f>90</f>
        <v>90</v>
      </c>
      <c r="AF16" s="11">
        <f t="shared" si="2"/>
        <v>230.37358609923371</v>
      </c>
      <c r="AG16" s="11">
        <f t="shared" si="3"/>
        <v>0.47394686030345007</v>
      </c>
    </row>
    <row r="17" spans="2:33" ht="26.1" customHeight="1" x14ac:dyDescent="0.25">
      <c r="B17" s="29"/>
      <c r="C17" s="29"/>
      <c r="D17" s="29"/>
      <c r="E17" s="29"/>
      <c r="F17" s="29"/>
      <c r="G17" s="29"/>
      <c r="AA17" s="11">
        <f>0.7</f>
        <v>0.7</v>
      </c>
      <c r="AB17" s="11">
        <f t="shared" si="0"/>
        <v>2.4643695813432789</v>
      </c>
      <c r="AC17" s="11">
        <f t="shared" si="1"/>
        <v>-2.1398771616640953</v>
      </c>
      <c r="AE17" s="11">
        <f>100</f>
        <v>100</v>
      </c>
      <c r="AF17" s="11">
        <f t="shared" si="2"/>
        <v>176.62663461998278</v>
      </c>
      <c r="AG17" s="11">
        <f t="shared" si="3"/>
        <v>0.3715910443127407</v>
      </c>
    </row>
    <row r="18" spans="2:33" x14ac:dyDescent="0.25">
      <c r="AA18" s="11">
        <f>0.75</f>
        <v>0.75</v>
      </c>
      <c r="AB18" s="11">
        <f t="shared" si="0"/>
        <v>3.4238034586625528</v>
      </c>
      <c r="AC18" s="11">
        <f t="shared" si="1"/>
        <v>-2.25</v>
      </c>
      <c r="AE18" s="11">
        <f>110</f>
        <v>110</v>
      </c>
      <c r="AF18" s="11">
        <f t="shared" si="2"/>
        <v>137.31001945706473</v>
      </c>
      <c r="AG18" s="11">
        <f t="shared" si="3"/>
        <v>0.29373514491877412</v>
      </c>
    </row>
    <row r="19" spans="2:33" x14ac:dyDescent="0.25">
      <c r="B19" s="28" t="s">
        <v>423</v>
      </c>
      <c r="C19" s="28"/>
      <c r="D19" s="28"/>
      <c r="E19" s="28"/>
      <c r="F19" s="28"/>
      <c r="G19" s="28"/>
      <c r="AA19" s="11">
        <f>0.8</f>
        <v>0.8</v>
      </c>
      <c r="AB19" s="11">
        <f t="shared" si="0"/>
        <v>3.5362341026232791</v>
      </c>
      <c r="AC19" s="11">
        <f t="shared" si="1"/>
        <v>-2.1398771616640957</v>
      </c>
      <c r="AE19" s="11">
        <f>120</f>
        <v>120</v>
      </c>
      <c r="AF19" s="11">
        <f t="shared" si="2"/>
        <v>108.1212921500958</v>
      </c>
      <c r="AG19" s="11">
        <f t="shared" si="3"/>
        <v>0.23421925987558698</v>
      </c>
    </row>
    <row r="20" spans="2:33" x14ac:dyDescent="0.25">
      <c r="B20" s="14" t="s">
        <v>424</v>
      </c>
      <c r="C20" s="15">
        <v>2000</v>
      </c>
      <c r="D20" s="16" t="s">
        <v>425</v>
      </c>
      <c r="AA20" s="11">
        <f>0.85</f>
        <v>0.85</v>
      </c>
      <c r="AB20" s="11">
        <f t="shared" si="0"/>
        <v>2.7738476739928428</v>
      </c>
      <c r="AC20" s="11">
        <f t="shared" si="1"/>
        <v>-1.820288237343632</v>
      </c>
      <c r="AE20" s="11">
        <f>130</f>
        <v>130</v>
      </c>
      <c r="AF20" s="11">
        <f t="shared" si="2"/>
        <v>86.152766435393062</v>
      </c>
      <c r="AG20" s="11">
        <f t="shared" si="3"/>
        <v>0.18842303038594371</v>
      </c>
    </row>
    <row r="21" spans="2:33" x14ac:dyDescent="0.25">
      <c r="B21" s="14" t="s">
        <v>426</v>
      </c>
      <c r="C21" s="15">
        <v>3600</v>
      </c>
      <c r="D21" s="16" t="s">
        <v>427</v>
      </c>
      <c r="AA21" s="11">
        <f>0.9</f>
        <v>0.9</v>
      </c>
      <c r="AB21" s="11">
        <f t="shared" si="0"/>
        <v>1.3252483896648408</v>
      </c>
      <c r="AC21" s="11">
        <f t="shared" si="1"/>
        <v>-1.3225168176580651</v>
      </c>
      <c r="AE21" s="11">
        <f>140</f>
        <v>140</v>
      </c>
      <c r="AF21" s="11">
        <f t="shared" si="2"/>
        <v>69.4068517953325</v>
      </c>
      <c r="AG21" s="11">
        <f t="shared" si="3"/>
        <v>0.1529184855955304</v>
      </c>
    </row>
    <row r="22" spans="2:33" x14ac:dyDescent="0.25">
      <c r="B22" s="14" t="s">
        <v>428</v>
      </c>
      <c r="C22" s="15">
        <v>2200</v>
      </c>
      <c r="D22" s="16" t="s">
        <v>425</v>
      </c>
      <c r="AA22" s="11">
        <f>0.95</f>
        <v>0.95</v>
      </c>
      <c r="AB22" s="11">
        <f t="shared" si="0"/>
        <v>-0.45119964083149772</v>
      </c>
      <c r="AC22" s="11">
        <f t="shared" si="1"/>
        <v>-0.6952882373436341</v>
      </c>
      <c r="AE22" s="11">
        <f>150</f>
        <v>150</v>
      </c>
      <c r="AF22" s="11">
        <f t="shared" si="2"/>
        <v>56.490060681715981</v>
      </c>
      <c r="AG22" s="11">
        <f t="shared" si="3"/>
        <v>0.12517241193752382</v>
      </c>
    </row>
    <row r="23" spans="2:33" x14ac:dyDescent="0.25">
      <c r="B23" s="14" t="s">
        <v>429</v>
      </c>
      <c r="C23" s="15">
        <v>5</v>
      </c>
      <c r="D23" s="16" t="s">
        <v>430</v>
      </c>
      <c r="AA23" s="11">
        <f>1</f>
        <v>1</v>
      </c>
      <c r="AB23" s="11">
        <f t="shared" si="0"/>
        <v>-2.116026908252902</v>
      </c>
      <c r="AC23" s="11">
        <f t="shared" si="1"/>
        <v>-5.51316804708879E-16</v>
      </c>
    </row>
    <row r="24" spans="2:33" x14ac:dyDescent="0.25">
      <c r="B24" s="14" t="s">
        <v>431</v>
      </c>
      <c r="C24" s="15">
        <v>80</v>
      </c>
      <c r="D24" s="16" t="s">
        <v>432</v>
      </c>
      <c r="AA24" s="11">
        <f>1.05</f>
        <v>1.05</v>
      </c>
      <c r="AB24" s="11">
        <f t="shared" si="0"/>
        <v>-3.2573773888776709</v>
      </c>
      <c r="AC24" s="11">
        <f t="shared" si="1"/>
        <v>0.6952882373436311</v>
      </c>
    </row>
    <row r="25" spans="2:33" x14ac:dyDescent="0.25">
      <c r="B25" s="14" t="s">
        <v>433</v>
      </c>
      <c r="C25" s="31" t="s">
        <v>434</v>
      </c>
      <c r="D25" s="31"/>
      <c r="AA25" s="11">
        <f>1.1</f>
        <v>1.1000000000000001</v>
      </c>
      <c r="AB25" s="11">
        <f t="shared" si="0"/>
        <v>-3.5928962223417771</v>
      </c>
      <c r="AC25" s="11">
        <f t="shared" si="1"/>
        <v>1.3225168176580642</v>
      </c>
    </row>
    <row r="26" spans="2:33" x14ac:dyDescent="0.25">
      <c r="B26" s="14" t="s">
        <v>435</v>
      </c>
      <c r="C26" s="21">
        <f>$C$20*EXP($C$21*(1/($C$24+273.15)-1/298.15))</f>
        <v>305.03052796560695</v>
      </c>
      <c r="D26" s="16" t="s">
        <v>425</v>
      </c>
      <c r="AA26" s="11">
        <f>1.15</f>
        <v>1.1499999999999999</v>
      </c>
      <c r="AB26" s="11">
        <f t="shared" si="0"/>
        <v>-3.0395805318072577</v>
      </c>
      <c r="AC26" s="11">
        <f t="shared" si="1"/>
        <v>1.8202882373436302</v>
      </c>
    </row>
    <row r="27" spans="2:33" x14ac:dyDescent="0.25">
      <c r="B27" s="14" t="s">
        <v>436</v>
      </c>
      <c r="C27" s="22">
        <f>IF($C$25="Circuito abierto",$C$23,IF($C$25="Cortocircuito a masa",0,$C$23*$C$26/($C$26+$C$22)))</f>
        <v>0.60883594942319785</v>
      </c>
      <c r="D27" s="16" t="s">
        <v>430</v>
      </c>
      <c r="AA27" s="11">
        <f>1.2</f>
        <v>1.2</v>
      </c>
      <c r="AB27" s="11">
        <f t="shared" si="0"/>
        <v>-1.7343132267661732</v>
      </c>
      <c r="AC27" s="11">
        <f t="shared" si="1"/>
        <v>2.1398771616640948</v>
      </c>
    </row>
    <row r="28" spans="2:33" x14ac:dyDescent="0.25">
      <c r="B28" s="14" t="s">
        <v>437</v>
      </c>
      <c r="C28" s="20">
        <f>IF($C$27&gt;=4.9,-40,IF($C$27&lt;=0.1,150,1/(LN($C$22*$C$27/($C$23-$C$27)/$C$20)/$C$21+1/298.15)-273.15))</f>
        <v>80</v>
      </c>
      <c r="D28" s="16" t="s">
        <v>432</v>
      </c>
      <c r="AA28" s="11">
        <f>1.25</f>
        <v>1.25</v>
      </c>
      <c r="AB28" s="11">
        <f t="shared" si="0"/>
        <v>4.630670846772489E-15</v>
      </c>
      <c r="AC28" s="11">
        <f t="shared" si="1"/>
        <v>2.25</v>
      </c>
    </row>
    <row r="29" spans="2:33" ht="24" customHeight="1" x14ac:dyDescent="0.25">
      <c r="B29" s="29" t="str">
        <f>IF($C$27&gt;=4.9,"DTC P0713: circuito del sensor de temperatura del ATF, señal alta (abierto). La ECU lee −40 °C.",IF($C$27&lt;=0.1,"DTC P0712: señal baja (cortocircuito a masa). La ECU lee una temperatura muy alta.","Sin código: la señal está dentro del rango."))</f>
        <v>Sin código: la señal está dentro del rango.</v>
      </c>
      <c r="C29" s="29"/>
      <c r="D29" s="29"/>
      <c r="E29" s="29"/>
      <c r="F29" s="29"/>
      <c r="G29" s="29"/>
      <c r="AA29" s="11">
        <f>1.3</f>
        <v>1.3</v>
      </c>
      <c r="AB29" s="11">
        <f t="shared" si="0"/>
        <v>1.7343132267661756</v>
      </c>
      <c r="AC29" s="11">
        <f t="shared" si="1"/>
        <v>2.1398771616640957</v>
      </c>
    </row>
    <row r="30" spans="2:33" ht="24" customHeight="1" x14ac:dyDescent="0.25">
      <c r="B30" s="29"/>
      <c r="C30" s="29"/>
      <c r="D30" s="29"/>
      <c r="E30" s="29"/>
      <c r="F30" s="29"/>
      <c r="G30" s="29"/>
      <c r="AA30" s="11">
        <f>1.35</f>
        <v>1.35</v>
      </c>
      <c r="AB30" s="11">
        <f t="shared" si="0"/>
        <v>3.039580531807256</v>
      </c>
      <c r="AC30" s="11">
        <f t="shared" si="1"/>
        <v>1.8202882373436322</v>
      </c>
    </row>
    <row r="31" spans="2:33" x14ac:dyDescent="0.25">
      <c r="AA31" s="11">
        <f>1.4</f>
        <v>1.4</v>
      </c>
      <c r="AB31" s="11">
        <f t="shared" si="0"/>
        <v>3.5928962223417775</v>
      </c>
      <c r="AC31" s="11">
        <f t="shared" si="1"/>
        <v>1.3225168176580651</v>
      </c>
    </row>
    <row r="32" spans="2:33" x14ac:dyDescent="0.25">
      <c r="B32" s="28" t="s">
        <v>438</v>
      </c>
      <c r="C32" s="28"/>
      <c r="D32" s="28"/>
      <c r="E32" s="28"/>
      <c r="F32" s="28"/>
      <c r="G32" s="28"/>
      <c r="AA32" s="11">
        <f>1.45</f>
        <v>1.45</v>
      </c>
      <c r="AB32" s="11">
        <f t="shared" si="0"/>
        <v>3.2573773888776723</v>
      </c>
      <c r="AC32" s="11">
        <f t="shared" si="1"/>
        <v>0.69528823734363254</v>
      </c>
    </row>
    <row r="33" spans="2:29" x14ac:dyDescent="0.25">
      <c r="B33" s="14" t="s">
        <v>439</v>
      </c>
      <c r="C33" s="15">
        <v>15</v>
      </c>
      <c r="D33" s="16" t="s">
        <v>425</v>
      </c>
      <c r="AA33" s="11">
        <f>1.5</f>
        <v>1.5</v>
      </c>
      <c r="AB33" s="11">
        <f t="shared" si="0"/>
        <v>2.1160269082529051</v>
      </c>
      <c r="AC33" s="11">
        <f t="shared" si="1"/>
        <v>8.2697520706331851E-16</v>
      </c>
    </row>
    <row r="34" spans="2:29" x14ac:dyDescent="0.25">
      <c r="B34" s="14" t="s">
        <v>440</v>
      </c>
      <c r="C34" s="17">
        <v>12</v>
      </c>
      <c r="D34" s="16" t="s">
        <v>430</v>
      </c>
      <c r="AA34" s="11">
        <f>1.55</f>
        <v>1.55</v>
      </c>
      <c r="AB34" s="11">
        <f t="shared" si="0"/>
        <v>0.45119964083148856</v>
      </c>
      <c r="AC34" s="11">
        <f t="shared" si="1"/>
        <v>-0.69528823734363088</v>
      </c>
    </row>
    <row r="35" spans="2:29" x14ac:dyDescent="0.25">
      <c r="B35" s="14" t="s">
        <v>441</v>
      </c>
      <c r="C35" s="22">
        <f>$C$34/$C$33</f>
        <v>0.8</v>
      </c>
      <c r="D35" s="16" t="s">
        <v>442</v>
      </c>
      <c r="AA35" s="11">
        <f>1.6</f>
        <v>1.6</v>
      </c>
      <c r="AB35" s="11">
        <f t="shared" ref="AB35:AB66" si="4">0.0015*$C$6*SIN(2*PI()*$C$11*AA35/1000)</f>
        <v>-1.3252483896648433</v>
      </c>
      <c r="AC35" s="11">
        <f t="shared" ref="AC35:AC66" si="5">0.0015*$C$7*SIN(2*PI()*$C$12*AA35/1000)</f>
        <v>-1.3225168176580637</v>
      </c>
    </row>
    <row r="36" spans="2:29" ht="25.5" x14ac:dyDescent="0.25">
      <c r="B36" s="14" t="s">
        <v>443</v>
      </c>
      <c r="C36" s="15">
        <v>5</v>
      </c>
      <c r="D36" s="16" t="s">
        <v>425</v>
      </c>
      <c r="AA36" s="11">
        <f>1.65</f>
        <v>1.65</v>
      </c>
      <c r="AB36" s="11">
        <f t="shared" si="4"/>
        <v>-2.7738476739928366</v>
      </c>
      <c r="AC36" s="11">
        <f t="shared" si="5"/>
        <v>-1.8202882373436289</v>
      </c>
    </row>
    <row r="37" spans="2:29" x14ac:dyDescent="0.25">
      <c r="B37" s="14" t="s">
        <v>440</v>
      </c>
      <c r="C37" s="17">
        <v>13.5</v>
      </c>
      <c r="D37" s="16" t="s">
        <v>430</v>
      </c>
      <c r="AA37" s="11">
        <f>1.7</f>
        <v>1.7</v>
      </c>
      <c r="AB37" s="11">
        <f t="shared" si="4"/>
        <v>-3.5362341026232782</v>
      </c>
      <c r="AC37" s="11">
        <f t="shared" si="5"/>
        <v>-2.1398771616640953</v>
      </c>
    </row>
    <row r="38" spans="2:29" x14ac:dyDescent="0.25">
      <c r="B38" s="14" t="s">
        <v>444</v>
      </c>
      <c r="C38" s="15">
        <v>40</v>
      </c>
      <c r="D38" s="16" t="s">
        <v>70</v>
      </c>
      <c r="AA38" s="11">
        <f>1.75</f>
        <v>1.75</v>
      </c>
      <c r="AB38" s="11">
        <f t="shared" si="4"/>
        <v>-3.4238034586625496</v>
      </c>
      <c r="AC38" s="11">
        <f t="shared" si="5"/>
        <v>-2.25</v>
      </c>
    </row>
    <row r="39" spans="2:29" x14ac:dyDescent="0.25">
      <c r="B39" s="14" t="s">
        <v>445</v>
      </c>
      <c r="C39" s="15">
        <v>300</v>
      </c>
      <c r="D39" s="16" t="s">
        <v>418</v>
      </c>
      <c r="AA39" s="11">
        <f>1.8</f>
        <v>1.8</v>
      </c>
      <c r="AB39" s="11">
        <f t="shared" si="4"/>
        <v>-2.4643695813432789</v>
      </c>
      <c r="AC39" s="11">
        <f t="shared" si="5"/>
        <v>-2.1398771616640961</v>
      </c>
    </row>
    <row r="40" spans="2:29" x14ac:dyDescent="0.25">
      <c r="B40" s="14" t="s">
        <v>446</v>
      </c>
      <c r="C40" s="22">
        <f>$C$37/$C$36*$C$38/100</f>
        <v>1.08</v>
      </c>
      <c r="D40" s="16" t="s">
        <v>442</v>
      </c>
      <c r="AA40" s="11">
        <f>1.85</f>
        <v>1.85</v>
      </c>
      <c r="AB40" s="11">
        <f t="shared" si="4"/>
        <v>-0.89528359379347477</v>
      </c>
      <c r="AC40" s="11">
        <f t="shared" si="5"/>
        <v>-1.8202882373436322</v>
      </c>
    </row>
    <row r="41" spans="2:29" x14ac:dyDescent="0.25">
      <c r="B41" s="14" t="s">
        <v>447</v>
      </c>
      <c r="C41" s="22">
        <f>$C$37/$C$36</f>
        <v>2.7</v>
      </c>
      <c r="D41" s="16" t="s">
        <v>442</v>
      </c>
      <c r="AA41" s="11">
        <f>1.9</f>
        <v>1.9</v>
      </c>
      <c r="AB41" s="11">
        <f t="shared" si="4"/>
        <v>0.8952835937934821</v>
      </c>
      <c r="AC41" s="11">
        <f t="shared" si="5"/>
        <v>-1.3225168176580686</v>
      </c>
    </row>
    <row r="42" spans="2:29" x14ac:dyDescent="0.25">
      <c r="AA42" s="11">
        <f>1.95</f>
        <v>1.95</v>
      </c>
      <c r="AB42" s="11">
        <f t="shared" si="4"/>
        <v>2.4643695813432753</v>
      </c>
      <c r="AC42" s="11">
        <f t="shared" si="5"/>
        <v>-0.69528823734363654</v>
      </c>
    </row>
    <row r="43" spans="2:29" x14ac:dyDescent="0.25">
      <c r="AA43" s="11">
        <f>2</f>
        <v>2</v>
      </c>
      <c r="AB43" s="11">
        <f t="shared" si="4"/>
        <v>3.4238034586625519</v>
      </c>
      <c r="AC43" s="11">
        <f t="shared" si="5"/>
        <v>-1.102633609417758E-15</v>
      </c>
    </row>
    <row r="44" spans="2:29" x14ac:dyDescent="0.25">
      <c r="B44" s="28" t="s">
        <v>141</v>
      </c>
      <c r="C44" s="28"/>
      <c r="D44" s="28"/>
      <c r="E44" s="28"/>
      <c r="F44" s="28"/>
      <c r="G44" s="28"/>
      <c r="AA44" s="11">
        <f>2.05</f>
        <v>2.0499999999999998</v>
      </c>
      <c r="AB44" s="11">
        <f t="shared" si="4"/>
        <v>3.5362341026232795</v>
      </c>
      <c r="AC44" s="11">
        <f t="shared" si="5"/>
        <v>0.69528823734362677</v>
      </c>
    </row>
    <row r="45" spans="2:29" ht="45.95" customHeight="1" x14ac:dyDescent="0.25">
      <c r="B45" s="30" t="s">
        <v>452</v>
      </c>
      <c r="C45" s="30"/>
      <c r="D45" s="30"/>
      <c r="E45" s="30"/>
      <c r="F45" s="30"/>
      <c r="G45" s="30"/>
      <c r="AA45" s="11">
        <f>2.1</f>
        <v>2.1</v>
      </c>
      <c r="AB45" s="11">
        <f t="shared" si="4"/>
        <v>2.7738476739928397</v>
      </c>
      <c r="AC45" s="11">
        <f t="shared" si="5"/>
        <v>1.3225168176580635</v>
      </c>
    </row>
    <row r="46" spans="2:29" ht="45.95" customHeight="1" x14ac:dyDescent="0.25">
      <c r="B46" s="30" t="s">
        <v>453</v>
      </c>
      <c r="C46" s="30"/>
      <c r="D46" s="30"/>
      <c r="E46" s="30"/>
      <c r="F46" s="30"/>
      <c r="G46" s="30"/>
      <c r="AA46" s="11">
        <f>2.15</f>
        <v>2.15</v>
      </c>
      <c r="AB46" s="11">
        <f t="shared" si="4"/>
        <v>1.3252483896648484</v>
      </c>
      <c r="AC46" s="11">
        <f t="shared" si="5"/>
        <v>1.8202882373436289</v>
      </c>
    </row>
    <row r="47" spans="2:29" ht="45.95" customHeight="1" x14ac:dyDescent="0.25">
      <c r="B47" s="30" t="s">
        <v>454</v>
      </c>
      <c r="C47" s="30"/>
      <c r="D47" s="30"/>
      <c r="E47" s="30"/>
      <c r="F47" s="30"/>
      <c r="G47" s="30"/>
      <c r="AA47" s="11">
        <f>2.2</f>
        <v>2.2000000000000002</v>
      </c>
      <c r="AB47" s="11">
        <f t="shared" si="4"/>
        <v>-0.45119964083150232</v>
      </c>
      <c r="AC47" s="11">
        <f t="shared" si="5"/>
        <v>2.1398771616640953</v>
      </c>
    </row>
    <row r="48" spans="2:29" ht="45.95" customHeight="1" x14ac:dyDescent="0.25">
      <c r="B48" s="30" t="s">
        <v>455</v>
      </c>
      <c r="C48" s="30"/>
      <c r="D48" s="30"/>
      <c r="E48" s="30"/>
      <c r="F48" s="30"/>
      <c r="G48" s="30"/>
      <c r="AA48" s="11">
        <f>2.25</f>
        <v>2.25</v>
      </c>
      <c r="AB48" s="11">
        <f t="shared" si="4"/>
        <v>-2.1160269082529011</v>
      </c>
      <c r="AC48" s="11">
        <f t="shared" si="5"/>
        <v>2.25</v>
      </c>
    </row>
    <row r="49" spans="27:29" x14ac:dyDescent="0.25">
      <c r="AA49" s="11">
        <f>2.3</f>
        <v>2.2999999999999998</v>
      </c>
      <c r="AB49" s="11">
        <f t="shared" si="4"/>
        <v>-3.2573773888776647</v>
      </c>
      <c r="AC49" s="11">
        <f t="shared" si="5"/>
        <v>2.139877161664097</v>
      </c>
    </row>
    <row r="50" spans="27:29" x14ac:dyDescent="0.25">
      <c r="AA50" s="11">
        <f>2.35</f>
        <v>2.35</v>
      </c>
      <c r="AB50" s="11">
        <f t="shared" si="4"/>
        <v>-3.5928962223417771</v>
      </c>
      <c r="AC50" s="11">
        <f t="shared" si="5"/>
        <v>1.8202882373436324</v>
      </c>
    </row>
    <row r="51" spans="27:29" x14ac:dyDescent="0.25">
      <c r="AA51" s="11">
        <f>2.4</f>
        <v>2.4</v>
      </c>
      <c r="AB51" s="11">
        <f t="shared" si="4"/>
        <v>-3.039580531807252</v>
      </c>
      <c r="AC51" s="11">
        <f t="shared" si="5"/>
        <v>1.3225168176580688</v>
      </c>
    </row>
    <row r="52" spans="27:29" x14ac:dyDescent="0.25">
      <c r="AA52" s="11">
        <f>2.45</f>
        <v>2.4500000000000002</v>
      </c>
      <c r="AB52" s="11">
        <f t="shared" si="4"/>
        <v>-1.7343132267661689</v>
      </c>
      <c r="AC52" s="11">
        <f t="shared" si="5"/>
        <v>0.69528823734363299</v>
      </c>
    </row>
    <row r="53" spans="27:29" x14ac:dyDescent="0.25">
      <c r="AA53" s="11">
        <f>2.5</f>
        <v>2.5</v>
      </c>
      <c r="AB53" s="11">
        <f t="shared" si="4"/>
        <v>9.261341693544978E-15</v>
      </c>
      <c r="AC53" s="11">
        <f t="shared" si="5"/>
        <v>5.3750949004227611E-15</v>
      </c>
    </row>
    <row r="54" spans="27:29" x14ac:dyDescent="0.25">
      <c r="AA54" s="11">
        <f>2.55</f>
        <v>2.5499999999999998</v>
      </c>
      <c r="AB54" s="11">
        <f t="shared" si="4"/>
        <v>1.7343132267661743</v>
      </c>
      <c r="AC54" s="11">
        <f t="shared" si="5"/>
        <v>-0.69528823734362655</v>
      </c>
    </row>
    <row r="55" spans="27:29" x14ac:dyDescent="0.25">
      <c r="AA55" s="11">
        <f>2.6</f>
        <v>2.6</v>
      </c>
      <c r="AB55" s="11">
        <f t="shared" si="4"/>
        <v>3.0395805318072551</v>
      </c>
      <c r="AC55" s="11">
        <f t="shared" si="5"/>
        <v>-1.3225168176580633</v>
      </c>
    </row>
    <row r="56" spans="27:29" x14ac:dyDescent="0.25">
      <c r="AA56" s="11">
        <f>2.65</f>
        <v>2.65</v>
      </c>
      <c r="AB56" s="11">
        <f t="shared" si="4"/>
        <v>3.592896222341778</v>
      </c>
      <c r="AC56" s="11">
        <f t="shared" si="5"/>
        <v>-1.8202882373436284</v>
      </c>
    </row>
    <row r="57" spans="27:29" x14ac:dyDescent="0.25">
      <c r="AA57" s="11">
        <f>2.7</f>
        <v>2.7</v>
      </c>
      <c r="AB57" s="11">
        <f t="shared" si="4"/>
        <v>3.2573773888776678</v>
      </c>
      <c r="AC57" s="11">
        <f t="shared" si="5"/>
        <v>-2.1398771616640953</v>
      </c>
    </row>
    <row r="58" spans="27:29" x14ac:dyDescent="0.25">
      <c r="AA58" s="11">
        <f>2.75</f>
        <v>2.75</v>
      </c>
      <c r="AB58" s="11">
        <f t="shared" si="4"/>
        <v>2.1160269082529064</v>
      </c>
      <c r="AC58" s="11">
        <f t="shared" si="5"/>
        <v>-2.25</v>
      </c>
    </row>
    <row r="59" spans="27:29" x14ac:dyDescent="0.25">
      <c r="AA59" s="11">
        <f>2.8</f>
        <v>2.8</v>
      </c>
      <c r="AB59" s="11">
        <f t="shared" si="4"/>
        <v>0.45119964083149666</v>
      </c>
      <c r="AC59" s="11">
        <f t="shared" si="5"/>
        <v>-2.1398771616640961</v>
      </c>
    </row>
    <row r="60" spans="27:29" x14ac:dyDescent="0.25">
      <c r="AA60" s="11">
        <f>2.85</f>
        <v>2.85</v>
      </c>
      <c r="AB60" s="11">
        <f t="shared" si="4"/>
        <v>-1.3252483896648417</v>
      </c>
      <c r="AC60" s="11">
        <f t="shared" si="5"/>
        <v>-1.8202882373436351</v>
      </c>
    </row>
    <row r="61" spans="27:29" x14ac:dyDescent="0.25">
      <c r="AA61" s="11">
        <f>2.9</f>
        <v>2.9</v>
      </c>
      <c r="AB61" s="11">
        <f t="shared" si="4"/>
        <v>-2.7738476739928353</v>
      </c>
      <c r="AC61" s="11">
        <f t="shared" si="5"/>
        <v>-1.3225168176580657</v>
      </c>
    </row>
    <row r="62" spans="27:29" x14ac:dyDescent="0.25">
      <c r="AA62" s="11">
        <f>2.95</f>
        <v>2.95</v>
      </c>
      <c r="AB62" s="11">
        <f t="shared" si="4"/>
        <v>-3.5362341026232826</v>
      </c>
      <c r="AC62" s="11">
        <f t="shared" si="5"/>
        <v>-0.69528823734363698</v>
      </c>
    </row>
    <row r="63" spans="27:29" x14ac:dyDescent="0.25">
      <c r="AA63" s="11">
        <f>3</f>
        <v>3</v>
      </c>
      <c r="AB63" s="11">
        <f t="shared" si="4"/>
        <v>-3.4238034586625545</v>
      </c>
      <c r="AC63" s="11">
        <f t="shared" si="5"/>
        <v>-1.653950414126637E-15</v>
      </c>
    </row>
    <row r="64" spans="27:29" x14ac:dyDescent="0.25">
      <c r="AA64" s="11">
        <f>3.05</f>
        <v>3.05</v>
      </c>
      <c r="AB64" s="11">
        <f t="shared" si="4"/>
        <v>-2.46436958134329</v>
      </c>
      <c r="AC64" s="11">
        <f t="shared" si="5"/>
        <v>0.69528823734361866</v>
      </c>
    </row>
    <row r="65" spans="27:29" x14ac:dyDescent="0.25">
      <c r="AA65" s="11">
        <f>3.1</f>
        <v>3.1</v>
      </c>
      <c r="AB65" s="11">
        <f t="shared" si="4"/>
        <v>-0.89528359379346423</v>
      </c>
      <c r="AC65" s="11">
        <f t="shared" si="5"/>
        <v>1.3225168176580631</v>
      </c>
    </row>
    <row r="66" spans="27:29" x14ac:dyDescent="0.25">
      <c r="AA66" s="11">
        <f>3.15</f>
        <v>3.15</v>
      </c>
      <c r="AB66" s="11">
        <f t="shared" si="4"/>
        <v>0.89528359379348033</v>
      </c>
      <c r="AC66" s="11">
        <f t="shared" si="5"/>
        <v>1.8202882373436282</v>
      </c>
    </row>
    <row r="67" spans="27:29" x14ac:dyDescent="0.25">
      <c r="AA67" s="11">
        <f>3.2</f>
        <v>3.2</v>
      </c>
      <c r="AB67" s="11">
        <f t="shared" ref="AB67:AB98" si="6">0.0015*$C$6*SIN(2*PI()*$C$11*AA67/1000)</f>
        <v>2.4643695813432833</v>
      </c>
      <c r="AC67" s="11">
        <f t="shared" ref="AC67:AC98" si="7">0.0015*$C$7*SIN(2*PI()*$C$12*AA67/1000)</f>
        <v>2.1398771616640948</v>
      </c>
    </row>
    <row r="68" spans="27:29" x14ac:dyDescent="0.25">
      <c r="AA68" s="11">
        <f>3.25</f>
        <v>3.25</v>
      </c>
      <c r="AB68" s="11">
        <f t="shared" si="6"/>
        <v>3.4238034586625514</v>
      </c>
      <c r="AC68" s="11">
        <f t="shared" si="7"/>
        <v>2.25</v>
      </c>
    </row>
    <row r="69" spans="27:29" x14ac:dyDescent="0.25">
      <c r="AA69" s="11">
        <f>3.3</f>
        <v>3.3</v>
      </c>
      <c r="AB69" s="11">
        <f t="shared" si="6"/>
        <v>3.5362341026232822</v>
      </c>
      <c r="AC69" s="11">
        <f t="shared" si="7"/>
        <v>2.1398771616640988</v>
      </c>
    </row>
    <row r="70" spans="27:29" x14ac:dyDescent="0.25">
      <c r="AA70" s="11">
        <f>3.35</f>
        <v>3.35</v>
      </c>
      <c r="AB70" s="11">
        <f t="shared" si="6"/>
        <v>2.7738476739928246</v>
      </c>
      <c r="AC70" s="11">
        <f t="shared" si="7"/>
        <v>1.8202882373436353</v>
      </c>
    </row>
    <row r="71" spans="27:29" x14ac:dyDescent="0.25">
      <c r="AA71" s="11">
        <f>3.4</f>
        <v>3.4</v>
      </c>
      <c r="AB71" s="11">
        <f t="shared" si="6"/>
        <v>1.3252483896648499</v>
      </c>
      <c r="AC71" s="11">
        <f t="shared" si="7"/>
        <v>1.3225168176580659</v>
      </c>
    </row>
    <row r="72" spans="27:29" x14ac:dyDescent="0.25">
      <c r="AA72" s="11">
        <f>3.45</f>
        <v>3.45</v>
      </c>
      <c r="AB72" s="11">
        <f t="shared" si="6"/>
        <v>-0.45119964083150066</v>
      </c>
      <c r="AC72" s="11">
        <f t="shared" si="7"/>
        <v>0.69528823734363732</v>
      </c>
    </row>
    <row r="73" spans="27:29" x14ac:dyDescent="0.25">
      <c r="AA73" s="11">
        <f>3.5</f>
        <v>3.5</v>
      </c>
      <c r="AB73" s="11">
        <f t="shared" si="6"/>
        <v>-2.1160269082529202</v>
      </c>
      <c r="AC73" s="11">
        <f t="shared" si="7"/>
        <v>1.9296088164810765E-15</v>
      </c>
    </row>
    <row r="74" spans="27:29" x14ac:dyDescent="0.25">
      <c r="AA74" s="11">
        <f>3.55</f>
        <v>3.55</v>
      </c>
      <c r="AB74" s="11">
        <f t="shared" si="6"/>
        <v>-3.2573773888776638</v>
      </c>
      <c r="AC74" s="11">
        <f t="shared" si="7"/>
        <v>-0.69528823734361844</v>
      </c>
    </row>
    <row r="75" spans="27:29" x14ac:dyDescent="0.25">
      <c r="AA75" s="11">
        <f>3.6</f>
        <v>3.6</v>
      </c>
      <c r="AB75" s="11">
        <f t="shared" si="6"/>
        <v>-3.5928962223417775</v>
      </c>
      <c r="AC75" s="11">
        <f t="shared" si="7"/>
        <v>-1.3225168176580631</v>
      </c>
    </row>
    <row r="76" spans="27:29" x14ac:dyDescent="0.25">
      <c r="AA76" s="11">
        <f>3.65</f>
        <v>3.65</v>
      </c>
      <c r="AB76" s="11">
        <f t="shared" si="6"/>
        <v>-3.0395805318072462</v>
      </c>
      <c r="AC76" s="11">
        <f t="shared" si="7"/>
        <v>-1.8202882373436235</v>
      </c>
    </row>
    <row r="77" spans="27:29" x14ac:dyDescent="0.25">
      <c r="AA77" s="11">
        <f>3.7</f>
        <v>3.7</v>
      </c>
      <c r="AB77" s="11">
        <f t="shared" si="6"/>
        <v>-1.7343132267661705</v>
      </c>
      <c r="AC77" s="11">
        <f t="shared" si="7"/>
        <v>-2.1398771616640948</v>
      </c>
    </row>
    <row r="78" spans="27:29" x14ac:dyDescent="0.25">
      <c r="AA78" s="11">
        <f>3.75</f>
        <v>3.75</v>
      </c>
      <c r="AB78" s="11">
        <f t="shared" si="6"/>
        <v>-5.2926413252052384E-15</v>
      </c>
      <c r="AC78" s="11">
        <f t="shared" si="7"/>
        <v>-2.25</v>
      </c>
    </row>
    <row r="79" spans="27:29" x14ac:dyDescent="0.25">
      <c r="AA79" s="11">
        <f>3.8</f>
        <v>3.8</v>
      </c>
      <c r="AB79" s="11">
        <f t="shared" si="6"/>
        <v>1.7343132267661838</v>
      </c>
      <c r="AC79" s="11">
        <f t="shared" si="7"/>
        <v>-2.1398771616640988</v>
      </c>
    </row>
    <row r="80" spans="27:29" x14ac:dyDescent="0.25">
      <c r="AA80" s="11">
        <f>3.85</f>
        <v>3.85</v>
      </c>
      <c r="AB80" s="11">
        <f t="shared" si="6"/>
        <v>3.0395805318072542</v>
      </c>
      <c r="AC80" s="11">
        <f t="shared" si="7"/>
        <v>-1.8202882373436353</v>
      </c>
    </row>
    <row r="81" spans="27:29" x14ac:dyDescent="0.25">
      <c r="AA81" s="11">
        <f>3.9</f>
        <v>3.9</v>
      </c>
      <c r="AB81" s="11">
        <f t="shared" si="6"/>
        <v>3.5928962223417771</v>
      </c>
      <c r="AC81" s="11">
        <f t="shared" si="7"/>
        <v>-1.3225168176580728</v>
      </c>
    </row>
    <row r="82" spans="27:29" x14ac:dyDescent="0.25">
      <c r="AA82" s="11">
        <f>3.95</f>
        <v>3.95</v>
      </c>
      <c r="AB82" s="11">
        <f t="shared" si="6"/>
        <v>3.2573773888776572</v>
      </c>
      <c r="AC82" s="11">
        <f t="shared" si="7"/>
        <v>-0.69528823734363765</v>
      </c>
    </row>
    <row r="83" spans="27:29" x14ac:dyDescent="0.25">
      <c r="AA83" s="11">
        <f>4</f>
        <v>4</v>
      </c>
      <c r="AB83" s="11">
        <f t="shared" si="6"/>
        <v>2.1160269082529077</v>
      </c>
      <c r="AC83" s="11">
        <f t="shared" si="7"/>
        <v>-2.205267218835516E-15</v>
      </c>
    </row>
    <row r="84" spans="27:29" x14ac:dyDescent="0.25">
      <c r="AA84" s="11">
        <f>4.05</f>
        <v>4.05</v>
      </c>
      <c r="AB84" s="11">
        <f t="shared" si="6"/>
        <v>0.45119964083151115</v>
      </c>
      <c r="AC84" s="11">
        <f t="shared" si="7"/>
        <v>0.69528823734362577</v>
      </c>
    </row>
    <row r="85" spans="27:29" x14ac:dyDescent="0.25">
      <c r="AA85" s="11">
        <f>4.1</f>
        <v>4.0999999999999996</v>
      </c>
      <c r="AB85" s="11">
        <f t="shared" si="6"/>
        <v>-1.3252483896648402</v>
      </c>
      <c r="AC85" s="11">
        <f t="shared" si="7"/>
        <v>1.3225168176580564</v>
      </c>
    </row>
    <row r="86" spans="27:29" x14ac:dyDescent="0.25">
      <c r="AA86" s="11">
        <f>4.15</f>
        <v>4.1500000000000004</v>
      </c>
      <c r="AB86" s="11">
        <f t="shared" si="6"/>
        <v>-2.7738476739928504</v>
      </c>
      <c r="AC86" s="11">
        <f t="shared" si="7"/>
        <v>1.820288237343628</v>
      </c>
    </row>
    <row r="87" spans="27:29" x14ac:dyDescent="0.25">
      <c r="AA87" s="11">
        <f>4.2</f>
        <v>4.2</v>
      </c>
      <c r="AB87" s="11">
        <f t="shared" si="6"/>
        <v>-3.5362341026232804</v>
      </c>
      <c r="AC87" s="11">
        <f t="shared" si="7"/>
        <v>2.1398771616640948</v>
      </c>
    </row>
    <row r="88" spans="27:29" x14ac:dyDescent="0.25">
      <c r="AA88" s="11">
        <f>4.25</f>
        <v>4.25</v>
      </c>
      <c r="AB88" s="11">
        <f t="shared" si="6"/>
        <v>-3.423803458662547</v>
      </c>
      <c r="AC88" s="11">
        <f t="shared" si="7"/>
        <v>2.25</v>
      </c>
    </row>
    <row r="89" spans="27:29" x14ac:dyDescent="0.25">
      <c r="AA89" s="11">
        <f>4.3</f>
        <v>4.3</v>
      </c>
      <c r="AB89" s="11">
        <f t="shared" si="6"/>
        <v>-2.4643695813432909</v>
      </c>
      <c r="AC89" s="11">
        <f t="shared" si="7"/>
        <v>2.1398771616640988</v>
      </c>
    </row>
    <row r="90" spans="27:29" x14ac:dyDescent="0.25">
      <c r="AA90" s="11">
        <f>4.35</f>
        <v>4.3499999999999996</v>
      </c>
      <c r="AB90" s="11">
        <f t="shared" si="6"/>
        <v>-0.89528359379347833</v>
      </c>
      <c r="AC90" s="11">
        <f t="shared" si="7"/>
        <v>1.8202882373436355</v>
      </c>
    </row>
    <row r="91" spans="27:29" x14ac:dyDescent="0.25">
      <c r="AA91" s="11">
        <f>4.4</f>
        <v>4.4000000000000004</v>
      </c>
      <c r="AB91" s="11">
        <f t="shared" si="6"/>
        <v>0.89528359379349109</v>
      </c>
      <c r="AC91" s="11">
        <f t="shared" si="7"/>
        <v>1.3225168176580666</v>
      </c>
    </row>
    <row r="92" spans="27:29" x14ac:dyDescent="0.25">
      <c r="AA92" s="11">
        <f>4.45</f>
        <v>4.45</v>
      </c>
      <c r="AB92" s="11">
        <f t="shared" si="6"/>
        <v>2.4643695813432824</v>
      </c>
      <c r="AC92" s="11">
        <f t="shared" si="7"/>
        <v>0.69528823734363021</v>
      </c>
    </row>
    <row r="93" spans="27:29" x14ac:dyDescent="0.25">
      <c r="AA93" s="11">
        <f>4.5</f>
        <v>4.5</v>
      </c>
      <c r="AB93" s="11">
        <f t="shared" si="6"/>
        <v>3.423803458662551</v>
      </c>
      <c r="AC93" s="11">
        <f t="shared" si="7"/>
        <v>1.0474531398491083E-14</v>
      </c>
    </row>
    <row r="94" spans="27:29" x14ac:dyDescent="0.25">
      <c r="AA94" s="11">
        <f>4.55</f>
        <v>4.55</v>
      </c>
      <c r="AB94" s="11">
        <f t="shared" si="6"/>
        <v>3.5362341026232773</v>
      </c>
      <c r="AC94" s="11">
        <f t="shared" si="7"/>
        <v>-0.69528823734362555</v>
      </c>
    </row>
    <row r="95" spans="27:29" x14ac:dyDescent="0.25">
      <c r="AA95" s="11">
        <f>4.6</f>
        <v>4.5999999999999996</v>
      </c>
      <c r="AB95" s="11">
        <f t="shared" si="6"/>
        <v>2.7738476739928584</v>
      </c>
      <c r="AC95" s="11">
        <f t="shared" si="7"/>
        <v>-1.3225168176580562</v>
      </c>
    </row>
    <row r="96" spans="27:29" x14ac:dyDescent="0.25">
      <c r="AA96" s="11">
        <f>4.65</f>
        <v>4.6500000000000004</v>
      </c>
      <c r="AB96" s="11">
        <f t="shared" si="6"/>
        <v>1.3252483896648277</v>
      </c>
      <c r="AC96" s="11">
        <f t="shared" si="7"/>
        <v>-1.8202882373436278</v>
      </c>
    </row>
    <row r="97" spans="27:29" x14ac:dyDescent="0.25">
      <c r="AA97" s="11">
        <f>4.7</f>
        <v>4.7</v>
      </c>
      <c r="AB97" s="11">
        <f t="shared" si="6"/>
        <v>-0.4511996408315242</v>
      </c>
      <c r="AC97" s="11">
        <f t="shared" si="7"/>
        <v>-2.1398771616640948</v>
      </c>
    </row>
    <row r="98" spans="27:29" x14ac:dyDescent="0.25">
      <c r="AA98" s="11">
        <f>4.75</f>
        <v>4.75</v>
      </c>
      <c r="AB98" s="11">
        <f t="shared" si="6"/>
        <v>-2.116026908252898</v>
      </c>
      <c r="AC98" s="11">
        <f t="shared" si="7"/>
        <v>-2.25</v>
      </c>
    </row>
    <row r="99" spans="27:29" x14ac:dyDescent="0.25">
      <c r="AA99" s="11">
        <f>4.8</f>
        <v>4.8</v>
      </c>
      <c r="AB99" s="11">
        <f t="shared" ref="AB99:AB130" si="8">0.0015*$C$6*SIN(2*PI()*$C$11*AA99/1000)</f>
        <v>-3.257377388877674</v>
      </c>
      <c r="AC99" s="11">
        <f t="shared" ref="AC99:AC123" si="9">0.0015*$C$7*SIN(2*PI()*$C$12*AA99/1000)</f>
        <v>-2.1398771616640988</v>
      </c>
    </row>
    <row r="100" spans="27:29" x14ac:dyDescent="0.25">
      <c r="AA100" s="11">
        <f>4.85</f>
        <v>4.8499999999999996</v>
      </c>
      <c r="AB100" s="11">
        <f t="shared" si="8"/>
        <v>-3.5928962223417775</v>
      </c>
      <c r="AC100" s="11">
        <f t="shared" si="9"/>
        <v>-1.8202882373436402</v>
      </c>
    </row>
    <row r="101" spans="27:29" x14ac:dyDescent="0.25">
      <c r="AA101" s="11">
        <f>4.9</f>
        <v>4.9000000000000004</v>
      </c>
      <c r="AB101" s="11">
        <f t="shared" si="8"/>
        <v>-3.0395805318072471</v>
      </c>
      <c r="AC101" s="11">
        <f t="shared" si="9"/>
        <v>-1.3225168176580668</v>
      </c>
    </row>
    <row r="102" spans="27:29" x14ac:dyDescent="0.25">
      <c r="AA102" s="11">
        <f>4.95</f>
        <v>4.95</v>
      </c>
      <c r="AB102" s="11">
        <f t="shared" si="8"/>
        <v>-1.7343132267661723</v>
      </c>
      <c r="AC102" s="11">
        <f t="shared" si="9"/>
        <v>-0.69528823734363054</v>
      </c>
    </row>
    <row r="103" spans="27:29" x14ac:dyDescent="0.25">
      <c r="AA103" s="11">
        <f>5</f>
        <v>5</v>
      </c>
      <c r="AB103" s="11">
        <f t="shared" si="8"/>
        <v>1.8522683387089956E-14</v>
      </c>
      <c r="AC103" s="11">
        <f t="shared" si="9"/>
        <v>-1.0750189800845522E-14</v>
      </c>
    </row>
    <row r="104" spans="27:29" x14ac:dyDescent="0.25">
      <c r="AA104" s="11">
        <f>5.05</f>
        <v>5.05</v>
      </c>
      <c r="AB104" s="11">
        <f t="shared" si="8"/>
        <v>1.7343132267661598</v>
      </c>
      <c r="AC104" s="11">
        <f t="shared" si="9"/>
        <v>0.69528823734362533</v>
      </c>
    </row>
    <row r="105" spans="27:29" x14ac:dyDescent="0.25">
      <c r="AA105" s="11">
        <f>5.1</f>
        <v>5.0999999999999996</v>
      </c>
      <c r="AB105" s="11">
        <f t="shared" si="8"/>
        <v>3.0395805318072533</v>
      </c>
      <c r="AC105" s="11">
        <f t="shared" si="9"/>
        <v>1.3225168176580557</v>
      </c>
    </row>
    <row r="106" spans="27:29" x14ac:dyDescent="0.25">
      <c r="AA106" s="11">
        <f>5.15</f>
        <v>5.15</v>
      </c>
      <c r="AB106" s="11">
        <f t="shared" si="8"/>
        <v>3.5928962223417784</v>
      </c>
      <c r="AC106" s="11">
        <f t="shared" si="9"/>
        <v>1.8202882373436278</v>
      </c>
    </row>
    <row r="107" spans="27:29" x14ac:dyDescent="0.25">
      <c r="AA107" s="11">
        <f>5.2</f>
        <v>5.2</v>
      </c>
      <c r="AB107" s="11">
        <f t="shared" si="8"/>
        <v>3.2573773888776691</v>
      </c>
      <c r="AC107" s="11">
        <f t="shared" si="9"/>
        <v>2.1398771616640948</v>
      </c>
    </row>
    <row r="108" spans="27:29" x14ac:dyDescent="0.25">
      <c r="AA108" s="11">
        <f>5.25</f>
        <v>5.25</v>
      </c>
      <c r="AB108" s="11">
        <f t="shared" si="8"/>
        <v>2.1160269082529095</v>
      </c>
      <c r="AC108" s="11">
        <f t="shared" si="9"/>
        <v>2.25</v>
      </c>
    </row>
    <row r="109" spans="27:29" x14ac:dyDescent="0.25">
      <c r="AA109" s="11">
        <f>5.3</f>
        <v>5.3</v>
      </c>
      <c r="AB109" s="11">
        <f t="shared" si="8"/>
        <v>0.45119964083148745</v>
      </c>
      <c r="AC109" s="11">
        <f t="shared" si="9"/>
        <v>2.1398771616640988</v>
      </c>
    </row>
    <row r="110" spans="27:29" x14ac:dyDescent="0.25">
      <c r="AA110" s="11">
        <f>5.35</f>
        <v>5.35</v>
      </c>
      <c r="AB110" s="11">
        <f t="shared" si="8"/>
        <v>-1.3252483896648146</v>
      </c>
      <c r="AC110" s="11">
        <f t="shared" si="9"/>
        <v>1.8202882373436358</v>
      </c>
    </row>
    <row r="111" spans="27:29" x14ac:dyDescent="0.25">
      <c r="AA111" s="11">
        <f>5.4</f>
        <v>5.4</v>
      </c>
      <c r="AB111" s="11">
        <f t="shared" si="8"/>
        <v>-2.7738476739928495</v>
      </c>
      <c r="AC111" s="11">
        <f t="shared" si="9"/>
        <v>1.3225168176580671</v>
      </c>
    </row>
    <row r="112" spans="27:29" x14ac:dyDescent="0.25">
      <c r="AA112" s="11">
        <f>5.45</f>
        <v>5.45</v>
      </c>
      <c r="AB112" s="11">
        <f t="shared" si="8"/>
        <v>-3.5362341026232849</v>
      </c>
      <c r="AC112" s="11">
        <f t="shared" si="9"/>
        <v>0.69528823734363077</v>
      </c>
    </row>
    <row r="113" spans="27:29" x14ac:dyDescent="0.25">
      <c r="AA113" s="11">
        <f>5.5</f>
        <v>5.5</v>
      </c>
      <c r="AB113" s="11">
        <f t="shared" si="8"/>
        <v>-3.423803458662555</v>
      </c>
      <c r="AC113" s="11">
        <f t="shared" si="9"/>
        <v>1.1025848203199962E-14</v>
      </c>
    </row>
    <row r="114" spans="27:29" x14ac:dyDescent="0.25">
      <c r="AA114" s="11">
        <f>5.55</f>
        <v>5.55</v>
      </c>
      <c r="AB114" s="11">
        <f t="shared" si="8"/>
        <v>-2.464369581343274</v>
      </c>
      <c r="AC114" s="11">
        <f t="shared" si="9"/>
        <v>-0.69528823734360978</v>
      </c>
    </row>
    <row r="115" spans="27:29" x14ac:dyDescent="0.25">
      <c r="AA115" s="11">
        <f>5.6</f>
        <v>5.6</v>
      </c>
      <c r="AB115" s="11">
        <f t="shared" si="8"/>
        <v>-0.89528359379347999</v>
      </c>
      <c r="AC115" s="11">
        <f t="shared" si="9"/>
        <v>-1.3225168176580619</v>
      </c>
    </row>
    <row r="116" spans="27:29" x14ac:dyDescent="0.25">
      <c r="AA116" s="11">
        <f>5.65</f>
        <v>5.65</v>
      </c>
      <c r="AB116" s="11">
        <f t="shared" si="8"/>
        <v>0.89528359379348932</v>
      </c>
      <c r="AC116" s="11">
        <f t="shared" si="9"/>
        <v>-1.8202882373436322</v>
      </c>
    </row>
    <row r="117" spans="27:29" x14ac:dyDescent="0.25">
      <c r="AA117" s="11">
        <f>5.7</f>
        <v>5.7</v>
      </c>
      <c r="AB117" s="11">
        <f t="shared" si="8"/>
        <v>2.4643695813432811</v>
      </c>
      <c r="AC117" s="11">
        <f t="shared" si="9"/>
        <v>-2.1398771616640921</v>
      </c>
    </row>
    <row r="118" spans="27:29" x14ac:dyDescent="0.25">
      <c r="AA118" s="11">
        <f>5.75</f>
        <v>5.75</v>
      </c>
      <c r="AB118" s="11">
        <f t="shared" si="8"/>
        <v>3.4238034586625585</v>
      </c>
      <c r="AC118" s="11">
        <f t="shared" si="9"/>
        <v>-2.25</v>
      </c>
    </row>
    <row r="119" spans="27:29" x14ac:dyDescent="0.25">
      <c r="AA119" s="11">
        <f>5.8</f>
        <v>5.8</v>
      </c>
      <c r="AB119" s="11">
        <f t="shared" si="8"/>
        <v>3.5362341026232826</v>
      </c>
      <c r="AC119" s="11">
        <f t="shared" si="9"/>
        <v>-2.1398771616640966</v>
      </c>
    </row>
    <row r="120" spans="27:29" x14ac:dyDescent="0.25">
      <c r="AA120" s="11">
        <f>5.85</f>
        <v>5.85</v>
      </c>
      <c r="AB120" s="11">
        <f t="shared" si="8"/>
        <v>2.7738476739928433</v>
      </c>
      <c r="AC120" s="11">
        <f t="shared" si="9"/>
        <v>-1.8202882373436409</v>
      </c>
    </row>
    <row r="121" spans="27:29" x14ac:dyDescent="0.25">
      <c r="AA121" s="11">
        <f>5.9</f>
        <v>5.9</v>
      </c>
      <c r="AB121" s="11">
        <f t="shared" si="8"/>
        <v>1.3252483896648055</v>
      </c>
      <c r="AC121" s="11">
        <f t="shared" si="9"/>
        <v>-1.3225168176580735</v>
      </c>
    </row>
    <row r="122" spans="27:29" x14ac:dyDescent="0.25">
      <c r="AA122" s="11">
        <f>5.95</f>
        <v>5.95</v>
      </c>
      <c r="AB122" s="11">
        <f t="shared" si="8"/>
        <v>-0.45119964083149716</v>
      </c>
      <c r="AC122" s="11">
        <f t="shared" si="9"/>
        <v>-0.69528823734363865</v>
      </c>
    </row>
    <row r="123" spans="27:29" x14ac:dyDescent="0.25">
      <c r="AA123" s="11">
        <f>6</f>
        <v>6</v>
      </c>
      <c r="AB123" s="11">
        <f t="shared" si="8"/>
        <v>-2.1160269082528966</v>
      </c>
      <c r="AC123" s="11">
        <f t="shared" si="9"/>
        <v>-3.307900828253274E-15</v>
      </c>
    </row>
  </sheetData>
  <sheetProtection sheet="1" scenarios="1"/>
  <mergeCells count="14">
    <mergeCell ref="B45:G45"/>
    <mergeCell ref="B46:G46"/>
    <mergeCell ref="B47:G47"/>
    <mergeCell ref="B48:G48"/>
    <mergeCell ref="C25:D25"/>
    <mergeCell ref="B29:G30"/>
    <mergeCell ref="B32:G32"/>
    <mergeCell ref="T6:Y16"/>
    <mergeCell ref="B44:G44"/>
    <mergeCell ref="A1:Y1"/>
    <mergeCell ref="A2:Y2"/>
    <mergeCell ref="B4:G4"/>
    <mergeCell ref="B16:G17"/>
    <mergeCell ref="B19:G19"/>
  </mergeCells>
  <dataValidations count="4">
    <dataValidation type="decimal" allowBlank="1" showInputMessage="1" showErrorMessage="1" errorTitle="Valor fuera de rango" error="Escriba un valor entre 0 y 6000." promptTitle="Rango" prompt="De 0 a 6000 min⁻¹" sqref="C6:C7" xr:uid="{00000000-0002-0000-0900-000000000000}">
      <formula1>0</formula1>
      <formula2>6000</formula2>
    </dataValidation>
    <dataValidation type="decimal" allowBlank="1" showInputMessage="1" showErrorMessage="1" errorTitle="Valor fuera de rango" error="Escriba un valor entre -40 y 150." promptTitle="Rango" prompt="De -40 a 150 °C" sqref="C24" xr:uid="{00000000-0002-0000-0900-000002000000}">
      <formula1>-40</formula1>
      <formula2>150</formula2>
    </dataValidation>
    <dataValidation type="list" allowBlank="1" showInputMessage="1" showErrorMessage="1" sqref="C25" xr:uid="{00000000-0002-0000-0900-000003000000}">
      <formula1>"Normal,Circuito abierto,Cortocircuito a masa"</formula1>
    </dataValidation>
    <dataValidation type="decimal" allowBlank="1" showInputMessage="1" showErrorMessage="1" errorTitle="Valor fuera de rango" error="Escriba un valor entre 0 y 100." promptTitle="Rango" prompt="De 0 a 100 %" sqref="C38" xr:uid="{00000000-0002-0000-0900-000004000000}">
      <formula1>0</formula1>
      <formula2>100</formula2>
    </dataValidation>
  </dataValidations>
  <hyperlinks>
    <hyperlink ref="B3" location="'Inicio'!A1" display="◄ Volver al inicio" xr:uid="{00000000-0004-0000-0900-000000000000}"/>
  </hyperlinks>
  <pageMargins left="0.4" right="0.4" top="0.5" bottom="0.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10</vt:i4>
      </vt:variant>
    </vt:vector>
  </HeadingPairs>
  <TitlesOfParts>
    <vt:vector size="20" baseType="lpstr">
      <vt:lpstr>Inicio</vt:lpstr>
      <vt:lpstr>U1 Caja de cambios</vt:lpstr>
      <vt:lpstr>U1 Embrague</vt:lpstr>
      <vt:lpstr>U2 Junta cardán</vt:lpstr>
      <vt:lpstr>U2 Diferencial</vt:lpstr>
      <vt:lpstr>U3 Tren epicicloidal</vt:lpstr>
      <vt:lpstr>U3 Convertidor</vt:lpstr>
      <vt:lpstr>U4 CVT</vt:lpstr>
      <vt:lpstr>U4 Híbrido</vt:lpstr>
      <vt:lpstr>U4 Sensores y PWM</vt:lpstr>
      <vt:lpstr>Inicio!Área_de_impresión</vt:lpstr>
      <vt:lpstr>'U1 Caja de cambios'!Área_de_impresión</vt:lpstr>
      <vt:lpstr>'U1 Embrague'!Área_de_impresión</vt:lpstr>
      <vt:lpstr>'U2 Diferencial'!Área_de_impresión</vt:lpstr>
      <vt:lpstr>'U2 Junta cardán'!Área_de_impresión</vt:lpstr>
      <vt:lpstr>'U3 Convertidor'!Área_de_impresión</vt:lpstr>
      <vt:lpstr>'U3 Tren epicicloidal'!Área_de_impresión</vt:lpstr>
      <vt:lpstr>'U4 CVT'!Área_de_impresión</vt:lpstr>
      <vt:lpstr>'U4 Híbrido'!Área_de_impresión</vt:lpstr>
      <vt:lpstr>'U4 Sensores y PWM'!Área_de_impresión</vt:lpstr>
    </vt:vector>
  </TitlesOfParts>
  <Company>Instituto Superior Tecnológico Sudamericano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Simuladores del tren de fuerza motriz — Mecánica de Patio III</dc:title>
  <dc:creator>Ing. Miguel Ángel Minga González</dc:creator>
  <cp:lastModifiedBy>Ing. Miguel Angel  Minga Gonzalez</cp:lastModifiedBy>
  <dcterms:created xsi:type="dcterms:W3CDTF">2026-10-15T11:37:00Z</dcterms:created>
  <dcterms:modified xsi:type="dcterms:W3CDTF">2026-10-15T11:40:30Z</dcterms:modified>
</cp:coreProperties>
</file>