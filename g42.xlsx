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Munones" sheetId="2" state="visible" r:id="rId2"/>
    <sheet xmlns:r="http://schemas.openxmlformats.org/officeDocument/2006/relationships" name="Cilindros" sheetId="3" state="visible" r:id="rId3"/>
    <sheet xmlns:r="http://schemas.openxmlformats.org/officeDocument/2006/relationships" name="Planitud" sheetId="4" state="visible" r:id="rId4"/>
    <sheet xmlns:r="http://schemas.openxmlformats.org/officeDocument/2006/relationships" name="Grafica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0" fontId="7" fillId="0" borderId="0" pivotButton="0" quotePrefix="0" xfId="0"/>
    <xf numFmtId="164" fontId="18" fillId="6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Conicidad y ovalización de cilindros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Cilindros!H7</f>
              <strCache>
                <ptCount val="1"/>
                <pt idx="0">
                  <v>Conicidad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Cilindros!$A$8:$A$11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Cilindros!$H$8:$H$11</f>
              <numCache>
                <formatCode>0.000</formatCode>
                <ptCount val="4"/>
                <pt idx="0">
                  <v>0.0499999999999972</v>
                </pt>
                <pt idx="1">
                  <v>0.0600000000000023</v>
                </pt>
                <pt idx="2">
                  <v>0.0499999999999972</v>
                </pt>
                <pt idx="3">
                  <v>0.0700000000000074</v>
                </pt>
              </numCache>
            </numRef>
          </val>
        </ser>
        <ser>
          <idx val="1"/>
          <order val="1"/>
          <tx>
            <strRef>
              <f>Cilindros!I7</f>
              <strCache>
                <ptCount val="1"/>
                <pt idx="0">
                  <v>Ovalización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Cilindros!$A$8:$A$11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Cilindros!$I$8:$I$11</f>
              <numCache>
                <formatCode>0.000</formatCode>
                <ptCount val="4"/>
                <pt idx="0">
                  <v>0.0299999999999869</v>
                </pt>
                <pt idx="1">
                  <v>0.0300000000000011</v>
                </pt>
                <pt idx="2">
                  <v>0.0300000000000011</v>
                </pt>
                <pt idx="3">
                  <v>0.0300000000000011</v>
                </pt>
              </numCache>
            </numRef>
          </val>
        </ser>
        <gapWidth val="150"/>
        <overlap val="0"/>
        <axId val="91467195"/>
        <axId val="50666429"/>
      </barChart>
      <catAx>
        <axId val="914671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666429"/>
        <crosses val="autoZero"/>
        <auto val="1"/>
        <lblAlgn val="ctr"/>
        <lblOffset val="100"/>
        <noMultiLvlLbl val="0"/>
      </catAx>
      <valAx>
        <axId val="5066642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146719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Conicidad y ovalización de cilindros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Cilindros!H7</c:f>
              <c:strCache>
                <c:ptCount val="1"/>
                <c:pt idx="0">
                  <c:v>Conicidad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Cilindros!$A$8:$A$11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Cilindros!$H$8:$H$11</c:f>
              <c:numCache>
                <c:formatCode>0.000</c:formatCode>
                <c:ptCount val="4"/>
                <c:pt idx="0">
                  <c:v>0.0499999999999972</c:v>
                </c:pt>
                <c:pt idx="1">
                  <c:v>0.0600000000000023</c:v>
                </c:pt>
                <c:pt idx="2">
                  <c:v>0.0499999999999972</c:v>
                </c:pt>
                <c:pt idx="3">
                  <c:v>0.0700000000000074</c:v>
                </c:pt>
              </c:numCache>
            </c:numRef>
          </c:val>
        </c:ser>
        <c:ser>
          <c:idx val="1"/>
          <c:order val="1"/>
          <c:tx>
            <c:strRef>
              <c:f>Cilindros!I7</c:f>
              <c:strCache>
                <c:ptCount val="1"/>
                <c:pt idx="0">
                  <c:v>Ovalización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Cilindros!$A$8:$A$11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Cilindros!$I$8:$I$11</c:f>
              <c:numCache>
                <c:formatCode>0.000</c:formatCode>
                <c:ptCount val="4"/>
                <c:pt idx="0">
                  <c:v>0.0299999999999869</c:v>
                </c:pt>
                <c:pt idx="1">
                  <c:v>0.0300000000000011</c:v>
                </c:pt>
                <c:pt idx="2">
                  <c:v>0.0300000000000011</c:v>
                </c:pt>
                <c:pt idx="3">
                  <c:v>0.0300000000000011</c:v>
                </c:pt>
              </c:numCache>
            </c:numRef>
          </c:val>
        </c:ser>
        <c:gapWidth val="150"/>
        <c:overlap val="0"/>
        <c:axId val="91467195"/>
        <c:axId val="50666429"/>
      </c:barChart>
      <c:catAx>
        <c:axId val="91467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66429"/>
        <c:crosses val="autoZero"/>
        <c:auto val="1"/>
        <c:lblAlgn val="ctr"/>
        <c:lblOffset val="100"/>
        <c:noMultiLvlLbl val="0"/>
      </c:catAx>
      <c:valAx>
        <c:axId val="50666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7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3" min="1" max="1"/>
    <col width="8" customWidth="1" style="13" min="2" max="2"/>
    <col width="13" customWidth="1" style="13" min="3" max="3"/>
    <col width="13" customWidth="1" style="13" min="4" max="4"/>
    <col width="13" customWidth="1" style="13" min="5" max="5"/>
    <col width="15" customWidth="1" style="13" min="6" max="6"/>
    <col width="13" customWidth="1" style="13" min="7" max="7"/>
    <col width="13" customWidth="1" style="13" min="8" max="8"/>
    <col width="24" customWidth="1" style="13" min="9" max="9"/>
    <col width="60" customWidth="1" style="13" min="10" max="10"/>
  </cols>
  <sheetData>
    <row r="1">
      <c r="A1" s="14" t="inlineStr">
        <is>
          <t>ESPECIFICACIONES DEL FABRICANTE – MOTOR ASIGNADO</t>
        </is>
      </c>
    </row>
    <row r="3">
      <c r="A3" s="15" t="inlineStr">
        <is>
          <t>Motor asignado (elija de la lista):</t>
        </is>
      </c>
      <c r="C3" s="16" t="inlineStr">
        <is>
          <t>Daihatsu CB-20</t>
        </is>
      </c>
      <c r="D3" s="17" t="n"/>
      <c r="E3" s="18" t="n"/>
    </row>
    <row r="4" ht="45" customHeight="1" s="13">
      <c r="A4" s="19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3">
      <c r="A6" s="20" t="inlineStr">
        <is>
          <t>Comprobación</t>
        </is>
      </c>
      <c r="B6" s="20" t="inlineStr">
        <is>
          <t>Unidad</t>
        </is>
      </c>
      <c r="C6" s="20" t="inlineStr">
        <is>
          <t>Daihatsu CB-20</t>
        </is>
      </c>
      <c r="D6" s="20" t="inlineStr">
        <is>
          <t>Nissan A14</t>
        </is>
      </c>
      <c r="E6" s="20" t="inlineStr">
        <is>
          <t>Hyundai G4EC</t>
        </is>
      </c>
      <c r="F6" s="20" t="inlineStr">
        <is>
          <t>Chevrolet Monza 2.0</t>
        </is>
      </c>
      <c r="G6" s="20" t="inlineStr">
        <is>
          <t>Valor orientativo</t>
        </is>
      </c>
      <c r="H6" s="20" t="inlineStr">
        <is>
          <t>Valor aplicado</t>
        </is>
      </c>
      <c r="I6" s="20" t="inlineStr">
        <is>
          <t>Origen</t>
        </is>
      </c>
      <c r="J6" s="20" t="inlineStr">
        <is>
          <t>Fuente en el manual</t>
        </is>
      </c>
    </row>
    <row r="7">
      <c r="A7" s="21" t="inlineStr">
        <is>
          <t>Ovalización/conicidad máx. de muñones y muñequillas</t>
        </is>
      </c>
      <c r="B7" s="22" t="inlineStr">
        <is>
          <t>mm</t>
        </is>
      </c>
      <c r="C7" s="23" t="n">
        <v>0.01</v>
      </c>
      <c r="D7" s="23" t="n">
        <v>0.005</v>
      </c>
      <c r="E7" s="23" t="n">
        <v>0.005</v>
      </c>
      <c r="F7" s="23" t="n">
        <v>0.004</v>
      </c>
      <c r="G7" s="23" t="n">
        <v>0.01</v>
      </c>
      <c r="H7" s="24">
        <f>IF(ISNUMBER(INDEX($C7:$F7,MATCH($C$3,$C$6:$F$6,0))),INDEX($C7:$F7,MATCH($C$3,$C$6:$F$6,0)),IF(INDEX($C7:$F7,MATCH($C$3,$C$6:$F$6,0))&lt;&gt;"","",IF($G7="","",$G7)))</f>
        <v/>
      </c>
      <c r="I7" s="21">
        <f>IF(ISNUMBER(INDEX($C7:$F7,MATCH($C$3,$C$6:$F$6,0))),"Manual",IF(INDEX($C7:$F7,MATCH($C$3,$C$6:$F$6,0))&lt;&gt;"","No aplica a este motor",IF($G7="","Sin dato","Orientativo: el manual no lo especifica")))</f>
        <v/>
      </c>
      <c r="J7" s="21" t="inlineStr">
        <is>
          <t>Daihatsu Type CB, pp. 13-5 a 13-9 (col. CB-23/CB-61, mismo bloque y culata); Haynes p. 20; Hyundai Accent LC 1.6 DOHC (familia Alpha), EM General Information; GM Monza, pp. 6Z-01 a 6Z-03</t>
        </is>
      </c>
    </row>
    <row r="8">
      <c r="A8" s="21" t="inlineStr">
        <is>
          <t>Diámetro nominal del cilindro</t>
        </is>
      </c>
      <c r="B8" s="22" t="inlineStr">
        <is>
          <t>mm</t>
        </is>
      </c>
      <c r="C8" s="23" t="n">
        <v>76</v>
      </c>
      <c r="D8" s="23" t="n">
        <v>76</v>
      </c>
      <c r="E8" s="23" t="n">
        <v>75.5</v>
      </c>
      <c r="F8" s="23" t="n">
        <v>86</v>
      </c>
      <c r="G8" s="23" t="n">
        <v>78</v>
      </c>
      <c r="H8" s="24">
        <f>IF(ISNUMBER(INDEX($C8:$F8,MATCH($C$3,$C$6:$F$6,0))),INDEX($C8:$F8,MATCH($C$3,$C$6:$F$6,0)),IF(INDEX($C8:$F8,MATCH($C$3,$C$6:$F$6,0))&lt;&gt;"","",IF($G8="","",$G8)))</f>
        <v/>
      </c>
      <c r="I8" s="21">
        <f>IF(ISNUMBER(INDEX($C8:$F8,MATCH($C$3,$C$6:$F$6,0))),"Manual",IF(INDEX($C8:$F8,MATCH($C$3,$C$6:$F$6,0))&lt;&gt;"","No aplica a este motor",IF($G8="","Sin dato","Orientativo: el manual no lo especifica")))</f>
        <v/>
      </c>
      <c r="J8" s="21" t="inlineStr">
        <is>
          <t>CB-20: G10 p. 13; A14: Haynes p. 18; G4EC: dato del motor; Monza p. 6Z-01</t>
        </is>
      </c>
    </row>
    <row r="9">
      <c r="A9" s="21" t="inlineStr">
        <is>
          <t>Ovalización y conicidad máx. del cilindro</t>
        </is>
      </c>
      <c r="B9" s="22" t="inlineStr">
        <is>
          <t>mm</t>
        </is>
      </c>
      <c r="C9" s="23" t="n">
        <v>0.1</v>
      </c>
      <c r="D9" s="23" t="n">
        <v>0.015</v>
      </c>
      <c r="E9" s="23" t="n">
        <v>0.01</v>
      </c>
      <c r="F9" s="23" t="n">
        <v>0.127</v>
      </c>
      <c r="G9" s="23" t="n">
        <v>0.05</v>
      </c>
      <c r="H9" s="24">
        <f>IF(ISNUMBER(INDEX($C9:$F9,MATCH($C$3,$C$6:$F$6,0))),INDEX($C9:$F9,MATCH($C$3,$C$6:$F$6,0)),IF(INDEX($C9:$F9,MATCH($C$3,$C$6:$F$6,0))&lt;&gt;"","",IF($G9="","",$G9)))</f>
        <v/>
      </c>
      <c r="I9" s="21">
        <f>IF(ISNUMBER(INDEX($C9:$F9,MATCH($C$3,$C$6:$F$6,0))),"Manual",IF(INDEX($C9:$F9,MATCH($C$3,$C$6:$F$6,0))&lt;&gt;"","No aplica a este motor",IF($G9="","Sin dato","Orientativo: el manual no lo especifica")))</f>
        <v/>
      </c>
      <c r="J9" s="21" t="inlineStr">
        <is>
          <t>Daihatsu Type CB, pp. 13-5 a 13-9 (col. CB-23/CB-61, mismo bloque y culata); Haynes p. 19; Hyundai Accent LC 1.6 DOHC (familia Alpha), EM General Information; GM Monza, pp. 6Z-01 a 6Z-03</t>
        </is>
      </c>
    </row>
    <row r="10">
      <c r="A10" s="21" t="inlineStr">
        <is>
          <t>Alabeo máx. del plano de junta de la culata</t>
        </is>
      </c>
      <c r="B10" s="22" t="inlineStr">
        <is>
          <t>mm</t>
        </is>
      </c>
      <c r="C10" s="23" t="n">
        <v>0.1</v>
      </c>
      <c r="D10" s="23" t="n"/>
      <c r="E10" s="23" t="n">
        <v>0.1</v>
      </c>
      <c r="F10" s="23" t="n"/>
      <c r="G10" s="23" t="n">
        <v>0.05</v>
      </c>
      <c r="H10" s="24">
        <f>IF(ISNUMBER(INDEX($C10:$F10,MATCH($C$3,$C$6:$F$6,0))),INDEX($C10:$F10,MATCH($C$3,$C$6:$F$6,0)),IF(INDEX($C10:$F10,MATCH($C$3,$C$6:$F$6,0))&lt;&gt;"","",IF($G10="","",$G10)))</f>
        <v/>
      </c>
      <c r="I10" s="21">
        <f>IF(ISNUMBER(INDEX($C10:$F10,MATCH($C$3,$C$6:$F$6,0))),"Manual",IF(INDEX($C10:$F10,MATCH($C$3,$C$6:$F$6,0))&lt;&gt;"","No aplica a este motor",IF($G10="","Sin dato","Orientativo: el manual no lo especifica")))</f>
        <v/>
      </c>
      <c r="J10" s="21" t="inlineStr">
        <is>
          <t>CB p. 13-5; Hyundai: límite 0,10</t>
        </is>
      </c>
    </row>
    <row r="11">
      <c r="A11" s="21" t="inlineStr">
        <is>
          <t>Alabeo máx. del plano superior del bloque</t>
        </is>
      </c>
      <c r="B11" s="22" t="inlineStr">
        <is>
          <t>mm</t>
        </is>
      </c>
      <c r="C11" s="23" t="n">
        <v>0.1</v>
      </c>
      <c r="D11" s="23" t="n">
        <v>0.1</v>
      </c>
      <c r="E11" s="23" t="n"/>
      <c r="F11" s="23" t="n"/>
      <c r="G11" s="23" t="n">
        <v>0.05</v>
      </c>
      <c r="H11" s="24">
        <f>IF(ISNUMBER(INDEX($C11:$F11,MATCH($C$3,$C$6:$F$6,0))),INDEX($C11:$F11,MATCH($C$3,$C$6:$F$6,0)),IF(INDEX($C11:$F11,MATCH($C$3,$C$6:$F$6,0))&lt;&gt;"","",IF($G11="","",$G11)))</f>
        <v/>
      </c>
      <c r="I11" s="21">
        <f>IF(ISNUMBER(INDEX($C11:$F11,MATCH($C$3,$C$6:$F$6,0))),"Manual",IF(INDEX($C11:$F11,MATCH($C$3,$C$6:$F$6,0))&lt;&gt;"","No aplica a este motor",IF($G11="","Sin dato","Orientativo: el manual no lo especifica")))</f>
        <v/>
      </c>
      <c r="J11" s="21" t="inlineStr">
        <is>
          <t>CB p. 13-7; Haynes p. 19</t>
        </is>
      </c>
    </row>
    <row r="13" ht="48" customHeight="1" s="13">
      <c r="A13" s="19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3:J13"/>
  </mergeCells>
  <conditionalFormatting sqref="C7:F11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5" min="1" max="1"/>
    <col width="15" customWidth="1" style="25" min="2" max="5"/>
    <col width="14" customWidth="1" style="25" min="6" max="6"/>
    <col width="12" customWidth="1" style="25" min="7" max="8"/>
    <col width="20" customWidth="1" style="25" min="9" max="9"/>
  </cols>
  <sheetData>
    <row r="1" ht="17.35" customHeight="1" s="13">
      <c r="A1" s="26" t="inlineStr">
        <is>
          <t>SFM GUÍA 3 – METROLOGÍA DE PRECISIÓN</t>
        </is>
      </c>
    </row>
    <row r="2" ht="15" customHeight="1" s="13">
      <c r="A2" s="27" t="inlineStr">
        <is>
          <t>Conicidad = D_sup − D_inf;  Ovalización = D_transv − D_long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3">
      <c r="A4" s="29" t="inlineStr">
        <is>
          <t>Límite de conicidad/ovalización de muñones (mm)</t>
        </is>
      </c>
      <c r="E4" s="30">
        <f>Motor!$H$7</f>
        <v/>
      </c>
    </row>
    <row r="5"/>
    <row r="6" ht="31.5" customHeight="1" s="13">
      <c r="A6" s="31" t="inlineStr">
        <is>
          <t>Muñón</t>
        </is>
      </c>
      <c r="B6" s="31" t="inlineStr">
        <is>
          <t>Plano A, pos. 1</t>
        </is>
      </c>
      <c r="C6" s="31" t="inlineStr">
        <is>
          <t>Plano A, pos. 2</t>
        </is>
      </c>
      <c r="D6" s="31" t="inlineStr">
        <is>
          <t>Plano B, pos. 1</t>
        </is>
      </c>
      <c r="E6" s="31" t="inlineStr">
        <is>
          <t>Plano B, pos. 2</t>
        </is>
      </c>
      <c r="F6" s="31" t="inlineStr">
        <is>
          <t>Diámetro mín.</t>
        </is>
      </c>
      <c r="G6" s="31" t="inlineStr">
        <is>
          <t>Conicidad</t>
        </is>
      </c>
      <c r="H6" s="31" t="inlineStr">
        <is>
          <t>Ovalización</t>
        </is>
      </c>
      <c r="I6" s="31" t="inlineStr">
        <is>
          <t>Estado</t>
        </is>
      </c>
    </row>
    <row r="7" ht="15" customHeight="1" s="13">
      <c r="A7" s="32" t="n">
        <v>1</v>
      </c>
      <c r="B7" s="33" t="n"/>
      <c r="C7" s="33" t="n"/>
      <c r="D7" s="33" t="n"/>
      <c r="E7" s="33" t="n"/>
      <c r="F7" s="34">
        <f>IF(COUNTA(B7,C7,D7,E7)=0,"",MIN(B7:E7))</f>
        <v/>
      </c>
      <c r="G7" s="34">
        <f>IF(COUNTA(B7,C7,D7,E7)=0,"",MAX(ABS(B7-C7),ABS(D7-E7)))</f>
        <v/>
      </c>
      <c r="H7" s="34">
        <f>IF(COUNTA(B7,C7,D7,E7)=0,"",MAX(ABS(B7-D7),ABS(C7-E7)))</f>
        <v/>
      </c>
      <c r="I7" s="35">
        <f>IF(COUNTA(B7,C7,D7,E7)=0,"",IF(MAX(G7:H7)&lt;=$E$4,"Dentro de tolerancia","Rectificar"))</f>
        <v/>
      </c>
    </row>
    <row r="8" ht="15" customHeight="1" s="13">
      <c r="A8" s="32" t="n">
        <v>2</v>
      </c>
      <c r="B8" s="33" t="n"/>
      <c r="C8" s="33" t="n"/>
      <c r="D8" s="33" t="n"/>
      <c r="E8" s="33" t="n"/>
      <c r="F8" s="34">
        <f>IF(COUNTA(B8,C8,D8,E8)=0,"",MIN(B8:E8))</f>
        <v/>
      </c>
      <c r="G8" s="34">
        <f>IF(COUNTA(B8,C8,D8,E8)=0,"",MAX(ABS(B8-C8),ABS(D8-E8)))</f>
        <v/>
      </c>
      <c r="H8" s="34">
        <f>IF(COUNTA(B8,C8,D8,E8)=0,"",MAX(ABS(B8-D8),ABS(C8-E8)))</f>
        <v/>
      </c>
      <c r="I8" s="35">
        <f>IF(COUNTA(B8,C8,D8,E8)=0,"",IF(MAX(G8:H8)&lt;=$E$4,"Dentro de tolerancia","Rectificar"))</f>
        <v/>
      </c>
    </row>
    <row r="9" ht="15" customHeight="1" s="13">
      <c r="A9" s="32" t="n">
        <v>3</v>
      </c>
      <c r="B9" s="33" t="n"/>
      <c r="C9" s="33" t="n"/>
      <c r="D9" s="33" t="n"/>
      <c r="E9" s="33" t="n"/>
      <c r="F9" s="34">
        <f>IF(COUNTA(B9,C9,D9,E9)=0,"",MIN(B9:E9))</f>
        <v/>
      </c>
      <c r="G9" s="34">
        <f>IF(COUNTA(B9,C9,D9,E9)=0,"",MAX(ABS(B9-C9),ABS(D9-E9)))</f>
        <v/>
      </c>
      <c r="H9" s="34">
        <f>IF(COUNTA(B9,C9,D9,E9)=0,"",MAX(ABS(B9-D9),ABS(C9-E9)))</f>
        <v/>
      </c>
      <c r="I9" s="35">
        <f>IF(COUNTA(B9,C9,D9,E9)=0,"",IF(MAX(G9:H9)&lt;=$E$4,"Dentro de tolerancia","Rectificar"))</f>
        <v/>
      </c>
    </row>
    <row r="10" ht="15" customHeight="1" s="13">
      <c r="A10" s="32" t="n">
        <v>4</v>
      </c>
      <c r="B10" s="33" t="n"/>
      <c r="C10" s="33" t="n"/>
      <c r="D10" s="33" t="n"/>
      <c r="E10" s="33" t="n"/>
      <c r="F10" s="34">
        <f>IF(COUNTA(B10,C10,D10,E10)=0,"",MIN(B10:E10))</f>
        <v/>
      </c>
      <c r="G10" s="34">
        <f>IF(COUNTA(B10,C10,D10,E10)=0,"",MAX(ABS(B10-C10),ABS(D10-E10)))</f>
        <v/>
      </c>
      <c r="H10" s="34">
        <f>IF(COUNTA(B10,C10,D10,E10)=0,"",MAX(ABS(B10-D10),ABS(C10-E10)))</f>
        <v/>
      </c>
      <c r="I10" s="35">
        <f>IF(COUNTA(B10,C10,D10,E10)=0,"",IF(MAX(G10:H10)&lt;=$E$4,"Dentro de tolerancia","Rectificar"))</f>
        <v/>
      </c>
    </row>
    <row r="11" ht="15" customHeight="1" s="13">
      <c r="A11" s="32" t="n">
        <v>5</v>
      </c>
      <c r="B11" s="33" t="n"/>
      <c r="C11" s="33" t="n"/>
      <c r="D11" s="33" t="n"/>
      <c r="E11" s="33" t="n"/>
      <c r="F11" s="34">
        <f>IF(COUNTA(B11,C11,D11,E11)=0,"",MIN(B11:E11))</f>
        <v/>
      </c>
      <c r="G11" s="34">
        <f>IF(COUNTA(B11,C11,D11,E11)=0,"",MAX(ABS(B11-C11),ABS(D11-E11)))</f>
        <v/>
      </c>
      <c r="H11" s="34">
        <f>IF(COUNTA(B11,C11,D11,E11)=0,"",MAX(ABS(B11-D11),ABS(C11-E11)))</f>
        <v/>
      </c>
      <c r="I11" s="35">
        <f>IF(COUNTA(B11,C11,D11,E11)=0,"",IF(MAX(G11:H11)&lt;=$E$4,"Dentro de tolerancia","Rectificar"))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11" customWidth="1" style="25" min="2" max="2"/>
    <col width="12" customWidth="1" style="25" min="3" max="3"/>
    <col width="11" customWidth="1" style="25" min="4" max="4"/>
    <col width="12" customWidth="1" style="25" min="5" max="5"/>
    <col width="11" customWidth="1" style="25" min="6" max="6"/>
    <col width="12" customWidth="1" style="25" min="7" max="7"/>
    <col width="11" customWidth="1" style="25" min="8" max="8"/>
    <col width="12" customWidth="1" style="25" min="9" max="9"/>
    <col width="13" customWidth="1" style="25" min="10" max="10"/>
    <col width="20" customWidth="1" style="25" min="11" max="11"/>
  </cols>
  <sheetData>
    <row r="1" ht="17.35" customHeight="1" s="13">
      <c r="A1" s="26" t="inlineStr">
        <is>
          <t>Medición de cilindros con alexómetro</t>
        </is>
      </c>
    </row>
    <row r="2" ht="15" customHeight="1" s="13">
      <c r="A2" s="27" t="inlineStr">
        <is>
          <t>Valores en mm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3">
      <c r="A4" s="29" t="inlineStr">
        <is>
          <t>Diámetro nominal (mm)</t>
        </is>
      </c>
      <c r="D4" s="30">
        <f>Motor!$H$8</f>
        <v/>
      </c>
    </row>
    <row r="5" ht="15" customHeight="1" s="13">
      <c r="A5" s="29" t="inlineStr">
        <is>
          <t>Límite de conicidad/ovalización (mm)</t>
        </is>
      </c>
      <c r="D5" s="30">
        <f>Motor!$H$9</f>
        <v/>
      </c>
    </row>
    <row r="6"/>
    <row r="7" ht="31.5" customHeight="1" s="13">
      <c r="A7" s="31" t="inlineStr">
        <is>
          <t>Cilindro</t>
        </is>
      </c>
      <c r="B7" s="31" t="inlineStr">
        <is>
          <t>Sup. long.</t>
        </is>
      </c>
      <c r="C7" s="31" t="inlineStr">
        <is>
          <t>Sup. transv.</t>
        </is>
      </c>
      <c r="D7" s="31" t="inlineStr">
        <is>
          <t>Med. long.</t>
        </is>
      </c>
      <c r="E7" s="31" t="inlineStr">
        <is>
          <t>Med. transv.</t>
        </is>
      </c>
      <c r="F7" s="31" t="inlineStr">
        <is>
          <t>Inf. long.</t>
        </is>
      </c>
      <c r="G7" s="31" t="inlineStr">
        <is>
          <t>Inf. transv.</t>
        </is>
      </c>
      <c r="H7" s="31" t="inlineStr">
        <is>
          <t>Conicidad</t>
        </is>
      </c>
      <c r="I7" s="31" t="inlineStr">
        <is>
          <t>Ovalización</t>
        </is>
      </c>
      <c r="J7" s="31" t="inlineStr">
        <is>
          <t>Desgaste máx.</t>
        </is>
      </c>
      <c r="K7" s="31" t="inlineStr">
        <is>
          <t>Estado</t>
        </is>
      </c>
    </row>
    <row r="8" ht="15" customHeight="1" s="13">
      <c r="A8" s="32" t="n">
        <v>1</v>
      </c>
      <c r="B8" s="33" t="n"/>
      <c r="C8" s="33" t="n"/>
      <c r="D8" s="33" t="n"/>
      <c r="E8" s="33" t="n"/>
      <c r="F8" s="33" t="n"/>
      <c r="G8" s="33" t="n"/>
      <c r="H8" s="34">
        <f>IF(COUNTA(B8,C8,F8,G8)=0,"",MAX(B8:C8)-MAX(F8:G8))</f>
        <v/>
      </c>
      <c r="I8" s="34">
        <f>IF(COUNTA(B8,C8,D8,E8,F8,G8)=0,"",MAX(C8-B8,E8-D8,G8-F8))</f>
        <v/>
      </c>
      <c r="J8" s="34">
        <f>IF(COUNTA(B8,C8,D8,E8,F8,G8)=0,"",MAX(B8:G8)-$D$4)</f>
        <v/>
      </c>
      <c r="K8" s="35">
        <f>IF(COUNTA(B8,C8,D8,E8,F8,G8)=0,"",IF(MAX(H8:I8)&lt;=$D$5,"Dentro de tolerancia","Rectificar"))</f>
        <v/>
      </c>
    </row>
    <row r="9" ht="15" customHeight="1" s="13">
      <c r="A9" s="32" t="n">
        <v>2</v>
      </c>
      <c r="B9" s="33" t="n"/>
      <c r="C9" s="33" t="n"/>
      <c r="D9" s="33" t="n"/>
      <c r="E9" s="33" t="n"/>
      <c r="F9" s="33" t="n"/>
      <c r="G9" s="33" t="n"/>
      <c r="H9" s="34">
        <f>IF(COUNTA(B9,C9,F9,G9)=0,"",MAX(B9:C9)-MAX(F9:G9))</f>
        <v/>
      </c>
      <c r="I9" s="34">
        <f>IF(COUNTA(B9,C9,D9,E9,F9,G9)=0,"",MAX(C9-B9,E9-D9,G9-F9))</f>
        <v/>
      </c>
      <c r="J9" s="34">
        <f>IF(COUNTA(B9,C9,D9,E9,F9,G9)=0,"",MAX(B9:G9)-$D$4)</f>
        <v/>
      </c>
      <c r="K9" s="35">
        <f>IF(COUNTA(B9,C9,D9,E9,F9,G9)=0,"",IF(MAX(H9:I9)&lt;=$D$5,"Dentro de tolerancia","Rectificar"))</f>
        <v/>
      </c>
    </row>
    <row r="10" ht="15" customHeight="1" s="13">
      <c r="A10" s="32" t="n">
        <v>3</v>
      </c>
      <c r="B10" s="33" t="n"/>
      <c r="C10" s="33" t="n"/>
      <c r="D10" s="33" t="n"/>
      <c r="E10" s="33" t="n"/>
      <c r="F10" s="33" t="n"/>
      <c r="G10" s="33" t="n"/>
      <c r="H10" s="34">
        <f>IF(COUNTA(B10,C10,F10,G10)=0,"",MAX(B10:C10)-MAX(F10:G10))</f>
        <v/>
      </c>
      <c r="I10" s="34">
        <f>IF(COUNTA(B10,C10,D10,E10,F10,G10)=0,"",MAX(C10-B10,E10-D10,G10-F10))</f>
        <v/>
      </c>
      <c r="J10" s="34">
        <f>IF(COUNTA(B10,C10,D10,E10,F10,G10)=0,"",MAX(B10:G10)-$D$4)</f>
        <v/>
      </c>
      <c r="K10" s="35">
        <f>IF(COUNTA(B10,C10,D10,E10,F10,G10)=0,"",IF(MAX(H10:I10)&lt;=$D$5,"Dentro de tolerancia","Rectificar"))</f>
        <v/>
      </c>
    </row>
    <row r="11" ht="15" customHeight="1" s="13">
      <c r="A11" s="32" t="n">
        <v>4</v>
      </c>
      <c r="B11" s="33" t="n"/>
      <c r="C11" s="33" t="n"/>
      <c r="D11" s="33" t="n"/>
      <c r="E11" s="33" t="n"/>
      <c r="F11" s="33" t="n"/>
      <c r="G11" s="33" t="n"/>
      <c r="H11" s="34">
        <f>IF(COUNTA(B11,C11,F11,G11)=0,"",MAX(B11:C11)-MAX(F11:G11))</f>
        <v/>
      </c>
      <c r="I11" s="34">
        <f>IF(COUNTA(B11,C11,D11,E11,F11,G11)=0,"",MAX(C11-B11,E11-D11,G11-F11))</f>
        <v/>
      </c>
      <c r="J11" s="34">
        <f>IF(COUNTA(B11,C11,D11,E11,F11,G11)=0,"",MAX(B11:G11)-$D$4)</f>
        <v/>
      </c>
      <c r="K11" s="35">
        <f>IF(COUNTA(B11,C11,D11,E11,F11,G11)=0,"",IF(MAX(H11:I11)&lt;=$D$5,"Dentro de tolerancia","Rectificar"))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" min="1" max="1"/>
    <col width="14" customWidth="1" style="25" min="2" max="3"/>
    <col width="16" customWidth="1" style="25" min="4" max="5"/>
  </cols>
  <sheetData>
    <row r="1" ht="17.35" customHeight="1" s="13">
      <c r="A1" s="26" t="inlineStr">
        <is>
          <t>Planitud de la culata y del bloque</t>
        </is>
      </c>
    </row>
    <row r="2" ht="15" customHeight="1" s="13">
      <c r="A2" s="27" t="inlineStr">
        <is>
          <t>Galga máxima que entra bajo la regla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3">
      <c r="A4" s="29" t="inlineStr">
        <is>
          <t>Límite de planitud de la culata (mm)</t>
        </is>
      </c>
      <c r="C4" s="30">
        <f>Motor!$H$10</f>
        <v/>
      </c>
    </row>
    <row r="5">
      <c r="A5" s="36" t="inlineStr">
        <is>
          <t>Límite de planitud del bloque (mm)</t>
        </is>
      </c>
      <c r="C5" s="37">
        <f>Motor!$H$11</f>
        <v/>
      </c>
    </row>
    <row r="6" ht="31.5" customHeight="1" s="13">
      <c r="A6" s="31" t="inlineStr">
        <is>
          <t>Posición</t>
        </is>
      </c>
      <c r="B6" s="31" t="inlineStr">
        <is>
          <t>Culata (mm)</t>
        </is>
      </c>
      <c r="C6" s="31" t="inlineStr">
        <is>
          <t>Bloque (mm)</t>
        </is>
      </c>
      <c r="D6" s="31" t="inlineStr">
        <is>
          <t>Estado culata</t>
        </is>
      </c>
      <c r="E6" s="31" t="inlineStr">
        <is>
          <t>Estado bloque</t>
        </is>
      </c>
    </row>
    <row r="7" ht="15" customHeight="1" s="13">
      <c r="A7" s="32" t="inlineStr">
        <is>
          <t>Longitudinal izquierda</t>
        </is>
      </c>
      <c r="B7" s="38" t="n"/>
      <c r="C7" s="38" t="n"/>
      <c r="D7" s="35">
        <f>IF(COUNTA(B7)=0,"",IF(B7&lt;=$C$4,"Correcto","Planificar"))</f>
        <v/>
      </c>
      <c r="E7" s="35">
        <f>IF(COUNTA(C7)=0,"",IF(C7&lt;=$C$5,"Correcto","Planificar"))</f>
        <v/>
      </c>
    </row>
    <row r="8" ht="15" customHeight="1" s="13">
      <c r="A8" s="32" t="inlineStr">
        <is>
          <t>Longitudinal central</t>
        </is>
      </c>
      <c r="B8" s="38" t="n"/>
      <c r="C8" s="38" t="n"/>
      <c r="D8" s="35">
        <f>IF(COUNTA(B8)=0,"",IF(B8&lt;=$C$4,"Correcto","Planificar"))</f>
        <v/>
      </c>
      <c r="E8" s="35">
        <f>IF(COUNTA(C8)=0,"",IF(C8&lt;=$C$5,"Correcto","Planificar"))</f>
        <v/>
      </c>
    </row>
    <row r="9" ht="15" customHeight="1" s="13">
      <c r="A9" s="32" t="inlineStr">
        <is>
          <t>Longitudinal derecha</t>
        </is>
      </c>
      <c r="B9" s="38" t="n"/>
      <c r="C9" s="38" t="n"/>
      <c r="D9" s="35">
        <f>IF(COUNTA(B9)=0,"",IF(B9&lt;=$C$4,"Correcto","Planificar"))</f>
        <v/>
      </c>
      <c r="E9" s="35">
        <f>IF(COUNTA(C9)=0,"",IF(C9&lt;=$C$5,"Correcto","Planificar"))</f>
        <v/>
      </c>
    </row>
    <row r="10" ht="15" customHeight="1" s="13">
      <c r="A10" s="32" t="inlineStr">
        <is>
          <t>Transversal</t>
        </is>
      </c>
      <c r="B10" s="38" t="n"/>
      <c r="C10" s="38" t="n"/>
      <c r="D10" s="35">
        <f>IF(COUNTA(B10)=0,"",IF(B10&lt;=$C$4,"Correcto","Planificar"))</f>
        <v/>
      </c>
      <c r="E10" s="35">
        <f>IF(COUNTA(C10)=0,"",IF(C10&lt;=$C$5,"Correcto","Planificar"))</f>
        <v/>
      </c>
    </row>
    <row r="11" ht="15" customHeight="1" s="13">
      <c r="A11" s="32" t="inlineStr">
        <is>
          <t>Diagonal 1</t>
        </is>
      </c>
      <c r="B11" s="38" t="n"/>
      <c r="C11" s="38" t="n"/>
      <c r="D11" s="35">
        <f>IF(COUNTA(B11)=0,"",IF(B11&lt;=$C$4,"Correcto","Planificar"))</f>
        <v/>
      </c>
      <c r="E11" s="35">
        <f>IF(COUNTA(C11)=0,"",IF(C11&lt;=$C$5,"Correcto","Planificar"))</f>
        <v/>
      </c>
    </row>
    <row r="12" ht="15" customHeight="1" s="13">
      <c r="A12" s="32" t="inlineStr">
        <is>
          <t>Diagonal 2</t>
        </is>
      </c>
      <c r="B12" s="38" t="n"/>
      <c r="C12" s="38" t="n"/>
      <c r="D12" s="35">
        <f>IF(COUNTA(B12)=0,"",IF(B12&lt;=$C$4,"Correcto","Planificar"))</f>
        <v/>
      </c>
      <c r="E12" s="35">
        <f>IF(COUNTA(C12)=0,"",IF(C12&lt;=$C$5,"Correcto","Planificar"))</f>
        <v/>
      </c>
    </row>
    <row r="13" ht="15" customHeight="1" s="13">
      <c r="A13" s="39" t="inlineStr">
        <is>
          <t>Máximo</t>
        </is>
      </c>
      <c r="B13" s="40">
        <f>IF(COUNTA(B7,B8,B9,B10,B11,B12)=0,"",MAX(B7:B12))</f>
        <v/>
      </c>
      <c r="C13" s="40">
        <f>IF(COUNTA(C7,C8,C9,C10,C11,C12)=0,"",MAX(C7:C12))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2026-09-15T21:30:21Z</dcterms:created>
  <dcterms:modified xmlns:dcterms="http://purl.org/dc/terms/" xmlns:xsi="http://www.w3.org/2001/XMLSchema-instance" xsi:type="dcterms:W3CDTF">2026-10-16T11:46:45Z</dcterms:modified>
  <cp:revision>1</cp:revision>
</cp:coreProperties>
</file>