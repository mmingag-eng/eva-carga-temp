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sel" sheetId="1" state="visible" r:id="rId3"/>
    <sheet name="Puntos" sheetId="2" state="visible" r:id="rId4"/>
    <sheet name="Graficas" sheetId="3" state="visible" r:id="rId5"/>
    <sheet name="Angulo" sheetId="4" state="visible" r:id="rId6"/>
    <sheet name="Parametric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<sst xmlns="http://schemas.openxmlformats.org/spreadsheetml/2006/main" count="432" uniqueCount="138">
  <si>
    <t xml:space="preserve">GUÍA 7 – CICLO DIESEL IDEAL: DIAGRAMAS P–v, P–V, T–s Y P–θ</t>
  </si>
  <si>
    <t xml:space="preserve">η = 1 − (1/r^(γ−1))·[(r_c^γ − 1)/(γ(r_c − 1))]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</si>
  <si>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</si>
  <si>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</si>
  <si>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</si>
  <si>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</si>
  <si>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</si>
  <si>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</si>
  <si>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Presión inicial (Loja)</t>
  </si>
  <si>
    <t xml:space="preserve">P1</t>
  </si>
  <si>
    <t xml:space="preserve">kPa</t>
  </si>
  <si>
    <t xml:space="preserve">Temperatura inicial</t>
  </si>
  <si>
    <t xml:space="preserve">T1</t>
  </si>
  <si>
    <t xml:space="preserve">K</t>
  </si>
  <si>
    <t xml:space="preserve">Relación de compresión</t>
  </si>
  <si>
    <t xml:space="preserve">r</t>
  </si>
  <si>
    <t xml:space="preserve">—</t>
  </si>
  <si>
    <t xml:space="preserve">Relación de corte r_c</t>
  </si>
  <si>
    <t xml:space="preserve">rc</t>
  </si>
  <si>
    <t xml:space="preserve">Relación de calores específicos γ</t>
  </si>
  <si>
    <t xml:space="preserve">g</t>
  </si>
  <si>
    <t xml:space="preserve">Calor específico a v cte</t>
  </si>
  <si>
    <t xml:space="preserve">cv</t>
  </si>
  <si>
    <t xml:space="preserve">kJ/(kg·K)</t>
  </si>
  <si>
    <t xml:space="preserve">Calor específico a P cte</t>
  </si>
  <si>
    <t xml:space="preserve">cp</t>
  </si>
  <si>
    <t xml:space="preserve">Constante del aire</t>
  </si>
  <si>
    <t xml:space="preserve">R</t>
  </si>
  <si>
    <t xml:space="preserve">Diámetro del cilindro</t>
  </si>
  <si>
    <t xml:space="preserve">D</t>
  </si>
  <si>
    <t xml:space="preserve">cm</t>
  </si>
  <si>
    <t xml:space="preserve">Carrera</t>
  </si>
  <si>
    <t xml:space="preserve">S</t>
  </si>
  <si>
    <t xml:space="preserve">Número de cilindros</t>
  </si>
  <si>
    <t xml:space="preserve">Z</t>
  </si>
  <si>
    <t xml:space="preserve">Longitud de la biela</t>
  </si>
  <si>
    <t xml:space="preserve">Lb</t>
  </si>
  <si>
    <t xml:space="preserve">Régimen de giro</t>
  </si>
  <si>
    <t xml:space="preserve">n</t>
  </si>
  <si>
    <t xml:space="preserve">rpm</t>
  </si>
  <si>
    <t xml:space="preserve">Geometría (ecuaciones de la guía original) y masa de aire</t>
  </si>
  <si>
    <t xml:space="preserve">Magnitud</t>
  </si>
  <si>
    <t xml:space="preserve">Ecuación</t>
  </si>
  <si>
    <t xml:space="preserve">Área del pistón</t>
  </si>
  <si>
    <t xml:space="preserve">A_P = π·D²/4</t>
  </si>
  <si>
    <t xml:space="preserve">cm²</t>
  </si>
  <si>
    <t xml:space="preserve">Volumen del cilindro</t>
  </si>
  <si>
    <t xml:space="preserve">V_C = A_P·S</t>
  </si>
  <si>
    <t xml:space="preserve">cm³</t>
  </si>
  <si>
    <t xml:space="preserve">Volumen de la cámara</t>
  </si>
  <si>
    <t xml:space="preserve">V_CC = V_C/(r − 1)</t>
  </si>
  <si>
    <t xml:space="preserve">Volumen unitario</t>
  </si>
  <si>
    <t xml:space="preserve">V_u = V_C + V_CC</t>
  </si>
  <si>
    <t xml:space="preserve">Relación biela–manivela</t>
  </si>
  <si>
    <t xml:space="preserve">λ = (S/2)/L</t>
  </si>
  <si>
    <t xml:space="preserve">Volumen específico en 1</t>
  </si>
  <si>
    <t xml:space="preserve">v1 = R·T1/P1</t>
  </si>
  <si>
    <t xml:space="preserve">m³/kg</t>
  </si>
  <si>
    <t xml:space="preserve">Masa de aire por cilindro</t>
  </si>
  <si>
    <t xml:space="preserve">m = V_u/v1</t>
  </si>
  <si>
    <t xml:space="preserve">kg</t>
  </si>
  <si>
    <t xml:space="preserve">Estados del ciclo (s referida al estado 1)</t>
  </si>
  <si>
    <t xml:space="preserve">Estado</t>
  </si>
  <si>
    <t xml:space="preserve">P (kPa)</t>
  </si>
  <si>
    <t xml:space="preserve">T (K)</t>
  </si>
  <si>
    <t xml:space="preserve">v (m³/kg)</t>
  </si>
  <si>
    <t xml:space="preserve">s (kJ/kg·K)</t>
  </si>
  <si>
    <t xml:space="preserve">V (cm³)</t>
  </si>
  <si>
    <t xml:space="preserve">Balance por proceso (por unidad de masa): Q − W = ΔU</t>
  </si>
  <si>
    <t xml:space="preserve">Proceso</t>
  </si>
  <si>
    <t xml:space="preserve">Tipo</t>
  </si>
  <si>
    <t xml:space="preserve">Q (kJ/kg)</t>
  </si>
  <si>
    <t xml:space="preserve">W (kJ/kg)</t>
  </si>
  <si>
    <t xml:space="preserve">ΔU (kJ/kg)</t>
  </si>
  <si>
    <t xml:space="preserve">Δs (kJ/kg·K)</t>
  </si>
  <si>
    <t xml:space="preserve">Q − W − ΔU</t>
  </si>
  <si>
    <t xml:space="preserve">1→2</t>
  </si>
  <si>
    <t xml:space="preserve">Compresión adiabática</t>
  </si>
  <si>
    <t xml:space="preserve">2→3</t>
  </si>
  <si>
    <t xml:space="preserve">Aporte de calor a P cte</t>
  </si>
  <si>
    <t xml:space="preserve">3→4</t>
  </si>
  <si>
    <t xml:space="preserve">Expansión adiabática</t>
  </si>
  <si>
    <t xml:space="preserve">4→1</t>
  </si>
  <si>
    <t xml:space="preserve">Cesión de calor a v cte</t>
  </si>
  <si>
    <t xml:space="preserve">Ciclo</t>
  </si>
  <si>
    <t xml:space="preserve">Convención: Q &gt; 0 recibido por el gas; W &gt; 0 realizado por el gas. En el ciclo ΔU = 0 y Δs = 0 (pequeñas diferencias se deben a redondeos de c_p y c_v).</t>
  </si>
  <si>
    <t xml:space="preserve">Resultados del ciclo</t>
  </si>
  <si>
    <t xml:space="preserve">Calor aportado</t>
  </si>
  <si>
    <t xml:space="preserve">q_ent</t>
  </si>
  <si>
    <t xml:space="preserve">kJ/kg</t>
  </si>
  <si>
    <t xml:space="preserve">Calor cedido</t>
  </si>
  <si>
    <t xml:space="preserve">q_sal</t>
  </si>
  <si>
    <t xml:space="preserve">Trabajo neto</t>
  </si>
  <si>
    <t xml:space="preserve">w = Σ W</t>
  </si>
  <si>
    <t xml:space="preserve">Eficiencia térmica (balance)</t>
  </si>
  <si>
    <t xml:space="preserve">η = w/q_ent</t>
  </si>
  <si>
    <t xml:space="preserve">%</t>
  </si>
  <si>
    <t xml:space="preserve">Eficiencia (fórmula)</t>
  </si>
  <si>
    <t xml:space="preserve">η_Diesel</t>
  </si>
  <si>
    <t xml:space="preserve">Eficiencia Otto con igual r</t>
  </si>
  <si>
    <t xml:space="preserve">η = 1 − 1/r^(γ−1)</t>
  </si>
  <si>
    <t xml:space="preserve">Eficiencia de Carnot entre T máx y T mín</t>
  </si>
  <si>
    <t xml:space="preserve">η_C = 1 − T_mín/T_máx</t>
  </si>
  <si>
    <t xml:space="preserve">Temperatura media de aporte de calor</t>
  </si>
  <si>
    <t xml:space="preserve">T_m = q_ent/Δs_ent</t>
  </si>
  <si>
    <t xml:space="preserve">Presión media efectiva</t>
  </si>
  <si>
    <t xml:space="preserve">PME = w/(v_máx − v_mín)</t>
  </si>
  <si>
    <t xml:space="preserve">Presión máxima</t>
  </si>
  <si>
    <t xml:space="preserve">P_máx</t>
  </si>
  <si>
    <t xml:space="preserve">Temperatura máxima</t>
  </si>
  <si>
    <t xml:space="preserve">T_máx</t>
  </si>
  <si>
    <t xml:space="preserve">Trabajo por ciclo (un cilindro)</t>
  </si>
  <si>
    <t xml:space="preserve">W_ciclo = w·m</t>
  </si>
  <si>
    <t xml:space="preserve">J</t>
  </si>
  <si>
    <t xml:space="preserve">Calor aportado por ciclo</t>
  </si>
  <si>
    <t xml:space="preserve">Q_ciclo = q_ent·m</t>
  </si>
  <si>
    <t xml:space="preserve">Potencia teórica indicada</t>
  </si>
  <si>
    <t xml:space="preserve">P = W_ciclo·Z·n/120</t>
  </si>
  <si>
    <t xml:space="preserve">kW</t>
  </si>
  <si>
    <t xml:space="preserve">Relación de trabajo de retroceso</t>
  </si>
  <si>
    <t xml:space="preserve">bwr = |W_comp|/W_exp</t>
  </si>
  <si>
    <t xml:space="preserve">Puntos de los diagramas (20 por proceso)</t>
  </si>
  <si>
    <t xml:space="preserve">Columnas: proceso, fracción, v, T, P, s, V</t>
  </si>
  <si>
    <t xml:space="preserve">t</t>
  </si>
  <si>
    <t xml:space="preserve">Presión y temperatura en función del ángulo del cigüeñal (ciclo ideal de 720°)</t>
  </si>
  <si>
    <t xml:space="preserve">V(θ) = V_CC + (V_C/2)·[(1 − cos θ) + (1/λ)(1 − √(1 − λ²·sen²θ))]</t>
  </si>
  <si>
    <t xml:space="preserve">θ (°)</t>
  </si>
  <si>
    <t xml:space="preserve">Tiempo</t>
  </si>
  <si>
    <t xml:space="preserve">Ciclo ideal: la combustión ocurre en el PMS (360°) y el escape baja la presión a P1 en el PMI (540°). En admisión y escape se asigna T = T1 (el modelo ideal no describe la renovación de la carga).</t>
  </si>
  <si>
    <t xml:space="preserve">Admisión</t>
  </si>
  <si>
    <t xml:space="preserve">Compresión</t>
  </si>
  <si>
    <t xml:space="preserve">Expansión</t>
  </si>
  <si>
    <t xml:space="preserve">Escape</t>
  </si>
  <si>
    <t xml:space="preserve">Comparación Otto–Diesel y efecto de r_c</t>
  </si>
  <si>
    <t xml:space="preserve">η Otto (%)</t>
  </si>
  <si>
    <t xml:space="preserve">η Diesel r_c=1,5 (%)</t>
  </si>
  <si>
    <t xml:space="preserve">η Diesel r_c=2 (%)</t>
  </si>
  <si>
    <t xml:space="preserve">η Diesel r_c=3 (%)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</si>
</sst>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00"/>
    <numFmt numFmtId="167" formatCode="0.000000"/>
    <numFmt numFmtId="168" formatCode="0.00"/>
    <numFmt numFmtId="169" formatCode="0.00000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1.03569798987342</c:v>
                </c:pt>
                <c:pt idx="2">
                  <c:v>0.981523591350211</c:v>
                </c:pt>
                <c:pt idx="3">
                  <c:v>0.92734816350211</c:v>
                </c:pt>
                <c:pt idx="4">
                  <c:v>0.873173764978903</c:v>
                </c:pt>
                <c:pt idx="5">
                  <c:v>0.818998337130802</c:v>
                </c:pt>
                <c:pt idx="6">
                  <c:v>0.764823938607595</c:v>
                </c:pt>
                <c:pt idx="7">
                  <c:v>0.710648510759494</c:v>
                </c:pt>
                <c:pt idx="8">
                  <c:v>0.656473082911393</c:v>
                </c:pt>
                <c:pt idx="9">
                  <c:v>0.602298684388186</c:v>
                </c:pt>
                <c:pt idx="10">
                  <c:v>0.548123256540084</c:v>
                </c:pt>
                <c:pt idx="11">
                  <c:v>0.493948858016878</c:v>
                </c:pt>
                <c:pt idx="12">
                  <c:v>0.439773430168776</c:v>
                </c:pt>
                <c:pt idx="13">
                  <c:v>0.385598002320675</c:v>
                </c:pt>
                <c:pt idx="14">
                  <c:v>0.331423603797468</c:v>
                </c:pt>
                <c:pt idx="15">
                  <c:v>0.277248175949367</c:v>
                </c:pt>
                <c:pt idx="16">
                  <c:v>0.22307377742616</c:v>
                </c:pt>
                <c:pt idx="17">
                  <c:v>0.168898349578059</c:v>
                </c:pt>
                <c:pt idx="18">
                  <c:v>0.114723951054852</c:v>
                </c:pt>
                <c:pt idx="19">
                  <c:v>0.0605485232067511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84.8451826302913</c:v>
                </c:pt>
                <c:pt idx="2">
                  <c:v>91.4729185528877</c:v>
                </c:pt>
                <c:pt idx="3">
                  <c:v>99.0406843997702</c:v>
                </c:pt>
                <c:pt idx="4">
                  <c:v>107.748845492921</c:v>
                </c:pt>
                <c:pt idx="5">
                  <c:v>117.857533369891</c:v>
                </c:pt>
                <c:pt idx="6">
                  <c:v>129.708224259372</c:v>
                </c:pt>
                <c:pt idx="7">
                  <c:v>143.759576643057</c:v>
                </c:pt>
                <c:pt idx="8">
                  <c:v>160.638589632611</c:v>
                </c:pt>
                <c:pt idx="9">
                  <c:v>181.224493727034</c:v>
                </c:pt>
                <c:pt idx="10">
                  <c:v>206.787391306559</c:v>
                </c:pt>
                <c:pt idx="11">
                  <c:v>239.220721299171</c:v>
                </c:pt>
                <c:pt idx="12">
                  <c:v>281.470570718683</c:v>
                </c:pt>
                <c:pt idx="13">
                  <c:v>338.348994455763</c:v>
                </c:pt>
                <c:pt idx="14">
                  <c:v>418.23152546802</c:v>
                </c:pt>
                <c:pt idx="15">
                  <c:v>536.954391900774</c:v>
                </c:pt>
                <c:pt idx="16">
                  <c:v>727.990388490505</c:v>
                </c:pt>
                <c:pt idx="17">
                  <c:v>1074.67713138503</c:v>
                </c:pt>
                <c:pt idx="18">
                  <c:v>1846.8764424889</c:v>
                </c:pt>
                <c:pt idx="19">
                  <c:v>4518.64890591423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0.0605485232067511</c:v>
                </c:pt>
                <c:pt idx="1">
                  <c:v>0.0637353130801688</c:v>
                </c:pt>
                <c:pt idx="2">
                  <c:v>0.0669220424050633</c:v>
                </c:pt>
                <c:pt idx="3">
                  <c:v>0.070108832278481</c:v>
                </c:pt>
                <c:pt idx="4">
                  <c:v>0.0732955616033755</c:v>
                </c:pt>
                <c:pt idx="5">
                  <c:v>0.0764823514767933</c:v>
                </c:pt>
                <c:pt idx="6">
                  <c:v>0.0796690808016878</c:v>
                </c:pt>
                <c:pt idx="7">
                  <c:v>0.0828558706751055</c:v>
                </c:pt>
                <c:pt idx="8">
                  <c:v>0.0860426605485232</c:v>
                </c:pt>
                <c:pt idx="9">
                  <c:v>0.0892293898734177</c:v>
                </c:pt>
                <c:pt idx="10">
                  <c:v>0.0924161797468354</c:v>
                </c:pt>
                <c:pt idx="11">
                  <c:v>0.09560290907173</c:v>
                </c:pt>
                <c:pt idx="12">
                  <c:v>0.0987896989451477</c:v>
                </c:pt>
                <c:pt idx="13">
                  <c:v>0.101976488818565</c:v>
                </c:pt>
                <c:pt idx="14">
                  <c:v>0.10516321814346</c:v>
                </c:pt>
                <c:pt idx="15">
                  <c:v>0.108350008016878</c:v>
                </c:pt>
                <c:pt idx="16">
                  <c:v>0.111536737341772</c:v>
                </c:pt>
                <c:pt idx="17">
                  <c:v>0.11472352721519</c:v>
                </c:pt>
                <c:pt idx="18">
                  <c:v>0.117910256540084</c:v>
                </c:pt>
                <c:pt idx="19">
                  <c:v>0.121097046413502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4518.64890591423</c:v>
                </c:pt>
                <c:pt idx="1">
                  <c:v>4518.64890591423</c:v>
                </c:pt>
                <c:pt idx="2">
                  <c:v>4518.64890591423</c:v>
                </c:pt>
                <c:pt idx="3">
                  <c:v>4518.64890591423</c:v>
                </c:pt>
                <c:pt idx="4">
                  <c:v>4518.64890591423</c:v>
                </c:pt>
                <c:pt idx="5">
                  <c:v>4518.64890591423</c:v>
                </c:pt>
                <c:pt idx="6">
                  <c:v>4518.64890591423</c:v>
                </c:pt>
                <c:pt idx="7">
                  <c:v>4518.64890591423</c:v>
                </c:pt>
                <c:pt idx="8">
                  <c:v>4518.64890591423</c:v>
                </c:pt>
                <c:pt idx="9">
                  <c:v>4518.64890591423</c:v>
                </c:pt>
                <c:pt idx="10">
                  <c:v>4518.64890591423</c:v>
                </c:pt>
                <c:pt idx="11">
                  <c:v>4518.64890591423</c:v>
                </c:pt>
                <c:pt idx="12">
                  <c:v>4518.64890591423</c:v>
                </c:pt>
                <c:pt idx="13">
                  <c:v>4518.64890591423</c:v>
                </c:pt>
                <c:pt idx="14">
                  <c:v>4518.64890591423</c:v>
                </c:pt>
                <c:pt idx="15">
                  <c:v>4518.64890591423</c:v>
                </c:pt>
                <c:pt idx="16">
                  <c:v>4518.64890591423</c:v>
                </c:pt>
                <c:pt idx="17">
                  <c:v>4518.64890591423</c:v>
                </c:pt>
                <c:pt idx="18">
                  <c:v>4518.64890591423</c:v>
                </c:pt>
                <c:pt idx="19">
                  <c:v>4518.64890591423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0.172085684388186</c:v>
                </c:pt>
                <c:pt idx="2">
                  <c:v>0.223073353586498</c:v>
                </c:pt>
                <c:pt idx="3">
                  <c:v>0.274061991561181</c:v>
                </c:pt>
                <c:pt idx="4">
                  <c:v>0.325049660759494</c:v>
                </c:pt>
                <c:pt idx="5">
                  <c:v>0.376038298734177</c:v>
                </c:pt>
                <c:pt idx="6">
                  <c:v>0.427025967932489</c:v>
                </c:pt>
                <c:pt idx="7">
                  <c:v>0.478014605907173</c:v>
                </c:pt>
                <c:pt idx="8">
                  <c:v>0.529003243881857</c:v>
                </c:pt>
                <c:pt idx="9">
                  <c:v>0.579990913080169</c:v>
                </c:pt>
                <c:pt idx="10">
                  <c:v>0.630979551054852</c:v>
                </c:pt>
                <c:pt idx="11">
                  <c:v>0.681967220253165</c:v>
                </c:pt>
                <c:pt idx="12">
                  <c:v>0.732955858227848</c:v>
                </c:pt>
                <c:pt idx="13">
                  <c:v>0.783944496202532</c:v>
                </c:pt>
                <c:pt idx="14">
                  <c:v>0.834932165400844</c:v>
                </c:pt>
                <c:pt idx="15">
                  <c:v>0.885920803375528</c:v>
                </c:pt>
                <c:pt idx="16">
                  <c:v>0.93690847257384</c:v>
                </c:pt>
                <c:pt idx="17">
                  <c:v>0.987897110548523</c:v>
                </c:pt>
                <c:pt idx="18">
                  <c:v>1.03888477974684</c:v>
                </c:pt>
                <c:pt idx="19">
                  <c:v>1.08987341772152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4518.64890591423</c:v>
                </c:pt>
                <c:pt idx="1">
                  <c:v>2762.82214729919</c:v>
                </c:pt>
                <c:pt idx="2">
                  <c:v>1921.18326349904</c:v>
                </c:pt>
                <c:pt idx="3">
                  <c:v>1440.14836722649</c:v>
                </c:pt>
                <c:pt idx="4">
                  <c:v>1134.1381657916</c:v>
                </c:pt>
                <c:pt idx="5">
                  <c:v>924.84863217111</c:v>
                </c:pt>
                <c:pt idx="6">
                  <c:v>774.033165136838</c:v>
                </c:pt>
                <c:pt idx="7">
                  <c:v>660.964197828931</c:v>
                </c:pt>
                <c:pt idx="8">
                  <c:v>573.527042477021</c:v>
                </c:pt>
                <c:pt idx="9">
                  <c:v>504.203556026756</c:v>
                </c:pt>
                <c:pt idx="10">
                  <c:v>448.099202315032</c:v>
                </c:pt>
                <c:pt idx="11">
                  <c:v>401.908016925275</c:v>
                </c:pt>
                <c:pt idx="12">
                  <c:v>363.317754188252</c:v>
                </c:pt>
                <c:pt idx="13">
                  <c:v>330.671014533561</c:v>
                </c:pt>
                <c:pt idx="14">
                  <c:v>302.749824535909</c:v>
                </c:pt>
                <c:pt idx="15">
                  <c:v>278.639517524335</c:v>
                </c:pt>
                <c:pt idx="16">
                  <c:v>257.643705440727</c:v>
                </c:pt>
                <c:pt idx="17">
                  <c:v>239.220926565977</c:v>
                </c:pt>
                <c:pt idx="18">
                  <c:v>222.946794413405</c:v>
                </c:pt>
                <c:pt idx="19">
                  <c:v>208.482249902117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208.482249902117</c:v>
                </c:pt>
                <c:pt idx="1">
                  <c:v>201.667340125269</c:v>
                </c:pt>
                <c:pt idx="2">
                  <c:v>194.852559830671</c:v>
                </c:pt>
                <c:pt idx="3">
                  <c:v>188.037650053823</c:v>
                </c:pt>
                <c:pt idx="4">
                  <c:v>181.222869759224</c:v>
                </c:pt>
                <c:pt idx="5">
                  <c:v>174.407959982376</c:v>
                </c:pt>
                <c:pt idx="6">
                  <c:v>167.593179687778</c:v>
                </c:pt>
                <c:pt idx="7">
                  <c:v>160.778269910929</c:v>
                </c:pt>
                <c:pt idx="8">
                  <c:v>153.963360134081</c:v>
                </c:pt>
                <c:pt idx="9">
                  <c:v>147.148579839483</c:v>
                </c:pt>
                <c:pt idx="10">
                  <c:v>140.333670062635</c:v>
                </c:pt>
                <c:pt idx="11">
                  <c:v>133.518889768036</c:v>
                </c:pt>
                <c:pt idx="12">
                  <c:v>126.703979991188</c:v>
                </c:pt>
                <c:pt idx="13">
                  <c:v>119.88907021434</c:v>
                </c:pt>
                <c:pt idx="14">
                  <c:v>113.074289919741</c:v>
                </c:pt>
                <c:pt idx="15">
                  <c:v>106.259380142893</c:v>
                </c:pt>
                <c:pt idx="16">
                  <c:v>99.4445998482948</c:v>
                </c:pt>
                <c:pt idx="17">
                  <c:v>92.6296900714466</c:v>
                </c:pt>
                <c:pt idx="18">
                  <c:v>85.8149097768482</c:v>
                </c:pt>
                <c:pt idx="19">
                  <c:v>79</c:v>
                </c:pt>
              </c:numCache>
            </c:numRef>
          </c:yVal>
          <c:smooth val="1"/>
        </c:ser>
        <c:axId val="30838965"/>
        <c:axId val="58411445"/>
      </c:scatterChart>
      <c:valAx>
        <c:axId val="308389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11445"/>
        <c:crosses val="autoZero"/>
        <c:crossBetween val="midCat"/>
      </c:valAx>
      <c:valAx>
        <c:axId val="58411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389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Puntos!$F$5:$F$24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300</c:v>
                </c:pt>
                <c:pt idx="1">
                  <c:v>306.181132754828</c:v>
                </c:pt>
                <c:pt idx="2">
                  <c:v>312.83215167009</c:v>
                </c:pt>
                <c:pt idx="3">
                  <c:v>320.018107282645</c:v>
                </c:pt>
                <c:pt idx="4">
                  <c:v>327.816951537225</c:v>
                </c:pt>
                <c:pt idx="5">
                  <c:v>336.324473338951</c:v>
                </c:pt>
                <c:pt idx="6">
                  <c:v>345.658379609234</c:v>
                </c:pt>
                <c:pt idx="7">
                  <c:v>355.967000170047</c:v>
                </c:pt>
                <c:pt idx="8">
                  <c:v>367.438711396022</c:v>
                </c:pt>
                <c:pt idx="9">
                  <c:v>380.318028399678</c:v>
                </c:pt>
                <c:pt idx="10">
                  <c:v>394.930238098885</c:v>
                </c:pt>
                <c:pt idx="11">
                  <c:v>411.717080486757</c:v>
                </c:pt>
                <c:pt idx="12">
                  <c:v>431.300621520969</c:v>
                </c:pt>
                <c:pt idx="13">
                  <c:v>454.587792158018</c:v>
                </c:pt>
                <c:pt idx="14">
                  <c:v>482.967942133532</c:v>
                </c:pt>
                <c:pt idx="15">
                  <c:v>518.70949729091</c:v>
                </c:pt>
                <c:pt idx="16">
                  <c:v>565.838208677752</c:v>
                </c:pt>
                <c:pt idx="17">
                  <c:v>632.443184042561</c:v>
                </c:pt>
                <c:pt idx="18">
                  <c:v>738.261193701937</c:v>
                </c:pt>
                <c:pt idx="19">
                  <c:v>953.301456943931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Puntos!$F$25:$F$44</c:f>
              <c:numCache>
                <c:formatCode>0.00000</c:formatCode>
                <c:ptCount val="20"/>
                <c:pt idx="0">
                  <c:v>0</c:v>
                </c:pt>
                <c:pt idx="1">
                  <c:v>0.0515501628594079</c:v>
                </c:pt>
                <c:pt idx="2">
                  <c:v>0.100583732278329</c:v>
                </c:pt>
                <c:pt idx="3">
                  <c:v>0.1473367199719</c:v>
                </c:pt>
                <c:pt idx="4">
                  <c:v>0.192010250772576</c:v>
                </c:pt>
                <c:pt idx="5">
                  <c:v>0.234783009187409</c:v>
                </c:pt>
                <c:pt idx="6">
                  <c:v>0.275808668130204</c:v>
                </c:pt>
                <c:pt idx="7">
                  <c:v>0.31522580799547</c:v>
                </c:pt>
                <c:pt idx="8">
                  <c:v>0.3531551368276</c:v>
                </c:pt>
                <c:pt idx="9">
                  <c:v>0.389704215092368</c:v>
                </c:pt>
                <c:pt idx="10">
                  <c:v>0.424971273694814</c:v>
                </c:pt>
                <c:pt idx="11">
                  <c:v>0.459041960008166</c:v>
                </c:pt>
                <c:pt idx="12">
                  <c:v>0.491995998864654</c:v>
                </c:pt>
                <c:pt idx="13">
                  <c:v>0.523903690907663</c:v>
                </c:pt>
                <c:pt idx="14">
                  <c:v>0.554828864302447</c:v>
                </c:pt>
                <c:pt idx="15">
                  <c:v>0.584831330529895</c:v>
                </c:pt>
                <c:pt idx="16">
                  <c:v>0.613963484163149</c:v>
                </c:pt>
                <c:pt idx="17">
                  <c:v>0.642275442836114</c:v>
                </c:pt>
                <c:pt idx="18">
                  <c:v>0.669811110847852</c:v>
                </c:pt>
                <c:pt idx="19">
                  <c:v>0.696612916462745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953.301456943931</c:v>
                </c:pt>
                <c:pt idx="1">
                  <c:v>1003.4756192258</c:v>
                </c:pt>
                <c:pt idx="2">
                  <c:v>1053.64882820622</c:v>
                </c:pt>
                <c:pt idx="3">
                  <c:v>1103.82299048809</c:v>
                </c:pt>
                <c:pt idx="4">
                  <c:v>1153.99619946851</c:v>
                </c:pt>
                <c:pt idx="5">
                  <c:v>1204.17036175038</c:v>
                </c:pt>
                <c:pt idx="6">
                  <c:v>1254.3435707308</c:v>
                </c:pt>
                <c:pt idx="7">
                  <c:v>1304.51773301267</c:v>
                </c:pt>
                <c:pt idx="8">
                  <c:v>1354.69189529454</c:v>
                </c:pt>
                <c:pt idx="9">
                  <c:v>1404.86510427496</c:v>
                </c:pt>
                <c:pt idx="10">
                  <c:v>1455.03926655683</c:v>
                </c:pt>
                <c:pt idx="11">
                  <c:v>1505.21247553725</c:v>
                </c:pt>
                <c:pt idx="12">
                  <c:v>1555.38663781912</c:v>
                </c:pt>
                <c:pt idx="13">
                  <c:v>1605.56080010099</c:v>
                </c:pt>
                <c:pt idx="14">
                  <c:v>1655.73400908141</c:v>
                </c:pt>
                <c:pt idx="15">
                  <c:v>1705.90817136328</c:v>
                </c:pt>
                <c:pt idx="16">
                  <c:v>1756.0813803437</c:v>
                </c:pt>
                <c:pt idx="17">
                  <c:v>1806.25554262557</c:v>
                </c:pt>
                <c:pt idx="18">
                  <c:v>1856.42875160599</c:v>
                </c:pt>
                <c:pt idx="19">
                  <c:v>1906.60291388786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Puntos!$F$45:$F$64</c:f>
              <c:numCache>
                <c:formatCode>0.00000</c:formatCode>
                <c:ptCount val="20"/>
                <c:pt idx="0">
                  <c:v>0.696612916462745</c:v>
                </c:pt>
                <c:pt idx="1">
                  <c:v>0.696612916462745</c:v>
                </c:pt>
                <c:pt idx="2">
                  <c:v>0.696612916462745</c:v>
                </c:pt>
                <c:pt idx="3">
                  <c:v>0.696612916462745</c:v>
                </c:pt>
                <c:pt idx="4">
                  <c:v>0.696612916462745</c:v>
                </c:pt>
                <c:pt idx="5">
                  <c:v>0.696612916462745</c:v>
                </c:pt>
                <c:pt idx="6">
                  <c:v>0.696612916462745</c:v>
                </c:pt>
                <c:pt idx="7">
                  <c:v>0.696612916462745</c:v>
                </c:pt>
                <c:pt idx="8">
                  <c:v>0.696612916462745</c:v>
                </c:pt>
                <c:pt idx="9">
                  <c:v>0.696612916462745</c:v>
                </c:pt>
                <c:pt idx="10">
                  <c:v>0.696612916462745</c:v>
                </c:pt>
                <c:pt idx="11">
                  <c:v>0.696612916462745</c:v>
                </c:pt>
                <c:pt idx="12">
                  <c:v>0.696612916462745</c:v>
                </c:pt>
                <c:pt idx="13">
                  <c:v>0.696612916462745</c:v>
                </c:pt>
                <c:pt idx="14">
                  <c:v>0.696612916462745</c:v>
                </c:pt>
                <c:pt idx="15">
                  <c:v>0.696612916462745</c:v>
                </c:pt>
                <c:pt idx="16">
                  <c:v>0.696612916462745</c:v>
                </c:pt>
                <c:pt idx="17">
                  <c:v>0.696612916462745</c:v>
                </c:pt>
                <c:pt idx="18">
                  <c:v>0.696612916462745</c:v>
                </c:pt>
                <c:pt idx="19">
                  <c:v>0.696612916462745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1906.60291388786</c:v>
                </c:pt>
                <c:pt idx="1">
                  <c:v>1656.59282251156</c:v>
                </c:pt>
                <c:pt idx="2">
                  <c:v>1493.2571200104</c:v>
                </c:pt>
                <c:pt idx="3">
                  <c:v>1375.2262357689</c:v>
                </c:pt>
                <c:pt idx="4">
                  <c:v>1284.49904545281</c:v>
                </c:pt>
                <c:pt idx="5">
                  <c:v>1211.77179870472</c:v>
                </c:pt>
                <c:pt idx="6">
                  <c:v>1151.68035384811</c:v>
                </c:pt>
                <c:pt idx="7">
                  <c:v>1100.87296356776</c:v>
                </c:pt>
                <c:pt idx="8">
                  <c:v>1057.13472447495</c:v>
                </c:pt>
                <c:pt idx="9">
                  <c:v>1018.93198898337</c:v>
                </c:pt>
                <c:pt idx="10">
                  <c:v>985.161789215248</c:v>
                </c:pt>
                <c:pt idx="11">
                  <c:v>955.010777351887</c:v>
                </c:pt>
                <c:pt idx="12">
                  <c:v>927.860196273396</c:v>
                </c:pt>
                <c:pt idx="13">
                  <c:v>903.23248047837</c:v>
                </c:pt>
                <c:pt idx="14">
                  <c:v>880.751103047011</c:v>
                </c:pt>
                <c:pt idx="15">
                  <c:v>860.113397969785</c:v>
                </c:pt>
                <c:pt idx="16">
                  <c:v>841.075158650647</c:v>
                </c:pt>
                <c:pt idx="17">
                  <c:v>823.434362847627</c:v>
                </c:pt>
                <c:pt idx="18">
                  <c:v>807.024499684436</c:v>
                </c:pt>
                <c:pt idx="19">
                  <c:v>791.704746463737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Puntos!$F$65:$F$84</c:f>
              <c:numCache>
                <c:formatCode>0.00000</c:formatCode>
                <c:ptCount val="20"/>
                <c:pt idx="0">
                  <c:v>0.696612916462745</c:v>
                </c:pt>
                <c:pt idx="1">
                  <c:v>0.67275061982626</c:v>
                </c:pt>
                <c:pt idx="2">
                  <c:v>0.648068407935748</c:v>
                </c:pt>
                <c:pt idx="3">
                  <c:v>0.622506918571137</c:v>
                </c:pt>
                <c:pt idx="4">
                  <c:v>0.596002228175333</c:v>
                </c:pt>
                <c:pt idx="5">
                  <c:v>0.568480968012043</c:v>
                </c:pt>
                <c:pt idx="6">
                  <c:v>0.539863168633827</c:v>
                </c:pt>
                <c:pt idx="7">
                  <c:v>0.510056631447146</c:v>
                </c:pt>
                <c:pt idx="8">
                  <c:v>0.478958933273778</c:v>
                </c:pt>
                <c:pt idx="9">
                  <c:v>0.446453759783573</c:v>
                </c:pt>
                <c:pt idx="10">
                  <c:v>0.412406286649024</c:v>
                </c:pt>
                <c:pt idx="11">
                  <c:v>0.376664260802827</c:v>
                </c:pt>
                <c:pt idx="12">
                  <c:v>0.33904862516967</c:v>
                </c:pt>
                <c:pt idx="13">
                  <c:v>0.299352846955791</c:v>
                </c:pt>
                <c:pt idx="14">
                  <c:v>0.257334148064895</c:v>
                </c:pt>
                <c:pt idx="15">
                  <c:v>0.212701869393364</c:v>
                </c:pt>
                <c:pt idx="16">
                  <c:v>0.165111117718794</c:v>
                </c:pt>
                <c:pt idx="17">
                  <c:v>0.11413958957406</c:v>
                </c:pt>
                <c:pt idx="18">
                  <c:v>0.0592722177769045</c:v>
                </c:pt>
                <c:pt idx="19">
                  <c:v>-0.000138629436112092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791.704746463737</c:v>
                </c:pt>
                <c:pt idx="1">
                  <c:v>765.825342247857</c:v>
                </c:pt>
                <c:pt idx="2">
                  <c:v>739.946429736724</c:v>
                </c:pt>
                <c:pt idx="3">
                  <c:v>714.067025520845</c:v>
                </c:pt>
                <c:pt idx="4">
                  <c:v>688.188113009712</c:v>
                </c:pt>
                <c:pt idx="5">
                  <c:v>662.308708793833</c:v>
                </c:pt>
                <c:pt idx="6">
                  <c:v>636.4297962827</c:v>
                </c:pt>
                <c:pt idx="7">
                  <c:v>610.55039206682</c:v>
                </c:pt>
                <c:pt idx="8">
                  <c:v>584.670987850941</c:v>
                </c:pt>
                <c:pt idx="9">
                  <c:v>558.792075339808</c:v>
                </c:pt>
                <c:pt idx="10">
                  <c:v>532.912671123929</c:v>
                </c:pt>
                <c:pt idx="11">
                  <c:v>507.033758612796</c:v>
                </c:pt>
                <c:pt idx="12">
                  <c:v>481.154354396916</c:v>
                </c:pt>
                <c:pt idx="13">
                  <c:v>455.274950181037</c:v>
                </c:pt>
                <c:pt idx="14">
                  <c:v>429.396037669904</c:v>
                </c:pt>
                <c:pt idx="15">
                  <c:v>403.516633454025</c:v>
                </c:pt>
                <c:pt idx="16">
                  <c:v>377.637720942892</c:v>
                </c:pt>
                <c:pt idx="17">
                  <c:v>351.758316727012</c:v>
                </c:pt>
                <c:pt idx="18">
                  <c:v>325.879404215879</c:v>
                </c:pt>
                <c:pt idx="19">
                  <c:v>300</c:v>
                </c:pt>
              </c:numCache>
            </c:numRef>
          </c:yVal>
          <c:smooth val="1"/>
        </c:ser>
        <c:axId val="37532560"/>
        <c:axId val="9974822"/>
      </c:scatterChart>
      <c:valAx>
        <c:axId val="375325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 (kJ/kg·K)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4822"/>
        <c:crosses val="autoZero"/>
        <c:crossBetween val="midCat"/>
      </c:valAx>
      <c:valAx>
        <c:axId val="9974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325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1.03569798987342</c:v>
                </c:pt>
                <c:pt idx="2">
                  <c:v>0.981523591350211</c:v>
                </c:pt>
                <c:pt idx="3">
                  <c:v>0.92734816350211</c:v>
                </c:pt>
                <c:pt idx="4">
                  <c:v>0.873173764978903</c:v>
                </c:pt>
                <c:pt idx="5">
                  <c:v>0.818998337130802</c:v>
                </c:pt>
                <c:pt idx="6">
                  <c:v>0.764823938607595</c:v>
                </c:pt>
                <c:pt idx="7">
                  <c:v>0.710648510759494</c:v>
                </c:pt>
                <c:pt idx="8">
                  <c:v>0.656473082911393</c:v>
                </c:pt>
                <c:pt idx="9">
                  <c:v>0.602298684388186</c:v>
                </c:pt>
                <c:pt idx="10">
                  <c:v>0.548123256540084</c:v>
                </c:pt>
                <c:pt idx="11">
                  <c:v>0.493948858016878</c:v>
                </c:pt>
                <c:pt idx="12">
                  <c:v>0.439773430168776</c:v>
                </c:pt>
                <c:pt idx="13">
                  <c:v>0.385598002320675</c:v>
                </c:pt>
                <c:pt idx="14">
                  <c:v>0.331423603797468</c:v>
                </c:pt>
                <c:pt idx="15">
                  <c:v>0.277248175949367</c:v>
                </c:pt>
                <c:pt idx="16">
                  <c:v>0.22307377742616</c:v>
                </c:pt>
                <c:pt idx="17">
                  <c:v>0.168898349578059</c:v>
                </c:pt>
                <c:pt idx="18">
                  <c:v>0.114723951054852</c:v>
                </c:pt>
                <c:pt idx="19">
                  <c:v>0.0605485232067511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300</c:v>
                </c:pt>
                <c:pt idx="1">
                  <c:v>306.181132754828</c:v>
                </c:pt>
                <c:pt idx="2">
                  <c:v>312.83215167009</c:v>
                </c:pt>
                <c:pt idx="3">
                  <c:v>320.018107282645</c:v>
                </c:pt>
                <c:pt idx="4">
                  <c:v>327.816951537225</c:v>
                </c:pt>
                <c:pt idx="5">
                  <c:v>336.324473338951</c:v>
                </c:pt>
                <c:pt idx="6">
                  <c:v>345.658379609234</c:v>
                </c:pt>
                <c:pt idx="7">
                  <c:v>355.967000170047</c:v>
                </c:pt>
                <c:pt idx="8">
                  <c:v>367.438711396022</c:v>
                </c:pt>
                <c:pt idx="9">
                  <c:v>380.318028399678</c:v>
                </c:pt>
                <c:pt idx="10">
                  <c:v>394.930238098885</c:v>
                </c:pt>
                <c:pt idx="11">
                  <c:v>411.717080486757</c:v>
                </c:pt>
                <c:pt idx="12">
                  <c:v>431.300621520969</c:v>
                </c:pt>
                <c:pt idx="13">
                  <c:v>454.587792158018</c:v>
                </c:pt>
                <c:pt idx="14">
                  <c:v>482.967942133532</c:v>
                </c:pt>
                <c:pt idx="15">
                  <c:v>518.70949729091</c:v>
                </c:pt>
                <c:pt idx="16">
                  <c:v>565.838208677752</c:v>
                </c:pt>
                <c:pt idx="17">
                  <c:v>632.443184042561</c:v>
                </c:pt>
                <c:pt idx="18">
                  <c:v>738.261193701937</c:v>
                </c:pt>
                <c:pt idx="19">
                  <c:v>953.301456943931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0.0605485232067511</c:v>
                </c:pt>
                <c:pt idx="1">
                  <c:v>0.0637353130801688</c:v>
                </c:pt>
                <c:pt idx="2">
                  <c:v>0.0669220424050633</c:v>
                </c:pt>
                <c:pt idx="3">
                  <c:v>0.070108832278481</c:v>
                </c:pt>
                <c:pt idx="4">
                  <c:v>0.0732955616033755</c:v>
                </c:pt>
                <c:pt idx="5">
                  <c:v>0.0764823514767933</c:v>
                </c:pt>
                <c:pt idx="6">
                  <c:v>0.0796690808016878</c:v>
                </c:pt>
                <c:pt idx="7">
                  <c:v>0.0828558706751055</c:v>
                </c:pt>
                <c:pt idx="8">
                  <c:v>0.0860426605485232</c:v>
                </c:pt>
                <c:pt idx="9">
                  <c:v>0.0892293898734177</c:v>
                </c:pt>
                <c:pt idx="10">
                  <c:v>0.0924161797468354</c:v>
                </c:pt>
                <c:pt idx="11">
                  <c:v>0.09560290907173</c:v>
                </c:pt>
                <c:pt idx="12">
                  <c:v>0.0987896989451477</c:v>
                </c:pt>
                <c:pt idx="13">
                  <c:v>0.101976488818565</c:v>
                </c:pt>
                <c:pt idx="14">
                  <c:v>0.10516321814346</c:v>
                </c:pt>
                <c:pt idx="15">
                  <c:v>0.108350008016878</c:v>
                </c:pt>
                <c:pt idx="16">
                  <c:v>0.111536737341772</c:v>
                </c:pt>
                <c:pt idx="17">
                  <c:v>0.11472352721519</c:v>
                </c:pt>
                <c:pt idx="18">
                  <c:v>0.117910256540084</c:v>
                </c:pt>
                <c:pt idx="19">
                  <c:v>0.121097046413502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953.301456943931</c:v>
                </c:pt>
                <c:pt idx="1">
                  <c:v>1003.4756192258</c:v>
                </c:pt>
                <c:pt idx="2">
                  <c:v>1053.64882820622</c:v>
                </c:pt>
                <c:pt idx="3">
                  <c:v>1103.82299048809</c:v>
                </c:pt>
                <c:pt idx="4">
                  <c:v>1153.99619946851</c:v>
                </c:pt>
                <c:pt idx="5">
                  <c:v>1204.17036175038</c:v>
                </c:pt>
                <c:pt idx="6">
                  <c:v>1254.3435707308</c:v>
                </c:pt>
                <c:pt idx="7">
                  <c:v>1304.51773301267</c:v>
                </c:pt>
                <c:pt idx="8">
                  <c:v>1354.69189529454</c:v>
                </c:pt>
                <c:pt idx="9">
                  <c:v>1404.86510427496</c:v>
                </c:pt>
                <c:pt idx="10">
                  <c:v>1455.03926655683</c:v>
                </c:pt>
                <c:pt idx="11">
                  <c:v>1505.21247553725</c:v>
                </c:pt>
                <c:pt idx="12">
                  <c:v>1555.38663781912</c:v>
                </c:pt>
                <c:pt idx="13">
                  <c:v>1605.56080010099</c:v>
                </c:pt>
                <c:pt idx="14">
                  <c:v>1655.73400908141</c:v>
                </c:pt>
                <c:pt idx="15">
                  <c:v>1705.90817136328</c:v>
                </c:pt>
                <c:pt idx="16">
                  <c:v>1756.0813803437</c:v>
                </c:pt>
                <c:pt idx="17">
                  <c:v>1806.25554262557</c:v>
                </c:pt>
                <c:pt idx="18">
                  <c:v>1856.42875160599</c:v>
                </c:pt>
                <c:pt idx="19">
                  <c:v>1906.60291388786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0.172085684388186</c:v>
                </c:pt>
                <c:pt idx="2">
                  <c:v>0.223073353586498</c:v>
                </c:pt>
                <c:pt idx="3">
                  <c:v>0.274061991561181</c:v>
                </c:pt>
                <c:pt idx="4">
                  <c:v>0.325049660759494</c:v>
                </c:pt>
                <c:pt idx="5">
                  <c:v>0.376038298734177</c:v>
                </c:pt>
                <c:pt idx="6">
                  <c:v>0.427025967932489</c:v>
                </c:pt>
                <c:pt idx="7">
                  <c:v>0.478014605907173</c:v>
                </c:pt>
                <c:pt idx="8">
                  <c:v>0.529003243881857</c:v>
                </c:pt>
                <c:pt idx="9">
                  <c:v>0.579990913080169</c:v>
                </c:pt>
                <c:pt idx="10">
                  <c:v>0.630979551054852</c:v>
                </c:pt>
                <c:pt idx="11">
                  <c:v>0.681967220253165</c:v>
                </c:pt>
                <c:pt idx="12">
                  <c:v>0.732955858227848</c:v>
                </c:pt>
                <c:pt idx="13">
                  <c:v>0.783944496202532</c:v>
                </c:pt>
                <c:pt idx="14">
                  <c:v>0.834932165400844</c:v>
                </c:pt>
                <c:pt idx="15">
                  <c:v>0.885920803375528</c:v>
                </c:pt>
                <c:pt idx="16">
                  <c:v>0.93690847257384</c:v>
                </c:pt>
                <c:pt idx="17">
                  <c:v>0.987897110548523</c:v>
                </c:pt>
                <c:pt idx="18">
                  <c:v>1.03888477974684</c:v>
                </c:pt>
                <c:pt idx="19">
                  <c:v>1.08987341772152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1906.60291388786</c:v>
                </c:pt>
                <c:pt idx="1">
                  <c:v>1656.59282251156</c:v>
                </c:pt>
                <c:pt idx="2">
                  <c:v>1493.2571200104</c:v>
                </c:pt>
                <c:pt idx="3">
                  <c:v>1375.2262357689</c:v>
                </c:pt>
                <c:pt idx="4">
                  <c:v>1284.49904545281</c:v>
                </c:pt>
                <c:pt idx="5">
                  <c:v>1211.77179870472</c:v>
                </c:pt>
                <c:pt idx="6">
                  <c:v>1151.68035384811</c:v>
                </c:pt>
                <c:pt idx="7">
                  <c:v>1100.87296356776</c:v>
                </c:pt>
                <c:pt idx="8">
                  <c:v>1057.13472447495</c:v>
                </c:pt>
                <c:pt idx="9">
                  <c:v>1018.93198898337</c:v>
                </c:pt>
                <c:pt idx="10">
                  <c:v>985.161789215248</c:v>
                </c:pt>
                <c:pt idx="11">
                  <c:v>955.010777351887</c:v>
                </c:pt>
                <c:pt idx="12">
                  <c:v>927.860196273396</c:v>
                </c:pt>
                <c:pt idx="13">
                  <c:v>903.23248047837</c:v>
                </c:pt>
                <c:pt idx="14">
                  <c:v>880.751103047011</c:v>
                </c:pt>
                <c:pt idx="15">
                  <c:v>860.113397969785</c:v>
                </c:pt>
                <c:pt idx="16">
                  <c:v>841.075158650647</c:v>
                </c:pt>
                <c:pt idx="17">
                  <c:v>823.434362847627</c:v>
                </c:pt>
                <c:pt idx="18">
                  <c:v>807.024499684436</c:v>
                </c:pt>
                <c:pt idx="19">
                  <c:v>791.704746463737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791.704746463737</c:v>
                </c:pt>
                <c:pt idx="1">
                  <c:v>765.825342247857</c:v>
                </c:pt>
                <c:pt idx="2">
                  <c:v>739.946429736724</c:v>
                </c:pt>
                <c:pt idx="3">
                  <c:v>714.067025520845</c:v>
                </c:pt>
                <c:pt idx="4">
                  <c:v>688.188113009712</c:v>
                </c:pt>
                <c:pt idx="5">
                  <c:v>662.308708793833</c:v>
                </c:pt>
                <c:pt idx="6">
                  <c:v>636.4297962827</c:v>
                </c:pt>
                <c:pt idx="7">
                  <c:v>610.55039206682</c:v>
                </c:pt>
                <c:pt idx="8">
                  <c:v>584.670987850941</c:v>
                </c:pt>
                <c:pt idx="9">
                  <c:v>558.792075339808</c:v>
                </c:pt>
                <c:pt idx="10">
                  <c:v>532.912671123929</c:v>
                </c:pt>
                <c:pt idx="11">
                  <c:v>507.033758612796</c:v>
                </c:pt>
                <c:pt idx="12">
                  <c:v>481.154354396916</c:v>
                </c:pt>
                <c:pt idx="13">
                  <c:v>455.274950181037</c:v>
                </c:pt>
                <c:pt idx="14">
                  <c:v>429.396037669904</c:v>
                </c:pt>
                <c:pt idx="15">
                  <c:v>403.516633454025</c:v>
                </c:pt>
                <c:pt idx="16">
                  <c:v>377.637720942892</c:v>
                </c:pt>
                <c:pt idx="17">
                  <c:v>351.758316727012</c:v>
                </c:pt>
                <c:pt idx="18">
                  <c:v>325.879404215879</c:v>
                </c:pt>
                <c:pt idx="19">
                  <c:v>300</c:v>
                </c:pt>
              </c:numCache>
            </c:numRef>
          </c:yVal>
          <c:smooth val="1"/>
        </c:ser>
        <c:axId val="15940313"/>
        <c:axId val="64270569"/>
      </c:scatterChart>
      <c:valAx>
        <c:axId val="159403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70569"/>
        <c:crosses val="autoZero"/>
        <c:crossBetween val="midCat"/>
      </c:valAx>
      <c:valAx>
        <c:axId val="64270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031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(escalas logarítmicas)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1.03569798987342</c:v>
                </c:pt>
                <c:pt idx="2">
                  <c:v>0.981523591350211</c:v>
                </c:pt>
                <c:pt idx="3">
                  <c:v>0.92734816350211</c:v>
                </c:pt>
                <c:pt idx="4">
                  <c:v>0.873173764978903</c:v>
                </c:pt>
                <c:pt idx="5">
                  <c:v>0.818998337130802</c:v>
                </c:pt>
                <c:pt idx="6">
                  <c:v>0.764823938607595</c:v>
                </c:pt>
                <c:pt idx="7">
                  <c:v>0.710648510759494</c:v>
                </c:pt>
                <c:pt idx="8">
                  <c:v>0.656473082911393</c:v>
                </c:pt>
                <c:pt idx="9">
                  <c:v>0.602298684388186</c:v>
                </c:pt>
                <c:pt idx="10">
                  <c:v>0.548123256540084</c:v>
                </c:pt>
                <c:pt idx="11">
                  <c:v>0.493948858016878</c:v>
                </c:pt>
                <c:pt idx="12">
                  <c:v>0.439773430168776</c:v>
                </c:pt>
                <c:pt idx="13">
                  <c:v>0.385598002320675</c:v>
                </c:pt>
                <c:pt idx="14">
                  <c:v>0.331423603797468</c:v>
                </c:pt>
                <c:pt idx="15">
                  <c:v>0.277248175949367</c:v>
                </c:pt>
                <c:pt idx="16">
                  <c:v>0.22307377742616</c:v>
                </c:pt>
                <c:pt idx="17">
                  <c:v>0.168898349578059</c:v>
                </c:pt>
                <c:pt idx="18">
                  <c:v>0.114723951054852</c:v>
                </c:pt>
                <c:pt idx="19">
                  <c:v>0.0605485232067511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84.8451826302913</c:v>
                </c:pt>
                <c:pt idx="2">
                  <c:v>91.4729185528877</c:v>
                </c:pt>
                <c:pt idx="3">
                  <c:v>99.0406843997702</c:v>
                </c:pt>
                <c:pt idx="4">
                  <c:v>107.748845492921</c:v>
                </c:pt>
                <c:pt idx="5">
                  <c:v>117.857533369891</c:v>
                </c:pt>
                <c:pt idx="6">
                  <c:v>129.708224259372</c:v>
                </c:pt>
                <c:pt idx="7">
                  <c:v>143.759576643057</c:v>
                </c:pt>
                <c:pt idx="8">
                  <c:v>160.638589632611</c:v>
                </c:pt>
                <c:pt idx="9">
                  <c:v>181.224493727034</c:v>
                </c:pt>
                <c:pt idx="10">
                  <c:v>206.787391306559</c:v>
                </c:pt>
                <c:pt idx="11">
                  <c:v>239.220721299171</c:v>
                </c:pt>
                <c:pt idx="12">
                  <c:v>281.470570718683</c:v>
                </c:pt>
                <c:pt idx="13">
                  <c:v>338.348994455763</c:v>
                </c:pt>
                <c:pt idx="14">
                  <c:v>418.23152546802</c:v>
                </c:pt>
                <c:pt idx="15">
                  <c:v>536.954391900774</c:v>
                </c:pt>
                <c:pt idx="16">
                  <c:v>727.990388490505</c:v>
                </c:pt>
                <c:pt idx="17">
                  <c:v>1074.67713138503</c:v>
                </c:pt>
                <c:pt idx="18">
                  <c:v>1846.8764424889</c:v>
                </c:pt>
                <c:pt idx="19">
                  <c:v>4518.64890591423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0.0605485232067511</c:v>
                </c:pt>
                <c:pt idx="1">
                  <c:v>0.0637353130801688</c:v>
                </c:pt>
                <c:pt idx="2">
                  <c:v>0.0669220424050633</c:v>
                </c:pt>
                <c:pt idx="3">
                  <c:v>0.070108832278481</c:v>
                </c:pt>
                <c:pt idx="4">
                  <c:v>0.0732955616033755</c:v>
                </c:pt>
                <c:pt idx="5">
                  <c:v>0.0764823514767933</c:v>
                </c:pt>
                <c:pt idx="6">
                  <c:v>0.0796690808016878</c:v>
                </c:pt>
                <c:pt idx="7">
                  <c:v>0.0828558706751055</c:v>
                </c:pt>
                <c:pt idx="8">
                  <c:v>0.0860426605485232</c:v>
                </c:pt>
                <c:pt idx="9">
                  <c:v>0.0892293898734177</c:v>
                </c:pt>
                <c:pt idx="10">
                  <c:v>0.0924161797468354</c:v>
                </c:pt>
                <c:pt idx="11">
                  <c:v>0.09560290907173</c:v>
                </c:pt>
                <c:pt idx="12">
                  <c:v>0.0987896989451477</c:v>
                </c:pt>
                <c:pt idx="13">
                  <c:v>0.101976488818565</c:v>
                </c:pt>
                <c:pt idx="14">
                  <c:v>0.10516321814346</c:v>
                </c:pt>
                <c:pt idx="15">
                  <c:v>0.108350008016878</c:v>
                </c:pt>
                <c:pt idx="16">
                  <c:v>0.111536737341772</c:v>
                </c:pt>
                <c:pt idx="17">
                  <c:v>0.11472352721519</c:v>
                </c:pt>
                <c:pt idx="18">
                  <c:v>0.117910256540084</c:v>
                </c:pt>
                <c:pt idx="19">
                  <c:v>0.121097046413502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4518.64890591423</c:v>
                </c:pt>
                <c:pt idx="1">
                  <c:v>4518.64890591423</c:v>
                </c:pt>
                <c:pt idx="2">
                  <c:v>4518.64890591423</c:v>
                </c:pt>
                <c:pt idx="3">
                  <c:v>4518.64890591423</c:v>
                </c:pt>
                <c:pt idx="4">
                  <c:v>4518.64890591423</c:v>
                </c:pt>
                <c:pt idx="5">
                  <c:v>4518.64890591423</c:v>
                </c:pt>
                <c:pt idx="6">
                  <c:v>4518.64890591423</c:v>
                </c:pt>
                <c:pt idx="7">
                  <c:v>4518.64890591423</c:v>
                </c:pt>
                <c:pt idx="8">
                  <c:v>4518.64890591423</c:v>
                </c:pt>
                <c:pt idx="9">
                  <c:v>4518.64890591423</c:v>
                </c:pt>
                <c:pt idx="10">
                  <c:v>4518.64890591423</c:v>
                </c:pt>
                <c:pt idx="11">
                  <c:v>4518.64890591423</c:v>
                </c:pt>
                <c:pt idx="12">
                  <c:v>4518.64890591423</c:v>
                </c:pt>
                <c:pt idx="13">
                  <c:v>4518.64890591423</c:v>
                </c:pt>
                <c:pt idx="14">
                  <c:v>4518.64890591423</c:v>
                </c:pt>
                <c:pt idx="15">
                  <c:v>4518.64890591423</c:v>
                </c:pt>
                <c:pt idx="16">
                  <c:v>4518.64890591423</c:v>
                </c:pt>
                <c:pt idx="17">
                  <c:v>4518.64890591423</c:v>
                </c:pt>
                <c:pt idx="18">
                  <c:v>4518.64890591423</c:v>
                </c:pt>
                <c:pt idx="19">
                  <c:v>4518.64890591423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0.121097046413502</c:v>
                </c:pt>
                <c:pt idx="1">
                  <c:v>0.172085684388186</c:v>
                </c:pt>
                <c:pt idx="2">
                  <c:v>0.223073353586498</c:v>
                </c:pt>
                <c:pt idx="3">
                  <c:v>0.274061991561181</c:v>
                </c:pt>
                <c:pt idx="4">
                  <c:v>0.325049660759494</c:v>
                </c:pt>
                <c:pt idx="5">
                  <c:v>0.376038298734177</c:v>
                </c:pt>
                <c:pt idx="6">
                  <c:v>0.427025967932489</c:v>
                </c:pt>
                <c:pt idx="7">
                  <c:v>0.478014605907173</c:v>
                </c:pt>
                <c:pt idx="8">
                  <c:v>0.529003243881857</c:v>
                </c:pt>
                <c:pt idx="9">
                  <c:v>0.579990913080169</c:v>
                </c:pt>
                <c:pt idx="10">
                  <c:v>0.630979551054852</c:v>
                </c:pt>
                <c:pt idx="11">
                  <c:v>0.681967220253165</c:v>
                </c:pt>
                <c:pt idx="12">
                  <c:v>0.732955858227848</c:v>
                </c:pt>
                <c:pt idx="13">
                  <c:v>0.783944496202532</c:v>
                </c:pt>
                <c:pt idx="14">
                  <c:v>0.834932165400844</c:v>
                </c:pt>
                <c:pt idx="15">
                  <c:v>0.885920803375528</c:v>
                </c:pt>
                <c:pt idx="16">
                  <c:v>0.93690847257384</c:v>
                </c:pt>
                <c:pt idx="17">
                  <c:v>0.987897110548523</c:v>
                </c:pt>
                <c:pt idx="18">
                  <c:v>1.03888477974684</c:v>
                </c:pt>
                <c:pt idx="19">
                  <c:v>1.08987341772152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4518.64890591423</c:v>
                </c:pt>
                <c:pt idx="1">
                  <c:v>2762.82214729919</c:v>
                </c:pt>
                <c:pt idx="2">
                  <c:v>1921.18326349904</c:v>
                </c:pt>
                <c:pt idx="3">
                  <c:v>1440.14836722649</c:v>
                </c:pt>
                <c:pt idx="4">
                  <c:v>1134.1381657916</c:v>
                </c:pt>
                <c:pt idx="5">
                  <c:v>924.84863217111</c:v>
                </c:pt>
                <c:pt idx="6">
                  <c:v>774.033165136838</c:v>
                </c:pt>
                <c:pt idx="7">
                  <c:v>660.964197828931</c:v>
                </c:pt>
                <c:pt idx="8">
                  <c:v>573.527042477021</c:v>
                </c:pt>
                <c:pt idx="9">
                  <c:v>504.203556026756</c:v>
                </c:pt>
                <c:pt idx="10">
                  <c:v>448.099202315032</c:v>
                </c:pt>
                <c:pt idx="11">
                  <c:v>401.908016925275</c:v>
                </c:pt>
                <c:pt idx="12">
                  <c:v>363.317754188252</c:v>
                </c:pt>
                <c:pt idx="13">
                  <c:v>330.671014533561</c:v>
                </c:pt>
                <c:pt idx="14">
                  <c:v>302.749824535909</c:v>
                </c:pt>
                <c:pt idx="15">
                  <c:v>278.639517524335</c:v>
                </c:pt>
                <c:pt idx="16">
                  <c:v>257.643705440727</c:v>
                </c:pt>
                <c:pt idx="17">
                  <c:v>239.220926565977</c:v>
                </c:pt>
                <c:pt idx="18">
                  <c:v>222.946794413405</c:v>
                </c:pt>
                <c:pt idx="19">
                  <c:v>208.482249902117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208.482249902117</c:v>
                </c:pt>
                <c:pt idx="1">
                  <c:v>201.667340125269</c:v>
                </c:pt>
                <c:pt idx="2">
                  <c:v>194.852559830671</c:v>
                </c:pt>
                <c:pt idx="3">
                  <c:v>188.037650053823</c:v>
                </c:pt>
                <c:pt idx="4">
                  <c:v>181.222869759224</c:v>
                </c:pt>
                <c:pt idx="5">
                  <c:v>174.407959982376</c:v>
                </c:pt>
                <c:pt idx="6">
                  <c:v>167.593179687778</c:v>
                </c:pt>
                <c:pt idx="7">
                  <c:v>160.778269910929</c:v>
                </c:pt>
                <c:pt idx="8">
                  <c:v>153.963360134081</c:v>
                </c:pt>
                <c:pt idx="9">
                  <c:v>147.148579839483</c:v>
                </c:pt>
                <c:pt idx="10">
                  <c:v>140.333670062635</c:v>
                </c:pt>
                <c:pt idx="11">
                  <c:v>133.518889768036</c:v>
                </c:pt>
                <c:pt idx="12">
                  <c:v>126.703979991188</c:v>
                </c:pt>
                <c:pt idx="13">
                  <c:v>119.88907021434</c:v>
                </c:pt>
                <c:pt idx="14">
                  <c:v>113.074289919741</c:v>
                </c:pt>
                <c:pt idx="15">
                  <c:v>106.259380142893</c:v>
                </c:pt>
                <c:pt idx="16">
                  <c:v>99.4445998482948</c:v>
                </c:pt>
                <c:pt idx="17">
                  <c:v>92.6296900714466</c:v>
                </c:pt>
                <c:pt idx="18">
                  <c:v>85.8149097768482</c:v>
                </c:pt>
                <c:pt idx="19">
                  <c:v>79</c:v>
                </c:pt>
              </c:numCache>
            </c:numRef>
          </c:yVal>
          <c:smooth val="1"/>
        </c:ser>
        <c:axId val="24935252"/>
        <c:axId val="25898628"/>
      </c:scatterChart>
      <c:valAx>
        <c:axId val="2493525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98628"/>
        <c:crosses val="autoZero"/>
        <c:crossBetween val="midCat"/>
      </c:valAx>
      <c:valAx>
        <c:axId val="258986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3525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de un cilindro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Puntos!$G$5:$G$24</c:f>
              <c:numCache>
                <c:formatCode>0.00</c:formatCode>
                <c:ptCount val="20"/>
                <c:pt idx="0">
                  <c:v>341.512373395514</c:v>
                </c:pt>
                <c:pt idx="1">
                  <c:v>324.53647633877</c:v>
                </c:pt>
                <c:pt idx="2">
                  <c:v>307.56090182149</c:v>
                </c:pt>
                <c:pt idx="3">
                  <c:v>290.585004764745</c:v>
                </c:pt>
                <c:pt idx="4">
                  <c:v>273.609430247465</c:v>
                </c:pt>
                <c:pt idx="5">
                  <c:v>256.633533190721</c:v>
                </c:pt>
                <c:pt idx="6">
                  <c:v>239.65795867344</c:v>
                </c:pt>
                <c:pt idx="7">
                  <c:v>222.682061616696</c:v>
                </c:pt>
                <c:pt idx="8">
                  <c:v>205.706164559952</c:v>
                </c:pt>
                <c:pt idx="9">
                  <c:v>188.730590042671</c:v>
                </c:pt>
                <c:pt idx="10">
                  <c:v>171.754692985927</c:v>
                </c:pt>
                <c:pt idx="11">
                  <c:v>154.779118468647</c:v>
                </c:pt>
                <c:pt idx="12">
                  <c:v>137.803221411902</c:v>
                </c:pt>
                <c:pt idx="13">
                  <c:v>120.827324355158</c:v>
                </c:pt>
                <c:pt idx="14">
                  <c:v>103.851749837878</c:v>
                </c:pt>
                <c:pt idx="15">
                  <c:v>86.8758527811335</c:v>
                </c:pt>
                <c:pt idx="16">
                  <c:v>69.900278263853</c:v>
                </c:pt>
                <c:pt idx="17">
                  <c:v>52.9243812071088</c:v>
                </c:pt>
                <c:pt idx="18">
                  <c:v>35.9488066898283</c:v>
                </c:pt>
                <c:pt idx="19">
                  <c:v>18.9729096330841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84.8451826302913</c:v>
                </c:pt>
                <c:pt idx="2">
                  <c:v>91.4729185528877</c:v>
                </c:pt>
                <c:pt idx="3">
                  <c:v>99.0406843997702</c:v>
                </c:pt>
                <c:pt idx="4">
                  <c:v>107.748845492921</c:v>
                </c:pt>
                <c:pt idx="5">
                  <c:v>117.857533369891</c:v>
                </c:pt>
                <c:pt idx="6">
                  <c:v>129.708224259372</c:v>
                </c:pt>
                <c:pt idx="7">
                  <c:v>143.759576643057</c:v>
                </c:pt>
                <c:pt idx="8">
                  <c:v>160.638589632611</c:v>
                </c:pt>
                <c:pt idx="9">
                  <c:v>181.224493727034</c:v>
                </c:pt>
                <c:pt idx="10">
                  <c:v>206.787391306559</c:v>
                </c:pt>
                <c:pt idx="11">
                  <c:v>239.220721299171</c:v>
                </c:pt>
                <c:pt idx="12">
                  <c:v>281.470570718683</c:v>
                </c:pt>
                <c:pt idx="13">
                  <c:v>338.348994455763</c:v>
                </c:pt>
                <c:pt idx="14">
                  <c:v>418.23152546802</c:v>
                </c:pt>
                <c:pt idx="15">
                  <c:v>536.954391900774</c:v>
                </c:pt>
                <c:pt idx="16">
                  <c:v>727.990388490505</c:v>
                </c:pt>
                <c:pt idx="17">
                  <c:v>1074.67713138503</c:v>
                </c:pt>
                <c:pt idx="18">
                  <c:v>1846.8764424889</c:v>
                </c:pt>
                <c:pt idx="19">
                  <c:v>4518.64890591423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Puntos!$G$25:$G$44</c:f>
              <c:numCache>
                <c:formatCode>0.00</c:formatCode>
                <c:ptCount val="20"/>
                <c:pt idx="0">
                  <c:v>18.9729096330841</c:v>
                </c:pt>
                <c:pt idx="1">
                  <c:v>19.9714918128926</c:v>
                </c:pt>
                <c:pt idx="2">
                  <c:v>20.9700550197915</c:v>
                </c:pt>
                <c:pt idx="3">
                  <c:v>21.9686371995999</c:v>
                </c:pt>
                <c:pt idx="4">
                  <c:v>22.9672004064988</c:v>
                </c:pt>
                <c:pt idx="5">
                  <c:v>23.9657825863073</c:v>
                </c:pt>
                <c:pt idx="6">
                  <c:v>24.9643457932061</c:v>
                </c:pt>
                <c:pt idx="7">
                  <c:v>25.9629279730146</c:v>
                </c:pt>
                <c:pt idx="8">
                  <c:v>26.9615101528231</c:v>
                </c:pt>
                <c:pt idx="9">
                  <c:v>27.9600733597219</c:v>
                </c:pt>
                <c:pt idx="10">
                  <c:v>28.9586555395304</c:v>
                </c:pt>
                <c:pt idx="11">
                  <c:v>29.9572187464293</c:v>
                </c:pt>
                <c:pt idx="12">
                  <c:v>30.9558009262378</c:v>
                </c:pt>
                <c:pt idx="13">
                  <c:v>31.9543831060462</c:v>
                </c:pt>
                <c:pt idx="14">
                  <c:v>32.9529463129451</c:v>
                </c:pt>
                <c:pt idx="15">
                  <c:v>33.9515284927536</c:v>
                </c:pt>
                <c:pt idx="16">
                  <c:v>34.9500916996524</c:v>
                </c:pt>
                <c:pt idx="17">
                  <c:v>35.9486738794609</c:v>
                </c:pt>
                <c:pt idx="18">
                  <c:v>36.9472370863598</c:v>
                </c:pt>
                <c:pt idx="19">
                  <c:v>37.9458192661682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4518.64890591423</c:v>
                </c:pt>
                <c:pt idx="1">
                  <c:v>4518.64890591423</c:v>
                </c:pt>
                <c:pt idx="2">
                  <c:v>4518.64890591423</c:v>
                </c:pt>
                <c:pt idx="3">
                  <c:v>4518.64890591423</c:v>
                </c:pt>
                <c:pt idx="4">
                  <c:v>4518.64890591423</c:v>
                </c:pt>
                <c:pt idx="5">
                  <c:v>4518.64890591423</c:v>
                </c:pt>
                <c:pt idx="6">
                  <c:v>4518.64890591423</c:v>
                </c:pt>
                <c:pt idx="7">
                  <c:v>4518.64890591423</c:v>
                </c:pt>
                <c:pt idx="8">
                  <c:v>4518.64890591423</c:v>
                </c:pt>
                <c:pt idx="9">
                  <c:v>4518.64890591423</c:v>
                </c:pt>
                <c:pt idx="10">
                  <c:v>4518.64890591423</c:v>
                </c:pt>
                <c:pt idx="11">
                  <c:v>4518.64890591423</c:v>
                </c:pt>
                <c:pt idx="12">
                  <c:v>4518.64890591423</c:v>
                </c:pt>
                <c:pt idx="13">
                  <c:v>4518.64890591423</c:v>
                </c:pt>
                <c:pt idx="14">
                  <c:v>4518.64890591423</c:v>
                </c:pt>
                <c:pt idx="15">
                  <c:v>4518.64890591423</c:v>
                </c:pt>
                <c:pt idx="16">
                  <c:v>4518.64890591423</c:v>
                </c:pt>
                <c:pt idx="17">
                  <c:v>4518.64890591423</c:v>
                </c:pt>
                <c:pt idx="18">
                  <c:v>4518.64890591423</c:v>
                </c:pt>
                <c:pt idx="19">
                  <c:v>4518.64890591423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Puntos!$G$45:$G$64</c:f>
              <c:numCache>
                <c:formatCode>0.00</c:formatCode>
                <c:ptCount val="20"/>
                <c:pt idx="0">
                  <c:v>37.9458192661682</c:v>
                </c:pt>
                <c:pt idx="1">
                  <c:v>53.923134143104</c:v>
                </c:pt>
                <c:pt idx="2">
                  <c:v>69.9001454534856</c:v>
                </c:pt>
                <c:pt idx="3">
                  <c:v>85.8774603304213</c:v>
                </c:pt>
                <c:pt idx="4">
                  <c:v>101.854471640803</c:v>
                </c:pt>
                <c:pt idx="5">
                  <c:v>117.831786517739</c:v>
                </c:pt>
                <c:pt idx="6">
                  <c:v>133.80879782812</c:v>
                </c:pt>
                <c:pt idx="7">
                  <c:v>149.786112705056</c:v>
                </c:pt>
                <c:pt idx="8">
                  <c:v>165.763427581992</c:v>
                </c:pt>
                <c:pt idx="9">
                  <c:v>181.740438892373</c:v>
                </c:pt>
                <c:pt idx="10">
                  <c:v>197.717753769309</c:v>
                </c:pt>
                <c:pt idx="11">
                  <c:v>213.694765079691</c:v>
                </c:pt>
                <c:pt idx="12">
                  <c:v>229.672079956626</c:v>
                </c:pt>
                <c:pt idx="13">
                  <c:v>245.649394833562</c:v>
                </c:pt>
                <c:pt idx="14">
                  <c:v>261.626406143944</c:v>
                </c:pt>
                <c:pt idx="15">
                  <c:v>277.603721020879</c:v>
                </c:pt>
                <c:pt idx="16">
                  <c:v>293.580732331261</c:v>
                </c:pt>
                <c:pt idx="17">
                  <c:v>309.558047208197</c:v>
                </c:pt>
                <c:pt idx="18">
                  <c:v>325.535058518578</c:v>
                </c:pt>
                <c:pt idx="19">
                  <c:v>341.512373395514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4518.64890591423</c:v>
                </c:pt>
                <c:pt idx="1">
                  <c:v>2762.82214729919</c:v>
                </c:pt>
                <c:pt idx="2">
                  <c:v>1921.18326349904</c:v>
                </c:pt>
                <c:pt idx="3">
                  <c:v>1440.14836722649</c:v>
                </c:pt>
                <c:pt idx="4">
                  <c:v>1134.1381657916</c:v>
                </c:pt>
                <c:pt idx="5">
                  <c:v>924.84863217111</c:v>
                </c:pt>
                <c:pt idx="6">
                  <c:v>774.033165136838</c:v>
                </c:pt>
                <c:pt idx="7">
                  <c:v>660.964197828931</c:v>
                </c:pt>
                <c:pt idx="8">
                  <c:v>573.527042477021</c:v>
                </c:pt>
                <c:pt idx="9">
                  <c:v>504.203556026756</c:v>
                </c:pt>
                <c:pt idx="10">
                  <c:v>448.099202315032</c:v>
                </c:pt>
                <c:pt idx="11">
                  <c:v>401.908016925275</c:v>
                </c:pt>
                <c:pt idx="12">
                  <c:v>363.317754188252</c:v>
                </c:pt>
                <c:pt idx="13">
                  <c:v>330.671014533561</c:v>
                </c:pt>
                <c:pt idx="14">
                  <c:v>302.749824535909</c:v>
                </c:pt>
                <c:pt idx="15">
                  <c:v>278.639517524335</c:v>
                </c:pt>
                <c:pt idx="16">
                  <c:v>257.643705440727</c:v>
                </c:pt>
                <c:pt idx="17">
                  <c:v>239.220926565977</c:v>
                </c:pt>
                <c:pt idx="18">
                  <c:v>222.946794413405</c:v>
                </c:pt>
                <c:pt idx="19">
                  <c:v>208.482249902117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"4→1"</c:f>
              <c:strCache>
                <c:ptCount val="1"/>
                <c:pt idx="0">
                  <c:v>4→1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Puntos!$G$65:$G$84</c:f>
              <c:numCache>
                <c:formatCode>0.00</c:formatCode>
                <c:ptCount val="20"/>
                <c:pt idx="0">
                  <c:v>341.512373395514</c:v>
                </c:pt>
                <c:pt idx="1">
                  <c:v>341.512373395514</c:v>
                </c:pt>
                <c:pt idx="2">
                  <c:v>341.512373395514</c:v>
                </c:pt>
                <c:pt idx="3">
                  <c:v>341.512373395514</c:v>
                </c:pt>
                <c:pt idx="4">
                  <c:v>341.512373395514</c:v>
                </c:pt>
                <c:pt idx="5">
                  <c:v>341.512373395514</c:v>
                </c:pt>
                <c:pt idx="6">
                  <c:v>341.512373395514</c:v>
                </c:pt>
                <c:pt idx="7">
                  <c:v>341.512373395514</c:v>
                </c:pt>
                <c:pt idx="8">
                  <c:v>341.512373395514</c:v>
                </c:pt>
                <c:pt idx="9">
                  <c:v>341.512373395514</c:v>
                </c:pt>
                <c:pt idx="10">
                  <c:v>341.512373395514</c:v>
                </c:pt>
                <c:pt idx="11">
                  <c:v>341.512373395514</c:v>
                </c:pt>
                <c:pt idx="12">
                  <c:v>341.512373395514</c:v>
                </c:pt>
                <c:pt idx="13">
                  <c:v>341.512373395514</c:v>
                </c:pt>
                <c:pt idx="14">
                  <c:v>341.512373395514</c:v>
                </c:pt>
                <c:pt idx="15">
                  <c:v>341.512373395514</c:v>
                </c:pt>
                <c:pt idx="16">
                  <c:v>341.512373395514</c:v>
                </c:pt>
                <c:pt idx="17">
                  <c:v>341.512373395514</c:v>
                </c:pt>
                <c:pt idx="18">
                  <c:v>341.512373395514</c:v>
                </c:pt>
                <c:pt idx="19">
                  <c:v>341.512373395514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208.482249902117</c:v>
                </c:pt>
                <c:pt idx="1">
                  <c:v>201.667340125269</c:v>
                </c:pt>
                <c:pt idx="2">
                  <c:v>194.852559830671</c:v>
                </c:pt>
                <c:pt idx="3">
                  <c:v>188.037650053823</c:v>
                </c:pt>
                <c:pt idx="4">
                  <c:v>181.222869759224</c:v>
                </c:pt>
                <c:pt idx="5">
                  <c:v>174.407959982376</c:v>
                </c:pt>
                <c:pt idx="6">
                  <c:v>167.593179687778</c:v>
                </c:pt>
                <c:pt idx="7">
                  <c:v>160.778269910929</c:v>
                </c:pt>
                <c:pt idx="8">
                  <c:v>153.963360134081</c:v>
                </c:pt>
                <c:pt idx="9">
                  <c:v>147.148579839483</c:v>
                </c:pt>
                <c:pt idx="10">
                  <c:v>140.333670062635</c:v>
                </c:pt>
                <c:pt idx="11">
                  <c:v>133.518889768036</c:v>
                </c:pt>
                <c:pt idx="12">
                  <c:v>126.703979991188</c:v>
                </c:pt>
                <c:pt idx="13">
                  <c:v>119.88907021434</c:v>
                </c:pt>
                <c:pt idx="14">
                  <c:v>113.074289919741</c:v>
                </c:pt>
                <c:pt idx="15">
                  <c:v>106.259380142893</c:v>
                </c:pt>
                <c:pt idx="16">
                  <c:v>99.4445998482948</c:v>
                </c:pt>
                <c:pt idx="17">
                  <c:v>92.6296900714466</c:v>
                </c:pt>
                <c:pt idx="18">
                  <c:v>85.8149097768482</c:v>
                </c:pt>
                <c:pt idx="19">
                  <c:v>79</c:v>
                </c:pt>
              </c:numCache>
            </c:numRef>
          </c:yVal>
          <c:smooth val="1"/>
        </c:ser>
        <c:axId val="91685756"/>
        <c:axId val="7972113"/>
      </c:scatterChart>
      <c:valAx>
        <c:axId val="916857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2113"/>
        <c:crosses val="autoZero"/>
        <c:crossBetween val="midCat"/>
      </c:valAx>
      <c:valAx>
        <c:axId val="7972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857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Presión en el cilindro vs. ángulo del cigüeñal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 (kPa)"</c:f>
              <c:strCache>
                <c:ptCount val="1"/>
                <c:pt idx="0">
                  <c:v>P (kPa)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Angulo!$A$5:$A$185</c:f>
              <c:numCache>
                <c:formatCode>0</c:formatCode>
                <c:ptCount val="18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</c:v>
                </c:pt>
                <c:pt idx="139">
                  <c:v>556</c:v>
                </c:pt>
                <c:pt idx="140">
                  <c:v>560</c:v>
                </c:pt>
                <c:pt idx="141">
                  <c:v>564</c:v>
                </c:pt>
                <c:pt idx="142">
                  <c:v>568</c:v>
                </c:pt>
                <c:pt idx="143">
                  <c:v>572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</c:v>
                </c:pt>
                <c:pt idx="171">
                  <c:v>684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</c:numCache>
            </c:numRef>
          </c:xVal>
          <c:yVal>
            <c:numRef>
              <c:f>Angulo!$D$5:$D$185</c:f>
              <c:numCache>
                <c:formatCode>0.00</c:formatCode>
                <c:ptCount val="181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79</c:v>
                </c:pt>
                <c:pt idx="16">
                  <c:v>79</c:v>
                </c:pt>
                <c:pt idx="17">
                  <c:v>79</c:v>
                </c:pt>
                <c:pt idx="18">
                  <c:v>79</c:v>
                </c:pt>
                <c:pt idx="19">
                  <c:v>79</c:v>
                </c:pt>
                <c:pt idx="20">
                  <c:v>79</c:v>
                </c:pt>
                <c:pt idx="21">
                  <c:v>79</c:v>
                </c:pt>
                <c:pt idx="22">
                  <c:v>79</c:v>
                </c:pt>
                <c:pt idx="23">
                  <c:v>79</c:v>
                </c:pt>
                <c:pt idx="24">
                  <c:v>79</c:v>
                </c:pt>
                <c:pt idx="25">
                  <c:v>79</c:v>
                </c:pt>
                <c:pt idx="26">
                  <c:v>79</c:v>
                </c:pt>
                <c:pt idx="27">
                  <c:v>79</c:v>
                </c:pt>
                <c:pt idx="28">
                  <c:v>79</c:v>
                </c:pt>
                <c:pt idx="29">
                  <c:v>79</c:v>
                </c:pt>
                <c:pt idx="30">
                  <c:v>79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79.0945812359669</c:v>
                </c:pt>
                <c:pt idx="47">
                  <c:v>79.3794788357288</c:v>
                </c:pt>
                <c:pt idx="48">
                  <c:v>79.8581811994511</c:v>
                </c:pt>
                <c:pt idx="49">
                  <c:v>80.5365924093702</c:v>
                </c:pt>
                <c:pt idx="50">
                  <c:v>81.4231709086275</c:v>
                </c:pt>
                <c:pt idx="51">
                  <c:v>82.5291309686254</c:v>
                </c:pt>
                <c:pt idx="52">
                  <c:v>83.8687147566451</c:v>
                </c:pt>
                <c:pt idx="53">
                  <c:v>85.4595457967548</c:v>
                </c:pt>
                <c:pt idx="54">
                  <c:v>87.3230782393389</c:v>
                </c:pt>
                <c:pt idx="55">
                  <c:v>89.4851608576365</c:v>
                </c:pt>
                <c:pt idx="56">
                  <c:v>91.9767403863361</c:v>
                </c:pt>
                <c:pt idx="57">
                  <c:v>94.8347361225344</c:v>
                </c:pt>
                <c:pt idx="58">
                  <c:v>98.1031271806693</c:v>
                </c:pt>
                <c:pt idx="59">
                  <c:v>101.834306186626</c:v>
                </c:pt>
                <c:pt idx="60">
                  <c:v>106.090769546715</c:v>
                </c:pt>
                <c:pt idx="61">
                  <c:v>110.947236160852</c:v>
                </c:pt>
                <c:pt idx="62">
                  <c:v>116.493315545888</c:v>
                </c:pt>
                <c:pt idx="63">
                  <c:v>122.836885560665</c:v>
                </c:pt>
                <c:pt idx="64">
                  <c:v>130.108393167396</c:v>
                </c:pt>
                <c:pt idx="65">
                  <c:v>138.466364419842</c:v>
                </c:pt>
                <c:pt idx="66">
                  <c:v>148.104509941674</c:v>
                </c:pt>
                <c:pt idx="67">
                  <c:v>159.260950671028</c:v>
                </c:pt>
                <c:pt idx="68">
                  <c:v>172.230281483282</c:v>
                </c:pt>
                <c:pt idx="69">
                  <c:v>187.379460136671</c:v>
                </c:pt>
                <c:pt idx="70">
                  <c:v>205.168888041121</c:v>
                </c:pt>
                <c:pt idx="71">
                  <c:v>226.180582964251</c:v>
                </c:pt>
                <c:pt idx="72">
                  <c:v>251.156094420393</c:v>
                </c:pt>
                <c:pt idx="73">
                  <c:v>281.047862801251</c:v>
                </c:pt>
                <c:pt idx="74">
                  <c:v>317.089174065843</c:v>
                </c:pt>
                <c:pt idx="75">
                  <c:v>360.889813415808</c:v>
                </c:pt>
                <c:pt idx="76">
                  <c:v>414.567011215953</c:v>
                </c:pt>
                <c:pt idx="77">
                  <c:v>480.924103390464</c:v>
                </c:pt>
                <c:pt idx="78">
                  <c:v>563.691622596978</c:v>
                </c:pt>
                <c:pt idx="79">
                  <c:v>667.844698534053</c:v>
                </c:pt>
                <c:pt idx="80">
                  <c:v>799.999970688416</c:v>
                </c:pt>
                <c:pt idx="81">
                  <c:v>968.858796128852</c:v>
                </c:pt>
                <c:pt idx="82">
                  <c:v>1185.56649087152</c:v>
                </c:pt>
                <c:pt idx="83">
                  <c:v>1463.631287769</c:v>
                </c:pt>
                <c:pt idx="84">
                  <c:v>1817.58450777398</c:v>
                </c:pt>
                <c:pt idx="85">
                  <c:v>2258.79327723127</c:v>
                </c:pt>
                <c:pt idx="86">
                  <c:v>2786.08658103037</c:v>
                </c:pt>
                <c:pt idx="87">
                  <c:v>3369.8119491744</c:v>
                </c:pt>
                <c:pt idx="88">
                  <c:v>3934.47646243598</c:v>
                </c:pt>
                <c:pt idx="89">
                  <c:v>4358.95284340863</c:v>
                </c:pt>
                <c:pt idx="90">
                  <c:v>4518.64890591423</c:v>
                </c:pt>
                <c:pt idx="91">
                  <c:v>4518.64890591423</c:v>
                </c:pt>
                <c:pt idx="92">
                  <c:v>4518.64890591423</c:v>
                </c:pt>
                <c:pt idx="93">
                  <c:v>4518.64890591423</c:v>
                </c:pt>
                <c:pt idx="94">
                  <c:v>4518.64890591423</c:v>
                </c:pt>
                <c:pt idx="95">
                  <c:v>4518.64890591423</c:v>
                </c:pt>
                <c:pt idx="96">
                  <c:v>4518.64890591423</c:v>
                </c:pt>
                <c:pt idx="97">
                  <c:v>3862.54612533185</c:v>
                </c:pt>
                <c:pt idx="98">
                  <c:v>3128.72872690448</c:v>
                </c:pt>
                <c:pt idx="99">
                  <c:v>2556.83369182784</c:v>
                </c:pt>
                <c:pt idx="100">
                  <c:v>2111.2125798829</c:v>
                </c:pt>
                <c:pt idx="101">
                  <c:v>1762.45272576684</c:v>
                </c:pt>
                <c:pt idx="102">
                  <c:v>1487.59111050624</c:v>
                </c:pt>
                <c:pt idx="103">
                  <c:v>1269.16631781016</c:v>
                </c:pt>
                <c:pt idx="104">
                  <c:v>1094.04890168985</c:v>
                </c:pt>
                <c:pt idx="105">
                  <c:v>952.393927439023</c:v>
                </c:pt>
                <c:pt idx="106">
                  <c:v>836.803347200646</c:v>
                </c:pt>
                <c:pt idx="107">
                  <c:v>741.689756544132</c:v>
                </c:pt>
                <c:pt idx="108">
                  <c:v>662.804906853064</c:v>
                </c:pt>
                <c:pt idx="109">
                  <c:v>596.89413696911</c:v>
                </c:pt>
                <c:pt idx="110">
                  <c:v>541.443941629476</c:v>
                </c:pt>
                <c:pt idx="111">
                  <c:v>494.497359933382</c:v>
                </c:pt>
                <c:pt idx="112">
                  <c:v>454.518437783666</c:v>
                </c:pt>
                <c:pt idx="113">
                  <c:v>420.292168575266</c:v>
                </c:pt>
                <c:pt idx="114">
                  <c:v>390.850144978364</c:v>
                </c:pt>
                <c:pt idx="115">
                  <c:v>365.414926455888</c:v>
                </c:pt>
                <c:pt idx="116">
                  <c:v>343.358108084659</c:v>
                </c:pt>
                <c:pt idx="117">
                  <c:v>324.168484464004</c:v>
                </c:pt>
                <c:pt idx="118">
                  <c:v>307.427702829925</c:v>
                </c:pt>
                <c:pt idx="119">
                  <c:v>292.791511585265</c:v>
                </c:pt>
                <c:pt idx="120">
                  <c:v>279.975219353748</c:v>
                </c:pt>
                <c:pt idx="121">
                  <c:v>268.742345202645</c:v>
                </c:pt>
                <c:pt idx="122">
                  <c:v>258.895704772905</c:v>
                </c:pt>
                <c:pt idx="123">
                  <c:v>250.270369059488</c:v>
                </c:pt>
                <c:pt idx="124">
                  <c:v>242.728073093751</c:v>
                </c:pt>
                <c:pt idx="125">
                  <c:v>236.152755296873</c:v>
                </c:pt>
                <c:pt idx="126">
                  <c:v>230.446985059696</c:v>
                </c:pt>
                <c:pt idx="127">
                  <c:v>225.529093459753</c:v>
                </c:pt>
                <c:pt idx="128">
                  <c:v>221.330865175497</c:v>
                </c:pt>
                <c:pt idx="129">
                  <c:v>217.795682364627</c:v>
                </c:pt>
                <c:pt idx="130">
                  <c:v>214.877036268295</c:v>
                </c:pt>
                <c:pt idx="131">
                  <c:v>212.537341581712</c:v>
                </c:pt>
                <c:pt idx="132">
                  <c:v>210.747003665222</c:v>
                </c:pt>
                <c:pt idx="133">
                  <c:v>209.483700553547</c:v>
                </c:pt>
                <c:pt idx="134">
                  <c:v>208.731851280255</c:v>
                </c:pt>
                <c:pt idx="135">
                  <c:v>208.482249902117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79</c:v>
                </c:pt>
                <c:pt idx="145">
                  <c:v>79</c:v>
                </c:pt>
                <c:pt idx="146">
                  <c:v>79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79</c:v>
                </c:pt>
                <c:pt idx="151">
                  <c:v>79</c:v>
                </c:pt>
                <c:pt idx="152">
                  <c:v>79</c:v>
                </c:pt>
                <c:pt idx="153">
                  <c:v>79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79</c:v>
                </c:pt>
                <c:pt idx="158">
                  <c:v>79</c:v>
                </c:pt>
                <c:pt idx="159">
                  <c:v>79</c:v>
                </c:pt>
                <c:pt idx="160">
                  <c:v>79</c:v>
                </c:pt>
                <c:pt idx="161">
                  <c:v>79</c:v>
                </c:pt>
                <c:pt idx="162">
                  <c:v>79</c:v>
                </c:pt>
                <c:pt idx="163">
                  <c:v>79</c:v>
                </c:pt>
                <c:pt idx="164">
                  <c:v>79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79</c:v>
                </c:pt>
                <c:pt idx="176">
                  <c:v>79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79</c:v>
                </c:pt>
              </c:numCache>
            </c:numRef>
          </c:yVal>
          <c:smooth val="1"/>
        </c:ser>
        <c:axId val="95481582"/>
        <c:axId val="38667150"/>
      </c:scatterChart>
      <c:valAx>
        <c:axId val="954815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67150"/>
        <c:crosses val="autoZero"/>
        <c:crossBetween val="midCat"/>
      </c:valAx>
      <c:valAx>
        <c:axId val="38667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815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del gas vs. ángulo del cigüeñal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 (K)"</c:f>
              <c:strCache>
                <c:ptCount val="1"/>
                <c:pt idx="0">
                  <c:v>T (K)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Angulo!$A$5:$A$185</c:f>
              <c:numCache>
                <c:formatCode>0</c:formatCode>
                <c:ptCount val="18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</c:v>
                </c:pt>
                <c:pt idx="139">
                  <c:v>556</c:v>
                </c:pt>
                <c:pt idx="140">
                  <c:v>560</c:v>
                </c:pt>
                <c:pt idx="141">
                  <c:v>564</c:v>
                </c:pt>
                <c:pt idx="142">
                  <c:v>568</c:v>
                </c:pt>
                <c:pt idx="143">
                  <c:v>572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</c:v>
                </c:pt>
                <c:pt idx="171">
                  <c:v>684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</c:numCache>
            </c:numRef>
          </c:xVal>
          <c:yVal>
            <c:numRef>
              <c:f>Angulo!$E$5:$E$185</c:f>
              <c:numCache>
                <c:formatCode>0.00</c:formatCode>
                <c:ptCount val="18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300.102575937435</c:v>
                </c:pt>
                <c:pt idx="47">
                  <c:v>300.411026694437</c:v>
                </c:pt>
                <c:pt idx="48">
                  <c:v>300.927528675854</c:v>
                </c:pt>
                <c:pt idx="49">
                  <c:v>301.655734589855</c:v>
                </c:pt>
                <c:pt idx="50">
                  <c:v>302.600811962387</c:v>
                </c:pt>
                <c:pt idx="51">
                  <c:v>303.769498008711</c:v>
                </c:pt>
                <c:pt idx="52">
                  <c:v>305.170171867209</c:v>
                </c:pt>
                <c:pt idx="53">
                  <c:v>306.81294556767</c:v>
                </c:pt>
                <c:pt idx="54">
                  <c:v>308.709775537975</c:v>
                </c:pt>
                <c:pt idx="55">
                  <c:v>310.874596969321</c:v>
                </c:pt>
                <c:pt idx="56">
                  <c:v>313.32348398376</c:v>
                </c:pt>
                <c:pt idx="57">
                  <c:v>316.07483930561</c:v>
                </c:pt>
                <c:pt idx="58">
                  <c:v>319.149618061066</c:v>
                </c:pt>
                <c:pt idx="59">
                  <c:v>322.571591453917</c:v>
                </c:pt>
                <c:pt idx="60">
                  <c:v>326.367657430529</c:v>
                </c:pt>
                <c:pt idx="61">
                  <c:v>330.568207100657</c:v>
                </c:pt>
                <c:pt idx="62">
                  <c:v>335.207557674205</c:v>
                </c:pt>
                <c:pt idx="63">
                  <c:v>340.324465064039</c:v>
                </c:pt>
                <c:pt idx="64">
                  <c:v>345.962732149206</c:v>
                </c:pt>
                <c:pt idx="65">
                  <c:v>352.171932043468</c:v>
                </c:pt>
                <c:pt idx="66">
                  <c:v>359.008269602189</c:v>
                </c:pt>
                <c:pt idx="67">
                  <c:v>366.535608806838</c:v>
                </c:pt>
                <c:pt idx="68">
                  <c:v>374.826698463135</c:v>
                </c:pt>
                <c:pt idx="69">
                  <c:v>383.964633492672</c:v>
                </c:pt>
                <c:pt idx="70">
                  <c:v>394.044593231901</c:v>
                </c:pt>
                <c:pt idx="71">
                  <c:v>405.175900045158</c:v>
                </c:pt>
                <c:pt idx="72">
                  <c:v>417.484438248408</c:v>
                </c:pt>
                <c:pt idx="73">
                  <c:v>431.115459249322</c:v>
                </c:pt>
                <c:pt idx="74">
                  <c:v>446.236763595201</c:v>
                </c:pt>
                <c:pt idx="75">
                  <c:v>463.042175304284</c:v>
                </c:pt>
                <c:pt idx="76">
                  <c:v>481.755073872408</c:v>
                </c:pt>
                <c:pt idx="77">
                  <c:v>502.63146222157</c:v>
                </c:pt>
                <c:pt idx="78">
                  <c:v>525.961512901287</c:v>
                </c:pt>
                <c:pt idx="79">
                  <c:v>552.067554130682</c:v>
                </c:pt>
                <c:pt idx="80">
                  <c:v>581.294699960386</c:v>
                </c:pt>
                <c:pt idx="81">
                  <c:v>613.987271097574</c:v>
                </c:pt>
                <c:pt idx="82">
                  <c:v>650.439089419169</c:v>
                </c:pt>
                <c:pt idx="83">
                  <c:v>690.798106630344</c:v>
                </c:pt>
                <c:pt idx="84">
                  <c:v>734.896638259394</c:v>
                </c:pt>
                <c:pt idx="85">
                  <c:v>781.974354944692</c:v>
                </c:pt>
                <c:pt idx="86">
                  <c:v>830.283217536588</c:v>
                </c:pt>
                <c:pt idx="87">
                  <c:v>876.65642260707</c:v>
                </c:pt>
                <c:pt idx="88">
                  <c:v>916.331557270254</c:v>
                </c:pt>
                <c:pt idx="89">
                  <c:v>943.551399496904</c:v>
                </c:pt>
                <c:pt idx="90">
                  <c:v>953.301456943931</c:v>
                </c:pt>
                <c:pt idx="91">
                  <c:v>978.119665932535</c:v>
                </c:pt>
                <c:pt idx="92">
                  <c:v>1052.38412994605</c:v>
                </c:pt>
                <c:pt idx="93">
                  <c:v>1175.52630372939</c:v>
                </c:pt>
                <c:pt idx="94">
                  <c:v>1346.60508329685</c:v>
                </c:pt>
                <c:pt idx="95">
                  <c:v>1564.31648661315</c:v>
                </c:pt>
                <c:pt idx="96">
                  <c:v>1827.00714944903</c:v>
                </c:pt>
                <c:pt idx="97">
                  <c:v>1823.02713289135</c:v>
                </c:pt>
                <c:pt idx="98">
                  <c:v>1716.51904792902</c:v>
                </c:pt>
                <c:pt idx="99">
                  <c:v>1620.32212265422</c:v>
                </c:pt>
                <c:pt idx="100">
                  <c:v>1534.04591017617</c:v>
                </c:pt>
                <c:pt idx="101">
                  <c:v>1456.91500991296</c:v>
                </c:pt>
                <c:pt idx="102">
                  <c:v>1388.02075407066</c:v>
                </c:pt>
                <c:pt idx="103">
                  <c:v>1326.45238120942</c:v>
                </c:pt>
                <c:pt idx="104">
                  <c:v>1271.35926205924</c:v>
                </c:pt>
                <c:pt idx="105">
                  <c:v>1221.97562667098</c:v>
                </c:pt>
                <c:pt idx="106">
                  <c:v>1177.62587928312</c:v>
                </c:pt>
                <c:pt idx="107">
                  <c:v>1137.72051787194</c:v>
                </c:pt>
                <c:pt idx="108">
                  <c:v>1101.7480377867</c:v>
                </c:pt>
                <c:pt idx="109">
                  <c:v>1069.26561072823</c:v>
                </c:pt>
                <c:pt idx="110">
                  <c:v>1039.88991593356</c:v>
                </c:pt>
                <c:pt idx="111">
                  <c:v>1013.28874270119</c:v>
                </c:pt>
                <c:pt idx="112">
                  <c:v>989.173587581986</c:v>
                </c:pt>
                <c:pt idx="113">
                  <c:v>967.293270801164</c:v>
                </c:pt>
                <c:pt idx="114">
                  <c:v>947.428503545954</c:v>
                </c:pt>
                <c:pt idx="115">
                  <c:v>929.387300567062</c:v>
                </c:pt>
                <c:pt idx="116">
                  <c:v>913.001123806961</c:v>
                </c:pt>
                <c:pt idx="117">
                  <c:v>898.121647763107</c:v>
                </c:pt>
                <c:pt idx="118">
                  <c:v>884.618048203951</c:v>
                </c:pt>
                <c:pt idx="119">
                  <c:v>872.374728638658</c:v>
                </c:pt>
                <c:pt idx="120">
                  <c:v>861.289411600002</c:v>
                </c:pt>
                <c:pt idx="121">
                  <c:v>851.271533428092</c:v>
                </c:pt>
                <c:pt idx="122">
                  <c:v>842.240891503449</c:v>
                </c:pt>
                <c:pt idx="123">
                  <c:v>834.126501720048</c:v>
                </c:pt>
                <c:pt idx="124">
                  <c:v>826.86563149499</c:v>
                </c:pt>
                <c:pt idx="125">
                  <c:v>820.402979918708</c:v>
                </c:pt>
                <c:pt idx="126">
                  <c:v>814.689981910565</c:v>
                </c:pt>
                <c:pt idx="127">
                  <c:v>809.684217608147</c:v>
                </c:pt>
                <c:pt idx="128">
                  <c:v>805.348911821411</c:v>
                </c:pt>
                <c:pt idx="129">
                  <c:v>801.652511348011</c:v>
                </c:pt>
                <c:pt idx="130">
                  <c:v>798.568330381343</c:v>
                </c:pt>
                <c:pt idx="131">
                  <c:v>796.074256242645</c:v>
                </c:pt>
                <c:pt idx="132">
                  <c:v>794.152509314252</c:v>
                </c:pt>
                <c:pt idx="133">
                  <c:v>792.789452413432</c:v>
                </c:pt>
                <c:pt idx="134">
                  <c:v>791.975445985537</c:v>
                </c:pt>
                <c:pt idx="135">
                  <c:v>791.704746463737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</c:numCache>
            </c:numRef>
          </c:yVal>
          <c:smooth val="1"/>
        </c:ser>
        <c:axId val="55318519"/>
        <c:axId val="89723322"/>
      </c:scatterChart>
      <c:valAx>
        <c:axId val="553185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23322"/>
        <c:crosses val="autoZero"/>
        <c:crossBetween val="midCat"/>
      </c:valAx>
      <c:valAx>
        <c:axId val="89723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1851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255960</xdr:colOff>
      <xdr:row>16</xdr:row>
      <xdr:rowOff>11520</xdr:rowOff>
    </xdr:to>
    <xdr:graphicFrame>
      <xdr:nvGraphicFramePr>
        <xdr:cNvPr id="1" name="Chart 2"/>
        <xdr:cNvGraphicFramePr/>
      </xdr:nvGraphicFramePr>
      <xdr:xfrm>
        <a:off x="611496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255960</xdr:colOff>
      <xdr:row>34</xdr:row>
      <xdr:rowOff>11520</xdr:rowOff>
    </xdr:to>
    <xdr:graphicFrame>
      <xdr:nvGraphicFramePr>
        <xdr:cNvPr id="2" name="Chart 3"/>
        <xdr:cNvGraphicFramePr/>
      </xdr:nvGraphicFramePr>
      <xdr:xfrm>
        <a:off x="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19</xdr:col>
      <xdr:colOff>255960</xdr:colOff>
      <xdr:row>34</xdr:row>
      <xdr:rowOff>11520</xdr:rowOff>
    </xdr:to>
    <xdr:graphicFrame>
      <xdr:nvGraphicFramePr>
        <xdr:cNvPr id="3" name="Chart 4"/>
        <xdr:cNvGraphicFramePr/>
      </xdr:nvGraphicFramePr>
      <xdr:xfrm>
        <a:off x="611496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255960</xdr:colOff>
      <xdr:row>52</xdr:row>
      <xdr:rowOff>11520</xdr:rowOff>
    </xdr:to>
    <xdr:graphicFrame>
      <xdr:nvGraphicFramePr>
        <xdr:cNvPr id="4" name="Chart 5"/>
        <xdr:cNvGraphicFramePr/>
      </xdr:nvGraphicFramePr>
      <xdr:xfrm>
        <a:off x="0" y="6858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255960</xdr:colOff>
      <xdr:row>52</xdr:row>
      <xdr:rowOff>11520</xdr:rowOff>
    </xdr:to>
    <xdr:graphicFrame>
      <xdr:nvGraphicFramePr>
        <xdr:cNvPr id="5" name="Chart 6"/>
        <xdr:cNvGraphicFramePr/>
      </xdr:nvGraphicFramePr>
      <xdr:xfrm>
        <a:off x="6114960" y="6858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255960</xdr:colOff>
      <xdr:row>70</xdr:row>
      <xdr:rowOff>11520</xdr:rowOff>
    </xdr:to>
    <xdr:graphicFrame>
      <xdr:nvGraphicFramePr>
        <xdr:cNvPr id="6" name="Chart 7"/>
        <xdr:cNvGraphicFramePr/>
      </xdr:nvGraphicFramePr>
      <xdr:xfrm>
        <a:off x="0" y="10287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79</v>
      </c>
      <c r="D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6" t="n">
        <v>300</v>
      </c>
      <c r="D7" s="5" t="s">
        <v>13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v>18</v>
      </c>
      <c r="D8" s="5" t="s">
        <v>16</v>
      </c>
    </row>
    <row r="9" customFormat="false" ht="15" hidden="false" customHeight="false" outlineLevel="0" collapsed="false">
      <c r="A9" s="5" t="s">
        <v>17</v>
      </c>
      <c r="B9" s="5" t="s">
        <v>18</v>
      </c>
      <c r="C9" s="6" t="n">
        <v>2</v>
      </c>
      <c r="D9" s="5" t="s">
        <v>16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6" t="n">
        <v>1.4</v>
      </c>
      <c r="D10" s="5" t="s">
        <v>16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6" t="n">
        <v>0.718</v>
      </c>
      <c r="D11" s="5" t="s">
        <v>23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6" t="n">
        <v>1.005</v>
      </c>
      <c r="D12" s="5" t="s">
        <v>23</v>
      </c>
    </row>
    <row r="13" customFormat="false" ht="15" hidden="false" customHeight="false" outlineLevel="0" collapsed="false">
      <c r="A13" s="5" t="s">
        <v>26</v>
      </c>
      <c r="B13" s="5" t="s">
        <v>27</v>
      </c>
      <c r="C13" s="6" t="n">
        <v>0.287</v>
      </c>
      <c r="D13" s="5" t="s">
        <v>23</v>
      </c>
    </row>
    <row r="14" customFormat="false" ht="15" hidden="false" customHeight="false" outlineLevel="0" collapsed="false">
      <c r="A14" s="5" t="s">
        <v>28</v>
      </c>
      <c r="B14" s="5" t="s">
        <v>29</v>
      </c>
      <c r="C14" s="6" t="n">
        <v>7.8</v>
      </c>
      <c r="D14" s="5" t="s">
        <v>30</v>
      </c>
    </row>
    <row r="15" customFormat="false" ht="15" hidden="false" customHeight="false" outlineLevel="0" collapsed="false">
      <c r="A15" s="5" t="s">
        <v>31</v>
      </c>
      <c r="B15" s="5" t="s">
        <v>32</v>
      </c>
      <c r="C15" s="6" t="n">
        <v>6.75</v>
      </c>
      <c r="D15" s="5" t="s">
        <v>30</v>
      </c>
    </row>
    <row r="16" customFormat="false" ht="15" hidden="false" customHeight="false" outlineLevel="0" collapsed="false">
      <c r="A16" s="5" t="s">
        <v>33</v>
      </c>
      <c r="B16" s="5" t="s">
        <v>34</v>
      </c>
      <c r="C16" s="6" t="n">
        <v>4</v>
      </c>
      <c r="D16" s="5" t="s">
        <v>16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6" t="n">
        <v>13.1</v>
      </c>
      <c r="D17" s="5" t="s">
        <v>30</v>
      </c>
    </row>
    <row r="18" customFormat="false" ht="15" hidden="false" customHeight="false" outlineLevel="0" collapsed="false">
      <c r="A18" s="5" t="s">
        <v>37</v>
      </c>
      <c r="B18" s="5" t="s">
        <v>38</v>
      </c>
      <c r="C18" s="6" t="n">
        <v>3000</v>
      </c>
      <c r="D18" s="5" t="s">
        <v>39</v>
      </c>
    </row>
    <row r="20" customFormat="false" ht="15" hidden="false" customHeight="false" outlineLevel="0" collapsed="false">
      <c r="A20" s="7" t="s">
        <v>40</v>
      </c>
    </row>
    <row r="21" customFormat="false" ht="31.5" hidden="false" customHeight="true" outlineLevel="0" collapsed="false">
      <c r="A21" s="4" t="s">
        <v>41</v>
      </c>
      <c r="B21" s="4" t="s">
        <v>42</v>
      </c>
      <c r="C21" s="4" t="s">
        <v>5</v>
      </c>
      <c r="D21" s="4" t="s">
        <v>6</v>
      </c>
    </row>
    <row r="22" customFormat="false" ht="15" hidden="false" customHeight="false" outlineLevel="0" collapsed="false">
      <c r="A22" s="8" t="s">
        <v>43</v>
      </c>
      <c r="B22" s="5" t="s">
        <v>44</v>
      </c>
      <c r="C22" s="9" t="n">
        <f aca="false">PI()*Diesel!$C$14^2/4</f>
        <v>47.7836242611008</v>
      </c>
      <c r="D22" s="5" t="s">
        <v>45</v>
      </c>
    </row>
    <row r="23" customFormat="false" ht="15" hidden="false" customHeight="false" outlineLevel="0" collapsed="false">
      <c r="A23" s="8" t="s">
        <v>46</v>
      </c>
      <c r="B23" s="5" t="s">
        <v>47</v>
      </c>
      <c r="C23" s="9" t="n">
        <f aca="false">Diesel!$C$22*Diesel!$C$15</f>
        <v>322.53946376243</v>
      </c>
      <c r="D23" s="5" t="s">
        <v>48</v>
      </c>
    </row>
    <row r="24" customFormat="false" ht="15" hidden="false" customHeight="false" outlineLevel="0" collapsed="false">
      <c r="A24" s="8" t="s">
        <v>49</v>
      </c>
      <c r="B24" s="5" t="s">
        <v>50</v>
      </c>
      <c r="C24" s="9" t="n">
        <f aca="false">Diesel!$C$23/(Diesel!$C$8-1)</f>
        <v>18.9729096330841</v>
      </c>
      <c r="D24" s="5" t="s">
        <v>48</v>
      </c>
    </row>
    <row r="25" customFormat="false" ht="15" hidden="false" customHeight="false" outlineLevel="0" collapsed="false">
      <c r="A25" s="8" t="s">
        <v>51</v>
      </c>
      <c r="B25" s="5" t="s">
        <v>52</v>
      </c>
      <c r="C25" s="9" t="n">
        <f aca="false">Diesel!$C$23+Diesel!$C$24</f>
        <v>341.512373395514</v>
      </c>
      <c r="D25" s="5" t="s">
        <v>48</v>
      </c>
    </row>
    <row r="26" customFormat="false" ht="15" hidden="false" customHeight="false" outlineLevel="0" collapsed="false">
      <c r="A26" s="8" t="s">
        <v>53</v>
      </c>
      <c r="B26" s="5" t="s">
        <v>54</v>
      </c>
      <c r="C26" s="9" t="n">
        <f aca="false">Diesel!$C$15/2/Diesel!$C$17</f>
        <v>0.25763358778626</v>
      </c>
      <c r="D26" s="5" t="s">
        <v>16</v>
      </c>
    </row>
    <row r="27" customFormat="false" ht="15" hidden="false" customHeight="false" outlineLevel="0" collapsed="false">
      <c r="A27" s="8" t="s">
        <v>55</v>
      </c>
      <c r="B27" s="5" t="s">
        <v>56</v>
      </c>
      <c r="C27" s="9" t="n">
        <f aca="false">Diesel!$C$13*Diesel!$C$7/Diesel!$C$6</f>
        <v>1.08987341772152</v>
      </c>
      <c r="D27" s="5" t="s">
        <v>57</v>
      </c>
    </row>
    <row r="28" customFormat="false" ht="15" hidden="false" customHeight="false" outlineLevel="0" collapsed="false">
      <c r="A28" s="8" t="s">
        <v>58</v>
      </c>
      <c r="B28" s="5" t="s">
        <v>59</v>
      </c>
      <c r="C28" s="10" t="n">
        <f aca="false">Diesel!$C$25*0.000001/Diesel!$C$27</f>
        <v>0.000313350493591703</v>
      </c>
      <c r="D28" s="5" t="s">
        <v>60</v>
      </c>
    </row>
    <row r="30" customFormat="false" ht="15" hidden="false" customHeight="false" outlineLevel="0" collapsed="false">
      <c r="A30" s="7" t="s">
        <v>61</v>
      </c>
    </row>
    <row r="31" customFormat="false" ht="31.5" hidden="false" customHeight="true" outlineLevel="0" collapsed="false">
      <c r="A31" s="4" t="s">
        <v>62</v>
      </c>
      <c r="B31" s="4" t="s">
        <v>63</v>
      </c>
      <c r="C31" s="4" t="s">
        <v>64</v>
      </c>
      <c r="D31" s="4" t="s">
        <v>65</v>
      </c>
      <c r="E31" s="4" t="s">
        <v>66</v>
      </c>
      <c r="F31" s="4" t="s">
        <v>67</v>
      </c>
    </row>
    <row r="32" customFormat="false" ht="15" hidden="false" customHeight="false" outlineLevel="0" collapsed="false">
      <c r="A32" s="8" t="n">
        <v>1</v>
      </c>
      <c r="B32" s="11" t="n">
        <f aca="false">Diesel!$C$6</f>
        <v>79</v>
      </c>
      <c r="C32" s="11" t="n">
        <f aca="false">Diesel!$C$7</f>
        <v>300</v>
      </c>
      <c r="D32" s="9" t="n">
        <f aca="false">Diesel!$C$27</f>
        <v>1.08987341772152</v>
      </c>
      <c r="E32" s="9" t="n">
        <f aca="false">0</f>
        <v>0</v>
      </c>
      <c r="F32" s="11" t="n">
        <f aca="false">Diesel!$D$32*Diesel!$C$28*1000000</f>
        <v>341.512373395514</v>
      </c>
    </row>
    <row r="33" customFormat="false" ht="15" hidden="false" customHeight="false" outlineLevel="0" collapsed="false">
      <c r="A33" s="8" t="n">
        <v>2</v>
      </c>
      <c r="B33" s="11" t="n">
        <f aca="false">Diesel!$C$6*Diesel!$C$8^Diesel!$C$10</f>
        <v>4518.64890591423</v>
      </c>
      <c r="C33" s="11" t="n">
        <f aca="false">Diesel!$C$7*Diesel!$C$8^(Diesel!$C$10-1)</f>
        <v>953.301456943931</v>
      </c>
      <c r="D33" s="9" t="n">
        <f aca="false">Diesel!$C$27/Diesel!$C$8</f>
        <v>0.0605485232067511</v>
      </c>
      <c r="E33" s="9" t="n">
        <f aca="false">0</f>
        <v>0</v>
      </c>
      <c r="F33" s="11" t="n">
        <f aca="false">Diesel!$D$33*Diesel!$C$28*1000000</f>
        <v>18.9729096330841</v>
      </c>
    </row>
    <row r="34" customFormat="false" ht="15" hidden="false" customHeight="false" outlineLevel="0" collapsed="false">
      <c r="A34" s="8" t="n">
        <v>3</v>
      </c>
      <c r="B34" s="11" t="n">
        <f aca="false">Diesel!$B$33</f>
        <v>4518.64890591423</v>
      </c>
      <c r="C34" s="11" t="n">
        <f aca="false">Diesel!$C$33*Diesel!$C$9</f>
        <v>1906.60291388786</v>
      </c>
      <c r="D34" s="9" t="n">
        <f aca="false">Diesel!$D$33*Diesel!$C$9</f>
        <v>0.121097046413502</v>
      </c>
      <c r="E34" s="9" t="n">
        <f aca="false">Diesel!$C$12*LN(Diesel!$C$9)</f>
        <v>0.696612916462745</v>
      </c>
      <c r="F34" s="11" t="n">
        <f aca="false">Diesel!$D$34*Diesel!$C$28*1000000</f>
        <v>37.9458192661682</v>
      </c>
    </row>
    <row r="35" customFormat="false" ht="15" hidden="false" customHeight="false" outlineLevel="0" collapsed="false">
      <c r="A35" s="8" t="n">
        <v>4</v>
      </c>
      <c r="B35" s="11" t="n">
        <f aca="false">Diesel!$B$34*(Diesel!$D$34/Diesel!$C$27)^Diesel!$C$10</f>
        <v>208.482249902117</v>
      </c>
      <c r="C35" s="11" t="n">
        <f aca="false">Diesel!$C$34*(Diesel!$C$9/Diesel!$C$8)^(Diesel!$C$10-1)</f>
        <v>791.704746463737</v>
      </c>
      <c r="D35" s="9" t="n">
        <f aca="false">Diesel!$C$27</f>
        <v>1.08987341772152</v>
      </c>
      <c r="E35" s="9" t="n">
        <f aca="false">Diesel!$E$34</f>
        <v>0.696612916462745</v>
      </c>
      <c r="F35" s="11" t="n">
        <f aca="false">Diesel!$D$35*Diesel!$C$28*1000000</f>
        <v>341.512373395514</v>
      </c>
    </row>
    <row r="37" customFormat="false" ht="15" hidden="false" customHeight="false" outlineLevel="0" collapsed="false">
      <c r="A37" s="7" t="s">
        <v>68</v>
      </c>
    </row>
    <row r="38" customFormat="false" ht="31.5" hidden="false" customHeight="true" outlineLevel="0" collapsed="false">
      <c r="A38" s="4" t="s">
        <v>69</v>
      </c>
      <c r="B38" s="4" t="s">
        <v>70</v>
      </c>
      <c r="C38" s="4" t="s">
        <v>71</v>
      </c>
      <c r="D38" s="4" t="s">
        <v>72</v>
      </c>
      <c r="E38" s="4" t="s">
        <v>73</v>
      </c>
      <c r="F38" s="4" t="s">
        <v>74</v>
      </c>
      <c r="G38" s="4" t="s">
        <v>75</v>
      </c>
    </row>
    <row r="39" customFormat="false" ht="15" hidden="false" customHeight="false" outlineLevel="0" collapsed="false">
      <c r="A39" s="8" t="s">
        <v>76</v>
      </c>
      <c r="B39" s="5" t="s">
        <v>77</v>
      </c>
      <c r="C39" s="11" t="n">
        <f aca="false">0</f>
        <v>0</v>
      </c>
      <c r="D39" s="11" t="n">
        <f aca="false">-E39</f>
        <v>-469.070446085742</v>
      </c>
      <c r="E39" s="11" t="n">
        <f aca="false">Diesel!$C$11*(Diesel!$C$33-Diesel!$C$32)</f>
        <v>469.070446085742</v>
      </c>
      <c r="F39" s="9" t="n">
        <f aca="false">Diesel!$E$33-Diesel!$E$32</f>
        <v>0</v>
      </c>
      <c r="G39" s="12" t="n">
        <f aca="false">C39-D39-E39</f>
        <v>0</v>
      </c>
    </row>
    <row r="40" customFormat="false" ht="15" hidden="false" customHeight="false" outlineLevel="0" collapsed="false">
      <c r="A40" s="8" t="s">
        <v>78</v>
      </c>
      <c r="B40" s="5" t="s">
        <v>79</v>
      </c>
      <c r="C40" s="11" t="n">
        <f aca="false">Diesel!$C$12*(Diesel!$C$34-Diesel!$C$33)</f>
        <v>958.06796422865</v>
      </c>
      <c r="D40" s="11" t="n">
        <f aca="false">Diesel!$B$33*(Diesel!$D$34-Diesel!$D$33)</f>
        <v>273.597518142908</v>
      </c>
      <c r="E40" s="11" t="n">
        <f aca="false">Diesel!$C$11*(Diesel!$C$34-Diesel!$C$33)</f>
        <v>684.470446085742</v>
      </c>
      <c r="F40" s="9" t="n">
        <f aca="false">Diesel!$E$34-Diesel!$E$33</f>
        <v>0.696612916462745</v>
      </c>
      <c r="G40" s="12" t="n">
        <f aca="false">C40-D40-E40</f>
        <v>0</v>
      </c>
    </row>
    <row r="41" customFormat="false" ht="15" hidden="false" customHeight="false" outlineLevel="0" collapsed="false">
      <c r="A41" s="8" t="s">
        <v>80</v>
      </c>
      <c r="B41" s="5" t="s">
        <v>81</v>
      </c>
      <c r="C41" s="11" t="n">
        <f aca="false">0</f>
        <v>0</v>
      </c>
      <c r="D41" s="11" t="n">
        <f aca="false">-E41</f>
        <v>800.496884210522</v>
      </c>
      <c r="E41" s="11" t="n">
        <f aca="false">Diesel!$C$11*(Diesel!$C$35-Diesel!$C$34)</f>
        <v>-800.496884210522</v>
      </c>
      <c r="F41" s="9" t="n">
        <f aca="false">Diesel!$E$35-Diesel!$E$34</f>
        <v>0</v>
      </c>
      <c r="G41" s="12" t="n">
        <f aca="false">C41-D41-E41</f>
        <v>0</v>
      </c>
    </row>
    <row r="42" customFormat="false" ht="15" hidden="false" customHeight="false" outlineLevel="0" collapsed="false">
      <c r="A42" s="8" t="s">
        <v>82</v>
      </c>
      <c r="B42" s="5" t="s">
        <v>83</v>
      </c>
      <c r="C42" s="11" t="n">
        <f aca="false">Diesel!$C$11*(Diesel!$C$32-Diesel!$C$35)</f>
        <v>-353.044007960963</v>
      </c>
      <c r="D42" s="11" t="n">
        <f aca="false">0</f>
        <v>0</v>
      </c>
      <c r="E42" s="11" t="n">
        <f aca="false">Diesel!$C$11*(Diesel!$C$32-Diesel!$C$35)</f>
        <v>-353.044007960963</v>
      </c>
      <c r="F42" s="9" t="n">
        <f aca="false">Diesel!$E$32-Diesel!$E$35</f>
        <v>-0.696612916462745</v>
      </c>
      <c r="G42" s="12" t="n">
        <f aca="false">C42-D42-E42</f>
        <v>0</v>
      </c>
    </row>
    <row r="43" customFormat="false" ht="15" hidden="false" customHeight="false" outlineLevel="0" collapsed="false">
      <c r="A43" s="8" t="s">
        <v>84</v>
      </c>
      <c r="C43" s="13" t="n">
        <f aca="false">SUM(C39:C42)</f>
        <v>605.023956267688</v>
      </c>
      <c r="D43" s="13" t="n">
        <f aca="false">SUM(D39:D42)</f>
        <v>605.023956267688</v>
      </c>
      <c r="E43" s="13" t="n">
        <f aca="false">SUM(E39:E42)</f>
        <v>0</v>
      </c>
      <c r="F43" s="14" t="n">
        <f aca="false">SUM(F39:F42)</f>
        <v>0</v>
      </c>
    </row>
    <row r="44" customFormat="false" ht="15" hidden="false" customHeight="false" outlineLevel="0" collapsed="false">
      <c r="A44" s="15" t="s">
        <v>85</v>
      </c>
    </row>
    <row r="46" customFormat="false" ht="15" hidden="false" customHeight="false" outlineLevel="0" collapsed="false">
      <c r="A46" s="7" t="s">
        <v>86</v>
      </c>
    </row>
    <row r="47" customFormat="false" ht="31.5" hidden="false" customHeight="true" outlineLevel="0" collapsed="false">
      <c r="A47" s="4" t="s">
        <v>41</v>
      </c>
      <c r="B47" s="4" t="s">
        <v>42</v>
      </c>
      <c r="C47" s="4" t="s">
        <v>5</v>
      </c>
      <c r="D47" s="4" t="s">
        <v>6</v>
      </c>
    </row>
    <row r="48" customFormat="false" ht="15" hidden="false" customHeight="false" outlineLevel="0" collapsed="false">
      <c r="A48" s="8" t="s">
        <v>87</v>
      </c>
      <c r="B48" s="5" t="s">
        <v>88</v>
      </c>
      <c r="C48" s="11" t="n">
        <f aca="false">Diesel!$C$40</f>
        <v>958.06796422865</v>
      </c>
      <c r="D48" s="5" t="s">
        <v>89</v>
      </c>
    </row>
    <row r="49" customFormat="false" ht="15" hidden="false" customHeight="false" outlineLevel="0" collapsed="false">
      <c r="A49" s="8" t="s">
        <v>90</v>
      </c>
      <c r="B49" s="5" t="s">
        <v>91</v>
      </c>
      <c r="C49" s="11" t="n">
        <f aca="false">-Diesel!$C$42</f>
        <v>353.044007960963</v>
      </c>
      <c r="D49" s="5" t="s">
        <v>89</v>
      </c>
    </row>
    <row r="50" customFormat="false" ht="15" hidden="false" customHeight="false" outlineLevel="0" collapsed="false">
      <c r="A50" s="8" t="s">
        <v>92</v>
      </c>
      <c r="B50" s="5" t="s">
        <v>93</v>
      </c>
      <c r="C50" s="11" t="n">
        <f aca="false">Diesel!$D$43</f>
        <v>605.023956267688</v>
      </c>
      <c r="D50" s="5" t="s">
        <v>89</v>
      </c>
    </row>
    <row r="51" customFormat="false" ht="15" hidden="false" customHeight="false" outlineLevel="0" collapsed="false">
      <c r="A51" s="8" t="s">
        <v>94</v>
      </c>
      <c r="B51" s="5" t="s">
        <v>95</v>
      </c>
      <c r="C51" s="11" t="n">
        <f aca="false">C50/C48*100</f>
        <v>63.1504213539588</v>
      </c>
      <c r="D51" s="5" t="s">
        <v>96</v>
      </c>
    </row>
    <row r="52" customFormat="false" ht="15" hidden="false" customHeight="false" outlineLevel="0" collapsed="false">
      <c r="A52" s="8" t="s">
        <v>97</v>
      </c>
      <c r="B52" s="5" t="s">
        <v>98</v>
      </c>
      <c r="C52" s="11" t="n">
        <f aca="false">(1-1/Diesel!$C$8^(Diesel!$C$10-1)*((Diesel!$C$9^Diesel!$C$10-1)/(Diesel!$C$10*(Diesel!$C$9-1))))*100</f>
        <v>63.1577531443778</v>
      </c>
      <c r="D52" s="5" t="s">
        <v>96</v>
      </c>
    </row>
    <row r="53" customFormat="false" ht="15" hidden="false" customHeight="false" outlineLevel="0" collapsed="false">
      <c r="A53" s="8" t="s">
        <v>99</v>
      </c>
      <c r="B53" s="5" t="s">
        <v>100</v>
      </c>
      <c r="C53" s="11" t="n">
        <f aca="false">(1-1/Diesel!$C$8^(Diesel!$C$10-1))*100</f>
        <v>68.5304162901699</v>
      </c>
      <c r="D53" s="5" t="s">
        <v>96</v>
      </c>
    </row>
    <row r="54" customFormat="false" ht="15" hidden="false" customHeight="false" outlineLevel="0" collapsed="false">
      <c r="A54" s="8" t="s">
        <v>101</v>
      </c>
      <c r="B54" s="5" t="s">
        <v>102</v>
      </c>
      <c r="C54" s="11" t="n">
        <f aca="false">(1-MIN(Diesel!$C$32,Diesel!$C$35)/MAX(Diesel!$C$33,Diesel!$C$34))*100</f>
        <v>84.265208145085</v>
      </c>
      <c r="D54" s="5" t="s">
        <v>96</v>
      </c>
    </row>
    <row r="55" customFormat="false" ht="15" hidden="false" customHeight="false" outlineLevel="0" collapsed="false">
      <c r="A55" s="8" t="s">
        <v>103</v>
      </c>
      <c r="B55" s="5" t="s">
        <v>104</v>
      </c>
      <c r="C55" s="11" t="n">
        <f aca="false">C48/Diesel!$F$40</f>
        <v>1375.32328440523</v>
      </c>
      <c r="D55" s="5" t="s">
        <v>13</v>
      </c>
    </row>
    <row r="56" customFormat="false" ht="15" hidden="false" customHeight="false" outlineLevel="0" collapsed="false">
      <c r="A56" s="8" t="s">
        <v>105</v>
      </c>
      <c r="B56" s="5" t="s">
        <v>106</v>
      </c>
      <c r="C56" s="11" t="n">
        <f aca="false">C50/(MAX(Diesel!$D$32,Diesel!$D$33,Diesel!$D$34,Diesel!$D$35)-MIN(Diesel!$D$32,Diesel!$D$33,Diesel!$D$34,Diesel!$D$35))</f>
        <v>587.787159809149</v>
      </c>
      <c r="D56" s="5" t="s">
        <v>10</v>
      </c>
    </row>
    <row r="57" customFormat="false" ht="15" hidden="false" customHeight="false" outlineLevel="0" collapsed="false">
      <c r="A57" s="8" t="s">
        <v>107</v>
      </c>
      <c r="B57" s="5" t="s">
        <v>108</v>
      </c>
      <c r="C57" s="11" t="n">
        <f aca="false">MAX(Diesel!$B$32,Diesel!$B$33,Diesel!$B$34,Diesel!$B$35)</f>
        <v>4518.64890591423</v>
      </c>
      <c r="D57" s="5" t="s">
        <v>10</v>
      </c>
    </row>
    <row r="58" customFormat="false" ht="15" hidden="false" customHeight="false" outlineLevel="0" collapsed="false">
      <c r="A58" s="8" t="s">
        <v>109</v>
      </c>
      <c r="B58" s="5" t="s">
        <v>110</v>
      </c>
      <c r="C58" s="11" t="n">
        <f aca="false">MAX(Diesel!$C$32,Diesel!$C$33,Diesel!$C$34,Diesel!$C$35)</f>
        <v>1906.60291388786</v>
      </c>
      <c r="D58" s="5" t="s">
        <v>13</v>
      </c>
    </row>
    <row r="59" customFormat="false" ht="15" hidden="false" customHeight="false" outlineLevel="0" collapsed="false">
      <c r="A59" s="8" t="s">
        <v>111</v>
      </c>
      <c r="B59" s="5" t="s">
        <v>112</v>
      </c>
      <c r="C59" s="11" t="n">
        <f aca="false">C50*Diesel!$C$28*1000</f>
        <v>189.584555331285</v>
      </c>
      <c r="D59" s="5" t="s">
        <v>113</v>
      </c>
    </row>
    <row r="60" customFormat="false" ht="15" hidden="false" customHeight="false" outlineLevel="0" collapsed="false">
      <c r="A60" s="8" t="s">
        <v>114</v>
      </c>
      <c r="B60" s="5" t="s">
        <v>115</v>
      </c>
      <c r="C60" s="11" t="n">
        <f aca="false">C48*Diesel!$C$28*1000</f>
        <v>300.211069485446</v>
      </c>
      <c r="D60" s="5" t="s">
        <v>113</v>
      </c>
    </row>
    <row r="61" customFormat="false" ht="15" hidden="false" customHeight="false" outlineLevel="0" collapsed="false">
      <c r="A61" s="8" t="s">
        <v>116</v>
      </c>
      <c r="B61" s="5" t="s">
        <v>117</v>
      </c>
      <c r="C61" s="11" t="n">
        <f aca="false">C59*Diesel!$C$16*Diesel!$C$18/120/1000</f>
        <v>18.9584555331285</v>
      </c>
      <c r="D61" s="5" t="s">
        <v>118</v>
      </c>
    </row>
    <row r="62" customFormat="false" ht="15" hidden="false" customHeight="false" outlineLevel="0" collapsed="false">
      <c r="A62" s="8" t="s">
        <v>119</v>
      </c>
      <c r="B62" s="5" t="s">
        <v>120</v>
      </c>
      <c r="C62" s="9" t="n">
        <f aca="false">-Diesel!$D$39/(Diesel!$D$41+Diesel!$D$40)</f>
        <v>0.436712494784416</v>
      </c>
      <c r="D62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31.5" hidden="false" customHeight="true" outlineLevel="0" collapsed="false">
      <c r="A4" s="4" t="s">
        <v>69</v>
      </c>
      <c r="B4" s="4" t="s">
        <v>123</v>
      </c>
      <c r="C4" s="4" t="s">
        <v>65</v>
      </c>
      <c r="D4" s="4" t="s">
        <v>64</v>
      </c>
      <c r="E4" s="4" t="s">
        <v>63</v>
      </c>
      <c r="F4" s="4" t="s">
        <v>66</v>
      </c>
      <c r="G4" s="4" t="s">
        <v>67</v>
      </c>
    </row>
    <row r="5" customFormat="false" ht="15" hidden="false" customHeight="false" outlineLevel="0" collapsed="false">
      <c r="A5" s="5" t="s">
        <v>76</v>
      </c>
      <c r="B5" s="12" t="n">
        <v>0</v>
      </c>
      <c r="C5" s="16" t="n">
        <f aca="false">Diesel!$D$32+(Diesel!$D$33-Diesel!$D$32)*B5</f>
        <v>1.08987341772152</v>
      </c>
      <c r="D5" s="11" t="n">
        <f aca="false">Diesel!$C$32*(Diesel!$D$32/C5)^(Diesel!$C$10-1)</f>
        <v>300</v>
      </c>
      <c r="E5" s="11" t="n">
        <f aca="false">Diesel!$C$13*D5/C5</f>
        <v>79</v>
      </c>
      <c r="F5" s="16" t="n">
        <f aca="false">0</f>
        <v>0</v>
      </c>
      <c r="G5" s="11" t="n">
        <f aca="false">C5*Diesel!$C$28*1000000</f>
        <v>341.512373395514</v>
      </c>
    </row>
    <row r="6" customFormat="false" ht="15" hidden="false" customHeight="false" outlineLevel="0" collapsed="false">
      <c r="A6" s="5" t="s">
        <v>76</v>
      </c>
      <c r="B6" s="12" t="n">
        <v>0.052632</v>
      </c>
      <c r="C6" s="16" t="n">
        <f aca="false">Diesel!$D$32+(Diesel!$D$33-Diesel!$D$32)*B6</f>
        <v>1.03569798987342</v>
      </c>
      <c r="D6" s="11" t="n">
        <f aca="false">Diesel!$C$32*(Diesel!$D$32/C6)^(Diesel!$C$10-1)</f>
        <v>306.181132754828</v>
      </c>
      <c r="E6" s="11" t="n">
        <f aca="false">Diesel!$C$13*D6/C6</f>
        <v>84.8451826302913</v>
      </c>
      <c r="F6" s="16" t="n">
        <f aca="false">0</f>
        <v>0</v>
      </c>
      <c r="G6" s="11" t="n">
        <f aca="false">C6*Diesel!$C$28*1000000</f>
        <v>324.53647633877</v>
      </c>
    </row>
    <row r="7" customFormat="false" ht="15" hidden="false" customHeight="false" outlineLevel="0" collapsed="false">
      <c r="A7" s="5" t="s">
        <v>76</v>
      </c>
      <c r="B7" s="12" t="n">
        <v>0.105263</v>
      </c>
      <c r="C7" s="16" t="n">
        <f aca="false">Diesel!$D$32+(Diesel!$D$33-Diesel!$D$32)*B7</f>
        <v>0.981523591350211</v>
      </c>
      <c r="D7" s="11" t="n">
        <f aca="false">Diesel!$C$32*(Diesel!$D$32/C7)^(Diesel!$C$10-1)</f>
        <v>312.83215167009</v>
      </c>
      <c r="E7" s="11" t="n">
        <f aca="false">Diesel!$C$13*D7/C7</f>
        <v>91.4729185528877</v>
      </c>
      <c r="F7" s="16" t="n">
        <f aca="false">0</f>
        <v>0</v>
      </c>
      <c r="G7" s="11" t="n">
        <f aca="false">C7*Diesel!$C$28*1000000</f>
        <v>307.56090182149</v>
      </c>
    </row>
    <row r="8" customFormat="false" ht="15" hidden="false" customHeight="false" outlineLevel="0" collapsed="false">
      <c r="A8" s="5" t="s">
        <v>76</v>
      </c>
      <c r="B8" s="12" t="n">
        <v>0.157895</v>
      </c>
      <c r="C8" s="16" t="n">
        <f aca="false">Diesel!$D$32+(Diesel!$D$33-Diesel!$D$32)*B8</f>
        <v>0.92734816350211</v>
      </c>
      <c r="D8" s="11" t="n">
        <f aca="false">Diesel!$C$32*(Diesel!$D$32/C8)^(Diesel!$C$10-1)</f>
        <v>320.018107282645</v>
      </c>
      <c r="E8" s="11" t="n">
        <f aca="false">Diesel!$C$13*D8/C8</f>
        <v>99.0406843997702</v>
      </c>
      <c r="F8" s="16" t="n">
        <f aca="false">0</f>
        <v>0</v>
      </c>
      <c r="G8" s="11" t="n">
        <f aca="false">C8*Diesel!$C$28*1000000</f>
        <v>290.585004764745</v>
      </c>
    </row>
    <row r="9" customFormat="false" ht="15" hidden="false" customHeight="false" outlineLevel="0" collapsed="false">
      <c r="A9" s="5" t="s">
        <v>76</v>
      </c>
      <c r="B9" s="12" t="n">
        <v>0.210526</v>
      </c>
      <c r="C9" s="16" t="n">
        <f aca="false">Diesel!$D$32+(Diesel!$D$33-Diesel!$D$32)*B9</f>
        <v>0.873173764978903</v>
      </c>
      <c r="D9" s="11" t="n">
        <f aca="false">Diesel!$C$32*(Diesel!$D$32/C9)^(Diesel!$C$10-1)</f>
        <v>327.816951537225</v>
      </c>
      <c r="E9" s="11" t="n">
        <f aca="false">Diesel!$C$13*D9/C9</f>
        <v>107.748845492921</v>
      </c>
      <c r="F9" s="16" t="n">
        <f aca="false">0</f>
        <v>0</v>
      </c>
      <c r="G9" s="11" t="n">
        <f aca="false">C9*Diesel!$C$28*1000000</f>
        <v>273.609430247465</v>
      </c>
    </row>
    <row r="10" customFormat="false" ht="15" hidden="false" customHeight="false" outlineLevel="0" collapsed="false">
      <c r="A10" s="5" t="s">
        <v>76</v>
      </c>
      <c r="B10" s="12" t="n">
        <v>0.263158</v>
      </c>
      <c r="C10" s="16" t="n">
        <f aca="false">Diesel!$D$32+(Diesel!$D$33-Diesel!$D$32)*B10</f>
        <v>0.818998337130802</v>
      </c>
      <c r="D10" s="11" t="n">
        <f aca="false">Diesel!$C$32*(Diesel!$D$32/C10)^(Diesel!$C$10-1)</f>
        <v>336.324473338951</v>
      </c>
      <c r="E10" s="11" t="n">
        <f aca="false">Diesel!$C$13*D10/C10</f>
        <v>117.857533369891</v>
      </c>
      <c r="F10" s="16" t="n">
        <f aca="false">0</f>
        <v>0</v>
      </c>
      <c r="G10" s="11" t="n">
        <f aca="false">C10*Diesel!$C$28*1000000</f>
        <v>256.633533190721</v>
      </c>
    </row>
    <row r="11" customFormat="false" ht="15" hidden="false" customHeight="false" outlineLevel="0" collapsed="false">
      <c r="A11" s="5" t="s">
        <v>76</v>
      </c>
      <c r="B11" s="12" t="n">
        <v>0.315789</v>
      </c>
      <c r="C11" s="16" t="n">
        <f aca="false">Diesel!$D$32+(Diesel!$D$33-Diesel!$D$32)*B11</f>
        <v>0.764823938607595</v>
      </c>
      <c r="D11" s="11" t="n">
        <f aca="false">Diesel!$C$32*(Diesel!$D$32/C11)^(Diesel!$C$10-1)</f>
        <v>345.658379609234</v>
      </c>
      <c r="E11" s="11" t="n">
        <f aca="false">Diesel!$C$13*D11/C11</f>
        <v>129.708224259372</v>
      </c>
      <c r="F11" s="16" t="n">
        <f aca="false">0</f>
        <v>0</v>
      </c>
      <c r="G11" s="11" t="n">
        <f aca="false">C11*Diesel!$C$28*1000000</f>
        <v>239.65795867344</v>
      </c>
    </row>
    <row r="12" customFormat="false" ht="15" hidden="false" customHeight="false" outlineLevel="0" collapsed="false">
      <c r="A12" s="5" t="s">
        <v>76</v>
      </c>
      <c r="B12" s="12" t="n">
        <v>0.368421</v>
      </c>
      <c r="C12" s="16" t="n">
        <f aca="false">Diesel!$D$32+(Diesel!$D$33-Diesel!$D$32)*B12</f>
        <v>0.710648510759494</v>
      </c>
      <c r="D12" s="11" t="n">
        <f aca="false">Diesel!$C$32*(Diesel!$D$32/C12)^(Diesel!$C$10-1)</f>
        <v>355.967000170047</v>
      </c>
      <c r="E12" s="11" t="n">
        <f aca="false">Diesel!$C$13*D12/C12</f>
        <v>143.759576643057</v>
      </c>
      <c r="F12" s="16" t="n">
        <f aca="false">0</f>
        <v>0</v>
      </c>
      <c r="G12" s="11" t="n">
        <f aca="false">C12*Diesel!$C$28*1000000</f>
        <v>222.682061616696</v>
      </c>
    </row>
    <row r="13" customFormat="false" ht="15" hidden="false" customHeight="false" outlineLevel="0" collapsed="false">
      <c r="A13" s="5" t="s">
        <v>76</v>
      </c>
      <c r="B13" s="12" t="n">
        <v>0.421053</v>
      </c>
      <c r="C13" s="16" t="n">
        <f aca="false">Diesel!$D$32+(Diesel!$D$33-Diesel!$D$32)*B13</f>
        <v>0.656473082911393</v>
      </c>
      <c r="D13" s="11" t="n">
        <f aca="false">Diesel!$C$32*(Diesel!$D$32/C13)^(Diesel!$C$10-1)</f>
        <v>367.438711396022</v>
      </c>
      <c r="E13" s="11" t="n">
        <f aca="false">Diesel!$C$13*D13/C13</f>
        <v>160.638589632611</v>
      </c>
      <c r="F13" s="16" t="n">
        <f aca="false">0</f>
        <v>0</v>
      </c>
      <c r="G13" s="11" t="n">
        <f aca="false">C13*Diesel!$C$28*1000000</f>
        <v>205.706164559952</v>
      </c>
    </row>
    <row r="14" customFormat="false" ht="15" hidden="false" customHeight="false" outlineLevel="0" collapsed="false">
      <c r="A14" s="5" t="s">
        <v>76</v>
      </c>
      <c r="B14" s="12" t="n">
        <v>0.473684</v>
      </c>
      <c r="C14" s="16" t="n">
        <f aca="false">Diesel!$D$32+(Diesel!$D$33-Diesel!$D$32)*B14</f>
        <v>0.602298684388186</v>
      </c>
      <c r="D14" s="11" t="n">
        <f aca="false">Diesel!$C$32*(Diesel!$D$32/C14)^(Diesel!$C$10-1)</f>
        <v>380.318028399678</v>
      </c>
      <c r="E14" s="11" t="n">
        <f aca="false">Diesel!$C$13*D14/C14</f>
        <v>181.224493727034</v>
      </c>
      <c r="F14" s="16" t="n">
        <f aca="false">0</f>
        <v>0</v>
      </c>
      <c r="G14" s="11" t="n">
        <f aca="false">C14*Diesel!$C$28*1000000</f>
        <v>188.730590042671</v>
      </c>
    </row>
    <row r="15" customFormat="false" ht="15" hidden="false" customHeight="false" outlineLevel="0" collapsed="false">
      <c r="A15" s="5" t="s">
        <v>76</v>
      </c>
      <c r="B15" s="12" t="n">
        <v>0.526316</v>
      </c>
      <c r="C15" s="16" t="n">
        <f aca="false">Diesel!$D$32+(Diesel!$D$33-Diesel!$D$32)*B15</f>
        <v>0.548123256540084</v>
      </c>
      <c r="D15" s="11" t="n">
        <f aca="false">Diesel!$C$32*(Diesel!$D$32/C15)^(Diesel!$C$10-1)</f>
        <v>394.930238098885</v>
      </c>
      <c r="E15" s="11" t="n">
        <f aca="false">Diesel!$C$13*D15/C15</f>
        <v>206.787391306559</v>
      </c>
      <c r="F15" s="16" t="n">
        <f aca="false">0</f>
        <v>0</v>
      </c>
      <c r="G15" s="11" t="n">
        <f aca="false">C15*Diesel!$C$28*1000000</f>
        <v>171.754692985927</v>
      </c>
    </row>
    <row r="16" customFormat="false" ht="15" hidden="false" customHeight="false" outlineLevel="0" collapsed="false">
      <c r="A16" s="5" t="s">
        <v>76</v>
      </c>
      <c r="B16" s="12" t="n">
        <v>0.578947</v>
      </c>
      <c r="C16" s="16" t="n">
        <f aca="false">Diesel!$D$32+(Diesel!$D$33-Diesel!$D$32)*B16</f>
        <v>0.493948858016878</v>
      </c>
      <c r="D16" s="11" t="n">
        <f aca="false">Diesel!$C$32*(Diesel!$D$32/C16)^(Diesel!$C$10-1)</f>
        <v>411.717080486757</v>
      </c>
      <c r="E16" s="11" t="n">
        <f aca="false">Diesel!$C$13*D16/C16</f>
        <v>239.220721299171</v>
      </c>
      <c r="F16" s="16" t="n">
        <f aca="false">0</f>
        <v>0</v>
      </c>
      <c r="G16" s="11" t="n">
        <f aca="false">C16*Diesel!$C$28*1000000</f>
        <v>154.779118468647</v>
      </c>
    </row>
    <row r="17" customFormat="false" ht="15" hidden="false" customHeight="false" outlineLevel="0" collapsed="false">
      <c r="A17" s="5" t="s">
        <v>76</v>
      </c>
      <c r="B17" s="12" t="n">
        <v>0.631579</v>
      </c>
      <c r="C17" s="16" t="n">
        <f aca="false">Diesel!$D$32+(Diesel!$D$33-Diesel!$D$32)*B17</f>
        <v>0.439773430168776</v>
      </c>
      <c r="D17" s="11" t="n">
        <f aca="false">Diesel!$C$32*(Diesel!$D$32/C17)^(Diesel!$C$10-1)</f>
        <v>431.300621520969</v>
      </c>
      <c r="E17" s="11" t="n">
        <f aca="false">Diesel!$C$13*D17/C17</f>
        <v>281.470570718683</v>
      </c>
      <c r="F17" s="16" t="n">
        <f aca="false">0</f>
        <v>0</v>
      </c>
      <c r="G17" s="11" t="n">
        <f aca="false">C17*Diesel!$C$28*1000000</f>
        <v>137.803221411902</v>
      </c>
    </row>
    <row r="18" customFormat="false" ht="15" hidden="false" customHeight="false" outlineLevel="0" collapsed="false">
      <c r="A18" s="5" t="s">
        <v>76</v>
      </c>
      <c r="B18" s="12" t="n">
        <v>0.684211</v>
      </c>
      <c r="C18" s="16" t="n">
        <f aca="false">Diesel!$D$32+(Diesel!$D$33-Diesel!$D$32)*B18</f>
        <v>0.385598002320675</v>
      </c>
      <c r="D18" s="11" t="n">
        <f aca="false">Diesel!$C$32*(Diesel!$D$32/C18)^(Diesel!$C$10-1)</f>
        <v>454.587792158018</v>
      </c>
      <c r="E18" s="11" t="n">
        <f aca="false">Diesel!$C$13*D18/C18</f>
        <v>338.348994455763</v>
      </c>
      <c r="F18" s="16" t="n">
        <f aca="false">0</f>
        <v>0</v>
      </c>
      <c r="G18" s="11" t="n">
        <f aca="false">C18*Diesel!$C$28*1000000</f>
        <v>120.827324355158</v>
      </c>
    </row>
    <row r="19" customFormat="false" ht="15" hidden="false" customHeight="false" outlineLevel="0" collapsed="false">
      <c r="A19" s="5" t="s">
        <v>76</v>
      </c>
      <c r="B19" s="12" t="n">
        <v>0.736842</v>
      </c>
      <c r="C19" s="16" t="n">
        <f aca="false">Diesel!$D$32+(Diesel!$D$33-Diesel!$D$32)*B19</f>
        <v>0.331423603797468</v>
      </c>
      <c r="D19" s="11" t="n">
        <f aca="false">Diesel!$C$32*(Diesel!$D$32/C19)^(Diesel!$C$10-1)</f>
        <v>482.967942133532</v>
      </c>
      <c r="E19" s="11" t="n">
        <f aca="false">Diesel!$C$13*D19/C19</f>
        <v>418.23152546802</v>
      </c>
      <c r="F19" s="16" t="n">
        <f aca="false">0</f>
        <v>0</v>
      </c>
      <c r="G19" s="11" t="n">
        <f aca="false">C19*Diesel!$C$28*1000000</f>
        <v>103.851749837878</v>
      </c>
    </row>
    <row r="20" customFormat="false" ht="15" hidden="false" customHeight="false" outlineLevel="0" collapsed="false">
      <c r="A20" s="5" t="s">
        <v>76</v>
      </c>
      <c r="B20" s="12" t="n">
        <v>0.789474</v>
      </c>
      <c r="C20" s="16" t="n">
        <f aca="false">Diesel!$D$32+(Diesel!$D$33-Diesel!$D$32)*B20</f>
        <v>0.277248175949367</v>
      </c>
      <c r="D20" s="11" t="n">
        <f aca="false">Diesel!$C$32*(Diesel!$D$32/C20)^(Diesel!$C$10-1)</f>
        <v>518.70949729091</v>
      </c>
      <c r="E20" s="11" t="n">
        <f aca="false">Diesel!$C$13*D20/C20</f>
        <v>536.954391900774</v>
      </c>
      <c r="F20" s="16" t="n">
        <f aca="false">0</f>
        <v>0</v>
      </c>
      <c r="G20" s="11" t="n">
        <f aca="false">C20*Diesel!$C$28*1000000</f>
        <v>86.8758527811335</v>
      </c>
    </row>
    <row r="21" customFormat="false" ht="15" hidden="false" customHeight="false" outlineLevel="0" collapsed="false">
      <c r="A21" s="5" t="s">
        <v>76</v>
      </c>
      <c r="B21" s="12" t="n">
        <v>0.842105</v>
      </c>
      <c r="C21" s="16" t="n">
        <f aca="false">Diesel!$D$32+(Diesel!$D$33-Diesel!$D$32)*B21</f>
        <v>0.22307377742616</v>
      </c>
      <c r="D21" s="11" t="n">
        <f aca="false">Diesel!$C$32*(Diesel!$D$32/C21)^(Diesel!$C$10-1)</f>
        <v>565.838208677752</v>
      </c>
      <c r="E21" s="11" t="n">
        <f aca="false">Diesel!$C$13*D21/C21</f>
        <v>727.990388490505</v>
      </c>
      <c r="F21" s="16" t="n">
        <f aca="false">0</f>
        <v>0</v>
      </c>
      <c r="G21" s="11" t="n">
        <f aca="false">C21*Diesel!$C$28*1000000</f>
        <v>69.900278263853</v>
      </c>
    </row>
    <row r="22" customFormat="false" ht="15" hidden="false" customHeight="false" outlineLevel="0" collapsed="false">
      <c r="A22" s="5" t="s">
        <v>76</v>
      </c>
      <c r="B22" s="12" t="n">
        <v>0.894737</v>
      </c>
      <c r="C22" s="16" t="n">
        <f aca="false">Diesel!$D$32+(Diesel!$D$33-Diesel!$D$32)*B22</f>
        <v>0.168898349578059</v>
      </c>
      <c r="D22" s="11" t="n">
        <f aca="false">Diesel!$C$32*(Diesel!$D$32/C22)^(Diesel!$C$10-1)</f>
        <v>632.443184042561</v>
      </c>
      <c r="E22" s="11" t="n">
        <f aca="false">Diesel!$C$13*D22/C22</f>
        <v>1074.67713138503</v>
      </c>
      <c r="F22" s="16" t="n">
        <f aca="false">0</f>
        <v>0</v>
      </c>
      <c r="G22" s="11" t="n">
        <f aca="false">C22*Diesel!$C$28*1000000</f>
        <v>52.9243812071088</v>
      </c>
    </row>
    <row r="23" customFormat="false" ht="15" hidden="false" customHeight="false" outlineLevel="0" collapsed="false">
      <c r="A23" s="5" t="s">
        <v>76</v>
      </c>
      <c r="B23" s="12" t="n">
        <v>0.947368</v>
      </c>
      <c r="C23" s="16" t="n">
        <f aca="false">Diesel!$D$32+(Diesel!$D$33-Diesel!$D$32)*B23</f>
        <v>0.114723951054852</v>
      </c>
      <c r="D23" s="11" t="n">
        <f aca="false">Diesel!$C$32*(Diesel!$D$32/C23)^(Diesel!$C$10-1)</f>
        <v>738.261193701937</v>
      </c>
      <c r="E23" s="11" t="n">
        <f aca="false">Diesel!$C$13*D23/C23</f>
        <v>1846.8764424889</v>
      </c>
      <c r="F23" s="16" t="n">
        <f aca="false">0</f>
        <v>0</v>
      </c>
      <c r="G23" s="11" t="n">
        <f aca="false">C23*Diesel!$C$28*1000000</f>
        <v>35.9488066898283</v>
      </c>
    </row>
    <row r="24" customFormat="false" ht="15" hidden="false" customHeight="false" outlineLevel="0" collapsed="false">
      <c r="A24" s="5" t="s">
        <v>76</v>
      </c>
      <c r="B24" s="12" t="n">
        <v>1</v>
      </c>
      <c r="C24" s="16" t="n">
        <f aca="false">Diesel!$D$32+(Diesel!$D$33-Diesel!$D$32)*B24</f>
        <v>0.0605485232067511</v>
      </c>
      <c r="D24" s="11" t="n">
        <f aca="false">Diesel!$C$32*(Diesel!$D$32/C24)^(Diesel!$C$10-1)</f>
        <v>953.301456943931</v>
      </c>
      <c r="E24" s="11" t="n">
        <f aca="false">Diesel!$C$13*D24/C24</f>
        <v>4518.64890591423</v>
      </c>
      <c r="F24" s="16" t="n">
        <f aca="false">0</f>
        <v>0</v>
      </c>
      <c r="G24" s="11" t="n">
        <f aca="false">C24*Diesel!$C$28*1000000</f>
        <v>18.9729096330841</v>
      </c>
    </row>
    <row r="25" customFormat="false" ht="15" hidden="false" customHeight="false" outlineLevel="0" collapsed="false">
      <c r="A25" s="5" t="s">
        <v>78</v>
      </c>
      <c r="B25" s="12" t="n">
        <v>0</v>
      </c>
      <c r="C25" s="16" t="n">
        <f aca="false">Diesel!$D$33*D25/Diesel!$C$33</f>
        <v>0.0605485232067511</v>
      </c>
      <c r="D25" s="11" t="n">
        <f aca="false">Diesel!$C$33+(Diesel!$C$34-Diesel!$C$33)*B25</f>
        <v>953.301456943931</v>
      </c>
      <c r="E25" s="11" t="n">
        <f aca="false">Diesel!$C$13*D25/C25</f>
        <v>4518.64890591423</v>
      </c>
      <c r="F25" s="16" t="n">
        <f aca="false">Diesel!$C$12*LN(D25/Diesel!$C$33)</f>
        <v>0</v>
      </c>
      <c r="G25" s="11" t="n">
        <f aca="false">C25*Diesel!$C$28*1000000</f>
        <v>18.9729096330841</v>
      </c>
    </row>
    <row r="26" customFormat="false" ht="15" hidden="false" customHeight="false" outlineLevel="0" collapsed="false">
      <c r="A26" s="5" t="s">
        <v>78</v>
      </c>
      <c r="B26" s="12" t="n">
        <v>0.052632</v>
      </c>
      <c r="C26" s="16" t="n">
        <f aca="false">Diesel!$D$33*D26/Diesel!$C$33</f>
        <v>0.0637353130801688</v>
      </c>
      <c r="D26" s="11" t="n">
        <f aca="false">Diesel!$C$33+(Diesel!$C$34-Diesel!$C$33)*B26</f>
        <v>1003.4756192258</v>
      </c>
      <c r="E26" s="11" t="n">
        <f aca="false">Diesel!$C$13*D26/C26</f>
        <v>4518.64890591423</v>
      </c>
      <c r="F26" s="16" t="n">
        <f aca="false">Diesel!$C$12*LN(D26/Diesel!$C$33)</f>
        <v>0.0515501628594079</v>
      </c>
      <c r="G26" s="11" t="n">
        <f aca="false">C26*Diesel!$C$28*1000000</f>
        <v>19.9714918128926</v>
      </c>
    </row>
    <row r="27" customFormat="false" ht="15" hidden="false" customHeight="false" outlineLevel="0" collapsed="false">
      <c r="A27" s="5" t="s">
        <v>78</v>
      </c>
      <c r="B27" s="12" t="n">
        <v>0.105263</v>
      </c>
      <c r="C27" s="16" t="n">
        <f aca="false">Diesel!$D$33*D27/Diesel!$C$33</f>
        <v>0.0669220424050633</v>
      </c>
      <c r="D27" s="11" t="n">
        <f aca="false">Diesel!$C$33+(Diesel!$C$34-Diesel!$C$33)*B27</f>
        <v>1053.64882820622</v>
      </c>
      <c r="E27" s="11" t="n">
        <f aca="false">Diesel!$C$13*D27/C27</f>
        <v>4518.64890591423</v>
      </c>
      <c r="F27" s="16" t="n">
        <f aca="false">Diesel!$C$12*LN(D27/Diesel!$C$33)</f>
        <v>0.100583732278329</v>
      </c>
      <c r="G27" s="11" t="n">
        <f aca="false">C27*Diesel!$C$28*1000000</f>
        <v>20.9700550197915</v>
      </c>
    </row>
    <row r="28" customFormat="false" ht="15" hidden="false" customHeight="false" outlineLevel="0" collapsed="false">
      <c r="A28" s="5" t="s">
        <v>78</v>
      </c>
      <c r="B28" s="12" t="n">
        <v>0.157895</v>
      </c>
      <c r="C28" s="16" t="n">
        <f aca="false">Diesel!$D$33*D28/Diesel!$C$33</f>
        <v>0.070108832278481</v>
      </c>
      <c r="D28" s="11" t="n">
        <f aca="false">Diesel!$C$33+(Diesel!$C$34-Diesel!$C$33)*B28</f>
        <v>1103.82299048809</v>
      </c>
      <c r="E28" s="11" t="n">
        <f aca="false">Diesel!$C$13*D28/C28</f>
        <v>4518.64890591423</v>
      </c>
      <c r="F28" s="16" t="n">
        <f aca="false">Diesel!$C$12*LN(D28/Diesel!$C$33)</f>
        <v>0.1473367199719</v>
      </c>
      <c r="G28" s="11" t="n">
        <f aca="false">C28*Diesel!$C$28*1000000</f>
        <v>21.9686371995999</v>
      </c>
    </row>
    <row r="29" customFormat="false" ht="15" hidden="false" customHeight="false" outlineLevel="0" collapsed="false">
      <c r="A29" s="5" t="s">
        <v>78</v>
      </c>
      <c r="B29" s="12" t="n">
        <v>0.210526</v>
      </c>
      <c r="C29" s="16" t="n">
        <f aca="false">Diesel!$D$33*D29/Diesel!$C$33</f>
        <v>0.0732955616033755</v>
      </c>
      <c r="D29" s="11" t="n">
        <f aca="false">Diesel!$C$33+(Diesel!$C$34-Diesel!$C$33)*B29</f>
        <v>1153.99619946851</v>
      </c>
      <c r="E29" s="11" t="n">
        <f aca="false">Diesel!$C$13*D29/C29</f>
        <v>4518.64890591423</v>
      </c>
      <c r="F29" s="16" t="n">
        <f aca="false">Diesel!$C$12*LN(D29/Diesel!$C$33)</f>
        <v>0.192010250772576</v>
      </c>
      <c r="G29" s="11" t="n">
        <f aca="false">C29*Diesel!$C$28*1000000</f>
        <v>22.9672004064988</v>
      </c>
    </row>
    <row r="30" customFormat="false" ht="15" hidden="false" customHeight="false" outlineLevel="0" collapsed="false">
      <c r="A30" s="5" t="s">
        <v>78</v>
      </c>
      <c r="B30" s="12" t="n">
        <v>0.263158</v>
      </c>
      <c r="C30" s="16" t="n">
        <f aca="false">Diesel!$D$33*D30/Diesel!$C$33</f>
        <v>0.0764823514767933</v>
      </c>
      <c r="D30" s="11" t="n">
        <f aca="false">Diesel!$C$33+(Diesel!$C$34-Diesel!$C$33)*B30</f>
        <v>1204.17036175038</v>
      </c>
      <c r="E30" s="11" t="n">
        <f aca="false">Diesel!$C$13*D30/C30</f>
        <v>4518.64890591423</v>
      </c>
      <c r="F30" s="16" t="n">
        <f aca="false">Diesel!$C$12*LN(D30/Diesel!$C$33)</f>
        <v>0.234783009187409</v>
      </c>
      <c r="G30" s="11" t="n">
        <f aca="false">C30*Diesel!$C$28*1000000</f>
        <v>23.9657825863073</v>
      </c>
    </row>
    <row r="31" customFormat="false" ht="15" hidden="false" customHeight="false" outlineLevel="0" collapsed="false">
      <c r="A31" s="5" t="s">
        <v>78</v>
      </c>
      <c r="B31" s="12" t="n">
        <v>0.315789</v>
      </c>
      <c r="C31" s="16" t="n">
        <f aca="false">Diesel!$D$33*D31/Diesel!$C$33</f>
        <v>0.0796690808016878</v>
      </c>
      <c r="D31" s="11" t="n">
        <f aca="false">Diesel!$C$33+(Diesel!$C$34-Diesel!$C$33)*B31</f>
        <v>1254.3435707308</v>
      </c>
      <c r="E31" s="11" t="n">
        <f aca="false">Diesel!$C$13*D31/C31</f>
        <v>4518.64890591423</v>
      </c>
      <c r="F31" s="16" t="n">
        <f aca="false">Diesel!$C$12*LN(D31/Diesel!$C$33)</f>
        <v>0.275808668130204</v>
      </c>
      <c r="G31" s="11" t="n">
        <f aca="false">C31*Diesel!$C$28*1000000</f>
        <v>24.9643457932061</v>
      </c>
    </row>
    <row r="32" customFormat="false" ht="15" hidden="false" customHeight="false" outlineLevel="0" collapsed="false">
      <c r="A32" s="5" t="s">
        <v>78</v>
      </c>
      <c r="B32" s="12" t="n">
        <v>0.368421</v>
      </c>
      <c r="C32" s="16" t="n">
        <f aca="false">Diesel!$D$33*D32/Diesel!$C$33</f>
        <v>0.0828558706751055</v>
      </c>
      <c r="D32" s="11" t="n">
        <f aca="false">Diesel!$C$33+(Diesel!$C$34-Diesel!$C$33)*B32</f>
        <v>1304.51773301267</v>
      </c>
      <c r="E32" s="11" t="n">
        <f aca="false">Diesel!$C$13*D32/C32</f>
        <v>4518.64890591423</v>
      </c>
      <c r="F32" s="16" t="n">
        <f aca="false">Diesel!$C$12*LN(D32/Diesel!$C$33)</f>
        <v>0.31522580799547</v>
      </c>
      <c r="G32" s="11" t="n">
        <f aca="false">C32*Diesel!$C$28*1000000</f>
        <v>25.9629279730146</v>
      </c>
    </row>
    <row r="33" customFormat="false" ht="15" hidden="false" customHeight="false" outlineLevel="0" collapsed="false">
      <c r="A33" s="5" t="s">
        <v>78</v>
      </c>
      <c r="B33" s="12" t="n">
        <v>0.421053</v>
      </c>
      <c r="C33" s="16" t="n">
        <f aca="false">Diesel!$D$33*D33/Diesel!$C$33</f>
        <v>0.0860426605485232</v>
      </c>
      <c r="D33" s="11" t="n">
        <f aca="false">Diesel!$C$33+(Diesel!$C$34-Diesel!$C$33)*B33</f>
        <v>1354.69189529454</v>
      </c>
      <c r="E33" s="11" t="n">
        <f aca="false">Diesel!$C$13*D33/C33</f>
        <v>4518.64890591423</v>
      </c>
      <c r="F33" s="16" t="n">
        <f aca="false">Diesel!$C$12*LN(D33/Diesel!$C$33)</f>
        <v>0.3531551368276</v>
      </c>
      <c r="G33" s="11" t="n">
        <f aca="false">C33*Diesel!$C$28*1000000</f>
        <v>26.9615101528231</v>
      </c>
    </row>
    <row r="34" customFormat="false" ht="15" hidden="false" customHeight="false" outlineLevel="0" collapsed="false">
      <c r="A34" s="5" t="s">
        <v>78</v>
      </c>
      <c r="B34" s="12" t="n">
        <v>0.473684</v>
      </c>
      <c r="C34" s="16" t="n">
        <f aca="false">Diesel!$D$33*D34/Diesel!$C$33</f>
        <v>0.0892293898734177</v>
      </c>
      <c r="D34" s="11" t="n">
        <f aca="false">Diesel!$C$33+(Diesel!$C$34-Diesel!$C$33)*B34</f>
        <v>1404.86510427496</v>
      </c>
      <c r="E34" s="11" t="n">
        <f aca="false">Diesel!$C$13*D34/C34</f>
        <v>4518.64890591423</v>
      </c>
      <c r="F34" s="16" t="n">
        <f aca="false">Diesel!$C$12*LN(D34/Diesel!$C$33)</f>
        <v>0.389704215092368</v>
      </c>
      <c r="G34" s="11" t="n">
        <f aca="false">C34*Diesel!$C$28*1000000</f>
        <v>27.9600733597219</v>
      </c>
    </row>
    <row r="35" customFormat="false" ht="15" hidden="false" customHeight="false" outlineLevel="0" collapsed="false">
      <c r="A35" s="5" t="s">
        <v>78</v>
      </c>
      <c r="B35" s="12" t="n">
        <v>0.526316</v>
      </c>
      <c r="C35" s="16" t="n">
        <f aca="false">Diesel!$D$33*D35/Diesel!$C$33</f>
        <v>0.0924161797468354</v>
      </c>
      <c r="D35" s="11" t="n">
        <f aca="false">Diesel!$C$33+(Diesel!$C$34-Diesel!$C$33)*B35</f>
        <v>1455.03926655683</v>
      </c>
      <c r="E35" s="11" t="n">
        <f aca="false">Diesel!$C$13*D35/C35</f>
        <v>4518.64890591423</v>
      </c>
      <c r="F35" s="16" t="n">
        <f aca="false">Diesel!$C$12*LN(D35/Diesel!$C$33)</f>
        <v>0.424971273694814</v>
      </c>
      <c r="G35" s="11" t="n">
        <f aca="false">C35*Diesel!$C$28*1000000</f>
        <v>28.9586555395304</v>
      </c>
    </row>
    <row r="36" customFormat="false" ht="15" hidden="false" customHeight="false" outlineLevel="0" collapsed="false">
      <c r="A36" s="5" t="s">
        <v>78</v>
      </c>
      <c r="B36" s="12" t="n">
        <v>0.578947</v>
      </c>
      <c r="C36" s="16" t="n">
        <f aca="false">Diesel!$D$33*D36/Diesel!$C$33</f>
        <v>0.09560290907173</v>
      </c>
      <c r="D36" s="11" t="n">
        <f aca="false">Diesel!$C$33+(Diesel!$C$34-Diesel!$C$33)*B36</f>
        <v>1505.21247553725</v>
      </c>
      <c r="E36" s="11" t="n">
        <f aca="false">Diesel!$C$13*D36/C36</f>
        <v>4518.64890591423</v>
      </c>
      <c r="F36" s="16" t="n">
        <f aca="false">Diesel!$C$12*LN(D36/Diesel!$C$33)</f>
        <v>0.459041960008166</v>
      </c>
      <c r="G36" s="11" t="n">
        <f aca="false">C36*Diesel!$C$28*1000000</f>
        <v>29.9572187464293</v>
      </c>
    </row>
    <row r="37" customFormat="false" ht="15" hidden="false" customHeight="false" outlineLevel="0" collapsed="false">
      <c r="A37" s="5" t="s">
        <v>78</v>
      </c>
      <c r="B37" s="12" t="n">
        <v>0.631579</v>
      </c>
      <c r="C37" s="16" t="n">
        <f aca="false">Diesel!$D$33*D37/Diesel!$C$33</f>
        <v>0.0987896989451477</v>
      </c>
      <c r="D37" s="11" t="n">
        <f aca="false">Diesel!$C$33+(Diesel!$C$34-Diesel!$C$33)*B37</f>
        <v>1555.38663781912</v>
      </c>
      <c r="E37" s="11" t="n">
        <f aca="false">Diesel!$C$13*D37/C37</f>
        <v>4518.64890591423</v>
      </c>
      <c r="F37" s="16" t="n">
        <f aca="false">Diesel!$C$12*LN(D37/Diesel!$C$33)</f>
        <v>0.491995998864654</v>
      </c>
      <c r="G37" s="11" t="n">
        <f aca="false">C37*Diesel!$C$28*1000000</f>
        <v>30.9558009262378</v>
      </c>
    </row>
    <row r="38" customFormat="false" ht="15" hidden="false" customHeight="false" outlineLevel="0" collapsed="false">
      <c r="A38" s="5" t="s">
        <v>78</v>
      </c>
      <c r="B38" s="12" t="n">
        <v>0.684211</v>
      </c>
      <c r="C38" s="16" t="n">
        <f aca="false">Diesel!$D$33*D38/Diesel!$C$33</f>
        <v>0.101976488818565</v>
      </c>
      <c r="D38" s="11" t="n">
        <f aca="false">Diesel!$C$33+(Diesel!$C$34-Diesel!$C$33)*B38</f>
        <v>1605.56080010099</v>
      </c>
      <c r="E38" s="11" t="n">
        <f aca="false">Diesel!$C$13*D38/C38</f>
        <v>4518.64890591423</v>
      </c>
      <c r="F38" s="16" t="n">
        <f aca="false">Diesel!$C$12*LN(D38/Diesel!$C$33)</f>
        <v>0.523903690907663</v>
      </c>
      <c r="G38" s="11" t="n">
        <f aca="false">C38*Diesel!$C$28*1000000</f>
        <v>31.9543831060462</v>
      </c>
    </row>
    <row r="39" customFormat="false" ht="15" hidden="false" customHeight="false" outlineLevel="0" collapsed="false">
      <c r="A39" s="5" t="s">
        <v>78</v>
      </c>
      <c r="B39" s="12" t="n">
        <v>0.736842</v>
      </c>
      <c r="C39" s="16" t="n">
        <f aca="false">Diesel!$D$33*D39/Diesel!$C$33</f>
        <v>0.10516321814346</v>
      </c>
      <c r="D39" s="11" t="n">
        <f aca="false">Diesel!$C$33+(Diesel!$C$34-Diesel!$C$33)*B39</f>
        <v>1655.73400908141</v>
      </c>
      <c r="E39" s="11" t="n">
        <f aca="false">Diesel!$C$13*D39/C39</f>
        <v>4518.64890591423</v>
      </c>
      <c r="F39" s="16" t="n">
        <f aca="false">Diesel!$C$12*LN(D39/Diesel!$C$33)</f>
        <v>0.554828864302447</v>
      </c>
      <c r="G39" s="11" t="n">
        <f aca="false">C39*Diesel!$C$28*1000000</f>
        <v>32.9529463129451</v>
      </c>
    </row>
    <row r="40" customFormat="false" ht="15" hidden="false" customHeight="false" outlineLevel="0" collapsed="false">
      <c r="A40" s="5" t="s">
        <v>78</v>
      </c>
      <c r="B40" s="12" t="n">
        <v>0.789474</v>
      </c>
      <c r="C40" s="16" t="n">
        <f aca="false">Diesel!$D$33*D40/Diesel!$C$33</f>
        <v>0.108350008016878</v>
      </c>
      <c r="D40" s="11" t="n">
        <f aca="false">Diesel!$C$33+(Diesel!$C$34-Diesel!$C$33)*B40</f>
        <v>1705.90817136328</v>
      </c>
      <c r="E40" s="11" t="n">
        <f aca="false">Diesel!$C$13*D40/C40</f>
        <v>4518.64890591423</v>
      </c>
      <c r="F40" s="16" t="n">
        <f aca="false">Diesel!$C$12*LN(D40/Diesel!$C$33)</f>
        <v>0.584831330529895</v>
      </c>
      <c r="G40" s="11" t="n">
        <f aca="false">C40*Diesel!$C$28*1000000</f>
        <v>33.9515284927536</v>
      </c>
    </row>
    <row r="41" customFormat="false" ht="15" hidden="false" customHeight="false" outlineLevel="0" collapsed="false">
      <c r="A41" s="5" t="s">
        <v>78</v>
      </c>
      <c r="B41" s="12" t="n">
        <v>0.842105</v>
      </c>
      <c r="C41" s="16" t="n">
        <f aca="false">Diesel!$D$33*D41/Diesel!$C$33</f>
        <v>0.111536737341772</v>
      </c>
      <c r="D41" s="11" t="n">
        <f aca="false">Diesel!$C$33+(Diesel!$C$34-Diesel!$C$33)*B41</f>
        <v>1756.0813803437</v>
      </c>
      <c r="E41" s="11" t="n">
        <f aca="false">Diesel!$C$13*D41/C41</f>
        <v>4518.64890591423</v>
      </c>
      <c r="F41" s="16" t="n">
        <f aca="false">Diesel!$C$12*LN(D41/Diesel!$C$33)</f>
        <v>0.613963484163149</v>
      </c>
      <c r="G41" s="11" t="n">
        <f aca="false">C41*Diesel!$C$28*1000000</f>
        <v>34.9500916996524</v>
      </c>
    </row>
    <row r="42" customFormat="false" ht="15" hidden="false" customHeight="false" outlineLevel="0" collapsed="false">
      <c r="A42" s="5" t="s">
        <v>78</v>
      </c>
      <c r="B42" s="12" t="n">
        <v>0.894737</v>
      </c>
      <c r="C42" s="16" t="n">
        <f aca="false">Diesel!$D$33*D42/Diesel!$C$33</f>
        <v>0.11472352721519</v>
      </c>
      <c r="D42" s="11" t="n">
        <f aca="false">Diesel!$C$33+(Diesel!$C$34-Diesel!$C$33)*B42</f>
        <v>1806.25554262557</v>
      </c>
      <c r="E42" s="11" t="n">
        <f aca="false">Diesel!$C$13*D42/C42</f>
        <v>4518.64890591423</v>
      </c>
      <c r="F42" s="16" t="n">
        <f aca="false">Diesel!$C$12*LN(D42/Diesel!$C$33)</f>
        <v>0.642275442836114</v>
      </c>
      <c r="G42" s="11" t="n">
        <f aca="false">C42*Diesel!$C$28*1000000</f>
        <v>35.9486738794609</v>
      </c>
    </row>
    <row r="43" customFormat="false" ht="15" hidden="false" customHeight="false" outlineLevel="0" collapsed="false">
      <c r="A43" s="5" t="s">
        <v>78</v>
      </c>
      <c r="B43" s="12" t="n">
        <v>0.947368</v>
      </c>
      <c r="C43" s="16" t="n">
        <f aca="false">Diesel!$D$33*D43/Diesel!$C$33</f>
        <v>0.117910256540084</v>
      </c>
      <c r="D43" s="11" t="n">
        <f aca="false">Diesel!$C$33+(Diesel!$C$34-Diesel!$C$33)*B43</f>
        <v>1856.42875160599</v>
      </c>
      <c r="E43" s="11" t="n">
        <f aca="false">Diesel!$C$13*D43/C43</f>
        <v>4518.64890591423</v>
      </c>
      <c r="F43" s="16" t="n">
        <f aca="false">Diesel!$C$12*LN(D43/Diesel!$C$33)</f>
        <v>0.669811110847852</v>
      </c>
      <c r="G43" s="11" t="n">
        <f aca="false">C43*Diesel!$C$28*1000000</f>
        <v>36.9472370863598</v>
      </c>
    </row>
    <row r="44" customFormat="false" ht="15" hidden="false" customHeight="false" outlineLevel="0" collapsed="false">
      <c r="A44" s="5" t="s">
        <v>78</v>
      </c>
      <c r="B44" s="12" t="n">
        <v>1</v>
      </c>
      <c r="C44" s="16" t="n">
        <f aca="false">Diesel!$D$33*D44/Diesel!$C$33</f>
        <v>0.121097046413502</v>
      </c>
      <c r="D44" s="11" t="n">
        <f aca="false">Diesel!$C$33+(Diesel!$C$34-Diesel!$C$33)*B44</f>
        <v>1906.60291388786</v>
      </c>
      <c r="E44" s="11" t="n">
        <f aca="false">Diesel!$C$13*D44/C44</f>
        <v>4518.64890591423</v>
      </c>
      <c r="F44" s="16" t="n">
        <f aca="false">Diesel!$C$12*LN(D44/Diesel!$C$33)</f>
        <v>0.696612916462745</v>
      </c>
      <c r="G44" s="11" t="n">
        <f aca="false">C44*Diesel!$C$28*1000000</f>
        <v>37.9458192661682</v>
      </c>
    </row>
    <row r="45" customFormat="false" ht="15" hidden="false" customHeight="false" outlineLevel="0" collapsed="false">
      <c r="A45" s="5" t="s">
        <v>80</v>
      </c>
      <c r="B45" s="12" t="n">
        <v>0</v>
      </c>
      <c r="C45" s="16" t="n">
        <f aca="false">Diesel!$D$34+(Diesel!$D$35-Diesel!$D$34)*B45</f>
        <v>0.121097046413502</v>
      </c>
      <c r="D45" s="11" t="n">
        <f aca="false">Diesel!$C$34*(Diesel!$D$34/C45)^(Diesel!$C$10-1)</f>
        <v>1906.60291388786</v>
      </c>
      <c r="E45" s="11" t="n">
        <f aca="false">Diesel!$C$13*D45/C45</f>
        <v>4518.64890591423</v>
      </c>
      <c r="F45" s="16" t="n">
        <f aca="false">Diesel!$E$34</f>
        <v>0.696612916462745</v>
      </c>
      <c r="G45" s="11" t="n">
        <f aca="false">C45*Diesel!$C$28*1000000</f>
        <v>37.9458192661682</v>
      </c>
    </row>
    <row r="46" customFormat="false" ht="15" hidden="false" customHeight="false" outlineLevel="0" collapsed="false">
      <c r="A46" s="5" t="s">
        <v>80</v>
      </c>
      <c r="B46" s="12" t="n">
        <v>0.052632</v>
      </c>
      <c r="C46" s="16" t="n">
        <f aca="false">Diesel!$D$34+(Diesel!$D$35-Diesel!$D$34)*B46</f>
        <v>0.172085684388186</v>
      </c>
      <c r="D46" s="11" t="n">
        <f aca="false">Diesel!$C$34*(Diesel!$D$34/C46)^(Diesel!$C$10-1)</f>
        <v>1656.59282251156</v>
      </c>
      <c r="E46" s="11" t="n">
        <f aca="false">Diesel!$C$13*D46/C46</f>
        <v>2762.82214729919</v>
      </c>
      <c r="F46" s="16" t="n">
        <f aca="false">Diesel!$E$34</f>
        <v>0.696612916462745</v>
      </c>
      <c r="G46" s="11" t="n">
        <f aca="false">C46*Diesel!$C$28*1000000</f>
        <v>53.923134143104</v>
      </c>
    </row>
    <row r="47" customFormat="false" ht="15" hidden="false" customHeight="false" outlineLevel="0" collapsed="false">
      <c r="A47" s="5" t="s">
        <v>80</v>
      </c>
      <c r="B47" s="12" t="n">
        <v>0.105263</v>
      </c>
      <c r="C47" s="16" t="n">
        <f aca="false">Diesel!$D$34+(Diesel!$D$35-Diesel!$D$34)*B47</f>
        <v>0.223073353586498</v>
      </c>
      <c r="D47" s="11" t="n">
        <f aca="false">Diesel!$C$34*(Diesel!$D$34/C47)^(Diesel!$C$10-1)</f>
        <v>1493.2571200104</v>
      </c>
      <c r="E47" s="11" t="n">
        <f aca="false">Diesel!$C$13*D47/C47</f>
        <v>1921.18326349904</v>
      </c>
      <c r="F47" s="16" t="n">
        <f aca="false">Diesel!$E$34</f>
        <v>0.696612916462745</v>
      </c>
      <c r="G47" s="11" t="n">
        <f aca="false">C47*Diesel!$C$28*1000000</f>
        <v>69.9001454534856</v>
      </c>
    </row>
    <row r="48" customFormat="false" ht="15" hidden="false" customHeight="false" outlineLevel="0" collapsed="false">
      <c r="A48" s="5" t="s">
        <v>80</v>
      </c>
      <c r="B48" s="12" t="n">
        <v>0.157895</v>
      </c>
      <c r="C48" s="16" t="n">
        <f aca="false">Diesel!$D$34+(Diesel!$D$35-Diesel!$D$34)*B48</f>
        <v>0.274061991561181</v>
      </c>
      <c r="D48" s="11" t="n">
        <f aca="false">Diesel!$C$34*(Diesel!$D$34/C48)^(Diesel!$C$10-1)</f>
        <v>1375.2262357689</v>
      </c>
      <c r="E48" s="11" t="n">
        <f aca="false">Diesel!$C$13*D48/C48</f>
        <v>1440.14836722649</v>
      </c>
      <c r="F48" s="16" t="n">
        <f aca="false">Diesel!$E$34</f>
        <v>0.696612916462745</v>
      </c>
      <c r="G48" s="11" t="n">
        <f aca="false">C48*Diesel!$C$28*1000000</f>
        <v>85.8774603304213</v>
      </c>
    </row>
    <row r="49" customFormat="false" ht="15" hidden="false" customHeight="false" outlineLevel="0" collapsed="false">
      <c r="A49" s="5" t="s">
        <v>80</v>
      </c>
      <c r="B49" s="12" t="n">
        <v>0.210526</v>
      </c>
      <c r="C49" s="16" t="n">
        <f aca="false">Diesel!$D$34+(Diesel!$D$35-Diesel!$D$34)*B49</f>
        <v>0.325049660759494</v>
      </c>
      <c r="D49" s="11" t="n">
        <f aca="false">Diesel!$C$34*(Diesel!$D$34/C49)^(Diesel!$C$10-1)</f>
        <v>1284.49904545281</v>
      </c>
      <c r="E49" s="11" t="n">
        <f aca="false">Diesel!$C$13*D49/C49</f>
        <v>1134.1381657916</v>
      </c>
      <c r="F49" s="16" t="n">
        <f aca="false">Diesel!$E$34</f>
        <v>0.696612916462745</v>
      </c>
      <c r="G49" s="11" t="n">
        <f aca="false">C49*Diesel!$C$28*1000000</f>
        <v>101.854471640803</v>
      </c>
    </row>
    <row r="50" customFormat="false" ht="15" hidden="false" customHeight="false" outlineLevel="0" collapsed="false">
      <c r="A50" s="5" t="s">
        <v>80</v>
      </c>
      <c r="B50" s="12" t="n">
        <v>0.263158</v>
      </c>
      <c r="C50" s="16" t="n">
        <f aca="false">Diesel!$D$34+(Diesel!$D$35-Diesel!$D$34)*B50</f>
        <v>0.376038298734177</v>
      </c>
      <c r="D50" s="11" t="n">
        <f aca="false">Diesel!$C$34*(Diesel!$D$34/C50)^(Diesel!$C$10-1)</f>
        <v>1211.77179870472</v>
      </c>
      <c r="E50" s="11" t="n">
        <f aca="false">Diesel!$C$13*D50/C50</f>
        <v>924.84863217111</v>
      </c>
      <c r="F50" s="16" t="n">
        <f aca="false">Diesel!$E$34</f>
        <v>0.696612916462745</v>
      </c>
      <c r="G50" s="11" t="n">
        <f aca="false">C50*Diesel!$C$28*1000000</f>
        <v>117.831786517739</v>
      </c>
    </row>
    <row r="51" customFormat="false" ht="15" hidden="false" customHeight="false" outlineLevel="0" collapsed="false">
      <c r="A51" s="5" t="s">
        <v>80</v>
      </c>
      <c r="B51" s="12" t="n">
        <v>0.315789</v>
      </c>
      <c r="C51" s="16" t="n">
        <f aca="false">Diesel!$D$34+(Diesel!$D$35-Diesel!$D$34)*B51</f>
        <v>0.427025967932489</v>
      </c>
      <c r="D51" s="11" t="n">
        <f aca="false">Diesel!$C$34*(Diesel!$D$34/C51)^(Diesel!$C$10-1)</f>
        <v>1151.68035384811</v>
      </c>
      <c r="E51" s="11" t="n">
        <f aca="false">Diesel!$C$13*D51/C51</f>
        <v>774.033165136838</v>
      </c>
      <c r="F51" s="16" t="n">
        <f aca="false">Diesel!$E$34</f>
        <v>0.696612916462745</v>
      </c>
      <c r="G51" s="11" t="n">
        <f aca="false">C51*Diesel!$C$28*1000000</f>
        <v>133.80879782812</v>
      </c>
    </row>
    <row r="52" customFormat="false" ht="15" hidden="false" customHeight="false" outlineLevel="0" collapsed="false">
      <c r="A52" s="5" t="s">
        <v>80</v>
      </c>
      <c r="B52" s="12" t="n">
        <v>0.368421</v>
      </c>
      <c r="C52" s="16" t="n">
        <f aca="false">Diesel!$D$34+(Diesel!$D$35-Diesel!$D$34)*B52</f>
        <v>0.478014605907173</v>
      </c>
      <c r="D52" s="11" t="n">
        <f aca="false">Diesel!$C$34*(Diesel!$D$34/C52)^(Diesel!$C$10-1)</f>
        <v>1100.87296356776</v>
      </c>
      <c r="E52" s="11" t="n">
        <f aca="false">Diesel!$C$13*D52/C52</f>
        <v>660.964197828931</v>
      </c>
      <c r="F52" s="16" t="n">
        <f aca="false">Diesel!$E$34</f>
        <v>0.696612916462745</v>
      </c>
      <c r="G52" s="11" t="n">
        <f aca="false">C52*Diesel!$C$28*1000000</f>
        <v>149.786112705056</v>
      </c>
    </row>
    <row r="53" customFormat="false" ht="15" hidden="false" customHeight="false" outlineLevel="0" collapsed="false">
      <c r="A53" s="5" t="s">
        <v>80</v>
      </c>
      <c r="B53" s="12" t="n">
        <v>0.421053</v>
      </c>
      <c r="C53" s="16" t="n">
        <f aca="false">Diesel!$D$34+(Diesel!$D$35-Diesel!$D$34)*B53</f>
        <v>0.529003243881857</v>
      </c>
      <c r="D53" s="11" t="n">
        <f aca="false">Diesel!$C$34*(Diesel!$D$34/C53)^(Diesel!$C$10-1)</f>
        <v>1057.13472447495</v>
      </c>
      <c r="E53" s="11" t="n">
        <f aca="false">Diesel!$C$13*D53/C53</f>
        <v>573.527042477021</v>
      </c>
      <c r="F53" s="16" t="n">
        <f aca="false">Diesel!$E$34</f>
        <v>0.696612916462745</v>
      </c>
      <c r="G53" s="11" t="n">
        <f aca="false">C53*Diesel!$C$28*1000000</f>
        <v>165.763427581992</v>
      </c>
    </row>
    <row r="54" customFormat="false" ht="15" hidden="false" customHeight="false" outlineLevel="0" collapsed="false">
      <c r="A54" s="5" t="s">
        <v>80</v>
      </c>
      <c r="B54" s="12" t="n">
        <v>0.473684</v>
      </c>
      <c r="C54" s="16" t="n">
        <f aca="false">Diesel!$D$34+(Diesel!$D$35-Diesel!$D$34)*B54</f>
        <v>0.579990913080169</v>
      </c>
      <c r="D54" s="11" t="n">
        <f aca="false">Diesel!$C$34*(Diesel!$D$34/C54)^(Diesel!$C$10-1)</f>
        <v>1018.93198898337</v>
      </c>
      <c r="E54" s="11" t="n">
        <f aca="false">Diesel!$C$13*D54/C54</f>
        <v>504.203556026756</v>
      </c>
      <c r="F54" s="16" t="n">
        <f aca="false">Diesel!$E$34</f>
        <v>0.696612916462745</v>
      </c>
      <c r="G54" s="11" t="n">
        <f aca="false">C54*Diesel!$C$28*1000000</f>
        <v>181.740438892373</v>
      </c>
    </row>
    <row r="55" customFormat="false" ht="15" hidden="false" customHeight="false" outlineLevel="0" collapsed="false">
      <c r="A55" s="5" t="s">
        <v>80</v>
      </c>
      <c r="B55" s="12" t="n">
        <v>0.526316</v>
      </c>
      <c r="C55" s="16" t="n">
        <f aca="false">Diesel!$D$34+(Diesel!$D$35-Diesel!$D$34)*B55</f>
        <v>0.630979551054852</v>
      </c>
      <c r="D55" s="11" t="n">
        <f aca="false">Diesel!$C$34*(Diesel!$D$34/C55)^(Diesel!$C$10-1)</f>
        <v>985.161789215248</v>
      </c>
      <c r="E55" s="11" t="n">
        <f aca="false">Diesel!$C$13*D55/C55</f>
        <v>448.099202315032</v>
      </c>
      <c r="F55" s="16" t="n">
        <f aca="false">Diesel!$E$34</f>
        <v>0.696612916462745</v>
      </c>
      <c r="G55" s="11" t="n">
        <f aca="false">C55*Diesel!$C$28*1000000</f>
        <v>197.717753769309</v>
      </c>
    </row>
    <row r="56" customFormat="false" ht="15" hidden="false" customHeight="false" outlineLevel="0" collapsed="false">
      <c r="A56" s="5" t="s">
        <v>80</v>
      </c>
      <c r="B56" s="12" t="n">
        <v>0.578947</v>
      </c>
      <c r="C56" s="16" t="n">
        <f aca="false">Diesel!$D$34+(Diesel!$D$35-Diesel!$D$34)*B56</f>
        <v>0.681967220253165</v>
      </c>
      <c r="D56" s="11" t="n">
        <f aca="false">Diesel!$C$34*(Diesel!$D$34/C56)^(Diesel!$C$10-1)</f>
        <v>955.010777351887</v>
      </c>
      <c r="E56" s="11" t="n">
        <f aca="false">Diesel!$C$13*D56/C56</f>
        <v>401.908016925275</v>
      </c>
      <c r="F56" s="16" t="n">
        <f aca="false">Diesel!$E$34</f>
        <v>0.696612916462745</v>
      </c>
      <c r="G56" s="11" t="n">
        <f aca="false">C56*Diesel!$C$28*1000000</f>
        <v>213.694765079691</v>
      </c>
    </row>
    <row r="57" customFormat="false" ht="15" hidden="false" customHeight="false" outlineLevel="0" collapsed="false">
      <c r="A57" s="5" t="s">
        <v>80</v>
      </c>
      <c r="B57" s="12" t="n">
        <v>0.631579</v>
      </c>
      <c r="C57" s="16" t="n">
        <f aca="false">Diesel!$D$34+(Diesel!$D$35-Diesel!$D$34)*B57</f>
        <v>0.732955858227848</v>
      </c>
      <c r="D57" s="11" t="n">
        <f aca="false">Diesel!$C$34*(Diesel!$D$34/C57)^(Diesel!$C$10-1)</f>
        <v>927.860196273396</v>
      </c>
      <c r="E57" s="11" t="n">
        <f aca="false">Diesel!$C$13*D57/C57</f>
        <v>363.317754188252</v>
      </c>
      <c r="F57" s="16" t="n">
        <f aca="false">Diesel!$E$34</f>
        <v>0.696612916462745</v>
      </c>
      <c r="G57" s="11" t="n">
        <f aca="false">C57*Diesel!$C$28*1000000</f>
        <v>229.672079956626</v>
      </c>
    </row>
    <row r="58" customFormat="false" ht="15" hidden="false" customHeight="false" outlineLevel="0" collapsed="false">
      <c r="A58" s="5" t="s">
        <v>80</v>
      </c>
      <c r="B58" s="12" t="n">
        <v>0.684211</v>
      </c>
      <c r="C58" s="16" t="n">
        <f aca="false">Diesel!$D$34+(Diesel!$D$35-Diesel!$D$34)*B58</f>
        <v>0.783944496202532</v>
      </c>
      <c r="D58" s="11" t="n">
        <f aca="false">Diesel!$C$34*(Diesel!$D$34/C58)^(Diesel!$C$10-1)</f>
        <v>903.23248047837</v>
      </c>
      <c r="E58" s="11" t="n">
        <f aca="false">Diesel!$C$13*D58/C58</f>
        <v>330.671014533561</v>
      </c>
      <c r="F58" s="16" t="n">
        <f aca="false">Diesel!$E$34</f>
        <v>0.696612916462745</v>
      </c>
      <c r="G58" s="11" t="n">
        <f aca="false">C58*Diesel!$C$28*1000000</f>
        <v>245.649394833562</v>
      </c>
    </row>
    <row r="59" customFormat="false" ht="15" hidden="false" customHeight="false" outlineLevel="0" collapsed="false">
      <c r="A59" s="5" t="s">
        <v>80</v>
      </c>
      <c r="B59" s="12" t="n">
        <v>0.736842</v>
      </c>
      <c r="C59" s="16" t="n">
        <f aca="false">Diesel!$D$34+(Diesel!$D$35-Diesel!$D$34)*B59</f>
        <v>0.834932165400844</v>
      </c>
      <c r="D59" s="11" t="n">
        <f aca="false">Diesel!$C$34*(Diesel!$D$34/C59)^(Diesel!$C$10-1)</f>
        <v>880.751103047011</v>
      </c>
      <c r="E59" s="11" t="n">
        <f aca="false">Diesel!$C$13*D59/C59</f>
        <v>302.749824535909</v>
      </c>
      <c r="F59" s="16" t="n">
        <f aca="false">Diesel!$E$34</f>
        <v>0.696612916462745</v>
      </c>
      <c r="G59" s="11" t="n">
        <f aca="false">C59*Diesel!$C$28*1000000</f>
        <v>261.626406143944</v>
      </c>
    </row>
    <row r="60" customFormat="false" ht="15" hidden="false" customHeight="false" outlineLevel="0" collapsed="false">
      <c r="A60" s="5" t="s">
        <v>80</v>
      </c>
      <c r="B60" s="12" t="n">
        <v>0.789474</v>
      </c>
      <c r="C60" s="16" t="n">
        <f aca="false">Diesel!$D$34+(Diesel!$D$35-Diesel!$D$34)*B60</f>
        <v>0.885920803375528</v>
      </c>
      <c r="D60" s="11" t="n">
        <f aca="false">Diesel!$C$34*(Diesel!$D$34/C60)^(Diesel!$C$10-1)</f>
        <v>860.113397969785</v>
      </c>
      <c r="E60" s="11" t="n">
        <f aca="false">Diesel!$C$13*D60/C60</f>
        <v>278.639517524335</v>
      </c>
      <c r="F60" s="16" t="n">
        <f aca="false">Diesel!$E$34</f>
        <v>0.696612916462745</v>
      </c>
      <c r="G60" s="11" t="n">
        <f aca="false">C60*Diesel!$C$28*1000000</f>
        <v>277.603721020879</v>
      </c>
    </row>
    <row r="61" customFormat="false" ht="15" hidden="false" customHeight="false" outlineLevel="0" collapsed="false">
      <c r="A61" s="5" t="s">
        <v>80</v>
      </c>
      <c r="B61" s="12" t="n">
        <v>0.842105</v>
      </c>
      <c r="C61" s="16" t="n">
        <f aca="false">Diesel!$D$34+(Diesel!$D$35-Diesel!$D$34)*B61</f>
        <v>0.93690847257384</v>
      </c>
      <c r="D61" s="11" t="n">
        <f aca="false">Diesel!$C$34*(Diesel!$D$34/C61)^(Diesel!$C$10-1)</f>
        <v>841.075158650647</v>
      </c>
      <c r="E61" s="11" t="n">
        <f aca="false">Diesel!$C$13*D61/C61</f>
        <v>257.643705440727</v>
      </c>
      <c r="F61" s="16" t="n">
        <f aca="false">Diesel!$E$34</f>
        <v>0.696612916462745</v>
      </c>
      <c r="G61" s="11" t="n">
        <f aca="false">C61*Diesel!$C$28*1000000</f>
        <v>293.580732331261</v>
      </c>
    </row>
    <row r="62" customFormat="false" ht="15" hidden="false" customHeight="false" outlineLevel="0" collapsed="false">
      <c r="A62" s="5" t="s">
        <v>80</v>
      </c>
      <c r="B62" s="12" t="n">
        <v>0.894737</v>
      </c>
      <c r="C62" s="16" t="n">
        <f aca="false">Diesel!$D$34+(Diesel!$D$35-Diesel!$D$34)*B62</f>
        <v>0.987897110548523</v>
      </c>
      <c r="D62" s="11" t="n">
        <f aca="false">Diesel!$C$34*(Diesel!$D$34/C62)^(Diesel!$C$10-1)</f>
        <v>823.434362847627</v>
      </c>
      <c r="E62" s="11" t="n">
        <f aca="false">Diesel!$C$13*D62/C62</f>
        <v>239.220926565977</v>
      </c>
      <c r="F62" s="16" t="n">
        <f aca="false">Diesel!$E$34</f>
        <v>0.696612916462745</v>
      </c>
      <c r="G62" s="11" t="n">
        <f aca="false">C62*Diesel!$C$28*1000000</f>
        <v>309.558047208197</v>
      </c>
    </row>
    <row r="63" customFormat="false" ht="15" hidden="false" customHeight="false" outlineLevel="0" collapsed="false">
      <c r="A63" s="5" t="s">
        <v>80</v>
      </c>
      <c r="B63" s="12" t="n">
        <v>0.947368</v>
      </c>
      <c r="C63" s="16" t="n">
        <f aca="false">Diesel!$D$34+(Diesel!$D$35-Diesel!$D$34)*B63</f>
        <v>1.03888477974684</v>
      </c>
      <c r="D63" s="11" t="n">
        <f aca="false">Diesel!$C$34*(Diesel!$D$34/C63)^(Diesel!$C$10-1)</f>
        <v>807.024499684436</v>
      </c>
      <c r="E63" s="11" t="n">
        <f aca="false">Diesel!$C$13*D63/C63</f>
        <v>222.946794413405</v>
      </c>
      <c r="F63" s="16" t="n">
        <f aca="false">Diesel!$E$34</f>
        <v>0.696612916462745</v>
      </c>
      <c r="G63" s="11" t="n">
        <f aca="false">C63*Diesel!$C$28*1000000</f>
        <v>325.535058518578</v>
      </c>
    </row>
    <row r="64" customFormat="false" ht="15" hidden="false" customHeight="false" outlineLevel="0" collapsed="false">
      <c r="A64" s="5" t="s">
        <v>80</v>
      </c>
      <c r="B64" s="12" t="n">
        <v>1</v>
      </c>
      <c r="C64" s="16" t="n">
        <f aca="false">Diesel!$D$34+(Diesel!$D$35-Diesel!$D$34)*B64</f>
        <v>1.08987341772152</v>
      </c>
      <c r="D64" s="11" t="n">
        <f aca="false">Diesel!$C$34*(Diesel!$D$34/C64)^(Diesel!$C$10-1)</f>
        <v>791.704746463737</v>
      </c>
      <c r="E64" s="11" t="n">
        <f aca="false">Diesel!$C$13*D64/C64</f>
        <v>208.482249902117</v>
      </c>
      <c r="F64" s="16" t="n">
        <f aca="false">Diesel!$E$34</f>
        <v>0.696612916462745</v>
      </c>
      <c r="G64" s="11" t="n">
        <f aca="false">C64*Diesel!$C$28*1000000</f>
        <v>341.512373395514</v>
      </c>
    </row>
    <row r="65" customFormat="false" ht="15" hidden="false" customHeight="false" outlineLevel="0" collapsed="false">
      <c r="A65" s="5" t="s">
        <v>82</v>
      </c>
      <c r="B65" s="12" t="n">
        <v>0</v>
      </c>
      <c r="C65" s="16" t="n">
        <f aca="false">Diesel!$D$32</f>
        <v>1.08987341772152</v>
      </c>
      <c r="D65" s="11" t="n">
        <f aca="false">Diesel!$C$35+(Diesel!$C$32-Diesel!$C$35)*B65</f>
        <v>791.704746463737</v>
      </c>
      <c r="E65" s="11" t="n">
        <f aca="false">Diesel!$C$13*D65/C65</f>
        <v>208.482249902117</v>
      </c>
      <c r="F65" s="16" t="n">
        <f aca="false">Diesel!$E$34+Diesel!$C$11*LN(D65/Diesel!$C$35)</f>
        <v>0.696612916462745</v>
      </c>
      <c r="G65" s="11" t="n">
        <f aca="false">C65*Diesel!$C$28*1000000</f>
        <v>341.512373395514</v>
      </c>
    </row>
    <row r="66" customFormat="false" ht="15" hidden="false" customHeight="false" outlineLevel="0" collapsed="false">
      <c r="A66" s="5" t="s">
        <v>82</v>
      </c>
      <c r="B66" s="12" t="n">
        <v>0.052632</v>
      </c>
      <c r="C66" s="16" t="n">
        <f aca="false">Diesel!$D$32</f>
        <v>1.08987341772152</v>
      </c>
      <c r="D66" s="11" t="n">
        <f aca="false">Diesel!$C$35+(Diesel!$C$32-Diesel!$C$35)*B66</f>
        <v>765.825342247857</v>
      </c>
      <c r="E66" s="11" t="n">
        <f aca="false">Diesel!$C$13*D66/C66</f>
        <v>201.667340125269</v>
      </c>
      <c r="F66" s="16" t="n">
        <f aca="false">Diesel!$E$34+Diesel!$C$11*LN(D66/Diesel!$C$35)</f>
        <v>0.67275061982626</v>
      </c>
      <c r="G66" s="11" t="n">
        <f aca="false">C66*Diesel!$C$28*1000000</f>
        <v>341.512373395514</v>
      </c>
    </row>
    <row r="67" customFormat="false" ht="15" hidden="false" customHeight="false" outlineLevel="0" collapsed="false">
      <c r="A67" s="5" t="s">
        <v>82</v>
      </c>
      <c r="B67" s="12" t="n">
        <v>0.105263</v>
      </c>
      <c r="C67" s="16" t="n">
        <f aca="false">Diesel!$D$32</f>
        <v>1.08987341772152</v>
      </c>
      <c r="D67" s="11" t="n">
        <f aca="false">Diesel!$C$35+(Diesel!$C$32-Diesel!$C$35)*B67</f>
        <v>739.946429736724</v>
      </c>
      <c r="E67" s="11" t="n">
        <f aca="false">Diesel!$C$13*D67/C67</f>
        <v>194.852559830671</v>
      </c>
      <c r="F67" s="16" t="n">
        <f aca="false">Diesel!$E$34+Diesel!$C$11*LN(D67/Diesel!$C$35)</f>
        <v>0.648068407935748</v>
      </c>
      <c r="G67" s="11" t="n">
        <f aca="false">C67*Diesel!$C$28*1000000</f>
        <v>341.512373395514</v>
      </c>
    </row>
    <row r="68" customFormat="false" ht="15" hidden="false" customHeight="false" outlineLevel="0" collapsed="false">
      <c r="A68" s="5" t="s">
        <v>82</v>
      </c>
      <c r="B68" s="12" t="n">
        <v>0.157895</v>
      </c>
      <c r="C68" s="16" t="n">
        <f aca="false">Diesel!$D$32</f>
        <v>1.08987341772152</v>
      </c>
      <c r="D68" s="11" t="n">
        <f aca="false">Diesel!$C$35+(Diesel!$C$32-Diesel!$C$35)*B68</f>
        <v>714.067025520845</v>
      </c>
      <c r="E68" s="11" t="n">
        <f aca="false">Diesel!$C$13*D68/C68</f>
        <v>188.037650053823</v>
      </c>
      <c r="F68" s="16" t="n">
        <f aca="false">Diesel!$E$34+Diesel!$C$11*LN(D68/Diesel!$C$35)</f>
        <v>0.622506918571137</v>
      </c>
      <c r="G68" s="11" t="n">
        <f aca="false">C68*Diesel!$C$28*1000000</f>
        <v>341.512373395514</v>
      </c>
    </row>
    <row r="69" customFormat="false" ht="15" hidden="false" customHeight="false" outlineLevel="0" collapsed="false">
      <c r="A69" s="5" t="s">
        <v>82</v>
      </c>
      <c r="B69" s="12" t="n">
        <v>0.210526</v>
      </c>
      <c r="C69" s="16" t="n">
        <f aca="false">Diesel!$D$32</f>
        <v>1.08987341772152</v>
      </c>
      <c r="D69" s="11" t="n">
        <f aca="false">Diesel!$C$35+(Diesel!$C$32-Diesel!$C$35)*B69</f>
        <v>688.188113009712</v>
      </c>
      <c r="E69" s="11" t="n">
        <f aca="false">Diesel!$C$13*D69/C69</f>
        <v>181.222869759224</v>
      </c>
      <c r="F69" s="16" t="n">
        <f aca="false">Diesel!$E$34+Diesel!$C$11*LN(D69/Diesel!$C$35)</f>
        <v>0.596002228175333</v>
      </c>
      <c r="G69" s="11" t="n">
        <f aca="false">C69*Diesel!$C$28*1000000</f>
        <v>341.512373395514</v>
      </c>
    </row>
    <row r="70" customFormat="false" ht="15" hidden="false" customHeight="false" outlineLevel="0" collapsed="false">
      <c r="A70" s="5" t="s">
        <v>82</v>
      </c>
      <c r="B70" s="12" t="n">
        <v>0.263158</v>
      </c>
      <c r="C70" s="16" t="n">
        <f aca="false">Diesel!$D$32</f>
        <v>1.08987341772152</v>
      </c>
      <c r="D70" s="11" t="n">
        <f aca="false">Diesel!$C$35+(Diesel!$C$32-Diesel!$C$35)*B70</f>
        <v>662.308708793833</v>
      </c>
      <c r="E70" s="11" t="n">
        <f aca="false">Diesel!$C$13*D70/C70</f>
        <v>174.407959982376</v>
      </c>
      <c r="F70" s="16" t="n">
        <f aca="false">Diesel!$E$34+Diesel!$C$11*LN(D70/Diesel!$C$35)</f>
        <v>0.568480968012043</v>
      </c>
      <c r="G70" s="11" t="n">
        <f aca="false">C70*Diesel!$C$28*1000000</f>
        <v>341.512373395514</v>
      </c>
    </row>
    <row r="71" customFormat="false" ht="15" hidden="false" customHeight="false" outlineLevel="0" collapsed="false">
      <c r="A71" s="5" t="s">
        <v>82</v>
      </c>
      <c r="B71" s="12" t="n">
        <v>0.315789</v>
      </c>
      <c r="C71" s="16" t="n">
        <f aca="false">Diesel!$D$32</f>
        <v>1.08987341772152</v>
      </c>
      <c r="D71" s="11" t="n">
        <f aca="false">Diesel!$C$35+(Diesel!$C$32-Diesel!$C$35)*B71</f>
        <v>636.4297962827</v>
      </c>
      <c r="E71" s="11" t="n">
        <f aca="false">Diesel!$C$13*D71/C71</f>
        <v>167.593179687778</v>
      </c>
      <c r="F71" s="16" t="n">
        <f aca="false">Diesel!$E$34+Diesel!$C$11*LN(D71/Diesel!$C$35)</f>
        <v>0.539863168633827</v>
      </c>
      <c r="G71" s="11" t="n">
        <f aca="false">C71*Diesel!$C$28*1000000</f>
        <v>341.512373395514</v>
      </c>
    </row>
    <row r="72" customFormat="false" ht="15" hidden="false" customHeight="false" outlineLevel="0" collapsed="false">
      <c r="A72" s="5" t="s">
        <v>82</v>
      </c>
      <c r="B72" s="12" t="n">
        <v>0.368421</v>
      </c>
      <c r="C72" s="16" t="n">
        <f aca="false">Diesel!$D$32</f>
        <v>1.08987341772152</v>
      </c>
      <c r="D72" s="11" t="n">
        <f aca="false">Diesel!$C$35+(Diesel!$C$32-Diesel!$C$35)*B72</f>
        <v>610.55039206682</v>
      </c>
      <c r="E72" s="11" t="n">
        <f aca="false">Diesel!$C$13*D72/C72</f>
        <v>160.778269910929</v>
      </c>
      <c r="F72" s="16" t="n">
        <f aca="false">Diesel!$E$34+Diesel!$C$11*LN(D72/Diesel!$C$35)</f>
        <v>0.510056631447146</v>
      </c>
      <c r="G72" s="11" t="n">
        <f aca="false">C72*Diesel!$C$28*1000000</f>
        <v>341.512373395514</v>
      </c>
    </row>
    <row r="73" customFormat="false" ht="15" hidden="false" customHeight="false" outlineLevel="0" collapsed="false">
      <c r="A73" s="5" t="s">
        <v>82</v>
      </c>
      <c r="B73" s="12" t="n">
        <v>0.421053</v>
      </c>
      <c r="C73" s="16" t="n">
        <f aca="false">Diesel!$D$32</f>
        <v>1.08987341772152</v>
      </c>
      <c r="D73" s="11" t="n">
        <f aca="false">Diesel!$C$35+(Diesel!$C$32-Diesel!$C$35)*B73</f>
        <v>584.670987850941</v>
      </c>
      <c r="E73" s="11" t="n">
        <f aca="false">Diesel!$C$13*D73/C73</f>
        <v>153.963360134081</v>
      </c>
      <c r="F73" s="16" t="n">
        <f aca="false">Diesel!$E$34+Diesel!$C$11*LN(D73/Diesel!$C$35)</f>
        <v>0.478958933273778</v>
      </c>
      <c r="G73" s="11" t="n">
        <f aca="false">C73*Diesel!$C$28*1000000</f>
        <v>341.512373395514</v>
      </c>
    </row>
    <row r="74" customFormat="false" ht="15" hidden="false" customHeight="false" outlineLevel="0" collapsed="false">
      <c r="A74" s="5" t="s">
        <v>82</v>
      </c>
      <c r="B74" s="12" t="n">
        <v>0.473684</v>
      </c>
      <c r="C74" s="16" t="n">
        <f aca="false">Diesel!$D$32</f>
        <v>1.08987341772152</v>
      </c>
      <c r="D74" s="11" t="n">
        <f aca="false">Diesel!$C$35+(Diesel!$C$32-Diesel!$C$35)*B74</f>
        <v>558.792075339808</v>
      </c>
      <c r="E74" s="11" t="n">
        <f aca="false">Diesel!$C$13*D74/C74</f>
        <v>147.148579839483</v>
      </c>
      <c r="F74" s="16" t="n">
        <f aca="false">Diesel!$E$34+Diesel!$C$11*LN(D74/Diesel!$C$35)</f>
        <v>0.446453759783573</v>
      </c>
      <c r="G74" s="11" t="n">
        <f aca="false">C74*Diesel!$C$28*1000000</f>
        <v>341.512373395514</v>
      </c>
    </row>
    <row r="75" customFormat="false" ht="15" hidden="false" customHeight="false" outlineLevel="0" collapsed="false">
      <c r="A75" s="5" t="s">
        <v>82</v>
      </c>
      <c r="B75" s="12" t="n">
        <v>0.526316</v>
      </c>
      <c r="C75" s="16" t="n">
        <f aca="false">Diesel!$D$32</f>
        <v>1.08987341772152</v>
      </c>
      <c r="D75" s="11" t="n">
        <f aca="false">Diesel!$C$35+(Diesel!$C$32-Diesel!$C$35)*B75</f>
        <v>532.912671123929</v>
      </c>
      <c r="E75" s="11" t="n">
        <f aca="false">Diesel!$C$13*D75/C75</f>
        <v>140.333670062635</v>
      </c>
      <c r="F75" s="16" t="n">
        <f aca="false">Diesel!$E$34+Diesel!$C$11*LN(D75/Diesel!$C$35)</f>
        <v>0.412406286649024</v>
      </c>
      <c r="G75" s="11" t="n">
        <f aca="false">C75*Diesel!$C$28*1000000</f>
        <v>341.512373395514</v>
      </c>
    </row>
    <row r="76" customFormat="false" ht="15" hidden="false" customHeight="false" outlineLevel="0" collapsed="false">
      <c r="A76" s="5" t="s">
        <v>82</v>
      </c>
      <c r="B76" s="12" t="n">
        <v>0.578947</v>
      </c>
      <c r="C76" s="16" t="n">
        <f aca="false">Diesel!$D$32</f>
        <v>1.08987341772152</v>
      </c>
      <c r="D76" s="11" t="n">
        <f aca="false">Diesel!$C$35+(Diesel!$C$32-Diesel!$C$35)*B76</f>
        <v>507.033758612796</v>
      </c>
      <c r="E76" s="11" t="n">
        <f aca="false">Diesel!$C$13*D76/C76</f>
        <v>133.518889768036</v>
      </c>
      <c r="F76" s="16" t="n">
        <f aca="false">Diesel!$E$34+Diesel!$C$11*LN(D76/Diesel!$C$35)</f>
        <v>0.376664260802827</v>
      </c>
      <c r="G76" s="11" t="n">
        <f aca="false">C76*Diesel!$C$28*1000000</f>
        <v>341.512373395514</v>
      </c>
    </row>
    <row r="77" customFormat="false" ht="15" hidden="false" customHeight="false" outlineLevel="0" collapsed="false">
      <c r="A77" s="5" t="s">
        <v>82</v>
      </c>
      <c r="B77" s="12" t="n">
        <v>0.631579</v>
      </c>
      <c r="C77" s="16" t="n">
        <f aca="false">Diesel!$D$32</f>
        <v>1.08987341772152</v>
      </c>
      <c r="D77" s="11" t="n">
        <f aca="false">Diesel!$C$35+(Diesel!$C$32-Diesel!$C$35)*B77</f>
        <v>481.154354396916</v>
      </c>
      <c r="E77" s="11" t="n">
        <f aca="false">Diesel!$C$13*D77/C77</f>
        <v>126.703979991188</v>
      </c>
      <c r="F77" s="16" t="n">
        <f aca="false">Diesel!$E$34+Diesel!$C$11*LN(D77/Diesel!$C$35)</f>
        <v>0.33904862516967</v>
      </c>
      <c r="G77" s="11" t="n">
        <f aca="false">C77*Diesel!$C$28*1000000</f>
        <v>341.512373395514</v>
      </c>
    </row>
    <row r="78" customFormat="false" ht="15" hidden="false" customHeight="false" outlineLevel="0" collapsed="false">
      <c r="A78" s="5" t="s">
        <v>82</v>
      </c>
      <c r="B78" s="12" t="n">
        <v>0.684211</v>
      </c>
      <c r="C78" s="16" t="n">
        <f aca="false">Diesel!$D$32</f>
        <v>1.08987341772152</v>
      </c>
      <c r="D78" s="11" t="n">
        <f aca="false">Diesel!$C$35+(Diesel!$C$32-Diesel!$C$35)*B78</f>
        <v>455.274950181037</v>
      </c>
      <c r="E78" s="11" t="n">
        <f aca="false">Diesel!$C$13*D78/C78</f>
        <v>119.88907021434</v>
      </c>
      <c r="F78" s="16" t="n">
        <f aca="false">Diesel!$E$34+Diesel!$C$11*LN(D78/Diesel!$C$35)</f>
        <v>0.299352846955791</v>
      </c>
      <c r="G78" s="11" t="n">
        <f aca="false">C78*Diesel!$C$28*1000000</f>
        <v>341.512373395514</v>
      </c>
    </row>
    <row r="79" customFormat="false" ht="15" hidden="false" customHeight="false" outlineLevel="0" collapsed="false">
      <c r="A79" s="5" t="s">
        <v>82</v>
      </c>
      <c r="B79" s="12" t="n">
        <v>0.736842</v>
      </c>
      <c r="C79" s="16" t="n">
        <f aca="false">Diesel!$D$32</f>
        <v>1.08987341772152</v>
      </c>
      <c r="D79" s="11" t="n">
        <f aca="false">Diesel!$C$35+(Diesel!$C$32-Diesel!$C$35)*B79</f>
        <v>429.396037669904</v>
      </c>
      <c r="E79" s="11" t="n">
        <f aca="false">Diesel!$C$13*D79/C79</f>
        <v>113.074289919741</v>
      </c>
      <c r="F79" s="16" t="n">
        <f aca="false">Diesel!$E$34+Diesel!$C$11*LN(D79/Diesel!$C$35)</f>
        <v>0.257334148064895</v>
      </c>
      <c r="G79" s="11" t="n">
        <f aca="false">C79*Diesel!$C$28*1000000</f>
        <v>341.512373395514</v>
      </c>
    </row>
    <row r="80" customFormat="false" ht="15" hidden="false" customHeight="false" outlineLevel="0" collapsed="false">
      <c r="A80" s="5" t="s">
        <v>82</v>
      </c>
      <c r="B80" s="12" t="n">
        <v>0.789474</v>
      </c>
      <c r="C80" s="16" t="n">
        <f aca="false">Diesel!$D$32</f>
        <v>1.08987341772152</v>
      </c>
      <c r="D80" s="11" t="n">
        <f aca="false">Diesel!$C$35+(Diesel!$C$32-Diesel!$C$35)*B80</f>
        <v>403.516633454025</v>
      </c>
      <c r="E80" s="11" t="n">
        <f aca="false">Diesel!$C$13*D80/C80</f>
        <v>106.259380142893</v>
      </c>
      <c r="F80" s="16" t="n">
        <f aca="false">Diesel!$E$34+Diesel!$C$11*LN(D80/Diesel!$C$35)</f>
        <v>0.212701869393364</v>
      </c>
      <c r="G80" s="11" t="n">
        <f aca="false">C80*Diesel!$C$28*1000000</f>
        <v>341.512373395514</v>
      </c>
    </row>
    <row r="81" customFormat="false" ht="15" hidden="false" customHeight="false" outlineLevel="0" collapsed="false">
      <c r="A81" s="5" t="s">
        <v>82</v>
      </c>
      <c r="B81" s="12" t="n">
        <v>0.842105</v>
      </c>
      <c r="C81" s="16" t="n">
        <f aca="false">Diesel!$D$32</f>
        <v>1.08987341772152</v>
      </c>
      <c r="D81" s="11" t="n">
        <f aca="false">Diesel!$C$35+(Diesel!$C$32-Diesel!$C$35)*B81</f>
        <v>377.637720942892</v>
      </c>
      <c r="E81" s="11" t="n">
        <f aca="false">Diesel!$C$13*D81/C81</f>
        <v>99.4445998482948</v>
      </c>
      <c r="F81" s="16" t="n">
        <f aca="false">Diesel!$E$34+Diesel!$C$11*LN(D81/Diesel!$C$35)</f>
        <v>0.165111117718794</v>
      </c>
      <c r="G81" s="11" t="n">
        <f aca="false">C81*Diesel!$C$28*1000000</f>
        <v>341.512373395514</v>
      </c>
    </row>
    <row r="82" customFormat="false" ht="15" hidden="false" customHeight="false" outlineLevel="0" collapsed="false">
      <c r="A82" s="5" t="s">
        <v>82</v>
      </c>
      <c r="B82" s="12" t="n">
        <v>0.894737</v>
      </c>
      <c r="C82" s="16" t="n">
        <f aca="false">Diesel!$D$32</f>
        <v>1.08987341772152</v>
      </c>
      <c r="D82" s="11" t="n">
        <f aca="false">Diesel!$C$35+(Diesel!$C$32-Diesel!$C$35)*B82</f>
        <v>351.758316727012</v>
      </c>
      <c r="E82" s="11" t="n">
        <f aca="false">Diesel!$C$13*D82/C82</f>
        <v>92.6296900714466</v>
      </c>
      <c r="F82" s="16" t="n">
        <f aca="false">Diesel!$E$34+Diesel!$C$11*LN(D82/Diesel!$C$35)</f>
        <v>0.11413958957406</v>
      </c>
      <c r="G82" s="11" t="n">
        <f aca="false">C82*Diesel!$C$28*1000000</f>
        <v>341.512373395514</v>
      </c>
    </row>
    <row r="83" customFormat="false" ht="15" hidden="false" customHeight="false" outlineLevel="0" collapsed="false">
      <c r="A83" s="5" t="s">
        <v>82</v>
      </c>
      <c r="B83" s="12" t="n">
        <v>0.947368</v>
      </c>
      <c r="C83" s="16" t="n">
        <f aca="false">Diesel!$D$32</f>
        <v>1.08987341772152</v>
      </c>
      <c r="D83" s="11" t="n">
        <f aca="false">Diesel!$C$35+(Diesel!$C$32-Diesel!$C$35)*B83</f>
        <v>325.879404215879</v>
      </c>
      <c r="E83" s="11" t="n">
        <f aca="false">Diesel!$C$13*D83/C83</f>
        <v>85.8149097768482</v>
      </c>
      <c r="F83" s="16" t="n">
        <f aca="false">Diesel!$E$34+Diesel!$C$11*LN(D83/Diesel!$C$35)</f>
        <v>0.0592722177769045</v>
      </c>
      <c r="G83" s="11" t="n">
        <f aca="false">C83*Diesel!$C$28*1000000</f>
        <v>341.512373395514</v>
      </c>
    </row>
    <row r="84" customFormat="false" ht="15" hidden="false" customHeight="false" outlineLevel="0" collapsed="false">
      <c r="A84" s="5" t="s">
        <v>82</v>
      </c>
      <c r="B84" s="12" t="n">
        <v>1</v>
      </c>
      <c r="C84" s="16" t="n">
        <f aca="false">Diesel!$D$32</f>
        <v>1.08987341772152</v>
      </c>
      <c r="D84" s="11" t="n">
        <f aca="false">Diesel!$C$35+(Diesel!$C$32-Diesel!$C$35)*B84</f>
        <v>300</v>
      </c>
      <c r="E84" s="11" t="n">
        <f aca="false">Diesel!$C$13*D84/C84</f>
        <v>79</v>
      </c>
      <c r="F84" s="16" t="n">
        <f aca="false">Diesel!$E$34+Diesel!$C$11*LN(D84/Diesel!$C$35)</f>
        <v>-0.000138629436112092</v>
      </c>
      <c r="G84" s="11" t="n">
        <f aca="false">C84*Diesel!$C$28*1000000</f>
        <v>341.512373395514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31.5" hidden="false" customHeight="true" outlineLevel="0" collapsed="false">
      <c r="A4" s="4" t="s">
        <v>126</v>
      </c>
      <c r="B4" s="4" t="s">
        <v>127</v>
      </c>
      <c r="C4" s="4" t="s">
        <v>67</v>
      </c>
      <c r="D4" s="4" t="s">
        <v>63</v>
      </c>
      <c r="E4" s="4" t="s">
        <v>64</v>
      </c>
      <c r="G4" s="15" t="s">
        <v>128</v>
      </c>
    </row>
    <row r="5" customFormat="false" ht="15" hidden="false" customHeight="false" outlineLevel="0" collapsed="false">
      <c r="A5" s="17" t="n">
        <v>0</v>
      </c>
      <c r="B5" s="5" t="s">
        <v>129</v>
      </c>
      <c r="C5" s="11" t="n">
        <f aca="false">Diesel!$C$24+Diesel!$C$23/2*((1-COS(RADIANS(A5)))+1/Diesel!$C$26*(1-SQRT(1-Diesel!$C$26^2*SIN(RADIANS(A5))^2)))</f>
        <v>18.9729096330841</v>
      </c>
      <c r="D5" s="11" t="n">
        <f aca="false">Diesel!$C$6</f>
        <v>79</v>
      </c>
      <c r="E5" s="11" t="n">
        <f aca="false">Diesel!$C$7</f>
        <v>300</v>
      </c>
    </row>
    <row r="6" customFormat="false" ht="15" hidden="false" customHeight="false" outlineLevel="0" collapsed="false">
      <c r="A6" s="17" t="n">
        <v>4</v>
      </c>
      <c r="B6" s="5" t="s">
        <v>129</v>
      </c>
      <c r="C6" s="11" t="n">
        <f aca="false">Diesel!$C$24+Diesel!$C$23/2*((1-COS(RADIANS(A6)))+1/Diesel!$C$26*(1-SQRT(1-Diesel!$C$26^2*SIN(RADIANS(A6))^2)))</f>
        <v>19.4668495436611</v>
      </c>
      <c r="D6" s="11" t="n">
        <f aca="false">Diesel!$C$6</f>
        <v>79</v>
      </c>
      <c r="E6" s="11" t="n">
        <f aca="false">Diesel!$C$7</f>
        <v>300</v>
      </c>
    </row>
    <row r="7" customFormat="false" ht="15" hidden="false" customHeight="false" outlineLevel="0" collapsed="false">
      <c r="A7" s="17" t="n">
        <v>8</v>
      </c>
      <c r="B7" s="5" t="s">
        <v>129</v>
      </c>
      <c r="C7" s="11" t="n">
        <f aca="false">Diesel!$C$24+Diesel!$C$23/2*((1-COS(RADIANS(A7)))+1/Diesel!$C$26*(1-SQRT(1-Diesel!$C$26^2*SIN(RADIANS(A7))^2)))</f>
        <v>20.9448845916666</v>
      </c>
      <c r="D7" s="11" t="n">
        <f aca="false">Diesel!$C$6</f>
        <v>79</v>
      </c>
      <c r="E7" s="11" t="n">
        <f aca="false">Diesel!$C$7</f>
        <v>300</v>
      </c>
    </row>
    <row r="8" customFormat="false" ht="15" hidden="false" customHeight="false" outlineLevel="0" collapsed="false">
      <c r="A8" s="17" t="n">
        <v>12</v>
      </c>
      <c r="B8" s="5" t="s">
        <v>129</v>
      </c>
      <c r="C8" s="11" t="n">
        <f aca="false">Diesel!$C$24+Diesel!$C$23/2*((1-COS(RADIANS(A8)))+1/Diesel!$C$26*(1-SQRT(1-Diesel!$C$26^2*SIN(RADIANS(A8))^2)))</f>
        <v>23.3956994081075</v>
      </c>
      <c r="D8" s="11" t="n">
        <f aca="false">Diesel!$C$6</f>
        <v>79</v>
      </c>
      <c r="E8" s="11" t="n">
        <f aca="false">Diesel!$C$7</f>
        <v>300</v>
      </c>
    </row>
    <row r="9" customFormat="false" ht="15" hidden="false" customHeight="false" outlineLevel="0" collapsed="false">
      <c r="A9" s="17" t="n">
        <v>16</v>
      </c>
      <c r="B9" s="5" t="s">
        <v>129</v>
      </c>
      <c r="C9" s="11" t="n">
        <f aca="false">Diesel!$C$24+Diesel!$C$23/2*((1-COS(RADIANS(A9)))+1/Diesel!$C$26*(1-SQRT(1-Diesel!$C$26^2*SIN(RADIANS(A9))^2)))</f>
        <v>26.8005638413134</v>
      </c>
      <c r="D9" s="11" t="n">
        <f aca="false">Diesel!$C$6</f>
        <v>79</v>
      </c>
      <c r="E9" s="11" t="n">
        <f aca="false">Diesel!$C$7</f>
        <v>300</v>
      </c>
    </row>
    <row r="10" customFormat="false" ht="15" hidden="false" customHeight="false" outlineLevel="0" collapsed="false">
      <c r="A10" s="17" t="n">
        <v>20</v>
      </c>
      <c r="B10" s="5" t="s">
        <v>129</v>
      </c>
      <c r="C10" s="11" t="n">
        <f aca="false">Diesel!$C$24+Diesel!$C$23/2*((1-COS(RADIANS(A10)))+1/Diesel!$C$26*(1-SQRT(1-Diesel!$C$26^2*SIN(RADIANS(A10))^2)))</f>
        <v>31.1335256249384</v>
      </c>
      <c r="D10" s="11" t="n">
        <f aca="false">Diesel!$C$6</f>
        <v>79</v>
      </c>
      <c r="E10" s="11" t="n">
        <f aca="false">Diesel!$C$7</f>
        <v>300</v>
      </c>
    </row>
    <row r="11" customFormat="false" ht="15" hidden="false" customHeight="false" outlineLevel="0" collapsed="false">
      <c r="A11" s="17" t="n">
        <v>24</v>
      </c>
      <c r="B11" s="5" t="s">
        <v>129</v>
      </c>
      <c r="C11" s="11" t="n">
        <f aca="false">Diesel!$C$24+Diesel!$C$23/2*((1-COS(RADIANS(A11)))+1/Diesel!$C$26*(1-SQRT(1-Diesel!$C$26^2*SIN(RADIANS(A11))^2)))</f>
        <v>36.3616789767833</v>
      </c>
      <c r="D11" s="11" t="n">
        <f aca="false">Diesel!$C$6</f>
        <v>79</v>
      </c>
      <c r="E11" s="11" t="n">
        <f aca="false">Diesel!$C$7</f>
        <v>300</v>
      </c>
    </row>
    <row r="12" customFormat="false" ht="15" hidden="false" customHeight="false" outlineLevel="0" collapsed="false">
      <c r="A12" s="17" t="n">
        <v>28</v>
      </c>
      <c r="B12" s="5" t="s">
        <v>129</v>
      </c>
      <c r="C12" s="11" t="n">
        <f aca="false">Diesel!$C$24+Diesel!$C$23/2*((1-COS(RADIANS(A12)))+1/Diesel!$C$26*(1-SQRT(1-Diesel!$C$26^2*SIN(RADIANS(A12))^2)))</f>
        <v>42.4455078028856</v>
      </c>
      <c r="D12" s="11" t="n">
        <f aca="false">Diesel!$C$6</f>
        <v>79</v>
      </c>
      <c r="E12" s="11" t="n">
        <f aca="false">Diesel!$C$7</f>
        <v>300</v>
      </c>
    </row>
    <row r="13" customFormat="false" ht="15" hidden="false" customHeight="false" outlineLevel="0" collapsed="false">
      <c r="A13" s="17" t="n">
        <v>32</v>
      </c>
      <c r="B13" s="5" t="s">
        <v>129</v>
      </c>
      <c r="C13" s="11" t="n">
        <f aca="false">Diesel!$C$24+Diesel!$C$23/2*((1-COS(RADIANS(A13)))+1/Diesel!$C$26*(1-SQRT(1-Diesel!$C$26^2*SIN(RADIANS(A13))^2)))</f>
        <v>49.3393015408853</v>
      </c>
      <c r="D13" s="11" t="n">
        <f aca="false">Diesel!$C$6</f>
        <v>79</v>
      </c>
      <c r="E13" s="11" t="n">
        <f aca="false">Diesel!$C$7</f>
        <v>300</v>
      </c>
    </row>
    <row r="14" customFormat="false" ht="15" hidden="false" customHeight="false" outlineLevel="0" collapsed="false">
      <c r="A14" s="17" t="n">
        <v>36</v>
      </c>
      <c r="B14" s="5" t="s">
        <v>129</v>
      </c>
      <c r="C14" s="11" t="n">
        <f aca="false">Diesel!$C$24+Diesel!$C$23/2*((1-COS(RADIANS(A14)))+1/Diesel!$C$26*(1-SQRT(1-Diesel!$C$26^2*SIN(RADIANS(A14))^2)))</f>
        <v>56.9916408561397</v>
      </c>
      <c r="D14" s="11" t="n">
        <f aca="false">Diesel!$C$6</f>
        <v>79</v>
      </c>
      <c r="E14" s="11" t="n">
        <f aca="false">Diesel!$C$7</f>
        <v>300</v>
      </c>
    </row>
    <row r="15" customFormat="false" ht="15" hidden="false" customHeight="false" outlineLevel="0" collapsed="false">
      <c r="A15" s="17" t="n">
        <v>40</v>
      </c>
      <c r="B15" s="5" t="s">
        <v>129</v>
      </c>
      <c r="C15" s="11" t="n">
        <f aca="false">Diesel!$C$24+Diesel!$C$23/2*((1-COS(RADIANS(A15)))+1/Diesel!$C$26*(1-SQRT(1-Diesel!$C$26^2*SIN(RADIANS(A15))^2)))</f>
        <v>65.345949383536</v>
      </c>
      <c r="D15" s="11" t="n">
        <f aca="false">Diesel!$C$6</f>
        <v>79</v>
      </c>
      <c r="E15" s="11" t="n">
        <f aca="false">Diesel!$C$7</f>
        <v>300</v>
      </c>
    </row>
    <row r="16" customFormat="false" ht="15" hidden="false" customHeight="false" outlineLevel="0" collapsed="false">
      <c r="A16" s="17" t="n">
        <v>44</v>
      </c>
      <c r="B16" s="5" t="s">
        <v>129</v>
      </c>
      <c r="C16" s="11" t="n">
        <f aca="false">Diesel!$C$24+Diesel!$C$23/2*((1-COS(RADIANS(A16)))+1/Diesel!$C$26*(1-SQRT(1-Diesel!$C$26^2*SIN(RADIANS(A16))^2)))</f>
        <v>74.341106482162</v>
      </c>
      <c r="D16" s="11" t="n">
        <f aca="false">Diesel!$C$6</f>
        <v>79</v>
      </c>
      <c r="E16" s="11" t="n">
        <f aca="false">Diesel!$C$7</f>
        <v>300</v>
      </c>
    </row>
    <row r="17" customFormat="false" ht="15" hidden="false" customHeight="false" outlineLevel="0" collapsed="false">
      <c r="A17" s="17" t="n">
        <v>48</v>
      </c>
      <c r="B17" s="5" t="s">
        <v>129</v>
      </c>
      <c r="C17" s="11" t="n">
        <f aca="false">Diesel!$C$24+Diesel!$C$23/2*((1-COS(RADIANS(A17)))+1/Diesel!$C$26*(1-SQRT(1-Diesel!$C$26^2*SIN(RADIANS(A17))^2)))</f>
        <v>83.9121145523276</v>
      </c>
      <c r="D17" s="11" t="n">
        <f aca="false">Diesel!$C$6</f>
        <v>79</v>
      </c>
      <c r="E17" s="11" t="n">
        <f aca="false">Diesel!$C$7</f>
        <v>300</v>
      </c>
    </row>
    <row r="18" customFormat="false" ht="15" hidden="false" customHeight="false" outlineLevel="0" collapsed="false">
      <c r="A18" s="17" t="n">
        <v>52</v>
      </c>
      <c r="B18" s="5" t="s">
        <v>129</v>
      </c>
      <c r="C18" s="11" t="n">
        <f aca="false">Diesel!$C$24+Diesel!$C$23/2*((1-COS(RADIANS(A18)))+1/Diesel!$C$26*(1-SQRT(1-Diesel!$C$26^2*SIN(RADIANS(A18))^2)))</f>
        <v>93.9908128906787</v>
      </c>
      <c r="D18" s="11" t="n">
        <f aca="false">Diesel!$C$6</f>
        <v>79</v>
      </c>
      <c r="E18" s="11" t="n">
        <f aca="false">Diesel!$C$7</f>
        <v>300</v>
      </c>
    </row>
    <row r="19" customFormat="false" ht="15" hidden="false" customHeight="false" outlineLevel="0" collapsed="false">
      <c r="A19" s="17" t="n">
        <v>56</v>
      </c>
      <c r="B19" s="5" t="s">
        <v>129</v>
      </c>
      <c r="C19" s="11" t="n">
        <f aca="false">Diesel!$C$24+Diesel!$C$23/2*((1-COS(RADIANS(A19)))+1/Diesel!$C$26*(1-SQRT(1-Diesel!$C$26^2*SIN(RADIANS(A19))^2)))</f>
        <v>104.506628390295</v>
      </c>
      <c r="D19" s="11" t="n">
        <f aca="false">Diesel!$C$6</f>
        <v>79</v>
      </c>
      <c r="E19" s="11" t="n">
        <f aca="false">Diesel!$C$7</f>
        <v>300</v>
      </c>
    </row>
    <row r="20" customFormat="false" ht="15" hidden="false" customHeight="false" outlineLevel="0" collapsed="false">
      <c r="A20" s="17" t="n">
        <v>60</v>
      </c>
      <c r="B20" s="5" t="s">
        <v>129</v>
      </c>
      <c r="C20" s="11" t="n">
        <f aca="false">Diesel!$C$24+Diesel!$C$23/2*((1-COS(RADIANS(A20)))+1/Diesel!$C$26*(1-SQRT(1-Diesel!$C$26^2*SIN(RADIANS(A20))^2)))</f>
        <v>115.387351715642</v>
      </c>
      <c r="D20" s="11" t="n">
        <f aca="false">Diesel!$C$6</f>
        <v>79</v>
      </c>
      <c r="E20" s="11" t="n">
        <f aca="false">Diesel!$C$7</f>
        <v>300</v>
      </c>
    </row>
    <row r="21" customFormat="false" ht="15" hidden="false" customHeight="false" outlineLevel="0" collapsed="false">
      <c r="A21" s="17" t="n">
        <v>64</v>
      </c>
      <c r="B21" s="5" t="s">
        <v>129</v>
      </c>
      <c r="C21" s="11" t="n">
        <f aca="false">Diesel!$C$24+Diesel!$C$23/2*((1-COS(RADIANS(A21)))+1/Diesel!$C$26*(1-SQRT(1-Diesel!$C$26^2*SIN(RADIANS(A21))^2)))</f>
        <v>126.559926007931</v>
      </c>
      <c r="D21" s="11" t="n">
        <f aca="false">Diesel!$C$6</f>
        <v>79</v>
      </c>
      <c r="E21" s="11" t="n">
        <f aca="false">Diesel!$C$7</f>
        <v>300</v>
      </c>
    </row>
    <row r="22" customFormat="false" ht="15" hidden="false" customHeight="false" outlineLevel="0" collapsed="false">
      <c r="A22" s="17" t="n">
        <v>68</v>
      </c>
      <c r="B22" s="5" t="s">
        <v>129</v>
      </c>
      <c r="C22" s="11" t="n">
        <f aca="false">Diesel!$C$24+Diesel!$C$23/2*((1-COS(RADIANS(A22)))+1/Diesel!$C$26*(1-SQRT(1-Diesel!$C$26^2*SIN(RADIANS(A22))^2)))</f>
        <v>137.951233834125</v>
      </c>
      <c r="D22" s="11" t="n">
        <f aca="false">Diesel!$C$6</f>
        <v>79</v>
      </c>
      <c r="E22" s="11" t="n">
        <f aca="false">Diesel!$C$7</f>
        <v>300</v>
      </c>
    </row>
    <row r="23" customFormat="false" ht="15" hidden="false" customHeight="false" outlineLevel="0" collapsed="false">
      <c r="A23" s="17" t="n">
        <v>72</v>
      </c>
      <c r="B23" s="5" t="s">
        <v>129</v>
      </c>
      <c r="C23" s="11" t="n">
        <f aca="false">Diesel!$C$24+Diesel!$C$23/2*((1-COS(RADIANS(A23)))+1/Diesel!$C$26*(1-SQRT(1-Diesel!$C$26^2*SIN(RADIANS(A23))^2)))</f>
        <v>149.488867120453</v>
      </c>
      <c r="D23" s="11" t="n">
        <f aca="false">Diesel!$C$6</f>
        <v>79</v>
      </c>
      <c r="E23" s="11" t="n">
        <f aca="false">Diesel!$C$7</f>
        <v>300</v>
      </c>
    </row>
    <row r="24" customFormat="false" ht="15" hidden="false" customHeight="false" outlineLevel="0" collapsed="false">
      <c r="A24" s="17" t="n">
        <v>76</v>
      </c>
      <c r="B24" s="5" t="s">
        <v>129</v>
      </c>
      <c r="C24" s="11" t="n">
        <f aca="false">Diesel!$C$24+Diesel!$C$23/2*((1-COS(RADIANS(A24)))+1/Diesel!$C$26*(1-SQRT(1-Diesel!$C$26^2*SIN(RADIANS(A24))^2)))</f>
        <v>161.101864342728</v>
      </c>
      <c r="D24" s="11" t="n">
        <f aca="false">Diesel!$C$6</f>
        <v>79</v>
      </c>
      <c r="E24" s="11" t="n">
        <f aca="false">Diesel!$C$7</f>
        <v>300</v>
      </c>
    </row>
    <row r="25" customFormat="false" ht="15" hidden="false" customHeight="false" outlineLevel="0" collapsed="false">
      <c r="A25" s="17" t="n">
        <v>80</v>
      </c>
      <c r="B25" s="5" t="s">
        <v>129</v>
      </c>
      <c r="C25" s="11" t="n">
        <f aca="false">Diesel!$C$24+Diesel!$C$23/2*((1-COS(RADIANS(A25)))+1/Diesel!$C$26*(1-SQRT(1-Diesel!$C$26^2*SIN(RADIANS(A25))^2)))</f>
        <v>172.721399394542</v>
      </c>
      <c r="D25" s="11" t="n">
        <f aca="false">Diesel!$C$6</f>
        <v>79</v>
      </c>
      <c r="E25" s="11" t="n">
        <f aca="false">Diesel!$C$7</f>
        <v>300</v>
      </c>
    </row>
    <row r="26" customFormat="false" ht="15" hidden="false" customHeight="false" outlineLevel="0" collapsed="false">
      <c r="A26" s="17" t="n">
        <v>84</v>
      </c>
      <c r="B26" s="5" t="s">
        <v>129</v>
      </c>
      <c r="C26" s="11" t="n">
        <f aca="false">Diesel!$C$24+Diesel!$C$23/2*((1-COS(RADIANS(A26)))+1/Diesel!$C$26*(1-SQRT(1-Diesel!$C$26^2*SIN(RADIANS(A26))^2)))</f>
        <v>184.281407397977</v>
      </c>
      <c r="D26" s="11" t="n">
        <f aca="false">Diesel!$C$6</f>
        <v>79</v>
      </c>
      <c r="E26" s="11" t="n">
        <f aca="false">Diesel!$C$7</f>
        <v>300</v>
      </c>
    </row>
    <row r="27" customFormat="false" ht="15" hidden="false" customHeight="false" outlineLevel="0" collapsed="false">
      <c r="A27" s="17" t="n">
        <v>88</v>
      </c>
      <c r="B27" s="5" t="s">
        <v>129</v>
      </c>
      <c r="C27" s="11" t="n">
        <f aca="false">Diesel!$C$24+Diesel!$C$23/2*((1-COS(RADIANS(A27)))+1/Diesel!$C$26*(1-SQRT(1-Diesel!$C$26^2*SIN(RADIANS(A27))^2)))</f>
        <v>195.719134286101</v>
      </c>
      <c r="D27" s="11" t="n">
        <f aca="false">Diesel!$C$6</f>
        <v>79</v>
      </c>
      <c r="E27" s="11" t="n">
        <f aca="false">Diesel!$C$7</f>
        <v>300</v>
      </c>
    </row>
    <row r="28" customFormat="false" ht="15" hidden="false" customHeight="false" outlineLevel="0" collapsed="false">
      <c r="A28" s="17" t="n">
        <v>92</v>
      </c>
      <c r="B28" s="5" t="s">
        <v>129</v>
      </c>
      <c r="C28" s="11" t="n">
        <f aca="false">Diesel!$C$24+Diesel!$C$23/2*((1-COS(RADIANS(A28)))+1/Diesel!$C$26*(1-SQRT(1-Diesel!$C$26^2*SIN(RADIANS(A28))^2)))</f>
        <v>206.975599238105</v>
      </c>
      <c r="D28" s="11" t="n">
        <f aca="false">Diesel!$C$6</f>
        <v>79</v>
      </c>
      <c r="E28" s="11" t="n">
        <f aca="false">Diesel!$C$7</f>
        <v>300</v>
      </c>
    </row>
    <row r="29" customFormat="false" ht="15" hidden="false" customHeight="false" outlineLevel="0" collapsed="false">
      <c r="A29" s="17" t="n">
        <v>96</v>
      </c>
      <c r="B29" s="5" t="s">
        <v>129</v>
      </c>
      <c r="C29" s="11" t="n">
        <f aca="false">Diesel!$C$24+Diesel!$C$23/2*((1-COS(RADIANS(A29)))+1/Diesel!$C$26*(1-SQRT(1-Diesel!$C$26^2*SIN(RADIANS(A29))^2)))</f>
        <v>217.995961888237</v>
      </c>
      <c r="D29" s="11" t="n">
        <f aca="false">Diesel!$C$6</f>
        <v>79</v>
      </c>
      <c r="E29" s="11" t="n">
        <f aca="false">Diesel!$C$7</f>
        <v>300</v>
      </c>
    </row>
    <row r="30" customFormat="false" ht="15" hidden="false" customHeight="false" outlineLevel="0" collapsed="false">
      <c r="A30" s="17" t="n">
        <v>100</v>
      </c>
      <c r="B30" s="5" t="s">
        <v>129</v>
      </c>
      <c r="C30" s="11" t="n">
        <f aca="false">Diesel!$C$24+Diesel!$C$23/2*((1-COS(RADIANS(A30)))+1/Diesel!$C$26*(1-SQRT(1-Diesel!$C$26^2*SIN(RADIANS(A30))^2)))</f>
        <v>228.729789502557</v>
      </c>
      <c r="D30" s="11" t="n">
        <f aca="false">Diesel!$C$6</f>
        <v>79</v>
      </c>
      <c r="E30" s="11" t="n">
        <f aca="false">Diesel!$C$7</f>
        <v>300</v>
      </c>
    </row>
    <row r="31" customFormat="false" ht="15" hidden="false" customHeight="false" outlineLevel="0" collapsed="false">
      <c r="A31" s="17" t="n">
        <v>104</v>
      </c>
      <c r="B31" s="5" t="s">
        <v>129</v>
      </c>
      <c r="C31" s="11" t="n">
        <f aca="false">Diesel!$C$24+Diesel!$C$23/2*((1-COS(RADIANS(A31)))+1/Diesel!$C$26*(1-SQRT(1-Diesel!$C$26^2*SIN(RADIANS(A31))^2)))</f>
        <v>239.131222821835</v>
      </c>
      <c r="D31" s="11" t="n">
        <f aca="false">Diesel!$C$6</f>
        <v>79</v>
      </c>
      <c r="E31" s="11" t="n">
        <f aca="false">Diesel!$C$7</f>
        <v>300</v>
      </c>
    </row>
    <row r="32" customFormat="false" ht="15" hidden="false" customHeight="false" outlineLevel="0" collapsed="false">
      <c r="A32" s="17" t="n">
        <v>108</v>
      </c>
      <c r="B32" s="5" t="s">
        <v>129</v>
      </c>
      <c r="C32" s="11" t="n">
        <f aca="false">Diesel!$C$24+Diesel!$C$23/2*((1-COS(RADIANS(A32)))+1/Diesel!$C$26*(1-SQRT(1-Diesel!$C$26^2*SIN(RADIANS(A32))^2)))</f>
        <v>249.159042779627</v>
      </c>
      <c r="D32" s="11" t="n">
        <f aca="false">Diesel!$C$6</f>
        <v>79</v>
      </c>
      <c r="E32" s="11" t="n">
        <f aca="false">Diesel!$C$7</f>
        <v>300</v>
      </c>
    </row>
    <row r="33" customFormat="false" ht="15" hidden="false" customHeight="false" outlineLevel="0" collapsed="false">
      <c r="A33" s="17" t="n">
        <v>112</v>
      </c>
      <c r="B33" s="5" t="s">
        <v>129</v>
      </c>
      <c r="C33" s="11" t="n">
        <f aca="false">Diesel!$C$24+Diesel!$C$23/2*((1-COS(RADIANS(A33)))+1/Diesel!$C$26*(1-SQRT(1-Diesel!$C$26^2*SIN(RADIANS(A33))^2)))</f>
        <v>258.776643596364</v>
      </c>
      <c r="D33" s="11" t="n">
        <f aca="false">Diesel!$C$6</f>
        <v>79</v>
      </c>
      <c r="E33" s="11" t="n">
        <f aca="false">Diesel!$C$7</f>
        <v>300</v>
      </c>
    </row>
    <row r="34" customFormat="false" ht="15" hidden="false" customHeight="false" outlineLevel="0" collapsed="false">
      <c r="A34" s="17" t="n">
        <v>116</v>
      </c>
      <c r="B34" s="5" t="s">
        <v>129</v>
      </c>
      <c r="C34" s="11" t="n">
        <f aca="false">Diesel!$C$24+Diesel!$C$23/2*((1-COS(RADIANS(A34)))+1/Diesel!$C$26*(1-SQRT(1-Diesel!$C$26^2*SIN(RADIANS(A34))^2)))</f>
        <v>267.951920622201</v>
      </c>
      <c r="D34" s="11" t="n">
        <f aca="false">Diesel!$C$6</f>
        <v>79</v>
      </c>
      <c r="E34" s="11" t="n">
        <f aca="false">Diesel!$C$7</f>
        <v>300</v>
      </c>
    </row>
    <row r="35" customFormat="false" ht="15" hidden="false" customHeight="false" outlineLevel="0" collapsed="false">
      <c r="A35" s="17" t="n">
        <v>120</v>
      </c>
      <c r="B35" s="5" t="s">
        <v>129</v>
      </c>
      <c r="C35" s="11" t="n">
        <f aca="false">Diesel!$C$24+Diesel!$C$23/2*((1-COS(RADIANS(A35)))+1/Diesel!$C$26*(1-SQRT(1-Diesel!$C$26^2*SIN(RADIANS(A35))^2)))</f>
        <v>276.657083596857</v>
      </c>
      <c r="D35" s="11" t="n">
        <f aca="false">Diesel!$C$6</f>
        <v>79</v>
      </c>
      <c r="E35" s="11" t="n">
        <f aca="false">Diesel!$C$7</f>
        <v>300</v>
      </c>
    </row>
    <row r="36" customFormat="false" ht="15" hidden="false" customHeight="false" outlineLevel="0" collapsed="false">
      <c r="A36" s="17" t="n">
        <v>124</v>
      </c>
      <c r="B36" s="5" t="s">
        <v>129</v>
      </c>
      <c r="C36" s="11" t="n">
        <f aca="false">Diesel!$C$24+Diesel!$C$23/2*((1-COS(RADIANS(A36)))+1/Diesel!$C$26*(1-SQRT(1-Diesel!$C$26^2*SIN(RADIANS(A36))^2)))</f>
        <v>284.868407615506</v>
      </c>
      <c r="D36" s="11" t="n">
        <f aca="false">Diesel!$C$6</f>
        <v>79</v>
      </c>
      <c r="E36" s="11" t="n">
        <f aca="false">Diesel!$C$7</f>
        <v>300</v>
      </c>
    </row>
    <row r="37" customFormat="false" ht="15" hidden="false" customHeight="false" outlineLevel="0" collapsed="false">
      <c r="A37" s="17" t="n">
        <v>128</v>
      </c>
      <c r="B37" s="5" t="s">
        <v>129</v>
      </c>
      <c r="C37" s="11" t="n">
        <f aca="false">Diesel!$C$24+Diesel!$C$23/2*((1-COS(RADIANS(A37)))+1/Diesel!$C$26*(1-SQRT(1-Diesel!$C$26^2*SIN(RADIANS(A37))^2)))</f>
        <v>292.565935001403</v>
      </c>
      <c r="D37" s="11" t="n">
        <f aca="false">Diesel!$C$6</f>
        <v>79</v>
      </c>
      <c r="E37" s="11" t="n">
        <f aca="false">Diesel!$C$7</f>
        <v>300</v>
      </c>
    </row>
    <row r="38" customFormat="false" ht="15" hidden="false" customHeight="false" outlineLevel="0" collapsed="false">
      <c r="A38" s="17" t="n">
        <v>132</v>
      </c>
      <c r="B38" s="5" t="s">
        <v>129</v>
      </c>
      <c r="C38" s="11" t="n">
        <f aca="false">Diesel!$C$24+Diesel!$C$23/2*((1-COS(RADIANS(A38)))+1/Diesel!$C$26*(1-SQRT(1-Diesel!$C$26^2*SIN(RADIANS(A38))^2)))</f>
        <v>299.733141514343</v>
      </c>
      <c r="D38" s="11" t="n">
        <f aca="false">Diesel!$C$6</f>
        <v>79</v>
      </c>
      <c r="E38" s="11" t="n">
        <f aca="false">Diesel!$C$7</f>
        <v>300</v>
      </c>
    </row>
    <row r="39" customFormat="false" ht="15" hidden="false" customHeight="false" outlineLevel="0" collapsed="false">
      <c r="A39" s="17" t="n">
        <v>136</v>
      </c>
      <c r="B39" s="5" t="s">
        <v>129</v>
      </c>
      <c r="C39" s="11" t="n">
        <f aca="false">Diesel!$C$24+Diesel!$C$23/2*((1-COS(RADIANS(A39)))+1/Diesel!$C$26*(1-SQRT(1-Diesel!$C$26^2*SIN(RADIANS(A39))^2)))</f>
        <v>306.356579946364</v>
      </c>
      <c r="D39" s="11" t="n">
        <f aca="false">Diesel!$C$6</f>
        <v>79</v>
      </c>
      <c r="E39" s="11" t="n">
        <f aca="false">Diesel!$C$7</f>
        <v>300</v>
      </c>
    </row>
    <row r="40" customFormat="false" ht="15" hidden="false" customHeight="false" outlineLevel="0" collapsed="false">
      <c r="A40" s="17" t="n">
        <v>140</v>
      </c>
      <c r="B40" s="5" t="s">
        <v>129</v>
      </c>
      <c r="C40" s="11" t="n">
        <f aca="false">Diesel!$C$24+Diesel!$C$23/2*((1-COS(RADIANS(A40)))+1/Diesel!$C$26*(1-SQRT(1-Diesel!$C$26^2*SIN(RADIANS(A40))^2)))</f>
        <v>312.42551328532</v>
      </c>
      <c r="D40" s="11" t="n">
        <f aca="false">Diesel!$C$6</f>
        <v>79</v>
      </c>
      <c r="E40" s="11" t="n">
        <f aca="false">Diesel!$C$7</f>
        <v>300</v>
      </c>
    </row>
    <row r="41" customFormat="false" ht="15" hidden="false" customHeight="false" outlineLevel="0" collapsed="false">
      <c r="A41" s="17" t="n">
        <v>144</v>
      </c>
      <c r="B41" s="5" t="s">
        <v>129</v>
      </c>
      <c r="C41" s="11" t="n">
        <f aca="false">Diesel!$C$24+Diesel!$C$23/2*((1-COS(RADIANS(A41)))+1/Diesel!$C$26*(1-SQRT(1-Diesel!$C$26^2*SIN(RADIANS(A41))^2)))</f>
        <v>317.931548396528</v>
      </c>
      <c r="D41" s="11" t="n">
        <f aca="false">Diesel!$C$6</f>
        <v>79</v>
      </c>
      <c r="E41" s="11" t="n">
        <f aca="false">Diesel!$C$7</f>
        <v>300</v>
      </c>
    </row>
    <row r="42" customFormat="false" ht="15" hidden="false" customHeight="false" outlineLevel="0" collapsed="false">
      <c r="A42" s="17" t="n">
        <v>148</v>
      </c>
      <c r="B42" s="5" t="s">
        <v>129</v>
      </c>
      <c r="C42" s="11" t="n">
        <f aca="false">Diesel!$C$24+Diesel!$C$23/2*((1-COS(RADIANS(A42)))+1/Diesel!$C$26*(1-SQRT(1-Diesel!$C$26^2*SIN(RADIANS(A42))^2)))</f>
        <v>322.868279719929</v>
      </c>
      <c r="D42" s="11" t="n">
        <f aca="false">Diesel!$C$6</f>
        <v>79</v>
      </c>
      <c r="E42" s="11" t="n">
        <f aca="false">Diesel!$C$7</f>
        <v>300</v>
      </c>
    </row>
    <row r="43" customFormat="false" ht="15" hidden="false" customHeight="false" outlineLevel="0" collapsed="false">
      <c r="A43" s="17" t="n">
        <v>152</v>
      </c>
      <c r="B43" s="5" t="s">
        <v>129</v>
      </c>
      <c r="C43" s="11" t="n">
        <f aca="false">Diesel!$C$24+Diesel!$C$23/2*((1-COS(RADIANS(A43)))+1/Diesel!$C$26*(1-SQRT(1-Diesel!$C$26^2*SIN(RADIANS(A43))^2)))</f>
        <v>327.230950933932</v>
      </c>
      <c r="D43" s="11" t="n">
        <f aca="false">Diesel!$C$6</f>
        <v>79</v>
      </c>
      <c r="E43" s="11" t="n">
        <f aca="false">Diesel!$C$7</f>
        <v>300</v>
      </c>
    </row>
    <row r="44" customFormat="false" ht="15" hidden="false" customHeight="false" outlineLevel="0" collapsed="false">
      <c r="A44" s="17" t="n">
        <v>156</v>
      </c>
      <c r="B44" s="5" t="s">
        <v>129</v>
      </c>
      <c r="C44" s="11" t="n">
        <f aca="false">Diesel!$C$24+Diesel!$C$23/2*((1-COS(RADIANS(A44)))+1/Diesel!$C$26*(1-SQRT(1-Diesel!$C$26^2*SIN(RADIANS(A44))^2)))</f>
        <v>331.016141007432</v>
      </c>
      <c r="D44" s="11" t="n">
        <f aca="false">Diesel!$C$6</f>
        <v>79</v>
      </c>
      <c r="E44" s="11" t="n">
        <f aca="false">Diesel!$C$7</f>
        <v>300</v>
      </c>
    </row>
    <row r="45" customFormat="false" ht="15" hidden="false" customHeight="false" outlineLevel="0" collapsed="false">
      <c r="A45" s="17" t="n">
        <v>160</v>
      </c>
      <c r="B45" s="5" t="s">
        <v>129</v>
      </c>
      <c r="C45" s="11" t="n">
        <f aca="false">Diesel!$C$24+Diesel!$C$23/2*((1-COS(RADIANS(A45)))+1/Diesel!$C$26*(1-SQRT(1-Diesel!$C$26^2*SIN(RADIANS(A45))^2)))</f>
        <v>334.221479634738</v>
      </c>
      <c r="D45" s="11" t="n">
        <f aca="false">Diesel!$C$6</f>
        <v>79</v>
      </c>
      <c r="E45" s="11" t="n">
        <f aca="false">Diesel!$C$7</f>
        <v>300</v>
      </c>
    </row>
    <row r="46" customFormat="false" ht="15" hidden="false" customHeight="false" outlineLevel="0" collapsed="false">
      <c r="A46" s="17" t="n">
        <v>164</v>
      </c>
      <c r="B46" s="5" t="s">
        <v>129</v>
      </c>
      <c r="C46" s="11" t="n">
        <f aca="false">Diesel!$C$24+Diesel!$C$23/2*((1-COS(RADIANS(A46)))+1/Diesel!$C$26*(1-SQRT(1-Diesel!$C$26^2*SIN(RADIANS(A46))^2)))</f>
        <v>336.845395784623</v>
      </c>
      <c r="D46" s="11" t="n">
        <f aca="false">Diesel!$C$6</f>
        <v>79</v>
      </c>
      <c r="E46" s="11" t="n">
        <f aca="false">Diesel!$C$7</f>
        <v>300</v>
      </c>
    </row>
    <row r="47" customFormat="false" ht="15" hidden="false" customHeight="false" outlineLevel="0" collapsed="false">
      <c r="A47" s="17" t="n">
        <v>168</v>
      </c>
      <c r="B47" s="5" t="s">
        <v>129</v>
      </c>
      <c r="C47" s="11" t="n">
        <f aca="false">Diesel!$C$24+Diesel!$C$23/2*((1-COS(RADIANS(A47)))+1/Diesel!$C$26*(1-SQRT(1-Diesel!$C$26^2*SIN(RADIANS(A47))^2)))</f>
        <v>338.886902029297</v>
      </c>
      <c r="D47" s="11" t="n">
        <f aca="false">Diesel!$C$6</f>
        <v>79</v>
      </c>
      <c r="E47" s="11" t="n">
        <f aca="false">Diesel!$C$7</f>
        <v>300</v>
      </c>
    </row>
    <row r="48" customFormat="false" ht="15" hidden="false" customHeight="false" outlineLevel="0" collapsed="false">
      <c r="A48" s="17" t="n">
        <v>172</v>
      </c>
      <c r="B48" s="5" t="s">
        <v>129</v>
      </c>
      <c r="C48" s="11" t="n">
        <f aca="false">Diesel!$C$24+Diesel!$C$23/2*((1-COS(RADIANS(A48)))+1/Diesel!$C$26*(1-SQRT(1-Diesel!$C$26^2*SIN(RADIANS(A48))^2)))</f>
        <v>340.34541646463</v>
      </c>
      <c r="D48" s="11" t="n">
        <f aca="false">Diesel!$C$6</f>
        <v>79</v>
      </c>
      <c r="E48" s="11" t="n">
        <f aca="false">Diesel!$C$7</f>
        <v>300</v>
      </c>
    </row>
    <row r="49" customFormat="false" ht="15" hidden="false" customHeight="false" outlineLevel="0" collapsed="false">
      <c r="A49" s="17" t="n">
        <v>176</v>
      </c>
      <c r="B49" s="5" t="s">
        <v>129</v>
      </c>
      <c r="C49" s="11" t="n">
        <f aca="false">Diesel!$C$24+Diesel!$C$23/2*((1-COS(RADIANS(A49)))+1/Diesel!$C$26*(1-SQRT(1-Diesel!$C$26^2*SIN(RADIANS(A49))^2)))</f>
        <v>341.220623383143</v>
      </c>
      <c r="D49" s="11" t="n">
        <f aca="false">Diesel!$C$6</f>
        <v>79</v>
      </c>
      <c r="E49" s="11" t="n">
        <f aca="false">Diesel!$C$7</f>
        <v>300</v>
      </c>
    </row>
    <row r="50" customFormat="false" ht="15" hidden="false" customHeight="false" outlineLevel="0" collapsed="false">
      <c r="A50" s="17" t="n">
        <v>180</v>
      </c>
      <c r="B50" s="5" t="s">
        <v>129</v>
      </c>
      <c r="C50" s="11" t="n">
        <f aca="false">Diesel!$C$24+Diesel!$C$23/2*((1-COS(RADIANS(A50)))+1/Diesel!$C$26*(1-SQRT(1-Diesel!$C$26^2*SIN(RADIANS(A50))^2)))</f>
        <v>341.512373395514</v>
      </c>
      <c r="D50" s="11" t="n">
        <f aca="false">Diesel!$C$6</f>
        <v>79</v>
      </c>
      <c r="E50" s="11" t="n">
        <f aca="false">Diesel!$C$7</f>
        <v>300</v>
      </c>
    </row>
    <row r="51" customFormat="false" ht="15" hidden="false" customHeight="false" outlineLevel="0" collapsed="false">
      <c r="A51" s="17" t="n">
        <v>184</v>
      </c>
      <c r="B51" s="5" t="s">
        <v>130</v>
      </c>
      <c r="C51" s="11" t="n">
        <f aca="false">Diesel!$C$24+Diesel!$C$23/2*((1-COS(RADIANS(A51)))+1/Diesel!$C$26*(1-SQRT(1-Diesel!$C$26^2*SIN(RADIANS(A51))^2)))</f>
        <v>341.220623383143</v>
      </c>
      <c r="D51" s="11" t="n">
        <f aca="false">Diesel!$C$6*(Diesel!$C$25/C51)^Diesel!$C$10</f>
        <v>79.0945812359669</v>
      </c>
      <c r="E51" s="11" t="n">
        <f aca="false">D51*C51*0.000001/(Diesel!$C$28*Diesel!$C$13)</f>
        <v>300.102575937435</v>
      </c>
    </row>
    <row r="52" customFormat="false" ht="15" hidden="false" customHeight="false" outlineLevel="0" collapsed="false">
      <c r="A52" s="17" t="n">
        <v>188</v>
      </c>
      <c r="B52" s="5" t="s">
        <v>130</v>
      </c>
      <c r="C52" s="11" t="n">
        <f aca="false">Diesel!$C$24+Diesel!$C$23/2*((1-COS(RADIANS(A52)))+1/Diesel!$C$26*(1-SQRT(1-Diesel!$C$26^2*SIN(RADIANS(A52))^2)))</f>
        <v>340.34541646463</v>
      </c>
      <c r="D52" s="11" t="n">
        <f aca="false">Diesel!$C$6*(Diesel!$C$25/C52)^Diesel!$C$10</f>
        <v>79.3794788357288</v>
      </c>
      <c r="E52" s="11" t="n">
        <f aca="false">D52*C52*0.000001/(Diesel!$C$28*Diesel!$C$13)</f>
        <v>300.411026694437</v>
      </c>
    </row>
    <row r="53" customFormat="false" ht="15" hidden="false" customHeight="false" outlineLevel="0" collapsed="false">
      <c r="A53" s="17" t="n">
        <v>192</v>
      </c>
      <c r="B53" s="5" t="s">
        <v>130</v>
      </c>
      <c r="C53" s="11" t="n">
        <f aca="false">Diesel!$C$24+Diesel!$C$23/2*((1-COS(RADIANS(A53)))+1/Diesel!$C$26*(1-SQRT(1-Diesel!$C$26^2*SIN(RADIANS(A53))^2)))</f>
        <v>338.886902029297</v>
      </c>
      <c r="D53" s="11" t="n">
        <f aca="false">Diesel!$C$6*(Diesel!$C$25/C53)^Diesel!$C$10</f>
        <v>79.8581811994511</v>
      </c>
      <c r="E53" s="11" t="n">
        <f aca="false">D53*C53*0.000001/(Diesel!$C$28*Diesel!$C$13)</f>
        <v>300.927528675854</v>
      </c>
    </row>
    <row r="54" customFormat="false" ht="15" hidden="false" customHeight="false" outlineLevel="0" collapsed="false">
      <c r="A54" s="17" t="n">
        <v>196</v>
      </c>
      <c r="B54" s="5" t="s">
        <v>130</v>
      </c>
      <c r="C54" s="11" t="n">
        <f aca="false">Diesel!$C$24+Diesel!$C$23/2*((1-COS(RADIANS(A54)))+1/Diesel!$C$26*(1-SQRT(1-Diesel!$C$26^2*SIN(RADIANS(A54))^2)))</f>
        <v>336.845395784623</v>
      </c>
      <c r="D54" s="11" t="n">
        <f aca="false">Diesel!$C$6*(Diesel!$C$25/C54)^Diesel!$C$10</f>
        <v>80.5365924093702</v>
      </c>
      <c r="E54" s="11" t="n">
        <f aca="false">D54*C54*0.000001/(Diesel!$C$28*Diesel!$C$13)</f>
        <v>301.655734589855</v>
      </c>
    </row>
    <row r="55" customFormat="false" ht="15" hidden="false" customHeight="false" outlineLevel="0" collapsed="false">
      <c r="A55" s="17" t="n">
        <v>200</v>
      </c>
      <c r="B55" s="5" t="s">
        <v>130</v>
      </c>
      <c r="C55" s="11" t="n">
        <f aca="false">Diesel!$C$24+Diesel!$C$23/2*((1-COS(RADIANS(A55)))+1/Diesel!$C$26*(1-SQRT(1-Diesel!$C$26^2*SIN(RADIANS(A55))^2)))</f>
        <v>334.221479634738</v>
      </c>
      <c r="D55" s="11" t="n">
        <f aca="false">Diesel!$C$6*(Diesel!$C$25/C55)^Diesel!$C$10</f>
        <v>81.4231709086275</v>
      </c>
      <c r="E55" s="11" t="n">
        <f aca="false">D55*C55*0.000001/(Diesel!$C$28*Diesel!$C$13)</f>
        <v>302.600811962387</v>
      </c>
    </row>
    <row r="56" customFormat="false" ht="15" hidden="false" customHeight="false" outlineLevel="0" collapsed="false">
      <c r="A56" s="17" t="n">
        <v>204</v>
      </c>
      <c r="B56" s="5" t="s">
        <v>130</v>
      </c>
      <c r="C56" s="11" t="n">
        <f aca="false">Diesel!$C$24+Diesel!$C$23/2*((1-COS(RADIANS(A56)))+1/Diesel!$C$26*(1-SQRT(1-Diesel!$C$26^2*SIN(RADIANS(A56))^2)))</f>
        <v>331.016141007432</v>
      </c>
      <c r="D56" s="11" t="n">
        <f aca="false">Diesel!$C$6*(Diesel!$C$25/C56)^Diesel!$C$10</f>
        <v>82.5291309686254</v>
      </c>
      <c r="E56" s="11" t="n">
        <f aca="false">D56*C56*0.000001/(Diesel!$C$28*Diesel!$C$13)</f>
        <v>303.769498008711</v>
      </c>
    </row>
    <row r="57" customFormat="false" ht="15" hidden="false" customHeight="false" outlineLevel="0" collapsed="false">
      <c r="A57" s="17" t="n">
        <v>208</v>
      </c>
      <c r="B57" s="5" t="s">
        <v>130</v>
      </c>
      <c r="C57" s="11" t="n">
        <f aca="false">Diesel!$C$24+Diesel!$C$23/2*((1-COS(RADIANS(A57)))+1/Diesel!$C$26*(1-SQRT(1-Diesel!$C$26^2*SIN(RADIANS(A57))^2)))</f>
        <v>327.230950933932</v>
      </c>
      <c r="D57" s="11" t="n">
        <f aca="false">Diesel!$C$6*(Diesel!$C$25/C57)^Diesel!$C$10</f>
        <v>83.8687147566451</v>
      </c>
      <c r="E57" s="11" t="n">
        <f aca="false">D57*C57*0.000001/(Diesel!$C$28*Diesel!$C$13)</f>
        <v>305.170171867209</v>
      </c>
    </row>
    <row r="58" customFormat="false" ht="15" hidden="false" customHeight="false" outlineLevel="0" collapsed="false">
      <c r="A58" s="17" t="n">
        <v>212</v>
      </c>
      <c r="B58" s="5" t="s">
        <v>130</v>
      </c>
      <c r="C58" s="11" t="n">
        <f aca="false">Diesel!$C$24+Diesel!$C$23/2*((1-COS(RADIANS(A58)))+1/Diesel!$C$26*(1-SQRT(1-Diesel!$C$26^2*SIN(RADIANS(A58))^2)))</f>
        <v>322.868279719929</v>
      </c>
      <c r="D58" s="11" t="n">
        <f aca="false">Diesel!$C$6*(Diesel!$C$25/C58)^Diesel!$C$10</f>
        <v>85.4595457967548</v>
      </c>
      <c r="E58" s="11" t="n">
        <f aca="false">D58*C58*0.000001/(Diesel!$C$28*Diesel!$C$13)</f>
        <v>306.81294556767</v>
      </c>
    </row>
    <row r="59" customFormat="false" ht="15" hidden="false" customHeight="false" outlineLevel="0" collapsed="false">
      <c r="A59" s="17" t="n">
        <v>216</v>
      </c>
      <c r="B59" s="5" t="s">
        <v>130</v>
      </c>
      <c r="C59" s="11" t="n">
        <f aca="false">Diesel!$C$24+Diesel!$C$23/2*((1-COS(RADIANS(A59)))+1/Diesel!$C$26*(1-SQRT(1-Diesel!$C$26^2*SIN(RADIANS(A59))^2)))</f>
        <v>317.931548396528</v>
      </c>
      <c r="D59" s="11" t="n">
        <f aca="false">Diesel!$C$6*(Diesel!$C$25/C59)^Diesel!$C$10</f>
        <v>87.3230782393389</v>
      </c>
      <c r="E59" s="11" t="n">
        <f aca="false">D59*C59*0.000001/(Diesel!$C$28*Diesel!$C$13)</f>
        <v>308.709775537975</v>
      </c>
    </row>
    <row r="60" customFormat="false" ht="15" hidden="false" customHeight="false" outlineLevel="0" collapsed="false">
      <c r="A60" s="17" t="n">
        <v>220</v>
      </c>
      <c r="B60" s="5" t="s">
        <v>130</v>
      </c>
      <c r="C60" s="11" t="n">
        <f aca="false">Diesel!$C$24+Diesel!$C$23/2*((1-COS(RADIANS(A60)))+1/Diesel!$C$26*(1-SQRT(1-Diesel!$C$26^2*SIN(RADIANS(A60))^2)))</f>
        <v>312.42551328532</v>
      </c>
      <c r="D60" s="11" t="n">
        <f aca="false">Diesel!$C$6*(Diesel!$C$25/C60)^Diesel!$C$10</f>
        <v>89.4851608576365</v>
      </c>
      <c r="E60" s="11" t="n">
        <f aca="false">D60*C60*0.000001/(Diesel!$C$28*Diesel!$C$13)</f>
        <v>310.874596969321</v>
      </c>
    </row>
    <row r="61" customFormat="false" ht="15" hidden="false" customHeight="false" outlineLevel="0" collapsed="false">
      <c r="A61" s="17" t="n">
        <v>224</v>
      </c>
      <c r="B61" s="5" t="s">
        <v>130</v>
      </c>
      <c r="C61" s="11" t="n">
        <f aca="false">Diesel!$C$24+Diesel!$C$23/2*((1-COS(RADIANS(A61)))+1/Diesel!$C$26*(1-SQRT(1-Diesel!$C$26^2*SIN(RADIANS(A61))^2)))</f>
        <v>306.356579946364</v>
      </c>
      <c r="D61" s="11" t="n">
        <f aca="false">Diesel!$C$6*(Diesel!$C$25/C61)^Diesel!$C$10</f>
        <v>91.9767403863361</v>
      </c>
      <c r="E61" s="11" t="n">
        <f aca="false">D61*C61*0.000001/(Diesel!$C$28*Diesel!$C$13)</f>
        <v>313.32348398376</v>
      </c>
    </row>
    <row r="62" customFormat="false" ht="15" hidden="false" customHeight="false" outlineLevel="0" collapsed="false">
      <c r="A62" s="17" t="n">
        <v>228</v>
      </c>
      <c r="B62" s="5" t="s">
        <v>130</v>
      </c>
      <c r="C62" s="11" t="n">
        <f aca="false">Diesel!$C$24+Diesel!$C$23/2*((1-COS(RADIANS(A62)))+1/Diesel!$C$26*(1-SQRT(1-Diesel!$C$26^2*SIN(RADIANS(A62))^2)))</f>
        <v>299.733141514343</v>
      </c>
      <c r="D62" s="11" t="n">
        <f aca="false">Diesel!$C$6*(Diesel!$C$25/C62)^Diesel!$C$10</f>
        <v>94.8347361225344</v>
      </c>
      <c r="E62" s="11" t="n">
        <f aca="false">D62*C62*0.000001/(Diesel!$C$28*Diesel!$C$13)</f>
        <v>316.07483930561</v>
      </c>
    </row>
    <row r="63" customFormat="false" ht="15" hidden="false" customHeight="false" outlineLevel="0" collapsed="false">
      <c r="A63" s="17" t="n">
        <v>232</v>
      </c>
      <c r="B63" s="5" t="s">
        <v>130</v>
      </c>
      <c r="C63" s="11" t="n">
        <f aca="false">Diesel!$C$24+Diesel!$C$23/2*((1-COS(RADIANS(A63)))+1/Diesel!$C$26*(1-SQRT(1-Diesel!$C$26^2*SIN(RADIANS(A63))^2)))</f>
        <v>292.565935001403</v>
      </c>
      <c r="D63" s="11" t="n">
        <f aca="false">Diesel!$C$6*(Diesel!$C$25/C63)^Diesel!$C$10</f>
        <v>98.1031271806693</v>
      </c>
      <c r="E63" s="11" t="n">
        <f aca="false">D63*C63*0.000001/(Diesel!$C$28*Diesel!$C$13)</f>
        <v>319.149618061066</v>
      </c>
    </row>
    <row r="64" customFormat="false" ht="15" hidden="false" customHeight="false" outlineLevel="0" collapsed="false">
      <c r="A64" s="17" t="n">
        <v>236</v>
      </c>
      <c r="B64" s="5" t="s">
        <v>130</v>
      </c>
      <c r="C64" s="11" t="n">
        <f aca="false">Diesel!$C$24+Diesel!$C$23/2*((1-COS(RADIANS(A64)))+1/Diesel!$C$26*(1-SQRT(1-Diesel!$C$26^2*SIN(RADIANS(A64))^2)))</f>
        <v>284.868407615506</v>
      </c>
      <c r="D64" s="11" t="n">
        <f aca="false">Diesel!$C$6*(Diesel!$C$25/C64)^Diesel!$C$10</f>
        <v>101.834306186626</v>
      </c>
      <c r="E64" s="11" t="n">
        <f aca="false">D64*C64*0.000001/(Diesel!$C$28*Diesel!$C$13)</f>
        <v>322.571591453917</v>
      </c>
    </row>
    <row r="65" customFormat="false" ht="15" hidden="false" customHeight="false" outlineLevel="0" collapsed="false">
      <c r="A65" s="17" t="n">
        <v>240</v>
      </c>
      <c r="B65" s="5" t="s">
        <v>130</v>
      </c>
      <c r="C65" s="11" t="n">
        <f aca="false">Diesel!$C$24+Diesel!$C$23/2*((1-COS(RADIANS(A65)))+1/Diesel!$C$26*(1-SQRT(1-Diesel!$C$26^2*SIN(RADIANS(A65))^2)))</f>
        <v>276.657083596857</v>
      </c>
      <c r="D65" s="11" t="n">
        <f aca="false">Diesel!$C$6*(Diesel!$C$25/C65)^Diesel!$C$10</f>
        <v>106.090769546715</v>
      </c>
      <c r="E65" s="11" t="n">
        <f aca="false">D65*C65*0.000001/(Diesel!$C$28*Diesel!$C$13)</f>
        <v>326.367657430529</v>
      </c>
    </row>
    <row r="66" customFormat="false" ht="15" hidden="false" customHeight="false" outlineLevel="0" collapsed="false">
      <c r="A66" s="17" t="n">
        <v>244</v>
      </c>
      <c r="B66" s="5" t="s">
        <v>130</v>
      </c>
      <c r="C66" s="11" t="n">
        <f aca="false">Diesel!$C$24+Diesel!$C$23/2*((1-COS(RADIANS(A66)))+1/Diesel!$C$26*(1-SQRT(1-Diesel!$C$26^2*SIN(RADIANS(A66))^2)))</f>
        <v>267.951920622201</v>
      </c>
      <c r="D66" s="11" t="n">
        <f aca="false">Diesel!$C$6*(Diesel!$C$25/C66)^Diesel!$C$10</f>
        <v>110.947236160852</v>
      </c>
      <c r="E66" s="11" t="n">
        <f aca="false">D66*C66*0.000001/(Diesel!$C$28*Diesel!$C$13)</f>
        <v>330.568207100657</v>
      </c>
    </row>
    <row r="67" customFormat="false" ht="15" hidden="false" customHeight="false" outlineLevel="0" collapsed="false">
      <c r="A67" s="17" t="n">
        <v>248</v>
      </c>
      <c r="B67" s="5" t="s">
        <v>130</v>
      </c>
      <c r="C67" s="11" t="n">
        <f aca="false">Diesel!$C$24+Diesel!$C$23/2*((1-COS(RADIANS(A67)))+1/Diesel!$C$26*(1-SQRT(1-Diesel!$C$26^2*SIN(RADIANS(A67))^2)))</f>
        <v>258.776643596364</v>
      </c>
      <c r="D67" s="11" t="n">
        <f aca="false">Diesel!$C$6*(Diesel!$C$25/C67)^Diesel!$C$10</f>
        <v>116.493315545888</v>
      </c>
      <c r="E67" s="11" t="n">
        <f aca="false">D67*C67*0.000001/(Diesel!$C$28*Diesel!$C$13)</f>
        <v>335.207557674205</v>
      </c>
    </row>
    <row r="68" customFormat="false" ht="15" hidden="false" customHeight="false" outlineLevel="0" collapsed="false">
      <c r="A68" s="17" t="n">
        <v>252</v>
      </c>
      <c r="B68" s="5" t="s">
        <v>130</v>
      </c>
      <c r="C68" s="11" t="n">
        <f aca="false">Diesel!$C$24+Diesel!$C$23/2*((1-COS(RADIANS(A68)))+1/Diesel!$C$26*(1-SQRT(1-Diesel!$C$26^2*SIN(RADIANS(A68))^2)))</f>
        <v>249.159042779627</v>
      </c>
      <c r="D68" s="11" t="n">
        <f aca="false">Diesel!$C$6*(Diesel!$C$25/C68)^Diesel!$C$10</f>
        <v>122.836885560665</v>
      </c>
      <c r="E68" s="11" t="n">
        <f aca="false">D68*C68*0.000001/(Diesel!$C$28*Diesel!$C$13)</f>
        <v>340.324465064039</v>
      </c>
    </row>
    <row r="69" customFormat="false" ht="15" hidden="false" customHeight="false" outlineLevel="0" collapsed="false">
      <c r="A69" s="17" t="n">
        <v>256</v>
      </c>
      <c r="B69" s="5" t="s">
        <v>130</v>
      </c>
      <c r="C69" s="11" t="n">
        <f aca="false">Diesel!$C$24+Diesel!$C$23/2*((1-COS(RADIANS(A69)))+1/Diesel!$C$26*(1-SQRT(1-Diesel!$C$26^2*SIN(RADIANS(A69))^2)))</f>
        <v>239.131222821835</v>
      </c>
      <c r="D69" s="11" t="n">
        <f aca="false">Diesel!$C$6*(Diesel!$C$25/C69)^Diesel!$C$10</f>
        <v>130.108393167396</v>
      </c>
      <c r="E69" s="11" t="n">
        <f aca="false">D69*C69*0.000001/(Diesel!$C$28*Diesel!$C$13)</f>
        <v>345.962732149206</v>
      </c>
    </row>
    <row r="70" customFormat="false" ht="15" hidden="false" customHeight="false" outlineLevel="0" collapsed="false">
      <c r="A70" s="17" t="n">
        <v>260</v>
      </c>
      <c r="B70" s="5" t="s">
        <v>130</v>
      </c>
      <c r="C70" s="11" t="n">
        <f aca="false">Diesel!$C$24+Diesel!$C$23/2*((1-COS(RADIANS(A70)))+1/Diesel!$C$26*(1-SQRT(1-Diesel!$C$26^2*SIN(RADIANS(A70))^2)))</f>
        <v>228.729789502557</v>
      </c>
      <c r="D70" s="11" t="n">
        <f aca="false">Diesel!$C$6*(Diesel!$C$25/C70)^Diesel!$C$10</f>
        <v>138.466364419842</v>
      </c>
      <c r="E70" s="11" t="n">
        <f aca="false">D70*C70*0.000001/(Diesel!$C$28*Diesel!$C$13)</f>
        <v>352.171932043468</v>
      </c>
    </row>
    <row r="71" customFormat="false" ht="15" hidden="false" customHeight="false" outlineLevel="0" collapsed="false">
      <c r="A71" s="17" t="n">
        <v>264</v>
      </c>
      <c r="B71" s="5" t="s">
        <v>130</v>
      </c>
      <c r="C71" s="11" t="n">
        <f aca="false">Diesel!$C$24+Diesel!$C$23/2*((1-COS(RADIANS(A71)))+1/Diesel!$C$26*(1-SQRT(1-Diesel!$C$26^2*SIN(RADIANS(A71))^2)))</f>
        <v>217.995961888237</v>
      </c>
      <c r="D71" s="11" t="n">
        <f aca="false">Diesel!$C$6*(Diesel!$C$25/C71)^Diesel!$C$10</f>
        <v>148.104509941674</v>
      </c>
      <c r="E71" s="11" t="n">
        <f aca="false">D71*C71*0.000001/(Diesel!$C$28*Diesel!$C$13)</f>
        <v>359.008269602189</v>
      </c>
    </row>
    <row r="72" customFormat="false" ht="15" hidden="false" customHeight="false" outlineLevel="0" collapsed="false">
      <c r="A72" s="17" t="n">
        <v>268</v>
      </c>
      <c r="B72" s="5" t="s">
        <v>130</v>
      </c>
      <c r="C72" s="11" t="n">
        <f aca="false">Diesel!$C$24+Diesel!$C$23/2*((1-COS(RADIANS(A72)))+1/Diesel!$C$26*(1-SQRT(1-Diesel!$C$26^2*SIN(RADIANS(A72))^2)))</f>
        <v>206.975599238105</v>
      </c>
      <c r="D72" s="11" t="n">
        <f aca="false">Diesel!$C$6*(Diesel!$C$25/C72)^Diesel!$C$10</f>
        <v>159.260950671028</v>
      </c>
      <c r="E72" s="11" t="n">
        <f aca="false">D72*C72*0.000001/(Diesel!$C$28*Diesel!$C$13)</f>
        <v>366.535608806838</v>
      </c>
    </row>
    <row r="73" customFormat="false" ht="15" hidden="false" customHeight="false" outlineLevel="0" collapsed="false">
      <c r="A73" s="17" t="n">
        <v>272</v>
      </c>
      <c r="B73" s="5" t="s">
        <v>130</v>
      </c>
      <c r="C73" s="11" t="n">
        <f aca="false">Diesel!$C$24+Diesel!$C$23/2*((1-COS(RADIANS(A73)))+1/Diesel!$C$26*(1-SQRT(1-Diesel!$C$26^2*SIN(RADIANS(A73))^2)))</f>
        <v>195.719134286101</v>
      </c>
      <c r="D73" s="11" t="n">
        <f aca="false">Diesel!$C$6*(Diesel!$C$25/C73)^Diesel!$C$10</f>
        <v>172.230281483282</v>
      </c>
      <c r="E73" s="11" t="n">
        <f aca="false">D73*C73*0.000001/(Diesel!$C$28*Diesel!$C$13)</f>
        <v>374.826698463135</v>
      </c>
    </row>
    <row r="74" customFormat="false" ht="15" hidden="false" customHeight="false" outlineLevel="0" collapsed="false">
      <c r="A74" s="17" t="n">
        <v>276</v>
      </c>
      <c r="B74" s="5" t="s">
        <v>130</v>
      </c>
      <c r="C74" s="11" t="n">
        <f aca="false">Diesel!$C$24+Diesel!$C$23/2*((1-COS(RADIANS(A74)))+1/Diesel!$C$26*(1-SQRT(1-Diesel!$C$26^2*SIN(RADIANS(A74))^2)))</f>
        <v>184.281407397977</v>
      </c>
      <c r="D74" s="11" t="n">
        <f aca="false">Diesel!$C$6*(Diesel!$C$25/C74)^Diesel!$C$10</f>
        <v>187.379460136671</v>
      </c>
      <c r="E74" s="11" t="n">
        <f aca="false">D74*C74*0.000001/(Diesel!$C$28*Diesel!$C$13)</f>
        <v>383.964633492672</v>
      </c>
    </row>
    <row r="75" customFormat="false" ht="15" hidden="false" customHeight="false" outlineLevel="0" collapsed="false">
      <c r="A75" s="17" t="n">
        <v>280</v>
      </c>
      <c r="B75" s="5" t="s">
        <v>130</v>
      </c>
      <c r="C75" s="11" t="n">
        <f aca="false">Diesel!$C$24+Diesel!$C$23/2*((1-COS(RADIANS(A75)))+1/Diesel!$C$26*(1-SQRT(1-Diesel!$C$26^2*SIN(RADIANS(A75))^2)))</f>
        <v>172.721399394542</v>
      </c>
      <c r="D75" s="11" t="n">
        <f aca="false">Diesel!$C$6*(Diesel!$C$25/C75)^Diesel!$C$10</f>
        <v>205.168888041121</v>
      </c>
      <c r="E75" s="11" t="n">
        <f aca="false">D75*C75*0.000001/(Diesel!$C$28*Diesel!$C$13)</f>
        <v>394.044593231901</v>
      </c>
    </row>
    <row r="76" customFormat="false" ht="15" hidden="false" customHeight="false" outlineLevel="0" collapsed="false">
      <c r="A76" s="17" t="n">
        <v>284</v>
      </c>
      <c r="B76" s="5" t="s">
        <v>130</v>
      </c>
      <c r="C76" s="11" t="n">
        <f aca="false">Diesel!$C$24+Diesel!$C$23/2*((1-COS(RADIANS(A76)))+1/Diesel!$C$26*(1-SQRT(1-Diesel!$C$26^2*SIN(RADIANS(A76))^2)))</f>
        <v>161.101864342728</v>
      </c>
      <c r="D76" s="11" t="n">
        <f aca="false">Diesel!$C$6*(Diesel!$C$25/C76)^Diesel!$C$10</f>
        <v>226.180582964251</v>
      </c>
      <c r="E76" s="11" t="n">
        <f aca="false">D76*C76*0.000001/(Diesel!$C$28*Diesel!$C$13)</f>
        <v>405.175900045158</v>
      </c>
    </row>
    <row r="77" customFormat="false" ht="15" hidden="false" customHeight="false" outlineLevel="0" collapsed="false">
      <c r="A77" s="17" t="n">
        <v>288</v>
      </c>
      <c r="B77" s="5" t="s">
        <v>130</v>
      </c>
      <c r="C77" s="11" t="n">
        <f aca="false">Diesel!$C$24+Diesel!$C$23/2*((1-COS(RADIANS(A77)))+1/Diesel!$C$26*(1-SQRT(1-Diesel!$C$26^2*SIN(RADIANS(A77))^2)))</f>
        <v>149.488867120453</v>
      </c>
      <c r="D77" s="11" t="n">
        <f aca="false">Diesel!$C$6*(Diesel!$C$25/C77)^Diesel!$C$10</f>
        <v>251.156094420393</v>
      </c>
      <c r="E77" s="11" t="n">
        <f aca="false">D77*C77*0.000001/(Diesel!$C$28*Diesel!$C$13)</f>
        <v>417.484438248408</v>
      </c>
    </row>
    <row r="78" customFormat="false" ht="15" hidden="false" customHeight="false" outlineLevel="0" collapsed="false">
      <c r="A78" s="17" t="n">
        <v>292</v>
      </c>
      <c r="B78" s="5" t="s">
        <v>130</v>
      </c>
      <c r="C78" s="11" t="n">
        <f aca="false">Diesel!$C$24+Diesel!$C$23/2*((1-COS(RADIANS(A78)))+1/Diesel!$C$26*(1-SQRT(1-Diesel!$C$26^2*SIN(RADIANS(A78))^2)))</f>
        <v>137.951233834125</v>
      </c>
      <c r="D78" s="11" t="n">
        <f aca="false">Diesel!$C$6*(Diesel!$C$25/C78)^Diesel!$C$10</f>
        <v>281.047862801251</v>
      </c>
      <c r="E78" s="11" t="n">
        <f aca="false">D78*C78*0.000001/(Diesel!$C$28*Diesel!$C$13)</f>
        <v>431.115459249322</v>
      </c>
    </row>
    <row r="79" customFormat="false" ht="15" hidden="false" customHeight="false" outlineLevel="0" collapsed="false">
      <c r="A79" s="17" t="n">
        <v>296</v>
      </c>
      <c r="B79" s="5" t="s">
        <v>130</v>
      </c>
      <c r="C79" s="11" t="n">
        <f aca="false">Diesel!$C$24+Diesel!$C$23/2*((1-COS(RADIANS(A79)))+1/Diesel!$C$26*(1-SQRT(1-Diesel!$C$26^2*SIN(RADIANS(A79))^2)))</f>
        <v>126.559926007931</v>
      </c>
      <c r="D79" s="11" t="n">
        <f aca="false">Diesel!$C$6*(Diesel!$C$25/C79)^Diesel!$C$10</f>
        <v>317.089174065843</v>
      </c>
      <c r="E79" s="11" t="n">
        <f aca="false">D79*C79*0.000001/(Diesel!$C$28*Diesel!$C$13)</f>
        <v>446.236763595201</v>
      </c>
    </row>
    <row r="80" customFormat="false" ht="15" hidden="false" customHeight="false" outlineLevel="0" collapsed="false">
      <c r="A80" s="17" t="n">
        <v>300</v>
      </c>
      <c r="B80" s="5" t="s">
        <v>130</v>
      </c>
      <c r="C80" s="11" t="n">
        <f aca="false">Diesel!$C$24+Diesel!$C$23/2*((1-COS(RADIANS(A80)))+1/Diesel!$C$26*(1-SQRT(1-Diesel!$C$26^2*SIN(RADIANS(A80))^2)))</f>
        <v>115.387351715642</v>
      </c>
      <c r="D80" s="11" t="n">
        <f aca="false">Diesel!$C$6*(Diesel!$C$25/C80)^Diesel!$C$10</f>
        <v>360.889813415808</v>
      </c>
      <c r="E80" s="11" t="n">
        <f aca="false">D80*C80*0.000001/(Diesel!$C$28*Diesel!$C$13)</f>
        <v>463.042175304284</v>
      </c>
    </row>
    <row r="81" customFormat="false" ht="15" hidden="false" customHeight="false" outlineLevel="0" collapsed="false">
      <c r="A81" s="17" t="n">
        <v>304</v>
      </c>
      <c r="B81" s="5" t="s">
        <v>130</v>
      </c>
      <c r="C81" s="11" t="n">
        <f aca="false">Diesel!$C$24+Diesel!$C$23/2*((1-COS(RADIANS(A81)))+1/Diesel!$C$26*(1-SQRT(1-Diesel!$C$26^2*SIN(RADIANS(A81))^2)))</f>
        <v>104.506628390295</v>
      </c>
      <c r="D81" s="11" t="n">
        <f aca="false">Diesel!$C$6*(Diesel!$C$25/C81)^Diesel!$C$10</f>
        <v>414.567011215953</v>
      </c>
      <c r="E81" s="11" t="n">
        <f aca="false">D81*C81*0.000001/(Diesel!$C$28*Diesel!$C$13)</f>
        <v>481.755073872408</v>
      </c>
    </row>
    <row r="82" customFormat="false" ht="15" hidden="false" customHeight="false" outlineLevel="0" collapsed="false">
      <c r="A82" s="17" t="n">
        <v>308</v>
      </c>
      <c r="B82" s="5" t="s">
        <v>130</v>
      </c>
      <c r="C82" s="11" t="n">
        <f aca="false">Diesel!$C$24+Diesel!$C$23/2*((1-COS(RADIANS(A82)))+1/Diesel!$C$26*(1-SQRT(1-Diesel!$C$26^2*SIN(RADIANS(A82))^2)))</f>
        <v>93.9908128906787</v>
      </c>
      <c r="D82" s="11" t="n">
        <f aca="false">Diesel!$C$6*(Diesel!$C$25/C82)^Diesel!$C$10</f>
        <v>480.924103390464</v>
      </c>
      <c r="E82" s="11" t="n">
        <f aca="false">D82*C82*0.000001/(Diesel!$C$28*Diesel!$C$13)</f>
        <v>502.63146222157</v>
      </c>
    </row>
    <row r="83" customFormat="false" ht="15" hidden="false" customHeight="false" outlineLevel="0" collapsed="false">
      <c r="A83" s="17" t="n">
        <v>312</v>
      </c>
      <c r="B83" s="5" t="s">
        <v>130</v>
      </c>
      <c r="C83" s="11" t="n">
        <f aca="false">Diesel!$C$24+Diesel!$C$23/2*((1-COS(RADIANS(A83)))+1/Diesel!$C$26*(1-SQRT(1-Diesel!$C$26^2*SIN(RADIANS(A83))^2)))</f>
        <v>83.9121145523276</v>
      </c>
      <c r="D83" s="11" t="n">
        <f aca="false">Diesel!$C$6*(Diesel!$C$25/C83)^Diesel!$C$10</f>
        <v>563.691622596978</v>
      </c>
      <c r="E83" s="11" t="n">
        <f aca="false">D83*C83*0.000001/(Diesel!$C$28*Diesel!$C$13)</f>
        <v>525.961512901287</v>
      </c>
    </row>
    <row r="84" customFormat="false" ht="15" hidden="false" customHeight="false" outlineLevel="0" collapsed="false">
      <c r="A84" s="17" t="n">
        <v>316</v>
      </c>
      <c r="B84" s="5" t="s">
        <v>130</v>
      </c>
      <c r="C84" s="11" t="n">
        <f aca="false">Diesel!$C$24+Diesel!$C$23/2*((1-COS(RADIANS(A84)))+1/Diesel!$C$26*(1-SQRT(1-Diesel!$C$26^2*SIN(RADIANS(A84))^2)))</f>
        <v>74.3411064821621</v>
      </c>
      <c r="D84" s="11" t="n">
        <f aca="false">Diesel!$C$6*(Diesel!$C$25/C84)^Diesel!$C$10</f>
        <v>667.844698534053</v>
      </c>
      <c r="E84" s="11" t="n">
        <f aca="false">D84*C84*0.000001/(Diesel!$C$28*Diesel!$C$13)</f>
        <v>552.067554130682</v>
      </c>
    </row>
    <row r="85" customFormat="false" ht="15" hidden="false" customHeight="false" outlineLevel="0" collapsed="false">
      <c r="A85" s="17" t="n">
        <v>320</v>
      </c>
      <c r="B85" s="5" t="s">
        <v>130</v>
      </c>
      <c r="C85" s="11" t="n">
        <f aca="false">Diesel!$C$24+Diesel!$C$23/2*((1-COS(RADIANS(A85)))+1/Diesel!$C$26*(1-SQRT(1-Diesel!$C$26^2*SIN(RADIANS(A85))^2)))</f>
        <v>65.345949383536</v>
      </c>
      <c r="D85" s="11" t="n">
        <f aca="false">Diesel!$C$6*(Diesel!$C$25/C85)^Diesel!$C$10</f>
        <v>799.999970688416</v>
      </c>
      <c r="E85" s="11" t="n">
        <f aca="false">D85*C85*0.000001/(Diesel!$C$28*Diesel!$C$13)</f>
        <v>581.294699960386</v>
      </c>
    </row>
    <row r="86" customFormat="false" ht="15" hidden="false" customHeight="false" outlineLevel="0" collapsed="false">
      <c r="A86" s="17" t="n">
        <v>324</v>
      </c>
      <c r="B86" s="5" t="s">
        <v>130</v>
      </c>
      <c r="C86" s="11" t="n">
        <f aca="false">Diesel!$C$24+Diesel!$C$23/2*((1-COS(RADIANS(A86)))+1/Diesel!$C$26*(1-SQRT(1-Diesel!$C$26^2*SIN(RADIANS(A86))^2)))</f>
        <v>56.9916408561397</v>
      </c>
      <c r="D86" s="11" t="n">
        <f aca="false">Diesel!$C$6*(Diesel!$C$25/C86)^Diesel!$C$10</f>
        <v>968.858796128852</v>
      </c>
      <c r="E86" s="11" t="n">
        <f aca="false">D86*C86*0.000001/(Diesel!$C$28*Diesel!$C$13)</f>
        <v>613.987271097574</v>
      </c>
    </row>
    <row r="87" customFormat="false" ht="15" hidden="false" customHeight="false" outlineLevel="0" collapsed="false">
      <c r="A87" s="17" t="n">
        <v>328</v>
      </c>
      <c r="B87" s="5" t="s">
        <v>130</v>
      </c>
      <c r="C87" s="11" t="n">
        <f aca="false">Diesel!$C$24+Diesel!$C$23/2*((1-COS(RADIANS(A87)))+1/Diesel!$C$26*(1-SQRT(1-Diesel!$C$26^2*SIN(RADIANS(A87))^2)))</f>
        <v>49.3393015408853</v>
      </c>
      <c r="D87" s="11" t="n">
        <f aca="false">Diesel!$C$6*(Diesel!$C$25/C87)^Diesel!$C$10</f>
        <v>1185.56649087152</v>
      </c>
      <c r="E87" s="11" t="n">
        <f aca="false">D87*C87*0.000001/(Diesel!$C$28*Diesel!$C$13)</f>
        <v>650.439089419169</v>
      </c>
    </row>
    <row r="88" customFormat="false" ht="15" hidden="false" customHeight="false" outlineLevel="0" collapsed="false">
      <c r="A88" s="17" t="n">
        <v>332</v>
      </c>
      <c r="B88" s="5" t="s">
        <v>130</v>
      </c>
      <c r="C88" s="11" t="n">
        <f aca="false">Diesel!$C$24+Diesel!$C$23/2*((1-COS(RADIANS(A88)))+1/Diesel!$C$26*(1-SQRT(1-Diesel!$C$26^2*SIN(RADIANS(A88))^2)))</f>
        <v>42.4455078028857</v>
      </c>
      <c r="D88" s="11" t="n">
        <f aca="false">Diesel!$C$6*(Diesel!$C$25/C88)^Diesel!$C$10</f>
        <v>1463.631287769</v>
      </c>
      <c r="E88" s="11" t="n">
        <f aca="false">D88*C88*0.000001/(Diesel!$C$28*Diesel!$C$13)</f>
        <v>690.798106630344</v>
      </c>
    </row>
    <row r="89" customFormat="false" ht="15" hidden="false" customHeight="false" outlineLevel="0" collapsed="false">
      <c r="A89" s="17" t="n">
        <v>336</v>
      </c>
      <c r="B89" s="5" t="s">
        <v>130</v>
      </c>
      <c r="C89" s="11" t="n">
        <f aca="false">Diesel!$C$24+Diesel!$C$23/2*((1-COS(RADIANS(A89)))+1/Diesel!$C$26*(1-SQRT(1-Diesel!$C$26^2*SIN(RADIANS(A89))^2)))</f>
        <v>36.3616789767833</v>
      </c>
      <c r="D89" s="11" t="n">
        <f aca="false">Diesel!$C$6*(Diesel!$C$25/C89)^Diesel!$C$10</f>
        <v>1817.58450777398</v>
      </c>
      <c r="E89" s="11" t="n">
        <f aca="false">D89*C89*0.000001/(Diesel!$C$28*Diesel!$C$13)</f>
        <v>734.896638259394</v>
      </c>
    </row>
    <row r="90" customFormat="false" ht="15" hidden="false" customHeight="false" outlineLevel="0" collapsed="false">
      <c r="A90" s="17" t="n">
        <v>340</v>
      </c>
      <c r="B90" s="5" t="s">
        <v>130</v>
      </c>
      <c r="C90" s="11" t="n">
        <f aca="false">Diesel!$C$24+Diesel!$C$23/2*((1-COS(RADIANS(A90)))+1/Diesel!$C$26*(1-SQRT(1-Diesel!$C$26^2*SIN(RADIANS(A90))^2)))</f>
        <v>31.1335256249384</v>
      </c>
      <c r="D90" s="11" t="n">
        <f aca="false">Diesel!$C$6*(Diesel!$C$25/C90)^Diesel!$C$10</f>
        <v>2258.79327723127</v>
      </c>
      <c r="E90" s="11" t="n">
        <f aca="false">D90*C90*0.000001/(Diesel!$C$28*Diesel!$C$13)</f>
        <v>781.974354944692</v>
      </c>
    </row>
    <row r="91" customFormat="false" ht="15" hidden="false" customHeight="false" outlineLevel="0" collapsed="false">
      <c r="A91" s="17" t="n">
        <v>344</v>
      </c>
      <c r="B91" s="5" t="s">
        <v>130</v>
      </c>
      <c r="C91" s="11" t="n">
        <f aca="false">Diesel!$C$24+Diesel!$C$23/2*((1-COS(RADIANS(A91)))+1/Diesel!$C$26*(1-SQRT(1-Diesel!$C$26^2*SIN(RADIANS(A91))^2)))</f>
        <v>26.8005638413134</v>
      </c>
      <c r="D91" s="11" t="n">
        <f aca="false">Diesel!$C$6*(Diesel!$C$25/C91)^Diesel!$C$10</f>
        <v>2786.08658103037</v>
      </c>
      <c r="E91" s="11" t="n">
        <f aca="false">D91*C91*0.000001/(Diesel!$C$28*Diesel!$C$13)</f>
        <v>830.283217536588</v>
      </c>
    </row>
    <row r="92" customFormat="false" ht="15" hidden="false" customHeight="false" outlineLevel="0" collapsed="false">
      <c r="A92" s="17" t="n">
        <v>348</v>
      </c>
      <c r="B92" s="5" t="s">
        <v>130</v>
      </c>
      <c r="C92" s="11" t="n">
        <f aca="false">Diesel!$C$24+Diesel!$C$23/2*((1-COS(RADIANS(A92)))+1/Diesel!$C$26*(1-SQRT(1-Diesel!$C$26^2*SIN(RADIANS(A92))^2)))</f>
        <v>23.3956994081075</v>
      </c>
      <c r="D92" s="11" t="n">
        <f aca="false">Diesel!$C$6*(Diesel!$C$25/C92)^Diesel!$C$10</f>
        <v>3369.8119491744</v>
      </c>
      <c r="E92" s="11" t="n">
        <f aca="false">D92*C92*0.000001/(Diesel!$C$28*Diesel!$C$13)</f>
        <v>876.65642260707</v>
      </c>
    </row>
    <row r="93" customFormat="false" ht="15" hidden="false" customHeight="false" outlineLevel="0" collapsed="false">
      <c r="A93" s="17" t="n">
        <v>352</v>
      </c>
      <c r="B93" s="5" t="s">
        <v>130</v>
      </c>
      <c r="C93" s="11" t="n">
        <f aca="false">Diesel!$C$24+Diesel!$C$23/2*((1-COS(RADIANS(A93)))+1/Diesel!$C$26*(1-SQRT(1-Diesel!$C$26^2*SIN(RADIANS(A93))^2)))</f>
        <v>20.9448845916667</v>
      </c>
      <c r="D93" s="11" t="n">
        <f aca="false">Diesel!$C$6*(Diesel!$C$25/C93)^Diesel!$C$10</f>
        <v>3934.47646243598</v>
      </c>
      <c r="E93" s="11" t="n">
        <f aca="false">D93*C93*0.000001/(Diesel!$C$28*Diesel!$C$13)</f>
        <v>916.331557270254</v>
      </c>
    </row>
    <row r="94" customFormat="false" ht="15" hidden="false" customHeight="false" outlineLevel="0" collapsed="false">
      <c r="A94" s="17" t="n">
        <v>356</v>
      </c>
      <c r="B94" s="5" t="s">
        <v>130</v>
      </c>
      <c r="C94" s="11" t="n">
        <f aca="false">Diesel!$C$24+Diesel!$C$23/2*((1-COS(RADIANS(A94)))+1/Diesel!$C$26*(1-SQRT(1-Diesel!$C$26^2*SIN(RADIANS(A94))^2)))</f>
        <v>19.4668495436611</v>
      </c>
      <c r="D94" s="11" t="n">
        <f aca="false">Diesel!$C$6*(Diesel!$C$25/C94)^Diesel!$C$10</f>
        <v>4358.95284340863</v>
      </c>
      <c r="E94" s="11" t="n">
        <f aca="false">D94*C94*0.000001/(Diesel!$C$28*Diesel!$C$13)</f>
        <v>943.551399496904</v>
      </c>
    </row>
    <row r="95" customFormat="false" ht="15" hidden="false" customHeight="false" outlineLevel="0" collapsed="false">
      <c r="A95" s="17" t="n">
        <v>360</v>
      </c>
      <c r="B95" s="5" t="s">
        <v>130</v>
      </c>
      <c r="C95" s="11" t="n">
        <f aca="false">Diesel!$C$24+Diesel!$C$23/2*((1-COS(RADIANS(A95)))+1/Diesel!$C$26*(1-SQRT(1-Diesel!$C$26^2*SIN(RADIANS(A95))^2)))</f>
        <v>18.9729096330841</v>
      </c>
      <c r="D95" s="11" t="n">
        <f aca="false">Diesel!$C$6*(Diesel!$C$25/C95)^Diesel!$C$10</f>
        <v>4518.64890591423</v>
      </c>
      <c r="E95" s="11" t="n">
        <f aca="false">D95*C95*0.000001/(Diesel!$C$28*Diesel!$C$13)</f>
        <v>953.301456943931</v>
      </c>
    </row>
    <row r="96" customFormat="false" ht="15" hidden="false" customHeight="false" outlineLevel="0" collapsed="false">
      <c r="A96" s="17" t="n">
        <v>364</v>
      </c>
      <c r="B96" s="5" t="s">
        <v>131</v>
      </c>
      <c r="C96" s="11" t="n">
        <f aca="false">Diesel!$C$24+Diesel!$C$23/2*((1-COS(RADIANS(A96)))+1/Diesel!$C$26*(1-SQRT(1-Diesel!$C$26^2*SIN(RADIANS(A96))^2)))</f>
        <v>19.4668495436611</v>
      </c>
      <c r="D96" s="11" t="n">
        <f aca="false">IF(C96&lt;=Diesel!$F$34,Diesel!$B$33,Diesel!$B$34*(Diesel!$F$34/C96)^Diesel!$C$10)</f>
        <v>4518.64890591423</v>
      </c>
      <c r="E96" s="11" t="n">
        <f aca="false">D96*C96*0.000001/(Diesel!$C$28*Diesel!$C$13)</f>
        <v>978.119665932535</v>
      </c>
    </row>
    <row r="97" customFormat="false" ht="15" hidden="false" customHeight="false" outlineLevel="0" collapsed="false">
      <c r="A97" s="17" t="n">
        <v>368</v>
      </c>
      <c r="B97" s="5" t="s">
        <v>131</v>
      </c>
      <c r="C97" s="11" t="n">
        <f aca="false">Diesel!$C$24+Diesel!$C$23/2*((1-COS(RADIANS(A97)))+1/Diesel!$C$26*(1-SQRT(1-Diesel!$C$26^2*SIN(RADIANS(A97))^2)))</f>
        <v>20.9448845916666</v>
      </c>
      <c r="D97" s="11" t="n">
        <f aca="false">IF(C97&lt;=Diesel!$F$34,Diesel!$B$33,Diesel!$B$34*(Diesel!$F$34/C97)^Diesel!$C$10)</f>
        <v>4518.64890591423</v>
      </c>
      <c r="E97" s="11" t="n">
        <f aca="false">D97*C97*0.000001/(Diesel!$C$28*Diesel!$C$13)</f>
        <v>1052.38412994605</v>
      </c>
    </row>
    <row r="98" customFormat="false" ht="15" hidden="false" customHeight="false" outlineLevel="0" collapsed="false">
      <c r="A98" s="17" t="n">
        <v>372</v>
      </c>
      <c r="B98" s="5" t="s">
        <v>131</v>
      </c>
      <c r="C98" s="11" t="n">
        <f aca="false">Diesel!$C$24+Diesel!$C$23/2*((1-COS(RADIANS(A98)))+1/Diesel!$C$26*(1-SQRT(1-Diesel!$C$26^2*SIN(RADIANS(A98))^2)))</f>
        <v>23.3956994081075</v>
      </c>
      <c r="D98" s="11" t="n">
        <f aca="false">IF(C98&lt;=Diesel!$F$34,Diesel!$B$33,Diesel!$B$34*(Diesel!$F$34/C98)^Diesel!$C$10)</f>
        <v>4518.64890591423</v>
      </c>
      <c r="E98" s="11" t="n">
        <f aca="false">D98*C98*0.000001/(Diesel!$C$28*Diesel!$C$13)</f>
        <v>1175.52630372939</v>
      </c>
    </row>
    <row r="99" customFormat="false" ht="15" hidden="false" customHeight="false" outlineLevel="0" collapsed="false">
      <c r="A99" s="17" t="n">
        <v>376</v>
      </c>
      <c r="B99" s="5" t="s">
        <v>131</v>
      </c>
      <c r="C99" s="11" t="n">
        <f aca="false">Diesel!$C$24+Diesel!$C$23/2*((1-COS(RADIANS(A99)))+1/Diesel!$C$26*(1-SQRT(1-Diesel!$C$26^2*SIN(RADIANS(A99))^2)))</f>
        <v>26.8005638413134</v>
      </c>
      <c r="D99" s="11" t="n">
        <f aca="false">IF(C99&lt;=Diesel!$F$34,Diesel!$B$33,Diesel!$B$34*(Diesel!$F$34/C99)^Diesel!$C$10)</f>
        <v>4518.64890591423</v>
      </c>
      <c r="E99" s="11" t="n">
        <f aca="false">D99*C99*0.000001/(Diesel!$C$28*Diesel!$C$13)</f>
        <v>1346.60508329685</v>
      </c>
    </row>
    <row r="100" customFormat="false" ht="15" hidden="false" customHeight="false" outlineLevel="0" collapsed="false">
      <c r="A100" s="17" t="n">
        <v>380</v>
      </c>
      <c r="B100" s="5" t="s">
        <v>131</v>
      </c>
      <c r="C100" s="11" t="n">
        <f aca="false">Diesel!$C$24+Diesel!$C$23/2*((1-COS(RADIANS(A100)))+1/Diesel!$C$26*(1-SQRT(1-Diesel!$C$26^2*SIN(RADIANS(A100))^2)))</f>
        <v>31.1335256249384</v>
      </c>
      <c r="D100" s="11" t="n">
        <f aca="false">IF(C100&lt;=Diesel!$F$34,Diesel!$B$33,Diesel!$B$34*(Diesel!$F$34/C100)^Diesel!$C$10)</f>
        <v>4518.64890591423</v>
      </c>
      <c r="E100" s="11" t="n">
        <f aca="false">D100*C100*0.000001/(Diesel!$C$28*Diesel!$C$13)</f>
        <v>1564.31648661315</v>
      </c>
    </row>
    <row r="101" customFormat="false" ht="15" hidden="false" customHeight="false" outlineLevel="0" collapsed="false">
      <c r="A101" s="17" t="n">
        <v>384</v>
      </c>
      <c r="B101" s="5" t="s">
        <v>131</v>
      </c>
      <c r="C101" s="11" t="n">
        <f aca="false">Diesel!$C$24+Diesel!$C$23/2*((1-COS(RADIANS(A101)))+1/Diesel!$C$26*(1-SQRT(1-Diesel!$C$26^2*SIN(RADIANS(A101))^2)))</f>
        <v>36.3616789767833</v>
      </c>
      <c r="D101" s="11" t="n">
        <f aca="false">IF(C101&lt;=Diesel!$F$34,Diesel!$B$33,Diesel!$B$34*(Diesel!$F$34/C101)^Diesel!$C$10)</f>
        <v>4518.64890591423</v>
      </c>
      <c r="E101" s="11" t="n">
        <f aca="false">D101*C101*0.000001/(Diesel!$C$28*Diesel!$C$13)</f>
        <v>1827.00714944903</v>
      </c>
    </row>
    <row r="102" customFormat="false" ht="15" hidden="false" customHeight="false" outlineLevel="0" collapsed="false">
      <c r="A102" s="17" t="n">
        <v>388</v>
      </c>
      <c r="B102" s="5" t="s">
        <v>131</v>
      </c>
      <c r="C102" s="11" t="n">
        <f aca="false">Diesel!$C$24+Diesel!$C$23/2*((1-COS(RADIANS(A102)))+1/Diesel!$C$26*(1-SQRT(1-Diesel!$C$26^2*SIN(RADIANS(A102))^2)))</f>
        <v>42.4455078028856</v>
      </c>
      <c r="D102" s="11" t="n">
        <f aca="false">IF(C102&lt;=Diesel!$F$34,Diesel!$B$33,Diesel!$B$34*(Diesel!$F$34/C102)^Diesel!$C$10)</f>
        <v>3862.54612533185</v>
      </c>
      <c r="E102" s="11" t="n">
        <f aca="false">D102*C102*0.000001/(Diesel!$C$28*Diesel!$C$13)</f>
        <v>1823.02713289135</v>
      </c>
    </row>
    <row r="103" customFormat="false" ht="15" hidden="false" customHeight="false" outlineLevel="0" collapsed="false">
      <c r="A103" s="17" t="n">
        <v>392</v>
      </c>
      <c r="B103" s="5" t="s">
        <v>131</v>
      </c>
      <c r="C103" s="11" t="n">
        <f aca="false">Diesel!$C$24+Diesel!$C$23/2*((1-COS(RADIANS(A103)))+1/Diesel!$C$26*(1-SQRT(1-Diesel!$C$26^2*SIN(RADIANS(A103))^2)))</f>
        <v>49.3393015408852</v>
      </c>
      <c r="D103" s="11" t="n">
        <f aca="false">IF(C103&lt;=Diesel!$F$34,Diesel!$B$33,Diesel!$B$34*(Diesel!$F$34/C103)^Diesel!$C$10)</f>
        <v>3128.72872690448</v>
      </c>
      <c r="E103" s="11" t="n">
        <f aca="false">D103*C103*0.000001/(Diesel!$C$28*Diesel!$C$13)</f>
        <v>1716.51904792902</v>
      </c>
    </row>
    <row r="104" customFormat="false" ht="15" hidden="false" customHeight="false" outlineLevel="0" collapsed="false">
      <c r="A104" s="17" t="n">
        <v>396</v>
      </c>
      <c r="B104" s="5" t="s">
        <v>131</v>
      </c>
      <c r="C104" s="11" t="n">
        <f aca="false">Diesel!$C$24+Diesel!$C$23/2*((1-COS(RADIANS(A104)))+1/Diesel!$C$26*(1-SQRT(1-Diesel!$C$26^2*SIN(RADIANS(A104))^2)))</f>
        <v>56.9916408561398</v>
      </c>
      <c r="D104" s="11" t="n">
        <f aca="false">IF(C104&lt;=Diesel!$F$34,Diesel!$B$33,Diesel!$B$34*(Diesel!$F$34/C104)^Diesel!$C$10)</f>
        <v>2556.83369182784</v>
      </c>
      <c r="E104" s="11" t="n">
        <f aca="false">D104*C104*0.000001/(Diesel!$C$28*Diesel!$C$13)</f>
        <v>1620.32212265422</v>
      </c>
    </row>
    <row r="105" customFormat="false" ht="15" hidden="false" customHeight="false" outlineLevel="0" collapsed="false">
      <c r="A105" s="17" t="n">
        <v>400</v>
      </c>
      <c r="B105" s="5" t="s">
        <v>131</v>
      </c>
      <c r="C105" s="11" t="n">
        <f aca="false">Diesel!$C$24+Diesel!$C$23/2*((1-COS(RADIANS(A105)))+1/Diesel!$C$26*(1-SQRT(1-Diesel!$C$26^2*SIN(RADIANS(A105))^2)))</f>
        <v>65.345949383536</v>
      </c>
      <c r="D105" s="11" t="n">
        <f aca="false">IF(C105&lt;=Diesel!$F$34,Diesel!$B$33,Diesel!$B$34*(Diesel!$F$34/C105)^Diesel!$C$10)</f>
        <v>2111.2125798829</v>
      </c>
      <c r="E105" s="11" t="n">
        <f aca="false">D105*C105*0.000001/(Diesel!$C$28*Diesel!$C$13)</f>
        <v>1534.04591017617</v>
      </c>
    </row>
    <row r="106" customFormat="false" ht="15" hidden="false" customHeight="false" outlineLevel="0" collapsed="false">
      <c r="A106" s="17" t="n">
        <v>404</v>
      </c>
      <c r="B106" s="5" t="s">
        <v>131</v>
      </c>
      <c r="C106" s="11" t="n">
        <f aca="false">Diesel!$C$24+Diesel!$C$23/2*((1-COS(RADIANS(A106)))+1/Diesel!$C$26*(1-SQRT(1-Diesel!$C$26^2*SIN(RADIANS(A106))^2)))</f>
        <v>74.341106482162</v>
      </c>
      <c r="D106" s="11" t="n">
        <f aca="false">IF(C106&lt;=Diesel!$F$34,Diesel!$B$33,Diesel!$B$34*(Diesel!$F$34/C106)^Diesel!$C$10)</f>
        <v>1762.45272576684</v>
      </c>
      <c r="E106" s="11" t="n">
        <f aca="false">D106*C106*0.000001/(Diesel!$C$28*Diesel!$C$13)</f>
        <v>1456.91500991296</v>
      </c>
    </row>
    <row r="107" customFormat="false" ht="15" hidden="false" customHeight="false" outlineLevel="0" collapsed="false">
      <c r="A107" s="17" t="n">
        <v>408</v>
      </c>
      <c r="B107" s="5" t="s">
        <v>131</v>
      </c>
      <c r="C107" s="11" t="n">
        <f aca="false">Diesel!$C$24+Diesel!$C$23/2*((1-COS(RADIANS(A107)))+1/Diesel!$C$26*(1-SQRT(1-Diesel!$C$26^2*SIN(RADIANS(A107))^2)))</f>
        <v>83.9121145523275</v>
      </c>
      <c r="D107" s="11" t="n">
        <f aca="false">IF(C107&lt;=Diesel!$F$34,Diesel!$B$33,Diesel!$B$34*(Diesel!$F$34/C107)^Diesel!$C$10)</f>
        <v>1487.59111050624</v>
      </c>
      <c r="E107" s="11" t="n">
        <f aca="false">D107*C107*0.000001/(Diesel!$C$28*Diesel!$C$13)</f>
        <v>1388.02075407066</v>
      </c>
    </row>
    <row r="108" customFormat="false" ht="15" hidden="false" customHeight="false" outlineLevel="0" collapsed="false">
      <c r="A108" s="17" t="n">
        <v>412</v>
      </c>
      <c r="B108" s="5" t="s">
        <v>131</v>
      </c>
      <c r="C108" s="11" t="n">
        <f aca="false">Diesel!$C$24+Diesel!$C$23/2*((1-COS(RADIANS(A108)))+1/Diesel!$C$26*(1-SQRT(1-Diesel!$C$26^2*SIN(RADIANS(A108))^2)))</f>
        <v>93.9908128906786</v>
      </c>
      <c r="D108" s="11" t="n">
        <f aca="false">IF(C108&lt;=Diesel!$F$34,Diesel!$B$33,Diesel!$B$34*(Diesel!$F$34/C108)^Diesel!$C$10)</f>
        <v>1269.16631781016</v>
      </c>
      <c r="E108" s="11" t="n">
        <f aca="false">D108*C108*0.000001/(Diesel!$C$28*Diesel!$C$13)</f>
        <v>1326.45238120942</v>
      </c>
    </row>
    <row r="109" customFormat="false" ht="15" hidden="false" customHeight="false" outlineLevel="0" collapsed="false">
      <c r="A109" s="17" t="n">
        <v>416</v>
      </c>
      <c r="B109" s="5" t="s">
        <v>131</v>
      </c>
      <c r="C109" s="11" t="n">
        <f aca="false">Diesel!$C$24+Diesel!$C$23/2*((1-COS(RADIANS(A109)))+1/Diesel!$C$26*(1-SQRT(1-Diesel!$C$26^2*SIN(RADIANS(A109))^2)))</f>
        <v>104.506628390295</v>
      </c>
      <c r="D109" s="11" t="n">
        <f aca="false">IF(C109&lt;=Diesel!$F$34,Diesel!$B$33,Diesel!$B$34*(Diesel!$F$34/C109)^Diesel!$C$10)</f>
        <v>1094.04890168985</v>
      </c>
      <c r="E109" s="11" t="n">
        <f aca="false">D109*C109*0.000001/(Diesel!$C$28*Diesel!$C$13)</f>
        <v>1271.35926205924</v>
      </c>
    </row>
    <row r="110" customFormat="false" ht="15" hidden="false" customHeight="false" outlineLevel="0" collapsed="false">
      <c r="A110" s="17" t="n">
        <v>420</v>
      </c>
      <c r="B110" s="5" t="s">
        <v>131</v>
      </c>
      <c r="C110" s="11" t="n">
        <f aca="false">Diesel!$C$24+Diesel!$C$23/2*((1-COS(RADIANS(A110)))+1/Diesel!$C$26*(1-SQRT(1-Diesel!$C$26^2*SIN(RADIANS(A110))^2)))</f>
        <v>115.387351715642</v>
      </c>
      <c r="D110" s="11" t="n">
        <f aca="false">IF(C110&lt;=Diesel!$F$34,Diesel!$B$33,Diesel!$B$34*(Diesel!$F$34/C110)^Diesel!$C$10)</f>
        <v>952.393927439023</v>
      </c>
      <c r="E110" s="11" t="n">
        <f aca="false">D110*C110*0.000001/(Diesel!$C$28*Diesel!$C$13)</f>
        <v>1221.97562667098</v>
      </c>
    </row>
    <row r="111" customFormat="false" ht="15" hidden="false" customHeight="false" outlineLevel="0" collapsed="false">
      <c r="A111" s="17" t="n">
        <v>424</v>
      </c>
      <c r="B111" s="5" t="s">
        <v>131</v>
      </c>
      <c r="C111" s="11" t="n">
        <f aca="false">Diesel!$C$24+Diesel!$C$23/2*((1-COS(RADIANS(A111)))+1/Diesel!$C$26*(1-SQRT(1-Diesel!$C$26^2*SIN(RADIANS(A111))^2)))</f>
        <v>126.559926007931</v>
      </c>
      <c r="D111" s="11" t="n">
        <f aca="false">IF(C111&lt;=Diesel!$F$34,Diesel!$B$33,Diesel!$B$34*(Diesel!$F$34/C111)^Diesel!$C$10)</f>
        <v>836.803347200646</v>
      </c>
      <c r="E111" s="11" t="n">
        <f aca="false">D111*C111*0.000001/(Diesel!$C$28*Diesel!$C$13)</f>
        <v>1177.62587928312</v>
      </c>
    </row>
    <row r="112" customFormat="false" ht="15" hidden="false" customHeight="false" outlineLevel="0" collapsed="false">
      <c r="A112" s="17" t="n">
        <v>428</v>
      </c>
      <c r="B112" s="5" t="s">
        <v>131</v>
      </c>
      <c r="C112" s="11" t="n">
        <f aca="false">Diesel!$C$24+Diesel!$C$23/2*((1-COS(RADIANS(A112)))+1/Diesel!$C$26*(1-SQRT(1-Diesel!$C$26^2*SIN(RADIANS(A112))^2)))</f>
        <v>137.951233834125</v>
      </c>
      <c r="D112" s="11" t="n">
        <f aca="false">IF(C112&lt;=Diesel!$F$34,Diesel!$B$33,Diesel!$B$34*(Diesel!$F$34/C112)^Diesel!$C$10)</f>
        <v>741.689756544132</v>
      </c>
      <c r="E112" s="11" t="n">
        <f aca="false">D112*C112*0.000001/(Diesel!$C$28*Diesel!$C$13)</f>
        <v>1137.72051787194</v>
      </c>
    </row>
    <row r="113" customFormat="false" ht="15" hidden="false" customHeight="false" outlineLevel="0" collapsed="false">
      <c r="A113" s="17" t="n">
        <v>432</v>
      </c>
      <c r="B113" s="5" t="s">
        <v>131</v>
      </c>
      <c r="C113" s="11" t="n">
        <f aca="false">Diesel!$C$24+Diesel!$C$23/2*((1-COS(RADIANS(A113)))+1/Diesel!$C$26*(1-SQRT(1-Diesel!$C$26^2*SIN(RADIANS(A113))^2)))</f>
        <v>149.488867120453</v>
      </c>
      <c r="D113" s="11" t="n">
        <f aca="false">IF(C113&lt;=Diesel!$F$34,Diesel!$B$33,Diesel!$B$34*(Diesel!$F$34/C113)^Diesel!$C$10)</f>
        <v>662.804906853064</v>
      </c>
      <c r="E113" s="11" t="n">
        <f aca="false">D113*C113*0.000001/(Diesel!$C$28*Diesel!$C$13)</f>
        <v>1101.7480377867</v>
      </c>
    </row>
    <row r="114" customFormat="false" ht="15" hidden="false" customHeight="false" outlineLevel="0" collapsed="false">
      <c r="A114" s="17" t="n">
        <v>436</v>
      </c>
      <c r="B114" s="5" t="s">
        <v>131</v>
      </c>
      <c r="C114" s="11" t="n">
        <f aca="false">Diesel!$C$24+Diesel!$C$23/2*((1-COS(RADIANS(A114)))+1/Diesel!$C$26*(1-SQRT(1-Diesel!$C$26^2*SIN(RADIANS(A114))^2)))</f>
        <v>161.101864342727</v>
      </c>
      <c r="D114" s="11" t="n">
        <f aca="false">IF(C114&lt;=Diesel!$F$34,Diesel!$B$33,Diesel!$B$34*(Diesel!$F$34/C114)^Diesel!$C$10)</f>
        <v>596.89413696911</v>
      </c>
      <c r="E114" s="11" t="n">
        <f aca="false">D114*C114*0.000001/(Diesel!$C$28*Diesel!$C$13)</f>
        <v>1069.26561072823</v>
      </c>
    </row>
    <row r="115" customFormat="false" ht="15" hidden="false" customHeight="false" outlineLevel="0" collapsed="false">
      <c r="A115" s="17" t="n">
        <v>440</v>
      </c>
      <c r="B115" s="5" t="s">
        <v>131</v>
      </c>
      <c r="C115" s="11" t="n">
        <f aca="false">Diesel!$C$24+Diesel!$C$23/2*((1-COS(RADIANS(A115)))+1/Diesel!$C$26*(1-SQRT(1-Diesel!$C$26^2*SIN(RADIANS(A115))^2)))</f>
        <v>172.721399394542</v>
      </c>
      <c r="D115" s="11" t="n">
        <f aca="false">IF(C115&lt;=Diesel!$F$34,Diesel!$B$33,Diesel!$B$34*(Diesel!$F$34/C115)^Diesel!$C$10)</f>
        <v>541.443941629476</v>
      </c>
      <c r="E115" s="11" t="n">
        <f aca="false">D115*C115*0.000001/(Diesel!$C$28*Diesel!$C$13)</f>
        <v>1039.88991593356</v>
      </c>
    </row>
    <row r="116" customFormat="false" ht="15" hidden="false" customHeight="false" outlineLevel="0" collapsed="false">
      <c r="A116" s="17" t="n">
        <v>444</v>
      </c>
      <c r="B116" s="5" t="s">
        <v>131</v>
      </c>
      <c r="C116" s="11" t="n">
        <f aca="false">Diesel!$C$24+Diesel!$C$23/2*((1-COS(RADIANS(A116)))+1/Diesel!$C$26*(1-SQRT(1-Diesel!$C$26^2*SIN(RADIANS(A116))^2)))</f>
        <v>184.281407397977</v>
      </c>
      <c r="D116" s="11" t="n">
        <f aca="false">IF(C116&lt;=Diesel!$F$34,Diesel!$B$33,Diesel!$B$34*(Diesel!$F$34/C116)^Diesel!$C$10)</f>
        <v>494.497359933382</v>
      </c>
      <c r="E116" s="11" t="n">
        <f aca="false">D116*C116*0.000001/(Diesel!$C$28*Diesel!$C$13)</f>
        <v>1013.28874270119</v>
      </c>
    </row>
    <row r="117" customFormat="false" ht="15" hidden="false" customHeight="false" outlineLevel="0" collapsed="false">
      <c r="A117" s="17" t="n">
        <v>448</v>
      </c>
      <c r="B117" s="5" t="s">
        <v>131</v>
      </c>
      <c r="C117" s="11" t="n">
        <f aca="false">Diesel!$C$24+Diesel!$C$23/2*((1-COS(RADIANS(A117)))+1/Diesel!$C$26*(1-SQRT(1-Diesel!$C$26^2*SIN(RADIANS(A117))^2)))</f>
        <v>195.719134286101</v>
      </c>
      <c r="D117" s="11" t="n">
        <f aca="false">IF(C117&lt;=Diesel!$F$34,Diesel!$B$33,Diesel!$B$34*(Diesel!$F$34/C117)^Diesel!$C$10)</f>
        <v>454.518437783666</v>
      </c>
      <c r="E117" s="11" t="n">
        <f aca="false">D117*C117*0.000001/(Diesel!$C$28*Diesel!$C$13)</f>
        <v>989.173587581986</v>
      </c>
    </row>
    <row r="118" customFormat="false" ht="15" hidden="false" customHeight="false" outlineLevel="0" collapsed="false">
      <c r="A118" s="17" t="n">
        <v>452</v>
      </c>
      <c r="B118" s="5" t="s">
        <v>131</v>
      </c>
      <c r="C118" s="11" t="n">
        <f aca="false">Diesel!$C$24+Diesel!$C$23/2*((1-COS(RADIANS(A118)))+1/Diesel!$C$26*(1-SQRT(1-Diesel!$C$26^2*SIN(RADIANS(A118))^2)))</f>
        <v>206.975599238105</v>
      </c>
      <c r="D118" s="11" t="n">
        <f aca="false">IF(C118&lt;=Diesel!$F$34,Diesel!$B$33,Diesel!$B$34*(Diesel!$F$34/C118)^Diesel!$C$10)</f>
        <v>420.292168575266</v>
      </c>
      <c r="E118" s="11" t="n">
        <f aca="false">D118*C118*0.000001/(Diesel!$C$28*Diesel!$C$13)</f>
        <v>967.293270801164</v>
      </c>
    </row>
    <row r="119" customFormat="false" ht="15" hidden="false" customHeight="false" outlineLevel="0" collapsed="false">
      <c r="A119" s="17" t="n">
        <v>456</v>
      </c>
      <c r="B119" s="5" t="s">
        <v>131</v>
      </c>
      <c r="C119" s="11" t="n">
        <f aca="false">Diesel!$C$24+Diesel!$C$23/2*((1-COS(RADIANS(A119)))+1/Diesel!$C$26*(1-SQRT(1-Diesel!$C$26^2*SIN(RADIANS(A119))^2)))</f>
        <v>217.995961888237</v>
      </c>
      <c r="D119" s="11" t="n">
        <f aca="false">IF(C119&lt;=Diesel!$F$34,Diesel!$B$33,Diesel!$B$34*(Diesel!$F$34/C119)^Diesel!$C$10)</f>
        <v>390.850144978364</v>
      </c>
      <c r="E119" s="11" t="n">
        <f aca="false">D119*C119*0.000001/(Diesel!$C$28*Diesel!$C$13)</f>
        <v>947.428503545954</v>
      </c>
    </row>
    <row r="120" customFormat="false" ht="15" hidden="false" customHeight="false" outlineLevel="0" collapsed="false">
      <c r="A120" s="17" t="n">
        <v>460</v>
      </c>
      <c r="B120" s="5" t="s">
        <v>131</v>
      </c>
      <c r="C120" s="11" t="n">
        <f aca="false">Diesel!$C$24+Diesel!$C$23/2*((1-COS(RADIANS(A120)))+1/Diesel!$C$26*(1-SQRT(1-Diesel!$C$26^2*SIN(RADIANS(A120))^2)))</f>
        <v>228.729789502557</v>
      </c>
      <c r="D120" s="11" t="n">
        <f aca="false">IF(C120&lt;=Diesel!$F$34,Diesel!$B$33,Diesel!$B$34*(Diesel!$F$34/C120)^Diesel!$C$10)</f>
        <v>365.414926455888</v>
      </c>
      <c r="E120" s="11" t="n">
        <f aca="false">D120*C120*0.000001/(Diesel!$C$28*Diesel!$C$13)</f>
        <v>929.387300567062</v>
      </c>
    </row>
    <row r="121" customFormat="false" ht="15" hidden="false" customHeight="false" outlineLevel="0" collapsed="false">
      <c r="A121" s="17" t="n">
        <v>464</v>
      </c>
      <c r="B121" s="5" t="s">
        <v>131</v>
      </c>
      <c r="C121" s="11" t="n">
        <f aca="false">Diesel!$C$24+Diesel!$C$23/2*((1-COS(RADIANS(A121)))+1/Diesel!$C$26*(1-SQRT(1-Diesel!$C$26^2*SIN(RADIANS(A121))^2)))</f>
        <v>239.131222821835</v>
      </c>
      <c r="D121" s="11" t="n">
        <f aca="false">IF(C121&lt;=Diesel!$F$34,Diesel!$B$33,Diesel!$B$34*(Diesel!$F$34/C121)^Diesel!$C$10)</f>
        <v>343.358108084659</v>
      </c>
      <c r="E121" s="11" t="n">
        <f aca="false">D121*C121*0.000001/(Diesel!$C$28*Diesel!$C$13)</f>
        <v>913.001123806961</v>
      </c>
    </row>
    <row r="122" customFormat="false" ht="15" hidden="false" customHeight="false" outlineLevel="0" collapsed="false">
      <c r="A122" s="17" t="n">
        <v>468</v>
      </c>
      <c r="B122" s="5" t="s">
        <v>131</v>
      </c>
      <c r="C122" s="11" t="n">
        <f aca="false">Diesel!$C$24+Diesel!$C$23/2*((1-COS(RADIANS(A122)))+1/Diesel!$C$26*(1-SQRT(1-Diesel!$C$26^2*SIN(RADIANS(A122))^2)))</f>
        <v>249.159042779627</v>
      </c>
      <c r="D122" s="11" t="n">
        <f aca="false">IF(C122&lt;=Diesel!$F$34,Diesel!$B$33,Diesel!$B$34*(Diesel!$F$34/C122)^Diesel!$C$10)</f>
        <v>324.168484464004</v>
      </c>
      <c r="E122" s="11" t="n">
        <f aca="false">D122*C122*0.000001/(Diesel!$C$28*Diesel!$C$13)</f>
        <v>898.121647763107</v>
      </c>
    </row>
    <row r="123" customFormat="false" ht="15" hidden="false" customHeight="false" outlineLevel="0" collapsed="false">
      <c r="A123" s="17" t="n">
        <v>472</v>
      </c>
      <c r="B123" s="5" t="s">
        <v>131</v>
      </c>
      <c r="C123" s="11" t="n">
        <f aca="false">Diesel!$C$24+Diesel!$C$23/2*((1-COS(RADIANS(A123)))+1/Diesel!$C$26*(1-SQRT(1-Diesel!$C$26^2*SIN(RADIANS(A123))^2)))</f>
        <v>258.776643596363</v>
      </c>
      <c r="D123" s="11" t="n">
        <f aca="false">IF(C123&lt;=Diesel!$F$34,Diesel!$B$33,Diesel!$B$34*(Diesel!$F$34/C123)^Diesel!$C$10)</f>
        <v>307.427702829925</v>
      </c>
      <c r="E123" s="11" t="n">
        <f aca="false">D123*C123*0.000001/(Diesel!$C$28*Diesel!$C$13)</f>
        <v>884.618048203951</v>
      </c>
    </row>
    <row r="124" customFormat="false" ht="15" hidden="false" customHeight="false" outlineLevel="0" collapsed="false">
      <c r="A124" s="17" t="n">
        <v>476</v>
      </c>
      <c r="B124" s="5" t="s">
        <v>131</v>
      </c>
      <c r="C124" s="11" t="n">
        <f aca="false">Diesel!$C$24+Diesel!$C$23/2*((1-COS(RADIANS(A124)))+1/Diesel!$C$26*(1-SQRT(1-Diesel!$C$26^2*SIN(RADIANS(A124))^2)))</f>
        <v>267.951920622201</v>
      </c>
      <c r="D124" s="11" t="n">
        <f aca="false">IF(C124&lt;=Diesel!$F$34,Diesel!$B$33,Diesel!$B$34*(Diesel!$F$34/C124)^Diesel!$C$10)</f>
        <v>292.791511585265</v>
      </c>
      <c r="E124" s="11" t="n">
        <f aca="false">D124*C124*0.000001/(Diesel!$C$28*Diesel!$C$13)</f>
        <v>872.374728638658</v>
      </c>
    </row>
    <row r="125" customFormat="false" ht="15" hidden="false" customHeight="false" outlineLevel="0" collapsed="false">
      <c r="A125" s="17" t="n">
        <v>480</v>
      </c>
      <c r="B125" s="5" t="s">
        <v>131</v>
      </c>
      <c r="C125" s="11" t="n">
        <f aca="false">Diesel!$C$24+Diesel!$C$23/2*((1-COS(RADIANS(A125)))+1/Diesel!$C$26*(1-SQRT(1-Diesel!$C$26^2*SIN(RADIANS(A125))^2)))</f>
        <v>276.657083596857</v>
      </c>
      <c r="D125" s="11" t="n">
        <f aca="false">IF(C125&lt;=Diesel!$F$34,Diesel!$B$33,Diesel!$B$34*(Diesel!$F$34/C125)^Diesel!$C$10)</f>
        <v>279.975219353748</v>
      </c>
      <c r="E125" s="11" t="n">
        <f aca="false">D125*C125*0.000001/(Diesel!$C$28*Diesel!$C$13)</f>
        <v>861.289411600002</v>
      </c>
    </row>
    <row r="126" customFormat="false" ht="15" hidden="false" customHeight="false" outlineLevel="0" collapsed="false">
      <c r="A126" s="17" t="n">
        <v>484</v>
      </c>
      <c r="B126" s="5" t="s">
        <v>131</v>
      </c>
      <c r="C126" s="11" t="n">
        <f aca="false">Diesel!$C$24+Diesel!$C$23/2*((1-COS(RADIANS(A126)))+1/Diesel!$C$26*(1-SQRT(1-Diesel!$C$26^2*SIN(RADIANS(A126))^2)))</f>
        <v>284.868407615506</v>
      </c>
      <c r="D126" s="11" t="n">
        <f aca="false">IF(C126&lt;=Diesel!$F$34,Diesel!$B$33,Diesel!$B$34*(Diesel!$F$34/C126)^Diesel!$C$10)</f>
        <v>268.742345202645</v>
      </c>
      <c r="E126" s="11" t="n">
        <f aca="false">D126*C126*0.000001/(Diesel!$C$28*Diesel!$C$13)</f>
        <v>851.271533428092</v>
      </c>
    </row>
    <row r="127" customFormat="false" ht="15" hidden="false" customHeight="false" outlineLevel="0" collapsed="false">
      <c r="A127" s="17" t="n">
        <v>488</v>
      </c>
      <c r="B127" s="5" t="s">
        <v>131</v>
      </c>
      <c r="C127" s="11" t="n">
        <f aca="false">Diesel!$C$24+Diesel!$C$23/2*((1-COS(RADIANS(A127)))+1/Diesel!$C$26*(1-SQRT(1-Diesel!$C$26^2*SIN(RADIANS(A127))^2)))</f>
        <v>292.565935001403</v>
      </c>
      <c r="D127" s="11" t="n">
        <f aca="false">IF(C127&lt;=Diesel!$F$34,Diesel!$B$33,Diesel!$B$34*(Diesel!$F$34/C127)^Diesel!$C$10)</f>
        <v>258.895704772905</v>
      </c>
      <c r="E127" s="11" t="n">
        <f aca="false">D127*C127*0.000001/(Diesel!$C$28*Diesel!$C$13)</f>
        <v>842.240891503449</v>
      </c>
    </row>
    <row r="128" customFormat="false" ht="15" hidden="false" customHeight="false" outlineLevel="0" collapsed="false">
      <c r="A128" s="17" t="n">
        <v>492</v>
      </c>
      <c r="B128" s="5" t="s">
        <v>131</v>
      </c>
      <c r="C128" s="11" t="n">
        <f aca="false">Diesel!$C$24+Diesel!$C$23/2*((1-COS(RADIANS(A128)))+1/Diesel!$C$26*(1-SQRT(1-Diesel!$C$26^2*SIN(RADIANS(A128))^2)))</f>
        <v>299.733141514343</v>
      </c>
      <c r="D128" s="11" t="n">
        <f aca="false">IF(C128&lt;=Diesel!$F$34,Diesel!$B$33,Diesel!$B$34*(Diesel!$F$34/C128)^Diesel!$C$10)</f>
        <v>250.270369059488</v>
      </c>
      <c r="E128" s="11" t="n">
        <f aca="false">D128*C128*0.000001/(Diesel!$C$28*Diesel!$C$13)</f>
        <v>834.126501720048</v>
      </c>
    </row>
    <row r="129" customFormat="false" ht="15" hidden="false" customHeight="false" outlineLevel="0" collapsed="false">
      <c r="A129" s="17" t="n">
        <v>496</v>
      </c>
      <c r="B129" s="5" t="s">
        <v>131</v>
      </c>
      <c r="C129" s="11" t="n">
        <f aca="false">Diesel!$C$24+Diesel!$C$23/2*((1-COS(RADIANS(A129)))+1/Diesel!$C$26*(1-SQRT(1-Diesel!$C$26^2*SIN(RADIANS(A129))^2)))</f>
        <v>306.356579946364</v>
      </c>
      <c r="D129" s="11" t="n">
        <f aca="false">IF(C129&lt;=Diesel!$F$34,Diesel!$B$33,Diesel!$B$34*(Diesel!$F$34/C129)^Diesel!$C$10)</f>
        <v>242.728073093751</v>
      </c>
      <c r="E129" s="11" t="n">
        <f aca="false">D129*C129*0.000001/(Diesel!$C$28*Diesel!$C$13)</f>
        <v>826.86563149499</v>
      </c>
    </row>
    <row r="130" customFormat="false" ht="15" hidden="false" customHeight="false" outlineLevel="0" collapsed="false">
      <c r="A130" s="17" t="n">
        <v>500</v>
      </c>
      <c r="B130" s="5" t="s">
        <v>131</v>
      </c>
      <c r="C130" s="11" t="n">
        <f aca="false">Diesel!$C$24+Diesel!$C$23/2*((1-COS(RADIANS(A130)))+1/Diesel!$C$26*(1-SQRT(1-Diesel!$C$26^2*SIN(RADIANS(A130))^2)))</f>
        <v>312.42551328532</v>
      </c>
      <c r="D130" s="11" t="n">
        <f aca="false">IF(C130&lt;=Diesel!$F$34,Diesel!$B$33,Diesel!$B$34*(Diesel!$F$34/C130)^Diesel!$C$10)</f>
        <v>236.152755296873</v>
      </c>
      <c r="E130" s="11" t="n">
        <f aca="false">D130*C130*0.000001/(Diesel!$C$28*Diesel!$C$13)</f>
        <v>820.402979918708</v>
      </c>
    </row>
    <row r="131" customFormat="false" ht="15" hidden="false" customHeight="false" outlineLevel="0" collapsed="false">
      <c r="A131" s="17" t="n">
        <v>504</v>
      </c>
      <c r="B131" s="5" t="s">
        <v>131</v>
      </c>
      <c r="C131" s="11" t="n">
        <f aca="false">Diesel!$C$24+Diesel!$C$23/2*((1-COS(RADIANS(A131)))+1/Diesel!$C$26*(1-SQRT(1-Diesel!$C$26^2*SIN(RADIANS(A131))^2)))</f>
        <v>317.931548396528</v>
      </c>
      <c r="D131" s="11" t="n">
        <f aca="false">IF(C131&lt;=Diesel!$F$34,Diesel!$B$33,Diesel!$B$34*(Diesel!$F$34/C131)^Diesel!$C$10)</f>
        <v>230.446985059696</v>
      </c>
      <c r="E131" s="11" t="n">
        <f aca="false">D131*C131*0.000001/(Diesel!$C$28*Diesel!$C$13)</f>
        <v>814.689981910565</v>
      </c>
    </row>
    <row r="132" customFormat="false" ht="15" hidden="false" customHeight="false" outlineLevel="0" collapsed="false">
      <c r="A132" s="17" t="n">
        <v>508</v>
      </c>
      <c r="B132" s="5" t="s">
        <v>131</v>
      </c>
      <c r="C132" s="11" t="n">
        <f aca="false">Diesel!$C$24+Diesel!$C$23/2*((1-COS(RADIANS(A132)))+1/Diesel!$C$26*(1-SQRT(1-Diesel!$C$26^2*SIN(RADIANS(A132))^2)))</f>
        <v>322.868279719929</v>
      </c>
      <c r="D132" s="11" t="n">
        <f aca="false">IF(C132&lt;=Diesel!$F$34,Diesel!$B$33,Diesel!$B$34*(Diesel!$F$34/C132)^Diesel!$C$10)</f>
        <v>225.529093459753</v>
      </c>
      <c r="E132" s="11" t="n">
        <f aca="false">D132*C132*0.000001/(Diesel!$C$28*Diesel!$C$13)</f>
        <v>809.684217608147</v>
      </c>
    </row>
    <row r="133" customFormat="false" ht="15" hidden="false" customHeight="false" outlineLevel="0" collapsed="false">
      <c r="A133" s="17" t="n">
        <v>512</v>
      </c>
      <c r="B133" s="5" t="s">
        <v>131</v>
      </c>
      <c r="C133" s="11" t="n">
        <f aca="false">Diesel!$C$24+Diesel!$C$23/2*((1-COS(RADIANS(A133)))+1/Diesel!$C$26*(1-SQRT(1-Diesel!$C$26^2*SIN(RADIANS(A133))^2)))</f>
        <v>327.230950933932</v>
      </c>
      <c r="D133" s="11" t="n">
        <f aca="false">IF(C133&lt;=Diesel!$F$34,Diesel!$B$33,Diesel!$B$34*(Diesel!$F$34/C133)^Diesel!$C$10)</f>
        <v>221.330865175497</v>
      </c>
      <c r="E133" s="11" t="n">
        <f aca="false">D133*C133*0.000001/(Diesel!$C$28*Diesel!$C$13)</f>
        <v>805.348911821411</v>
      </c>
    </row>
    <row r="134" customFormat="false" ht="15" hidden="false" customHeight="false" outlineLevel="0" collapsed="false">
      <c r="A134" s="17" t="n">
        <v>516</v>
      </c>
      <c r="B134" s="5" t="s">
        <v>131</v>
      </c>
      <c r="C134" s="11" t="n">
        <f aca="false">Diesel!$C$24+Diesel!$C$23/2*((1-COS(RADIANS(A134)))+1/Diesel!$C$26*(1-SQRT(1-Diesel!$C$26^2*SIN(RADIANS(A134))^2)))</f>
        <v>331.016141007432</v>
      </c>
      <c r="D134" s="11" t="n">
        <f aca="false">IF(C134&lt;=Diesel!$F$34,Diesel!$B$33,Diesel!$B$34*(Diesel!$F$34/C134)^Diesel!$C$10)</f>
        <v>217.795682364627</v>
      </c>
      <c r="E134" s="11" t="n">
        <f aca="false">D134*C134*0.000001/(Diesel!$C$28*Diesel!$C$13)</f>
        <v>801.652511348011</v>
      </c>
    </row>
    <row r="135" customFormat="false" ht="15" hidden="false" customHeight="false" outlineLevel="0" collapsed="false">
      <c r="A135" s="17" t="n">
        <v>520</v>
      </c>
      <c r="B135" s="5" t="s">
        <v>131</v>
      </c>
      <c r="C135" s="11" t="n">
        <f aca="false">Diesel!$C$24+Diesel!$C$23/2*((1-COS(RADIANS(A135)))+1/Diesel!$C$26*(1-SQRT(1-Diesel!$C$26^2*SIN(RADIANS(A135))^2)))</f>
        <v>334.221479634738</v>
      </c>
      <c r="D135" s="11" t="n">
        <f aca="false">IF(C135&lt;=Diesel!$F$34,Diesel!$B$33,Diesel!$B$34*(Diesel!$F$34/C135)^Diesel!$C$10)</f>
        <v>214.877036268295</v>
      </c>
      <c r="E135" s="11" t="n">
        <f aca="false">D135*C135*0.000001/(Diesel!$C$28*Diesel!$C$13)</f>
        <v>798.568330381343</v>
      </c>
    </row>
    <row r="136" customFormat="false" ht="15" hidden="false" customHeight="false" outlineLevel="0" collapsed="false">
      <c r="A136" s="17" t="n">
        <v>524</v>
      </c>
      <c r="B136" s="5" t="s">
        <v>131</v>
      </c>
      <c r="C136" s="11" t="n">
        <f aca="false">Diesel!$C$24+Diesel!$C$23/2*((1-COS(RADIANS(A136)))+1/Diesel!$C$26*(1-SQRT(1-Diesel!$C$26^2*SIN(RADIANS(A136))^2)))</f>
        <v>336.845395784623</v>
      </c>
      <c r="D136" s="11" t="n">
        <f aca="false">IF(C136&lt;=Diesel!$F$34,Diesel!$B$33,Diesel!$B$34*(Diesel!$F$34/C136)^Diesel!$C$10)</f>
        <v>212.537341581712</v>
      </c>
      <c r="E136" s="11" t="n">
        <f aca="false">D136*C136*0.000001/(Diesel!$C$28*Diesel!$C$13)</f>
        <v>796.074256242645</v>
      </c>
    </row>
    <row r="137" customFormat="false" ht="15" hidden="false" customHeight="false" outlineLevel="0" collapsed="false">
      <c r="A137" s="17" t="n">
        <v>528</v>
      </c>
      <c r="B137" s="5" t="s">
        <v>131</v>
      </c>
      <c r="C137" s="11" t="n">
        <f aca="false">Diesel!$C$24+Diesel!$C$23/2*((1-COS(RADIANS(A137)))+1/Diesel!$C$26*(1-SQRT(1-Diesel!$C$26^2*SIN(RADIANS(A137))^2)))</f>
        <v>338.886902029297</v>
      </c>
      <c r="D137" s="11" t="n">
        <f aca="false">IF(C137&lt;=Diesel!$F$34,Diesel!$B$33,Diesel!$B$34*(Diesel!$F$34/C137)^Diesel!$C$10)</f>
        <v>210.747003665222</v>
      </c>
      <c r="E137" s="11" t="n">
        <f aca="false">D137*C137*0.000001/(Diesel!$C$28*Diesel!$C$13)</f>
        <v>794.152509314252</v>
      </c>
    </row>
    <row r="138" customFormat="false" ht="15" hidden="false" customHeight="false" outlineLevel="0" collapsed="false">
      <c r="A138" s="17" t="n">
        <v>532</v>
      </c>
      <c r="B138" s="5" t="s">
        <v>131</v>
      </c>
      <c r="C138" s="11" t="n">
        <f aca="false">Diesel!$C$24+Diesel!$C$23/2*((1-COS(RADIANS(A138)))+1/Diesel!$C$26*(1-SQRT(1-Diesel!$C$26^2*SIN(RADIANS(A138))^2)))</f>
        <v>340.34541646463</v>
      </c>
      <c r="D138" s="11" t="n">
        <f aca="false">IF(C138&lt;=Diesel!$F$34,Diesel!$B$33,Diesel!$B$34*(Diesel!$F$34/C138)^Diesel!$C$10)</f>
        <v>209.483700553547</v>
      </c>
      <c r="E138" s="11" t="n">
        <f aca="false">D138*C138*0.000001/(Diesel!$C$28*Diesel!$C$13)</f>
        <v>792.789452413432</v>
      </c>
    </row>
    <row r="139" customFormat="false" ht="15" hidden="false" customHeight="false" outlineLevel="0" collapsed="false">
      <c r="A139" s="17" t="n">
        <v>536</v>
      </c>
      <c r="B139" s="5" t="s">
        <v>131</v>
      </c>
      <c r="C139" s="11" t="n">
        <f aca="false">Diesel!$C$24+Diesel!$C$23/2*((1-COS(RADIANS(A139)))+1/Diesel!$C$26*(1-SQRT(1-Diesel!$C$26^2*SIN(RADIANS(A139))^2)))</f>
        <v>341.220623383143</v>
      </c>
      <c r="D139" s="11" t="n">
        <f aca="false">IF(C139&lt;=Diesel!$F$34,Diesel!$B$33,Diesel!$B$34*(Diesel!$F$34/C139)^Diesel!$C$10)</f>
        <v>208.731851280255</v>
      </c>
      <c r="E139" s="11" t="n">
        <f aca="false">D139*C139*0.000001/(Diesel!$C$28*Diesel!$C$13)</f>
        <v>791.975445985537</v>
      </c>
    </row>
    <row r="140" customFormat="false" ht="15" hidden="false" customHeight="false" outlineLevel="0" collapsed="false">
      <c r="A140" s="17" t="n">
        <v>540</v>
      </c>
      <c r="B140" s="5" t="s">
        <v>131</v>
      </c>
      <c r="C140" s="11" t="n">
        <f aca="false">Diesel!$C$24+Diesel!$C$23/2*((1-COS(RADIANS(A140)))+1/Diesel!$C$26*(1-SQRT(1-Diesel!$C$26^2*SIN(RADIANS(A140))^2)))</f>
        <v>341.512373395514</v>
      </c>
      <c r="D140" s="11" t="n">
        <f aca="false">IF(C140&lt;=Diesel!$F$34,Diesel!$B$33,Diesel!$B$34*(Diesel!$F$34/C140)^Diesel!$C$10)</f>
        <v>208.482249902117</v>
      </c>
      <c r="E140" s="11" t="n">
        <f aca="false">D140*C140*0.000001/(Diesel!$C$28*Diesel!$C$13)</f>
        <v>791.704746463737</v>
      </c>
    </row>
    <row r="141" customFormat="false" ht="15" hidden="false" customHeight="false" outlineLevel="0" collapsed="false">
      <c r="A141" s="17" t="n">
        <v>544</v>
      </c>
      <c r="B141" s="5" t="s">
        <v>132</v>
      </c>
      <c r="C141" s="11" t="n">
        <f aca="false">Diesel!$C$24+Diesel!$C$23/2*((1-COS(RADIANS(A141)))+1/Diesel!$C$26*(1-SQRT(1-Diesel!$C$26^2*SIN(RADIANS(A141))^2)))</f>
        <v>341.220623383143</v>
      </c>
      <c r="D141" s="11" t="n">
        <f aca="false">Diesel!$C$6</f>
        <v>79</v>
      </c>
      <c r="E141" s="11" t="n">
        <f aca="false">Diesel!$C$7</f>
        <v>300</v>
      </c>
    </row>
    <row r="142" customFormat="false" ht="15" hidden="false" customHeight="false" outlineLevel="0" collapsed="false">
      <c r="A142" s="17" t="n">
        <v>548</v>
      </c>
      <c r="B142" s="5" t="s">
        <v>132</v>
      </c>
      <c r="C142" s="11" t="n">
        <f aca="false">Diesel!$C$24+Diesel!$C$23/2*((1-COS(RADIANS(A142)))+1/Diesel!$C$26*(1-SQRT(1-Diesel!$C$26^2*SIN(RADIANS(A142))^2)))</f>
        <v>340.34541646463</v>
      </c>
      <c r="D142" s="11" t="n">
        <f aca="false">Diesel!$C$6</f>
        <v>79</v>
      </c>
      <c r="E142" s="11" t="n">
        <f aca="false">Diesel!$C$7</f>
        <v>300</v>
      </c>
    </row>
    <row r="143" customFormat="false" ht="15" hidden="false" customHeight="false" outlineLevel="0" collapsed="false">
      <c r="A143" s="17" t="n">
        <v>552</v>
      </c>
      <c r="B143" s="5" t="s">
        <v>132</v>
      </c>
      <c r="C143" s="11" t="n">
        <f aca="false">Diesel!$C$24+Diesel!$C$23/2*((1-COS(RADIANS(A143)))+1/Diesel!$C$26*(1-SQRT(1-Diesel!$C$26^2*SIN(RADIANS(A143))^2)))</f>
        <v>338.886902029297</v>
      </c>
      <c r="D143" s="11" t="n">
        <f aca="false">Diesel!$C$6</f>
        <v>79</v>
      </c>
      <c r="E143" s="11" t="n">
        <f aca="false">Diesel!$C$7</f>
        <v>300</v>
      </c>
    </row>
    <row r="144" customFormat="false" ht="15" hidden="false" customHeight="false" outlineLevel="0" collapsed="false">
      <c r="A144" s="17" t="n">
        <v>556</v>
      </c>
      <c r="B144" s="5" t="s">
        <v>132</v>
      </c>
      <c r="C144" s="11" t="n">
        <f aca="false">Diesel!$C$24+Diesel!$C$23/2*((1-COS(RADIANS(A144)))+1/Diesel!$C$26*(1-SQRT(1-Diesel!$C$26^2*SIN(RADIANS(A144))^2)))</f>
        <v>336.845395784623</v>
      </c>
      <c r="D144" s="11" t="n">
        <f aca="false">Diesel!$C$6</f>
        <v>79</v>
      </c>
      <c r="E144" s="11" t="n">
        <f aca="false">Diesel!$C$7</f>
        <v>300</v>
      </c>
    </row>
    <row r="145" customFormat="false" ht="15" hidden="false" customHeight="false" outlineLevel="0" collapsed="false">
      <c r="A145" s="17" t="n">
        <v>560</v>
      </c>
      <c r="B145" s="5" t="s">
        <v>132</v>
      </c>
      <c r="C145" s="11" t="n">
        <f aca="false">Diesel!$C$24+Diesel!$C$23/2*((1-COS(RADIANS(A145)))+1/Diesel!$C$26*(1-SQRT(1-Diesel!$C$26^2*SIN(RADIANS(A145))^2)))</f>
        <v>334.221479634738</v>
      </c>
      <c r="D145" s="11" t="n">
        <f aca="false">Diesel!$C$6</f>
        <v>79</v>
      </c>
      <c r="E145" s="11" t="n">
        <f aca="false">Diesel!$C$7</f>
        <v>300</v>
      </c>
    </row>
    <row r="146" customFormat="false" ht="15" hidden="false" customHeight="false" outlineLevel="0" collapsed="false">
      <c r="A146" s="17" t="n">
        <v>564</v>
      </c>
      <c r="B146" s="5" t="s">
        <v>132</v>
      </c>
      <c r="C146" s="11" t="n">
        <f aca="false">Diesel!$C$24+Diesel!$C$23/2*((1-COS(RADIANS(A146)))+1/Diesel!$C$26*(1-SQRT(1-Diesel!$C$26^2*SIN(RADIANS(A146))^2)))</f>
        <v>331.016141007432</v>
      </c>
      <c r="D146" s="11" t="n">
        <f aca="false">Diesel!$C$6</f>
        <v>79</v>
      </c>
      <c r="E146" s="11" t="n">
        <f aca="false">Diesel!$C$7</f>
        <v>300</v>
      </c>
    </row>
    <row r="147" customFormat="false" ht="15" hidden="false" customHeight="false" outlineLevel="0" collapsed="false">
      <c r="A147" s="17" t="n">
        <v>568</v>
      </c>
      <c r="B147" s="5" t="s">
        <v>132</v>
      </c>
      <c r="C147" s="11" t="n">
        <f aca="false">Diesel!$C$24+Diesel!$C$23/2*((1-COS(RADIANS(A147)))+1/Diesel!$C$26*(1-SQRT(1-Diesel!$C$26^2*SIN(RADIANS(A147))^2)))</f>
        <v>327.230950933932</v>
      </c>
      <c r="D147" s="11" t="n">
        <f aca="false">Diesel!$C$6</f>
        <v>79</v>
      </c>
      <c r="E147" s="11" t="n">
        <f aca="false">Diesel!$C$7</f>
        <v>300</v>
      </c>
    </row>
    <row r="148" customFormat="false" ht="15" hidden="false" customHeight="false" outlineLevel="0" collapsed="false">
      <c r="A148" s="17" t="n">
        <v>572</v>
      </c>
      <c r="B148" s="5" t="s">
        <v>132</v>
      </c>
      <c r="C148" s="11" t="n">
        <f aca="false">Diesel!$C$24+Diesel!$C$23/2*((1-COS(RADIANS(A148)))+1/Diesel!$C$26*(1-SQRT(1-Diesel!$C$26^2*SIN(RADIANS(A148))^2)))</f>
        <v>322.868279719929</v>
      </c>
      <c r="D148" s="11" t="n">
        <f aca="false">Diesel!$C$6</f>
        <v>79</v>
      </c>
      <c r="E148" s="11" t="n">
        <f aca="false">Diesel!$C$7</f>
        <v>300</v>
      </c>
    </row>
    <row r="149" customFormat="false" ht="15" hidden="false" customHeight="false" outlineLevel="0" collapsed="false">
      <c r="A149" s="17" t="n">
        <v>576</v>
      </c>
      <c r="B149" s="5" t="s">
        <v>132</v>
      </c>
      <c r="C149" s="11" t="n">
        <f aca="false">Diesel!$C$24+Diesel!$C$23/2*((1-COS(RADIANS(A149)))+1/Diesel!$C$26*(1-SQRT(1-Diesel!$C$26^2*SIN(RADIANS(A149))^2)))</f>
        <v>317.931548396528</v>
      </c>
      <c r="D149" s="11" t="n">
        <f aca="false">Diesel!$C$6</f>
        <v>79</v>
      </c>
      <c r="E149" s="11" t="n">
        <f aca="false">Diesel!$C$7</f>
        <v>300</v>
      </c>
    </row>
    <row r="150" customFormat="false" ht="15" hidden="false" customHeight="false" outlineLevel="0" collapsed="false">
      <c r="A150" s="17" t="n">
        <v>580</v>
      </c>
      <c r="B150" s="5" t="s">
        <v>132</v>
      </c>
      <c r="C150" s="11" t="n">
        <f aca="false">Diesel!$C$24+Diesel!$C$23/2*((1-COS(RADIANS(A150)))+1/Diesel!$C$26*(1-SQRT(1-Diesel!$C$26^2*SIN(RADIANS(A150))^2)))</f>
        <v>312.42551328532</v>
      </c>
      <c r="D150" s="11" t="n">
        <f aca="false">Diesel!$C$6</f>
        <v>79</v>
      </c>
      <c r="E150" s="11" t="n">
        <f aca="false">Diesel!$C$7</f>
        <v>300</v>
      </c>
    </row>
    <row r="151" customFormat="false" ht="15" hidden="false" customHeight="false" outlineLevel="0" collapsed="false">
      <c r="A151" s="17" t="n">
        <v>584</v>
      </c>
      <c r="B151" s="5" t="s">
        <v>132</v>
      </c>
      <c r="C151" s="11" t="n">
        <f aca="false">Diesel!$C$24+Diesel!$C$23/2*((1-COS(RADIANS(A151)))+1/Diesel!$C$26*(1-SQRT(1-Diesel!$C$26^2*SIN(RADIANS(A151))^2)))</f>
        <v>306.356579946364</v>
      </c>
      <c r="D151" s="11" t="n">
        <f aca="false">Diesel!$C$6</f>
        <v>79</v>
      </c>
      <c r="E151" s="11" t="n">
        <f aca="false">Diesel!$C$7</f>
        <v>300</v>
      </c>
    </row>
    <row r="152" customFormat="false" ht="15" hidden="false" customHeight="false" outlineLevel="0" collapsed="false">
      <c r="A152" s="17" t="n">
        <v>588</v>
      </c>
      <c r="B152" s="5" t="s">
        <v>132</v>
      </c>
      <c r="C152" s="11" t="n">
        <f aca="false">Diesel!$C$24+Diesel!$C$23/2*((1-COS(RADIANS(A152)))+1/Diesel!$C$26*(1-SQRT(1-Diesel!$C$26^2*SIN(RADIANS(A152))^2)))</f>
        <v>299.733141514343</v>
      </c>
      <c r="D152" s="11" t="n">
        <f aca="false">Diesel!$C$6</f>
        <v>79</v>
      </c>
      <c r="E152" s="11" t="n">
        <f aca="false">Diesel!$C$7</f>
        <v>300</v>
      </c>
    </row>
    <row r="153" customFormat="false" ht="15" hidden="false" customHeight="false" outlineLevel="0" collapsed="false">
      <c r="A153" s="17" t="n">
        <v>592</v>
      </c>
      <c r="B153" s="5" t="s">
        <v>132</v>
      </c>
      <c r="C153" s="11" t="n">
        <f aca="false">Diesel!$C$24+Diesel!$C$23/2*((1-COS(RADIANS(A153)))+1/Diesel!$C$26*(1-SQRT(1-Diesel!$C$26^2*SIN(RADIANS(A153))^2)))</f>
        <v>292.565935001403</v>
      </c>
      <c r="D153" s="11" t="n">
        <f aca="false">Diesel!$C$6</f>
        <v>79</v>
      </c>
      <c r="E153" s="11" t="n">
        <f aca="false">Diesel!$C$7</f>
        <v>300</v>
      </c>
    </row>
    <row r="154" customFormat="false" ht="15" hidden="false" customHeight="false" outlineLevel="0" collapsed="false">
      <c r="A154" s="17" t="n">
        <v>596</v>
      </c>
      <c r="B154" s="5" t="s">
        <v>132</v>
      </c>
      <c r="C154" s="11" t="n">
        <f aca="false">Diesel!$C$24+Diesel!$C$23/2*((1-COS(RADIANS(A154)))+1/Diesel!$C$26*(1-SQRT(1-Diesel!$C$26^2*SIN(RADIANS(A154))^2)))</f>
        <v>284.868407615506</v>
      </c>
      <c r="D154" s="11" t="n">
        <f aca="false">Diesel!$C$6</f>
        <v>79</v>
      </c>
      <c r="E154" s="11" t="n">
        <f aca="false">Diesel!$C$7</f>
        <v>300</v>
      </c>
    </row>
    <row r="155" customFormat="false" ht="15" hidden="false" customHeight="false" outlineLevel="0" collapsed="false">
      <c r="A155" s="17" t="n">
        <v>600</v>
      </c>
      <c r="B155" s="5" t="s">
        <v>132</v>
      </c>
      <c r="C155" s="11" t="n">
        <f aca="false">Diesel!$C$24+Diesel!$C$23/2*((1-COS(RADIANS(A155)))+1/Diesel!$C$26*(1-SQRT(1-Diesel!$C$26^2*SIN(RADIANS(A155))^2)))</f>
        <v>276.657083596857</v>
      </c>
      <c r="D155" s="11" t="n">
        <f aca="false">Diesel!$C$6</f>
        <v>79</v>
      </c>
      <c r="E155" s="11" t="n">
        <f aca="false">Diesel!$C$7</f>
        <v>300</v>
      </c>
    </row>
    <row r="156" customFormat="false" ht="15" hidden="false" customHeight="false" outlineLevel="0" collapsed="false">
      <c r="A156" s="17" t="n">
        <v>604</v>
      </c>
      <c r="B156" s="5" t="s">
        <v>132</v>
      </c>
      <c r="C156" s="11" t="n">
        <f aca="false">Diesel!$C$24+Diesel!$C$23/2*((1-COS(RADIANS(A156)))+1/Diesel!$C$26*(1-SQRT(1-Diesel!$C$26^2*SIN(RADIANS(A156))^2)))</f>
        <v>267.951920622201</v>
      </c>
      <c r="D156" s="11" t="n">
        <f aca="false">Diesel!$C$6</f>
        <v>79</v>
      </c>
      <c r="E156" s="11" t="n">
        <f aca="false">Diesel!$C$7</f>
        <v>300</v>
      </c>
    </row>
    <row r="157" customFormat="false" ht="15" hidden="false" customHeight="false" outlineLevel="0" collapsed="false">
      <c r="A157" s="17" t="n">
        <v>608</v>
      </c>
      <c r="B157" s="5" t="s">
        <v>132</v>
      </c>
      <c r="C157" s="11" t="n">
        <f aca="false">Diesel!$C$24+Diesel!$C$23/2*((1-COS(RADIANS(A157)))+1/Diesel!$C$26*(1-SQRT(1-Diesel!$C$26^2*SIN(RADIANS(A157))^2)))</f>
        <v>258.776643596364</v>
      </c>
      <c r="D157" s="11" t="n">
        <f aca="false">Diesel!$C$6</f>
        <v>79</v>
      </c>
      <c r="E157" s="11" t="n">
        <f aca="false">Diesel!$C$7</f>
        <v>300</v>
      </c>
    </row>
    <row r="158" customFormat="false" ht="15" hidden="false" customHeight="false" outlineLevel="0" collapsed="false">
      <c r="A158" s="17" t="n">
        <v>612</v>
      </c>
      <c r="B158" s="5" t="s">
        <v>132</v>
      </c>
      <c r="C158" s="11" t="n">
        <f aca="false">Diesel!$C$24+Diesel!$C$23/2*((1-COS(RADIANS(A158)))+1/Diesel!$C$26*(1-SQRT(1-Diesel!$C$26^2*SIN(RADIANS(A158))^2)))</f>
        <v>249.159042779627</v>
      </c>
      <c r="D158" s="11" t="n">
        <f aca="false">Diesel!$C$6</f>
        <v>79</v>
      </c>
      <c r="E158" s="11" t="n">
        <f aca="false">Diesel!$C$7</f>
        <v>300</v>
      </c>
    </row>
    <row r="159" customFormat="false" ht="15" hidden="false" customHeight="false" outlineLevel="0" collapsed="false">
      <c r="A159" s="17" t="n">
        <v>616</v>
      </c>
      <c r="B159" s="5" t="s">
        <v>132</v>
      </c>
      <c r="C159" s="11" t="n">
        <f aca="false">Diesel!$C$24+Diesel!$C$23/2*((1-COS(RADIANS(A159)))+1/Diesel!$C$26*(1-SQRT(1-Diesel!$C$26^2*SIN(RADIANS(A159))^2)))</f>
        <v>239.131222821835</v>
      </c>
      <c r="D159" s="11" t="n">
        <f aca="false">Diesel!$C$6</f>
        <v>79</v>
      </c>
      <c r="E159" s="11" t="n">
        <f aca="false">Diesel!$C$7</f>
        <v>300</v>
      </c>
    </row>
    <row r="160" customFormat="false" ht="15" hidden="false" customHeight="false" outlineLevel="0" collapsed="false">
      <c r="A160" s="17" t="n">
        <v>620</v>
      </c>
      <c r="B160" s="5" t="s">
        <v>132</v>
      </c>
      <c r="C160" s="11" t="n">
        <f aca="false">Diesel!$C$24+Diesel!$C$23/2*((1-COS(RADIANS(A160)))+1/Diesel!$C$26*(1-SQRT(1-Diesel!$C$26^2*SIN(RADIANS(A160))^2)))</f>
        <v>228.729789502557</v>
      </c>
      <c r="D160" s="11" t="n">
        <f aca="false">Diesel!$C$6</f>
        <v>79</v>
      </c>
      <c r="E160" s="11" t="n">
        <f aca="false">Diesel!$C$7</f>
        <v>300</v>
      </c>
    </row>
    <row r="161" customFormat="false" ht="15" hidden="false" customHeight="false" outlineLevel="0" collapsed="false">
      <c r="A161" s="17" t="n">
        <v>624</v>
      </c>
      <c r="B161" s="5" t="s">
        <v>132</v>
      </c>
      <c r="C161" s="11" t="n">
        <f aca="false">Diesel!$C$24+Diesel!$C$23/2*((1-COS(RADIANS(A161)))+1/Diesel!$C$26*(1-SQRT(1-Diesel!$C$26^2*SIN(RADIANS(A161))^2)))</f>
        <v>217.995961888237</v>
      </c>
      <c r="D161" s="11" t="n">
        <f aca="false">Diesel!$C$6</f>
        <v>79</v>
      </c>
      <c r="E161" s="11" t="n">
        <f aca="false">Diesel!$C$7</f>
        <v>300</v>
      </c>
    </row>
    <row r="162" customFormat="false" ht="15" hidden="false" customHeight="false" outlineLevel="0" collapsed="false">
      <c r="A162" s="17" t="n">
        <v>628</v>
      </c>
      <c r="B162" s="5" t="s">
        <v>132</v>
      </c>
      <c r="C162" s="11" t="n">
        <f aca="false">Diesel!$C$24+Diesel!$C$23/2*((1-COS(RADIANS(A162)))+1/Diesel!$C$26*(1-SQRT(1-Diesel!$C$26^2*SIN(RADIANS(A162))^2)))</f>
        <v>206.975599238105</v>
      </c>
      <c r="D162" s="11" t="n">
        <f aca="false">Diesel!$C$6</f>
        <v>79</v>
      </c>
      <c r="E162" s="11" t="n">
        <f aca="false">Diesel!$C$7</f>
        <v>300</v>
      </c>
    </row>
    <row r="163" customFormat="false" ht="15" hidden="false" customHeight="false" outlineLevel="0" collapsed="false">
      <c r="A163" s="17" t="n">
        <v>632</v>
      </c>
      <c r="B163" s="5" t="s">
        <v>132</v>
      </c>
      <c r="C163" s="11" t="n">
        <f aca="false">Diesel!$C$24+Diesel!$C$23/2*((1-COS(RADIANS(A163)))+1/Diesel!$C$26*(1-SQRT(1-Diesel!$C$26^2*SIN(RADIANS(A163))^2)))</f>
        <v>195.719134286101</v>
      </c>
      <c r="D163" s="11" t="n">
        <f aca="false">Diesel!$C$6</f>
        <v>79</v>
      </c>
      <c r="E163" s="11" t="n">
        <f aca="false">Diesel!$C$7</f>
        <v>300</v>
      </c>
    </row>
    <row r="164" customFormat="false" ht="15" hidden="false" customHeight="false" outlineLevel="0" collapsed="false">
      <c r="A164" s="17" t="n">
        <v>636</v>
      </c>
      <c r="B164" s="5" t="s">
        <v>132</v>
      </c>
      <c r="C164" s="11" t="n">
        <f aca="false">Diesel!$C$24+Diesel!$C$23/2*((1-COS(RADIANS(A164)))+1/Diesel!$C$26*(1-SQRT(1-Diesel!$C$26^2*SIN(RADIANS(A164))^2)))</f>
        <v>184.281407397978</v>
      </c>
      <c r="D164" s="11" t="n">
        <f aca="false">Diesel!$C$6</f>
        <v>79</v>
      </c>
      <c r="E164" s="11" t="n">
        <f aca="false">Diesel!$C$7</f>
        <v>300</v>
      </c>
    </row>
    <row r="165" customFormat="false" ht="15" hidden="false" customHeight="false" outlineLevel="0" collapsed="false">
      <c r="A165" s="17" t="n">
        <v>640</v>
      </c>
      <c r="B165" s="5" t="s">
        <v>132</v>
      </c>
      <c r="C165" s="11" t="n">
        <f aca="false">Diesel!$C$24+Diesel!$C$23/2*((1-COS(RADIANS(A165)))+1/Diesel!$C$26*(1-SQRT(1-Diesel!$C$26^2*SIN(RADIANS(A165))^2)))</f>
        <v>172.721399394543</v>
      </c>
      <c r="D165" s="11" t="n">
        <f aca="false">Diesel!$C$6</f>
        <v>79</v>
      </c>
      <c r="E165" s="11" t="n">
        <f aca="false">Diesel!$C$7</f>
        <v>300</v>
      </c>
    </row>
    <row r="166" customFormat="false" ht="15" hidden="false" customHeight="false" outlineLevel="0" collapsed="false">
      <c r="A166" s="17" t="n">
        <v>644</v>
      </c>
      <c r="B166" s="5" t="s">
        <v>132</v>
      </c>
      <c r="C166" s="11" t="n">
        <f aca="false">Diesel!$C$24+Diesel!$C$23/2*((1-COS(RADIANS(A166)))+1/Diesel!$C$26*(1-SQRT(1-Diesel!$C$26^2*SIN(RADIANS(A166))^2)))</f>
        <v>161.101864342728</v>
      </c>
      <c r="D166" s="11" t="n">
        <f aca="false">Diesel!$C$6</f>
        <v>79</v>
      </c>
      <c r="E166" s="11" t="n">
        <f aca="false">Diesel!$C$7</f>
        <v>300</v>
      </c>
    </row>
    <row r="167" customFormat="false" ht="15" hidden="false" customHeight="false" outlineLevel="0" collapsed="false">
      <c r="A167" s="17" t="n">
        <v>648</v>
      </c>
      <c r="B167" s="5" t="s">
        <v>132</v>
      </c>
      <c r="C167" s="11" t="n">
        <f aca="false">Diesel!$C$24+Diesel!$C$23/2*((1-COS(RADIANS(A167)))+1/Diesel!$C$26*(1-SQRT(1-Diesel!$C$26^2*SIN(RADIANS(A167))^2)))</f>
        <v>149.488867120453</v>
      </c>
      <c r="D167" s="11" t="n">
        <f aca="false">Diesel!$C$6</f>
        <v>79</v>
      </c>
      <c r="E167" s="11" t="n">
        <f aca="false">Diesel!$C$7</f>
        <v>300</v>
      </c>
    </row>
    <row r="168" customFormat="false" ht="15" hidden="false" customHeight="false" outlineLevel="0" collapsed="false">
      <c r="A168" s="17" t="n">
        <v>652</v>
      </c>
      <c r="B168" s="5" t="s">
        <v>132</v>
      </c>
      <c r="C168" s="11" t="n">
        <f aca="false">Diesel!$C$24+Diesel!$C$23/2*((1-COS(RADIANS(A168)))+1/Diesel!$C$26*(1-SQRT(1-Diesel!$C$26^2*SIN(RADIANS(A168))^2)))</f>
        <v>137.951233834125</v>
      </c>
      <c r="D168" s="11" t="n">
        <f aca="false">Diesel!$C$6</f>
        <v>79</v>
      </c>
      <c r="E168" s="11" t="n">
        <f aca="false">Diesel!$C$7</f>
        <v>300</v>
      </c>
    </row>
    <row r="169" customFormat="false" ht="15" hidden="false" customHeight="false" outlineLevel="0" collapsed="false">
      <c r="A169" s="17" t="n">
        <v>656</v>
      </c>
      <c r="B169" s="5" t="s">
        <v>132</v>
      </c>
      <c r="C169" s="11" t="n">
        <f aca="false">Diesel!$C$24+Diesel!$C$23/2*((1-COS(RADIANS(A169)))+1/Diesel!$C$26*(1-SQRT(1-Diesel!$C$26^2*SIN(RADIANS(A169))^2)))</f>
        <v>126.559926007931</v>
      </c>
      <c r="D169" s="11" t="n">
        <f aca="false">Diesel!$C$6</f>
        <v>79</v>
      </c>
      <c r="E169" s="11" t="n">
        <f aca="false">Diesel!$C$7</f>
        <v>300</v>
      </c>
    </row>
    <row r="170" customFormat="false" ht="15" hidden="false" customHeight="false" outlineLevel="0" collapsed="false">
      <c r="A170" s="17" t="n">
        <v>660</v>
      </c>
      <c r="B170" s="5" t="s">
        <v>132</v>
      </c>
      <c r="C170" s="11" t="n">
        <f aca="false">Diesel!$C$24+Diesel!$C$23/2*((1-COS(RADIANS(A170)))+1/Diesel!$C$26*(1-SQRT(1-Diesel!$C$26^2*SIN(RADIANS(A170))^2)))</f>
        <v>115.387351715642</v>
      </c>
      <c r="D170" s="11" t="n">
        <f aca="false">Diesel!$C$6</f>
        <v>79</v>
      </c>
      <c r="E170" s="11" t="n">
        <f aca="false">Diesel!$C$7</f>
        <v>300</v>
      </c>
    </row>
    <row r="171" customFormat="false" ht="15" hidden="false" customHeight="false" outlineLevel="0" collapsed="false">
      <c r="A171" s="17" t="n">
        <v>664</v>
      </c>
      <c r="B171" s="5" t="s">
        <v>132</v>
      </c>
      <c r="C171" s="11" t="n">
        <f aca="false">Diesel!$C$24+Diesel!$C$23/2*((1-COS(RADIANS(A171)))+1/Diesel!$C$26*(1-SQRT(1-Diesel!$C$26^2*SIN(RADIANS(A171))^2)))</f>
        <v>104.506628390295</v>
      </c>
      <c r="D171" s="11" t="n">
        <f aca="false">Diesel!$C$6</f>
        <v>79</v>
      </c>
      <c r="E171" s="11" t="n">
        <f aca="false">Diesel!$C$7</f>
        <v>300</v>
      </c>
    </row>
    <row r="172" customFormat="false" ht="15" hidden="false" customHeight="false" outlineLevel="0" collapsed="false">
      <c r="A172" s="17" t="n">
        <v>668</v>
      </c>
      <c r="B172" s="5" t="s">
        <v>132</v>
      </c>
      <c r="C172" s="11" t="n">
        <f aca="false">Diesel!$C$24+Diesel!$C$23/2*((1-COS(RADIANS(A172)))+1/Diesel!$C$26*(1-SQRT(1-Diesel!$C$26^2*SIN(RADIANS(A172))^2)))</f>
        <v>93.9908128906788</v>
      </c>
      <c r="D172" s="11" t="n">
        <f aca="false">Diesel!$C$6</f>
        <v>79</v>
      </c>
      <c r="E172" s="11" t="n">
        <f aca="false">Diesel!$C$7</f>
        <v>300</v>
      </c>
    </row>
    <row r="173" customFormat="false" ht="15" hidden="false" customHeight="false" outlineLevel="0" collapsed="false">
      <c r="A173" s="17" t="n">
        <v>672</v>
      </c>
      <c r="B173" s="5" t="s">
        <v>132</v>
      </c>
      <c r="C173" s="11" t="n">
        <f aca="false">Diesel!$C$24+Diesel!$C$23/2*((1-COS(RADIANS(A173)))+1/Diesel!$C$26*(1-SQRT(1-Diesel!$C$26^2*SIN(RADIANS(A173))^2)))</f>
        <v>83.9121145523276</v>
      </c>
      <c r="D173" s="11" t="n">
        <f aca="false">Diesel!$C$6</f>
        <v>79</v>
      </c>
      <c r="E173" s="11" t="n">
        <f aca="false">Diesel!$C$7</f>
        <v>300</v>
      </c>
    </row>
    <row r="174" customFormat="false" ht="15" hidden="false" customHeight="false" outlineLevel="0" collapsed="false">
      <c r="A174" s="17" t="n">
        <v>676</v>
      </c>
      <c r="B174" s="5" t="s">
        <v>132</v>
      </c>
      <c r="C174" s="11" t="n">
        <f aca="false">Diesel!$C$24+Diesel!$C$23/2*((1-COS(RADIANS(A174)))+1/Diesel!$C$26*(1-SQRT(1-Diesel!$C$26^2*SIN(RADIANS(A174))^2)))</f>
        <v>74.3411064821621</v>
      </c>
      <c r="D174" s="11" t="n">
        <f aca="false">Diesel!$C$6</f>
        <v>79</v>
      </c>
      <c r="E174" s="11" t="n">
        <f aca="false">Diesel!$C$7</f>
        <v>300</v>
      </c>
    </row>
    <row r="175" customFormat="false" ht="15" hidden="false" customHeight="false" outlineLevel="0" collapsed="false">
      <c r="A175" s="17" t="n">
        <v>680</v>
      </c>
      <c r="B175" s="5" t="s">
        <v>132</v>
      </c>
      <c r="C175" s="11" t="n">
        <f aca="false">Diesel!$C$24+Diesel!$C$23/2*((1-COS(RADIANS(A175)))+1/Diesel!$C$26*(1-SQRT(1-Diesel!$C$26^2*SIN(RADIANS(A175))^2)))</f>
        <v>65.3459493835361</v>
      </c>
      <c r="D175" s="11" t="n">
        <f aca="false">Diesel!$C$6</f>
        <v>79</v>
      </c>
      <c r="E175" s="11" t="n">
        <f aca="false">Diesel!$C$7</f>
        <v>300</v>
      </c>
    </row>
    <row r="176" customFormat="false" ht="15" hidden="false" customHeight="false" outlineLevel="0" collapsed="false">
      <c r="A176" s="17" t="n">
        <v>684</v>
      </c>
      <c r="B176" s="5" t="s">
        <v>132</v>
      </c>
      <c r="C176" s="11" t="n">
        <f aca="false">Diesel!$C$24+Diesel!$C$23/2*((1-COS(RADIANS(A176)))+1/Diesel!$C$26*(1-SQRT(1-Diesel!$C$26^2*SIN(RADIANS(A176))^2)))</f>
        <v>56.9916408561398</v>
      </c>
      <c r="D176" s="11" t="n">
        <f aca="false">Diesel!$C$6</f>
        <v>79</v>
      </c>
      <c r="E176" s="11" t="n">
        <f aca="false">Diesel!$C$7</f>
        <v>300</v>
      </c>
    </row>
    <row r="177" customFormat="false" ht="15" hidden="false" customHeight="false" outlineLevel="0" collapsed="false">
      <c r="A177" s="17" t="n">
        <v>688</v>
      </c>
      <c r="B177" s="5" t="s">
        <v>132</v>
      </c>
      <c r="C177" s="11" t="n">
        <f aca="false">Diesel!$C$24+Diesel!$C$23/2*((1-COS(RADIANS(A177)))+1/Diesel!$C$26*(1-SQRT(1-Diesel!$C$26^2*SIN(RADIANS(A177))^2)))</f>
        <v>49.3393015408853</v>
      </c>
      <c r="D177" s="11" t="n">
        <f aca="false">Diesel!$C$6</f>
        <v>79</v>
      </c>
      <c r="E177" s="11" t="n">
        <f aca="false">Diesel!$C$7</f>
        <v>300</v>
      </c>
    </row>
    <row r="178" customFormat="false" ht="15" hidden="false" customHeight="false" outlineLevel="0" collapsed="false">
      <c r="A178" s="17" t="n">
        <v>692</v>
      </c>
      <c r="B178" s="5" t="s">
        <v>132</v>
      </c>
      <c r="C178" s="11" t="n">
        <f aca="false">Diesel!$C$24+Diesel!$C$23/2*((1-COS(RADIANS(A178)))+1/Diesel!$C$26*(1-SQRT(1-Diesel!$C$26^2*SIN(RADIANS(A178))^2)))</f>
        <v>42.4455078028857</v>
      </c>
      <c r="D178" s="11" t="n">
        <f aca="false">Diesel!$C$6</f>
        <v>79</v>
      </c>
      <c r="E178" s="11" t="n">
        <f aca="false">Diesel!$C$7</f>
        <v>300</v>
      </c>
    </row>
    <row r="179" customFormat="false" ht="15" hidden="false" customHeight="false" outlineLevel="0" collapsed="false">
      <c r="A179" s="17" t="n">
        <v>696</v>
      </c>
      <c r="B179" s="5" t="s">
        <v>132</v>
      </c>
      <c r="C179" s="11" t="n">
        <f aca="false">Diesel!$C$24+Diesel!$C$23/2*((1-COS(RADIANS(A179)))+1/Diesel!$C$26*(1-SQRT(1-Diesel!$C$26^2*SIN(RADIANS(A179))^2)))</f>
        <v>36.3616789767834</v>
      </c>
      <c r="D179" s="11" t="n">
        <f aca="false">Diesel!$C$6</f>
        <v>79</v>
      </c>
      <c r="E179" s="11" t="n">
        <f aca="false">Diesel!$C$7</f>
        <v>300</v>
      </c>
    </row>
    <row r="180" customFormat="false" ht="15" hidden="false" customHeight="false" outlineLevel="0" collapsed="false">
      <c r="A180" s="17" t="n">
        <v>700</v>
      </c>
      <c r="B180" s="5" t="s">
        <v>132</v>
      </c>
      <c r="C180" s="11" t="n">
        <f aca="false">Diesel!$C$24+Diesel!$C$23/2*((1-COS(RADIANS(A180)))+1/Diesel!$C$26*(1-SQRT(1-Diesel!$C$26^2*SIN(RADIANS(A180))^2)))</f>
        <v>31.1335256249384</v>
      </c>
      <c r="D180" s="11" t="n">
        <f aca="false">Diesel!$C$6</f>
        <v>79</v>
      </c>
      <c r="E180" s="11" t="n">
        <f aca="false">Diesel!$C$7</f>
        <v>300</v>
      </c>
    </row>
    <row r="181" customFormat="false" ht="15" hidden="false" customHeight="false" outlineLevel="0" collapsed="false">
      <c r="A181" s="17" t="n">
        <v>704</v>
      </c>
      <c r="B181" s="5" t="s">
        <v>132</v>
      </c>
      <c r="C181" s="11" t="n">
        <f aca="false">Diesel!$C$24+Diesel!$C$23/2*((1-COS(RADIANS(A181)))+1/Diesel!$C$26*(1-SQRT(1-Diesel!$C$26^2*SIN(RADIANS(A181))^2)))</f>
        <v>26.8005638413134</v>
      </c>
      <c r="D181" s="11" t="n">
        <f aca="false">Diesel!$C$6</f>
        <v>79</v>
      </c>
      <c r="E181" s="11" t="n">
        <f aca="false">Diesel!$C$7</f>
        <v>300</v>
      </c>
    </row>
    <row r="182" customFormat="false" ht="15" hidden="false" customHeight="false" outlineLevel="0" collapsed="false">
      <c r="A182" s="17" t="n">
        <v>708</v>
      </c>
      <c r="B182" s="5" t="s">
        <v>132</v>
      </c>
      <c r="C182" s="11" t="n">
        <f aca="false">Diesel!$C$24+Diesel!$C$23/2*((1-COS(RADIANS(A182)))+1/Diesel!$C$26*(1-SQRT(1-Diesel!$C$26^2*SIN(RADIANS(A182))^2)))</f>
        <v>23.3956994081076</v>
      </c>
      <c r="D182" s="11" t="n">
        <f aca="false">Diesel!$C$6</f>
        <v>79</v>
      </c>
      <c r="E182" s="11" t="n">
        <f aca="false">Diesel!$C$7</f>
        <v>300</v>
      </c>
    </row>
    <row r="183" customFormat="false" ht="15" hidden="false" customHeight="false" outlineLevel="0" collapsed="false">
      <c r="A183" s="17" t="n">
        <v>712</v>
      </c>
      <c r="B183" s="5" t="s">
        <v>132</v>
      </c>
      <c r="C183" s="11" t="n">
        <f aca="false">Diesel!$C$24+Diesel!$C$23/2*((1-COS(RADIANS(A183)))+1/Diesel!$C$26*(1-SQRT(1-Diesel!$C$26^2*SIN(RADIANS(A183))^2)))</f>
        <v>20.9448845916667</v>
      </c>
      <c r="D183" s="11" t="n">
        <f aca="false">Diesel!$C$6</f>
        <v>79</v>
      </c>
      <c r="E183" s="11" t="n">
        <f aca="false">Diesel!$C$7</f>
        <v>300</v>
      </c>
    </row>
    <row r="184" customFormat="false" ht="15" hidden="false" customHeight="false" outlineLevel="0" collapsed="false">
      <c r="A184" s="17" t="n">
        <v>716</v>
      </c>
      <c r="B184" s="5" t="s">
        <v>132</v>
      </c>
      <c r="C184" s="11" t="n">
        <f aca="false">Diesel!$C$24+Diesel!$C$23/2*((1-COS(RADIANS(A184)))+1/Diesel!$C$26*(1-SQRT(1-Diesel!$C$26^2*SIN(RADIANS(A184))^2)))</f>
        <v>19.4668495436611</v>
      </c>
      <c r="D184" s="11" t="n">
        <f aca="false">Diesel!$C$6</f>
        <v>79</v>
      </c>
      <c r="E184" s="11" t="n">
        <f aca="false">Diesel!$C$7</f>
        <v>300</v>
      </c>
    </row>
    <row r="185" customFormat="false" ht="15" hidden="false" customHeight="false" outlineLevel="0" collapsed="false">
      <c r="A185" s="17" t="n">
        <v>720</v>
      </c>
      <c r="B185" s="5" t="s">
        <v>132</v>
      </c>
      <c r="C185" s="11" t="n">
        <f aca="false">Diesel!$C$24+Diesel!$C$23/2*((1-COS(RADIANS(A185)))+1/Diesel!$C$26*(1-SQRT(1-Diesel!$C$26^2*SIN(RADIANS(A185))^2)))</f>
        <v>18.9729096330841</v>
      </c>
      <c r="D185" s="11" t="n">
        <f aca="false">Diesel!$C$6</f>
        <v>79</v>
      </c>
      <c r="E185" s="11" t="n">
        <f aca="false">Diesel!$C$7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4" t="s">
        <v>15</v>
      </c>
      <c r="B4" s="4" t="s">
        <v>134</v>
      </c>
      <c r="C4" s="4" t="s">
        <v>135</v>
      </c>
      <c r="D4" s="4" t="s">
        <v>136</v>
      </c>
      <c r="E4" s="4" t="s">
        <v>137</v>
      </c>
    </row>
    <row r="5" customFormat="false" ht="15" hidden="false" customHeight="false" outlineLevel="0" collapsed="false">
      <c r="A5" s="18" t="n">
        <v>6</v>
      </c>
      <c r="B5" s="11" t="n">
        <f aca="false">(1-1/A5^(Diesel!$C$10-1))*100</f>
        <v>51.1640658069413</v>
      </c>
      <c r="C5" s="11" t="n">
        <f aca="false">(1-1/A5^(Diesel!$C$10-1)*((1.5^Diesel!$C$10-1)/(Diesel!$C$10*(1.5-1))))*100</f>
        <v>46.6907965261158</v>
      </c>
      <c r="D5" s="11" t="n">
        <f aca="false">(1-1/A5^(Diesel!$C$10-1)*((2^Diesel!$C$10-1)/(Diesel!$C$10*(2-1))))*100</f>
        <v>42.8265222840056</v>
      </c>
      <c r="E5" s="11" t="n">
        <f aca="false">(1-1/A5^(Diesel!$C$10-1)*((3^Diesel!$C$10-1)/(Diesel!$C$10*(3-1))))*100</f>
        <v>36.2423032916068</v>
      </c>
    </row>
    <row r="6" customFormat="false" ht="15" hidden="false" customHeight="false" outlineLevel="0" collapsed="false">
      <c r="A6" s="18" t="n">
        <v>7</v>
      </c>
      <c r="B6" s="11" t="n">
        <f aca="false">(1-1/A6^(Diesel!$C$10-1))*100</f>
        <v>54.0843450040566</v>
      </c>
      <c r="C6" s="11" t="n">
        <f aca="false">(1-1/A6^(Diesel!$C$10-1)*((1.5^Diesel!$C$10-1)/(Diesel!$C$10*(1.5-1))))*100</f>
        <v>49.8785671808993</v>
      </c>
      <c r="D6" s="11" t="n">
        <f aca="false">(1-1/A6^(Diesel!$C$10-1)*((2^Diesel!$C$10-1)/(Diesel!$C$10*(2-1))))*100</f>
        <v>46.245367860722</v>
      </c>
      <c r="E6" s="11" t="n">
        <f aca="false">(1-1/A6^(Diesel!$C$10-1)*((3^Diesel!$C$10-1)/(Diesel!$C$10*(3-1))))*100</f>
        <v>40.0548703783232</v>
      </c>
    </row>
    <row r="7" customFormat="false" ht="15" hidden="false" customHeight="false" outlineLevel="0" collapsed="false">
      <c r="A7" s="18" t="n">
        <v>8</v>
      </c>
      <c r="B7" s="11" t="n">
        <f aca="false">(1-1/A7^(Diesel!$C$10-1))*100</f>
        <v>56.4724718351938</v>
      </c>
      <c r="C7" s="11" t="n">
        <f aca="false">(1-1/A7^(Diesel!$C$10-1)*((1.5^Diesel!$C$10-1)/(Diesel!$C$10*(1.5-1))))*100</f>
        <v>52.4854414276221</v>
      </c>
      <c r="D7" s="11" t="n">
        <f aca="false">(1-1/A7^(Diesel!$C$10-1)*((2^Diesel!$C$10-1)/(Diesel!$C$10*(2-1))))*100</f>
        <v>49.0412090465019</v>
      </c>
      <c r="E7" s="11" t="n">
        <f aca="false">(1-1/A7^(Diesel!$C$10-1)*((3^Diesel!$C$10-1)/(Diesel!$C$10*(3-1))))*100</f>
        <v>43.1726865666836</v>
      </c>
    </row>
    <row r="8" customFormat="false" ht="15" hidden="false" customHeight="false" outlineLevel="0" collapsed="false">
      <c r="A8" s="18" t="n">
        <v>9</v>
      </c>
      <c r="B8" s="11" t="n">
        <f aca="false">(1-1/A8^(Diesel!$C$10-1))*100</f>
        <v>58.4756353461494</v>
      </c>
      <c r="C8" s="11" t="n">
        <f aca="false">(1-1/A8^(Diesel!$C$10-1)*((1.5^Diesel!$C$10-1)/(Diesel!$C$10*(1.5-1))))*100</f>
        <v>54.6720905203751</v>
      </c>
      <c r="D8" s="11" t="n">
        <f aca="false">(1-1/A8^(Diesel!$C$10-1)*((2^Diesel!$C$10-1)/(Diesel!$C$10*(2-1))))*100</f>
        <v>51.3863638233587</v>
      </c>
      <c r="E8" s="11" t="n">
        <f aca="false">(1-1/A8^(Diesel!$C$10-1)*((3^Diesel!$C$10-1)/(Diesel!$C$10*(3-1))))*100</f>
        <v>45.787914343098</v>
      </c>
    </row>
    <row r="9" customFormat="false" ht="15" hidden="false" customHeight="false" outlineLevel="0" collapsed="false">
      <c r="A9" s="18" t="n">
        <v>10</v>
      </c>
      <c r="B9" s="11" t="n">
        <f aca="false">(1-1/A9^(Diesel!$C$10-1))*100</f>
        <v>60.1892829446503</v>
      </c>
      <c r="C9" s="11" t="n">
        <f aca="false">(1-1/A9^(Diesel!$C$10-1)*((1.5^Diesel!$C$10-1)/(Diesel!$C$10*(1.5-1))))*100</f>
        <v>56.5427046495095</v>
      </c>
      <c r="D9" s="11" t="n">
        <f aca="false">(1-1/A9^(Diesel!$C$10-1)*((2^Diesel!$C$10-1)/(Diesel!$C$10*(2-1))))*100</f>
        <v>53.3925749137136</v>
      </c>
      <c r="E9" s="11" t="n">
        <f aca="false">(1-1/A9^(Diesel!$C$10-1)*((3^Diesel!$C$10-1)/(Diesel!$C$10*(3-1))))*100</f>
        <v>48.0251649589736</v>
      </c>
    </row>
    <row r="10" customFormat="false" ht="15" hidden="false" customHeight="false" outlineLevel="0" collapsed="false">
      <c r="A10" s="18" t="n">
        <v>11</v>
      </c>
      <c r="B10" s="11" t="n">
        <f aca="false">(1-1/A10^(Diesel!$C$10-1))*100</f>
        <v>61.6784624264373</v>
      </c>
      <c r="C10" s="11" t="n">
        <f aca="false">(1-1/A10^(Diesel!$C$10-1)*((1.5^Diesel!$C$10-1)/(Diesel!$C$10*(1.5-1))))*100</f>
        <v>58.1682898526077</v>
      </c>
      <c r="D10" s="11" t="n">
        <f aca="false">(1-1/A10^(Diesel!$C$10-1)*((2^Diesel!$C$10-1)/(Diesel!$C$10*(2-1))))*100</f>
        <v>55.1359954364066</v>
      </c>
      <c r="E10" s="11" t="n">
        <f aca="false">(1-1/A10^(Diesel!$C$10-1)*((3^Diesel!$C$10-1)/(Diesel!$C$10*(3-1))))*100</f>
        <v>49.9693614878819</v>
      </c>
    </row>
    <row r="11" customFormat="false" ht="15" hidden="false" customHeight="false" outlineLevel="0" collapsed="false">
      <c r="A11" s="18" t="n">
        <v>12</v>
      </c>
      <c r="B11" s="11" t="n">
        <f aca="false">(1-1/A11^(Diesel!$C$10-1))*100</f>
        <v>62.9892827512847</v>
      </c>
      <c r="C11" s="11" t="n">
        <f aca="false">(1-1/A11^(Diesel!$C$10-1)*((1.5^Diesel!$C$10-1)/(Diesel!$C$10*(1.5-1))))*100</f>
        <v>59.59917857358</v>
      </c>
      <c r="D11" s="11" t="n">
        <f aca="false">(1-1/A11^(Diesel!$C$10-1)*((2^Diesel!$C$10-1)/(Diesel!$C$10*(2-1))))*100</f>
        <v>56.6706063304271</v>
      </c>
      <c r="E11" s="11" t="n">
        <f aca="false">(1-1/A11^(Diesel!$C$10-1)*((3^Diesel!$C$10-1)/(Diesel!$C$10*(3-1))))*100</f>
        <v>51.6807014282715</v>
      </c>
    </row>
    <row r="12" customFormat="false" ht="15" hidden="false" customHeight="false" outlineLevel="0" collapsed="false">
      <c r="A12" s="18" t="n">
        <v>13</v>
      </c>
      <c r="B12" s="11" t="n">
        <f aca="false">(1-1/A12^(Diesel!$C$10-1))*100</f>
        <v>64.1554890766456</v>
      </c>
      <c r="C12" s="11" t="n">
        <f aca="false">(1-1/A12^(Diesel!$C$10-1)*((1.5^Diesel!$C$10-1)/(Diesel!$C$10*(1.5-1))))*100</f>
        <v>60.87220695562</v>
      </c>
      <c r="D12" s="11" t="n">
        <f aca="false">(1-1/A12^(Diesel!$C$10-1)*((2^Diesel!$C$10-1)/(Diesel!$C$10*(2-1))))*100</f>
        <v>58.0359139150367</v>
      </c>
      <c r="E12" s="11" t="n">
        <f aca="false">(1-1/A12^(Diesel!$C$10-1)*((3^Diesel!$C$10-1)/(Diesel!$C$10*(3-1))))*100</f>
        <v>53.2032407309463</v>
      </c>
    </row>
    <row r="13" customFormat="false" ht="15" hidden="false" customHeight="false" outlineLevel="0" collapsed="false">
      <c r="A13" s="18" t="n">
        <v>14</v>
      </c>
      <c r="B13" s="11" t="n">
        <f aca="false">(1-1/A13^(Diesel!$C$10-1))*100</f>
        <v>65.2024405302363</v>
      </c>
      <c r="C13" s="11" t="n">
        <f aca="false">(1-1/A13^(Diesel!$C$10-1)*((1.5^Diesel!$C$10-1)/(Diesel!$C$10*(1.5-1))))*100</f>
        <v>62.0150569694255</v>
      </c>
      <c r="D13" s="11" t="n">
        <f aca="false">(1-1/A13^(Diesel!$C$10-1)*((2^Diesel!$C$10-1)/(Diesel!$C$10*(2-1))))*100</f>
        <v>59.261606769912</v>
      </c>
      <c r="E13" s="11" t="n">
        <f aca="false">(1-1/A13^(Diesel!$C$10-1)*((3^Diesel!$C$10-1)/(Diesel!$C$10*(3-1))))*100</f>
        <v>54.5700869754057</v>
      </c>
    </row>
    <row r="14" customFormat="false" ht="15" hidden="false" customHeight="false" outlineLevel="0" collapsed="false">
      <c r="A14" s="18" t="n">
        <v>15</v>
      </c>
      <c r="B14" s="11" t="n">
        <f aca="false">(1-1/A14^(Diesel!$C$10-1))*100</f>
        <v>66.1496240534173</v>
      </c>
      <c r="C14" s="11" t="n">
        <f aca="false">(1-1/A14^(Diesel!$C$10-1)*((1.5^Diesel!$C$10-1)/(Diesel!$C$10*(1.5-1))))*100</f>
        <v>63.0490005193688</v>
      </c>
      <c r="D14" s="11" t="n">
        <f aca="false">(1-1/A14^(Diesel!$C$10-1)*((2^Diesel!$C$10-1)/(Diesel!$C$10*(2-1))))*100</f>
        <v>60.3704987559128</v>
      </c>
      <c r="E14" s="11" t="n">
        <f aca="false">(1-1/A14^(Diesel!$C$10-1)*((3^Diesel!$C$10-1)/(Diesel!$C$10*(3-1))))*100</f>
        <v>55.8066813151274</v>
      </c>
    </row>
    <row r="15" customFormat="false" ht="15" hidden="false" customHeight="false" outlineLevel="0" collapsed="false">
      <c r="A15" s="18" t="n">
        <v>16</v>
      </c>
      <c r="B15" s="11" t="n">
        <f aca="false">(1-1/A15^(Diesel!$C$10-1))*100</f>
        <v>67.0123022306776</v>
      </c>
      <c r="C15" s="11" t="n">
        <f aca="false">(1-1/A15^(Diesel!$C$10-1)*((1.5^Diesel!$C$10-1)/(Diesel!$C$10*(1.5-1))))*100</f>
        <v>63.9906982107091</v>
      </c>
      <c r="D15" s="11" t="n">
        <f aca="false">(1-1/A15^(Diesel!$C$10-1)*((2^Diesel!$C$10-1)/(Diesel!$C$10*(2-1))))*100</f>
        <v>61.3804581712214</v>
      </c>
      <c r="E15" s="11" t="n">
        <f aca="false">(1-1/A15^(Diesel!$C$10-1)*((3^Diesel!$C$10-1)/(Diesel!$C$10*(3-1))))*100</f>
        <v>56.9329497994217</v>
      </c>
    </row>
    <row r="16" customFormat="false" ht="15" hidden="false" customHeight="false" outlineLevel="0" collapsed="false">
      <c r="A16" s="18" t="n">
        <v>17</v>
      </c>
      <c r="B16" s="11" t="n">
        <f aca="false">(1-1/A16^(Diesel!$C$10-1))*100</f>
        <v>67.8026275475383</v>
      </c>
      <c r="C16" s="11" t="n">
        <f aca="false">(1-1/A16^(Diesel!$C$10-1)*((1.5^Diesel!$C$10-1)/(Diesel!$C$10*(1.5-1))))*100</f>
        <v>64.8534156711867</v>
      </c>
      <c r="D16" s="11" t="n">
        <f aca="false">(1-1/A16^(Diesel!$C$10-1)*((2^Diesel!$C$10-1)/(Diesel!$C$10*(2-1))))*100</f>
        <v>62.3057122415805</v>
      </c>
      <c r="E16" s="11" t="n">
        <f aca="false">(1-1/A16^(Diesel!$C$10-1)*((3^Diesel!$C$10-1)/(Diesel!$C$10*(3-1))))*100</f>
        <v>57.9647580915324</v>
      </c>
    </row>
    <row r="17" customFormat="false" ht="15" hidden="false" customHeight="false" outlineLevel="0" collapsed="false">
      <c r="A17" s="18" t="n">
        <v>18</v>
      </c>
      <c r="B17" s="11" t="n">
        <f aca="false">(1-1/A17^(Diesel!$C$10-1))*100</f>
        <v>68.5304162901699</v>
      </c>
      <c r="C17" s="11" t="n">
        <f aca="false">(1-1/A17^(Diesel!$C$10-1)*((1.5^Diesel!$C$10-1)/(Diesel!$C$10*(1.5-1))))*100</f>
        <v>65.6478683382244</v>
      </c>
      <c r="D17" s="11" t="n">
        <f aca="false">(1-1/A17^(Diesel!$C$10-1)*((2^Diesel!$C$10-1)/(Diesel!$C$10*(2-1))))*100</f>
        <v>63.1577531443778</v>
      </c>
      <c r="E17" s="11" t="n">
        <f aca="false">(1-1/A17^(Diesel!$C$10-1)*((3^Diesel!$C$10-1)/(Diesel!$C$10*(3-1))))*100</f>
        <v>58.9149218323764</v>
      </c>
    </row>
    <row r="18" customFormat="false" ht="15" hidden="false" customHeight="false" outlineLevel="0" collapsed="false">
      <c r="A18" s="18" t="n">
        <v>19</v>
      </c>
      <c r="B18" s="11" t="n">
        <f aca="false">(1-1/A18^(Diesel!$C$10-1))*100</f>
        <v>69.203698724162</v>
      </c>
      <c r="C18" s="11" t="n">
        <f aca="false">(1-1/A18^(Diesel!$C$10-1)*((1.5^Diesel!$C$10-1)/(Diesel!$C$10*(1.5-1))))*100</f>
        <v>66.3828220329195</v>
      </c>
      <c r="D18" s="11" t="n">
        <f aca="false">(1-1/A18^(Diesel!$C$10-1)*((2^Diesel!$C$10-1)/(Diesel!$C$10*(2-1))))*100</f>
        <v>63.9459821170077</v>
      </c>
      <c r="E18" s="11" t="n">
        <f aca="false">(1-1/A18^(Diesel!$C$10-1)*((3^Diesel!$C$10-1)/(Diesel!$C$10*(3-1))))*100</f>
        <v>59.7939249257924</v>
      </c>
    </row>
    <row r="19" customFormat="false" ht="15" hidden="false" customHeight="false" outlineLevel="0" collapsed="false">
      <c r="A19" s="18" t="n">
        <v>20</v>
      </c>
      <c r="B19" s="11" t="n">
        <f aca="false">(1-1/A19^(Diesel!$C$10-1))*100</f>
        <v>69.8291183172742</v>
      </c>
      <c r="C19" s="11" t="n">
        <f aca="false">(1-1/A19^(Diesel!$C$10-1)*((1.5^Diesel!$C$10-1)/(Diesel!$C$10*(1.5-1))))*100</f>
        <v>67.0655287507631</v>
      </c>
      <c r="D19" s="11" t="n">
        <f aca="false">(1-1/A19^(Diesel!$C$10-1)*((2^Diesel!$C$10-1)/(Diesel!$C$10*(2-1))))*100</f>
        <v>64.6781768371617</v>
      </c>
      <c r="E19" s="11" t="n">
        <f aca="false">(1-1/A19^(Diesel!$C$10-1)*((3^Diesel!$C$10-1)/(Diesel!$C$10*(3-1))))*100</f>
        <v>60.6104407433356</v>
      </c>
    </row>
    <row r="20" customFormat="false" ht="15" hidden="false" customHeight="false" outlineLevel="0" collapsed="false">
      <c r="A20" s="18" t="n">
        <v>21</v>
      </c>
      <c r="B20" s="11" t="n">
        <f aca="false">(1-1/A20^(Diesel!$C$10-1))*100</f>
        <v>70.4122267268536</v>
      </c>
      <c r="C20" s="11" t="n">
        <f aca="false">(1-1/A20^(Diesel!$C$10-1)*((1.5^Diesel!$C$10-1)/(Diesel!$C$10*(1.5-1))))*100</f>
        <v>67.702048669287</v>
      </c>
      <c r="D20" s="11" t="n">
        <f aca="false">(1-1/A20^(Diesel!$C$10-1)*((2^Diesel!$C$10-1)/(Diesel!$C$10*(2-1))))*100</f>
        <v>65.3608367721453</v>
      </c>
      <c r="E20" s="11" t="n">
        <f aca="false">(1-1/A20^(Diesel!$C$10-1)*((3^Diesel!$C$10-1)/(Diesel!$C$10*(3-1))))*100</f>
        <v>61.3717172447558</v>
      </c>
    </row>
    <row r="21" customFormat="false" ht="15" hidden="false" customHeight="false" outlineLevel="0" collapsed="false">
      <c r="A21" s="18" t="n">
        <v>22</v>
      </c>
      <c r="B21" s="11" t="n">
        <f aca="false">(1-1/A21^(Diesel!$C$10-1))*100</f>
        <v>70.9577053228001</v>
      </c>
      <c r="C21" s="11" t="n">
        <f aca="false">(1-1/A21^(Diesel!$C$10-1)*((1.5^Diesel!$C$10-1)/(Diesel!$C$10*(1.5-1))))*100</f>
        <v>68.2974919620682</v>
      </c>
      <c r="D21" s="11" t="n">
        <f aca="false">(1-1/A21^(Diesel!$C$10-1)*((2^Diesel!$C$10-1)/(Diesel!$C$10*(2-1))))*100</f>
        <v>65.9994425214817</v>
      </c>
      <c r="E21" s="11" t="n">
        <f aca="false">(1-1/A21^(Diesel!$C$10-1)*((3^Diesel!$C$10-1)/(Diesel!$C$10*(3-1))))*100</f>
        <v>62.0838661870447</v>
      </c>
    </row>
    <row r="22" customFormat="false" ht="15" hidden="false" customHeight="false" outlineLevel="0" collapsed="false">
      <c r="A22" s="18" t="n">
        <v>23</v>
      </c>
      <c r="B22" s="11" t="n">
        <f aca="false">(1-1/A22^(Diesel!$C$10-1))*100</f>
        <v>71.469533976018</v>
      </c>
      <c r="C22" s="11" t="n">
        <f aca="false">(1-1/A22^(Diesel!$C$10-1)*((1.5^Diesel!$C$10-1)/(Diesel!$C$10*(1.5-1))))*100</f>
        <v>68.8562030478497</v>
      </c>
      <c r="D22" s="11" t="n">
        <f aca="false">(1-1/A22^(Diesel!$C$10-1)*((2^Diesel!$C$10-1)/(Diesel!$C$10*(2-1))))*100</f>
        <v>66.5986534218707</v>
      </c>
      <c r="E22" s="11" t="n">
        <f aca="false">(1-1/A22^(Diesel!$C$10-1)*((3^Diesel!$C$10-1)/(Diesel!$C$10*(3-1))))*100</f>
        <v>62.7520834860018</v>
      </c>
    </row>
    <row r="23" customFormat="false" ht="15" hidden="false" customHeight="false" outlineLevel="0" collapsed="false">
      <c r="A23" s="18" t="n">
        <v>24</v>
      </c>
      <c r="B23" s="11" t="n">
        <f aca="false">(1-1/A23^(Diesel!$C$10-1))*100</f>
        <v>71.951121363845</v>
      </c>
      <c r="C23" s="11" t="n">
        <f aca="false">(1-1/A23^(Diesel!$C$10-1)*((1.5^Diesel!$C$10-1)/(Diesel!$C$10*(1.5-1))))*100</f>
        <v>69.3819028316735</v>
      </c>
      <c r="D23" s="11" t="n">
        <f aca="false">(1-1/A23^(Diesel!$C$10-1)*((2^Diesel!$C$10-1)/(Diesel!$C$10*(2-1))))*100</f>
        <v>67.1624600990888</v>
      </c>
      <c r="E23" s="11" t="n">
        <f aca="false">(1-1/A23^(Diesel!$C$10-1)*((3^Diesel!$C$10-1)/(Diesel!$C$10*(3-1))))*100</f>
        <v>63.3808193363344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2026-09-15T21:43:39Z</dcterms:created>
  <dc:creator>openpyxl</dc:creator>
  <dc:description/>
  <dc:language>en-US</dc:language>
  <cp:lastModifiedBy/>
  <dcterms:modified xsi:type="dcterms:W3CDTF">2026-09-15T21:43:44Z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